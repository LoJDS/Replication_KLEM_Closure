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louis\OneDrive\Documents\GitHub\Replication_KLEM_Closure\Sensitivity_Analysis\"/>
    </mc:Choice>
  </mc:AlternateContent>
  <xr:revisionPtr revIDLastSave="0" documentId="13_ncr:1_{B0C65725-13A9-44AF-BC12-B549FB5FE504}" xr6:coauthVersionLast="47" xr6:coauthVersionMax="47" xr10:uidLastSave="{00000000-0000-0000-0000-000000000000}"/>
  <bookViews>
    <workbookView xWindow="-110" yWindow="-110" windowWidth="19420" windowHeight="11500" tabRatio="887" firstSheet="8" activeTab="17" xr2:uid="{00000000-000D-0000-FFFF-FFFF00000000}"/>
  </bookViews>
  <sheets>
    <sheet name="Calibration" sheetId="1" r:id="rId1"/>
    <sheet name="Model" sheetId="2" r:id="rId2"/>
    <sheet name="Results" sheetId="3" r:id="rId3"/>
    <sheet name="GraphU" sheetId="34" r:id="rId4"/>
    <sheet name="NeoClassical" sheetId="11" r:id="rId5"/>
    <sheet name="Johansen" sheetId="12" r:id="rId6"/>
    <sheet name="Kaldorian" sheetId="22" r:id="rId7"/>
    <sheet name="Keynes-M" sheetId="18" r:id="rId8"/>
    <sheet name="Keynesian" sheetId="24" r:id="rId9"/>
    <sheet name="Keynes-K" sheetId="21" r:id="rId10"/>
    <sheet name="Neo-K1" sheetId="38" r:id="rId11"/>
    <sheet name="Neo-K2" sheetId="35" r:id="rId12"/>
    <sheet name="NC heteroS" sheetId="32" r:id="rId13"/>
    <sheet name="Keynes-I" sheetId="36" r:id="rId14"/>
    <sheet name="Diagnosis Indicators" sheetId="23" r:id="rId15"/>
    <sheet name="GraphPi" sheetId="37" r:id="rId16"/>
    <sheet name="G Tax" sheetId="7" r:id="rId17"/>
    <sheet name="Utility_Export" sheetId="39" r:id="rId18"/>
  </sheets>
  <definedNames>
    <definedName name="AGGREGATES" localSheetId="0">Calibration!$C$55:$C$59</definedName>
    <definedName name="AGGREGATES" localSheetId="1">Model!$C$55:$C$60</definedName>
    <definedName name="aKL">Calibration!$C$82:$D$82</definedName>
    <definedName name="aKLE">Calibration!$C$87:$D$87</definedName>
    <definedName name="alpha" localSheetId="0">Calibration!$C$70:$D$71</definedName>
    <definedName name="alpha" localSheetId="1">Model!$C$70:$D$71</definedName>
    <definedName name="alphaEY" localSheetId="0">Calibration!$C$71:$D$71</definedName>
    <definedName name="alphaEY" localSheetId="1">Model!$C$71:$D$71</definedName>
    <definedName name="alphaMY" localSheetId="0">Calibration!$C$70:$D$70</definedName>
    <definedName name="alphaMY" localSheetId="1">Model!$C$70:$D$70</definedName>
    <definedName name="aS">Calibration!$C$77:$D$77</definedName>
    <definedName name="aU">Calibration!$C$104</definedName>
    <definedName name="aX">Calibration!$C$97:$D$97</definedName>
    <definedName name="aY">Calibration!$C$92:$D$92</definedName>
    <definedName name="B" localSheetId="0">Calibration!$C$59</definedName>
    <definedName name="B" localSheetId="1">Model!$C$59</definedName>
    <definedName name="bKL">Calibration!$C$83:$D$83</definedName>
    <definedName name="bKLE">Calibration!$C$88:$D$88</definedName>
    <definedName name="bS">Calibration!$C$78:$D$78</definedName>
    <definedName name="bU">Calibration!$C$105</definedName>
    <definedName name="bX">Calibration!$C$98:$D$98</definedName>
    <definedName name="bY">Calibration!$C$93:$D$93</definedName>
    <definedName name="CE" localSheetId="0">Calibration!$D$41</definedName>
    <definedName name="CE" localSheetId="1">Model!$D$41</definedName>
    <definedName name="Consumption" localSheetId="0">Calibration!$C$41:$D$41</definedName>
    <definedName name="Consumption" localSheetId="1">Model!$C$41:$D$41</definedName>
    <definedName name="CPI" localSheetId="1">Model!$C$60</definedName>
    <definedName name="CQ" localSheetId="0">Calibration!$C$41</definedName>
    <definedName name="CQ" localSheetId="1">Model!$C$41</definedName>
    <definedName name="D" localSheetId="0">Calibration!$C$40:$D$40</definedName>
    <definedName name="D" localSheetId="1">Model!$C$40:$D$40</definedName>
    <definedName name="DE" localSheetId="0">Calibration!$D$40</definedName>
    <definedName name="DE" localSheetId="1">Model!$D$40</definedName>
    <definedName name="epsilonE">Calibration!$D$109</definedName>
    <definedName name="ERROR1">Model!$K$21:$L$21</definedName>
    <definedName name="ERROR10">Model!$K$37:$L$37</definedName>
    <definedName name="ERROR11">Model!$K$23:$L$23</definedName>
    <definedName name="ERROR12">Model!$K$34:$L$34</definedName>
    <definedName name="ERROR2">Model!$K$59</definedName>
    <definedName name="ERROR3">Model!$K$55</definedName>
    <definedName name="ERROR4">Model!$K$39:$L$39</definedName>
    <definedName name="ERROR5">Model!$K$41</definedName>
    <definedName name="ERROR6">Model!$K$56</definedName>
    <definedName name="ERROR7">Model!$K$57</definedName>
    <definedName name="ERROR8">Model!$K$58</definedName>
    <definedName name="ERROR9">Model!$L$58</definedName>
    <definedName name="FACTORS" localSheetId="0">Calibration!$C$70:$D$73</definedName>
    <definedName name="FACTORS" localSheetId="1">Model!$C$70:$D$73</definedName>
    <definedName name="G" localSheetId="0">Calibration!$C$42:$D$42</definedName>
    <definedName name="G" localSheetId="1">Model!$C$42:$D$42</definedName>
    <definedName name="GDP" localSheetId="0">Calibration!$C$57</definedName>
    <definedName name="GDP" localSheetId="1">Model!$C$57</definedName>
    <definedName name="I" localSheetId="0">Calibration!$C$43:$D$43</definedName>
    <definedName name="I" localSheetId="1">Model!$C$43:$D$43</definedName>
    <definedName name="K" localSheetId="0">Calibration!$C$46:$D$46</definedName>
    <definedName name="K" localSheetId="1">Model!$C$46:$D$46</definedName>
    <definedName name="kappa" localSheetId="0">Calibration!$C$73:$D$73</definedName>
    <definedName name="kappa" localSheetId="1">Model!$C$73:$D$73</definedName>
    <definedName name="KL" localSheetId="0">Calibration!$C$47:$D$47</definedName>
    <definedName name="KL" localSheetId="1">Model!$C$47:$D$47</definedName>
    <definedName name="KL_E" localSheetId="0">Calibration!$D$47</definedName>
    <definedName name="KL_E" localSheetId="1">Model!$D$47</definedName>
    <definedName name="KL_Q" localSheetId="0">Calibration!$C$47</definedName>
    <definedName name="KL_Q" localSheetId="1">Model!$C$47</definedName>
    <definedName name="KLE" localSheetId="0">Calibration!$C$48:$D$48</definedName>
    <definedName name="KLE" localSheetId="1">Model!$C$48:$D$48</definedName>
    <definedName name="KLQ" localSheetId="1">Model!$C$47</definedName>
    <definedName name="Labour" localSheetId="0">Calibration!$C$45:$D$45</definedName>
    <definedName name="Labour" localSheetId="1">Model!$C$45:$D$45</definedName>
    <definedName name="Labour_E" localSheetId="0">Calibration!$D$45</definedName>
    <definedName name="Labour_E" localSheetId="1">Model!$D$45</definedName>
    <definedName name="Labour_Q" localSheetId="0">Calibration!$C$45</definedName>
    <definedName name="Labour_Q" localSheetId="1">Model!$C$45</definedName>
    <definedName name="LabourQ" localSheetId="1">Model!$C$45</definedName>
    <definedName name="lambda" localSheetId="0">Calibration!$C$72:$D$72</definedName>
    <definedName name="lambda" localSheetId="1">Model!$C$72:$D$72</definedName>
    <definedName name="M" localSheetId="0">Calibration!$C$38:$D$38</definedName>
    <definedName name="M" localSheetId="1">Model!$C$38:$D$38</definedName>
    <definedName name="MAXERROR">Model!$L$17</definedName>
    <definedName name="omegaG" localSheetId="0">Calibration!$C$62</definedName>
    <definedName name="omegaG" localSheetId="1">Model!$C$62</definedName>
    <definedName name="omegaI" localSheetId="0">Calibration!$C$63</definedName>
    <definedName name="omegaI" localSheetId="1">Model!$C$63</definedName>
    <definedName name="pC" localSheetId="0">Calibration!$C$27:$D$27</definedName>
    <definedName name="pC" localSheetId="1">Model!$C$27:$D$27</definedName>
    <definedName name="pCE" localSheetId="0">Calibration!$D$27</definedName>
    <definedName name="pCE" localSheetId="1">Model!$D$27</definedName>
    <definedName name="pCQ" localSheetId="0">Calibration!$C$27</definedName>
    <definedName name="pCQ" localSheetId="1">Model!$C$27</definedName>
    <definedName name="pD" localSheetId="0">Calibration!$C$24:$D$24</definedName>
    <definedName name="pD" localSheetId="1">Model!$C$24:$D$24</definedName>
    <definedName name="pEY" localSheetId="0">Calibration!$C$26:$D$26</definedName>
    <definedName name="pEY" localSheetId="1">Model!$C$26:$D$26</definedName>
    <definedName name="pG" localSheetId="0">Calibration!$C$28:$D$28</definedName>
    <definedName name="pG" localSheetId="1">Model!$C$28:$D$28</definedName>
    <definedName name="pI" localSheetId="0">Calibration!$C$29:$D$29</definedName>
    <definedName name="pI" localSheetId="1">Model!$C$29:$D$29</definedName>
    <definedName name="pIC" localSheetId="0">Calibration!$C$25:$D$26</definedName>
    <definedName name="pIC" localSheetId="1">Model!$C$25:$D$26</definedName>
    <definedName name="pK" localSheetId="0">Calibration!$C$33:$D$33</definedName>
    <definedName name="pK" localSheetId="1">Model!$C$33:$D$33</definedName>
    <definedName name="pKL" localSheetId="0">Calibration!$C$34:$D$34</definedName>
    <definedName name="pKL" localSheetId="1">Model!$C$34:$D$34</definedName>
    <definedName name="pKLE" localSheetId="0">Calibration!$C$35:$D$35</definedName>
    <definedName name="pKLE" localSheetId="1">Model!$C$35:$D$35</definedName>
    <definedName name="pL" localSheetId="0">Calibration!$C$32:$D$32</definedName>
    <definedName name="pL" localSheetId="1">Model!$C$32:$D$32</definedName>
    <definedName name="pMY" localSheetId="0">Calibration!$C$25:$D$25</definedName>
    <definedName name="pMY" localSheetId="1">Model!$C$25:$D$25</definedName>
    <definedName name="pQ" localSheetId="0">Calibration!$C$23:$D$23</definedName>
    <definedName name="pQ" localSheetId="1">Model!$C$23:$D$23</definedName>
    <definedName name="PRICES" localSheetId="0">Calibration!$C$21:$D$35</definedName>
    <definedName name="PRICES" localSheetId="1">Model!$C$21:$D$35</definedName>
    <definedName name="pS" localSheetId="0">Calibration!$C$23:$D$23</definedName>
    <definedName name="pS" localSheetId="1">Model!$C$23:$D$23</definedName>
    <definedName name="pW" localSheetId="0">Calibration!$C$22:$D$22</definedName>
    <definedName name="pW" localSheetId="1">Model!$C$22:$D$22</definedName>
    <definedName name="pX" localSheetId="0">Calibration!$C$30:$D$30</definedName>
    <definedName name="pX" localSheetId="1">Model!$C$30:$D$30</definedName>
    <definedName name="pY" localSheetId="0">Calibration!$C$21:$D$21</definedName>
    <definedName name="pY" localSheetId="1">Model!$C$21:$D$21</definedName>
    <definedName name="Revenue" localSheetId="0">Calibration!$C$58</definedName>
    <definedName name="Revenue" localSheetId="1">Model!$C$58</definedName>
    <definedName name="rhoKL">Calibration!$C$85:$D$85</definedName>
    <definedName name="rhoKLE">Calibration!$C$90:$D$90</definedName>
    <definedName name="rhoS">Calibration!$C$80:$D$80</definedName>
    <definedName name="rhoU">Calibration!$C$107</definedName>
    <definedName name="rhoX">Calibration!$C$100:$D$100</definedName>
    <definedName name="rhoY">Calibration!$C$95:$D$95</definedName>
    <definedName name="S" localSheetId="0">Calibration!$C$39:$D$39</definedName>
    <definedName name="S" localSheetId="1">Model!$C$39:$D$39</definedName>
    <definedName name="sD" localSheetId="0">Calibration!$C$64</definedName>
    <definedName name="sD" localSheetId="1">Model!$C$64</definedName>
    <definedName name="SE" localSheetId="0">Calibration!$D$39</definedName>
    <definedName name="SE" localSheetId="1">Model!$D$39</definedName>
    <definedName name="sG" localSheetId="0">Calibration!$C$67</definedName>
    <definedName name="sG" localSheetId="1">Model!$C$67</definedName>
    <definedName name="sigmaKL">Calibration!$C$84:$D$84</definedName>
    <definedName name="sigmaKLE">Calibration!$C$89:$D$89</definedName>
    <definedName name="sigmaS">Calibration!$C$79:$D$79</definedName>
    <definedName name="sigmaU">Calibration!$C$106</definedName>
    <definedName name="sigmaw">Calibration!$C$102</definedName>
    <definedName name="sigmaX">Calibration!$C$99:$D$99</definedName>
    <definedName name="sigmaY">Calibration!$C$94:$D$94</definedName>
    <definedName name="sK" localSheetId="0">Calibration!$C$65</definedName>
    <definedName name="sK" localSheetId="1">Model!$C$65</definedName>
    <definedName name="sL" localSheetId="0">Calibration!$C$66</definedName>
    <definedName name="sL" localSheetId="1">Model!$C$66</definedName>
    <definedName name="solver_adj" localSheetId="0" hidden="1">Calibration!$C$66</definedName>
    <definedName name="solver_adj" localSheetId="1" hidden="1">Model!$C$80:$D$89</definedName>
    <definedName name="solver_cvg" localSheetId="0" hidden="1">0.0001</definedName>
    <definedName name="solver_cvg" localSheetId="1" hidden="1">1E-99</definedName>
    <definedName name="solver_drv" localSheetId="0" hidden="1">1</definedName>
    <definedName name="solver_drv" localSheetId="1" hidden="1">2</definedName>
    <definedName name="solver_eng" localSheetId="0" hidden="1">1</definedName>
    <definedName name="solver_eng" localSheetId="1" hidden="1">1</definedName>
    <definedName name="solver_est" localSheetId="0" hidden="1">1</definedName>
    <definedName name="solver_est" localSheetId="1" hidden="1">2</definedName>
    <definedName name="solver_itr" localSheetId="0" hidden="1">2147483647</definedName>
    <definedName name="solver_itr" localSheetId="1" hidden="1">1000</definedName>
    <definedName name="solver_lhs1" localSheetId="0" hidden="1">Calibration!$K$53:$L$53</definedName>
    <definedName name="solver_lhs1" localSheetId="1" hidden="1">Model!$K$21:$L$21</definedName>
    <definedName name="solver_lhs10" localSheetId="1" hidden="1">Model!$K$37:$L$37</definedName>
    <definedName name="solver_lhs11" localSheetId="1" hidden="1">Model!$K$23:$L$23</definedName>
    <definedName name="solver_lhs12" localSheetId="1" hidden="1">Model!$K$34:$L$34</definedName>
    <definedName name="solver_lhs2" localSheetId="0" hidden="1">Calibration!$K$53:$L$53</definedName>
    <definedName name="solver_lhs2" localSheetId="1" hidden="1">Model!$K$59</definedName>
    <definedName name="solver_lhs3" localSheetId="0" hidden="1">Calibration!$K$53:$L$53</definedName>
    <definedName name="solver_lhs3" localSheetId="1" hidden="1">Model!$K$55</definedName>
    <definedName name="solver_lhs4" localSheetId="0" hidden="1">Calibration!$K$53:$L$53</definedName>
    <definedName name="solver_lhs4" localSheetId="1" hidden="1">Model!$K$39:$L$39</definedName>
    <definedName name="solver_lhs5" localSheetId="0" hidden="1">Calibration!$K$53:$L$53</definedName>
    <definedName name="solver_lhs5" localSheetId="1" hidden="1">Model!$K$41</definedName>
    <definedName name="solver_lhs6" localSheetId="1" hidden="1">Model!$K$56</definedName>
    <definedName name="solver_lhs7" localSheetId="1" hidden="1">Model!$K$57</definedName>
    <definedName name="solver_lhs8" localSheetId="1" hidden="1">Model!$K$58</definedName>
    <definedName name="solver_lhs9" localSheetId="1" hidden="1">Model!$L$58</definedName>
    <definedName name="solver_lin" localSheetId="1" hidden="1">2</definedName>
    <definedName name="solver_mip" localSheetId="0" hidden="1">2147483647</definedName>
    <definedName name="solver_mip" localSheetId="1" hidden="1">2147483647</definedName>
    <definedName name="solver_mni" localSheetId="0" hidden="1">30</definedName>
    <definedName name="solver_mni" localSheetId="1" hidden="1">30</definedName>
    <definedName name="solver_mrt" localSheetId="0" hidden="1">0.075</definedName>
    <definedName name="solver_mrt" localSheetId="1" hidden="1">0.075</definedName>
    <definedName name="solver_msl" localSheetId="0" hidden="1">2</definedName>
    <definedName name="solver_msl" localSheetId="1" hidden="1">2</definedName>
    <definedName name="solver_neg" localSheetId="0" hidden="1">2</definedName>
    <definedName name="solver_neg" localSheetId="1" hidden="1">1</definedName>
    <definedName name="solver_nod" localSheetId="0" hidden="1">2147483647</definedName>
    <definedName name="solver_nod" localSheetId="1" hidden="1">2147483647</definedName>
    <definedName name="solver_num" localSheetId="0" hidden="1">0</definedName>
    <definedName name="solver_num" localSheetId="1" hidden="1">12</definedName>
    <definedName name="solver_nwt" localSheetId="0" hidden="1">1</definedName>
    <definedName name="solver_nwt" localSheetId="1" hidden="1">1</definedName>
    <definedName name="solver_opt" localSheetId="0" hidden="1">Calibration!$K$65</definedName>
    <definedName name="solver_opt" localSheetId="1" hidden="1">Model!$K$41</definedName>
    <definedName name="solver_pre" localSheetId="0" hidden="1">0.000000000001</definedName>
    <definedName name="solver_pre" localSheetId="1" hidden="1">0.000001</definedName>
    <definedName name="solver_rbv" localSheetId="0" hidden="1">1</definedName>
    <definedName name="solver_rbv" localSheetId="1" hidden="1">1</definedName>
    <definedName name="solver_rel1" localSheetId="0" hidden="1">2</definedName>
    <definedName name="solver_rel1" localSheetId="1" hidden="1">2</definedName>
    <definedName name="solver_rel10" localSheetId="1" hidden="1">2</definedName>
    <definedName name="solver_rel11" localSheetId="1" hidden="1">2</definedName>
    <definedName name="solver_rel12" localSheetId="1" hidden="1">2</definedName>
    <definedName name="solver_rel2" localSheetId="0" hidden="1">2</definedName>
    <definedName name="solver_rel2" localSheetId="1" hidden="1">2</definedName>
    <definedName name="solver_rel3" localSheetId="0" hidden="1">2</definedName>
    <definedName name="solver_rel3" localSheetId="1" hidden="1">2</definedName>
    <definedName name="solver_rel4" localSheetId="0" hidden="1">2</definedName>
    <definedName name="solver_rel4" localSheetId="1" hidden="1">2</definedName>
    <definedName name="solver_rel5" localSheetId="0" hidden="1">2</definedName>
    <definedName name="solver_rel5" localSheetId="1" hidden="1">2</definedName>
    <definedName name="solver_rel6" localSheetId="1" hidden="1">2</definedName>
    <definedName name="solver_rel7" localSheetId="1" hidden="1">2</definedName>
    <definedName name="solver_rel8" localSheetId="1" hidden="1">2</definedName>
    <definedName name="solver_rel9" localSheetId="1" hidden="1">2</definedName>
    <definedName name="solver_rhs1" localSheetId="0" hidden="1">0</definedName>
    <definedName name="solver_rhs1" localSheetId="1" hidden="1">0</definedName>
    <definedName name="solver_rhs10" localSheetId="1" hidden="1">0</definedName>
    <definedName name="solver_rhs11" localSheetId="1" hidden="1">0</definedName>
    <definedName name="solver_rhs12" localSheetId="1" hidden="1">0</definedName>
    <definedName name="solver_rhs2" localSheetId="0" hidden="1">0</definedName>
    <definedName name="solver_rhs2" localSheetId="1" hidden="1">0</definedName>
    <definedName name="solver_rhs3" localSheetId="0" hidden="1">0</definedName>
    <definedName name="solver_rhs3" localSheetId="1" hidden="1">0</definedName>
    <definedName name="solver_rhs4" localSheetId="0" hidden="1">0</definedName>
    <definedName name="solver_rhs4" localSheetId="1" hidden="1">0</definedName>
    <definedName name="solver_rhs5" localSheetId="0" hidden="1">0</definedName>
    <definedName name="solver_rhs5" localSheetId="1" hidden="1">0</definedName>
    <definedName name="solver_rhs6" localSheetId="1" hidden="1">0</definedName>
    <definedName name="solver_rhs7" localSheetId="1" hidden="1">0</definedName>
    <definedName name="solver_rhs8" localSheetId="1" hidden="1">0</definedName>
    <definedName name="solver_rhs9" localSheetId="1" hidden="1">0</definedName>
    <definedName name="solver_rlx" localSheetId="0" hidden="1">2</definedName>
    <definedName name="solver_rlx" localSheetId="1" hidden="1">2</definedName>
    <definedName name="solver_rsd" localSheetId="0" hidden="1">0</definedName>
    <definedName name="solver_rsd" localSheetId="1" hidden="1">0</definedName>
    <definedName name="solver_scl" localSheetId="0" hidden="1">1</definedName>
    <definedName name="solver_scl" localSheetId="1" hidden="1">1</definedName>
    <definedName name="solver_sho" localSheetId="0" hidden="1">2</definedName>
    <definedName name="solver_sho" localSheetId="1" hidden="1">2</definedName>
    <definedName name="solver_ssz" localSheetId="0" hidden="1">100</definedName>
    <definedName name="solver_ssz" localSheetId="1" hidden="1">100</definedName>
    <definedName name="solver_tim" localSheetId="0" hidden="1">2147483647</definedName>
    <definedName name="solver_tim" localSheetId="1" hidden="1">1000</definedName>
    <definedName name="solver_tol" localSheetId="0" hidden="1">0.01</definedName>
    <definedName name="solver_tol" localSheetId="1" hidden="1">0.01</definedName>
    <definedName name="solver_typ" localSheetId="0" hidden="1">3</definedName>
    <definedName name="solver_typ" localSheetId="1" hidden="1">3</definedName>
    <definedName name="solver_val" localSheetId="0" hidden="1">0</definedName>
    <definedName name="solver_val" localSheetId="1" hidden="1">0</definedName>
    <definedName name="solver_ver" localSheetId="0" hidden="1">3</definedName>
    <definedName name="solver_ver" localSheetId="1" hidden="1">3</definedName>
    <definedName name="T" localSheetId="0">Calibration!$C$55</definedName>
    <definedName name="T">Model!$C$55</definedName>
    <definedName name="Target">Model!$I$41</definedName>
    <definedName name="tauL" localSheetId="0">Calibration!$C$50:$D$50</definedName>
    <definedName name="tauL" localSheetId="1">Model!$C$50:$D$50</definedName>
    <definedName name="tauTS" localSheetId="0">Calibration!$C$52:$D$52</definedName>
    <definedName name="tauTS" localSheetId="1">Model!$C$52:$D$52</definedName>
    <definedName name="tauTS2" localSheetId="1">Model!$D$52</definedName>
    <definedName name="tauTVA" localSheetId="0">Calibration!$C$52:$D$52</definedName>
    <definedName name="tauTVA" localSheetId="1">Model!$C$52:$D$52</definedName>
    <definedName name="tauY" localSheetId="0">Calibration!$C$51:$D$51</definedName>
    <definedName name="tauY" localSheetId="1">Model!$C$51:$D$51</definedName>
    <definedName name="tEXC" localSheetId="0">Calibration!$C$53:$D$53</definedName>
    <definedName name="tEXC" localSheetId="1">Model!$C$53:$D$53</definedName>
    <definedName name="tEXC1" localSheetId="0">Calibration!$C$53</definedName>
    <definedName name="tEXC1" localSheetId="1">Model!$C$53</definedName>
    <definedName name="tEXC2" localSheetId="0">Calibration!$D$53</definedName>
    <definedName name="tEXC2" localSheetId="1">Model!$D$53</definedName>
    <definedName name="U" localSheetId="0">Calibration!$C$56</definedName>
    <definedName name="U" localSheetId="1">Model!$C$56</definedName>
    <definedName name="VARIABLES" localSheetId="0">Calibration!$C$114:$D$123</definedName>
    <definedName name="VARIABLES" localSheetId="1">Model!$C$80:$D$89</definedName>
    <definedName name="VOLUMES" localSheetId="0">Calibration!$C$37:$D$48</definedName>
    <definedName name="VOLUMES" localSheetId="1">Model!$C$37:$D$48</definedName>
    <definedName name="w" localSheetId="0">Calibration!$C$31:$D$31</definedName>
    <definedName name="w" localSheetId="1">Model!$C$31:$D$31</definedName>
    <definedName name="wE" localSheetId="1">Model!$D$31</definedName>
    <definedName name="wQ" localSheetId="1">Model!$C$31</definedName>
    <definedName name="X" localSheetId="0">Calibration!$C$44:$D$44</definedName>
    <definedName name="X" localSheetId="1">Model!$C$44:$D$44</definedName>
    <definedName name="XE" localSheetId="0">Calibration!$D$44</definedName>
    <definedName name="XE" localSheetId="1">Model!$D$44</definedName>
    <definedName name="Y" localSheetId="0">Calibration!$C$37:$D$37</definedName>
    <definedName name="Y" localSheetId="1">Model!$C$37:$D$37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8" i="39" l="1"/>
  <c r="AF83" i="35"/>
  <c r="AV82" i="35"/>
  <c r="P82" i="35"/>
  <c r="AJ81" i="35"/>
  <c r="AH81" i="35"/>
  <c r="AF81" i="35"/>
  <c r="AD81" i="35"/>
  <c r="AB81" i="35"/>
  <c r="Z81" i="35"/>
  <c r="R81" i="35"/>
  <c r="D81" i="35"/>
  <c r="B81" i="35"/>
  <c r="AV80" i="35"/>
  <c r="AT80" i="35"/>
  <c r="AR80" i="35"/>
  <c r="AP80" i="35"/>
  <c r="AH80" i="35"/>
  <c r="T80" i="35"/>
  <c r="R80" i="35"/>
  <c r="P80" i="35"/>
  <c r="N80" i="35"/>
  <c r="L80" i="35"/>
  <c r="J80" i="35"/>
  <c r="B80" i="35"/>
  <c r="AV79" i="35" a="1"/>
  <c r="AV79" i="35" s="1"/>
  <c r="AT79" i="35" a="1"/>
  <c r="AT79" i="35" s="1"/>
  <c r="AR79" i="35"/>
  <c r="AR79" i="35" a="1"/>
  <c r="AP79" i="35" a="1"/>
  <c r="AP79" i="35" s="1"/>
  <c r="AN79" i="35" a="1"/>
  <c r="AN79" i="35" s="1"/>
  <c r="AL79" i="35" a="1"/>
  <c r="AL79" i="35" s="1"/>
  <c r="AJ79" i="35"/>
  <c r="AJ79" i="35" a="1"/>
  <c r="AH79" i="35" a="1"/>
  <c r="AH79" i="35" s="1"/>
  <c r="AF79" i="35" a="1"/>
  <c r="AF79" i="35" s="1"/>
  <c r="AD79" i="35" a="1"/>
  <c r="AD79" i="35" s="1"/>
  <c r="AB79" i="35"/>
  <c r="AB79" i="35" a="1"/>
  <c r="Z79" i="35" a="1"/>
  <c r="Z79" i="35" s="1"/>
  <c r="X79" i="35" a="1"/>
  <c r="X79" i="35" s="1"/>
  <c r="V79" i="35" a="1"/>
  <c r="V79" i="35" s="1"/>
  <c r="T79" i="35"/>
  <c r="T79" i="35" a="1"/>
  <c r="R79" i="35" a="1"/>
  <c r="R79" i="35" s="1"/>
  <c r="P79" i="35" a="1"/>
  <c r="P79" i="35" s="1"/>
  <c r="N79" i="35" a="1"/>
  <c r="N79" i="35" s="1"/>
  <c r="L79" i="35"/>
  <c r="L79" i="35" a="1"/>
  <c r="J79" i="35" a="1"/>
  <c r="J79" i="35" s="1"/>
  <c r="H79" i="35" a="1"/>
  <c r="H79" i="35" s="1"/>
  <c r="F79" i="35" a="1"/>
  <c r="F79" i="35" s="1"/>
  <c r="D79" i="35" a="1"/>
  <c r="D79" i="35" s="1"/>
  <c r="B79" i="35" a="1"/>
  <c r="B79" i="35" s="1"/>
  <c r="AV78" i="35" a="1"/>
  <c r="AV78" i="35" s="1"/>
  <c r="AT78" i="35" a="1"/>
  <c r="AT78" i="35" s="1"/>
  <c r="AR78" i="35"/>
  <c r="AR78" i="35" a="1"/>
  <c r="AP78" i="35" a="1"/>
  <c r="AP78" i="35" s="1"/>
  <c r="AN78" i="35" a="1"/>
  <c r="AN78" i="35" s="1"/>
  <c r="AL78" i="35" a="1"/>
  <c r="AL78" i="35" s="1"/>
  <c r="AJ78" i="35" a="1"/>
  <c r="AJ78" i="35" s="1"/>
  <c r="AH78" i="35" a="1"/>
  <c r="AH78" i="35" s="1"/>
  <c r="AF78" i="35" a="1"/>
  <c r="AF78" i="35" s="1"/>
  <c r="AD78" i="35" a="1"/>
  <c r="AD78" i="35" s="1"/>
  <c r="AB78" i="35"/>
  <c r="AB78" i="35" a="1"/>
  <c r="Z78" i="35" a="1"/>
  <c r="Z78" i="35" s="1"/>
  <c r="X78" i="35" a="1"/>
  <c r="X78" i="35" s="1"/>
  <c r="V78" i="35" a="1"/>
  <c r="V78" i="35" s="1"/>
  <c r="T78" i="35" a="1"/>
  <c r="T78" i="35" s="1"/>
  <c r="R78" i="35" a="1"/>
  <c r="R78" i="35" s="1"/>
  <c r="P78" i="35" a="1"/>
  <c r="P78" i="35" s="1"/>
  <c r="N78" i="35" a="1"/>
  <c r="N78" i="35" s="1"/>
  <c r="L78" i="35"/>
  <c r="L78" i="35" a="1"/>
  <c r="J78" i="35" a="1"/>
  <c r="J78" i="35" s="1"/>
  <c r="H78" i="35" a="1"/>
  <c r="H78" i="35" s="1"/>
  <c r="F78" i="35" a="1"/>
  <c r="F78" i="35" s="1"/>
  <c r="D78" i="35" a="1"/>
  <c r="D78" i="35" s="1"/>
  <c r="B78" i="35" a="1"/>
  <c r="B78" i="35" s="1"/>
  <c r="AV77" i="35" a="1"/>
  <c r="AV77" i="35" s="1"/>
  <c r="AT77" i="35" a="1"/>
  <c r="AT77" i="35" s="1"/>
  <c r="AR77" i="35" a="1"/>
  <c r="AR77" i="35" s="1"/>
  <c r="AP77" i="35" a="1"/>
  <c r="AP77" i="35" s="1"/>
  <c r="AN77" i="35" a="1"/>
  <c r="AN77" i="35" s="1"/>
  <c r="AL77" i="35" a="1"/>
  <c r="AL77" i="35" s="1"/>
  <c r="AJ77" i="35" a="1"/>
  <c r="AJ77" i="35" s="1"/>
  <c r="AH77" i="35" a="1"/>
  <c r="AH77" i="35" s="1"/>
  <c r="AF77" i="35" a="1"/>
  <c r="AF77" i="35" s="1"/>
  <c r="AD77" i="35" a="1"/>
  <c r="AD77" i="35" s="1"/>
  <c r="AB77" i="35" a="1"/>
  <c r="AB77" i="35" s="1"/>
  <c r="Z77" i="35" a="1"/>
  <c r="Z77" i="35" s="1"/>
  <c r="X77" i="35" a="1"/>
  <c r="X77" i="35" s="1"/>
  <c r="V77" i="35" a="1"/>
  <c r="V77" i="35" s="1"/>
  <c r="T77" i="35" a="1"/>
  <c r="T77" i="35" s="1"/>
  <c r="R77" i="35" a="1"/>
  <c r="R77" i="35" s="1"/>
  <c r="P77" i="35" a="1"/>
  <c r="P77" i="35" s="1"/>
  <c r="N77" i="35" a="1"/>
  <c r="N77" i="35" s="1"/>
  <c r="L77" i="35" a="1"/>
  <c r="L77" i="35" s="1"/>
  <c r="J77" i="35" a="1"/>
  <c r="J77" i="35" s="1"/>
  <c r="H77" i="35" a="1"/>
  <c r="H77" i="35" s="1"/>
  <c r="F77" i="35" a="1"/>
  <c r="F77" i="35" s="1"/>
  <c r="D77" i="35" a="1"/>
  <c r="D77" i="35" s="1"/>
  <c r="B77" i="35" a="1"/>
  <c r="B77" i="35" s="1"/>
  <c r="AV76" i="35" a="1"/>
  <c r="AV76" i="35" s="1"/>
  <c r="AT76" i="35" a="1"/>
  <c r="AT76" i="35" s="1"/>
  <c r="AR76" i="35" a="1"/>
  <c r="AR76" i="35" s="1"/>
  <c r="AP76" i="35" a="1"/>
  <c r="AP76" i="35" s="1"/>
  <c r="AN76" i="35" a="1"/>
  <c r="AN76" i="35" s="1"/>
  <c r="AL76" i="35" a="1"/>
  <c r="AL76" i="35" s="1"/>
  <c r="AJ76" i="35" a="1"/>
  <c r="AJ76" i="35" s="1"/>
  <c r="AH76" i="35" a="1"/>
  <c r="AH76" i="35" s="1"/>
  <c r="AF76" i="35" a="1"/>
  <c r="AF76" i="35" s="1"/>
  <c r="AD76" i="35" a="1"/>
  <c r="AD76" i="35" s="1"/>
  <c r="AB76" i="35" a="1"/>
  <c r="AB76" i="35" s="1"/>
  <c r="Z76" i="35" a="1"/>
  <c r="Z76" i="35" s="1"/>
  <c r="X76" i="35" a="1"/>
  <c r="X76" i="35" s="1"/>
  <c r="V76" i="35" a="1"/>
  <c r="V76" i="35" s="1"/>
  <c r="T76" i="35" a="1"/>
  <c r="T76" i="35" s="1"/>
  <c r="R76" i="35" a="1"/>
  <c r="R76" i="35" s="1"/>
  <c r="P76" i="35" a="1"/>
  <c r="P76" i="35" s="1"/>
  <c r="N76" i="35" a="1"/>
  <c r="N76" i="35" s="1"/>
  <c r="L76" i="35" a="1"/>
  <c r="L76" i="35" s="1"/>
  <c r="J76" i="35" a="1"/>
  <c r="J76" i="35" s="1"/>
  <c r="H76" i="35" a="1"/>
  <c r="H76" i="35" s="1"/>
  <c r="F76" i="35" a="1"/>
  <c r="F76" i="35" s="1"/>
  <c r="D76" i="35" a="1"/>
  <c r="D76" i="35" s="1"/>
  <c r="B76" i="35" a="1"/>
  <c r="B76" i="35" s="1"/>
  <c r="AV75" i="35" a="1"/>
  <c r="AV75" i="35" s="1"/>
  <c r="AT75" i="35" a="1"/>
  <c r="AT75" i="35" s="1"/>
  <c r="AR75" i="35" a="1"/>
  <c r="AR75" i="35" s="1"/>
  <c r="AP75" i="35" a="1"/>
  <c r="AP75" i="35" s="1"/>
  <c r="AN75" i="35" a="1"/>
  <c r="AN75" i="35" s="1"/>
  <c r="AL75" i="35" a="1"/>
  <c r="AL75" i="35" s="1"/>
  <c r="AJ75" i="35" a="1"/>
  <c r="AJ75" i="35" s="1"/>
  <c r="AH75" i="35" a="1"/>
  <c r="AH75" i="35" s="1"/>
  <c r="AF75" i="35" a="1"/>
  <c r="AF75" i="35" s="1"/>
  <c r="AD75" i="35" a="1"/>
  <c r="AD75" i="35" s="1"/>
  <c r="AB75" i="35" a="1"/>
  <c r="AB75" i="35" s="1"/>
  <c r="Z75" i="35" a="1"/>
  <c r="Z75" i="35" s="1"/>
  <c r="X75" i="35" a="1"/>
  <c r="X75" i="35" s="1"/>
  <c r="V75" i="35" a="1"/>
  <c r="V75" i="35" s="1"/>
  <c r="T75" i="35" a="1"/>
  <c r="T75" i="35" s="1"/>
  <c r="R75" i="35" a="1"/>
  <c r="R75" i="35" s="1"/>
  <c r="P75" i="35" a="1"/>
  <c r="P75" i="35" s="1"/>
  <c r="N75" i="35" a="1"/>
  <c r="N75" i="35" s="1"/>
  <c r="L75" i="35" a="1"/>
  <c r="L75" i="35" s="1"/>
  <c r="J75" i="35" a="1"/>
  <c r="J75" i="35" s="1"/>
  <c r="H75" i="35" a="1"/>
  <c r="H75" i="35" s="1"/>
  <c r="F75" i="35" a="1"/>
  <c r="F75" i="35" s="1"/>
  <c r="D75" i="35" a="1"/>
  <c r="D75" i="35" s="1"/>
  <c r="B75" i="35" a="1"/>
  <c r="B75" i="35" s="1"/>
  <c r="AV74" i="35" a="1"/>
  <c r="AV74" i="35" s="1"/>
  <c r="AT74" i="35" a="1"/>
  <c r="AT74" i="35" s="1"/>
  <c r="AR74" i="35" a="1"/>
  <c r="AR74" i="35" s="1"/>
  <c r="AP74" i="35" a="1"/>
  <c r="AP74" i="35" s="1"/>
  <c r="AN74" i="35" a="1"/>
  <c r="AN74" i="35" s="1"/>
  <c r="AL74" i="35" a="1"/>
  <c r="AL74" i="35" s="1"/>
  <c r="AJ74" i="35" a="1"/>
  <c r="AJ74" i="35" s="1"/>
  <c r="AH74" i="35" a="1"/>
  <c r="AH74" i="35" s="1"/>
  <c r="AF74" i="35" a="1"/>
  <c r="AF74" i="35" s="1"/>
  <c r="AD74" i="35" a="1"/>
  <c r="AD74" i="35" s="1"/>
  <c r="AB74" i="35" a="1"/>
  <c r="AB74" i="35" s="1"/>
  <c r="Z74" i="35" a="1"/>
  <c r="Z74" i="35" s="1"/>
  <c r="X74" i="35" a="1"/>
  <c r="X74" i="35" s="1"/>
  <c r="V74" i="35" a="1"/>
  <c r="V74" i="35" s="1"/>
  <c r="T74" i="35" a="1"/>
  <c r="T74" i="35" s="1"/>
  <c r="R74" i="35" a="1"/>
  <c r="R74" i="35" s="1"/>
  <c r="P74" i="35" a="1"/>
  <c r="P74" i="35" s="1"/>
  <c r="N74" i="35" a="1"/>
  <c r="N74" i="35" s="1"/>
  <c r="L74" i="35" a="1"/>
  <c r="L74" i="35" s="1"/>
  <c r="J74" i="35" a="1"/>
  <c r="J74" i="35" s="1"/>
  <c r="H74" i="35" a="1"/>
  <c r="H74" i="35" s="1"/>
  <c r="F74" i="35" a="1"/>
  <c r="F74" i="35" s="1"/>
  <c r="D74" i="35" a="1"/>
  <c r="D74" i="35" s="1"/>
  <c r="B74" i="35" a="1"/>
  <c r="B74" i="35" s="1"/>
  <c r="AV73" i="35" a="1"/>
  <c r="AV73" i="35" s="1"/>
  <c r="AT73" i="35" a="1"/>
  <c r="AT73" i="35" s="1"/>
  <c r="AR73" i="35" a="1"/>
  <c r="AR73" i="35" s="1"/>
  <c r="AP73" i="35" a="1"/>
  <c r="AP73" i="35" s="1"/>
  <c r="AN73" i="35" a="1"/>
  <c r="AN73" i="35" s="1"/>
  <c r="AL73" i="35" a="1"/>
  <c r="AL73" i="35" s="1"/>
  <c r="AJ73" i="35" a="1"/>
  <c r="AJ73" i="35" s="1"/>
  <c r="AH73" i="35" a="1"/>
  <c r="AH73" i="35" s="1"/>
  <c r="AF73" i="35" a="1"/>
  <c r="AF73" i="35" s="1"/>
  <c r="AD73" i="35" a="1"/>
  <c r="AD73" i="35" s="1"/>
  <c r="AB73" i="35" a="1"/>
  <c r="AB73" i="35" s="1"/>
  <c r="Z73" i="35" a="1"/>
  <c r="Z73" i="35" s="1"/>
  <c r="X73" i="35" a="1"/>
  <c r="X73" i="35" s="1"/>
  <c r="V73" i="35" a="1"/>
  <c r="V73" i="35" s="1"/>
  <c r="T73" i="35" a="1"/>
  <c r="T73" i="35" s="1"/>
  <c r="R73" i="35" a="1"/>
  <c r="R73" i="35" s="1"/>
  <c r="P73" i="35" a="1"/>
  <c r="P73" i="35" s="1"/>
  <c r="N73" i="35" a="1"/>
  <c r="N73" i="35" s="1"/>
  <c r="L73" i="35" a="1"/>
  <c r="L73" i="35" s="1"/>
  <c r="J73" i="35" a="1"/>
  <c r="J73" i="35" s="1"/>
  <c r="H73" i="35" a="1"/>
  <c r="H73" i="35" s="1"/>
  <c r="F73" i="35" a="1"/>
  <c r="F73" i="35" s="1"/>
  <c r="D73" i="35" a="1"/>
  <c r="D73" i="35" s="1"/>
  <c r="B73" i="35" a="1"/>
  <c r="B73" i="35" s="1"/>
  <c r="AV72" i="35"/>
  <c r="AT72" i="35"/>
  <c r="AR72" i="35"/>
  <c r="AP72" i="35"/>
  <c r="AN72" i="35"/>
  <c r="AL72" i="35"/>
  <c r="AJ72" i="35"/>
  <c r="AH72" i="35"/>
  <c r="AF72" i="35"/>
  <c r="AD72" i="35"/>
  <c r="AB72" i="35"/>
  <c r="Z72" i="35"/>
  <c r="X72" i="35"/>
  <c r="V72" i="35"/>
  <c r="T72" i="35"/>
  <c r="R72" i="35"/>
  <c r="P72" i="35"/>
  <c r="N72" i="35"/>
  <c r="L72" i="35"/>
  <c r="J72" i="35"/>
  <c r="H72" i="35"/>
  <c r="F72" i="35"/>
  <c r="D72" i="35"/>
  <c r="B72" i="35"/>
  <c r="AV71" i="35"/>
  <c r="AT71" i="35"/>
  <c r="AR71" i="35"/>
  <c r="AP71" i="35"/>
  <c r="AN71" i="35"/>
  <c r="AL71" i="35"/>
  <c r="AJ71" i="35"/>
  <c r="AH71" i="35"/>
  <c r="AF71" i="35"/>
  <c r="AD71" i="35"/>
  <c r="AB71" i="35"/>
  <c r="Z71" i="35"/>
  <c r="X71" i="35"/>
  <c r="V71" i="35"/>
  <c r="T71" i="35"/>
  <c r="R71" i="35"/>
  <c r="P71" i="35"/>
  <c r="N71" i="35"/>
  <c r="L71" i="35"/>
  <c r="J71" i="35"/>
  <c r="H71" i="35"/>
  <c r="F71" i="35"/>
  <c r="D71" i="35"/>
  <c r="B71" i="35"/>
  <c r="AV70" i="35"/>
  <c r="AT70" i="35"/>
  <c r="AR70" i="35"/>
  <c r="AP70" i="35"/>
  <c r="AN70" i="35"/>
  <c r="AL70" i="35"/>
  <c r="AJ70" i="35"/>
  <c r="AH70" i="35"/>
  <c r="AF70" i="35"/>
  <c r="AD70" i="35"/>
  <c r="AB70" i="35"/>
  <c r="Z70" i="35"/>
  <c r="X70" i="35"/>
  <c r="V70" i="35"/>
  <c r="T70" i="35"/>
  <c r="R70" i="35"/>
  <c r="P70" i="35"/>
  <c r="N70" i="35"/>
  <c r="L70" i="35"/>
  <c r="J70" i="35"/>
  <c r="H70" i="35"/>
  <c r="F70" i="35"/>
  <c r="D70" i="35"/>
  <c r="B70" i="35"/>
  <c r="B69" i="35"/>
  <c r="AV67" i="35" a="1"/>
  <c r="AV67" i="35" s="1"/>
  <c r="AT67" i="35" a="1"/>
  <c r="AT67" i="35" s="1"/>
  <c r="AR67" i="35" a="1"/>
  <c r="AR67" i="35" s="1"/>
  <c r="AP67" i="35" a="1"/>
  <c r="AP67" i="35" s="1"/>
  <c r="AN67" i="35" a="1"/>
  <c r="AN67" i="35" s="1"/>
  <c r="AL67" i="35" a="1"/>
  <c r="AL67" i="35" s="1"/>
  <c r="AJ67" i="35" a="1"/>
  <c r="AJ67" i="35" s="1"/>
  <c r="AH67" i="35" a="1"/>
  <c r="AH67" i="35" s="1"/>
  <c r="AF67" i="35" a="1"/>
  <c r="AF67" i="35" s="1"/>
  <c r="AD67" i="35" a="1"/>
  <c r="AD67" i="35" s="1"/>
  <c r="AB67" i="35" a="1"/>
  <c r="AB67" i="35" s="1"/>
  <c r="Z67" i="35" a="1"/>
  <c r="Z67" i="35" s="1"/>
  <c r="X67" i="35" a="1"/>
  <c r="X67" i="35" s="1"/>
  <c r="V67" i="35" a="1"/>
  <c r="V67" i="35" s="1"/>
  <c r="T67" i="35" a="1"/>
  <c r="T67" i="35" s="1"/>
  <c r="R67" i="35" a="1"/>
  <c r="R67" i="35" s="1"/>
  <c r="P67" i="35" a="1"/>
  <c r="P67" i="35" s="1"/>
  <c r="N67" i="35" a="1"/>
  <c r="N67" i="35" s="1"/>
  <c r="L67" i="35" a="1"/>
  <c r="L67" i="35" s="1"/>
  <c r="J67" i="35" a="1"/>
  <c r="J67" i="35" s="1"/>
  <c r="H67" i="35" a="1"/>
  <c r="H67" i="35" s="1"/>
  <c r="F67" i="35" a="1"/>
  <c r="F67" i="35" s="1"/>
  <c r="D67" i="35" a="1"/>
  <c r="D67" i="35" s="1"/>
  <c r="B67" i="35" a="1"/>
  <c r="B67" i="35" s="1"/>
  <c r="AV66" i="35" a="1"/>
  <c r="AV66" i="35" s="1"/>
  <c r="AT66" i="35" a="1"/>
  <c r="AT66" i="35" s="1"/>
  <c r="AT68" i="35" s="1"/>
  <c r="AR66" i="35" a="1"/>
  <c r="AR66" i="35" s="1"/>
  <c r="AR68" i="35" s="1"/>
  <c r="AP66" i="35" a="1"/>
  <c r="AP66" i="35" s="1"/>
  <c r="AN66" i="35" a="1"/>
  <c r="AN66" i="35" s="1"/>
  <c r="AN68" i="35" s="1"/>
  <c r="AL66" i="35" a="1"/>
  <c r="AL66" i="35" s="1"/>
  <c r="AL68" i="35" s="1"/>
  <c r="AJ66" i="35" a="1"/>
  <c r="AJ66" i="35" s="1"/>
  <c r="AJ68" i="35" s="1"/>
  <c r="AH66" i="35" a="1"/>
  <c r="AH66" i="35" s="1"/>
  <c r="AF66" i="35" a="1"/>
  <c r="AF66" i="35" s="1"/>
  <c r="AF68" i="35" s="1"/>
  <c r="AD66" i="35" a="1"/>
  <c r="AD66" i="35" s="1"/>
  <c r="AB66" i="35" a="1"/>
  <c r="AB66" i="35" s="1"/>
  <c r="Z66" i="35" a="1"/>
  <c r="Z66" i="35" s="1"/>
  <c r="Z68" i="35" s="1"/>
  <c r="X66" i="35" a="1"/>
  <c r="X66" i="35" s="1"/>
  <c r="X68" i="35" s="1"/>
  <c r="V66" i="35" a="1"/>
  <c r="V66" i="35" s="1"/>
  <c r="T66" i="35" a="1"/>
  <c r="T66" i="35" s="1"/>
  <c r="R66" i="35" a="1"/>
  <c r="R66" i="35" s="1"/>
  <c r="R68" i="35" s="1"/>
  <c r="P66" i="35" a="1"/>
  <c r="P66" i="35" s="1"/>
  <c r="N66" i="35" a="1"/>
  <c r="N66" i="35" s="1"/>
  <c r="N68" i="35" s="1"/>
  <c r="L66" i="35" a="1"/>
  <c r="L66" i="35" s="1"/>
  <c r="L68" i="35" s="1"/>
  <c r="J66" i="35" a="1"/>
  <c r="J66" i="35" s="1"/>
  <c r="H66" i="35" a="1"/>
  <c r="H66" i="35" s="1"/>
  <c r="H68" i="35" s="1"/>
  <c r="F66" i="35" a="1"/>
  <c r="F66" i="35" s="1"/>
  <c r="F68" i="35" s="1"/>
  <c r="D66" i="35" a="1"/>
  <c r="D66" i="35" s="1"/>
  <c r="D68" i="35" s="1"/>
  <c r="B66" i="35" a="1"/>
  <c r="B66" i="35" s="1"/>
  <c r="AV65" i="35" a="1"/>
  <c r="AV65" i="35" s="1"/>
  <c r="AV69" i="35" s="1"/>
  <c r="AT65" i="35" a="1"/>
  <c r="AT65" i="35" s="1"/>
  <c r="AT69" i="35" s="1"/>
  <c r="AR65" i="35" a="1"/>
  <c r="AR65" i="35" s="1"/>
  <c r="AR69" i="35" s="1"/>
  <c r="AP65" i="35" a="1"/>
  <c r="AP65" i="35" s="1"/>
  <c r="AP69" i="35" s="1"/>
  <c r="AN65" i="35" a="1"/>
  <c r="AN65" i="35" s="1"/>
  <c r="AN69" i="35" s="1"/>
  <c r="AL65" i="35" a="1"/>
  <c r="AL65" i="35" s="1"/>
  <c r="AL69" i="35" s="1"/>
  <c r="AJ65" i="35" a="1"/>
  <c r="AJ65" i="35" s="1"/>
  <c r="AJ69" i="35" s="1"/>
  <c r="AH65" i="35" a="1"/>
  <c r="AH65" i="35" s="1"/>
  <c r="AH69" i="35" s="1"/>
  <c r="AF65" i="35" a="1"/>
  <c r="AF65" i="35" s="1"/>
  <c r="AF69" i="35" s="1"/>
  <c r="AD65" i="35" a="1"/>
  <c r="AD65" i="35" s="1"/>
  <c r="AD69" i="35" s="1"/>
  <c r="AB65" i="35" a="1"/>
  <c r="AB65" i="35" s="1"/>
  <c r="AB69" i="35" s="1"/>
  <c r="Z65" i="35" a="1"/>
  <c r="Z65" i="35" s="1"/>
  <c r="Z69" i="35" s="1"/>
  <c r="X65" i="35" a="1"/>
  <c r="X65" i="35" s="1"/>
  <c r="X69" i="35" s="1"/>
  <c r="V65" i="35" a="1"/>
  <c r="V65" i="35" s="1"/>
  <c r="V69" i="35" s="1"/>
  <c r="T65" i="35" a="1"/>
  <c r="T65" i="35" s="1"/>
  <c r="T69" i="35" s="1"/>
  <c r="R65" i="35" a="1"/>
  <c r="R65" i="35" s="1"/>
  <c r="R69" i="35" s="1"/>
  <c r="P65" i="35" a="1"/>
  <c r="P65" i="35" s="1"/>
  <c r="P69" i="35" s="1"/>
  <c r="N65" i="35" a="1"/>
  <c r="N65" i="35" s="1"/>
  <c r="N69" i="35" s="1"/>
  <c r="L65" i="35" a="1"/>
  <c r="L65" i="35" s="1"/>
  <c r="L69" i="35" s="1"/>
  <c r="J65" i="35" a="1"/>
  <c r="J65" i="35" s="1"/>
  <c r="J69" i="35" s="1"/>
  <c r="H65" i="35" a="1"/>
  <c r="H65" i="35" s="1"/>
  <c r="H69" i="35" s="1"/>
  <c r="F65" i="35" a="1"/>
  <c r="F65" i="35" s="1"/>
  <c r="F69" i="35" s="1"/>
  <c r="D65" i="35" a="1"/>
  <c r="D65" i="35" s="1"/>
  <c r="D69" i="35" s="1"/>
  <c r="B65" i="35"/>
  <c r="AV62" i="35"/>
  <c r="AT62" i="35"/>
  <c r="AR62" i="35"/>
  <c r="AP62" i="35"/>
  <c r="AN62" i="35"/>
  <c r="AL62" i="35"/>
  <c r="AJ62" i="35"/>
  <c r="AH62" i="35"/>
  <c r="AF62" i="35"/>
  <c r="AD62" i="35"/>
  <c r="AB62" i="35"/>
  <c r="Z62" i="35"/>
  <c r="X62" i="35"/>
  <c r="V62" i="35"/>
  <c r="T62" i="35"/>
  <c r="R62" i="35"/>
  <c r="P62" i="35"/>
  <c r="N62" i="35"/>
  <c r="L62" i="35"/>
  <c r="J62" i="35"/>
  <c r="H62" i="35"/>
  <c r="F62" i="35"/>
  <c r="D62" i="35"/>
  <c r="B62" i="35"/>
  <c r="AV60" i="35"/>
  <c r="AT60" i="35"/>
  <c r="AR60" i="35"/>
  <c r="AP60" i="35"/>
  <c r="AN60" i="35"/>
  <c r="AL60" i="35"/>
  <c r="AJ60" i="35"/>
  <c r="AH60" i="35"/>
  <c r="AF60" i="35"/>
  <c r="AD60" i="35"/>
  <c r="AB60" i="35"/>
  <c r="Z60" i="35"/>
  <c r="X60" i="35"/>
  <c r="V60" i="35"/>
  <c r="T60" i="35"/>
  <c r="R60" i="35"/>
  <c r="P60" i="35"/>
  <c r="N60" i="35"/>
  <c r="L60" i="35"/>
  <c r="J60" i="35"/>
  <c r="H60" i="35"/>
  <c r="F60" i="35"/>
  <c r="D60" i="35"/>
  <c r="B60" i="35"/>
  <c r="AV59" i="35"/>
  <c r="AT59" i="35"/>
  <c r="AR59" i="35"/>
  <c r="AP59" i="35"/>
  <c r="AN59" i="35"/>
  <c r="AL59" i="35"/>
  <c r="AJ59" i="35"/>
  <c r="AH59" i="35"/>
  <c r="AF59" i="35"/>
  <c r="AD59" i="35"/>
  <c r="AB59" i="35"/>
  <c r="Z59" i="35"/>
  <c r="X59" i="35"/>
  <c r="V59" i="35"/>
  <c r="T59" i="35"/>
  <c r="R59" i="35"/>
  <c r="P59" i="35"/>
  <c r="N59" i="35"/>
  <c r="L59" i="35"/>
  <c r="J59" i="35"/>
  <c r="H59" i="35"/>
  <c r="F59" i="35"/>
  <c r="D59" i="35"/>
  <c r="B59" i="35"/>
  <c r="AV58" i="35"/>
  <c r="AV58" i="35" a="1"/>
  <c r="AT58" i="35"/>
  <c r="AT58" i="35" a="1"/>
  <c r="AR58" i="35"/>
  <c r="AR58" i="35" a="1"/>
  <c r="AP58" i="35" a="1"/>
  <c r="AP58" i="35" s="1"/>
  <c r="AN58" i="35" a="1"/>
  <c r="AN58" i="35" s="1"/>
  <c r="AL58" i="35" a="1"/>
  <c r="AL58" i="35" s="1"/>
  <c r="AJ58" i="35"/>
  <c r="AJ58" i="35" a="1"/>
  <c r="AH58" i="35" a="1"/>
  <c r="AH58" i="35" s="1"/>
  <c r="AF58" i="35"/>
  <c r="AF58" i="35" a="1"/>
  <c r="AD58" i="35"/>
  <c r="AD58" i="35" a="1"/>
  <c r="AB58" i="35"/>
  <c r="AB58" i="35" a="1"/>
  <c r="Z58" i="35" a="1"/>
  <c r="Z58" i="35" s="1"/>
  <c r="X58" i="35" a="1"/>
  <c r="X58" i="35" s="1"/>
  <c r="V58" i="35" a="1"/>
  <c r="V58" i="35" s="1"/>
  <c r="T58" i="35"/>
  <c r="T58" i="35" a="1"/>
  <c r="R58" i="35" a="1"/>
  <c r="R58" i="35" s="1"/>
  <c r="P58" i="35"/>
  <c r="P58" i="35" a="1"/>
  <c r="N58" i="35"/>
  <c r="N58" i="35" a="1"/>
  <c r="L58" i="35"/>
  <c r="L58" i="35" a="1"/>
  <c r="J58" i="35" a="1"/>
  <c r="J58" i="35" s="1"/>
  <c r="H58" i="35" a="1"/>
  <c r="H58" i="35" s="1"/>
  <c r="F58" i="35" a="1"/>
  <c r="F58" i="35" s="1"/>
  <c r="D58" i="35"/>
  <c r="D58" i="35" a="1"/>
  <c r="B58" i="35" a="1"/>
  <c r="B58" i="35" s="1"/>
  <c r="AV57" i="35"/>
  <c r="AV57" i="35" a="1"/>
  <c r="AT57" i="35"/>
  <c r="AT57" i="35" a="1"/>
  <c r="AR57" i="35" a="1"/>
  <c r="AR57" i="35" s="1"/>
  <c r="AP57" i="35" a="1"/>
  <c r="AP57" i="35" s="1"/>
  <c r="AN57" i="35" a="1"/>
  <c r="AN57" i="35" s="1"/>
  <c r="AL57" i="35" a="1"/>
  <c r="AL57" i="35" s="1"/>
  <c r="AJ57" i="35"/>
  <c r="AJ57" i="35" a="1"/>
  <c r="AH57" i="35" a="1"/>
  <c r="AH57" i="35" s="1"/>
  <c r="AF57" i="35"/>
  <c r="AF57" i="35" a="1"/>
  <c r="AD57" i="35"/>
  <c r="AD57" i="35" a="1"/>
  <c r="AB57" i="35" a="1"/>
  <c r="AB57" i="35" s="1"/>
  <c r="Z57" i="35" a="1"/>
  <c r="Z57" i="35" s="1"/>
  <c r="X57" i="35" a="1"/>
  <c r="X57" i="35" s="1"/>
  <c r="V57" i="35" a="1"/>
  <c r="V57" i="35" s="1"/>
  <c r="T57" i="35"/>
  <c r="T57" i="35" a="1"/>
  <c r="R57" i="35" a="1"/>
  <c r="R57" i="35" s="1"/>
  <c r="P57" i="35"/>
  <c r="P57" i="35" a="1"/>
  <c r="N57" i="35" a="1"/>
  <c r="N57" i="35" s="1"/>
  <c r="L57" i="35" a="1"/>
  <c r="L57" i="35" s="1"/>
  <c r="J57" i="35" a="1"/>
  <c r="J57" i="35" s="1"/>
  <c r="H57" i="35" a="1"/>
  <c r="H57" i="35" s="1"/>
  <c r="F57" i="35" a="1"/>
  <c r="F57" i="35" s="1"/>
  <c r="D57" i="35"/>
  <c r="D57" i="35" a="1"/>
  <c r="B57" i="35" a="1"/>
  <c r="B57" i="35" s="1"/>
  <c r="AV56" i="35"/>
  <c r="AT56" i="35"/>
  <c r="AR56" i="35"/>
  <c r="AP56" i="35"/>
  <c r="AN56" i="35"/>
  <c r="AL56" i="35"/>
  <c r="AJ56" i="35"/>
  <c r="AH56" i="35"/>
  <c r="AF56" i="35"/>
  <c r="AD56" i="35"/>
  <c r="AB56" i="35"/>
  <c r="Z56" i="35"/>
  <c r="X56" i="35"/>
  <c r="V56" i="35"/>
  <c r="T56" i="35"/>
  <c r="R56" i="35"/>
  <c r="P56" i="35"/>
  <c r="N56" i="35"/>
  <c r="L56" i="35"/>
  <c r="J56" i="35"/>
  <c r="H56" i="35"/>
  <c r="F56" i="35"/>
  <c r="D56" i="35"/>
  <c r="B56" i="35"/>
  <c r="AV55" i="35"/>
  <c r="AT55" i="35"/>
  <c r="AR55" i="35"/>
  <c r="AP55" i="35"/>
  <c r="AN55" i="35"/>
  <c r="AN80" i="35" s="1"/>
  <c r="AL55" i="35"/>
  <c r="AL80" i="35" s="1"/>
  <c r="AJ55" i="35"/>
  <c r="AJ80" i="35" s="1"/>
  <c r="AH55" i="35"/>
  <c r="AF55" i="35"/>
  <c r="AF80" i="35" s="1"/>
  <c r="AD55" i="35"/>
  <c r="AD80" i="35" s="1"/>
  <c r="AB55" i="35"/>
  <c r="AB80" i="35" s="1"/>
  <c r="Z55" i="35"/>
  <c r="Z80" i="35" s="1"/>
  <c r="X55" i="35"/>
  <c r="X80" i="35" s="1"/>
  <c r="V55" i="35"/>
  <c r="V80" i="35" s="1"/>
  <c r="T55" i="35"/>
  <c r="R55" i="35"/>
  <c r="P55" i="35"/>
  <c r="N55" i="35"/>
  <c r="L55" i="35"/>
  <c r="J55" i="35"/>
  <c r="H55" i="35"/>
  <c r="H80" i="35" s="1"/>
  <c r="F55" i="35"/>
  <c r="F80" i="35" s="1"/>
  <c r="D55" i="35"/>
  <c r="D80" i="35" s="1"/>
  <c r="B55" i="35"/>
  <c r="AV53" i="35"/>
  <c r="AV83" i="35" s="1"/>
  <c r="AV53" i="35" a="1"/>
  <c r="AT53" i="35" a="1"/>
  <c r="AT53" i="35" s="1"/>
  <c r="AT83" i="35" s="1"/>
  <c r="AR53" i="35" a="1"/>
  <c r="AR53" i="35" s="1"/>
  <c r="AR83" i="35" s="1"/>
  <c r="AP53" i="35" a="1"/>
  <c r="AP53" i="35" s="1"/>
  <c r="AP83" i="35" s="1"/>
  <c r="AN53" i="35" a="1"/>
  <c r="AN53" i="35" s="1"/>
  <c r="AN83" i="35" s="1"/>
  <c r="AL53" i="35" a="1"/>
  <c r="AL53" i="35" s="1"/>
  <c r="AL83" i="35" s="1"/>
  <c r="AJ53" i="35"/>
  <c r="AJ83" i="35" s="1"/>
  <c r="AJ53" i="35" a="1"/>
  <c r="AH53" i="35" a="1"/>
  <c r="AH53" i="35" s="1"/>
  <c r="AH83" i="35" s="1"/>
  <c r="AF53" i="35"/>
  <c r="AF53" i="35" a="1"/>
  <c r="AD53" i="35" a="1"/>
  <c r="AD53" i="35" s="1"/>
  <c r="AD83" i="35" s="1"/>
  <c r="AB53" i="35" a="1"/>
  <c r="AB53" i="35" s="1"/>
  <c r="AB83" i="35" s="1"/>
  <c r="Z53" i="35" a="1"/>
  <c r="Z53" i="35" s="1"/>
  <c r="Z83" i="35" s="1"/>
  <c r="X53" i="35" a="1"/>
  <c r="X53" i="35" s="1"/>
  <c r="X83" i="35" s="1"/>
  <c r="V53" i="35" a="1"/>
  <c r="V53" i="35" s="1"/>
  <c r="V83" i="35" s="1"/>
  <c r="T53" i="35"/>
  <c r="T83" i="35" s="1"/>
  <c r="T53" i="35" a="1"/>
  <c r="R53" i="35" a="1"/>
  <c r="R53" i="35" s="1"/>
  <c r="R83" i="35" s="1"/>
  <c r="P53" i="35"/>
  <c r="P83" i="35" s="1"/>
  <c r="P53" i="35" a="1"/>
  <c r="N53" i="35" a="1"/>
  <c r="N53" i="35" s="1"/>
  <c r="N83" i="35" s="1"/>
  <c r="L53" i="35" a="1"/>
  <c r="L53" i="35" s="1"/>
  <c r="L83" i="35" s="1"/>
  <c r="J53" i="35" a="1"/>
  <c r="J53" i="35" s="1"/>
  <c r="J83" i="35" s="1"/>
  <c r="H53" i="35" a="1"/>
  <c r="H53" i="35" s="1"/>
  <c r="H83" i="35" s="1"/>
  <c r="F53" i="35" a="1"/>
  <c r="F53" i="35" s="1"/>
  <c r="F83" i="35" s="1"/>
  <c r="D53" i="35"/>
  <c r="D83" i="35" s="1"/>
  <c r="D53" i="35" a="1"/>
  <c r="B53" i="35" a="1"/>
  <c r="B53" i="35" s="1"/>
  <c r="B83" i="35" s="1"/>
  <c r="AV52" i="35"/>
  <c r="AV52" i="35" a="1"/>
  <c r="AT52" i="35" a="1"/>
  <c r="AT52" i="35" s="1"/>
  <c r="AT82" i="35" s="1"/>
  <c r="AR52" i="35" a="1"/>
  <c r="AR52" i="35" s="1"/>
  <c r="AR82" i="35" s="1"/>
  <c r="AP52" i="35" a="1"/>
  <c r="AP52" i="35" s="1"/>
  <c r="AP82" i="35" s="1"/>
  <c r="AN52" i="35" a="1"/>
  <c r="AN52" i="35" s="1"/>
  <c r="AN82" i="35" s="1"/>
  <c r="AL52" i="35" a="1"/>
  <c r="AL52" i="35" s="1"/>
  <c r="AL82" i="35" s="1"/>
  <c r="AJ52" i="35"/>
  <c r="AJ82" i="35" s="1"/>
  <c r="AJ52" i="35" a="1"/>
  <c r="AH52" i="35" a="1"/>
  <c r="AH52" i="35" s="1"/>
  <c r="AH82" i="35" s="1"/>
  <c r="AF52" i="35"/>
  <c r="AF82" i="35" s="1"/>
  <c r="AF52" i="35" a="1"/>
  <c r="AD52" i="35" a="1"/>
  <c r="AD52" i="35" s="1"/>
  <c r="AD82" i="35" s="1"/>
  <c r="AB52" i="35" a="1"/>
  <c r="AB52" i="35" s="1"/>
  <c r="AB82" i="35" s="1"/>
  <c r="Z52" i="35" a="1"/>
  <c r="Z52" i="35" s="1"/>
  <c r="Z82" i="35" s="1"/>
  <c r="X52" i="35" a="1"/>
  <c r="X52" i="35" s="1"/>
  <c r="X82" i="35" s="1"/>
  <c r="V52" i="35" a="1"/>
  <c r="V52" i="35" s="1"/>
  <c r="V82" i="35" s="1"/>
  <c r="T52" i="35"/>
  <c r="T82" i="35" s="1"/>
  <c r="T52" i="35" a="1"/>
  <c r="R52" i="35" a="1"/>
  <c r="R52" i="35" s="1"/>
  <c r="R82" i="35" s="1"/>
  <c r="P52" i="35"/>
  <c r="P52" i="35" a="1"/>
  <c r="N52" i="35" a="1"/>
  <c r="N52" i="35" s="1"/>
  <c r="N82" i="35" s="1"/>
  <c r="L52" i="35" a="1"/>
  <c r="L52" i="35" s="1"/>
  <c r="L82" i="35" s="1"/>
  <c r="J52" i="35" a="1"/>
  <c r="J52" i="35" s="1"/>
  <c r="J82" i="35" s="1"/>
  <c r="H52" i="35" a="1"/>
  <c r="H52" i="35" s="1"/>
  <c r="H82" i="35" s="1"/>
  <c r="F52" i="35" a="1"/>
  <c r="F52" i="35" s="1"/>
  <c r="F82" i="35" s="1"/>
  <c r="D52" i="35"/>
  <c r="D82" i="35" s="1"/>
  <c r="D52" i="35" a="1"/>
  <c r="B52" i="35" a="1"/>
  <c r="B52" i="35" s="1"/>
  <c r="B82" i="35" s="1"/>
  <c r="AV51" i="35"/>
  <c r="AV81" i="35" s="1"/>
  <c r="AT51" i="35"/>
  <c r="AT81" i="35" s="1"/>
  <c r="AR51" i="35"/>
  <c r="AR81" i="35" s="1"/>
  <c r="AP51" i="35"/>
  <c r="AP81" i="35" s="1"/>
  <c r="AN51" i="35"/>
  <c r="AN81" i="35" s="1"/>
  <c r="AL51" i="35"/>
  <c r="AL81" i="35" s="1"/>
  <c r="AJ51" i="35"/>
  <c r="AH51" i="35"/>
  <c r="AF51" i="35"/>
  <c r="AD51" i="35"/>
  <c r="AB51" i="35"/>
  <c r="Z51" i="35"/>
  <c r="X51" i="35"/>
  <c r="X81" i="35" s="1"/>
  <c r="V51" i="35"/>
  <c r="V81" i="35" s="1"/>
  <c r="T51" i="35"/>
  <c r="T81" i="35" s="1"/>
  <c r="R51" i="35"/>
  <c r="P51" i="35"/>
  <c r="P81" i="35" s="1"/>
  <c r="N51" i="35"/>
  <c r="N81" i="35" s="1"/>
  <c r="L51" i="35"/>
  <c r="L81" i="35" s="1"/>
  <c r="J51" i="35"/>
  <c r="J81" i="35" s="1"/>
  <c r="H51" i="35"/>
  <c r="H81" i="35" s="1"/>
  <c r="F51" i="35"/>
  <c r="F81" i="35" s="1"/>
  <c r="D51" i="35"/>
  <c r="B51" i="35"/>
  <c r="AV49" i="35"/>
  <c r="AT49" i="35"/>
  <c r="AR49" i="35"/>
  <c r="AP49" i="35"/>
  <c r="AN49" i="35"/>
  <c r="AL49" i="35"/>
  <c r="AJ49" i="35"/>
  <c r="AH49" i="35"/>
  <c r="AF49" i="35"/>
  <c r="AD49" i="35"/>
  <c r="AB49" i="35"/>
  <c r="Z49" i="35"/>
  <c r="X49" i="35"/>
  <c r="V49" i="35"/>
  <c r="T49" i="35"/>
  <c r="R49" i="35"/>
  <c r="P49" i="35"/>
  <c r="N49" i="35"/>
  <c r="L49" i="35"/>
  <c r="J49" i="35"/>
  <c r="H49" i="35"/>
  <c r="F49" i="35"/>
  <c r="D49" i="35"/>
  <c r="B49" i="35"/>
  <c r="AV48" i="35"/>
  <c r="AT48" i="35"/>
  <c r="AR48" i="35"/>
  <c r="AP48" i="35"/>
  <c r="AN48" i="35"/>
  <c r="AL48" i="35"/>
  <c r="AJ48" i="35"/>
  <c r="AH48" i="35"/>
  <c r="AF48" i="35"/>
  <c r="AD48" i="35"/>
  <c r="AB48" i="35"/>
  <c r="Z48" i="35"/>
  <c r="X48" i="35"/>
  <c r="V48" i="35"/>
  <c r="T48" i="35"/>
  <c r="R48" i="35"/>
  <c r="P48" i="35"/>
  <c r="N48" i="35"/>
  <c r="L48" i="35"/>
  <c r="J48" i="35"/>
  <c r="H48" i="35"/>
  <c r="F48" i="35"/>
  <c r="D48" i="35"/>
  <c r="B48" i="35"/>
  <c r="AV46" i="35"/>
  <c r="AT46" i="35"/>
  <c r="AR46" i="35"/>
  <c r="AP46" i="35"/>
  <c r="AN46" i="35"/>
  <c r="AL46" i="35"/>
  <c r="AJ46" i="35"/>
  <c r="AH46" i="35"/>
  <c r="AF46" i="35"/>
  <c r="AD46" i="35"/>
  <c r="AB46" i="35"/>
  <c r="Z46" i="35"/>
  <c r="X46" i="35"/>
  <c r="V46" i="35"/>
  <c r="T46" i="35"/>
  <c r="R46" i="35"/>
  <c r="P46" i="35"/>
  <c r="N46" i="35"/>
  <c r="L46" i="35"/>
  <c r="J46" i="35"/>
  <c r="H46" i="35"/>
  <c r="F46" i="35"/>
  <c r="D46" i="35"/>
  <c r="B46" i="35"/>
  <c r="AV45" i="35"/>
  <c r="AT45" i="35"/>
  <c r="AR45" i="35"/>
  <c r="AP45" i="35"/>
  <c r="AN45" i="35"/>
  <c r="AL45" i="35"/>
  <c r="AJ45" i="35"/>
  <c r="AH45" i="35"/>
  <c r="AF45" i="35"/>
  <c r="AD45" i="35"/>
  <c r="AB45" i="35"/>
  <c r="Z45" i="35"/>
  <c r="X45" i="35"/>
  <c r="V45" i="35"/>
  <c r="T45" i="35"/>
  <c r="R45" i="35"/>
  <c r="P45" i="35"/>
  <c r="N45" i="35"/>
  <c r="L45" i="35"/>
  <c r="J45" i="35"/>
  <c r="H45" i="35"/>
  <c r="F45" i="35"/>
  <c r="D45" i="35"/>
  <c r="B45" i="35"/>
  <c r="AV44" i="35"/>
  <c r="AT44" i="35"/>
  <c r="AR44" i="35"/>
  <c r="AP44" i="35"/>
  <c r="AN44" i="35"/>
  <c r="AL44" i="35"/>
  <c r="AJ44" i="35"/>
  <c r="AH44" i="35"/>
  <c r="AF44" i="35"/>
  <c r="AD44" i="35"/>
  <c r="AB44" i="35"/>
  <c r="Z44" i="35"/>
  <c r="X44" i="35"/>
  <c r="V44" i="35"/>
  <c r="T44" i="35"/>
  <c r="R44" i="35"/>
  <c r="P44" i="35"/>
  <c r="N44" i="35"/>
  <c r="L44" i="35"/>
  <c r="J44" i="35"/>
  <c r="H44" i="35"/>
  <c r="F44" i="35"/>
  <c r="D44" i="35"/>
  <c r="B44" i="35"/>
  <c r="AV43" i="35"/>
  <c r="AV43" i="35" a="1"/>
  <c r="AT43" i="35" a="1"/>
  <c r="AT43" i="35" s="1"/>
  <c r="AR43" i="35" a="1"/>
  <c r="AR43" i="35" s="1"/>
  <c r="AP43" i="35" a="1"/>
  <c r="AP43" i="35" s="1"/>
  <c r="AN43" i="35" a="1"/>
  <c r="AN43" i="35" s="1"/>
  <c r="AL43" i="35" a="1"/>
  <c r="AL43" i="35" s="1"/>
  <c r="AJ43" i="35"/>
  <c r="AJ43" i="35" a="1"/>
  <c r="AH43" i="35" a="1"/>
  <c r="AH43" i="35" s="1"/>
  <c r="AF43" i="35"/>
  <c r="AF43" i="35" a="1"/>
  <c r="AD43" i="35" a="1"/>
  <c r="AD43" i="35" s="1"/>
  <c r="AB43" i="35" a="1"/>
  <c r="AB43" i="35" s="1"/>
  <c r="Z43" i="35" a="1"/>
  <c r="Z43" i="35" s="1"/>
  <c r="X43" i="35" a="1"/>
  <c r="X43" i="35" s="1"/>
  <c r="V43" i="35" a="1"/>
  <c r="V43" i="35" s="1"/>
  <c r="T43" i="35"/>
  <c r="T43" i="35" a="1"/>
  <c r="R43" i="35" a="1"/>
  <c r="R43" i="35" s="1"/>
  <c r="P43" i="35"/>
  <c r="P43" i="35" a="1"/>
  <c r="N43" i="35" a="1"/>
  <c r="N43" i="35" s="1"/>
  <c r="L43" i="35" a="1"/>
  <c r="L43" i="35" s="1"/>
  <c r="J43" i="35" a="1"/>
  <c r="J43" i="35" s="1"/>
  <c r="H43" i="35" a="1"/>
  <c r="H43" i="35" s="1"/>
  <c r="F43" i="35" a="1"/>
  <c r="F43" i="35" s="1"/>
  <c r="D43" i="35"/>
  <c r="D43" i="35" a="1"/>
  <c r="B43" i="35"/>
  <c r="AV42" i="35"/>
  <c r="AT42" i="35"/>
  <c r="AR42" i="35"/>
  <c r="AP42" i="35"/>
  <c r="AN42" i="35"/>
  <c r="AL42" i="35"/>
  <c r="AJ42" i="35"/>
  <c r="AH42" i="35"/>
  <c r="AF42" i="35"/>
  <c r="AD42" i="35"/>
  <c r="AB42" i="35"/>
  <c r="Z42" i="35"/>
  <c r="X42" i="35"/>
  <c r="V42" i="35"/>
  <c r="T42" i="35"/>
  <c r="R42" i="35"/>
  <c r="P42" i="35"/>
  <c r="N42" i="35"/>
  <c r="L42" i="35"/>
  <c r="J42" i="35"/>
  <c r="H42" i="35"/>
  <c r="F42" i="35"/>
  <c r="D42" i="35"/>
  <c r="B42" i="35"/>
  <c r="K58" i="2" a="1"/>
  <c r="K57" i="2" a="1"/>
  <c r="K56" i="2" a="1"/>
  <c r="K55" i="2" a="1"/>
  <c r="AP81" i="38"/>
  <c r="AN81" i="38"/>
  <c r="AL81" i="38"/>
  <c r="AF81" i="38"/>
  <c r="AD81" i="38"/>
  <c r="AB81" i="38"/>
  <c r="Z81" i="38"/>
  <c r="R81" i="38"/>
  <c r="J81" i="38"/>
  <c r="H81" i="38"/>
  <c r="F81" i="38"/>
  <c r="AV80" i="38"/>
  <c r="AT80" i="38"/>
  <c r="AR80" i="38"/>
  <c r="AP80" i="38"/>
  <c r="AH80" i="38"/>
  <c r="Z80" i="38"/>
  <c r="X80" i="38"/>
  <c r="V80" i="38"/>
  <c r="P80" i="38"/>
  <c r="N80" i="38"/>
  <c r="L80" i="38"/>
  <c r="J80" i="38"/>
  <c r="B80" i="38"/>
  <c r="AV79" i="38" a="1"/>
  <c r="AV79" i="38" s="1"/>
  <c r="AT79" i="38" a="1"/>
  <c r="AT79" i="38" s="1"/>
  <c r="AR79" i="38" a="1"/>
  <c r="AR79" i="38" s="1"/>
  <c r="AP79" i="38" a="1"/>
  <c r="AP79" i="38" s="1"/>
  <c r="AN79" i="38" a="1"/>
  <c r="AN79" i="38" s="1"/>
  <c r="AL79" i="38" a="1"/>
  <c r="AL79" i="38" s="1"/>
  <c r="AJ79" i="38"/>
  <c r="AJ79" i="38" a="1"/>
  <c r="AH79" i="38" a="1"/>
  <c r="AH79" i="38" s="1"/>
  <c r="AF79" i="38" a="1"/>
  <c r="AF79" i="38" s="1"/>
  <c r="AD79" i="38" a="1"/>
  <c r="AD79" i="38" s="1"/>
  <c r="AB79" i="38" a="1"/>
  <c r="AB79" i="38" s="1"/>
  <c r="Z79" i="38" a="1"/>
  <c r="Z79" i="38" s="1"/>
  <c r="X79" i="38" a="1"/>
  <c r="X79" i="38" s="1"/>
  <c r="V79" i="38" a="1"/>
  <c r="V79" i="38" s="1"/>
  <c r="T79" i="38"/>
  <c r="T79" i="38" a="1"/>
  <c r="R79" i="38" a="1"/>
  <c r="R79" i="38" s="1"/>
  <c r="P79" i="38" a="1"/>
  <c r="P79" i="38" s="1"/>
  <c r="N79" i="38" a="1"/>
  <c r="N79" i="38" s="1"/>
  <c r="L79" i="38" a="1"/>
  <c r="L79" i="38" s="1"/>
  <c r="J79" i="38" a="1"/>
  <c r="J79" i="38" s="1"/>
  <c r="H79" i="38" a="1"/>
  <c r="H79" i="38" s="1"/>
  <c r="F79" i="38" a="1"/>
  <c r="F79" i="38" s="1"/>
  <c r="D79" i="38"/>
  <c r="D79" i="38" a="1"/>
  <c r="B79" i="38" a="1"/>
  <c r="B79" i="38" s="1"/>
  <c r="AV78" i="38" a="1"/>
  <c r="AV78" i="38" s="1"/>
  <c r="AT78" i="38" a="1"/>
  <c r="AT78" i="38" s="1"/>
  <c r="AR78" i="38" a="1"/>
  <c r="AR78" i="38" s="1"/>
  <c r="AP78" i="38" a="1"/>
  <c r="AP78" i="38" s="1"/>
  <c r="AN78" i="38" a="1"/>
  <c r="AN78" i="38" s="1"/>
  <c r="AL78" i="38" a="1"/>
  <c r="AL78" i="38" s="1"/>
  <c r="AJ78" i="38"/>
  <c r="AJ78" i="38" a="1"/>
  <c r="AH78" i="38" a="1"/>
  <c r="AH78" i="38" s="1"/>
  <c r="AF78" i="38" a="1"/>
  <c r="AF78" i="38" s="1"/>
  <c r="AD78" i="38" a="1"/>
  <c r="AD78" i="38" s="1"/>
  <c r="AB78" i="38" a="1"/>
  <c r="AB78" i="38" s="1"/>
  <c r="Z78" i="38" a="1"/>
  <c r="Z78" i="38" s="1"/>
  <c r="X78" i="38" a="1"/>
  <c r="X78" i="38" s="1"/>
  <c r="V78" i="38" a="1"/>
  <c r="V78" i="38" s="1"/>
  <c r="T78" i="38" a="1"/>
  <c r="T78" i="38" s="1"/>
  <c r="R78" i="38" a="1"/>
  <c r="R78" i="38" s="1"/>
  <c r="P78" i="38" a="1"/>
  <c r="P78" i="38" s="1"/>
  <c r="N78" i="38" a="1"/>
  <c r="N78" i="38" s="1"/>
  <c r="L78" i="38" a="1"/>
  <c r="L78" i="38" s="1"/>
  <c r="J78" i="38" a="1"/>
  <c r="J78" i="38" s="1"/>
  <c r="H78" i="38" a="1"/>
  <c r="H78" i="38" s="1"/>
  <c r="F78" i="38" a="1"/>
  <c r="F78" i="38" s="1"/>
  <c r="D78" i="38" a="1"/>
  <c r="D78" i="38" s="1"/>
  <c r="B78" i="38" a="1"/>
  <c r="B78" i="38" s="1"/>
  <c r="AV77" i="38" a="1"/>
  <c r="AV77" i="38" s="1"/>
  <c r="AT77" i="38" a="1"/>
  <c r="AT77" i="38" s="1"/>
  <c r="AR77" i="38" a="1"/>
  <c r="AR77" i="38" s="1"/>
  <c r="AP77" i="38" a="1"/>
  <c r="AP77" i="38" s="1"/>
  <c r="AN77" i="38" a="1"/>
  <c r="AN77" i="38" s="1"/>
  <c r="AL77" i="38" a="1"/>
  <c r="AL77" i="38" s="1"/>
  <c r="AJ77" i="38" a="1"/>
  <c r="AJ77" i="38" s="1"/>
  <c r="AH77" i="38" a="1"/>
  <c r="AH77" i="38" s="1"/>
  <c r="AF77" i="38" a="1"/>
  <c r="AF77" i="38" s="1"/>
  <c r="AD77" i="38" a="1"/>
  <c r="AD77" i="38" s="1"/>
  <c r="AB77" i="38" a="1"/>
  <c r="AB77" i="38" s="1"/>
  <c r="Z77" i="38" a="1"/>
  <c r="Z77" i="38" s="1"/>
  <c r="X77" i="38" a="1"/>
  <c r="X77" i="38" s="1"/>
  <c r="V77" i="38" a="1"/>
  <c r="V77" i="38" s="1"/>
  <c r="T77" i="38" a="1"/>
  <c r="T77" i="38" s="1"/>
  <c r="R77" i="38" a="1"/>
  <c r="R77" i="38" s="1"/>
  <c r="P77" i="38" a="1"/>
  <c r="P77" i="38" s="1"/>
  <c r="N77" i="38" a="1"/>
  <c r="N77" i="38" s="1"/>
  <c r="L77" i="38" a="1"/>
  <c r="L77" i="38" s="1"/>
  <c r="J77" i="38" a="1"/>
  <c r="J77" i="38" s="1"/>
  <c r="H77" i="38" a="1"/>
  <c r="H77" i="38" s="1"/>
  <c r="F77" i="38" a="1"/>
  <c r="F77" i="38" s="1"/>
  <c r="D77" i="38" a="1"/>
  <c r="D77" i="38" s="1"/>
  <c r="B77" i="38" a="1"/>
  <c r="B77" i="38" s="1"/>
  <c r="AV76" i="38" a="1"/>
  <c r="AV76" i="38" s="1"/>
  <c r="AT76" i="38" a="1"/>
  <c r="AT76" i="38" s="1"/>
  <c r="AR76" i="38" a="1"/>
  <c r="AR76" i="38" s="1"/>
  <c r="AP76" i="38" a="1"/>
  <c r="AP76" i="38" s="1"/>
  <c r="AN76" i="38" a="1"/>
  <c r="AN76" i="38" s="1"/>
  <c r="AL76" i="38" a="1"/>
  <c r="AL76" i="38" s="1"/>
  <c r="AJ76" i="38" a="1"/>
  <c r="AJ76" i="38" s="1"/>
  <c r="AH76" i="38" a="1"/>
  <c r="AH76" i="38" s="1"/>
  <c r="AF76" i="38" a="1"/>
  <c r="AF76" i="38" s="1"/>
  <c r="AD76" i="38" a="1"/>
  <c r="AD76" i="38" s="1"/>
  <c r="AB76" i="38" a="1"/>
  <c r="AB76" i="38" s="1"/>
  <c r="Z76" i="38" a="1"/>
  <c r="Z76" i="38" s="1"/>
  <c r="X76" i="38" a="1"/>
  <c r="X76" i="38" s="1"/>
  <c r="V76" i="38" a="1"/>
  <c r="V76" i="38" s="1"/>
  <c r="T76" i="38" a="1"/>
  <c r="T76" i="38" s="1"/>
  <c r="R76" i="38" a="1"/>
  <c r="R76" i="38" s="1"/>
  <c r="P76" i="38" a="1"/>
  <c r="P76" i="38" s="1"/>
  <c r="N76" i="38" a="1"/>
  <c r="N76" i="38" s="1"/>
  <c r="L76" i="38" a="1"/>
  <c r="L76" i="38" s="1"/>
  <c r="J76" i="38" a="1"/>
  <c r="J76" i="38" s="1"/>
  <c r="H76" i="38" a="1"/>
  <c r="H76" i="38" s="1"/>
  <c r="F76" i="38" a="1"/>
  <c r="F76" i="38" s="1"/>
  <c r="D76" i="38" a="1"/>
  <c r="D76" i="38" s="1"/>
  <c r="B76" i="38" a="1"/>
  <c r="B76" i="38" s="1"/>
  <c r="AV75" i="38" a="1"/>
  <c r="AV75" i="38" s="1"/>
  <c r="AT75" i="38" a="1"/>
  <c r="AT75" i="38" s="1"/>
  <c r="AR75" i="38" a="1"/>
  <c r="AR75" i="38" s="1"/>
  <c r="AP75" i="38" a="1"/>
  <c r="AP75" i="38" s="1"/>
  <c r="AN75" i="38" a="1"/>
  <c r="AN75" i="38" s="1"/>
  <c r="AL75" i="38" a="1"/>
  <c r="AL75" i="38" s="1"/>
  <c r="AJ75" i="38" a="1"/>
  <c r="AJ75" i="38" s="1"/>
  <c r="AH75" i="38" a="1"/>
  <c r="AH75" i="38" s="1"/>
  <c r="AF75" i="38" a="1"/>
  <c r="AF75" i="38" s="1"/>
  <c r="AD75" i="38" a="1"/>
  <c r="AD75" i="38" s="1"/>
  <c r="AB75" i="38" a="1"/>
  <c r="AB75" i="38" s="1"/>
  <c r="Z75" i="38" a="1"/>
  <c r="Z75" i="38" s="1"/>
  <c r="X75" i="38" a="1"/>
  <c r="X75" i="38" s="1"/>
  <c r="V75" i="38" a="1"/>
  <c r="V75" i="38" s="1"/>
  <c r="T75" i="38" a="1"/>
  <c r="T75" i="38" s="1"/>
  <c r="R75" i="38" a="1"/>
  <c r="R75" i="38" s="1"/>
  <c r="P75" i="38" a="1"/>
  <c r="P75" i="38" s="1"/>
  <c r="N75" i="38" a="1"/>
  <c r="N75" i="38" s="1"/>
  <c r="L75" i="38" a="1"/>
  <c r="L75" i="38" s="1"/>
  <c r="J75" i="38" a="1"/>
  <c r="J75" i="38" s="1"/>
  <c r="H75" i="38" a="1"/>
  <c r="H75" i="38" s="1"/>
  <c r="F75" i="38" a="1"/>
  <c r="F75" i="38" s="1"/>
  <c r="D75" i="38" a="1"/>
  <c r="D75" i="38" s="1"/>
  <c r="B75" i="38" a="1"/>
  <c r="B75" i="38" s="1"/>
  <c r="AV74" i="38" a="1"/>
  <c r="AV74" i="38" s="1"/>
  <c r="AT74" i="38" a="1"/>
  <c r="AT74" i="38" s="1"/>
  <c r="AR74" i="38" a="1"/>
  <c r="AR74" i="38" s="1"/>
  <c r="AP74" i="38" a="1"/>
  <c r="AP74" i="38" s="1"/>
  <c r="AN74" i="38" a="1"/>
  <c r="AN74" i="38" s="1"/>
  <c r="AL74" i="38" a="1"/>
  <c r="AL74" i="38" s="1"/>
  <c r="AJ74" i="38" a="1"/>
  <c r="AJ74" i="38" s="1"/>
  <c r="AH74" i="38" a="1"/>
  <c r="AH74" i="38" s="1"/>
  <c r="AF74" i="38" a="1"/>
  <c r="AF74" i="38" s="1"/>
  <c r="AD74" i="38" a="1"/>
  <c r="AD74" i="38" s="1"/>
  <c r="AB74" i="38" a="1"/>
  <c r="AB74" i="38" s="1"/>
  <c r="Z74" i="38" a="1"/>
  <c r="Z74" i="38" s="1"/>
  <c r="X74" i="38" a="1"/>
  <c r="X74" i="38" s="1"/>
  <c r="V74" i="38" a="1"/>
  <c r="V74" i="38" s="1"/>
  <c r="T74" i="38" a="1"/>
  <c r="T74" i="38" s="1"/>
  <c r="R74" i="38" a="1"/>
  <c r="R74" i="38" s="1"/>
  <c r="P74" i="38" a="1"/>
  <c r="P74" i="38" s="1"/>
  <c r="N74" i="38" a="1"/>
  <c r="N74" i="38" s="1"/>
  <c r="L74" i="38" a="1"/>
  <c r="L74" i="38" s="1"/>
  <c r="J74" i="38" a="1"/>
  <c r="J74" i="38" s="1"/>
  <c r="H74" i="38" a="1"/>
  <c r="H74" i="38" s="1"/>
  <c r="F74" i="38" a="1"/>
  <c r="F74" i="38" s="1"/>
  <c r="D74" i="38" a="1"/>
  <c r="D74" i="38" s="1"/>
  <c r="B74" i="38" a="1"/>
  <c r="B74" i="38" s="1"/>
  <c r="AV73" i="38" a="1"/>
  <c r="AV73" i="38" s="1"/>
  <c r="AT73" i="38" a="1"/>
  <c r="AT73" i="38" s="1"/>
  <c r="AR73" i="38" a="1"/>
  <c r="AR73" i="38" s="1"/>
  <c r="AP73" i="38" a="1"/>
  <c r="AP73" i="38" s="1"/>
  <c r="AN73" i="38" a="1"/>
  <c r="AN73" i="38" s="1"/>
  <c r="AL73" i="38" a="1"/>
  <c r="AL73" i="38" s="1"/>
  <c r="AJ73" i="38" a="1"/>
  <c r="AJ73" i="38" s="1"/>
  <c r="AH73" i="38" a="1"/>
  <c r="AH73" i="38" s="1"/>
  <c r="AF73" i="38" a="1"/>
  <c r="AF73" i="38" s="1"/>
  <c r="AD73" i="38" a="1"/>
  <c r="AD73" i="38" s="1"/>
  <c r="AB73" i="38" a="1"/>
  <c r="AB73" i="38" s="1"/>
  <c r="Z73" i="38" a="1"/>
  <c r="Z73" i="38" s="1"/>
  <c r="X73" i="38" a="1"/>
  <c r="X73" i="38" s="1"/>
  <c r="V73" i="38" a="1"/>
  <c r="V73" i="38" s="1"/>
  <c r="T73" i="38" a="1"/>
  <c r="T73" i="38" s="1"/>
  <c r="R73" i="38" a="1"/>
  <c r="R73" i="38" s="1"/>
  <c r="P73" i="38" a="1"/>
  <c r="P73" i="38" s="1"/>
  <c r="N73" i="38" a="1"/>
  <c r="N73" i="38" s="1"/>
  <c r="L73" i="38" a="1"/>
  <c r="L73" i="38" s="1"/>
  <c r="J73" i="38" a="1"/>
  <c r="J73" i="38" s="1"/>
  <c r="H73" i="38" a="1"/>
  <c r="H73" i="38" s="1"/>
  <c r="F73" i="38" a="1"/>
  <c r="F73" i="38" s="1"/>
  <c r="D73" i="38" a="1"/>
  <c r="D73" i="38" s="1"/>
  <c r="B73" i="38" a="1"/>
  <c r="B73" i="38" s="1"/>
  <c r="AV72" i="38"/>
  <c r="AT72" i="38"/>
  <c r="AR72" i="38"/>
  <c r="AP72" i="38"/>
  <c r="AN72" i="38"/>
  <c r="AL72" i="38"/>
  <c r="AJ72" i="38"/>
  <c r="AH72" i="38"/>
  <c r="AF72" i="38"/>
  <c r="AD72" i="38"/>
  <c r="AB72" i="38"/>
  <c r="Z72" i="38"/>
  <c r="X72" i="38"/>
  <c r="V72" i="38"/>
  <c r="T72" i="38"/>
  <c r="R72" i="38"/>
  <c r="P72" i="38"/>
  <c r="N72" i="38"/>
  <c r="L72" i="38"/>
  <c r="J72" i="38"/>
  <c r="H72" i="38"/>
  <c r="F72" i="38"/>
  <c r="D72" i="38"/>
  <c r="B72" i="38"/>
  <c r="AV71" i="38"/>
  <c r="AT71" i="38"/>
  <c r="AR71" i="38"/>
  <c r="AP71" i="38"/>
  <c r="AN71" i="38"/>
  <c r="AL71" i="38"/>
  <c r="AJ71" i="38"/>
  <c r="AH71" i="38"/>
  <c r="AF71" i="38"/>
  <c r="AD71" i="38"/>
  <c r="AB71" i="38"/>
  <c r="Z71" i="38"/>
  <c r="X71" i="38"/>
  <c r="V71" i="38"/>
  <c r="T71" i="38"/>
  <c r="R71" i="38"/>
  <c r="P71" i="38"/>
  <c r="N71" i="38"/>
  <c r="L71" i="38"/>
  <c r="J71" i="38"/>
  <c r="H71" i="38"/>
  <c r="F71" i="38"/>
  <c r="D71" i="38"/>
  <c r="B71" i="38"/>
  <c r="AV70" i="38"/>
  <c r="AT70" i="38"/>
  <c r="AR70" i="38"/>
  <c r="AP70" i="38"/>
  <c r="AN70" i="38"/>
  <c r="AL70" i="38"/>
  <c r="AJ70" i="38"/>
  <c r="AH70" i="38"/>
  <c r="AF70" i="38"/>
  <c r="AD70" i="38"/>
  <c r="AB70" i="38"/>
  <c r="Z70" i="38"/>
  <c r="X70" i="38"/>
  <c r="V70" i="38"/>
  <c r="T70" i="38"/>
  <c r="R70" i="38"/>
  <c r="P70" i="38"/>
  <c r="N70" i="38"/>
  <c r="L70" i="38"/>
  <c r="J70" i="38"/>
  <c r="H70" i="38"/>
  <c r="F70" i="38"/>
  <c r="D70" i="38"/>
  <c r="B70" i="38"/>
  <c r="B69" i="38"/>
  <c r="AV67" i="38" a="1"/>
  <c r="AV67" i="38" s="1"/>
  <c r="AT67" i="38" a="1"/>
  <c r="AT67" i="38" s="1"/>
  <c r="AR67" i="38" a="1"/>
  <c r="AR67" i="38" s="1"/>
  <c r="AP67" i="38" a="1"/>
  <c r="AP67" i="38" s="1"/>
  <c r="AN67" i="38" a="1"/>
  <c r="AN67" i="38" s="1"/>
  <c r="AL67" i="38" a="1"/>
  <c r="AL67" i="38" s="1"/>
  <c r="AJ67" i="38" a="1"/>
  <c r="AJ67" i="38" s="1"/>
  <c r="AH67" i="38" a="1"/>
  <c r="AH67" i="38" s="1"/>
  <c r="AF67" i="38" a="1"/>
  <c r="AF67" i="38" s="1"/>
  <c r="AD67" i="38" a="1"/>
  <c r="AD67" i="38" s="1"/>
  <c r="AB67" i="38" a="1"/>
  <c r="AB67" i="38" s="1"/>
  <c r="Z67" i="38" a="1"/>
  <c r="Z67" i="38" s="1"/>
  <c r="X67" i="38" a="1"/>
  <c r="X67" i="38" s="1"/>
  <c r="V67" i="38" a="1"/>
  <c r="V67" i="38" s="1"/>
  <c r="T67" i="38" a="1"/>
  <c r="T67" i="38" s="1"/>
  <c r="R67" i="38" a="1"/>
  <c r="R67" i="38" s="1"/>
  <c r="P67" i="38" a="1"/>
  <c r="P67" i="38" s="1"/>
  <c r="N67" i="38" a="1"/>
  <c r="N67" i="38" s="1"/>
  <c r="L67" i="38" a="1"/>
  <c r="L67" i="38" s="1"/>
  <c r="J67" i="38" a="1"/>
  <c r="J67" i="38" s="1"/>
  <c r="H67" i="38" a="1"/>
  <c r="H67" i="38" s="1"/>
  <c r="F67" i="38" a="1"/>
  <c r="F67" i="38" s="1"/>
  <c r="D67" i="38" a="1"/>
  <c r="D67" i="38" s="1"/>
  <c r="B67" i="38" a="1"/>
  <c r="B67" i="38" s="1"/>
  <c r="AV66" i="38" a="1"/>
  <c r="AV66" i="38" s="1"/>
  <c r="AV68" i="38" s="1"/>
  <c r="AT66" i="38" a="1"/>
  <c r="AT66" i="38" s="1"/>
  <c r="AT68" i="38" s="1"/>
  <c r="AR66" i="38" a="1"/>
  <c r="AR66" i="38" s="1"/>
  <c r="AP66" i="38" a="1"/>
  <c r="AP66" i="38" s="1"/>
  <c r="AP68" i="38" s="1"/>
  <c r="AN66" i="38" a="1"/>
  <c r="AN66" i="38" s="1"/>
  <c r="AN68" i="38" s="1"/>
  <c r="AL66" i="38" a="1"/>
  <c r="AL66" i="38" s="1"/>
  <c r="AL68" i="38" s="1"/>
  <c r="AJ66" i="38" a="1"/>
  <c r="AJ66" i="38" s="1"/>
  <c r="AJ68" i="38" s="1"/>
  <c r="AH66" i="38" a="1"/>
  <c r="AH66" i="38" s="1"/>
  <c r="AH68" i="38" s="1"/>
  <c r="AF66" i="38" a="1"/>
  <c r="AF66" i="38" s="1"/>
  <c r="AD66" i="38" a="1"/>
  <c r="AD66" i="38" s="1"/>
  <c r="AB66" i="38" a="1"/>
  <c r="AB66" i="38" s="1"/>
  <c r="AB68" i="38" s="1"/>
  <c r="Z66" i="38" a="1"/>
  <c r="Z66" i="38" s="1"/>
  <c r="X66" i="38" a="1"/>
  <c r="X66" i="38" s="1"/>
  <c r="V66" i="38" a="1"/>
  <c r="V66" i="38" s="1"/>
  <c r="T66" i="38" a="1"/>
  <c r="T66" i="38" s="1"/>
  <c r="R66" i="38" a="1"/>
  <c r="R66" i="38" s="1"/>
  <c r="P66" i="38" a="1"/>
  <c r="P66" i="38" s="1"/>
  <c r="P68" i="38" s="1"/>
  <c r="N66" i="38" a="1"/>
  <c r="N66" i="38" s="1"/>
  <c r="N68" i="38" s="1"/>
  <c r="L66" i="38" a="1"/>
  <c r="L66" i="38" s="1"/>
  <c r="J66" i="38" a="1"/>
  <c r="J66" i="38" s="1"/>
  <c r="J68" i="38" s="1"/>
  <c r="H66" i="38" a="1"/>
  <c r="H66" i="38" s="1"/>
  <c r="H68" i="38" s="1"/>
  <c r="F66" i="38" a="1"/>
  <c r="F66" i="38" s="1"/>
  <c r="F68" i="38" s="1"/>
  <c r="D66" i="38" a="1"/>
  <c r="D66" i="38" s="1"/>
  <c r="D68" i="38" s="1"/>
  <c r="B66" i="38" a="1"/>
  <c r="B66" i="38" s="1"/>
  <c r="B68" i="38" s="1"/>
  <c r="AV65" i="38" a="1"/>
  <c r="AV65" i="38" s="1"/>
  <c r="AV69" i="38" s="1"/>
  <c r="AT65" i="38" a="1"/>
  <c r="AT65" i="38" s="1"/>
  <c r="AT69" i="38" s="1"/>
  <c r="AR65" i="38" a="1"/>
  <c r="AR65" i="38" s="1"/>
  <c r="AR69" i="38" s="1"/>
  <c r="AP65" i="38" a="1"/>
  <c r="AP65" i="38" s="1"/>
  <c r="AP69" i="38" s="1"/>
  <c r="AN65" i="38" a="1"/>
  <c r="AN65" i="38" s="1"/>
  <c r="AN69" i="38" s="1"/>
  <c r="AL65" i="38" a="1"/>
  <c r="AL65" i="38" s="1"/>
  <c r="AL69" i="38" s="1"/>
  <c r="AJ65" i="38" a="1"/>
  <c r="AJ65" i="38" s="1"/>
  <c r="AJ69" i="38" s="1"/>
  <c r="AH65" i="38" a="1"/>
  <c r="AH65" i="38" s="1"/>
  <c r="AH69" i="38" s="1"/>
  <c r="AF65" i="38" a="1"/>
  <c r="AF65" i="38" s="1"/>
  <c r="AF69" i="38" s="1"/>
  <c r="AD65" i="38" a="1"/>
  <c r="AD65" i="38" s="1"/>
  <c r="AD69" i="38" s="1"/>
  <c r="AB65" i="38" a="1"/>
  <c r="AB65" i="38" s="1"/>
  <c r="AB69" i="38" s="1"/>
  <c r="Z65" i="38" a="1"/>
  <c r="Z65" i="38" s="1"/>
  <c r="Z69" i="38" s="1"/>
  <c r="X65" i="38" a="1"/>
  <c r="X65" i="38" s="1"/>
  <c r="X69" i="38" s="1"/>
  <c r="V65" i="38" a="1"/>
  <c r="V65" i="38" s="1"/>
  <c r="V69" i="38" s="1"/>
  <c r="T65" i="38" a="1"/>
  <c r="T65" i="38" s="1"/>
  <c r="T69" i="38" s="1"/>
  <c r="R65" i="38" a="1"/>
  <c r="R65" i="38" s="1"/>
  <c r="R69" i="38" s="1"/>
  <c r="P65" i="38" a="1"/>
  <c r="P65" i="38" s="1"/>
  <c r="P69" i="38" s="1"/>
  <c r="N65" i="38" a="1"/>
  <c r="N65" i="38" s="1"/>
  <c r="N69" i="38" s="1"/>
  <c r="L65" i="38" a="1"/>
  <c r="L65" i="38" s="1"/>
  <c r="L69" i="38" s="1"/>
  <c r="J65" i="38" a="1"/>
  <c r="J65" i="38" s="1"/>
  <c r="J69" i="38" s="1"/>
  <c r="H65" i="38" a="1"/>
  <c r="H65" i="38" s="1"/>
  <c r="H69" i="38" s="1"/>
  <c r="F65" i="38" a="1"/>
  <c r="F65" i="38" s="1"/>
  <c r="F69" i="38" s="1"/>
  <c r="D65" i="38" a="1"/>
  <c r="D65" i="38" s="1"/>
  <c r="D69" i="38" s="1"/>
  <c r="B65" i="38"/>
  <c r="AV62" i="38"/>
  <c r="AT62" i="38"/>
  <c r="AR62" i="38"/>
  <c r="AP62" i="38"/>
  <c r="AN62" i="38"/>
  <c r="AL62" i="38"/>
  <c r="AJ62" i="38"/>
  <c r="AH62" i="38"/>
  <c r="AF62" i="38"/>
  <c r="AD62" i="38"/>
  <c r="AB62" i="38"/>
  <c r="Z62" i="38"/>
  <c r="X62" i="38"/>
  <c r="V62" i="38"/>
  <c r="T62" i="38"/>
  <c r="R62" i="38"/>
  <c r="P62" i="38"/>
  <c r="N62" i="38"/>
  <c r="L62" i="38"/>
  <c r="J62" i="38"/>
  <c r="H62" i="38"/>
  <c r="F62" i="38"/>
  <c r="D62" i="38"/>
  <c r="B62" i="38"/>
  <c r="AV60" i="38"/>
  <c r="AT60" i="38"/>
  <c r="AR60" i="38"/>
  <c r="AP60" i="38"/>
  <c r="AN60" i="38"/>
  <c r="AL60" i="38"/>
  <c r="AJ60" i="38"/>
  <c r="AH60" i="38"/>
  <c r="AF60" i="38"/>
  <c r="AD60" i="38"/>
  <c r="AB60" i="38"/>
  <c r="Z60" i="38"/>
  <c r="X60" i="38"/>
  <c r="V60" i="38"/>
  <c r="T60" i="38"/>
  <c r="R60" i="38"/>
  <c r="P60" i="38"/>
  <c r="N60" i="38"/>
  <c r="L60" i="38"/>
  <c r="J60" i="38"/>
  <c r="H60" i="38"/>
  <c r="F60" i="38"/>
  <c r="D60" i="38"/>
  <c r="B60" i="38"/>
  <c r="AV59" i="38"/>
  <c r="AT59" i="38"/>
  <c r="AR59" i="38"/>
  <c r="AP59" i="38"/>
  <c r="AN59" i="38"/>
  <c r="AL59" i="38"/>
  <c r="AJ59" i="38"/>
  <c r="AH59" i="38"/>
  <c r="AF59" i="38"/>
  <c r="AD59" i="38"/>
  <c r="AB59" i="38"/>
  <c r="Z59" i="38"/>
  <c r="X59" i="38"/>
  <c r="V59" i="38"/>
  <c r="T59" i="38"/>
  <c r="R59" i="38"/>
  <c r="P59" i="38"/>
  <c r="N59" i="38"/>
  <c r="L59" i="38"/>
  <c r="J59" i="38"/>
  <c r="H59" i="38"/>
  <c r="F59" i="38"/>
  <c r="D59" i="38"/>
  <c r="B59" i="38"/>
  <c r="AV58" i="38"/>
  <c r="AV58" i="38" a="1"/>
  <c r="AT58" i="38" a="1"/>
  <c r="AT58" i="38" s="1"/>
  <c r="AR58" i="38" a="1"/>
  <c r="AR58" i="38" s="1"/>
  <c r="AP58" i="38"/>
  <c r="AP58" i="38" a="1"/>
  <c r="AN58" i="38" a="1"/>
  <c r="AN58" i="38" s="1"/>
  <c r="AL58" i="38" a="1"/>
  <c r="AL58" i="38" s="1"/>
  <c r="AJ58" i="38"/>
  <c r="AJ58" i="38" a="1"/>
  <c r="AH58" i="38"/>
  <c r="AH58" i="38" a="1"/>
  <c r="AF58" i="38"/>
  <c r="AF58" i="38" a="1"/>
  <c r="AD58" i="38" a="1"/>
  <c r="AD58" i="38" s="1"/>
  <c r="AB58" i="38" a="1"/>
  <c r="AB58" i="38" s="1"/>
  <c r="Z58" i="38"/>
  <c r="Z58" i="38" a="1"/>
  <c r="X58" i="38" a="1"/>
  <c r="X58" i="38" s="1"/>
  <c r="V58" i="38" a="1"/>
  <c r="V58" i="38" s="1"/>
  <c r="T58" i="38"/>
  <c r="T58" i="38" a="1"/>
  <c r="R58" i="38" a="1"/>
  <c r="R58" i="38" s="1"/>
  <c r="P58" i="38"/>
  <c r="P58" i="38" a="1"/>
  <c r="N58" i="38" a="1"/>
  <c r="N58" i="38" s="1"/>
  <c r="L58" i="38" a="1"/>
  <c r="L58" i="38" s="1"/>
  <c r="J58" i="38"/>
  <c r="J58" i="38" a="1"/>
  <c r="H58" i="38" a="1"/>
  <c r="H58" i="38" s="1"/>
  <c r="F58" i="38" a="1"/>
  <c r="F58" i="38" s="1"/>
  <c r="D58" i="38"/>
  <c r="D58" i="38" a="1"/>
  <c r="B58" i="38" a="1"/>
  <c r="B58" i="38" s="1"/>
  <c r="AV57" i="38"/>
  <c r="AV57" i="38" a="1"/>
  <c r="AT57" i="38" a="1"/>
  <c r="AT57" i="38" s="1"/>
  <c r="AR57" i="38" a="1"/>
  <c r="AR57" i="38" s="1"/>
  <c r="AP57" i="38"/>
  <c r="AP57" i="38" a="1"/>
  <c r="AN57" i="38" a="1"/>
  <c r="AN57" i="38" s="1"/>
  <c r="AL57" i="38" a="1"/>
  <c r="AL57" i="38" s="1"/>
  <c r="AJ57" i="38"/>
  <c r="AJ57" i="38" a="1"/>
  <c r="AH57" i="38" a="1"/>
  <c r="AH57" i="38" s="1"/>
  <c r="AF57" i="38"/>
  <c r="AF57" i="38" a="1"/>
  <c r="AD57" i="38" a="1"/>
  <c r="AD57" i="38" s="1"/>
  <c r="AB57" i="38" a="1"/>
  <c r="AB57" i="38" s="1"/>
  <c r="Z57" i="38"/>
  <c r="Z57" i="38" a="1"/>
  <c r="X57" i="38" a="1"/>
  <c r="X57" i="38" s="1"/>
  <c r="V57" i="38" a="1"/>
  <c r="V57" i="38" s="1"/>
  <c r="T57" i="38"/>
  <c r="T57" i="38" a="1"/>
  <c r="R57" i="38" a="1"/>
  <c r="R57" i="38" s="1"/>
  <c r="P57" i="38"/>
  <c r="P57" i="38" a="1"/>
  <c r="N57" i="38" a="1"/>
  <c r="N57" i="38" s="1"/>
  <c r="L57" i="38" a="1"/>
  <c r="L57" i="38" s="1"/>
  <c r="J57" i="38"/>
  <c r="J57" i="38" a="1"/>
  <c r="H57" i="38" a="1"/>
  <c r="H57" i="38" s="1"/>
  <c r="F57" i="38" a="1"/>
  <c r="F57" i="38" s="1"/>
  <c r="D57" i="38"/>
  <c r="D57" i="38" a="1"/>
  <c r="B57" i="38" a="1"/>
  <c r="B57" i="38" s="1"/>
  <c r="AV56" i="38"/>
  <c r="AT56" i="38"/>
  <c r="AR56" i="38"/>
  <c r="AP56" i="38"/>
  <c r="AN56" i="38"/>
  <c r="AL56" i="38"/>
  <c r="AJ56" i="38"/>
  <c r="AH56" i="38"/>
  <c r="AF56" i="38"/>
  <c r="AD56" i="38"/>
  <c r="AB56" i="38"/>
  <c r="Z56" i="38"/>
  <c r="X56" i="38"/>
  <c r="V56" i="38"/>
  <c r="T56" i="38"/>
  <c r="R56" i="38"/>
  <c r="P56" i="38"/>
  <c r="N56" i="38"/>
  <c r="L56" i="38"/>
  <c r="J56" i="38"/>
  <c r="H56" i="38"/>
  <c r="F56" i="38"/>
  <c r="D56" i="38"/>
  <c r="B56" i="38"/>
  <c r="AV55" i="38"/>
  <c r="AT55" i="38"/>
  <c r="AR55" i="38"/>
  <c r="AP55" i="38"/>
  <c r="AN55" i="38"/>
  <c r="AN80" i="38" s="1"/>
  <c r="AL55" i="38"/>
  <c r="AL80" i="38" s="1"/>
  <c r="AJ55" i="38"/>
  <c r="AJ80" i="38" s="1"/>
  <c r="AH55" i="38"/>
  <c r="AF55" i="38"/>
  <c r="AF80" i="38" s="1"/>
  <c r="AD55" i="38"/>
  <c r="AD80" i="38" s="1"/>
  <c r="AB55" i="38"/>
  <c r="AB80" i="38" s="1"/>
  <c r="Z55" i="38"/>
  <c r="X55" i="38"/>
  <c r="V55" i="38"/>
  <c r="T55" i="38"/>
  <c r="T80" i="38" s="1"/>
  <c r="R55" i="38"/>
  <c r="R80" i="38" s="1"/>
  <c r="P55" i="38"/>
  <c r="N55" i="38"/>
  <c r="L55" i="38"/>
  <c r="J55" i="38"/>
  <c r="H55" i="38"/>
  <c r="H80" i="38" s="1"/>
  <c r="F55" i="38"/>
  <c r="F80" i="38" s="1"/>
  <c r="D55" i="38"/>
  <c r="D80" i="38" s="1"/>
  <c r="B55" i="38"/>
  <c r="AV53" i="38" a="1"/>
  <c r="AT53" i="38" a="1"/>
  <c r="AR53" i="38" a="1"/>
  <c r="AP53" i="38" a="1"/>
  <c r="AN53" i="38" a="1"/>
  <c r="AL53" i="38" a="1"/>
  <c r="AJ53" i="38" a="1"/>
  <c r="AH53" i="38" a="1"/>
  <c r="AF53" i="38" a="1"/>
  <c r="AD53" i="38" a="1"/>
  <c r="AB53" i="38" a="1"/>
  <c r="Z53" i="38" a="1"/>
  <c r="X53" i="38" a="1"/>
  <c r="V53" i="38" a="1"/>
  <c r="T53" i="38" a="1"/>
  <c r="R53" i="38" a="1"/>
  <c r="P53" i="38" a="1"/>
  <c r="N53" i="38" a="1"/>
  <c r="L53" i="38" a="1"/>
  <c r="J53" i="38" a="1"/>
  <c r="H53" i="38" a="1"/>
  <c r="F53" i="38" a="1"/>
  <c r="D53" i="38" a="1"/>
  <c r="B53" i="38" a="1"/>
  <c r="AV52" i="38" a="1"/>
  <c r="AT52" i="38" a="1"/>
  <c r="AR52" i="38" a="1"/>
  <c r="AP52" i="38" a="1"/>
  <c r="AN52" i="38" a="1"/>
  <c r="AL52" i="38" a="1"/>
  <c r="AJ52" i="38" a="1"/>
  <c r="AH52" i="38" a="1"/>
  <c r="AF52" i="38" a="1"/>
  <c r="AD52" i="38" a="1"/>
  <c r="AB52" i="38" a="1"/>
  <c r="Z52" i="38" a="1"/>
  <c r="X52" i="38" a="1"/>
  <c r="V52" i="38" a="1"/>
  <c r="T52" i="38" a="1"/>
  <c r="R52" i="38" a="1"/>
  <c r="P52" i="38" a="1"/>
  <c r="N52" i="38" a="1"/>
  <c r="L52" i="38" a="1"/>
  <c r="J52" i="38" a="1"/>
  <c r="H52" i="38" a="1"/>
  <c r="F52" i="38" a="1"/>
  <c r="D52" i="38" a="1"/>
  <c r="B52" i="38" a="1"/>
  <c r="AV51" i="38"/>
  <c r="AV81" i="38" s="1"/>
  <c r="AT51" i="38"/>
  <c r="AT81" i="38" s="1"/>
  <c r="AR51" i="38"/>
  <c r="AR81" i="38" s="1"/>
  <c r="AP51" i="38"/>
  <c r="AN51" i="38"/>
  <c r="AL51" i="38"/>
  <c r="AJ51" i="38"/>
  <c r="AJ81" i="38" s="1"/>
  <c r="AH51" i="38"/>
  <c r="AH81" i="38" s="1"/>
  <c r="AF51" i="38"/>
  <c r="AD51" i="38"/>
  <c r="AB51" i="38"/>
  <c r="Z51" i="38"/>
  <c r="X51" i="38"/>
  <c r="X81" i="38" s="1"/>
  <c r="V51" i="38"/>
  <c r="V81" i="38" s="1"/>
  <c r="T51" i="38"/>
  <c r="T81" i="38" s="1"/>
  <c r="R51" i="38"/>
  <c r="P51" i="38"/>
  <c r="P81" i="38" s="1"/>
  <c r="N51" i="38"/>
  <c r="N81" i="38" s="1"/>
  <c r="L51" i="38"/>
  <c r="L81" i="38" s="1"/>
  <c r="J51" i="38"/>
  <c r="H51" i="38"/>
  <c r="F51" i="38"/>
  <c r="D51" i="38"/>
  <c r="D81" i="38" s="1"/>
  <c r="B51" i="38"/>
  <c r="B81" i="38" s="1"/>
  <c r="AV49" i="38"/>
  <c r="AT49" i="38"/>
  <c r="AR49" i="38"/>
  <c r="AP49" i="38"/>
  <c r="AN49" i="38"/>
  <c r="AL49" i="38"/>
  <c r="AJ49" i="38"/>
  <c r="AH49" i="38"/>
  <c r="AF49" i="38"/>
  <c r="AD49" i="38"/>
  <c r="AB49" i="38"/>
  <c r="Z49" i="38"/>
  <c r="X49" i="38"/>
  <c r="V49" i="38"/>
  <c r="T49" i="38"/>
  <c r="R49" i="38"/>
  <c r="P49" i="38"/>
  <c r="N49" i="38"/>
  <c r="L49" i="38"/>
  <c r="J49" i="38"/>
  <c r="H49" i="38"/>
  <c r="F49" i="38"/>
  <c r="D49" i="38"/>
  <c r="B49" i="38"/>
  <c r="AV48" i="38"/>
  <c r="AT48" i="38"/>
  <c r="AR48" i="38"/>
  <c r="AP48" i="38"/>
  <c r="AN48" i="38"/>
  <c r="AL48" i="38"/>
  <c r="AJ48" i="38"/>
  <c r="AH48" i="38"/>
  <c r="AF48" i="38"/>
  <c r="AD48" i="38"/>
  <c r="AB48" i="38"/>
  <c r="Z48" i="38"/>
  <c r="X48" i="38"/>
  <c r="V48" i="38"/>
  <c r="T48" i="38"/>
  <c r="R48" i="38"/>
  <c r="P48" i="38"/>
  <c r="N48" i="38"/>
  <c r="L48" i="38"/>
  <c r="J48" i="38"/>
  <c r="H48" i="38"/>
  <c r="F48" i="38"/>
  <c r="D48" i="38"/>
  <c r="B48" i="38"/>
  <c r="AV46" i="38"/>
  <c r="AT46" i="38"/>
  <c r="AR46" i="38"/>
  <c r="AP46" i="38"/>
  <c r="AN46" i="38"/>
  <c r="AL46" i="38"/>
  <c r="AJ46" i="38"/>
  <c r="AH46" i="38"/>
  <c r="AF46" i="38"/>
  <c r="AD46" i="38"/>
  <c r="AB46" i="38"/>
  <c r="Z46" i="38"/>
  <c r="X46" i="38"/>
  <c r="V46" i="38"/>
  <c r="T46" i="38"/>
  <c r="R46" i="38"/>
  <c r="P46" i="38"/>
  <c r="N46" i="38"/>
  <c r="L46" i="38"/>
  <c r="J46" i="38"/>
  <c r="H46" i="38"/>
  <c r="F46" i="38"/>
  <c r="D46" i="38"/>
  <c r="B46" i="38"/>
  <c r="AV45" i="38"/>
  <c r="AT45" i="38"/>
  <c r="AR45" i="38"/>
  <c r="AP45" i="38"/>
  <c r="AN45" i="38"/>
  <c r="AL45" i="38"/>
  <c r="AJ45" i="38"/>
  <c r="AH45" i="38"/>
  <c r="AF45" i="38"/>
  <c r="AD45" i="38"/>
  <c r="AB45" i="38"/>
  <c r="Z45" i="38"/>
  <c r="X45" i="38"/>
  <c r="V45" i="38"/>
  <c r="T45" i="38"/>
  <c r="R45" i="38"/>
  <c r="P45" i="38"/>
  <c r="N45" i="38"/>
  <c r="L45" i="38"/>
  <c r="J45" i="38"/>
  <c r="H45" i="38"/>
  <c r="F45" i="38"/>
  <c r="D45" i="38"/>
  <c r="B45" i="38"/>
  <c r="AV44" i="38"/>
  <c r="AT44" i="38"/>
  <c r="AR44" i="38"/>
  <c r="AP44" i="38"/>
  <c r="AN44" i="38"/>
  <c r="AL44" i="38"/>
  <c r="AJ44" i="38"/>
  <c r="AH44" i="38"/>
  <c r="AF44" i="38"/>
  <c r="AD44" i="38"/>
  <c r="AB44" i="38"/>
  <c r="Z44" i="38"/>
  <c r="X44" i="38"/>
  <c r="V44" i="38"/>
  <c r="T44" i="38"/>
  <c r="R44" i="38"/>
  <c r="P44" i="38"/>
  <c r="N44" i="38"/>
  <c r="L44" i="38"/>
  <c r="J44" i="38"/>
  <c r="H44" i="38"/>
  <c r="F44" i="38"/>
  <c r="D44" i="38"/>
  <c r="B44" i="38"/>
  <c r="AV43" i="38"/>
  <c r="AV43" i="38" a="1"/>
  <c r="AT43" i="38" a="1"/>
  <c r="AT43" i="38" s="1"/>
  <c r="AR43" i="38" a="1"/>
  <c r="AR43" i="38" s="1"/>
  <c r="AP43" i="38"/>
  <c r="AP43" i="38" a="1"/>
  <c r="AN43" i="38" a="1"/>
  <c r="AN43" i="38" s="1"/>
  <c r="AL43" i="38" a="1"/>
  <c r="AL43" i="38" s="1"/>
  <c r="AJ43" i="38"/>
  <c r="AJ43" i="38" a="1"/>
  <c r="AH43" i="38" a="1"/>
  <c r="AH43" i="38" s="1"/>
  <c r="AF43" i="38"/>
  <c r="AF43" i="38" a="1"/>
  <c r="AD43" i="38" a="1"/>
  <c r="AD43" i="38" s="1"/>
  <c r="AB43" i="38" a="1"/>
  <c r="AB43" i="38" s="1"/>
  <c r="Z43" i="38"/>
  <c r="Z43" i="38" a="1"/>
  <c r="X43" i="38" a="1"/>
  <c r="X43" i="38" s="1"/>
  <c r="V43" i="38" a="1"/>
  <c r="V43" i="38" s="1"/>
  <c r="T43" i="38"/>
  <c r="T43" i="38" a="1"/>
  <c r="R43" i="38" a="1"/>
  <c r="R43" i="38" s="1"/>
  <c r="P43" i="38"/>
  <c r="P43" i="38" a="1"/>
  <c r="N43" i="38" a="1"/>
  <c r="N43" i="38" s="1"/>
  <c r="L43" i="38" a="1"/>
  <c r="L43" i="38" s="1"/>
  <c r="J43" i="38"/>
  <c r="J43" i="38" a="1"/>
  <c r="H43" i="38" a="1"/>
  <c r="H43" i="38" s="1"/>
  <c r="F43" i="38" a="1"/>
  <c r="F43" i="38" s="1"/>
  <c r="D43" i="38"/>
  <c r="D43" i="38" a="1"/>
  <c r="B43" i="38"/>
  <c r="AV42" i="38"/>
  <c r="AT42" i="38"/>
  <c r="AR42" i="38"/>
  <c r="AP42" i="38"/>
  <c r="AN42" i="38"/>
  <c r="AL42" i="38"/>
  <c r="AJ42" i="38"/>
  <c r="AH42" i="38"/>
  <c r="AF42" i="38"/>
  <c r="AD42" i="38"/>
  <c r="AB42" i="38"/>
  <c r="Z42" i="38"/>
  <c r="X42" i="38"/>
  <c r="V42" i="38"/>
  <c r="T42" i="38"/>
  <c r="R42" i="38"/>
  <c r="P42" i="38"/>
  <c r="N42" i="38"/>
  <c r="L42" i="38"/>
  <c r="J42" i="38"/>
  <c r="H42" i="38"/>
  <c r="F42" i="38"/>
  <c r="D42" i="38"/>
  <c r="B42" i="38"/>
  <c r="AR81" i="21"/>
  <c r="AP81" i="21"/>
  <c r="AN81" i="21"/>
  <c r="AH81" i="21"/>
  <c r="AF81" i="21"/>
  <c r="Z81" i="21"/>
  <c r="R81" i="21"/>
  <c r="L81" i="21"/>
  <c r="J81" i="21"/>
  <c r="H81" i="21"/>
  <c r="B81" i="21"/>
  <c r="AV80" i="21"/>
  <c r="AT80" i="21"/>
  <c r="AR80" i="21"/>
  <c r="AH80" i="21"/>
  <c r="AB80" i="21"/>
  <c r="Z80" i="21"/>
  <c r="X80" i="21"/>
  <c r="R80" i="21"/>
  <c r="P80" i="21"/>
  <c r="N80" i="21"/>
  <c r="L80" i="21"/>
  <c r="B80" i="21"/>
  <c r="AV79" i="21"/>
  <c r="AV79" i="21" a="1"/>
  <c r="AT79" i="21" a="1"/>
  <c r="AT79" i="21" s="1"/>
  <c r="AR79" i="21"/>
  <c r="AR79" i="21" a="1"/>
  <c r="AP79" i="21" a="1"/>
  <c r="AP79" i="21" s="1"/>
  <c r="AN79" i="21" a="1"/>
  <c r="AN79" i="21" s="1"/>
  <c r="AL79" i="21" a="1"/>
  <c r="AL79" i="21" s="1"/>
  <c r="AJ79" i="21" a="1"/>
  <c r="AJ79" i="21" s="1"/>
  <c r="AH79" i="21" a="1"/>
  <c r="AH79" i="21" s="1"/>
  <c r="AF79" i="21"/>
  <c r="AF79" i="21" a="1"/>
  <c r="AD79" i="21" a="1"/>
  <c r="AD79" i="21" s="1"/>
  <c r="AB79" i="21"/>
  <c r="AB79" i="21" a="1"/>
  <c r="Z79" i="21" a="1"/>
  <c r="Z79" i="21" s="1"/>
  <c r="X79" i="21" a="1"/>
  <c r="X79" i="21" s="1"/>
  <c r="V79" i="21" a="1"/>
  <c r="V79" i="21" s="1"/>
  <c r="T79" i="21" a="1"/>
  <c r="T79" i="21" s="1"/>
  <c r="R79" i="21" a="1"/>
  <c r="R79" i="21" s="1"/>
  <c r="P79" i="21"/>
  <c r="P79" i="21" a="1"/>
  <c r="N79" i="21" a="1"/>
  <c r="N79" i="21" s="1"/>
  <c r="L79" i="21"/>
  <c r="L79" i="21" a="1"/>
  <c r="J79" i="21" a="1"/>
  <c r="J79" i="21" s="1"/>
  <c r="H79" i="21" a="1"/>
  <c r="H79" i="21" s="1"/>
  <c r="F79" i="21"/>
  <c r="F79" i="21" a="1"/>
  <c r="D79" i="21" a="1"/>
  <c r="D79" i="21" s="1"/>
  <c r="B79" i="21" a="1"/>
  <c r="B79" i="21" s="1"/>
  <c r="AV78" i="21"/>
  <c r="AV78" i="21" a="1"/>
  <c r="AT78" i="21" a="1"/>
  <c r="AT78" i="21" s="1"/>
  <c r="AR78" i="21"/>
  <c r="AR78" i="21" a="1"/>
  <c r="AP78" i="21" a="1"/>
  <c r="AP78" i="21" s="1"/>
  <c r="AN78" i="21" a="1"/>
  <c r="AN78" i="21" s="1"/>
  <c r="AL78" i="21"/>
  <c r="AL78" i="21" a="1"/>
  <c r="AJ78" i="21" a="1"/>
  <c r="AJ78" i="21" s="1"/>
  <c r="AH78" i="21" a="1"/>
  <c r="AH78" i="21" s="1"/>
  <c r="AF78" i="21"/>
  <c r="AF78" i="21" a="1"/>
  <c r="AD78" i="21" a="1"/>
  <c r="AD78" i="21" s="1"/>
  <c r="AB78" i="21"/>
  <c r="AB78" i="21" a="1"/>
  <c r="Z78" i="21" a="1"/>
  <c r="Z78" i="21" s="1"/>
  <c r="X78" i="21" a="1"/>
  <c r="X78" i="21" s="1"/>
  <c r="V78" i="21" a="1"/>
  <c r="V78" i="21" s="1"/>
  <c r="T78" i="21" a="1"/>
  <c r="T78" i="21" s="1"/>
  <c r="R78" i="21" a="1"/>
  <c r="R78" i="21" s="1"/>
  <c r="P78" i="21"/>
  <c r="P78" i="21" a="1"/>
  <c r="N78" i="21" a="1"/>
  <c r="N78" i="21" s="1"/>
  <c r="L78" i="21"/>
  <c r="L78" i="21" a="1"/>
  <c r="J78" i="21" a="1"/>
  <c r="J78" i="21" s="1"/>
  <c r="H78" i="21" a="1"/>
  <c r="H78" i="21" s="1"/>
  <c r="F78" i="21" a="1"/>
  <c r="F78" i="21" s="1"/>
  <c r="D78" i="21" a="1"/>
  <c r="D78" i="21" s="1"/>
  <c r="B78" i="21" a="1"/>
  <c r="B78" i="21" s="1"/>
  <c r="AV77" i="21"/>
  <c r="AV77" i="21" a="1"/>
  <c r="AT77" i="21" a="1"/>
  <c r="AT77" i="21" s="1"/>
  <c r="AR77" i="21"/>
  <c r="AR77" i="21" a="1"/>
  <c r="AP77" i="21" a="1"/>
  <c r="AP77" i="21" s="1"/>
  <c r="AN77" i="21" a="1"/>
  <c r="AN77" i="21" s="1"/>
  <c r="AL77" i="21" a="1"/>
  <c r="AL77" i="21" s="1"/>
  <c r="AJ77" i="21" a="1"/>
  <c r="AJ77" i="21" s="1"/>
  <c r="AH77" i="21" a="1"/>
  <c r="AH77" i="21" s="1"/>
  <c r="AF77" i="21"/>
  <c r="AF77" i="21" a="1"/>
  <c r="AD77" i="21" a="1"/>
  <c r="AD77" i="21" s="1"/>
  <c r="AB77" i="21"/>
  <c r="AB77" i="21" a="1"/>
  <c r="Z77" i="21" a="1"/>
  <c r="Z77" i="21" s="1"/>
  <c r="X77" i="21" a="1"/>
  <c r="X77" i="21" s="1"/>
  <c r="V77" i="21"/>
  <c r="V77" i="21" a="1"/>
  <c r="T77" i="21" a="1"/>
  <c r="T77" i="21" s="1"/>
  <c r="R77" i="21" a="1"/>
  <c r="R77" i="21" s="1"/>
  <c r="P77" i="21"/>
  <c r="P77" i="21" a="1"/>
  <c r="N77" i="21" a="1"/>
  <c r="N77" i="21" s="1"/>
  <c r="L77" i="21"/>
  <c r="L77" i="21" a="1"/>
  <c r="J77" i="21" a="1"/>
  <c r="J77" i="21" s="1"/>
  <c r="H77" i="21" a="1"/>
  <c r="H77" i="21" s="1"/>
  <c r="F77" i="21" a="1"/>
  <c r="F77" i="21" s="1"/>
  <c r="D77" i="21" a="1"/>
  <c r="D77" i="21" s="1"/>
  <c r="B77" i="21" a="1"/>
  <c r="B77" i="21" s="1"/>
  <c r="AV76" i="21"/>
  <c r="AV76" i="21" a="1"/>
  <c r="AT76" i="21" a="1"/>
  <c r="AT76" i="21" s="1"/>
  <c r="AR76" i="21"/>
  <c r="AR76" i="21" a="1"/>
  <c r="AP76" i="21" a="1"/>
  <c r="AP76" i="21" s="1"/>
  <c r="AN76" i="21" a="1"/>
  <c r="AN76" i="21" s="1"/>
  <c r="AL76" i="21" a="1"/>
  <c r="AL76" i="21" s="1"/>
  <c r="AJ76" i="21" a="1"/>
  <c r="AJ76" i="21" s="1"/>
  <c r="AH76" i="21" a="1"/>
  <c r="AH76" i="21" s="1"/>
  <c r="AF76" i="21"/>
  <c r="AF76" i="21" a="1"/>
  <c r="AD76" i="21" a="1"/>
  <c r="AD76" i="21" s="1"/>
  <c r="AB76" i="21"/>
  <c r="AB76" i="21" a="1"/>
  <c r="Z76" i="21" a="1"/>
  <c r="Z76" i="21" s="1"/>
  <c r="X76" i="21" a="1"/>
  <c r="X76" i="21" s="1"/>
  <c r="V76" i="21"/>
  <c r="V76" i="21" a="1"/>
  <c r="T76" i="21" a="1"/>
  <c r="T76" i="21" s="1"/>
  <c r="R76" i="21" a="1"/>
  <c r="R76" i="21" s="1"/>
  <c r="P76" i="21"/>
  <c r="P76" i="21" a="1"/>
  <c r="N76" i="21" a="1"/>
  <c r="N76" i="21" s="1"/>
  <c r="L76" i="21"/>
  <c r="L76" i="21" a="1"/>
  <c r="J76" i="21" a="1"/>
  <c r="J76" i="21" s="1"/>
  <c r="H76" i="21" a="1"/>
  <c r="H76" i="21" s="1"/>
  <c r="F76" i="21" a="1"/>
  <c r="F76" i="21" s="1"/>
  <c r="D76" i="21" a="1"/>
  <c r="D76" i="21" s="1"/>
  <c r="B76" i="21" a="1"/>
  <c r="B76" i="21" s="1"/>
  <c r="AV75" i="21"/>
  <c r="AV75" i="21" a="1"/>
  <c r="AT75" i="21" a="1"/>
  <c r="AT75" i="21" s="1"/>
  <c r="AR75" i="21"/>
  <c r="AR75" i="21" a="1"/>
  <c r="AP75" i="21" a="1"/>
  <c r="AP75" i="21" s="1"/>
  <c r="AN75" i="21" a="1"/>
  <c r="AN75" i="21" s="1"/>
  <c r="AL75" i="21" a="1"/>
  <c r="AL75" i="21" s="1"/>
  <c r="AJ75" i="21" a="1"/>
  <c r="AJ75" i="21" s="1"/>
  <c r="AH75" i="21" a="1"/>
  <c r="AH75" i="21" s="1"/>
  <c r="AF75" i="21"/>
  <c r="AF75" i="21" a="1"/>
  <c r="AD75" i="21" a="1"/>
  <c r="AD75" i="21" s="1"/>
  <c r="AB75" i="21"/>
  <c r="AB75" i="21" a="1"/>
  <c r="Z75" i="21" a="1"/>
  <c r="Z75" i="21" s="1"/>
  <c r="X75" i="21" a="1"/>
  <c r="X75" i="21" s="1"/>
  <c r="V75" i="21" a="1"/>
  <c r="V75" i="21" s="1"/>
  <c r="T75" i="21" a="1"/>
  <c r="T75" i="21" s="1"/>
  <c r="R75" i="21" a="1"/>
  <c r="R75" i="21" s="1"/>
  <c r="P75" i="21"/>
  <c r="P75" i="21" a="1"/>
  <c r="N75" i="21" a="1"/>
  <c r="N75" i="21" s="1"/>
  <c r="L75" i="21"/>
  <c r="L75" i="21" a="1"/>
  <c r="J75" i="21" a="1"/>
  <c r="J75" i="21" s="1"/>
  <c r="H75" i="21" a="1"/>
  <c r="H75" i="21" s="1"/>
  <c r="F75" i="21" a="1"/>
  <c r="F75" i="21" s="1"/>
  <c r="D75" i="21" a="1"/>
  <c r="D75" i="21" s="1"/>
  <c r="B75" i="21" a="1"/>
  <c r="B75" i="21" s="1"/>
  <c r="AV74" i="21"/>
  <c r="AV74" i="21" a="1"/>
  <c r="AT74" i="21" a="1"/>
  <c r="AT74" i="21" s="1"/>
  <c r="AR74" i="21"/>
  <c r="AR74" i="21" a="1"/>
  <c r="AP74" i="21" a="1"/>
  <c r="AP74" i="21" s="1"/>
  <c r="AN74" i="21" a="1"/>
  <c r="AN74" i="21" s="1"/>
  <c r="AL74" i="21" a="1"/>
  <c r="AL74" i="21" s="1"/>
  <c r="AJ74" i="21" a="1"/>
  <c r="AJ74" i="21" s="1"/>
  <c r="AH74" i="21" a="1"/>
  <c r="AH74" i="21" s="1"/>
  <c r="AF74" i="21"/>
  <c r="AF74" i="21" a="1"/>
  <c r="AD74" i="21" a="1"/>
  <c r="AD74" i="21" s="1"/>
  <c r="AB74" i="21"/>
  <c r="AB74" i="21" a="1"/>
  <c r="Z74" i="21" a="1"/>
  <c r="Z74" i="21" s="1"/>
  <c r="X74" i="21" a="1"/>
  <c r="X74" i="21" s="1"/>
  <c r="V74" i="21" a="1"/>
  <c r="V74" i="21" s="1"/>
  <c r="T74" i="21" a="1"/>
  <c r="T74" i="21" s="1"/>
  <c r="R74" i="21" a="1"/>
  <c r="R74" i="21" s="1"/>
  <c r="P74" i="21"/>
  <c r="P74" i="21" a="1"/>
  <c r="N74" i="21" a="1"/>
  <c r="N74" i="21" s="1"/>
  <c r="L74" i="21"/>
  <c r="L74" i="21" a="1"/>
  <c r="J74" i="21" a="1"/>
  <c r="J74" i="21" s="1"/>
  <c r="H74" i="21" a="1"/>
  <c r="H74" i="21" s="1"/>
  <c r="F74" i="21" a="1"/>
  <c r="F74" i="21" s="1"/>
  <c r="D74" i="21" a="1"/>
  <c r="D74" i="21" s="1"/>
  <c r="B74" i="21" a="1"/>
  <c r="B74" i="21" s="1"/>
  <c r="AV73" i="21"/>
  <c r="AV73" i="21" a="1"/>
  <c r="AT73" i="21" a="1"/>
  <c r="AT73" i="21" s="1"/>
  <c r="AR73" i="21"/>
  <c r="AR73" i="21" a="1"/>
  <c r="AP73" i="21" a="1"/>
  <c r="AP73" i="21" s="1"/>
  <c r="AN73" i="21" a="1"/>
  <c r="AN73" i="21" s="1"/>
  <c r="AL73" i="21"/>
  <c r="AL73" i="21" a="1"/>
  <c r="AJ73" i="21" a="1"/>
  <c r="AJ73" i="21" s="1"/>
  <c r="AH73" i="21" a="1"/>
  <c r="AH73" i="21" s="1"/>
  <c r="AF73" i="21"/>
  <c r="AF73" i="21" a="1"/>
  <c r="AD73" i="21" a="1"/>
  <c r="AD73" i="21" s="1"/>
  <c r="AB73" i="21"/>
  <c r="AB73" i="21" a="1"/>
  <c r="Z73" i="21" a="1"/>
  <c r="Z73" i="21" s="1"/>
  <c r="X73" i="21" a="1"/>
  <c r="X73" i="21" s="1"/>
  <c r="V73" i="21"/>
  <c r="V73" i="21" a="1"/>
  <c r="T73" i="21" a="1"/>
  <c r="T73" i="21" s="1"/>
  <c r="R73" i="21" a="1"/>
  <c r="R73" i="21" s="1"/>
  <c r="P73" i="21"/>
  <c r="P73" i="21" a="1"/>
  <c r="N73" i="21" a="1"/>
  <c r="N73" i="21" s="1"/>
  <c r="L73" i="21"/>
  <c r="L73" i="21" a="1"/>
  <c r="J73" i="21" a="1"/>
  <c r="J73" i="21" s="1"/>
  <c r="H73" i="21" a="1"/>
  <c r="H73" i="21" s="1"/>
  <c r="F73" i="21" a="1"/>
  <c r="F73" i="21" s="1"/>
  <c r="D73" i="21" a="1"/>
  <c r="D73" i="21" s="1"/>
  <c r="B73" i="21" a="1"/>
  <c r="B73" i="21" s="1"/>
  <c r="AV72" i="21"/>
  <c r="AT72" i="21"/>
  <c r="AR72" i="21"/>
  <c r="AP72" i="21"/>
  <c r="AN72" i="21"/>
  <c r="AL72" i="21"/>
  <c r="AJ72" i="21"/>
  <c r="AH72" i="21"/>
  <c r="AF72" i="21"/>
  <c r="AD72" i="21"/>
  <c r="AB72" i="21"/>
  <c r="Z72" i="21"/>
  <c r="X72" i="21"/>
  <c r="V72" i="21"/>
  <c r="T72" i="21"/>
  <c r="R72" i="21"/>
  <c r="P72" i="21"/>
  <c r="N72" i="21"/>
  <c r="L72" i="21"/>
  <c r="J72" i="21"/>
  <c r="H72" i="21"/>
  <c r="F72" i="21"/>
  <c r="D72" i="21"/>
  <c r="B72" i="21"/>
  <c r="AV71" i="21"/>
  <c r="AT71" i="21"/>
  <c r="AR71" i="21"/>
  <c r="AP71" i="21"/>
  <c r="AN71" i="21"/>
  <c r="AL71" i="21"/>
  <c r="AJ71" i="21"/>
  <c r="AH71" i="21"/>
  <c r="AF71" i="21"/>
  <c r="AD71" i="21"/>
  <c r="AB71" i="21"/>
  <c r="Z71" i="21"/>
  <c r="X71" i="21"/>
  <c r="V71" i="21"/>
  <c r="T71" i="21"/>
  <c r="R71" i="21"/>
  <c r="P71" i="21"/>
  <c r="N71" i="21"/>
  <c r="L71" i="21"/>
  <c r="J71" i="21"/>
  <c r="H71" i="21"/>
  <c r="F71" i="21"/>
  <c r="D71" i="21"/>
  <c r="B71" i="21"/>
  <c r="AV70" i="21"/>
  <c r="AT70" i="21"/>
  <c r="AR70" i="21"/>
  <c r="AP70" i="21"/>
  <c r="AN70" i="21"/>
  <c r="AL70" i="21"/>
  <c r="AJ70" i="21"/>
  <c r="AH70" i="21"/>
  <c r="AF70" i="21"/>
  <c r="AD70" i="21"/>
  <c r="AB70" i="21"/>
  <c r="Z70" i="21"/>
  <c r="X70" i="21"/>
  <c r="V70" i="21"/>
  <c r="T70" i="21"/>
  <c r="R70" i="21"/>
  <c r="P70" i="21"/>
  <c r="N70" i="21"/>
  <c r="L70" i="21"/>
  <c r="J70" i="21"/>
  <c r="H70" i="21"/>
  <c r="F70" i="21"/>
  <c r="D70" i="21"/>
  <c r="B70" i="21"/>
  <c r="AR69" i="21"/>
  <c r="AP69" i="21"/>
  <c r="X69" i="21"/>
  <c r="B69" i="21"/>
  <c r="AN68" i="21"/>
  <c r="R68" i="21"/>
  <c r="H68" i="21"/>
  <c r="AV67" i="21" a="1"/>
  <c r="AV67" i="21" s="1"/>
  <c r="AT67" i="21" a="1"/>
  <c r="AT67" i="21" s="1"/>
  <c r="AR67" i="21" a="1"/>
  <c r="AR67" i="21" s="1"/>
  <c r="AP67" i="21" a="1"/>
  <c r="AP67" i="21" s="1"/>
  <c r="AN67" i="21"/>
  <c r="AN67" i="21" a="1"/>
  <c r="AL67" i="21" a="1"/>
  <c r="AL67" i="21" s="1"/>
  <c r="AJ67" i="21"/>
  <c r="AJ67" i="21" a="1"/>
  <c r="AH67" i="21" a="1"/>
  <c r="AH67" i="21" s="1"/>
  <c r="AF67" i="21" a="1"/>
  <c r="AF67" i="21" s="1"/>
  <c r="AD67" i="21"/>
  <c r="AD67" i="21" a="1"/>
  <c r="AB67" i="21" a="1"/>
  <c r="AB67" i="21" s="1"/>
  <c r="Z67" i="21" a="1"/>
  <c r="Z67" i="21" s="1"/>
  <c r="X67" i="21"/>
  <c r="X67" i="21" a="1"/>
  <c r="V67" i="21" a="1"/>
  <c r="V67" i="21" s="1"/>
  <c r="T67" i="21"/>
  <c r="T67" i="21" a="1"/>
  <c r="R67" i="21" a="1"/>
  <c r="R67" i="21" s="1"/>
  <c r="P67" i="21" a="1"/>
  <c r="P67" i="21" s="1"/>
  <c r="N67" i="21" a="1"/>
  <c r="N67" i="21" s="1"/>
  <c r="L67" i="21" a="1"/>
  <c r="L67" i="21" s="1"/>
  <c r="J67" i="21" a="1"/>
  <c r="J67" i="21" s="1"/>
  <c r="H67" i="21"/>
  <c r="H67" i="21" a="1"/>
  <c r="F67" i="21" a="1"/>
  <c r="F67" i="21" s="1"/>
  <c r="D67" i="21"/>
  <c r="D67" i="21" a="1"/>
  <c r="B67" i="21" a="1"/>
  <c r="B67" i="21" s="1"/>
  <c r="AV66" i="21" a="1"/>
  <c r="AV66" i="21" s="1"/>
  <c r="AV68" i="21" s="1"/>
  <c r="AT66" i="21" a="1"/>
  <c r="AT66" i="21" s="1"/>
  <c r="AR66" i="21" a="1"/>
  <c r="AR66" i="21" s="1"/>
  <c r="AP66" i="21" a="1"/>
  <c r="AP66" i="21" s="1"/>
  <c r="AN66" i="21"/>
  <c r="AN66" i="21" a="1"/>
  <c r="AL66" i="21" a="1"/>
  <c r="AL66" i="21" s="1"/>
  <c r="AL68" i="21" s="1"/>
  <c r="AJ66" i="21"/>
  <c r="AJ66" i="21" a="1"/>
  <c r="AH66" i="21" a="1"/>
  <c r="AH66" i="21" s="1"/>
  <c r="AF66" i="21" a="1"/>
  <c r="AF66" i="21" s="1"/>
  <c r="AF68" i="21" s="1"/>
  <c r="AD66" i="21" a="1"/>
  <c r="AD66" i="21" s="1"/>
  <c r="AD68" i="21" s="1"/>
  <c r="AB66" i="21" a="1"/>
  <c r="AB66" i="21" s="1"/>
  <c r="AB68" i="21" s="1"/>
  <c r="Z66" i="21" a="1"/>
  <c r="Z66" i="21" s="1"/>
  <c r="Z68" i="21" s="1"/>
  <c r="X66" i="21"/>
  <c r="X68" i="21" s="1"/>
  <c r="X66" i="21" a="1"/>
  <c r="V66" i="21" a="1"/>
  <c r="V66" i="21" s="1"/>
  <c r="T66" i="21"/>
  <c r="T66" i="21" a="1"/>
  <c r="R66" i="21" a="1"/>
  <c r="R66" i="21" s="1"/>
  <c r="P66" i="21" a="1"/>
  <c r="P66" i="21" s="1"/>
  <c r="N66" i="21"/>
  <c r="N66" i="21" a="1"/>
  <c r="L66" i="21" a="1"/>
  <c r="L66" i="21" s="1"/>
  <c r="L68" i="21" s="1"/>
  <c r="J66" i="21" a="1"/>
  <c r="J66" i="21" s="1"/>
  <c r="J68" i="21" s="1"/>
  <c r="H66" i="21"/>
  <c r="H66" i="21" a="1"/>
  <c r="F66" i="21" a="1"/>
  <c r="F66" i="21" s="1"/>
  <c r="F68" i="21" s="1"/>
  <c r="D66" i="21"/>
  <c r="D68" i="21" s="1"/>
  <c r="D66" i="21" a="1"/>
  <c r="B66" i="21" a="1"/>
  <c r="B66" i="21" s="1"/>
  <c r="AV65" i="21" a="1"/>
  <c r="AV65" i="21" s="1"/>
  <c r="AV69" i="21" s="1"/>
  <c r="AT65" i="21" a="1"/>
  <c r="AT65" i="21" s="1"/>
  <c r="AT69" i="21" s="1"/>
  <c r="AR65" i="21" a="1"/>
  <c r="AR65" i="21" s="1"/>
  <c r="AP65" i="21" a="1"/>
  <c r="AP65" i="21" s="1"/>
  <c r="AN65" i="21"/>
  <c r="AN69" i="21" s="1"/>
  <c r="AN65" i="21" a="1"/>
  <c r="AL65" i="21" a="1"/>
  <c r="AL65" i="21" s="1"/>
  <c r="AL69" i="21" s="1"/>
  <c r="AJ65" i="21"/>
  <c r="AJ69" i="21" s="1"/>
  <c r="AJ65" i="21" a="1"/>
  <c r="AH65" i="21" a="1"/>
  <c r="AH65" i="21" s="1"/>
  <c r="AH69" i="21" s="1"/>
  <c r="AF65" i="21" a="1"/>
  <c r="AF65" i="21" s="1"/>
  <c r="AF69" i="21" s="1"/>
  <c r="AD65" i="21" a="1"/>
  <c r="AD65" i="21" s="1"/>
  <c r="AD69" i="21" s="1"/>
  <c r="AB65" i="21" a="1"/>
  <c r="AB65" i="21" s="1"/>
  <c r="AB69" i="21" s="1"/>
  <c r="Z65" i="21" a="1"/>
  <c r="Z65" i="21" s="1"/>
  <c r="Z69" i="21" s="1"/>
  <c r="X65" i="21"/>
  <c r="X65" i="21" a="1"/>
  <c r="V65" i="21" a="1"/>
  <c r="V65" i="21" s="1"/>
  <c r="V69" i="21" s="1"/>
  <c r="T65" i="21"/>
  <c r="T69" i="21" s="1"/>
  <c r="T65" i="21" a="1"/>
  <c r="R65" i="21" a="1"/>
  <c r="R65" i="21" s="1"/>
  <c r="R69" i="21" s="1"/>
  <c r="P65" i="21" a="1"/>
  <c r="P65" i="21" s="1"/>
  <c r="P69" i="21" s="1"/>
  <c r="N65" i="21" a="1"/>
  <c r="N65" i="21" s="1"/>
  <c r="N69" i="21" s="1"/>
  <c r="L65" i="21" a="1"/>
  <c r="L65" i="21" s="1"/>
  <c r="L69" i="21" s="1"/>
  <c r="J65" i="21" a="1"/>
  <c r="J65" i="21" s="1"/>
  <c r="J69" i="21" s="1"/>
  <c r="H65" i="21"/>
  <c r="H69" i="21" s="1"/>
  <c r="H65" i="21" a="1"/>
  <c r="F65" i="21" a="1"/>
  <c r="F65" i="21" s="1"/>
  <c r="F69" i="21" s="1"/>
  <c r="D65" i="21"/>
  <c r="D69" i="21" s="1"/>
  <c r="D65" i="21" a="1"/>
  <c r="B65" i="21"/>
  <c r="AV62" i="21"/>
  <c r="AT62" i="21"/>
  <c r="AR62" i="21"/>
  <c r="AP62" i="21"/>
  <c r="AN62" i="21"/>
  <c r="AL62" i="21"/>
  <c r="AJ62" i="21"/>
  <c r="AH62" i="21"/>
  <c r="AF62" i="21"/>
  <c r="AD62" i="21"/>
  <c r="AB62" i="21"/>
  <c r="Z62" i="21"/>
  <c r="X62" i="21"/>
  <c r="V62" i="21"/>
  <c r="T62" i="21"/>
  <c r="R62" i="21"/>
  <c r="P62" i="21"/>
  <c r="N62" i="21"/>
  <c r="L62" i="21"/>
  <c r="J62" i="21"/>
  <c r="H62" i="21"/>
  <c r="F62" i="21"/>
  <c r="D62" i="21"/>
  <c r="B62" i="21"/>
  <c r="AV60" i="21"/>
  <c r="AT60" i="21"/>
  <c r="AR60" i="21"/>
  <c r="AP60" i="21"/>
  <c r="AN60" i="21"/>
  <c r="AL60" i="21"/>
  <c r="AJ60" i="21"/>
  <c r="AH60" i="21"/>
  <c r="AF60" i="21"/>
  <c r="AD60" i="21"/>
  <c r="AB60" i="21"/>
  <c r="Z60" i="21"/>
  <c r="X60" i="21"/>
  <c r="V60" i="21"/>
  <c r="T60" i="21"/>
  <c r="R60" i="21"/>
  <c r="P60" i="21"/>
  <c r="N60" i="21"/>
  <c r="L60" i="21"/>
  <c r="J60" i="21"/>
  <c r="H60" i="21"/>
  <c r="F60" i="21"/>
  <c r="D60" i="21"/>
  <c r="B60" i="21"/>
  <c r="AV59" i="21"/>
  <c r="AT59" i="21"/>
  <c r="AR59" i="21"/>
  <c r="AP59" i="21"/>
  <c r="AN59" i="21"/>
  <c r="AL59" i="21"/>
  <c r="AJ59" i="21"/>
  <c r="AH59" i="21"/>
  <c r="AF59" i="21"/>
  <c r="AD59" i="21"/>
  <c r="AB59" i="21"/>
  <c r="Z59" i="21"/>
  <c r="X59" i="21"/>
  <c r="V59" i="21"/>
  <c r="T59" i="21"/>
  <c r="R59" i="21"/>
  <c r="P59" i="21"/>
  <c r="N59" i="21"/>
  <c r="L59" i="21"/>
  <c r="J59" i="21"/>
  <c r="H59" i="21"/>
  <c r="F59" i="21"/>
  <c r="D59" i="21"/>
  <c r="B59" i="21"/>
  <c r="AV58" i="21"/>
  <c r="AV58" i="21" a="1"/>
  <c r="AT58" i="21" a="1"/>
  <c r="AT58" i="21" s="1"/>
  <c r="AR58" i="21" a="1"/>
  <c r="AR58" i="21" s="1"/>
  <c r="AP58" i="21"/>
  <c r="AP58" i="21" a="1"/>
  <c r="AN58" i="21" a="1"/>
  <c r="AN58" i="21" s="1"/>
  <c r="AL58" i="21" a="1"/>
  <c r="AL58" i="21" s="1"/>
  <c r="AJ58" i="21"/>
  <c r="AJ58" i="21" a="1"/>
  <c r="AH58" i="21"/>
  <c r="AH58" i="21" a="1"/>
  <c r="AF58" i="21"/>
  <c r="AF58" i="21" a="1"/>
  <c r="AD58" i="21" a="1"/>
  <c r="AD58" i="21" s="1"/>
  <c r="AB58" i="21" a="1"/>
  <c r="AB58" i="21" s="1"/>
  <c r="Z58" i="21"/>
  <c r="Z58" i="21" a="1"/>
  <c r="X58" i="21" a="1"/>
  <c r="X58" i="21" s="1"/>
  <c r="V58" i="21" a="1"/>
  <c r="V58" i="21" s="1"/>
  <c r="T58" i="21"/>
  <c r="T58" i="21" a="1"/>
  <c r="R58" i="21"/>
  <c r="R58" i="21" a="1"/>
  <c r="P58" i="21"/>
  <c r="P58" i="21" a="1"/>
  <c r="N58" i="21" a="1"/>
  <c r="N58" i="21" s="1"/>
  <c r="L58" i="21" a="1"/>
  <c r="L58" i="21" s="1"/>
  <c r="J58" i="21"/>
  <c r="J58" i="21" a="1"/>
  <c r="H58" i="21" a="1"/>
  <c r="H58" i="21" s="1"/>
  <c r="F58" i="21"/>
  <c r="F58" i="21" a="1"/>
  <c r="D58" i="21"/>
  <c r="D58" i="21" a="1"/>
  <c r="B58" i="21"/>
  <c r="B58" i="21" a="1"/>
  <c r="AV57" i="21"/>
  <c r="AV57" i="21" a="1"/>
  <c r="AT57" i="21" a="1"/>
  <c r="AT57" i="21" s="1"/>
  <c r="AR57" i="21" a="1"/>
  <c r="AR57" i="21" s="1"/>
  <c r="AP57" i="21"/>
  <c r="AP57" i="21" a="1"/>
  <c r="AN57" i="21" a="1"/>
  <c r="AN57" i="21" s="1"/>
  <c r="AL57" i="21" a="1"/>
  <c r="AL57" i="21" s="1"/>
  <c r="AJ57" i="21"/>
  <c r="AJ57" i="21" a="1"/>
  <c r="AH57" i="21"/>
  <c r="AH57" i="21" a="1"/>
  <c r="AF57" i="21"/>
  <c r="AF57" i="21" a="1"/>
  <c r="AD57" i="21" a="1"/>
  <c r="AD57" i="21" s="1"/>
  <c r="AB57" i="21" a="1"/>
  <c r="AB57" i="21" s="1"/>
  <c r="Z57" i="21" a="1"/>
  <c r="Z57" i="21" s="1"/>
  <c r="X57" i="21" a="1"/>
  <c r="X57" i="21" s="1"/>
  <c r="V57" i="21"/>
  <c r="V57" i="21" a="1"/>
  <c r="T57" i="21"/>
  <c r="T57" i="21" a="1"/>
  <c r="R57" i="21" a="1"/>
  <c r="R57" i="21" s="1"/>
  <c r="P57" i="21"/>
  <c r="P57" i="21" a="1"/>
  <c r="N57" i="21" a="1"/>
  <c r="N57" i="21" s="1"/>
  <c r="L57" i="21" a="1"/>
  <c r="L57" i="21" s="1"/>
  <c r="J57" i="21" a="1"/>
  <c r="J57" i="21" s="1"/>
  <c r="H57" i="21" a="1"/>
  <c r="H57" i="21" s="1"/>
  <c r="F57" i="21"/>
  <c r="F57" i="21" a="1"/>
  <c r="D57" i="21"/>
  <c r="D57" i="21" a="1"/>
  <c r="B57" i="21" a="1"/>
  <c r="B57" i="21" s="1"/>
  <c r="AV56" i="21"/>
  <c r="AT56" i="21"/>
  <c r="AR56" i="21"/>
  <c r="AP56" i="21"/>
  <c r="AN56" i="21"/>
  <c r="AL56" i="21"/>
  <c r="AJ56" i="21"/>
  <c r="AH56" i="21"/>
  <c r="AF56" i="21"/>
  <c r="AD56" i="21"/>
  <c r="AB56" i="21"/>
  <c r="Z56" i="21"/>
  <c r="X56" i="21"/>
  <c r="V56" i="21"/>
  <c r="T56" i="21"/>
  <c r="R56" i="21"/>
  <c r="P56" i="21"/>
  <c r="N56" i="21"/>
  <c r="L56" i="21"/>
  <c r="J56" i="21"/>
  <c r="H56" i="21"/>
  <c r="F56" i="21"/>
  <c r="D56" i="21"/>
  <c r="B56" i="21"/>
  <c r="AV55" i="21"/>
  <c r="AT55" i="21"/>
  <c r="AR55" i="21"/>
  <c r="AP55" i="21"/>
  <c r="AP80" i="21" s="1"/>
  <c r="AN55" i="21"/>
  <c r="AN80" i="21" s="1"/>
  <c r="AL55" i="21"/>
  <c r="AL80" i="21" s="1"/>
  <c r="AJ55" i="21"/>
  <c r="AJ80" i="21" s="1"/>
  <c r="AH55" i="21"/>
  <c r="AF55" i="21"/>
  <c r="AF80" i="21" s="1"/>
  <c r="AD55" i="21"/>
  <c r="AD80" i="21" s="1"/>
  <c r="AB55" i="21"/>
  <c r="Z55" i="21"/>
  <c r="X55" i="21"/>
  <c r="V55" i="21"/>
  <c r="V80" i="21" s="1"/>
  <c r="T55" i="21"/>
  <c r="T80" i="21" s="1"/>
  <c r="R55" i="21"/>
  <c r="P55" i="21"/>
  <c r="N55" i="21"/>
  <c r="L55" i="21"/>
  <c r="J55" i="21"/>
  <c r="J80" i="21" s="1"/>
  <c r="H55" i="21"/>
  <c r="H80" i="21" s="1"/>
  <c r="F55" i="21"/>
  <c r="F80" i="21" s="1"/>
  <c r="D55" i="21"/>
  <c r="D80" i="21" s="1"/>
  <c r="B55" i="21"/>
  <c r="AV53" i="21" a="1"/>
  <c r="AT53" i="21" a="1"/>
  <c r="AR53" i="21" a="1"/>
  <c r="AP53" i="21" a="1"/>
  <c r="AN53" i="21" a="1"/>
  <c r="AL53" i="21" a="1"/>
  <c r="AJ53" i="21" a="1"/>
  <c r="AH53" i="21" a="1"/>
  <c r="AF53" i="21" a="1"/>
  <c r="AD53" i="21" a="1"/>
  <c r="AB53" i="21" a="1"/>
  <c r="Z53" i="21" a="1"/>
  <c r="X53" i="21" a="1"/>
  <c r="V53" i="21" a="1"/>
  <c r="T53" i="21" a="1"/>
  <c r="R53" i="21" a="1"/>
  <c r="P53" i="21" a="1"/>
  <c r="N53" i="21" a="1"/>
  <c r="L53" i="21" a="1"/>
  <c r="J53" i="21" a="1"/>
  <c r="H53" i="21" a="1"/>
  <c r="F53" i="21" a="1"/>
  <c r="D53" i="21" a="1"/>
  <c r="B53" i="21" a="1"/>
  <c r="AV52" i="21" a="1"/>
  <c r="AT52" i="21" a="1"/>
  <c r="AR52" i="21" a="1"/>
  <c r="AP52" i="21" a="1"/>
  <c r="AN52" i="21" a="1"/>
  <c r="AL52" i="21" a="1"/>
  <c r="AJ52" i="21" a="1"/>
  <c r="AH52" i="21" a="1"/>
  <c r="AF52" i="21" a="1"/>
  <c r="AD52" i="21" a="1"/>
  <c r="AB52" i="21" a="1"/>
  <c r="Z52" i="21" a="1"/>
  <c r="X52" i="21" a="1"/>
  <c r="V52" i="21" a="1"/>
  <c r="T52" i="21" a="1"/>
  <c r="R52" i="21" a="1"/>
  <c r="P52" i="21" a="1"/>
  <c r="N52" i="21" a="1"/>
  <c r="L52" i="21" a="1"/>
  <c r="J52" i="21" a="1"/>
  <c r="H52" i="21" a="1"/>
  <c r="F52" i="21" a="1"/>
  <c r="D52" i="21" a="1"/>
  <c r="B52" i="21" a="1"/>
  <c r="AV51" i="21"/>
  <c r="AV81" i="21" s="1"/>
  <c r="AT51" i="21"/>
  <c r="AT81" i="21" s="1"/>
  <c r="AR51" i="21"/>
  <c r="AP51" i="21"/>
  <c r="AN51" i="21"/>
  <c r="AL51" i="21"/>
  <c r="AL81" i="21" s="1"/>
  <c r="AJ51" i="21"/>
  <c r="AJ81" i="21" s="1"/>
  <c r="AH51" i="21"/>
  <c r="AF51" i="21"/>
  <c r="AD51" i="21"/>
  <c r="AD81" i="21" s="1"/>
  <c r="AB51" i="21"/>
  <c r="AB81" i="21" s="1"/>
  <c r="Z51" i="21"/>
  <c r="X51" i="21"/>
  <c r="X81" i="21" s="1"/>
  <c r="V51" i="21"/>
  <c r="V81" i="21" s="1"/>
  <c r="T51" i="21"/>
  <c r="T81" i="21" s="1"/>
  <c r="R51" i="21"/>
  <c r="P51" i="21"/>
  <c r="P81" i="21" s="1"/>
  <c r="N51" i="21"/>
  <c r="N81" i="21" s="1"/>
  <c r="L51" i="21"/>
  <c r="J51" i="21"/>
  <c r="H51" i="21"/>
  <c r="F51" i="21"/>
  <c r="F81" i="21" s="1"/>
  <c r="D51" i="21"/>
  <c r="D81" i="21" s="1"/>
  <c r="B51" i="21"/>
  <c r="AV49" i="21"/>
  <c r="AT49" i="21"/>
  <c r="AR49" i="21"/>
  <c r="AP49" i="21"/>
  <c r="AN49" i="21"/>
  <c r="AL49" i="21"/>
  <c r="AJ49" i="21"/>
  <c r="AH49" i="21"/>
  <c r="AF49" i="21"/>
  <c r="AD49" i="21"/>
  <c r="AB49" i="21"/>
  <c r="Z49" i="21"/>
  <c r="X49" i="21"/>
  <c r="V49" i="21"/>
  <c r="T49" i="21"/>
  <c r="R49" i="21"/>
  <c r="P49" i="21"/>
  <c r="N49" i="21"/>
  <c r="L49" i="21"/>
  <c r="J49" i="21"/>
  <c r="H49" i="21"/>
  <c r="F49" i="21"/>
  <c r="D49" i="21"/>
  <c r="B49" i="21"/>
  <c r="AV48" i="21"/>
  <c r="AT48" i="21"/>
  <c r="AR48" i="21"/>
  <c r="AP48" i="21"/>
  <c r="AN48" i="21"/>
  <c r="AL48" i="21"/>
  <c r="AJ48" i="21"/>
  <c r="AH48" i="21"/>
  <c r="AF48" i="21"/>
  <c r="AD48" i="21"/>
  <c r="AB48" i="21"/>
  <c r="Z48" i="21"/>
  <c r="X48" i="21"/>
  <c r="V48" i="21"/>
  <c r="T48" i="21"/>
  <c r="R48" i="21"/>
  <c r="P48" i="21"/>
  <c r="N48" i="21"/>
  <c r="L48" i="21"/>
  <c r="J48" i="21"/>
  <c r="H48" i="21"/>
  <c r="F48" i="21"/>
  <c r="D48" i="21"/>
  <c r="B48" i="21"/>
  <c r="AV46" i="21"/>
  <c r="AT46" i="21"/>
  <c r="AR46" i="21"/>
  <c r="AP46" i="21"/>
  <c r="AN46" i="21"/>
  <c r="AL46" i="21"/>
  <c r="AJ46" i="21"/>
  <c r="AH46" i="21"/>
  <c r="AF46" i="21"/>
  <c r="AD46" i="21"/>
  <c r="AB46" i="21"/>
  <c r="Z46" i="21"/>
  <c r="X46" i="21"/>
  <c r="V46" i="21"/>
  <c r="T46" i="21"/>
  <c r="R46" i="21"/>
  <c r="P46" i="21"/>
  <c r="N46" i="21"/>
  <c r="L46" i="21"/>
  <c r="J46" i="21"/>
  <c r="H46" i="21"/>
  <c r="F46" i="21"/>
  <c r="D46" i="21"/>
  <c r="B46" i="21"/>
  <c r="AV45" i="21"/>
  <c r="AT45" i="21"/>
  <c r="AR45" i="21"/>
  <c r="AP45" i="21"/>
  <c r="AN45" i="21"/>
  <c r="AL45" i="21"/>
  <c r="AJ45" i="21"/>
  <c r="AH45" i="21"/>
  <c r="AF45" i="21"/>
  <c r="AD45" i="21"/>
  <c r="AB45" i="21"/>
  <c r="Z45" i="21"/>
  <c r="X45" i="21"/>
  <c r="V45" i="21"/>
  <c r="T45" i="21"/>
  <c r="R45" i="21"/>
  <c r="P45" i="21"/>
  <c r="N45" i="21"/>
  <c r="L45" i="21"/>
  <c r="J45" i="21"/>
  <c r="H45" i="21"/>
  <c r="F45" i="21"/>
  <c r="D45" i="21"/>
  <c r="B45" i="21"/>
  <c r="AV44" i="21"/>
  <c r="AT44" i="21"/>
  <c r="AR44" i="21"/>
  <c r="AP44" i="21"/>
  <c r="AN44" i="21"/>
  <c r="AL44" i="21"/>
  <c r="AJ44" i="21"/>
  <c r="AH44" i="21"/>
  <c r="AF44" i="21"/>
  <c r="AD44" i="21"/>
  <c r="AB44" i="21"/>
  <c r="Z44" i="21"/>
  <c r="X44" i="21"/>
  <c r="V44" i="21"/>
  <c r="T44" i="21"/>
  <c r="R44" i="21"/>
  <c r="P44" i="21"/>
  <c r="N44" i="21"/>
  <c r="L44" i="21"/>
  <c r="J44" i="21"/>
  <c r="H44" i="21"/>
  <c r="F44" i="21"/>
  <c r="D44" i="21"/>
  <c r="B44" i="21"/>
  <c r="AV43" i="21"/>
  <c r="AV43" i="21" a="1"/>
  <c r="AT43" i="21" a="1"/>
  <c r="AT43" i="21" s="1"/>
  <c r="AR43" i="21" a="1"/>
  <c r="AR43" i="21" s="1"/>
  <c r="AP43" i="21"/>
  <c r="AP43" i="21" a="1"/>
  <c r="AN43" i="21" a="1"/>
  <c r="AN43" i="21" s="1"/>
  <c r="AL43" i="21" a="1"/>
  <c r="AL43" i="21" s="1"/>
  <c r="AJ43" i="21"/>
  <c r="AJ43" i="21" a="1"/>
  <c r="AH43" i="21" a="1"/>
  <c r="AH43" i="21" s="1"/>
  <c r="AF43" i="21"/>
  <c r="AF43" i="21" a="1"/>
  <c r="AD43" i="21" a="1"/>
  <c r="AD43" i="21" s="1"/>
  <c r="AB43" i="21" a="1"/>
  <c r="AB43" i="21" s="1"/>
  <c r="Z43" i="21"/>
  <c r="Z43" i="21" a="1"/>
  <c r="X43" i="21" a="1"/>
  <c r="X43" i="21" s="1"/>
  <c r="V43" i="21" a="1"/>
  <c r="V43" i="21" s="1"/>
  <c r="T43" i="21"/>
  <c r="T43" i="21" a="1"/>
  <c r="R43" i="21" a="1"/>
  <c r="R43" i="21" s="1"/>
  <c r="P43" i="21"/>
  <c r="P43" i="21" a="1"/>
  <c r="N43" i="21" a="1"/>
  <c r="N43" i="21" s="1"/>
  <c r="L43" i="21" a="1"/>
  <c r="L43" i="21" s="1"/>
  <c r="J43" i="21"/>
  <c r="J43" i="21" a="1"/>
  <c r="H43" i="21" a="1"/>
  <c r="H43" i="21" s="1"/>
  <c r="F43" i="21" a="1"/>
  <c r="F43" i="21" s="1"/>
  <c r="D43" i="21"/>
  <c r="D43" i="21" a="1"/>
  <c r="B43" i="21"/>
  <c r="AV42" i="21"/>
  <c r="AT42" i="21"/>
  <c r="AR42" i="21"/>
  <c r="AP42" i="21"/>
  <c r="AN42" i="21"/>
  <c r="AL42" i="21"/>
  <c r="AJ42" i="21"/>
  <c r="AH42" i="21"/>
  <c r="AF42" i="21"/>
  <c r="AD42" i="21"/>
  <c r="AB42" i="21"/>
  <c r="Z42" i="21"/>
  <c r="X42" i="21"/>
  <c r="V42" i="21"/>
  <c r="T42" i="21"/>
  <c r="R42" i="21"/>
  <c r="P42" i="21"/>
  <c r="N42" i="21"/>
  <c r="L42" i="21"/>
  <c r="J42" i="21"/>
  <c r="H42" i="21"/>
  <c r="F42" i="21"/>
  <c r="D42" i="21"/>
  <c r="B42" i="21"/>
  <c r="AT81" i="24"/>
  <c r="AN81" i="24"/>
  <c r="AJ81" i="24"/>
  <c r="AH81" i="24"/>
  <c r="AF81" i="24"/>
  <c r="AD81" i="24"/>
  <c r="AB81" i="24"/>
  <c r="R81" i="24"/>
  <c r="N81" i="24"/>
  <c r="H81" i="24"/>
  <c r="D81" i="24"/>
  <c r="B81" i="24"/>
  <c r="AV80" i="24"/>
  <c r="AT80" i="24"/>
  <c r="AR80" i="24"/>
  <c r="AH80" i="24"/>
  <c r="AD80" i="24"/>
  <c r="X80" i="24"/>
  <c r="T80" i="24"/>
  <c r="R80" i="24"/>
  <c r="P80" i="24"/>
  <c r="N80" i="24"/>
  <c r="L80" i="24"/>
  <c r="J80" i="24"/>
  <c r="B80" i="24"/>
  <c r="AV79" i="24" a="1"/>
  <c r="AV79" i="24" s="1"/>
  <c r="AT79" i="24"/>
  <c r="AT79" i="24" a="1"/>
  <c r="AR79" i="24"/>
  <c r="AR79" i="24" a="1"/>
  <c r="AP79" i="24" a="1"/>
  <c r="AP79" i="24" s="1"/>
  <c r="AN79" i="24" a="1"/>
  <c r="AN79" i="24" s="1"/>
  <c r="AL79" i="24" a="1"/>
  <c r="AL79" i="24" s="1"/>
  <c r="AJ79" i="24" a="1"/>
  <c r="AJ79" i="24" s="1"/>
  <c r="AH79" i="24" a="1"/>
  <c r="AH79" i="24" s="1"/>
  <c r="AF79" i="24" a="1"/>
  <c r="AF79" i="24" s="1"/>
  <c r="AD79" i="24"/>
  <c r="AD79" i="24" a="1"/>
  <c r="AB79" i="24"/>
  <c r="AB79" i="24" a="1"/>
  <c r="Z79" i="24" a="1"/>
  <c r="Z79" i="24" s="1"/>
  <c r="X79" i="24" a="1"/>
  <c r="X79" i="24" s="1"/>
  <c r="V79" i="24" a="1"/>
  <c r="V79" i="24" s="1"/>
  <c r="T79" i="24" a="1"/>
  <c r="T79" i="24" s="1"/>
  <c r="R79" i="24" a="1"/>
  <c r="R79" i="24" s="1"/>
  <c r="P79" i="24" a="1"/>
  <c r="P79" i="24" s="1"/>
  <c r="N79" i="24"/>
  <c r="N79" i="24" a="1"/>
  <c r="L79" i="24"/>
  <c r="L79" i="24" a="1"/>
  <c r="J79" i="24" a="1"/>
  <c r="J79" i="24" s="1"/>
  <c r="H79" i="24" a="1"/>
  <c r="H79" i="24" s="1"/>
  <c r="F79" i="24" a="1"/>
  <c r="F79" i="24" s="1"/>
  <c r="D79" i="24" a="1"/>
  <c r="D79" i="24" s="1"/>
  <c r="B79" i="24" a="1"/>
  <c r="B79" i="24" s="1"/>
  <c r="AV78" i="24" a="1"/>
  <c r="AV78" i="24" s="1"/>
  <c r="AT78" i="24"/>
  <c r="AT78" i="24" a="1"/>
  <c r="AR78" i="24"/>
  <c r="AR78" i="24" a="1"/>
  <c r="AP78" i="24" a="1"/>
  <c r="AP78" i="24" s="1"/>
  <c r="AN78" i="24" a="1"/>
  <c r="AN78" i="24" s="1"/>
  <c r="AL78" i="24" a="1"/>
  <c r="AL78" i="24" s="1"/>
  <c r="AJ78" i="24" a="1"/>
  <c r="AJ78" i="24" s="1"/>
  <c r="AH78" i="24" a="1"/>
  <c r="AH78" i="24" s="1"/>
  <c r="AF78" i="24" a="1"/>
  <c r="AF78" i="24" s="1"/>
  <c r="AD78" i="24"/>
  <c r="AD78" i="24" a="1"/>
  <c r="AB78" i="24"/>
  <c r="AB78" i="24" a="1"/>
  <c r="Z78" i="24" a="1"/>
  <c r="Z78" i="24" s="1"/>
  <c r="X78" i="24" a="1"/>
  <c r="X78" i="24" s="1"/>
  <c r="V78" i="24" a="1"/>
  <c r="V78" i="24" s="1"/>
  <c r="T78" i="24" a="1"/>
  <c r="T78" i="24" s="1"/>
  <c r="R78" i="24" a="1"/>
  <c r="R78" i="24" s="1"/>
  <c r="P78" i="24" a="1"/>
  <c r="P78" i="24" s="1"/>
  <c r="N78" i="24" a="1"/>
  <c r="N78" i="24" s="1"/>
  <c r="L78" i="24"/>
  <c r="L78" i="24" a="1"/>
  <c r="J78" i="24" a="1"/>
  <c r="J78" i="24" s="1"/>
  <c r="H78" i="24" a="1"/>
  <c r="H78" i="24" s="1"/>
  <c r="F78" i="24" a="1"/>
  <c r="F78" i="24" s="1"/>
  <c r="D78" i="24" a="1"/>
  <c r="D78" i="24" s="1"/>
  <c r="B78" i="24" a="1"/>
  <c r="B78" i="24" s="1"/>
  <c r="AV77" i="24" a="1"/>
  <c r="AV77" i="24" s="1"/>
  <c r="AT77" i="24" a="1"/>
  <c r="AT77" i="24" s="1"/>
  <c r="AR77" i="24"/>
  <c r="AR77" i="24" a="1"/>
  <c r="AP77" i="24" a="1"/>
  <c r="AP77" i="24" s="1"/>
  <c r="AN77" i="24" a="1"/>
  <c r="AN77" i="24" s="1"/>
  <c r="AL77" i="24" a="1"/>
  <c r="AL77" i="24" s="1"/>
  <c r="AJ77" i="24" a="1"/>
  <c r="AJ77" i="24" s="1"/>
  <c r="AH77" i="24" a="1"/>
  <c r="AH77" i="24" s="1"/>
  <c r="AF77" i="24" a="1"/>
  <c r="AF77" i="24" s="1"/>
  <c r="AD77" i="24" a="1"/>
  <c r="AD77" i="24" s="1"/>
  <c r="AB77" i="24"/>
  <c r="AB77" i="24" a="1"/>
  <c r="Z77" i="24" a="1"/>
  <c r="Z77" i="24" s="1"/>
  <c r="X77" i="24" a="1"/>
  <c r="X77" i="24" s="1"/>
  <c r="V77" i="24" a="1"/>
  <c r="V77" i="24" s="1"/>
  <c r="T77" i="24" a="1"/>
  <c r="T77" i="24" s="1"/>
  <c r="R77" i="24" a="1"/>
  <c r="R77" i="24" s="1"/>
  <c r="P77" i="24" a="1"/>
  <c r="P77" i="24" s="1"/>
  <c r="N77" i="24" a="1"/>
  <c r="N77" i="24" s="1"/>
  <c r="L77" i="24"/>
  <c r="L77" i="24" a="1"/>
  <c r="J77" i="24" a="1"/>
  <c r="J77" i="24" s="1"/>
  <c r="H77" i="24" a="1"/>
  <c r="H77" i="24" s="1"/>
  <c r="F77" i="24" a="1"/>
  <c r="F77" i="24" s="1"/>
  <c r="D77" i="24" a="1"/>
  <c r="D77" i="24" s="1"/>
  <c r="B77" i="24" a="1"/>
  <c r="B77" i="24" s="1"/>
  <c r="AV76" i="24" a="1"/>
  <c r="AV76" i="24" s="1"/>
  <c r="AT76" i="24" a="1"/>
  <c r="AT76" i="24" s="1"/>
  <c r="AR76" i="24"/>
  <c r="AR76" i="24" a="1"/>
  <c r="AP76" i="24" a="1"/>
  <c r="AP76" i="24" s="1"/>
  <c r="AN76" i="24" a="1"/>
  <c r="AN76" i="24" s="1"/>
  <c r="AL76" i="24" a="1"/>
  <c r="AL76" i="24" s="1"/>
  <c r="AJ76" i="24" a="1"/>
  <c r="AJ76" i="24" s="1"/>
  <c r="AH76" i="24" a="1"/>
  <c r="AH76" i="24" s="1"/>
  <c r="AF76" i="24" a="1"/>
  <c r="AF76" i="24" s="1"/>
  <c r="AD76" i="24" a="1"/>
  <c r="AD76" i="24" s="1"/>
  <c r="AB76" i="24"/>
  <c r="AB76" i="24" a="1"/>
  <c r="Z76" i="24" a="1"/>
  <c r="Z76" i="24" s="1"/>
  <c r="X76" i="24" a="1"/>
  <c r="X76" i="24" s="1"/>
  <c r="V76" i="24" a="1"/>
  <c r="V76" i="24" s="1"/>
  <c r="T76" i="24" a="1"/>
  <c r="T76" i="24" s="1"/>
  <c r="R76" i="24" a="1"/>
  <c r="R76" i="24" s="1"/>
  <c r="P76" i="24" a="1"/>
  <c r="P76" i="24" s="1"/>
  <c r="N76" i="24" a="1"/>
  <c r="N76" i="24" s="1"/>
  <c r="L76" i="24"/>
  <c r="L76" i="24" a="1"/>
  <c r="J76" i="24" a="1"/>
  <c r="J76" i="24" s="1"/>
  <c r="H76" i="24" a="1"/>
  <c r="H76" i="24" s="1"/>
  <c r="F76" i="24" a="1"/>
  <c r="F76" i="24" s="1"/>
  <c r="D76" i="24" a="1"/>
  <c r="D76" i="24" s="1"/>
  <c r="B76" i="24" a="1"/>
  <c r="B76" i="24" s="1"/>
  <c r="AV75" i="24" a="1"/>
  <c r="AV75" i="24" s="1"/>
  <c r="AT75" i="24" a="1"/>
  <c r="AT75" i="24" s="1"/>
  <c r="AR75" i="24"/>
  <c r="AR75" i="24" a="1"/>
  <c r="AP75" i="24" a="1"/>
  <c r="AP75" i="24" s="1"/>
  <c r="AN75" i="24" a="1"/>
  <c r="AN75" i="24" s="1"/>
  <c r="AL75" i="24" a="1"/>
  <c r="AL75" i="24" s="1"/>
  <c r="AJ75" i="24" a="1"/>
  <c r="AJ75" i="24" s="1"/>
  <c r="AH75" i="24" a="1"/>
  <c r="AH75" i="24" s="1"/>
  <c r="AF75" i="24" a="1"/>
  <c r="AF75" i="24" s="1"/>
  <c r="AD75" i="24" a="1"/>
  <c r="AD75" i="24" s="1"/>
  <c r="AB75" i="24"/>
  <c r="AB75" i="24" a="1"/>
  <c r="Z75" i="24" a="1"/>
  <c r="Z75" i="24" s="1"/>
  <c r="X75" i="24" a="1"/>
  <c r="X75" i="24" s="1"/>
  <c r="V75" i="24" a="1"/>
  <c r="V75" i="24" s="1"/>
  <c r="T75" i="24" a="1"/>
  <c r="T75" i="24" s="1"/>
  <c r="R75" i="24" a="1"/>
  <c r="R75" i="24" s="1"/>
  <c r="P75" i="24" a="1"/>
  <c r="P75" i="24" s="1"/>
  <c r="N75" i="24" a="1"/>
  <c r="N75" i="24" s="1"/>
  <c r="L75" i="24"/>
  <c r="L75" i="24" a="1"/>
  <c r="J75" i="24" a="1"/>
  <c r="J75" i="24" s="1"/>
  <c r="H75" i="24" a="1"/>
  <c r="H75" i="24" s="1"/>
  <c r="F75" i="24" a="1"/>
  <c r="F75" i="24" s="1"/>
  <c r="D75" i="24" a="1"/>
  <c r="D75" i="24" s="1"/>
  <c r="B75" i="24" a="1"/>
  <c r="B75" i="24" s="1"/>
  <c r="AV74" i="24" a="1"/>
  <c r="AV74" i="24" s="1"/>
  <c r="AT74" i="24" a="1"/>
  <c r="AT74" i="24" s="1"/>
  <c r="AR74" i="24"/>
  <c r="AR74" i="24" a="1"/>
  <c r="AP74" i="24" a="1"/>
  <c r="AP74" i="24" s="1"/>
  <c r="AN74" i="24" a="1"/>
  <c r="AN74" i="24" s="1"/>
  <c r="AL74" i="24" a="1"/>
  <c r="AL74" i="24" s="1"/>
  <c r="AJ74" i="24" a="1"/>
  <c r="AJ74" i="24" s="1"/>
  <c r="AH74" i="24" a="1"/>
  <c r="AH74" i="24" s="1"/>
  <c r="AF74" i="24" a="1"/>
  <c r="AF74" i="24" s="1"/>
  <c r="AD74" i="24" a="1"/>
  <c r="AD74" i="24" s="1"/>
  <c r="AB74" i="24"/>
  <c r="AB74" i="24" a="1"/>
  <c r="Z74" i="24" a="1"/>
  <c r="Z74" i="24" s="1"/>
  <c r="X74" i="24" a="1"/>
  <c r="X74" i="24" s="1"/>
  <c r="V74" i="24"/>
  <c r="V74" i="24" a="1"/>
  <c r="T74" i="24" a="1"/>
  <c r="T74" i="24" s="1"/>
  <c r="R74" i="24" a="1"/>
  <c r="R74" i="24" s="1"/>
  <c r="P74" i="24" a="1"/>
  <c r="P74" i="24" s="1"/>
  <c r="N74" i="24" a="1"/>
  <c r="N74" i="24" s="1"/>
  <c r="L74" i="24"/>
  <c r="L74" i="24" a="1"/>
  <c r="J74" i="24" a="1"/>
  <c r="J74" i="24" s="1"/>
  <c r="H74" i="24" a="1"/>
  <c r="H74" i="24" s="1"/>
  <c r="F74" i="24"/>
  <c r="F74" i="24" a="1"/>
  <c r="D74" i="24" a="1"/>
  <c r="D74" i="24" s="1"/>
  <c r="B74" i="24" a="1"/>
  <c r="B74" i="24" s="1"/>
  <c r="AV73" i="24" a="1"/>
  <c r="AV73" i="24" s="1"/>
  <c r="AT73" i="24" a="1"/>
  <c r="AT73" i="24" s="1"/>
  <c r="AR73" i="24"/>
  <c r="AR73" i="24" a="1"/>
  <c r="AP73" i="24" a="1"/>
  <c r="AP73" i="24" s="1"/>
  <c r="AN73" i="24" a="1"/>
  <c r="AN73" i="24" s="1"/>
  <c r="AL73" i="24"/>
  <c r="AL73" i="24" a="1"/>
  <c r="AJ73" i="24" a="1"/>
  <c r="AJ73" i="24" s="1"/>
  <c r="AH73" i="24" a="1"/>
  <c r="AH73" i="24" s="1"/>
  <c r="AF73" i="24" a="1"/>
  <c r="AF73" i="24" s="1"/>
  <c r="AD73" i="24" a="1"/>
  <c r="AD73" i="24" s="1"/>
  <c r="AB73" i="24"/>
  <c r="AB73" i="24" a="1"/>
  <c r="Z73" i="24" a="1"/>
  <c r="Z73" i="24" s="1"/>
  <c r="X73" i="24" a="1"/>
  <c r="X73" i="24" s="1"/>
  <c r="V73" i="24" a="1"/>
  <c r="V73" i="24" s="1"/>
  <c r="T73" i="24" a="1"/>
  <c r="T73" i="24" s="1"/>
  <c r="R73" i="24" a="1"/>
  <c r="R73" i="24" s="1"/>
  <c r="P73" i="24" a="1"/>
  <c r="P73" i="24" s="1"/>
  <c r="N73" i="24" a="1"/>
  <c r="N73" i="24" s="1"/>
  <c r="L73" i="24"/>
  <c r="L73" i="24" a="1"/>
  <c r="J73" i="24" a="1"/>
  <c r="J73" i="24" s="1"/>
  <c r="H73" i="24" a="1"/>
  <c r="H73" i="24" s="1"/>
  <c r="F73" i="24" a="1"/>
  <c r="F73" i="24" s="1"/>
  <c r="D73" i="24" a="1"/>
  <c r="D73" i="24" s="1"/>
  <c r="B73" i="24" a="1"/>
  <c r="B73" i="24" s="1"/>
  <c r="AV72" i="24"/>
  <c r="AT72" i="24"/>
  <c r="AR72" i="24"/>
  <c r="AP72" i="24"/>
  <c r="AN72" i="24"/>
  <c r="AL72" i="24"/>
  <c r="AJ72" i="24"/>
  <c r="AH72" i="24"/>
  <c r="AF72" i="24"/>
  <c r="AD72" i="24"/>
  <c r="AB72" i="24"/>
  <c r="Z72" i="24"/>
  <c r="X72" i="24"/>
  <c r="V72" i="24"/>
  <c r="T72" i="24"/>
  <c r="R72" i="24"/>
  <c r="P72" i="24"/>
  <c r="N72" i="24"/>
  <c r="L72" i="24"/>
  <c r="J72" i="24"/>
  <c r="H72" i="24"/>
  <c r="F72" i="24"/>
  <c r="D72" i="24"/>
  <c r="B72" i="24"/>
  <c r="AV71" i="24"/>
  <c r="AT71" i="24"/>
  <c r="AR71" i="24"/>
  <c r="AP71" i="24"/>
  <c r="AN71" i="24"/>
  <c r="AL71" i="24"/>
  <c r="AJ71" i="24"/>
  <c r="AH71" i="24"/>
  <c r="AF71" i="24"/>
  <c r="AD71" i="24"/>
  <c r="AB71" i="24"/>
  <c r="Z71" i="24"/>
  <c r="X71" i="24"/>
  <c r="V71" i="24"/>
  <c r="T71" i="24"/>
  <c r="R71" i="24"/>
  <c r="P71" i="24"/>
  <c r="N71" i="24"/>
  <c r="L71" i="24"/>
  <c r="J71" i="24"/>
  <c r="H71" i="24"/>
  <c r="F71" i="24"/>
  <c r="D71" i="24"/>
  <c r="B71" i="24"/>
  <c r="AV70" i="24"/>
  <c r="AT70" i="24"/>
  <c r="AR70" i="24"/>
  <c r="AP70" i="24"/>
  <c r="AN70" i="24"/>
  <c r="AL70" i="24"/>
  <c r="AJ70" i="24"/>
  <c r="AH70" i="24"/>
  <c r="AF70" i="24"/>
  <c r="AD70" i="24"/>
  <c r="AB70" i="24"/>
  <c r="Z70" i="24"/>
  <c r="X70" i="24"/>
  <c r="V70" i="24"/>
  <c r="T70" i="24"/>
  <c r="R70" i="24"/>
  <c r="P70" i="24"/>
  <c r="N70" i="24"/>
  <c r="L70" i="24"/>
  <c r="J70" i="24"/>
  <c r="H70" i="24"/>
  <c r="F70" i="24"/>
  <c r="D70" i="24"/>
  <c r="B70" i="24"/>
  <c r="B69" i="24"/>
  <c r="AB68" i="24"/>
  <c r="AV67" i="24" a="1"/>
  <c r="AV67" i="24" s="1"/>
  <c r="AT67" i="24" a="1"/>
  <c r="AT67" i="24" s="1"/>
  <c r="AR67" i="24" a="1"/>
  <c r="AR67" i="24" s="1"/>
  <c r="AP67" i="24" a="1"/>
  <c r="AP67" i="24" s="1"/>
  <c r="AN67" i="24" a="1"/>
  <c r="AN67" i="24" s="1"/>
  <c r="AL67" i="24" a="1"/>
  <c r="AL67" i="24" s="1"/>
  <c r="AJ67" i="24" a="1"/>
  <c r="AJ67" i="24" s="1"/>
  <c r="AH67" i="24" a="1"/>
  <c r="AH67" i="24" s="1"/>
  <c r="AF67" i="24" a="1"/>
  <c r="AF67" i="24" s="1"/>
  <c r="AD67" i="24"/>
  <c r="AD67" i="24" a="1"/>
  <c r="AB67" i="24" a="1"/>
  <c r="AB67" i="24" s="1"/>
  <c r="Z67" i="24" a="1"/>
  <c r="Z67" i="24" s="1"/>
  <c r="X67" i="24" a="1"/>
  <c r="X67" i="24" s="1"/>
  <c r="V67" i="24" a="1"/>
  <c r="V67" i="24" s="1"/>
  <c r="T67" i="24" a="1"/>
  <c r="T67" i="24" s="1"/>
  <c r="R67" i="24" a="1"/>
  <c r="R67" i="24" s="1"/>
  <c r="P67" i="24" a="1"/>
  <c r="P67" i="24" s="1"/>
  <c r="N67" i="24" a="1"/>
  <c r="N67" i="24" s="1"/>
  <c r="L67" i="24" a="1"/>
  <c r="L67" i="24" s="1"/>
  <c r="J67" i="24" a="1"/>
  <c r="J67" i="24" s="1"/>
  <c r="H67" i="24" a="1"/>
  <c r="H67" i="24" s="1"/>
  <c r="F67" i="24" a="1"/>
  <c r="F67" i="24" s="1"/>
  <c r="D67" i="24" a="1"/>
  <c r="D67" i="24" s="1"/>
  <c r="B67" i="24" a="1"/>
  <c r="B67" i="24" s="1"/>
  <c r="AV66" i="24" a="1"/>
  <c r="AV66" i="24" s="1"/>
  <c r="AT66" i="24"/>
  <c r="AT66" i="24" a="1"/>
  <c r="AR66" i="24" a="1"/>
  <c r="AR66" i="24" s="1"/>
  <c r="AP66" i="24" a="1"/>
  <c r="AP66" i="24" s="1"/>
  <c r="AN66" i="24" a="1"/>
  <c r="AN66" i="24" s="1"/>
  <c r="AL66" i="24" a="1"/>
  <c r="AL66" i="24" s="1"/>
  <c r="AL68" i="24" s="1"/>
  <c r="AJ66" i="24" a="1"/>
  <c r="AJ66" i="24" s="1"/>
  <c r="AJ68" i="24" s="1"/>
  <c r="AH66" i="24" a="1"/>
  <c r="AH66" i="24" s="1"/>
  <c r="AF66" i="24" a="1"/>
  <c r="AF66" i="24" s="1"/>
  <c r="AD66" i="24"/>
  <c r="AD68" i="24" s="1"/>
  <c r="AD66" i="24" a="1"/>
  <c r="AB66" i="24" a="1"/>
  <c r="AB66" i="24" s="1"/>
  <c r="Z66" i="24" a="1"/>
  <c r="Z66" i="24" s="1"/>
  <c r="Z68" i="24" s="1"/>
  <c r="X66" i="24" a="1"/>
  <c r="X66" i="24" s="1"/>
  <c r="X68" i="24" s="1"/>
  <c r="V66" i="24" a="1"/>
  <c r="V66" i="24" s="1"/>
  <c r="T66" i="24" a="1"/>
  <c r="T66" i="24" s="1"/>
  <c r="R66" i="24" a="1"/>
  <c r="R66" i="24" s="1"/>
  <c r="P66" i="24" a="1"/>
  <c r="P66" i="24" s="1"/>
  <c r="N66" i="24"/>
  <c r="N66" i="24" a="1"/>
  <c r="L66" i="24" a="1"/>
  <c r="L66" i="24" s="1"/>
  <c r="J66" i="24" a="1"/>
  <c r="J66" i="24" s="1"/>
  <c r="J68" i="24" s="1"/>
  <c r="H66" i="24" a="1"/>
  <c r="H66" i="24" s="1"/>
  <c r="H68" i="24" s="1"/>
  <c r="F66" i="24" a="1"/>
  <c r="F66" i="24" s="1"/>
  <c r="F68" i="24" s="1"/>
  <c r="D66" i="24" a="1"/>
  <c r="D66" i="24" s="1"/>
  <c r="B66" i="24" a="1"/>
  <c r="B66" i="24" s="1"/>
  <c r="B68" i="24" s="1"/>
  <c r="AV65" i="24" a="1"/>
  <c r="AV65" i="24" s="1"/>
  <c r="AV69" i="24" s="1"/>
  <c r="AT65" i="24" a="1"/>
  <c r="AT65" i="24" s="1"/>
  <c r="AT69" i="24" s="1"/>
  <c r="AR65" i="24" a="1"/>
  <c r="AR65" i="24" s="1"/>
  <c r="AR69" i="24" s="1"/>
  <c r="AP65" i="24" a="1"/>
  <c r="AP65" i="24" s="1"/>
  <c r="AP69" i="24" s="1"/>
  <c r="AN65" i="24" a="1"/>
  <c r="AN65" i="24" s="1"/>
  <c r="AN69" i="24" s="1"/>
  <c r="AL65" i="24" a="1"/>
  <c r="AL65" i="24" s="1"/>
  <c r="AL69" i="24" s="1"/>
  <c r="AJ65" i="24" a="1"/>
  <c r="AJ65" i="24" s="1"/>
  <c r="AJ69" i="24" s="1"/>
  <c r="AH65" i="24" a="1"/>
  <c r="AH65" i="24" s="1"/>
  <c r="AH69" i="24" s="1"/>
  <c r="AF65" i="24" a="1"/>
  <c r="AF65" i="24" s="1"/>
  <c r="AF69" i="24" s="1"/>
  <c r="AD65" i="24" a="1"/>
  <c r="AD65" i="24" s="1"/>
  <c r="AD69" i="24" s="1"/>
  <c r="AB65" i="24" a="1"/>
  <c r="AB65" i="24" s="1"/>
  <c r="AB69" i="24" s="1"/>
  <c r="Z65" i="24" a="1"/>
  <c r="Z65" i="24" s="1"/>
  <c r="Z69" i="24" s="1"/>
  <c r="X65" i="24" a="1"/>
  <c r="X65" i="24" s="1"/>
  <c r="X69" i="24" s="1"/>
  <c r="V65" i="24" a="1"/>
  <c r="V65" i="24" s="1"/>
  <c r="V69" i="24" s="1"/>
  <c r="T65" i="24" a="1"/>
  <c r="T65" i="24" s="1"/>
  <c r="T69" i="24" s="1"/>
  <c r="R65" i="24" a="1"/>
  <c r="R65" i="24" s="1"/>
  <c r="R69" i="24" s="1"/>
  <c r="P65" i="24" a="1"/>
  <c r="P65" i="24" s="1"/>
  <c r="P69" i="24" s="1"/>
  <c r="N65" i="24"/>
  <c r="N69" i="24" s="1"/>
  <c r="N65" i="24" a="1"/>
  <c r="L65" i="24" a="1"/>
  <c r="L65" i="24" s="1"/>
  <c r="L69" i="24" s="1"/>
  <c r="J65" i="24" a="1"/>
  <c r="J65" i="24" s="1"/>
  <c r="J69" i="24" s="1"/>
  <c r="H65" i="24" a="1"/>
  <c r="H65" i="24" s="1"/>
  <c r="H69" i="24" s="1"/>
  <c r="F65" i="24" a="1"/>
  <c r="F65" i="24" s="1"/>
  <c r="F69" i="24" s="1"/>
  <c r="D65" i="24" a="1"/>
  <c r="D65" i="24" s="1"/>
  <c r="D69" i="24" s="1"/>
  <c r="B65" i="24"/>
  <c r="AV62" i="24"/>
  <c r="AT62" i="24"/>
  <c r="AR62" i="24"/>
  <c r="AP62" i="24"/>
  <c r="AN62" i="24"/>
  <c r="AL62" i="24"/>
  <c r="AJ62" i="24"/>
  <c r="AH62" i="24"/>
  <c r="AF62" i="24"/>
  <c r="AD62" i="24"/>
  <c r="AB62" i="24"/>
  <c r="Z62" i="24"/>
  <c r="X62" i="24"/>
  <c r="V62" i="24"/>
  <c r="T62" i="24"/>
  <c r="R62" i="24"/>
  <c r="P62" i="24"/>
  <c r="N62" i="24"/>
  <c r="L62" i="24"/>
  <c r="J62" i="24"/>
  <c r="H62" i="24"/>
  <c r="F62" i="24"/>
  <c r="D62" i="24"/>
  <c r="B62" i="24"/>
  <c r="AV60" i="24"/>
  <c r="AT60" i="24"/>
  <c r="AR60" i="24"/>
  <c r="AP60" i="24"/>
  <c r="AN60" i="24"/>
  <c r="AL60" i="24"/>
  <c r="AJ60" i="24"/>
  <c r="AH60" i="24"/>
  <c r="AF60" i="24"/>
  <c r="AD60" i="24"/>
  <c r="AB60" i="24"/>
  <c r="Z60" i="24"/>
  <c r="X60" i="24"/>
  <c r="V60" i="24"/>
  <c r="T60" i="24"/>
  <c r="R60" i="24"/>
  <c r="P60" i="24"/>
  <c r="N60" i="24"/>
  <c r="L60" i="24"/>
  <c r="J60" i="24"/>
  <c r="H60" i="24"/>
  <c r="F60" i="24"/>
  <c r="D60" i="24"/>
  <c r="B60" i="24"/>
  <c r="AV59" i="24"/>
  <c r="AT59" i="24"/>
  <c r="AR59" i="24"/>
  <c r="AP59" i="24"/>
  <c r="AN59" i="24"/>
  <c r="AL59" i="24"/>
  <c r="AJ59" i="24"/>
  <c r="AH59" i="24"/>
  <c r="AF59" i="24"/>
  <c r="AD59" i="24"/>
  <c r="AB59" i="24"/>
  <c r="Z59" i="24"/>
  <c r="X59" i="24"/>
  <c r="V59" i="24"/>
  <c r="T59" i="24"/>
  <c r="R59" i="24"/>
  <c r="P59" i="24"/>
  <c r="N59" i="24"/>
  <c r="L59" i="24"/>
  <c r="J59" i="24"/>
  <c r="H59" i="24"/>
  <c r="F59" i="24"/>
  <c r="D59" i="24"/>
  <c r="B59" i="24"/>
  <c r="AV58" i="24"/>
  <c r="AV58" i="24" a="1"/>
  <c r="AT58" i="24" a="1"/>
  <c r="AT58" i="24" s="1"/>
  <c r="AR58" i="24" a="1"/>
  <c r="AR58" i="24" s="1"/>
  <c r="AP58" i="24" a="1"/>
  <c r="AP58" i="24" s="1"/>
  <c r="AN58" i="24" a="1"/>
  <c r="AN58" i="24" s="1"/>
  <c r="AL58" i="24" a="1"/>
  <c r="AL58" i="24" s="1"/>
  <c r="AJ58" i="24" a="1"/>
  <c r="AJ58" i="24" s="1"/>
  <c r="AH58" i="24" a="1"/>
  <c r="AH58" i="24" s="1"/>
  <c r="AF58" i="24" a="1"/>
  <c r="AF58" i="24" s="1"/>
  <c r="AD58" i="24" a="1"/>
  <c r="AD58" i="24" s="1"/>
  <c r="AB58" i="24" a="1"/>
  <c r="AB58" i="24" s="1"/>
  <c r="Z58" i="24" a="1"/>
  <c r="Z58" i="24" s="1"/>
  <c r="X58" i="24" a="1"/>
  <c r="X58" i="24" s="1"/>
  <c r="V58" i="24" a="1"/>
  <c r="V58" i="24" s="1"/>
  <c r="T58" i="24"/>
  <c r="T58" i="24" a="1"/>
  <c r="R58" i="24" a="1"/>
  <c r="R58" i="24" s="1"/>
  <c r="P58" i="24" a="1"/>
  <c r="P58" i="24" s="1"/>
  <c r="N58" i="24" a="1"/>
  <c r="N58" i="24" s="1"/>
  <c r="L58" i="24" a="1"/>
  <c r="L58" i="24" s="1"/>
  <c r="J58" i="24" a="1"/>
  <c r="J58" i="24" s="1"/>
  <c r="H58" i="24" a="1"/>
  <c r="H58" i="24" s="1"/>
  <c r="F58" i="24" a="1"/>
  <c r="F58" i="24" s="1"/>
  <c r="D58" i="24"/>
  <c r="D58" i="24" a="1"/>
  <c r="B58" i="24" a="1"/>
  <c r="B58" i="24" s="1"/>
  <c r="AV57" i="24"/>
  <c r="AV57" i="24" a="1"/>
  <c r="AT57" i="24" a="1"/>
  <c r="AT57" i="24" s="1"/>
  <c r="AR57" i="24" a="1"/>
  <c r="AR57" i="24" s="1"/>
  <c r="AP57" i="24" a="1"/>
  <c r="AP57" i="24" s="1"/>
  <c r="AN57" i="24" a="1"/>
  <c r="AN57" i="24" s="1"/>
  <c r="AL57" i="24" a="1"/>
  <c r="AL57" i="24" s="1"/>
  <c r="AJ57" i="24" a="1"/>
  <c r="AJ57" i="24" s="1"/>
  <c r="AH57" i="24" a="1"/>
  <c r="AH57" i="24" s="1"/>
  <c r="AF57" i="24"/>
  <c r="AF57" i="24" a="1"/>
  <c r="AD57" i="24" a="1"/>
  <c r="AD57" i="24" s="1"/>
  <c r="AB57" i="24" a="1"/>
  <c r="AB57" i="24" s="1"/>
  <c r="Z57" i="24" a="1"/>
  <c r="Z57" i="24" s="1"/>
  <c r="X57" i="24" a="1"/>
  <c r="X57" i="24" s="1"/>
  <c r="V57" i="24" a="1"/>
  <c r="V57" i="24" s="1"/>
  <c r="T57" i="24" a="1"/>
  <c r="T57" i="24" s="1"/>
  <c r="R57" i="24" a="1"/>
  <c r="R57" i="24" s="1"/>
  <c r="P57" i="24" a="1"/>
  <c r="P57" i="24" s="1"/>
  <c r="N57" i="24" a="1"/>
  <c r="N57" i="24" s="1"/>
  <c r="L57" i="24" a="1"/>
  <c r="L57" i="24" s="1"/>
  <c r="J57" i="24" a="1"/>
  <c r="J57" i="24" s="1"/>
  <c r="H57" i="24" a="1"/>
  <c r="H57" i="24" s="1"/>
  <c r="F57" i="24" a="1"/>
  <c r="F57" i="24" s="1"/>
  <c r="D57" i="24"/>
  <c r="D57" i="24" a="1"/>
  <c r="B57" i="24" a="1"/>
  <c r="B57" i="24" s="1"/>
  <c r="AV56" i="24"/>
  <c r="AT56" i="24"/>
  <c r="AR56" i="24"/>
  <c r="AP56" i="24"/>
  <c r="AN56" i="24"/>
  <c r="AL56" i="24"/>
  <c r="AJ56" i="24"/>
  <c r="AH56" i="24"/>
  <c r="AF56" i="24"/>
  <c r="AD56" i="24"/>
  <c r="AB56" i="24"/>
  <c r="Z56" i="24"/>
  <c r="X56" i="24"/>
  <c r="V56" i="24"/>
  <c r="T56" i="24"/>
  <c r="R56" i="24"/>
  <c r="P56" i="24"/>
  <c r="N56" i="24"/>
  <c r="L56" i="24"/>
  <c r="J56" i="24"/>
  <c r="H56" i="24"/>
  <c r="F56" i="24"/>
  <c r="D56" i="24"/>
  <c r="B56" i="24"/>
  <c r="AV55" i="24"/>
  <c r="AT55" i="24"/>
  <c r="AR55" i="24"/>
  <c r="AP55" i="24"/>
  <c r="AP80" i="24" s="1"/>
  <c r="AN55" i="24"/>
  <c r="AN80" i="24" s="1"/>
  <c r="AL55" i="24"/>
  <c r="AL80" i="24" s="1"/>
  <c r="AJ55" i="24"/>
  <c r="AJ80" i="24" s="1"/>
  <c r="AH55" i="24"/>
  <c r="AF55" i="24"/>
  <c r="AF80" i="24" s="1"/>
  <c r="AD55" i="24"/>
  <c r="AB55" i="24"/>
  <c r="AB80" i="24" s="1"/>
  <c r="Z55" i="24"/>
  <c r="Z80" i="24" s="1"/>
  <c r="X55" i="24"/>
  <c r="V55" i="24"/>
  <c r="V80" i="24" s="1"/>
  <c r="T55" i="24"/>
  <c r="R55" i="24"/>
  <c r="P55" i="24"/>
  <c r="N55" i="24"/>
  <c r="L55" i="24"/>
  <c r="J55" i="24"/>
  <c r="H55" i="24"/>
  <c r="H80" i="24" s="1"/>
  <c r="F55" i="24"/>
  <c r="F80" i="24" s="1"/>
  <c r="D55" i="24"/>
  <c r="D80" i="24" s="1"/>
  <c r="B55" i="24"/>
  <c r="AV53" i="24" a="1"/>
  <c r="AT53" i="24" a="1"/>
  <c r="AR53" i="24" a="1"/>
  <c r="AP53" i="24" a="1"/>
  <c r="AN53" i="24" a="1"/>
  <c r="AL53" i="24" a="1"/>
  <c r="AJ53" i="24" a="1"/>
  <c r="AH53" i="24" a="1"/>
  <c r="AF53" i="24" a="1"/>
  <c r="AD53" i="24" a="1"/>
  <c r="AB53" i="24" a="1"/>
  <c r="Z53" i="24" a="1"/>
  <c r="X53" i="24" a="1"/>
  <c r="V53" i="24" a="1"/>
  <c r="T53" i="24" a="1"/>
  <c r="R53" i="24" a="1"/>
  <c r="P53" i="24" a="1"/>
  <c r="N53" i="24" a="1"/>
  <c r="L53" i="24" a="1"/>
  <c r="J53" i="24" a="1"/>
  <c r="H53" i="24" a="1"/>
  <c r="F53" i="24" a="1"/>
  <c r="D53" i="24" a="1"/>
  <c r="B53" i="24" a="1"/>
  <c r="AV52" i="24" a="1"/>
  <c r="AT52" i="24" a="1"/>
  <c r="AR52" i="24" a="1"/>
  <c r="AP52" i="24" a="1"/>
  <c r="AN52" i="24" a="1"/>
  <c r="AL52" i="24" a="1"/>
  <c r="AJ52" i="24" a="1"/>
  <c r="AH52" i="24" a="1"/>
  <c r="AF52" i="24" a="1"/>
  <c r="AD52" i="24" a="1"/>
  <c r="AB52" i="24" a="1"/>
  <c r="Z52" i="24" a="1"/>
  <c r="X52" i="24" a="1"/>
  <c r="V52" i="24" a="1"/>
  <c r="T52" i="24" a="1"/>
  <c r="R52" i="24" a="1"/>
  <c r="P52" i="24" a="1"/>
  <c r="N52" i="24" a="1"/>
  <c r="L52" i="24" a="1"/>
  <c r="J52" i="24" a="1"/>
  <c r="H52" i="24" a="1"/>
  <c r="F52" i="24" a="1"/>
  <c r="D52" i="24" a="1"/>
  <c r="B52" i="24" a="1"/>
  <c r="AV51" i="24"/>
  <c r="AV81" i="24" s="1"/>
  <c r="AT51" i="24"/>
  <c r="AR51" i="24"/>
  <c r="AR81" i="24" s="1"/>
  <c r="AP51" i="24"/>
  <c r="AP81" i="24" s="1"/>
  <c r="AN51" i="24"/>
  <c r="AL51" i="24"/>
  <c r="AL81" i="24" s="1"/>
  <c r="AJ51" i="24"/>
  <c r="AH51" i="24"/>
  <c r="AF51" i="24"/>
  <c r="AD51" i="24"/>
  <c r="AB51" i="24"/>
  <c r="Z51" i="24"/>
  <c r="Z81" i="24" s="1"/>
  <c r="X51" i="24"/>
  <c r="X81" i="24" s="1"/>
  <c r="V51" i="24"/>
  <c r="V81" i="24" s="1"/>
  <c r="T51" i="24"/>
  <c r="T81" i="24" s="1"/>
  <c r="R51" i="24"/>
  <c r="P51" i="24"/>
  <c r="P81" i="24" s="1"/>
  <c r="N51" i="24"/>
  <c r="L51" i="24"/>
  <c r="L81" i="24" s="1"/>
  <c r="J51" i="24"/>
  <c r="J81" i="24" s="1"/>
  <c r="H51" i="24"/>
  <c r="F51" i="24"/>
  <c r="F81" i="24" s="1"/>
  <c r="D51" i="24"/>
  <c r="B51" i="24"/>
  <c r="AV49" i="24"/>
  <c r="AT49" i="24"/>
  <c r="AR49" i="24"/>
  <c r="AP49" i="24"/>
  <c r="AN49" i="24"/>
  <c r="AL49" i="24"/>
  <c r="AJ49" i="24"/>
  <c r="AH49" i="24"/>
  <c r="AF49" i="24"/>
  <c r="AD49" i="24"/>
  <c r="AB49" i="24"/>
  <c r="Z49" i="24"/>
  <c r="X49" i="24"/>
  <c r="V49" i="24"/>
  <c r="T49" i="24"/>
  <c r="R49" i="24"/>
  <c r="P49" i="24"/>
  <c r="N49" i="24"/>
  <c r="L49" i="24"/>
  <c r="J49" i="24"/>
  <c r="H49" i="24"/>
  <c r="F49" i="24"/>
  <c r="D49" i="24"/>
  <c r="B49" i="24"/>
  <c r="AV48" i="24"/>
  <c r="AT48" i="24"/>
  <c r="AR48" i="24"/>
  <c r="AP48" i="24"/>
  <c r="AN48" i="24"/>
  <c r="AL48" i="24"/>
  <c r="AJ48" i="24"/>
  <c r="AH48" i="24"/>
  <c r="AF48" i="24"/>
  <c r="AD48" i="24"/>
  <c r="AB48" i="24"/>
  <c r="Z48" i="24"/>
  <c r="X48" i="24"/>
  <c r="V48" i="24"/>
  <c r="T48" i="24"/>
  <c r="R48" i="24"/>
  <c r="P48" i="24"/>
  <c r="N48" i="24"/>
  <c r="L48" i="24"/>
  <c r="J48" i="24"/>
  <c r="H48" i="24"/>
  <c r="F48" i="24"/>
  <c r="D48" i="24"/>
  <c r="B48" i="24"/>
  <c r="AV46" i="24"/>
  <c r="AT46" i="24"/>
  <c r="AR46" i="24"/>
  <c r="AP46" i="24"/>
  <c r="AN46" i="24"/>
  <c r="AL46" i="24"/>
  <c r="AJ46" i="24"/>
  <c r="AH46" i="24"/>
  <c r="AF46" i="24"/>
  <c r="AD46" i="24"/>
  <c r="AB46" i="24"/>
  <c r="Z46" i="24"/>
  <c r="X46" i="24"/>
  <c r="V46" i="24"/>
  <c r="T46" i="24"/>
  <c r="R46" i="24"/>
  <c r="P46" i="24"/>
  <c r="N46" i="24"/>
  <c r="L46" i="24"/>
  <c r="J46" i="24"/>
  <c r="H46" i="24"/>
  <c r="F46" i="24"/>
  <c r="D46" i="24"/>
  <c r="B46" i="24"/>
  <c r="AV45" i="24"/>
  <c r="AT45" i="24"/>
  <c r="AR45" i="24"/>
  <c r="AP45" i="24"/>
  <c r="AN45" i="24"/>
  <c r="AL45" i="24"/>
  <c r="AJ45" i="24"/>
  <c r="AH45" i="24"/>
  <c r="AF45" i="24"/>
  <c r="AD45" i="24"/>
  <c r="AB45" i="24"/>
  <c r="Z45" i="24"/>
  <c r="X45" i="24"/>
  <c r="V45" i="24"/>
  <c r="T45" i="24"/>
  <c r="R45" i="24"/>
  <c r="P45" i="24"/>
  <c r="N45" i="24"/>
  <c r="L45" i="24"/>
  <c r="J45" i="24"/>
  <c r="H45" i="24"/>
  <c r="F45" i="24"/>
  <c r="D45" i="24"/>
  <c r="B45" i="24"/>
  <c r="AV44" i="24"/>
  <c r="AT44" i="24"/>
  <c r="AR44" i="24"/>
  <c r="AP44" i="24"/>
  <c r="AN44" i="24"/>
  <c r="AL44" i="24"/>
  <c r="AJ44" i="24"/>
  <c r="AH44" i="24"/>
  <c r="AF44" i="24"/>
  <c r="AD44" i="24"/>
  <c r="AB44" i="24"/>
  <c r="Z44" i="24"/>
  <c r="X44" i="24"/>
  <c r="V44" i="24"/>
  <c r="T44" i="24"/>
  <c r="R44" i="24"/>
  <c r="P44" i="24"/>
  <c r="N44" i="24"/>
  <c r="L44" i="24"/>
  <c r="J44" i="24"/>
  <c r="H44" i="24"/>
  <c r="F44" i="24"/>
  <c r="D44" i="24"/>
  <c r="B44" i="24"/>
  <c r="AV43" i="24"/>
  <c r="AV43" i="24" a="1"/>
  <c r="AT43" i="24"/>
  <c r="AT43" i="24" a="1"/>
  <c r="AR43" i="24" a="1"/>
  <c r="AR43" i="24" s="1"/>
  <c r="AP43" i="24" a="1"/>
  <c r="AP43" i="24" s="1"/>
  <c r="AN43" i="24" a="1"/>
  <c r="AN43" i="24" s="1"/>
  <c r="AL43" i="24" a="1"/>
  <c r="AL43" i="24" s="1"/>
  <c r="AJ43" i="24"/>
  <c r="AJ43" i="24" a="1"/>
  <c r="AH43" i="24" a="1"/>
  <c r="AH43" i="24" s="1"/>
  <c r="AF43" i="24"/>
  <c r="AF43" i="24" a="1"/>
  <c r="AD43" i="24"/>
  <c r="AD43" i="24" a="1"/>
  <c r="AB43" i="24" a="1"/>
  <c r="AB43" i="24" s="1"/>
  <c r="Z43" i="24" a="1"/>
  <c r="Z43" i="24" s="1"/>
  <c r="X43" i="24" a="1"/>
  <c r="X43" i="24" s="1"/>
  <c r="V43" i="24" a="1"/>
  <c r="V43" i="24" s="1"/>
  <c r="T43" i="24"/>
  <c r="T43" i="24" a="1"/>
  <c r="R43" i="24" a="1"/>
  <c r="R43" i="24" s="1"/>
  <c r="P43" i="24"/>
  <c r="P43" i="24" a="1"/>
  <c r="N43" i="24"/>
  <c r="N43" i="24" a="1"/>
  <c r="L43" i="24" a="1"/>
  <c r="L43" i="24" s="1"/>
  <c r="J43" i="24" a="1"/>
  <c r="J43" i="24" s="1"/>
  <c r="H43" i="24" a="1"/>
  <c r="H43" i="24" s="1"/>
  <c r="F43" i="24" a="1"/>
  <c r="F43" i="24" s="1"/>
  <c r="D43" i="24"/>
  <c r="D43" i="24" a="1"/>
  <c r="B43" i="24"/>
  <c r="AV42" i="24"/>
  <c r="AT42" i="24"/>
  <c r="AR42" i="24"/>
  <c r="AP42" i="24"/>
  <c r="AN42" i="24"/>
  <c r="AL42" i="24"/>
  <c r="AJ42" i="24"/>
  <c r="AH42" i="24"/>
  <c r="AF42" i="24"/>
  <c r="AD42" i="24"/>
  <c r="AB42" i="24"/>
  <c r="Z42" i="24"/>
  <c r="X42" i="24"/>
  <c r="V42" i="24"/>
  <c r="T42" i="24"/>
  <c r="R42" i="24"/>
  <c r="P42" i="24"/>
  <c r="N42" i="24"/>
  <c r="L42" i="24"/>
  <c r="J42" i="24"/>
  <c r="H42" i="24"/>
  <c r="F42" i="24"/>
  <c r="D42" i="24"/>
  <c r="B42" i="24"/>
  <c r="AH81" i="18"/>
  <c r="AF81" i="18"/>
  <c r="AD81" i="18"/>
  <c r="AB81" i="18"/>
  <c r="Z81" i="18"/>
  <c r="R81" i="18"/>
  <c r="B81" i="18"/>
  <c r="AV80" i="18"/>
  <c r="AT80" i="18"/>
  <c r="AR80" i="18"/>
  <c r="AP80" i="18"/>
  <c r="AH80" i="18"/>
  <c r="R80" i="18"/>
  <c r="P80" i="18"/>
  <c r="N80" i="18"/>
  <c r="L80" i="18"/>
  <c r="J80" i="18"/>
  <c r="B80" i="18"/>
  <c r="AV79" i="18" a="1"/>
  <c r="AV79" i="18" s="1"/>
  <c r="AT79" i="18" a="1"/>
  <c r="AT79" i="18" s="1"/>
  <c r="AR79" i="18" a="1"/>
  <c r="AR79" i="18" s="1"/>
  <c r="AP79" i="18" a="1"/>
  <c r="AP79" i="18" s="1"/>
  <c r="AN79" i="18" a="1"/>
  <c r="AN79" i="18" s="1"/>
  <c r="AL79" i="18" a="1"/>
  <c r="AL79" i="18" s="1"/>
  <c r="AJ79" i="18" a="1"/>
  <c r="AJ79" i="18" s="1"/>
  <c r="AH79" i="18" a="1"/>
  <c r="AH79" i="18" s="1"/>
  <c r="AF79" i="18" a="1"/>
  <c r="AF79" i="18" s="1"/>
  <c r="AD79" i="18" a="1"/>
  <c r="AD79" i="18" s="1"/>
  <c r="AB79" i="18" a="1"/>
  <c r="AB79" i="18" s="1"/>
  <c r="Z79" i="18" a="1"/>
  <c r="Z79" i="18" s="1"/>
  <c r="X79" i="18" a="1"/>
  <c r="X79" i="18" s="1"/>
  <c r="V79" i="18" a="1"/>
  <c r="V79" i="18" s="1"/>
  <c r="T79" i="18" a="1"/>
  <c r="T79" i="18" s="1"/>
  <c r="R79" i="18" a="1"/>
  <c r="R79" i="18" s="1"/>
  <c r="P79" i="18" a="1"/>
  <c r="P79" i="18" s="1"/>
  <c r="N79" i="18" a="1"/>
  <c r="N79" i="18" s="1"/>
  <c r="L79" i="18" a="1"/>
  <c r="L79" i="18" s="1"/>
  <c r="J79" i="18" a="1"/>
  <c r="J79" i="18" s="1"/>
  <c r="H79" i="18" a="1"/>
  <c r="H79" i="18" s="1"/>
  <c r="F79" i="18" a="1"/>
  <c r="F79" i="18" s="1"/>
  <c r="D79" i="18" a="1"/>
  <c r="D79" i="18" s="1"/>
  <c r="B79" i="18" a="1"/>
  <c r="B79" i="18" s="1"/>
  <c r="AV78" i="18" a="1"/>
  <c r="AV78" i="18" s="1"/>
  <c r="AT78" i="18" a="1"/>
  <c r="AT78" i="18" s="1"/>
  <c r="AR78" i="18" a="1"/>
  <c r="AR78" i="18" s="1"/>
  <c r="AP78" i="18" a="1"/>
  <c r="AP78" i="18" s="1"/>
  <c r="AN78" i="18" a="1"/>
  <c r="AN78" i="18" s="1"/>
  <c r="AL78" i="18" a="1"/>
  <c r="AL78" i="18" s="1"/>
  <c r="AJ78" i="18" a="1"/>
  <c r="AJ78" i="18" s="1"/>
  <c r="AH78" i="18" a="1"/>
  <c r="AH78" i="18" s="1"/>
  <c r="AF78" i="18" a="1"/>
  <c r="AF78" i="18" s="1"/>
  <c r="AD78" i="18" a="1"/>
  <c r="AD78" i="18" s="1"/>
  <c r="AB78" i="18" a="1"/>
  <c r="AB78" i="18" s="1"/>
  <c r="Z78" i="18" a="1"/>
  <c r="Z78" i="18" s="1"/>
  <c r="X78" i="18" a="1"/>
  <c r="X78" i="18" s="1"/>
  <c r="V78" i="18" a="1"/>
  <c r="V78" i="18" s="1"/>
  <c r="T78" i="18" a="1"/>
  <c r="T78" i="18" s="1"/>
  <c r="R78" i="18" a="1"/>
  <c r="R78" i="18" s="1"/>
  <c r="P78" i="18" a="1"/>
  <c r="P78" i="18" s="1"/>
  <c r="N78" i="18" a="1"/>
  <c r="N78" i="18" s="1"/>
  <c r="L78" i="18" a="1"/>
  <c r="L78" i="18" s="1"/>
  <c r="J78" i="18" a="1"/>
  <c r="J78" i="18" s="1"/>
  <c r="H78" i="18" a="1"/>
  <c r="H78" i="18" s="1"/>
  <c r="F78" i="18" a="1"/>
  <c r="F78" i="18" s="1"/>
  <c r="D78" i="18" a="1"/>
  <c r="D78" i="18" s="1"/>
  <c r="B78" i="18" a="1"/>
  <c r="B78" i="18" s="1"/>
  <c r="AV77" i="18" a="1"/>
  <c r="AV77" i="18" s="1"/>
  <c r="AT77" i="18" a="1"/>
  <c r="AT77" i="18" s="1"/>
  <c r="AR77" i="18" a="1"/>
  <c r="AR77" i="18" s="1"/>
  <c r="AP77" i="18" a="1"/>
  <c r="AP77" i="18" s="1"/>
  <c r="AN77" i="18" a="1"/>
  <c r="AN77" i="18" s="1"/>
  <c r="AL77" i="18" a="1"/>
  <c r="AL77" i="18" s="1"/>
  <c r="AJ77" i="18" a="1"/>
  <c r="AJ77" i="18" s="1"/>
  <c r="AH77" i="18" a="1"/>
  <c r="AH77" i="18" s="1"/>
  <c r="AF77" i="18" a="1"/>
  <c r="AF77" i="18" s="1"/>
  <c r="AD77" i="18" a="1"/>
  <c r="AD77" i="18" s="1"/>
  <c r="AB77" i="18" a="1"/>
  <c r="AB77" i="18" s="1"/>
  <c r="Z77" i="18" a="1"/>
  <c r="Z77" i="18" s="1"/>
  <c r="X77" i="18" a="1"/>
  <c r="X77" i="18" s="1"/>
  <c r="V77" i="18" a="1"/>
  <c r="V77" i="18" s="1"/>
  <c r="T77" i="18" a="1"/>
  <c r="T77" i="18" s="1"/>
  <c r="R77" i="18" a="1"/>
  <c r="R77" i="18" s="1"/>
  <c r="P77" i="18" a="1"/>
  <c r="P77" i="18" s="1"/>
  <c r="N77" i="18" a="1"/>
  <c r="N77" i="18" s="1"/>
  <c r="L77" i="18" a="1"/>
  <c r="L77" i="18" s="1"/>
  <c r="J77" i="18" a="1"/>
  <c r="J77" i="18" s="1"/>
  <c r="H77" i="18" a="1"/>
  <c r="H77" i="18" s="1"/>
  <c r="F77" i="18" a="1"/>
  <c r="F77" i="18" s="1"/>
  <c r="D77" i="18" a="1"/>
  <c r="D77" i="18" s="1"/>
  <c r="B77" i="18" a="1"/>
  <c r="B77" i="18" s="1"/>
  <c r="AV76" i="18" a="1"/>
  <c r="AV76" i="18" s="1"/>
  <c r="AT76" i="18" a="1"/>
  <c r="AT76" i="18" s="1"/>
  <c r="AR76" i="18" a="1"/>
  <c r="AR76" i="18" s="1"/>
  <c r="AP76" i="18" a="1"/>
  <c r="AP76" i="18" s="1"/>
  <c r="AN76" i="18" a="1"/>
  <c r="AN76" i="18" s="1"/>
  <c r="AL76" i="18" a="1"/>
  <c r="AL76" i="18" s="1"/>
  <c r="AJ76" i="18" a="1"/>
  <c r="AJ76" i="18" s="1"/>
  <c r="AH76" i="18" a="1"/>
  <c r="AH76" i="18" s="1"/>
  <c r="AF76" i="18" a="1"/>
  <c r="AF76" i="18" s="1"/>
  <c r="AD76" i="18" a="1"/>
  <c r="AD76" i="18" s="1"/>
  <c r="AB76" i="18" a="1"/>
  <c r="AB76" i="18" s="1"/>
  <c r="Z76" i="18" a="1"/>
  <c r="Z76" i="18" s="1"/>
  <c r="X76" i="18" a="1"/>
  <c r="X76" i="18" s="1"/>
  <c r="V76" i="18" a="1"/>
  <c r="V76" i="18" s="1"/>
  <c r="T76" i="18" a="1"/>
  <c r="T76" i="18" s="1"/>
  <c r="R76" i="18" a="1"/>
  <c r="R76" i="18" s="1"/>
  <c r="P76" i="18" a="1"/>
  <c r="P76" i="18" s="1"/>
  <c r="N76" i="18" a="1"/>
  <c r="N76" i="18" s="1"/>
  <c r="L76" i="18" a="1"/>
  <c r="L76" i="18" s="1"/>
  <c r="J76" i="18" a="1"/>
  <c r="J76" i="18" s="1"/>
  <c r="H76" i="18" a="1"/>
  <c r="H76" i="18" s="1"/>
  <c r="F76" i="18" a="1"/>
  <c r="F76" i="18" s="1"/>
  <c r="D76" i="18" a="1"/>
  <c r="D76" i="18" s="1"/>
  <c r="B76" i="18" a="1"/>
  <c r="B76" i="18" s="1"/>
  <c r="AV75" i="18" a="1"/>
  <c r="AV75" i="18" s="1"/>
  <c r="AT75" i="18" a="1"/>
  <c r="AT75" i="18" s="1"/>
  <c r="AR75" i="18" a="1"/>
  <c r="AR75" i="18" s="1"/>
  <c r="AP75" i="18" a="1"/>
  <c r="AP75" i="18" s="1"/>
  <c r="AN75" i="18" a="1"/>
  <c r="AN75" i="18" s="1"/>
  <c r="AL75" i="18" a="1"/>
  <c r="AL75" i="18" s="1"/>
  <c r="AJ75" i="18" a="1"/>
  <c r="AJ75" i="18" s="1"/>
  <c r="AH75" i="18" a="1"/>
  <c r="AH75" i="18" s="1"/>
  <c r="AF75" i="18" a="1"/>
  <c r="AF75" i="18" s="1"/>
  <c r="AD75" i="18" a="1"/>
  <c r="AD75" i="18" s="1"/>
  <c r="AB75" i="18" a="1"/>
  <c r="AB75" i="18" s="1"/>
  <c r="Z75" i="18" a="1"/>
  <c r="Z75" i="18" s="1"/>
  <c r="X75" i="18" a="1"/>
  <c r="X75" i="18" s="1"/>
  <c r="V75" i="18" a="1"/>
  <c r="V75" i="18" s="1"/>
  <c r="T75" i="18" a="1"/>
  <c r="T75" i="18" s="1"/>
  <c r="R75" i="18" a="1"/>
  <c r="R75" i="18" s="1"/>
  <c r="P75" i="18" a="1"/>
  <c r="P75" i="18" s="1"/>
  <c r="N75" i="18" a="1"/>
  <c r="N75" i="18" s="1"/>
  <c r="L75" i="18" a="1"/>
  <c r="L75" i="18" s="1"/>
  <c r="J75" i="18" a="1"/>
  <c r="J75" i="18" s="1"/>
  <c r="H75" i="18" a="1"/>
  <c r="H75" i="18" s="1"/>
  <c r="F75" i="18" a="1"/>
  <c r="F75" i="18" s="1"/>
  <c r="D75" i="18" a="1"/>
  <c r="D75" i="18" s="1"/>
  <c r="B75" i="18" a="1"/>
  <c r="B75" i="18" s="1"/>
  <c r="AV74" i="18" a="1"/>
  <c r="AV74" i="18" s="1"/>
  <c r="AT74" i="18" a="1"/>
  <c r="AT74" i="18" s="1"/>
  <c r="AR74" i="18" a="1"/>
  <c r="AR74" i="18" s="1"/>
  <c r="AP74" i="18" a="1"/>
  <c r="AP74" i="18" s="1"/>
  <c r="AN74" i="18" a="1"/>
  <c r="AN74" i="18" s="1"/>
  <c r="AL74" i="18" a="1"/>
  <c r="AL74" i="18" s="1"/>
  <c r="AJ74" i="18" a="1"/>
  <c r="AJ74" i="18" s="1"/>
  <c r="AH74" i="18" a="1"/>
  <c r="AH74" i="18" s="1"/>
  <c r="AF74" i="18" a="1"/>
  <c r="AF74" i="18" s="1"/>
  <c r="AD74" i="18" a="1"/>
  <c r="AD74" i="18" s="1"/>
  <c r="AB74" i="18" a="1"/>
  <c r="AB74" i="18" s="1"/>
  <c r="Z74" i="18" a="1"/>
  <c r="Z74" i="18" s="1"/>
  <c r="X74" i="18" a="1"/>
  <c r="X74" i="18" s="1"/>
  <c r="V74" i="18" a="1"/>
  <c r="V74" i="18" s="1"/>
  <c r="T74" i="18" a="1"/>
  <c r="T74" i="18" s="1"/>
  <c r="R74" i="18" a="1"/>
  <c r="R74" i="18" s="1"/>
  <c r="P74" i="18" a="1"/>
  <c r="P74" i="18" s="1"/>
  <c r="N74" i="18" a="1"/>
  <c r="N74" i="18" s="1"/>
  <c r="L74" i="18" a="1"/>
  <c r="L74" i="18" s="1"/>
  <c r="J74" i="18" a="1"/>
  <c r="J74" i="18" s="1"/>
  <c r="H74" i="18" a="1"/>
  <c r="H74" i="18" s="1"/>
  <c r="F74" i="18" a="1"/>
  <c r="F74" i="18" s="1"/>
  <c r="D74" i="18" a="1"/>
  <c r="D74" i="18" s="1"/>
  <c r="B74" i="18" a="1"/>
  <c r="B74" i="18" s="1"/>
  <c r="AV73" i="18" a="1"/>
  <c r="AV73" i="18" s="1"/>
  <c r="AT73" i="18" a="1"/>
  <c r="AT73" i="18" s="1"/>
  <c r="AR73" i="18" a="1"/>
  <c r="AR73" i="18" s="1"/>
  <c r="AP73" i="18" a="1"/>
  <c r="AP73" i="18" s="1"/>
  <c r="AN73" i="18" a="1"/>
  <c r="AN73" i="18" s="1"/>
  <c r="AL73" i="18" a="1"/>
  <c r="AL73" i="18" s="1"/>
  <c r="AJ73" i="18" a="1"/>
  <c r="AJ73" i="18" s="1"/>
  <c r="AH73" i="18" a="1"/>
  <c r="AH73" i="18" s="1"/>
  <c r="AF73" i="18" a="1"/>
  <c r="AF73" i="18" s="1"/>
  <c r="AD73" i="18" a="1"/>
  <c r="AD73" i="18" s="1"/>
  <c r="AB73" i="18" a="1"/>
  <c r="AB73" i="18" s="1"/>
  <c r="Z73" i="18" a="1"/>
  <c r="Z73" i="18" s="1"/>
  <c r="X73" i="18" a="1"/>
  <c r="X73" i="18" s="1"/>
  <c r="V73" i="18" a="1"/>
  <c r="V73" i="18" s="1"/>
  <c r="T73" i="18" a="1"/>
  <c r="T73" i="18" s="1"/>
  <c r="R73" i="18" a="1"/>
  <c r="R73" i="18" s="1"/>
  <c r="P73" i="18" a="1"/>
  <c r="P73" i="18" s="1"/>
  <c r="N73" i="18" a="1"/>
  <c r="N73" i="18" s="1"/>
  <c r="L73" i="18" a="1"/>
  <c r="L73" i="18" s="1"/>
  <c r="J73" i="18" a="1"/>
  <c r="J73" i="18" s="1"/>
  <c r="H73" i="18" a="1"/>
  <c r="H73" i="18" s="1"/>
  <c r="F73" i="18" a="1"/>
  <c r="F73" i="18" s="1"/>
  <c r="D73" i="18" a="1"/>
  <c r="D73" i="18" s="1"/>
  <c r="B73" i="18" a="1"/>
  <c r="B73" i="18" s="1"/>
  <c r="AV72" i="18"/>
  <c r="AT72" i="18"/>
  <c r="AR72" i="18"/>
  <c r="AP72" i="18"/>
  <c r="AN72" i="18"/>
  <c r="AL72" i="18"/>
  <c r="AJ72" i="18"/>
  <c r="AH72" i="18"/>
  <c r="AF72" i="18"/>
  <c r="AD72" i="18"/>
  <c r="AB72" i="18"/>
  <c r="Z72" i="18"/>
  <c r="X72" i="18"/>
  <c r="V72" i="18"/>
  <c r="T72" i="18"/>
  <c r="R72" i="18"/>
  <c r="P72" i="18"/>
  <c r="N72" i="18"/>
  <c r="L72" i="18"/>
  <c r="J72" i="18"/>
  <c r="H72" i="18"/>
  <c r="F72" i="18"/>
  <c r="D72" i="18"/>
  <c r="B72" i="18"/>
  <c r="AV71" i="18"/>
  <c r="AT71" i="18"/>
  <c r="AR71" i="18"/>
  <c r="AP71" i="18"/>
  <c r="AN71" i="18"/>
  <c r="AL71" i="18"/>
  <c r="AJ71" i="18"/>
  <c r="AH71" i="18"/>
  <c r="AF71" i="18"/>
  <c r="AD71" i="18"/>
  <c r="AB71" i="18"/>
  <c r="Z71" i="18"/>
  <c r="X71" i="18"/>
  <c r="V71" i="18"/>
  <c r="T71" i="18"/>
  <c r="R71" i="18"/>
  <c r="P71" i="18"/>
  <c r="N71" i="18"/>
  <c r="L71" i="18"/>
  <c r="J71" i="18"/>
  <c r="H71" i="18"/>
  <c r="F71" i="18"/>
  <c r="D71" i="18"/>
  <c r="B71" i="18"/>
  <c r="AV70" i="18"/>
  <c r="AT70" i="18"/>
  <c r="AR70" i="18"/>
  <c r="AP70" i="18"/>
  <c r="AN70" i="18"/>
  <c r="AL70" i="18"/>
  <c r="AJ70" i="18"/>
  <c r="AH70" i="18"/>
  <c r="AF70" i="18"/>
  <c r="AD70" i="18"/>
  <c r="AB70" i="18"/>
  <c r="Z70" i="18"/>
  <c r="X70" i="18"/>
  <c r="V70" i="18"/>
  <c r="T70" i="18"/>
  <c r="R70" i="18"/>
  <c r="P70" i="18"/>
  <c r="N70" i="18"/>
  <c r="L70" i="18"/>
  <c r="J70" i="18"/>
  <c r="H70" i="18"/>
  <c r="F70" i="18"/>
  <c r="D70" i="18"/>
  <c r="B70" i="18"/>
  <c r="B69" i="18"/>
  <c r="AV67" i="18" a="1"/>
  <c r="AV67" i="18" s="1"/>
  <c r="AT67" i="18" a="1"/>
  <c r="AT67" i="18" s="1"/>
  <c r="AR67" i="18" a="1"/>
  <c r="AR67" i="18" s="1"/>
  <c r="AP67" i="18" a="1"/>
  <c r="AP67" i="18" s="1"/>
  <c r="AN67" i="18" a="1"/>
  <c r="AN67" i="18" s="1"/>
  <c r="AL67" i="18" a="1"/>
  <c r="AL67" i="18" s="1"/>
  <c r="AJ67" i="18" a="1"/>
  <c r="AJ67" i="18" s="1"/>
  <c r="AH67" i="18" a="1"/>
  <c r="AH67" i="18" s="1"/>
  <c r="AF67" i="18" a="1"/>
  <c r="AF67" i="18" s="1"/>
  <c r="AD67" i="18" a="1"/>
  <c r="AD67" i="18" s="1"/>
  <c r="AB67" i="18" a="1"/>
  <c r="AB67" i="18" s="1"/>
  <c r="Z67" i="18" a="1"/>
  <c r="Z67" i="18" s="1"/>
  <c r="X67" i="18" a="1"/>
  <c r="X67" i="18" s="1"/>
  <c r="V67" i="18" a="1"/>
  <c r="V67" i="18" s="1"/>
  <c r="T67" i="18" a="1"/>
  <c r="T67" i="18" s="1"/>
  <c r="R67" i="18" a="1"/>
  <c r="R67" i="18" s="1"/>
  <c r="P67" i="18" a="1"/>
  <c r="P67" i="18" s="1"/>
  <c r="N67" i="18" a="1"/>
  <c r="N67" i="18" s="1"/>
  <c r="L67" i="18" a="1"/>
  <c r="L67" i="18" s="1"/>
  <c r="J67" i="18" a="1"/>
  <c r="J67" i="18" s="1"/>
  <c r="H67" i="18" a="1"/>
  <c r="H67" i="18" s="1"/>
  <c r="F67" i="18" a="1"/>
  <c r="F67" i="18" s="1"/>
  <c r="D67" i="18" a="1"/>
  <c r="D67" i="18" s="1"/>
  <c r="B67" i="18" a="1"/>
  <c r="B67" i="18" s="1"/>
  <c r="AV66" i="18" a="1"/>
  <c r="AV66" i="18" s="1"/>
  <c r="AV68" i="18" s="1"/>
  <c r="AT66" i="18" a="1"/>
  <c r="AT66" i="18" s="1"/>
  <c r="AT68" i="18" s="1"/>
  <c r="AR66" i="18" a="1"/>
  <c r="AR66" i="18" s="1"/>
  <c r="AP66" i="18" a="1"/>
  <c r="AP66" i="18" s="1"/>
  <c r="AN66" i="18" a="1"/>
  <c r="AN66" i="18" s="1"/>
  <c r="AL66" i="18" a="1"/>
  <c r="AL66" i="18" s="1"/>
  <c r="AJ66" i="18" a="1"/>
  <c r="AJ66" i="18" s="1"/>
  <c r="AJ68" i="18" s="1"/>
  <c r="AH66" i="18" a="1"/>
  <c r="AH66" i="18" s="1"/>
  <c r="AH68" i="18" s="1"/>
  <c r="AF66" i="18" a="1"/>
  <c r="AF66" i="18" s="1"/>
  <c r="AD66" i="18" a="1"/>
  <c r="AD66" i="18" s="1"/>
  <c r="AB66" i="18" a="1"/>
  <c r="AB66" i="18" s="1"/>
  <c r="AB68" i="18" s="1"/>
  <c r="Z66" i="18" a="1"/>
  <c r="Z66" i="18" s="1"/>
  <c r="Z68" i="18" s="1"/>
  <c r="X66" i="18" a="1"/>
  <c r="X66" i="18" s="1"/>
  <c r="X68" i="18" s="1"/>
  <c r="V66" i="18" a="1"/>
  <c r="V66" i="18" s="1"/>
  <c r="V68" i="18" s="1"/>
  <c r="T66" i="18" a="1"/>
  <c r="T66" i="18" s="1"/>
  <c r="R66" i="18" a="1"/>
  <c r="R66" i="18" s="1"/>
  <c r="P66" i="18" a="1"/>
  <c r="P66" i="18" s="1"/>
  <c r="P68" i="18" s="1"/>
  <c r="N66" i="18" a="1"/>
  <c r="N66" i="18" s="1"/>
  <c r="N68" i="18" s="1"/>
  <c r="L66" i="18" a="1"/>
  <c r="L66" i="18" s="1"/>
  <c r="J66" i="18" a="1"/>
  <c r="J66" i="18" s="1"/>
  <c r="H66" i="18" a="1"/>
  <c r="H66" i="18" s="1"/>
  <c r="F66" i="18" a="1"/>
  <c r="F66" i="18" s="1"/>
  <c r="D66" i="18" a="1"/>
  <c r="D66" i="18" s="1"/>
  <c r="D68" i="18" s="1"/>
  <c r="B66" i="18" a="1"/>
  <c r="B66" i="18" s="1"/>
  <c r="B68" i="18" s="1"/>
  <c r="AV65" i="18" a="1"/>
  <c r="AV65" i="18" s="1"/>
  <c r="AV69" i="18" s="1"/>
  <c r="AT65" i="18" a="1"/>
  <c r="AT65" i="18" s="1"/>
  <c r="AT69" i="18" s="1"/>
  <c r="AR65" i="18" a="1"/>
  <c r="AR65" i="18" s="1"/>
  <c r="AR69" i="18" s="1"/>
  <c r="AP65" i="18" a="1"/>
  <c r="AP65" i="18" s="1"/>
  <c r="AP69" i="18" s="1"/>
  <c r="AN65" i="18" a="1"/>
  <c r="AN65" i="18" s="1"/>
  <c r="AN69" i="18" s="1"/>
  <c r="AL65" i="18" a="1"/>
  <c r="AL65" i="18" s="1"/>
  <c r="AL69" i="18" s="1"/>
  <c r="AJ65" i="18" a="1"/>
  <c r="AJ65" i="18" s="1"/>
  <c r="AJ69" i="18" s="1"/>
  <c r="AH65" i="18" a="1"/>
  <c r="AH65" i="18" s="1"/>
  <c r="AH69" i="18" s="1"/>
  <c r="AF65" i="18" a="1"/>
  <c r="AF65" i="18" s="1"/>
  <c r="AF69" i="18" s="1"/>
  <c r="AD65" i="18" a="1"/>
  <c r="AD65" i="18" s="1"/>
  <c r="AD69" i="18" s="1"/>
  <c r="AB65" i="18" a="1"/>
  <c r="AB65" i="18" s="1"/>
  <c r="AB69" i="18" s="1"/>
  <c r="Z65" i="18" a="1"/>
  <c r="Z65" i="18" s="1"/>
  <c r="Z69" i="18" s="1"/>
  <c r="X65" i="18" a="1"/>
  <c r="X65" i="18" s="1"/>
  <c r="X69" i="18" s="1"/>
  <c r="V65" i="18" a="1"/>
  <c r="V65" i="18" s="1"/>
  <c r="V69" i="18" s="1"/>
  <c r="T65" i="18" a="1"/>
  <c r="T65" i="18" s="1"/>
  <c r="T69" i="18" s="1"/>
  <c r="R65" i="18" a="1"/>
  <c r="R65" i="18" s="1"/>
  <c r="R69" i="18" s="1"/>
  <c r="P65" i="18" a="1"/>
  <c r="P65" i="18" s="1"/>
  <c r="P69" i="18" s="1"/>
  <c r="N65" i="18" a="1"/>
  <c r="N65" i="18" s="1"/>
  <c r="N69" i="18" s="1"/>
  <c r="L65" i="18" a="1"/>
  <c r="L65" i="18" s="1"/>
  <c r="L69" i="18" s="1"/>
  <c r="J65" i="18" a="1"/>
  <c r="J65" i="18" s="1"/>
  <c r="J69" i="18" s="1"/>
  <c r="H65" i="18" a="1"/>
  <c r="H65" i="18" s="1"/>
  <c r="H69" i="18" s="1"/>
  <c r="F65" i="18" a="1"/>
  <c r="F65" i="18" s="1"/>
  <c r="F69" i="18" s="1"/>
  <c r="D65" i="18" a="1"/>
  <c r="D65" i="18" s="1"/>
  <c r="D69" i="18" s="1"/>
  <c r="B65" i="18"/>
  <c r="AV62" i="18"/>
  <c r="AT62" i="18"/>
  <c r="AR62" i="18"/>
  <c r="AP62" i="18"/>
  <c r="AN62" i="18"/>
  <c r="AL62" i="18"/>
  <c r="AJ62" i="18"/>
  <c r="AH62" i="18"/>
  <c r="AF62" i="18"/>
  <c r="AD62" i="18"/>
  <c r="AB62" i="18"/>
  <c r="Z62" i="18"/>
  <c r="X62" i="18"/>
  <c r="V62" i="18"/>
  <c r="T62" i="18"/>
  <c r="R62" i="18"/>
  <c r="P62" i="18"/>
  <c r="N62" i="18"/>
  <c r="L62" i="18"/>
  <c r="J62" i="18"/>
  <c r="H62" i="18"/>
  <c r="F62" i="18"/>
  <c r="D62" i="18"/>
  <c r="B62" i="18"/>
  <c r="AV60" i="18"/>
  <c r="AT60" i="18"/>
  <c r="AR60" i="18"/>
  <c r="AP60" i="18"/>
  <c r="AN60" i="18"/>
  <c r="AL60" i="18"/>
  <c r="AJ60" i="18"/>
  <c r="AH60" i="18"/>
  <c r="AF60" i="18"/>
  <c r="AD60" i="18"/>
  <c r="AB60" i="18"/>
  <c r="Z60" i="18"/>
  <c r="X60" i="18"/>
  <c r="V60" i="18"/>
  <c r="T60" i="18"/>
  <c r="R60" i="18"/>
  <c r="P60" i="18"/>
  <c r="N60" i="18"/>
  <c r="L60" i="18"/>
  <c r="J60" i="18"/>
  <c r="H60" i="18"/>
  <c r="F60" i="18"/>
  <c r="D60" i="18"/>
  <c r="B60" i="18"/>
  <c r="AV59" i="18"/>
  <c r="AT59" i="18"/>
  <c r="AR59" i="18"/>
  <c r="AP59" i="18"/>
  <c r="AN59" i="18"/>
  <c r="AL59" i="18"/>
  <c r="AJ59" i="18"/>
  <c r="AH59" i="18"/>
  <c r="AF59" i="18"/>
  <c r="AD59" i="18"/>
  <c r="AB59" i="18"/>
  <c r="Z59" i="18"/>
  <c r="X59" i="18"/>
  <c r="V59" i="18"/>
  <c r="T59" i="18"/>
  <c r="R59" i="18"/>
  <c r="P59" i="18"/>
  <c r="N59" i="18"/>
  <c r="L59" i="18"/>
  <c r="J59" i="18"/>
  <c r="H59" i="18"/>
  <c r="F59" i="18"/>
  <c r="D59" i="18"/>
  <c r="B59" i="18"/>
  <c r="AV58" i="18" a="1"/>
  <c r="AV58" i="18" s="1"/>
  <c r="AT58" i="18"/>
  <c r="AT58" i="18" a="1"/>
  <c r="AR58" i="18" a="1"/>
  <c r="AR58" i="18" s="1"/>
  <c r="AP58" i="18" a="1"/>
  <c r="AP58" i="18" s="1"/>
  <c r="AN58" i="18" a="1"/>
  <c r="AN58" i="18" s="1"/>
  <c r="AL58" i="18" a="1"/>
  <c r="AL58" i="18" s="1"/>
  <c r="AJ58" i="18" a="1"/>
  <c r="AJ58" i="18" s="1"/>
  <c r="AH58" i="18" a="1"/>
  <c r="AH58" i="18" s="1"/>
  <c r="AF58" i="18" a="1"/>
  <c r="AF58" i="18" s="1"/>
  <c r="AD58" i="18" a="1"/>
  <c r="AD58" i="18" s="1"/>
  <c r="AB58" i="18" a="1"/>
  <c r="AB58" i="18" s="1"/>
  <c r="Z58" i="18" a="1"/>
  <c r="Z58" i="18" s="1"/>
  <c r="X58" i="18" a="1"/>
  <c r="X58" i="18" s="1"/>
  <c r="V58" i="18" a="1"/>
  <c r="V58" i="18" s="1"/>
  <c r="T58" i="18"/>
  <c r="T58" i="18" a="1"/>
  <c r="R58" i="18" a="1"/>
  <c r="R58" i="18" s="1"/>
  <c r="P58" i="18"/>
  <c r="P58" i="18" a="1"/>
  <c r="N58" i="18" a="1"/>
  <c r="N58" i="18" s="1"/>
  <c r="L58" i="18"/>
  <c r="L58" i="18" a="1"/>
  <c r="J58" i="18" a="1"/>
  <c r="J58" i="18" s="1"/>
  <c r="H58" i="18" a="1"/>
  <c r="H58" i="18" s="1"/>
  <c r="F58" i="18" a="1"/>
  <c r="F58" i="18" s="1"/>
  <c r="D58" i="18" a="1"/>
  <c r="D58" i="18" s="1"/>
  <c r="B58" i="18" a="1"/>
  <c r="B58" i="18" s="1"/>
  <c r="AV57" i="18" a="1"/>
  <c r="AV57" i="18" s="1"/>
  <c r="AT57" i="18" a="1"/>
  <c r="AT57" i="18" s="1"/>
  <c r="AR57" i="18"/>
  <c r="AR57" i="18" a="1"/>
  <c r="AP57" i="18" a="1"/>
  <c r="AP57" i="18" s="1"/>
  <c r="AN57" i="18" a="1"/>
  <c r="AN57" i="18" s="1"/>
  <c r="AL57" i="18" a="1"/>
  <c r="AL57" i="18" s="1"/>
  <c r="AJ57" i="18"/>
  <c r="AJ57" i="18" a="1"/>
  <c r="AH57" i="18" a="1"/>
  <c r="AH57" i="18" s="1"/>
  <c r="AF57" i="18" a="1"/>
  <c r="AF57" i="18" s="1"/>
  <c r="AD57" i="18" a="1"/>
  <c r="AD57" i="18" s="1"/>
  <c r="AB57" i="18" a="1"/>
  <c r="AB57" i="18" s="1"/>
  <c r="Z57" i="18" a="1"/>
  <c r="Z57" i="18" s="1"/>
  <c r="X57" i="18" a="1"/>
  <c r="X57" i="18" s="1"/>
  <c r="V57" i="18" a="1"/>
  <c r="V57" i="18" s="1"/>
  <c r="T57" i="18"/>
  <c r="T57" i="18" a="1"/>
  <c r="R57" i="18" a="1"/>
  <c r="R57" i="18" s="1"/>
  <c r="P57" i="18" a="1"/>
  <c r="P57" i="18" s="1"/>
  <c r="N57" i="18" a="1"/>
  <c r="N57" i="18" s="1"/>
  <c r="L57" i="18" a="1"/>
  <c r="L57" i="18" s="1"/>
  <c r="J57" i="18" a="1"/>
  <c r="J57" i="18" s="1"/>
  <c r="H57" i="18" a="1"/>
  <c r="H57" i="18" s="1"/>
  <c r="F57" i="18" a="1"/>
  <c r="F57" i="18" s="1"/>
  <c r="D57" i="18" a="1"/>
  <c r="D57" i="18" s="1"/>
  <c r="B57" i="18" a="1"/>
  <c r="B57" i="18" s="1"/>
  <c r="AV56" i="18"/>
  <c r="AT56" i="18"/>
  <c r="AR56" i="18"/>
  <c r="AP56" i="18"/>
  <c r="AN56" i="18"/>
  <c r="AL56" i="18"/>
  <c r="AJ56" i="18"/>
  <c r="AH56" i="18"/>
  <c r="AF56" i="18"/>
  <c r="AD56" i="18"/>
  <c r="AB56" i="18"/>
  <c r="Z56" i="18"/>
  <c r="X56" i="18"/>
  <c r="V56" i="18"/>
  <c r="T56" i="18"/>
  <c r="R56" i="18"/>
  <c r="P56" i="18"/>
  <c r="N56" i="18"/>
  <c r="L56" i="18"/>
  <c r="J56" i="18"/>
  <c r="H56" i="18"/>
  <c r="F56" i="18"/>
  <c r="D56" i="18"/>
  <c r="B56" i="18"/>
  <c r="AV55" i="18"/>
  <c r="AT55" i="18"/>
  <c r="AR55" i="18"/>
  <c r="AP55" i="18"/>
  <c r="AN55" i="18"/>
  <c r="AN80" i="18" s="1"/>
  <c r="AL55" i="18"/>
  <c r="AL80" i="18" s="1"/>
  <c r="AJ55" i="18"/>
  <c r="AJ80" i="18" s="1"/>
  <c r="AH55" i="18"/>
  <c r="AF55" i="18"/>
  <c r="AF80" i="18" s="1"/>
  <c r="AD55" i="18"/>
  <c r="AD80" i="18" s="1"/>
  <c r="AB55" i="18"/>
  <c r="AB80" i="18" s="1"/>
  <c r="Z55" i="18"/>
  <c r="Z80" i="18" s="1"/>
  <c r="X55" i="18"/>
  <c r="X80" i="18" s="1"/>
  <c r="V55" i="18"/>
  <c r="V80" i="18" s="1"/>
  <c r="T55" i="18"/>
  <c r="T80" i="18" s="1"/>
  <c r="R55" i="18"/>
  <c r="P55" i="18"/>
  <c r="N55" i="18"/>
  <c r="L55" i="18"/>
  <c r="J55" i="18"/>
  <c r="H55" i="18"/>
  <c r="H80" i="18" s="1"/>
  <c r="F55" i="18"/>
  <c r="F80" i="18" s="1"/>
  <c r="D55" i="18"/>
  <c r="D80" i="18" s="1"/>
  <c r="B55" i="18"/>
  <c r="AV53" i="18" a="1"/>
  <c r="AT53" i="18" a="1"/>
  <c r="AR53" i="18" a="1"/>
  <c r="AP53" i="18" a="1"/>
  <c r="AN53" i="18" a="1"/>
  <c r="AL53" i="18" a="1"/>
  <c r="AJ53" i="18" a="1"/>
  <c r="AH53" i="18" a="1"/>
  <c r="AF53" i="18" a="1"/>
  <c r="AD53" i="18" a="1"/>
  <c r="AB53" i="18" a="1"/>
  <c r="Z53" i="18" a="1"/>
  <c r="X53" i="18" a="1"/>
  <c r="V53" i="18" a="1"/>
  <c r="T53" i="18" a="1"/>
  <c r="R53" i="18" a="1"/>
  <c r="P53" i="18" a="1"/>
  <c r="N53" i="18" a="1"/>
  <c r="L53" i="18" a="1"/>
  <c r="J53" i="18" a="1"/>
  <c r="H53" i="18" a="1"/>
  <c r="F53" i="18" a="1"/>
  <c r="D53" i="18" a="1"/>
  <c r="B53" i="18" a="1"/>
  <c r="AV52" i="18" a="1"/>
  <c r="AT52" i="18" a="1"/>
  <c r="AR52" i="18" a="1"/>
  <c r="AP52" i="18" a="1"/>
  <c r="AN52" i="18" a="1"/>
  <c r="AL52" i="18" a="1"/>
  <c r="AJ52" i="18" a="1"/>
  <c r="AH52" i="18" a="1"/>
  <c r="AF52" i="18" a="1"/>
  <c r="AD52" i="18" a="1"/>
  <c r="AB52" i="18" a="1"/>
  <c r="Z52" i="18" a="1"/>
  <c r="X52" i="18" a="1"/>
  <c r="V52" i="18" a="1"/>
  <c r="T52" i="18" a="1"/>
  <c r="R52" i="18" a="1"/>
  <c r="P52" i="18" a="1"/>
  <c r="N52" i="18" a="1"/>
  <c r="L52" i="18" a="1"/>
  <c r="J52" i="18" a="1"/>
  <c r="H52" i="18" a="1"/>
  <c r="F52" i="18" a="1"/>
  <c r="D52" i="18" a="1"/>
  <c r="B52" i="18" a="1"/>
  <c r="AV51" i="18"/>
  <c r="AV81" i="18" s="1"/>
  <c r="AT51" i="18"/>
  <c r="AT81" i="18" s="1"/>
  <c r="AR51" i="18"/>
  <c r="AR81" i="18" s="1"/>
  <c r="AP51" i="18"/>
  <c r="AP81" i="18" s="1"/>
  <c r="AN51" i="18"/>
  <c r="AN81" i="18" s="1"/>
  <c r="AL51" i="18"/>
  <c r="AL81" i="18" s="1"/>
  <c r="AJ51" i="18"/>
  <c r="AJ81" i="18" s="1"/>
  <c r="AH51" i="18"/>
  <c r="AF51" i="18"/>
  <c r="AD51" i="18"/>
  <c r="AB51" i="18"/>
  <c r="Z51" i="18"/>
  <c r="X51" i="18"/>
  <c r="X81" i="18" s="1"/>
  <c r="V51" i="18"/>
  <c r="V81" i="18" s="1"/>
  <c r="T51" i="18"/>
  <c r="T81" i="18" s="1"/>
  <c r="R51" i="18"/>
  <c r="P51" i="18"/>
  <c r="P81" i="18" s="1"/>
  <c r="N51" i="18"/>
  <c r="N81" i="18" s="1"/>
  <c r="L51" i="18"/>
  <c r="L81" i="18" s="1"/>
  <c r="J51" i="18"/>
  <c r="J81" i="18" s="1"/>
  <c r="H51" i="18"/>
  <c r="H81" i="18" s="1"/>
  <c r="F51" i="18"/>
  <c r="F81" i="18" s="1"/>
  <c r="D51" i="18"/>
  <c r="D81" i="18" s="1"/>
  <c r="B51" i="18"/>
  <c r="AV49" i="18"/>
  <c r="AT49" i="18"/>
  <c r="AR49" i="18"/>
  <c r="AP49" i="18"/>
  <c r="AN49" i="18"/>
  <c r="AL49" i="18"/>
  <c r="AJ49" i="18"/>
  <c r="AH49" i="18"/>
  <c r="AF49" i="18"/>
  <c r="AD49" i="18"/>
  <c r="AB49" i="18"/>
  <c r="Z49" i="18"/>
  <c r="X49" i="18"/>
  <c r="V49" i="18"/>
  <c r="T49" i="18"/>
  <c r="R49" i="18"/>
  <c r="P49" i="18"/>
  <c r="N49" i="18"/>
  <c r="L49" i="18"/>
  <c r="J49" i="18"/>
  <c r="H49" i="18"/>
  <c r="F49" i="18"/>
  <c r="D49" i="18"/>
  <c r="B49" i="18"/>
  <c r="AV48" i="18"/>
  <c r="AT48" i="18"/>
  <c r="AR48" i="18"/>
  <c r="AP48" i="18"/>
  <c r="AN48" i="18"/>
  <c r="AL48" i="18"/>
  <c r="AJ48" i="18"/>
  <c r="AH48" i="18"/>
  <c r="AF48" i="18"/>
  <c r="AD48" i="18"/>
  <c r="AB48" i="18"/>
  <c r="Z48" i="18"/>
  <c r="X48" i="18"/>
  <c r="V48" i="18"/>
  <c r="T48" i="18"/>
  <c r="R48" i="18"/>
  <c r="P48" i="18"/>
  <c r="N48" i="18"/>
  <c r="L48" i="18"/>
  <c r="J48" i="18"/>
  <c r="H48" i="18"/>
  <c r="F48" i="18"/>
  <c r="D48" i="18"/>
  <c r="B48" i="18"/>
  <c r="AV46" i="18"/>
  <c r="AT46" i="18"/>
  <c r="AR46" i="18"/>
  <c r="AP46" i="18"/>
  <c r="AN46" i="18"/>
  <c r="AL46" i="18"/>
  <c r="AJ46" i="18"/>
  <c r="AH46" i="18"/>
  <c r="AF46" i="18"/>
  <c r="AD46" i="18"/>
  <c r="AB46" i="18"/>
  <c r="Z46" i="18"/>
  <c r="X46" i="18"/>
  <c r="V46" i="18"/>
  <c r="T46" i="18"/>
  <c r="R46" i="18"/>
  <c r="P46" i="18"/>
  <c r="N46" i="18"/>
  <c r="L46" i="18"/>
  <c r="J46" i="18"/>
  <c r="H46" i="18"/>
  <c r="F46" i="18"/>
  <c r="D46" i="18"/>
  <c r="B46" i="18"/>
  <c r="AV45" i="18"/>
  <c r="AT45" i="18"/>
  <c r="AR45" i="18"/>
  <c r="AP45" i="18"/>
  <c r="AN45" i="18"/>
  <c r="AL45" i="18"/>
  <c r="AJ45" i="18"/>
  <c r="AH45" i="18"/>
  <c r="AF45" i="18"/>
  <c r="AD45" i="18"/>
  <c r="AB45" i="18"/>
  <c r="Z45" i="18"/>
  <c r="X45" i="18"/>
  <c r="V45" i="18"/>
  <c r="T45" i="18"/>
  <c r="R45" i="18"/>
  <c r="P45" i="18"/>
  <c r="N45" i="18"/>
  <c r="L45" i="18"/>
  <c r="J45" i="18"/>
  <c r="H45" i="18"/>
  <c r="F45" i="18"/>
  <c r="D45" i="18"/>
  <c r="B45" i="18"/>
  <c r="AV44" i="18"/>
  <c r="AT44" i="18"/>
  <c r="AR44" i="18"/>
  <c r="AP44" i="18"/>
  <c r="AN44" i="18"/>
  <c r="AL44" i="18"/>
  <c r="AJ44" i="18"/>
  <c r="AH44" i="18"/>
  <c r="AF44" i="18"/>
  <c r="AD44" i="18"/>
  <c r="AB44" i="18"/>
  <c r="Z44" i="18"/>
  <c r="X44" i="18"/>
  <c r="V44" i="18"/>
  <c r="T44" i="18"/>
  <c r="R44" i="18"/>
  <c r="P44" i="18"/>
  <c r="N44" i="18"/>
  <c r="L44" i="18"/>
  <c r="J44" i="18"/>
  <c r="H44" i="18"/>
  <c r="F44" i="18"/>
  <c r="D44" i="18"/>
  <c r="B44" i="18"/>
  <c r="AV43" i="18"/>
  <c r="AV43" i="18" a="1"/>
  <c r="AT43" i="18" a="1"/>
  <c r="AT43" i="18" s="1"/>
  <c r="AR43" i="18" a="1"/>
  <c r="AR43" i="18" s="1"/>
  <c r="AP43" i="18" a="1"/>
  <c r="AP43" i="18" s="1"/>
  <c r="AN43" i="18" a="1"/>
  <c r="AN43" i="18" s="1"/>
  <c r="AL43" i="18" a="1"/>
  <c r="AL43" i="18" s="1"/>
  <c r="AJ43" i="18"/>
  <c r="AJ43" i="18" a="1"/>
  <c r="AH43" i="18" a="1"/>
  <c r="AH43" i="18" s="1"/>
  <c r="AF43" i="18"/>
  <c r="AF43" i="18" a="1"/>
  <c r="AD43" i="18" a="1"/>
  <c r="AD43" i="18" s="1"/>
  <c r="AB43" i="18" a="1"/>
  <c r="AB43" i="18" s="1"/>
  <c r="Z43" i="18" a="1"/>
  <c r="Z43" i="18" s="1"/>
  <c r="X43" i="18" a="1"/>
  <c r="X43" i="18" s="1"/>
  <c r="V43" i="18" a="1"/>
  <c r="V43" i="18" s="1"/>
  <c r="T43" i="18"/>
  <c r="T43" i="18" a="1"/>
  <c r="R43" i="18" a="1"/>
  <c r="R43" i="18" s="1"/>
  <c r="P43" i="18"/>
  <c r="P43" i="18" a="1"/>
  <c r="N43" i="18" a="1"/>
  <c r="N43" i="18" s="1"/>
  <c r="L43" i="18" a="1"/>
  <c r="L43" i="18" s="1"/>
  <c r="J43" i="18" a="1"/>
  <c r="J43" i="18" s="1"/>
  <c r="H43" i="18" a="1"/>
  <c r="H43" i="18" s="1"/>
  <c r="F43" i="18" a="1"/>
  <c r="F43" i="18" s="1"/>
  <c r="D43" i="18"/>
  <c r="D43" i="18" a="1"/>
  <c r="B43" i="18"/>
  <c r="AV42" i="18"/>
  <c r="AT42" i="18"/>
  <c r="AR42" i="18"/>
  <c r="AP42" i="18"/>
  <c r="AN42" i="18"/>
  <c r="AL42" i="18"/>
  <c r="AJ42" i="18"/>
  <c r="AH42" i="18"/>
  <c r="AF42" i="18"/>
  <c r="AD42" i="18"/>
  <c r="AB42" i="18"/>
  <c r="Z42" i="18"/>
  <c r="X42" i="18"/>
  <c r="V42" i="18"/>
  <c r="T42" i="18"/>
  <c r="R42" i="18"/>
  <c r="P42" i="18"/>
  <c r="N42" i="18"/>
  <c r="L42" i="18"/>
  <c r="J42" i="18"/>
  <c r="H42" i="18"/>
  <c r="F42" i="18"/>
  <c r="D42" i="18"/>
  <c r="B42" i="18"/>
  <c r="AR81" i="22"/>
  <c r="AP81" i="22"/>
  <c r="AH81" i="22"/>
  <c r="AF81" i="22"/>
  <c r="AD81" i="22"/>
  <c r="AB81" i="22"/>
  <c r="L81" i="22"/>
  <c r="J81" i="22"/>
  <c r="F81" i="22"/>
  <c r="B81" i="22"/>
  <c r="AV80" i="22"/>
  <c r="AT80" i="22"/>
  <c r="AL80" i="22"/>
  <c r="AB80" i="22"/>
  <c r="Z80" i="22"/>
  <c r="X80" i="22"/>
  <c r="R80" i="22"/>
  <c r="P80" i="22"/>
  <c r="N80" i="22"/>
  <c r="AV79" i="22"/>
  <c r="AV79" i="22" a="1"/>
  <c r="AT79" i="22" a="1"/>
  <c r="AT79" i="22" s="1"/>
  <c r="AR79" i="22" a="1"/>
  <c r="AR79" i="22" s="1"/>
  <c r="AP79" i="22" a="1"/>
  <c r="AP79" i="22" s="1"/>
  <c r="AN79" i="22" a="1"/>
  <c r="AN79" i="22" s="1"/>
  <c r="AL79" i="22" a="1"/>
  <c r="AL79" i="22" s="1"/>
  <c r="AJ79" i="22"/>
  <c r="AJ79" i="22" a="1"/>
  <c r="AH79" i="22" a="1"/>
  <c r="AH79" i="22" s="1"/>
  <c r="AF79" i="22"/>
  <c r="AF79" i="22" a="1"/>
  <c r="AD79" i="22" a="1"/>
  <c r="AD79" i="22" s="1"/>
  <c r="AB79" i="22"/>
  <c r="AB79" i="22" a="1"/>
  <c r="Z79" i="22" a="1"/>
  <c r="Z79" i="22" s="1"/>
  <c r="X79" i="22" a="1"/>
  <c r="X79" i="22" s="1"/>
  <c r="V79" i="22" a="1"/>
  <c r="V79" i="22" s="1"/>
  <c r="T79" i="22" a="1"/>
  <c r="T79" i="22" s="1"/>
  <c r="R79" i="22" a="1"/>
  <c r="R79" i="22" s="1"/>
  <c r="P79" i="22"/>
  <c r="P79" i="22" a="1"/>
  <c r="N79" i="22" a="1"/>
  <c r="N79" i="22" s="1"/>
  <c r="L79" i="22"/>
  <c r="L79" i="22" a="1"/>
  <c r="J79" i="22" a="1"/>
  <c r="J79" i="22" s="1"/>
  <c r="H79" i="22" a="1"/>
  <c r="H79" i="22" s="1"/>
  <c r="F79" i="22"/>
  <c r="F79" i="22" a="1"/>
  <c r="D79" i="22" a="1"/>
  <c r="D79" i="22" s="1"/>
  <c r="B79" i="22"/>
  <c r="B79" i="22" a="1"/>
  <c r="AV78" i="22"/>
  <c r="AV78" i="22" a="1"/>
  <c r="AT78" i="22" a="1"/>
  <c r="AT78" i="22" s="1"/>
  <c r="AR78" i="22"/>
  <c r="AR78" i="22" a="1"/>
  <c r="AP78" i="22" a="1"/>
  <c r="AP78" i="22" s="1"/>
  <c r="AN78" i="22" a="1"/>
  <c r="AN78" i="22" s="1"/>
  <c r="AL78" i="22" a="1"/>
  <c r="AL78" i="22" s="1"/>
  <c r="AJ78" i="22"/>
  <c r="AJ78" i="22" a="1"/>
  <c r="AH78" i="22"/>
  <c r="AH78" i="22" a="1"/>
  <c r="AF78" i="22"/>
  <c r="AF78" i="22" a="1"/>
  <c r="AD78" i="22" a="1"/>
  <c r="AD78" i="22" s="1"/>
  <c r="AB78" i="22" a="1"/>
  <c r="AB78" i="22" s="1"/>
  <c r="Z78" i="22" a="1"/>
  <c r="Z78" i="22" s="1"/>
  <c r="X78" i="22" a="1"/>
  <c r="X78" i="22" s="1"/>
  <c r="V78" i="22" a="1"/>
  <c r="V78" i="22" s="1"/>
  <c r="T78" i="22"/>
  <c r="T78" i="22" a="1"/>
  <c r="R78" i="22" a="1"/>
  <c r="R78" i="22" s="1"/>
  <c r="P78" i="22"/>
  <c r="P78" i="22" a="1"/>
  <c r="N78" i="22" a="1"/>
  <c r="N78" i="22" s="1"/>
  <c r="L78" i="22" a="1"/>
  <c r="L78" i="22" s="1"/>
  <c r="J78" i="22" a="1"/>
  <c r="J78" i="22" s="1"/>
  <c r="H78" i="22" a="1"/>
  <c r="H78" i="22" s="1"/>
  <c r="F78" i="22" a="1"/>
  <c r="F78" i="22" s="1"/>
  <c r="D78" i="22"/>
  <c r="D78" i="22" a="1"/>
  <c r="B78" i="22" a="1"/>
  <c r="B78" i="22" s="1"/>
  <c r="AV77" i="22" a="1"/>
  <c r="AV77" i="22" s="1"/>
  <c r="AT77" i="22" a="1"/>
  <c r="AT77" i="22" s="1"/>
  <c r="AR77" i="22"/>
  <c r="AR77" i="22" a="1"/>
  <c r="AP77" i="22" a="1"/>
  <c r="AP77" i="22" s="1"/>
  <c r="AN77" i="22" a="1"/>
  <c r="AN77" i="22" s="1"/>
  <c r="AL77" i="22" a="1"/>
  <c r="AL77" i="22" s="1"/>
  <c r="AJ77" i="22" a="1"/>
  <c r="AJ77" i="22" s="1"/>
  <c r="AH77" i="22" a="1"/>
  <c r="AH77" i="22" s="1"/>
  <c r="AF77" i="22" a="1"/>
  <c r="AF77" i="22" s="1"/>
  <c r="AD77" i="22" a="1"/>
  <c r="AD77" i="22" s="1"/>
  <c r="AB77" i="22" a="1"/>
  <c r="AB77" i="22" s="1"/>
  <c r="Z77" i="22" a="1"/>
  <c r="Z77" i="22" s="1"/>
  <c r="X77" i="22" a="1"/>
  <c r="X77" i="22" s="1"/>
  <c r="V77" i="22"/>
  <c r="V77" i="22" a="1"/>
  <c r="T77" i="22"/>
  <c r="T77" i="22" a="1"/>
  <c r="R77" i="22" a="1"/>
  <c r="R77" i="22" s="1"/>
  <c r="P77" i="22" a="1"/>
  <c r="P77" i="22" s="1"/>
  <c r="N77" i="22" a="1"/>
  <c r="N77" i="22" s="1"/>
  <c r="L77" i="22" a="1"/>
  <c r="L77" i="22" s="1"/>
  <c r="J77" i="22" a="1"/>
  <c r="J77" i="22" s="1"/>
  <c r="H77" i="22" a="1"/>
  <c r="H77" i="22" s="1"/>
  <c r="F77" i="22" a="1"/>
  <c r="F77" i="22" s="1"/>
  <c r="D77" i="22" a="1"/>
  <c r="D77" i="22" s="1"/>
  <c r="B77" i="22"/>
  <c r="B77" i="22" a="1"/>
  <c r="AV76" i="22" a="1"/>
  <c r="AV76" i="22" s="1"/>
  <c r="AT76" i="22" a="1"/>
  <c r="AT76" i="22" s="1"/>
  <c r="AR76" i="22" a="1"/>
  <c r="AR76" i="22" s="1"/>
  <c r="AP76" i="22" a="1"/>
  <c r="AP76" i="22" s="1"/>
  <c r="AN76" i="22" a="1"/>
  <c r="AN76" i="22" s="1"/>
  <c r="AL76" i="22" a="1"/>
  <c r="AL76" i="22" s="1"/>
  <c r="AJ76" i="22"/>
  <c r="AJ76" i="22" a="1"/>
  <c r="AH76" i="22" a="1"/>
  <c r="AH76" i="22" s="1"/>
  <c r="AF76" i="22" a="1"/>
  <c r="AF76" i="22" s="1"/>
  <c r="AD76" i="22" a="1"/>
  <c r="AD76" i="22" s="1"/>
  <c r="AB76" i="22"/>
  <c r="AB76" i="22" a="1"/>
  <c r="Z76" i="22" a="1"/>
  <c r="Z76" i="22" s="1"/>
  <c r="X76" i="22" a="1"/>
  <c r="X76" i="22" s="1"/>
  <c r="V76" i="22" a="1"/>
  <c r="V76" i="22" s="1"/>
  <c r="T76" i="22" a="1"/>
  <c r="T76" i="22" s="1"/>
  <c r="R76" i="22" a="1"/>
  <c r="R76" i="22" s="1"/>
  <c r="P76" i="22" a="1"/>
  <c r="P76" i="22" s="1"/>
  <c r="N76" i="22" a="1"/>
  <c r="N76" i="22" s="1"/>
  <c r="L76" i="22" a="1"/>
  <c r="L76" i="22" s="1"/>
  <c r="J76" i="22" a="1"/>
  <c r="J76" i="22" s="1"/>
  <c r="H76" i="22" a="1"/>
  <c r="H76" i="22" s="1"/>
  <c r="F76" i="22"/>
  <c r="F76" i="22" a="1"/>
  <c r="D76" i="22"/>
  <c r="D76" i="22" a="1"/>
  <c r="B76" i="22" a="1"/>
  <c r="B76" i="22" s="1"/>
  <c r="AV75" i="22" a="1"/>
  <c r="AV75" i="22" s="1"/>
  <c r="AT75" i="22" a="1"/>
  <c r="AT75" i="22" s="1"/>
  <c r="AR75" i="22" a="1"/>
  <c r="AR75" i="22" s="1"/>
  <c r="AP75" i="22" a="1"/>
  <c r="AP75" i="22" s="1"/>
  <c r="AN75" i="22" a="1"/>
  <c r="AN75" i="22" s="1"/>
  <c r="AL75" i="22" a="1"/>
  <c r="AL75" i="22" s="1"/>
  <c r="AJ75" i="22" a="1"/>
  <c r="AJ75" i="22" s="1"/>
  <c r="AH75" i="22"/>
  <c r="AH75" i="22" a="1"/>
  <c r="AF75" i="22" a="1"/>
  <c r="AF75" i="22" s="1"/>
  <c r="AD75" i="22" a="1"/>
  <c r="AD75" i="22" s="1"/>
  <c r="AB75" i="22" a="1"/>
  <c r="AB75" i="22" s="1"/>
  <c r="Z75" i="22" a="1"/>
  <c r="Z75" i="22" s="1"/>
  <c r="X75" i="22" a="1"/>
  <c r="X75" i="22" s="1"/>
  <c r="V75" i="22" a="1"/>
  <c r="V75" i="22" s="1"/>
  <c r="T75" i="22"/>
  <c r="T75" i="22" a="1"/>
  <c r="R75" i="22" a="1"/>
  <c r="R75" i="22" s="1"/>
  <c r="P75" i="22" a="1"/>
  <c r="P75" i="22" s="1"/>
  <c r="N75" i="22" a="1"/>
  <c r="N75" i="22" s="1"/>
  <c r="L75" i="22"/>
  <c r="L75" i="22" a="1"/>
  <c r="J75" i="22" a="1"/>
  <c r="J75" i="22" s="1"/>
  <c r="H75" i="22" a="1"/>
  <c r="H75" i="22" s="1"/>
  <c r="F75" i="22" a="1"/>
  <c r="F75" i="22" s="1"/>
  <c r="D75" i="22" a="1"/>
  <c r="D75" i="22" s="1"/>
  <c r="B75" i="22" a="1"/>
  <c r="B75" i="22" s="1"/>
  <c r="AV74" i="22" a="1"/>
  <c r="AV74" i="22" s="1"/>
  <c r="AT74" i="22" a="1"/>
  <c r="AT74" i="22" s="1"/>
  <c r="AR74" i="22" a="1"/>
  <c r="AR74" i="22" s="1"/>
  <c r="AP74" i="22" a="1"/>
  <c r="AP74" i="22" s="1"/>
  <c r="AN74" i="22" a="1"/>
  <c r="AN74" i="22" s="1"/>
  <c r="AL74" i="22"/>
  <c r="AL74" i="22" a="1"/>
  <c r="AJ74" i="22"/>
  <c r="AJ74" i="22" a="1"/>
  <c r="AH74" i="22" a="1"/>
  <c r="AH74" i="22" s="1"/>
  <c r="AF74" i="22" a="1"/>
  <c r="AF74" i="22" s="1"/>
  <c r="AD74" i="22" a="1"/>
  <c r="AD74" i="22" s="1"/>
  <c r="AB74" i="22" a="1"/>
  <c r="AB74" i="22" s="1"/>
  <c r="Z74" i="22" a="1"/>
  <c r="Z74" i="22" s="1"/>
  <c r="X74" i="22" a="1"/>
  <c r="X74" i="22" s="1"/>
  <c r="V74" i="22" a="1"/>
  <c r="V74" i="22" s="1"/>
  <c r="T74" i="22" a="1"/>
  <c r="T74" i="22" s="1"/>
  <c r="R74" i="22"/>
  <c r="R74" i="22" a="1"/>
  <c r="P74" i="22" a="1"/>
  <c r="P74" i="22" s="1"/>
  <c r="N74" i="22" a="1"/>
  <c r="N74" i="22" s="1"/>
  <c r="L74" i="22" a="1"/>
  <c r="L74" i="22" s="1"/>
  <c r="J74" i="22" a="1"/>
  <c r="J74" i="22" s="1"/>
  <c r="H74" i="22" a="1"/>
  <c r="H74" i="22" s="1"/>
  <c r="F74" i="22" a="1"/>
  <c r="F74" i="22" s="1"/>
  <c r="D74" i="22"/>
  <c r="D74" i="22" a="1"/>
  <c r="B74" i="22" a="1"/>
  <c r="B74" i="22" s="1"/>
  <c r="AV73" i="22" a="1"/>
  <c r="AV73" i="22" s="1"/>
  <c r="AT73" i="22" a="1"/>
  <c r="AT73" i="22" s="1"/>
  <c r="AR73" i="22"/>
  <c r="AR73" i="22" a="1"/>
  <c r="AP73" i="22" a="1"/>
  <c r="AP73" i="22" s="1"/>
  <c r="AN73" i="22" a="1"/>
  <c r="AN73" i="22" s="1"/>
  <c r="AL73" i="22" a="1"/>
  <c r="AL73" i="22" s="1"/>
  <c r="AJ73" i="22" a="1"/>
  <c r="AJ73" i="22" s="1"/>
  <c r="AH73" i="22" a="1"/>
  <c r="AH73" i="22" s="1"/>
  <c r="AF73" i="22" a="1"/>
  <c r="AF73" i="22" s="1"/>
  <c r="AD73" i="22" a="1"/>
  <c r="AD73" i="22" s="1"/>
  <c r="AB73" i="22" a="1"/>
  <c r="AB73" i="22" s="1"/>
  <c r="Z73" i="22" a="1"/>
  <c r="Z73" i="22" s="1"/>
  <c r="X73" i="22" a="1"/>
  <c r="X73" i="22" s="1"/>
  <c r="V73" i="22"/>
  <c r="V73" i="22" a="1"/>
  <c r="T73" i="22"/>
  <c r="T73" i="22" a="1"/>
  <c r="R73" i="22" a="1"/>
  <c r="R73" i="22" s="1"/>
  <c r="P73" i="22" a="1"/>
  <c r="P73" i="22" s="1"/>
  <c r="N73" i="22" a="1"/>
  <c r="N73" i="22" s="1"/>
  <c r="L73" i="22" a="1"/>
  <c r="L73" i="22" s="1"/>
  <c r="J73" i="22" a="1"/>
  <c r="J73" i="22" s="1"/>
  <c r="H73" i="22" a="1"/>
  <c r="H73" i="22" s="1"/>
  <c r="F73" i="22" a="1"/>
  <c r="F73" i="22" s="1"/>
  <c r="D73" i="22" a="1"/>
  <c r="D73" i="22" s="1"/>
  <c r="B73" i="22"/>
  <c r="B73" i="22" a="1"/>
  <c r="AV72" i="22"/>
  <c r="AT72" i="22"/>
  <c r="AR72" i="22"/>
  <c r="AP72" i="22"/>
  <c r="AN72" i="22"/>
  <c r="AL72" i="22"/>
  <c r="AJ72" i="22"/>
  <c r="AH72" i="22"/>
  <c r="AF72" i="22"/>
  <c r="AD72" i="22"/>
  <c r="AB72" i="22"/>
  <c r="Z72" i="22"/>
  <c r="X72" i="22"/>
  <c r="V72" i="22"/>
  <c r="T72" i="22"/>
  <c r="R72" i="22"/>
  <c r="P72" i="22"/>
  <c r="N72" i="22"/>
  <c r="L72" i="22"/>
  <c r="J72" i="22"/>
  <c r="H72" i="22"/>
  <c r="F72" i="22"/>
  <c r="D72" i="22"/>
  <c r="B72" i="22"/>
  <c r="AV71" i="22"/>
  <c r="AT71" i="22"/>
  <c r="AR71" i="22"/>
  <c r="AP71" i="22"/>
  <c r="AN71" i="22"/>
  <c r="AL71" i="22"/>
  <c r="AJ71" i="22"/>
  <c r="AH71" i="22"/>
  <c r="AF71" i="22"/>
  <c r="AD71" i="22"/>
  <c r="AB71" i="22"/>
  <c r="Z71" i="22"/>
  <c r="X71" i="22"/>
  <c r="V71" i="22"/>
  <c r="T71" i="22"/>
  <c r="R71" i="22"/>
  <c r="P71" i="22"/>
  <c r="N71" i="22"/>
  <c r="L71" i="22"/>
  <c r="J71" i="22"/>
  <c r="H71" i="22"/>
  <c r="F71" i="22"/>
  <c r="D71" i="22"/>
  <c r="B71" i="22"/>
  <c r="AV70" i="22"/>
  <c r="AT70" i="22"/>
  <c r="AR70" i="22"/>
  <c r="AP70" i="22"/>
  <c r="AN70" i="22"/>
  <c r="AL70" i="22"/>
  <c r="AJ70" i="22"/>
  <c r="AH70" i="22"/>
  <c r="AF70" i="22"/>
  <c r="AD70" i="22"/>
  <c r="AB70" i="22"/>
  <c r="Z70" i="22"/>
  <c r="X70" i="22"/>
  <c r="V70" i="22"/>
  <c r="T70" i="22"/>
  <c r="R70" i="22"/>
  <c r="P70" i="22"/>
  <c r="N70" i="22"/>
  <c r="L70" i="22"/>
  <c r="J70" i="22"/>
  <c r="H70" i="22"/>
  <c r="F70" i="22"/>
  <c r="D70" i="22"/>
  <c r="B70" i="22"/>
  <c r="AN69" i="22"/>
  <c r="J69" i="22"/>
  <c r="H69" i="22"/>
  <c r="F69" i="22"/>
  <c r="B69" i="22"/>
  <c r="AV67" i="22" a="1"/>
  <c r="AV67" i="22" s="1"/>
  <c r="AT67" i="22" a="1"/>
  <c r="AT67" i="22" s="1"/>
  <c r="AR67" i="22" a="1"/>
  <c r="AR67" i="22" s="1"/>
  <c r="AP67" i="22"/>
  <c r="AP67" i="22" a="1"/>
  <c r="AN67" i="22" a="1"/>
  <c r="AN67" i="22" s="1"/>
  <c r="AL67" i="22" a="1"/>
  <c r="AL67" i="22" s="1"/>
  <c r="AJ67" i="22" a="1"/>
  <c r="AJ67" i="22" s="1"/>
  <c r="AH67" i="22" a="1"/>
  <c r="AH67" i="22" s="1"/>
  <c r="AF67" i="22" a="1"/>
  <c r="AF67" i="22" s="1"/>
  <c r="AD67" i="22"/>
  <c r="AD67" i="22" a="1"/>
  <c r="AB67" i="22" a="1"/>
  <c r="AB67" i="22" s="1"/>
  <c r="Z67" i="22" a="1"/>
  <c r="Z67" i="22" s="1"/>
  <c r="X67" i="22" a="1"/>
  <c r="X67" i="22" s="1"/>
  <c r="V67" i="22" a="1"/>
  <c r="V67" i="22" s="1"/>
  <c r="V68" i="22" s="1"/>
  <c r="T67" i="22"/>
  <c r="T67" i="22" a="1"/>
  <c r="R67" i="22" a="1"/>
  <c r="R67" i="22" s="1"/>
  <c r="P67" i="22" a="1"/>
  <c r="P67" i="22" s="1"/>
  <c r="N67" i="22" a="1"/>
  <c r="N67" i="22" s="1"/>
  <c r="L67" i="22"/>
  <c r="L67" i="22" a="1"/>
  <c r="J67" i="22"/>
  <c r="J67" i="22" a="1"/>
  <c r="H67" i="22" a="1"/>
  <c r="H67" i="22" s="1"/>
  <c r="F67" i="22" a="1"/>
  <c r="F67" i="22" s="1"/>
  <c r="D67" i="22" a="1"/>
  <c r="D67" i="22" s="1"/>
  <c r="B67" i="22" a="1"/>
  <c r="B67" i="22" s="1"/>
  <c r="AV66" i="22" a="1"/>
  <c r="AV66" i="22" s="1"/>
  <c r="AV68" i="22" s="1"/>
  <c r="AT66" i="22"/>
  <c r="AT66" i="22" a="1"/>
  <c r="AR66" i="22" a="1"/>
  <c r="AR66" i="22" s="1"/>
  <c r="AR68" i="22" s="1"/>
  <c r="AP66" i="22" a="1"/>
  <c r="AP66" i="22" s="1"/>
  <c r="AP68" i="22" s="1"/>
  <c r="AN66" i="22" a="1"/>
  <c r="AN66" i="22" s="1"/>
  <c r="AN68" i="22" s="1"/>
  <c r="AL66" i="22" a="1"/>
  <c r="AL66" i="22" s="1"/>
  <c r="AL68" i="22" s="1"/>
  <c r="AJ66" i="22"/>
  <c r="AJ66" i="22" a="1"/>
  <c r="AH66" i="22" a="1"/>
  <c r="AH66" i="22" s="1"/>
  <c r="AF66" i="22" a="1"/>
  <c r="AF66" i="22" s="1"/>
  <c r="AD66" i="22" a="1"/>
  <c r="AD66" i="22" s="1"/>
  <c r="AD68" i="22" s="1"/>
  <c r="AB66" i="22" a="1"/>
  <c r="AB66" i="22" s="1"/>
  <c r="Z66" i="22"/>
  <c r="Z68" i="22" s="1"/>
  <c r="Z66" i="22" a="1"/>
  <c r="X66" i="22" a="1"/>
  <c r="X66" i="22" s="1"/>
  <c r="X68" i="22" s="1"/>
  <c r="V66" i="22" a="1"/>
  <c r="V66" i="22" s="1"/>
  <c r="T66" i="22" a="1"/>
  <c r="T66" i="22" s="1"/>
  <c r="T68" i="22" s="1"/>
  <c r="R66" i="22" a="1"/>
  <c r="R66" i="22" s="1"/>
  <c r="R68" i="22" s="1"/>
  <c r="P66" i="22" a="1"/>
  <c r="P66" i="22" s="1"/>
  <c r="P68" i="22" s="1"/>
  <c r="N66" i="22"/>
  <c r="N66" i="22" a="1"/>
  <c r="L66" i="22" a="1"/>
  <c r="L66" i="22" s="1"/>
  <c r="L68" i="22" s="1"/>
  <c r="J66" i="22" a="1"/>
  <c r="J66" i="22" s="1"/>
  <c r="J68" i="22" s="1"/>
  <c r="H66" i="22" a="1"/>
  <c r="H66" i="22" s="1"/>
  <c r="H68" i="22" s="1"/>
  <c r="F66" i="22" a="1"/>
  <c r="F66" i="22" s="1"/>
  <c r="F68" i="22" s="1"/>
  <c r="D66" i="22"/>
  <c r="D66" i="22" a="1"/>
  <c r="B66" i="22" a="1"/>
  <c r="B66" i="22" s="1"/>
  <c r="AV65" i="22" a="1"/>
  <c r="AV65" i="22" s="1"/>
  <c r="AV69" i="22" s="1"/>
  <c r="AT65" i="22" a="1"/>
  <c r="AT65" i="22" s="1"/>
  <c r="AT69" i="22" s="1"/>
  <c r="AR65" i="22"/>
  <c r="AR69" i="22" s="1"/>
  <c r="AR65" i="22" a="1"/>
  <c r="AP65" i="22"/>
  <c r="AP69" i="22" s="1"/>
  <c r="AP65" i="22" a="1"/>
  <c r="AN65" i="22" a="1"/>
  <c r="AN65" i="22" s="1"/>
  <c r="AL65" i="22" a="1"/>
  <c r="AL65" i="22" s="1"/>
  <c r="AL69" i="22" s="1"/>
  <c r="AJ65" i="22" a="1"/>
  <c r="AJ65" i="22" s="1"/>
  <c r="AJ69" i="22" s="1"/>
  <c r="AH65" i="22" a="1"/>
  <c r="AH65" i="22" s="1"/>
  <c r="AH69" i="22" s="1"/>
  <c r="AF65" i="22" a="1"/>
  <c r="AF65" i="22" s="1"/>
  <c r="AF69" i="22" s="1"/>
  <c r="AD65" i="22"/>
  <c r="AD69" i="22" s="1"/>
  <c r="AD65" i="22" a="1"/>
  <c r="AB65" i="22" a="1"/>
  <c r="AB65" i="22" s="1"/>
  <c r="AB69" i="22" s="1"/>
  <c r="Z65" i="22" a="1"/>
  <c r="Z65" i="22" s="1"/>
  <c r="Z69" i="22" s="1"/>
  <c r="X65" i="22" a="1"/>
  <c r="X65" i="22" s="1"/>
  <c r="X69" i="22" s="1"/>
  <c r="V65" i="22" a="1"/>
  <c r="V65" i="22" s="1"/>
  <c r="V69" i="22" s="1"/>
  <c r="T65" i="22"/>
  <c r="T69" i="22" s="1"/>
  <c r="T65" i="22" a="1"/>
  <c r="R65" i="22" a="1"/>
  <c r="R65" i="22" s="1"/>
  <c r="R69" i="22" s="1"/>
  <c r="P65" i="22" a="1"/>
  <c r="P65" i="22" s="1"/>
  <c r="P69" i="22" s="1"/>
  <c r="N65" i="22" a="1"/>
  <c r="N65" i="22" s="1"/>
  <c r="N69" i="22" s="1"/>
  <c r="L65" i="22" a="1"/>
  <c r="L65" i="22" s="1"/>
  <c r="L69" i="22" s="1"/>
  <c r="J65" i="22"/>
  <c r="J65" i="22" a="1"/>
  <c r="H65" i="22" a="1"/>
  <c r="H65" i="22" s="1"/>
  <c r="F65" i="22" a="1"/>
  <c r="F65" i="22" s="1"/>
  <c r="D65" i="22" a="1"/>
  <c r="D65" i="22" s="1"/>
  <c r="D69" i="22" s="1"/>
  <c r="B65" i="22"/>
  <c r="AV62" i="22"/>
  <c r="AT62" i="22"/>
  <c r="AR62" i="22"/>
  <c r="AP62" i="22"/>
  <c r="AN62" i="22"/>
  <c r="AL62" i="22"/>
  <c r="AJ62" i="22"/>
  <c r="AH62" i="22"/>
  <c r="AF62" i="22"/>
  <c r="AD62" i="22"/>
  <c r="AB62" i="22"/>
  <c r="Z62" i="22"/>
  <c r="X62" i="22"/>
  <c r="V62" i="22"/>
  <c r="T62" i="22"/>
  <c r="R62" i="22"/>
  <c r="P62" i="22"/>
  <c r="N62" i="22"/>
  <c r="L62" i="22"/>
  <c r="J62" i="22"/>
  <c r="H62" i="22"/>
  <c r="F62" i="22"/>
  <c r="D62" i="22"/>
  <c r="B62" i="22"/>
  <c r="AV60" i="22"/>
  <c r="AT60" i="22"/>
  <c r="AR60" i="22"/>
  <c r="AP60" i="22"/>
  <c r="AN60" i="22"/>
  <c r="AL60" i="22"/>
  <c r="AJ60" i="22"/>
  <c r="AH60" i="22"/>
  <c r="AF60" i="22"/>
  <c r="AD60" i="22"/>
  <c r="AB60" i="22"/>
  <c r="Z60" i="22"/>
  <c r="X60" i="22"/>
  <c r="V60" i="22"/>
  <c r="T60" i="22"/>
  <c r="R60" i="22"/>
  <c r="P60" i="22"/>
  <c r="N60" i="22"/>
  <c r="L60" i="22"/>
  <c r="J60" i="22"/>
  <c r="H60" i="22"/>
  <c r="F60" i="22"/>
  <c r="D60" i="22"/>
  <c r="B60" i="22"/>
  <c r="AV59" i="22"/>
  <c r="AT59" i="22"/>
  <c r="AR59" i="22"/>
  <c r="AP59" i="22"/>
  <c r="AN59" i="22"/>
  <c r="AL59" i="22"/>
  <c r="AJ59" i="22"/>
  <c r="AH59" i="22"/>
  <c r="AF59" i="22"/>
  <c r="AD59" i="22"/>
  <c r="AB59" i="22"/>
  <c r="Z59" i="22"/>
  <c r="X59" i="22"/>
  <c r="V59" i="22"/>
  <c r="T59" i="22"/>
  <c r="R59" i="22"/>
  <c r="P59" i="22"/>
  <c r="N59" i="22"/>
  <c r="L59" i="22"/>
  <c r="J59" i="22"/>
  <c r="H59" i="22"/>
  <c r="F59" i="22"/>
  <c r="D59" i="22"/>
  <c r="B59" i="22"/>
  <c r="AV58" i="22" a="1"/>
  <c r="AV58" i="22" s="1"/>
  <c r="AT58" i="22" a="1"/>
  <c r="AT58" i="22" s="1"/>
  <c r="AR58" i="22" a="1"/>
  <c r="AR58" i="22" s="1"/>
  <c r="AP58" i="22"/>
  <c r="AP58" i="22" a="1"/>
  <c r="AN58" i="22" a="1"/>
  <c r="AN58" i="22" s="1"/>
  <c r="AL58" i="22"/>
  <c r="AL58" i="22" a="1"/>
  <c r="AJ58" i="22" a="1"/>
  <c r="AJ58" i="22" s="1"/>
  <c r="AH58" i="22" a="1"/>
  <c r="AH58" i="22" s="1"/>
  <c r="AF58" i="22" a="1"/>
  <c r="AF58" i="22" s="1"/>
  <c r="AD58" i="22" a="1"/>
  <c r="AD58" i="22" s="1"/>
  <c r="AB58" i="22" a="1"/>
  <c r="AB58" i="22" s="1"/>
  <c r="Z58" i="22" a="1"/>
  <c r="Z58" i="22" s="1"/>
  <c r="X58" i="22" a="1"/>
  <c r="X58" i="22" s="1"/>
  <c r="V58" i="22" a="1"/>
  <c r="V58" i="22" s="1"/>
  <c r="T58" i="22" a="1"/>
  <c r="T58" i="22" s="1"/>
  <c r="R58" i="22" a="1"/>
  <c r="R58" i="22" s="1"/>
  <c r="P58" i="22" a="1"/>
  <c r="P58" i="22" s="1"/>
  <c r="N58" i="22" a="1"/>
  <c r="N58" i="22" s="1"/>
  <c r="L58" i="22" a="1"/>
  <c r="L58" i="22" s="1"/>
  <c r="J58" i="22" a="1"/>
  <c r="J58" i="22" s="1"/>
  <c r="H58" i="22" a="1"/>
  <c r="H58" i="22" s="1"/>
  <c r="F58" i="22" a="1"/>
  <c r="F58" i="22" s="1"/>
  <c r="D58" i="22" a="1"/>
  <c r="D58" i="22" s="1"/>
  <c r="B58" i="22" a="1"/>
  <c r="B58" i="22" s="1"/>
  <c r="AV57" i="22"/>
  <c r="AV57" i="22" a="1"/>
  <c r="AT57" i="22" a="1"/>
  <c r="AT57" i="22" s="1"/>
  <c r="AR57" i="22" a="1"/>
  <c r="AR57" i="22" s="1"/>
  <c r="AP57" i="22" a="1"/>
  <c r="AP57" i="22" s="1"/>
  <c r="AN57" i="22" a="1"/>
  <c r="AN57" i="22" s="1"/>
  <c r="AL57" i="22" a="1"/>
  <c r="AL57" i="22" s="1"/>
  <c r="AJ57" i="22" a="1"/>
  <c r="AJ57" i="22" s="1"/>
  <c r="AH57" i="22" a="1"/>
  <c r="AH57" i="22" s="1"/>
  <c r="AF57" i="22" a="1"/>
  <c r="AF57" i="22" s="1"/>
  <c r="AD57" i="22" a="1"/>
  <c r="AD57" i="22" s="1"/>
  <c r="AB57" i="22" a="1"/>
  <c r="AB57" i="22" s="1"/>
  <c r="Z57" i="22" a="1"/>
  <c r="Z57" i="22" s="1"/>
  <c r="X57" i="22" a="1"/>
  <c r="X57" i="22" s="1"/>
  <c r="V57" i="22" a="1"/>
  <c r="V57" i="22" s="1"/>
  <c r="T57" i="22" a="1"/>
  <c r="T57" i="22" s="1"/>
  <c r="R57" i="22" a="1"/>
  <c r="R57" i="22" s="1"/>
  <c r="P57" i="22"/>
  <c r="P57" i="22" a="1"/>
  <c r="N57" i="22" a="1"/>
  <c r="N57" i="22" s="1"/>
  <c r="L57" i="22" a="1"/>
  <c r="L57" i="22" s="1"/>
  <c r="J57" i="22"/>
  <c r="J57" i="22" a="1"/>
  <c r="H57" i="22" a="1"/>
  <c r="H57" i="22" s="1"/>
  <c r="F57" i="22"/>
  <c r="F57" i="22" a="1"/>
  <c r="D57" i="22" a="1"/>
  <c r="D57" i="22" s="1"/>
  <c r="B57" i="22" a="1"/>
  <c r="B57" i="22" s="1"/>
  <c r="AV56" i="22"/>
  <c r="AT56" i="22"/>
  <c r="AR56" i="22"/>
  <c r="AP56" i="22"/>
  <c r="AN56" i="22"/>
  <c r="AL56" i="22"/>
  <c r="AJ56" i="22"/>
  <c r="AH56" i="22"/>
  <c r="AF56" i="22"/>
  <c r="AD56" i="22"/>
  <c r="AB56" i="22"/>
  <c r="Z56" i="22"/>
  <c r="X56" i="22"/>
  <c r="V56" i="22"/>
  <c r="T56" i="22"/>
  <c r="R56" i="22"/>
  <c r="P56" i="22"/>
  <c r="N56" i="22"/>
  <c r="L56" i="22"/>
  <c r="J56" i="22"/>
  <c r="H56" i="22"/>
  <c r="F56" i="22"/>
  <c r="D56" i="22"/>
  <c r="B56" i="22"/>
  <c r="AV55" i="22"/>
  <c r="AT55" i="22"/>
  <c r="AR55" i="22"/>
  <c r="AR80" i="22" s="1"/>
  <c r="AP55" i="22"/>
  <c r="AP80" i="22" s="1"/>
  <c r="AN55" i="22"/>
  <c r="AN80" i="22" s="1"/>
  <c r="AL55" i="22"/>
  <c r="AJ55" i="22"/>
  <c r="AJ80" i="22" s="1"/>
  <c r="AH55" i="22"/>
  <c r="AH80" i="22" s="1"/>
  <c r="AF55" i="22"/>
  <c r="AF80" i="22" s="1"/>
  <c r="AD55" i="22"/>
  <c r="AD80" i="22" s="1"/>
  <c r="AB55" i="22"/>
  <c r="Z55" i="22"/>
  <c r="X55" i="22"/>
  <c r="V55" i="22"/>
  <c r="V80" i="22" s="1"/>
  <c r="T55" i="22"/>
  <c r="T80" i="22" s="1"/>
  <c r="R55" i="22"/>
  <c r="P55" i="22"/>
  <c r="N55" i="22"/>
  <c r="L55" i="22"/>
  <c r="L80" i="22" s="1"/>
  <c r="J55" i="22"/>
  <c r="J80" i="22" s="1"/>
  <c r="H55" i="22"/>
  <c r="H80" i="22" s="1"/>
  <c r="F55" i="22"/>
  <c r="F80" i="22" s="1"/>
  <c r="D55" i="22"/>
  <c r="D80" i="22" s="1"/>
  <c r="B55" i="22"/>
  <c r="B80" i="22" s="1"/>
  <c r="AV53" i="22" a="1"/>
  <c r="AT53" i="22" a="1"/>
  <c r="AR53" i="22" a="1"/>
  <c r="AP53" i="22" a="1"/>
  <c r="AN53" i="22" a="1"/>
  <c r="AL53" i="22" a="1"/>
  <c r="AJ53" i="22" a="1"/>
  <c r="AH53" i="22" a="1"/>
  <c r="AF53" i="22" a="1"/>
  <c r="AD53" i="22" a="1"/>
  <c r="AB53" i="22" a="1"/>
  <c r="Z53" i="22" a="1"/>
  <c r="X53" i="22" a="1"/>
  <c r="V53" i="22" a="1"/>
  <c r="T53" i="22" a="1"/>
  <c r="R53" i="22" a="1"/>
  <c r="P53" i="22" a="1"/>
  <c r="N53" i="22" a="1"/>
  <c r="L53" i="22" a="1"/>
  <c r="J53" i="22" a="1"/>
  <c r="H53" i="22" a="1"/>
  <c r="F53" i="22" a="1"/>
  <c r="D53" i="22" a="1"/>
  <c r="B53" i="22" a="1"/>
  <c r="AV52" i="22" a="1"/>
  <c r="AT52" i="22" a="1"/>
  <c r="AR52" i="22" a="1"/>
  <c r="AP52" i="22" a="1"/>
  <c r="AN52" i="22" a="1"/>
  <c r="AL52" i="22" a="1"/>
  <c r="AJ52" i="22" a="1"/>
  <c r="AH52" i="22" a="1"/>
  <c r="AF52" i="22" a="1"/>
  <c r="AD52" i="22" a="1"/>
  <c r="AB52" i="22" a="1"/>
  <c r="Z52" i="22" a="1"/>
  <c r="X52" i="22" a="1"/>
  <c r="V52" i="22" a="1"/>
  <c r="T52" i="22" a="1"/>
  <c r="R52" i="22" a="1"/>
  <c r="P52" i="22" a="1"/>
  <c r="N52" i="22" a="1"/>
  <c r="L52" i="22" a="1"/>
  <c r="J52" i="22" a="1"/>
  <c r="H52" i="22" a="1"/>
  <c r="F52" i="22" a="1"/>
  <c r="D52" i="22" a="1"/>
  <c r="B52" i="22" a="1"/>
  <c r="AV51" i="22"/>
  <c r="AV81" i="22" s="1"/>
  <c r="AT51" i="22"/>
  <c r="AT81" i="22" s="1"/>
  <c r="AR51" i="22"/>
  <c r="AP51" i="22"/>
  <c r="AN51" i="22"/>
  <c r="AN81" i="22" s="1"/>
  <c r="AL51" i="22"/>
  <c r="AL81" i="22" s="1"/>
  <c r="AJ51" i="22"/>
  <c r="AJ81" i="22" s="1"/>
  <c r="AH51" i="22"/>
  <c r="AF51" i="22"/>
  <c r="AD51" i="22"/>
  <c r="AB51" i="22"/>
  <c r="Z51" i="22"/>
  <c r="Z81" i="22" s="1"/>
  <c r="X51" i="22"/>
  <c r="X81" i="22" s="1"/>
  <c r="V51" i="22"/>
  <c r="V81" i="22" s="1"/>
  <c r="T51" i="22"/>
  <c r="T81" i="22" s="1"/>
  <c r="R51" i="22"/>
  <c r="R81" i="22" s="1"/>
  <c r="P51" i="22"/>
  <c r="P81" i="22" s="1"/>
  <c r="N51" i="22"/>
  <c r="N81" i="22" s="1"/>
  <c r="L51" i="22"/>
  <c r="J51" i="22"/>
  <c r="H51" i="22"/>
  <c r="H81" i="22" s="1"/>
  <c r="F51" i="22"/>
  <c r="D51" i="22"/>
  <c r="D81" i="22" s="1"/>
  <c r="B51" i="22"/>
  <c r="AV49" i="22"/>
  <c r="AT49" i="22"/>
  <c r="AR49" i="22"/>
  <c r="AP49" i="22"/>
  <c r="AN49" i="22"/>
  <c r="AL49" i="22"/>
  <c r="AJ49" i="22"/>
  <c r="AH49" i="22"/>
  <c r="AF49" i="22"/>
  <c r="AD49" i="22"/>
  <c r="AB49" i="22"/>
  <c r="Z49" i="22"/>
  <c r="X49" i="22"/>
  <c r="V49" i="22"/>
  <c r="T49" i="22"/>
  <c r="R49" i="22"/>
  <c r="P49" i="22"/>
  <c r="N49" i="22"/>
  <c r="L49" i="22"/>
  <c r="J49" i="22"/>
  <c r="H49" i="22"/>
  <c r="F49" i="22"/>
  <c r="D49" i="22"/>
  <c r="B49" i="22"/>
  <c r="AV48" i="22"/>
  <c r="AT48" i="22"/>
  <c r="AR48" i="22"/>
  <c r="AP48" i="22"/>
  <c r="AN48" i="22"/>
  <c r="AL48" i="22"/>
  <c r="AJ48" i="22"/>
  <c r="AH48" i="22"/>
  <c r="AF48" i="22"/>
  <c r="AD48" i="22"/>
  <c r="AB48" i="22"/>
  <c r="Z48" i="22"/>
  <c r="X48" i="22"/>
  <c r="V48" i="22"/>
  <c r="T48" i="22"/>
  <c r="R48" i="22"/>
  <c r="P48" i="22"/>
  <c r="N48" i="22"/>
  <c r="L48" i="22"/>
  <c r="J48" i="22"/>
  <c r="H48" i="22"/>
  <c r="F48" i="22"/>
  <c r="D48" i="22"/>
  <c r="B48" i="22"/>
  <c r="AV46" i="22"/>
  <c r="AT46" i="22"/>
  <c r="AR46" i="22"/>
  <c r="AP46" i="22"/>
  <c r="AN46" i="22"/>
  <c r="AL46" i="22"/>
  <c r="AJ46" i="22"/>
  <c r="AH46" i="22"/>
  <c r="AF46" i="22"/>
  <c r="AD46" i="22"/>
  <c r="AB46" i="22"/>
  <c r="Z46" i="22"/>
  <c r="X46" i="22"/>
  <c r="V46" i="22"/>
  <c r="T46" i="22"/>
  <c r="R46" i="22"/>
  <c r="P46" i="22"/>
  <c r="N46" i="22"/>
  <c r="L46" i="22"/>
  <c r="J46" i="22"/>
  <c r="H46" i="22"/>
  <c r="F46" i="22"/>
  <c r="D46" i="22"/>
  <c r="B46" i="22"/>
  <c r="AV45" i="22"/>
  <c r="AT45" i="22"/>
  <c r="AR45" i="22"/>
  <c r="AP45" i="22"/>
  <c r="AN45" i="22"/>
  <c r="AL45" i="22"/>
  <c r="AJ45" i="22"/>
  <c r="AH45" i="22"/>
  <c r="AF45" i="22"/>
  <c r="AD45" i="22"/>
  <c r="AB45" i="22"/>
  <c r="Z45" i="22"/>
  <c r="X45" i="22"/>
  <c r="V45" i="22"/>
  <c r="T45" i="22"/>
  <c r="R45" i="22"/>
  <c r="P45" i="22"/>
  <c r="N45" i="22"/>
  <c r="L45" i="22"/>
  <c r="J45" i="22"/>
  <c r="H45" i="22"/>
  <c r="F45" i="22"/>
  <c r="D45" i="22"/>
  <c r="B45" i="22"/>
  <c r="AV44" i="22"/>
  <c r="AT44" i="22"/>
  <c r="AR44" i="22"/>
  <c r="AP44" i="22"/>
  <c r="AN44" i="22"/>
  <c r="AL44" i="22"/>
  <c r="AJ44" i="22"/>
  <c r="AH44" i="22"/>
  <c r="AF44" i="22"/>
  <c r="AD44" i="22"/>
  <c r="AB44" i="22"/>
  <c r="Z44" i="22"/>
  <c r="X44" i="22"/>
  <c r="V44" i="22"/>
  <c r="T44" i="22"/>
  <c r="R44" i="22"/>
  <c r="P44" i="22"/>
  <c r="N44" i="22"/>
  <c r="L44" i="22"/>
  <c r="J44" i="22"/>
  <c r="H44" i="22"/>
  <c r="F44" i="22"/>
  <c r="D44" i="22"/>
  <c r="B44" i="22"/>
  <c r="AV43" i="22"/>
  <c r="AV43" i="22" a="1"/>
  <c r="AT43" i="22" a="1"/>
  <c r="AT43" i="22" s="1"/>
  <c r="AR43" i="22" a="1"/>
  <c r="AR43" i="22" s="1"/>
  <c r="AP43" i="22"/>
  <c r="AP43" i="22" a="1"/>
  <c r="AN43" i="22" a="1"/>
  <c r="AN43" i="22" s="1"/>
  <c r="AL43" i="22" a="1"/>
  <c r="AL43" i="22" s="1"/>
  <c r="AJ43" i="22" a="1"/>
  <c r="AJ43" i="22" s="1"/>
  <c r="AH43" i="22"/>
  <c r="AH43" i="22" a="1"/>
  <c r="AF43" i="22"/>
  <c r="AF43" i="22" a="1"/>
  <c r="AD43" i="22" a="1"/>
  <c r="AD43" i="22" s="1"/>
  <c r="AB43" i="22" a="1"/>
  <c r="AB43" i="22" s="1"/>
  <c r="Z43" i="22"/>
  <c r="Z43" i="22" a="1"/>
  <c r="X43" i="22" a="1"/>
  <c r="X43" i="22" s="1"/>
  <c r="V43" i="22"/>
  <c r="V43" i="22" a="1"/>
  <c r="T43" i="22" a="1"/>
  <c r="T43" i="22" s="1"/>
  <c r="R43" i="22" a="1"/>
  <c r="R43" i="22" s="1"/>
  <c r="P43" i="22"/>
  <c r="P43" i="22" a="1"/>
  <c r="N43" i="22" a="1"/>
  <c r="N43" i="22" s="1"/>
  <c r="L43" i="22"/>
  <c r="L43" i="22" a="1"/>
  <c r="J43" i="22"/>
  <c r="J43" i="22" a="1"/>
  <c r="H43" i="22" a="1"/>
  <c r="H43" i="22" s="1"/>
  <c r="F43" i="22"/>
  <c r="F43" i="22" a="1"/>
  <c r="D43" i="22"/>
  <c r="D43" i="22" a="1"/>
  <c r="B43" i="22"/>
  <c r="AV42" i="22"/>
  <c r="AT42" i="22"/>
  <c r="AR42" i="22"/>
  <c r="AP42" i="22"/>
  <c r="AN42" i="22"/>
  <c r="AL42" i="22"/>
  <c r="AJ42" i="22"/>
  <c r="AH42" i="22"/>
  <c r="AF42" i="22"/>
  <c r="AD42" i="22"/>
  <c r="AB42" i="22"/>
  <c r="Z42" i="22"/>
  <c r="X42" i="22"/>
  <c r="V42" i="22"/>
  <c r="T42" i="22"/>
  <c r="R42" i="22"/>
  <c r="P42" i="22"/>
  <c r="N42" i="22"/>
  <c r="L42" i="22"/>
  <c r="J42" i="22"/>
  <c r="H42" i="22"/>
  <c r="F42" i="22"/>
  <c r="D42" i="22"/>
  <c r="B42" i="22"/>
  <c r="AP81" i="12"/>
  <c r="AJ81" i="12"/>
  <c r="AH81" i="12"/>
  <c r="AF81" i="12"/>
  <c r="AD81" i="12"/>
  <c r="Z81" i="12"/>
  <c r="V81" i="12"/>
  <c r="T81" i="12"/>
  <c r="J81" i="12"/>
  <c r="D81" i="12"/>
  <c r="B81" i="12"/>
  <c r="AP80" i="12"/>
  <c r="AL80" i="12"/>
  <c r="AJ80" i="12"/>
  <c r="AH80" i="12"/>
  <c r="Z80" i="12"/>
  <c r="T80" i="12"/>
  <c r="R80" i="12"/>
  <c r="P80" i="12"/>
  <c r="J80" i="12"/>
  <c r="F80" i="12"/>
  <c r="D80" i="12"/>
  <c r="AV79" i="12"/>
  <c r="AV79" i="12" a="1"/>
  <c r="AT79" i="12" a="1"/>
  <c r="AT79" i="12" s="1"/>
  <c r="AR79" i="12" a="1"/>
  <c r="AR79" i="12" s="1"/>
  <c r="AP79" i="12" a="1"/>
  <c r="AP79" i="12" s="1"/>
  <c r="AN79" i="12"/>
  <c r="AN79" i="12" a="1"/>
  <c r="AL79" i="12" a="1"/>
  <c r="AL79" i="12" s="1"/>
  <c r="AJ79" i="12" a="1"/>
  <c r="AJ79" i="12" s="1"/>
  <c r="AH79" i="12" a="1"/>
  <c r="AH79" i="12" s="1"/>
  <c r="AF79" i="12"/>
  <c r="AF79" i="12" a="1"/>
  <c r="AD79" i="12" a="1"/>
  <c r="AD79" i="12" s="1"/>
  <c r="AB79" i="12" a="1"/>
  <c r="AB79" i="12" s="1"/>
  <c r="Z79" i="12" a="1"/>
  <c r="Z79" i="12" s="1"/>
  <c r="X79" i="12" a="1"/>
  <c r="X79" i="12" s="1"/>
  <c r="V79" i="12" a="1"/>
  <c r="V79" i="12" s="1"/>
  <c r="T79" i="12" a="1"/>
  <c r="T79" i="12" s="1"/>
  <c r="R79" i="12" a="1"/>
  <c r="R79" i="12" s="1"/>
  <c r="P79" i="12"/>
  <c r="P79" i="12" a="1"/>
  <c r="N79" i="12" a="1"/>
  <c r="N79" i="12" s="1"/>
  <c r="L79" i="12" a="1"/>
  <c r="L79" i="12" s="1"/>
  <c r="J79" i="12" a="1"/>
  <c r="J79" i="12" s="1"/>
  <c r="H79" i="12"/>
  <c r="H79" i="12" a="1"/>
  <c r="F79" i="12" a="1"/>
  <c r="F79" i="12" s="1"/>
  <c r="D79" i="12" a="1"/>
  <c r="D79" i="12" s="1"/>
  <c r="B79" i="12" a="1"/>
  <c r="B79" i="12" s="1"/>
  <c r="AV78" i="12"/>
  <c r="AV78" i="12" a="1"/>
  <c r="AT78" i="12" a="1"/>
  <c r="AT78" i="12" s="1"/>
  <c r="AR78" i="12" a="1"/>
  <c r="AR78" i="12" s="1"/>
  <c r="AP78" i="12" a="1"/>
  <c r="AP78" i="12" s="1"/>
  <c r="AN78" i="12"/>
  <c r="AN78" i="12" a="1"/>
  <c r="AL78" i="12" a="1"/>
  <c r="AL78" i="12" s="1"/>
  <c r="AJ78" i="12" a="1"/>
  <c r="AJ78" i="12" s="1"/>
  <c r="AH78" i="12"/>
  <c r="AH78" i="12" a="1"/>
  <c r="AF78" i="12"/>
  <c r="AF78" i="12" a="1"/>
  <c r="AD78" i="12" a="1"/>
  <c r="AD78" i="12" s="1"/>
  <c r="AB78" i="12" a="1"/>
  <c r="AB78" i="12" s="1"/>
  <c r="Z78" i="12" a="1"/>
  <c r="Z78" i="12" s="1"/>
  <c r="X78" i="12" a="1"/>
  <c r="X78" i="12" s="1"/>
  <c r="V78" i="12" a="1"/>
  <c r="V78" i="12" s="1"/>
  <c r="T78" i="12" a="1"/>
  <c r="T78" i="12" s="1"/>
  <c r="R78" i="12"/>
  <c r="R78" i="12" a="1"/>
  <c r="P78" i="12"/>
  <c r="P78" i="12" a="1"/>
  <c r="N78" i="12" a="1"/>
  <c r="N78" i="12" s="1"/>
  <c r="L78" i="12" a="1"/>
  <c r="L78" i="12" s="1"/>
  <c r="J78" i="12" a="1"/>
  <c r="J78" i="12" s="1"/>
  <c r="H78" i="12" a="1"/>
  <c r="H78" i="12" s="1"/>
  <c r="F78" i="12" a="1"/>
  <c r="F78" i="12" s="1"/>
  <c r="D78" i="12" a="1"/>
  <c r="D78" i="12" s="1"/>
  <c r="B78" i="12" a="1"/>
  <c r="B78" i="12" s="1"/>
  <c r="AV77" i="12"/>
  <c r="AV77" i="12" a="1"/>
  <c r="AT77" i="12" a="1"/>
  <c r="AT77" i="12" s="1"/>
  <c r="AR77" i="12" a="1"/>
  <c r="AR77" i="12" s="1"/>
  <c r="AP77" i="12" a="1"/>
  <c r="AP77" i="12" s="1"/>
  <c r="AN77" i="12" a="1"/>
  <c r="AN77" i="12" s="1"/>
  <c r="AL77" i="12" a="1"/>
  <c r="AL77" i="12" s="1"/>
  <c r="AJ77" i="12" a="1"/>
  <c r="AJ77" i="12" s="1"/>
  <c r="AH77" i="12"/>
  <c r="AH77" i="12" a="1"/>
  <c r="AF77" i="12"/>
  <c r="AF77" i="12" a="1"/>
  <c r="AD77" i="12" a="1"/>
  <c r="AD77" i="12" s="1"/>
  <c r="AB77" i="12" a="1"/>
  <c r="AB77" i="12" s="1"/>
  <c r="Z77" i="12" a="1"/>
  <c r="Z77" i="12" s="1"/>
  <c r="X77" i="12" a="1"/>
  <c r="X77" i="12" s="1"/>
  <c r="V77" i="12" a="1"/>
  <c r="V77" i="12" s="1"/>
  <c r="T77" i="12" a="1"/>
  <c r="T77" i="12" s="1"/>
  <c r="R77" i="12"/>
  <c r="R77" i="12" a="1"/>
  <c r="P77" i="12"/>
  <c r="P77" i="12" a="1"/>
  <c r="N77" i="12" a="1"/>
  <c r="N77" i="12" s="1"/>
  <c r="L77" i="12" a="1"/>
  <c r="L77" i="12" s="1"/>
  <c r="J77" i="12" a="1"/>
  <c r="J77" i="12" s="1"/>
  <c r="H77" i="12"/>
  <c r="H77" i="12" a="1"/>
  <c r="F77" i="12" a="1"/>
  <c r="F77" i="12" s="1"/>
  <c r="D77" i="12" a="1"/>
  <c r="D77" i="12" s="1"/>
  <c r="B77" i="12" a="1"/>
  <c r="B77" i="12" s="1"/>
  <c r="AV76" i="12"/>
  <c r="AV76" i="12" a="1"/>
  <c r="AT76" i="12" a="1"/>
  <c r="AT76" i="12" s="1"/>
  <c r="AR76" i="12" a="1"/>
  <c r="AR76" i="12" s="1"/>
  <c r="AP76" i="12" a="1"/>
  <c r="AP76" i="12" s="1"/>
  <c r="AN76" i="12" a="1"/>
  <c r="AN76" i="12" s="1"/>
  <c r="AL76" i="12" a="1"/>
  <c r="AL76" i="12" s="1"/>
  <c r="AJ76" i="12" a="1"/>
  <c r="AJ76" i="12" s="1"/>
  <c r="AH76" i="12" a="1"/>
  <c r="AH76" i="12" s="1"/>
  <c r="AF76" i="12"/>
  <c r="AF76" i="12" a="1"/>
  <c r="AD76" i="12" a="1"/>
  <c r="AD76" i="12" s="1"/>
  <c r="AB76" i="12" a="1"/>
  <c r="AB76" i="12" s="1"/>
  <c r="Z76" i="12" a="1"/>
  <c r="Z76" i="12" s="1"/>
  <c r="X76" i="12" a="1"/>
  <c r="X76" i="12" s="1"/>
  <c r="V76" i="12" a="1"/>
  <c r="V76" i="12" s="1"/>
  <c r="T76" i="12" a="1"/>
  <c r="T76" i="12" s="1"/>
  <c r="R76" i="12" a="1"/>
  <c r="R76" i="12" s="1"/>
  <c r="P76" i="12"/>
  <c r="P76" i="12" a="1"/>
  <c r="N76" i="12" a="1"/>
  <c r="N76" i="12" s="1"/>
  <c r="L76" i="12" a="1"/>
  <c r="L76" i="12" s="1"/>
  <c r="J76" i="12" a="1"/>
  <c r="J76" i="12" s="1"/>
  <c r="H76" i="12" a="1"/>
  <c r="H76" i="12" s="1"/>
  <c r="F76" i="12" a="1"/>
  <c r="F76" i="12" s="1"/>
  <c r="D76" i="12" a="1"/>
  <c r="D76" i="12" s="1"/>
  <c r="B76" i="12" a="1"/>
  <c r="B76" i="12" s="1"/>
  <c r="AV75" i="12"/>
  <c r="AV75" i="12" a="1"/>
  <c r="AT75" i="12" a="1"/>
  <c r="AT75" i="12" s="1"/>
  <c r="AR75" i="12" a="1"/>
  <c r="AR75" i="12" s="1"/>
  <c r="AP75" i="12" a="1"/>
  <c r="AP75" i="12" s="1"/>
  <c r="AN75" i="12" a="1"/>
  <c r="AN75" i="12" s="1"/>
  <c r="AL75" i="12" a="1"/>
  <c r="AL75" i="12" s="1"/>
  <c r="AJ75" i="12" a="1"/>
  <c r="AJ75" i="12" s="1"/>
  <c r="AH75" i="12"/>
  <c r="AH75" i="12" a="1"/>
  <c r="AF75" i="12"/>
  <c r="AF75" i="12" a="1"/>
  <c r="AD75" i="12" a="1"/>
  <c r="AD75" i="12" s="1"/>
  <c r="AB75" i="12" a="1"/>
  <c r="AB75" i="12" s="1"/>
  <c r="Z75" i="12" a="1"/>
  <c r="Z75" i="12" s="1"/>
  <c r="X75" i="12" a="1"/>
  <c r="X75" i="12" s="1"/>
  <c r="V75" i="12" a="1"/>
  <c r="V75" i="12" s="1"/>
  <c r="T75" i="12" a="1"/>
  <c r="T75" i="12" s="1"/>
  <c r="R75" i="12" a="1"/>
  <c r="R75" i="12" s="1"/>
  <c r="P75" i="12"/>
  <c r="P75" i="12" a="1"/>
  <c r="N75" i="12" a="1"/>
  <c r="N75" i="12" s="1"/>
  <c r="L75" i="12" a="1"/>
  <c r="L75" i="12" s="1"/>
  <c r="J75" i="12" a="1"/>
  <c r="J75" i="12" s="1"/>
  <c r="H75" i="12" a="1"/>
  <c r="H75" i="12" s="1"/>
  <c r="F75" i="12" a="1"/>
  <c r="F75" i="12" s="1"/>
  <c r="D75" i="12" a="1"/>
  <c r="D75" i="12" s="1"/>
  <c r="B75" i="12" a="1"/>
  <c r="B75" i="12" s="1"/>
  <c r="AV74" i="12"/>
  <c r="AV74" i="12" a="1"/>
  <c r="AT74" i="12" a="1"/>
  <c r="AT74" i="12" s="1"/>
  <c r="AR74" i="12" a="1"/>
  <c r="AR74" i="12" s="1"/>
  <c r="AP74" i="12" a="1"/>
  <c r="AP74" i="12" s="1"/>
  <c r="AN74" i="12"/>
  <c r="AN74" i="12" a="1"/>
  <c r="AL74" i="12" a="1"/>
  <c r="AL74" i="12" s="1"/>
  <c r="AJ74" i="12" a="1"/>
  <c r="AJ74" i="12" s="1"/>
  <c r="AH74" i="12" a="1"/>
  <c r="AH74" i="12" s="1"/>
  <c r="AF74" i="12"/>
  <c r="AF74" i="12" a="1"/>
  <c r="AD74" i="12" a="1"/>
  <c r="AD74" i="12" s="1"/>
  <c r="AB74" i="12" a="1"/>
  <c r="AB74" i="12" s="1"/>
  <c r="Z74" i="12" a="1"/>
  <c r="Z74" i="12" s="1"/>
  <c r="X74" i="12"/>
  <c r="X74" i="12" a="1"/>
  <c r="V74" i="12" a="1"/>
  <c r="V74" i="12" s="1"/>
  <c r="T74" i="12" a="1"/>
  <c r="T74" i="12" s="1"/>
  <c r="R74" i="12" a="1"/>
  <c r="R74" i="12" s="1"/>
  <c r="P74" i="12"/>
  <c r="P74" i="12" a="1"/>
  <c r="N74" i="12" a="1"/>
  <c r="N74" i="12" s="1"/>
  <c r="L74" i="12" a="1"/>
  <c r="L74" i="12" s="1"/>
  <c r="J74" i="12" a="1"/>
  <c r="J74" i="12" s="1"/>
  <c r="H74" i="12" a="1"/>
  <c r="H74" i="12" s="1"/>
  <c r="F74" i="12" a="1"/>
  <c r="F74" i="12" s="1"/>
  <c r="D74" i="12" a="1"/>
  <c r="D74" i="12" s="1"/>
  <c r="B74" i="12" a="1"/>
  <c r="B74" i="12" s="1"/>
  <c r="AV73" i="12"/>
  <c r="AV73" i="12" a="1"/>
  <c r="AT73" i="12" a="1"/>
  <c r="AT73" i="12" s="1"/>
  <c r="AR73" i="12" a="1"/>
  <c r="AR73" i="12" s="1"/>
  <c r="AP73" i="12" a="1"/>
  <c r="AP73" i="12" s="1"/>
  <c r="AN73" i="12"/>
  <c r="AN73" i="12" a="1"/>
  <c r="AL73" i="12" a="1"/>
  <c r="AL73" i="12" s="1"/>
  <c r="AJ73" i="12" a="1"/>
  <c r="AJ73" i="12" s="1"/>
  <c r="AH73" i="12" a="1"/>
  <c r="AH73" i="12" s="1"/>
  <c r="AF73" i="12"/>
  <c r="AF73" i="12" a="1"/>
  <c r="AD73" i="12" a="1"/>
  <c r="AD73" i="12" s="1"/>
  <c r="AB73" i="12" a="1"/>
  <c r="AB73" i="12" s="1"/>
  <c r="Z73" i="12" a="1"/>
  <c r="Z73" i="12" s="1"/>
  <c r="X73" i="12"/>
  <c r="X73" i="12" a="1"/>
  <c r="V73" i="12" a="1"/>
  <c r="V73" i="12" s="1"/>
  <c r="T73" i="12" a="1"/>
  <c r="T73" i="12" s="1"/>
  <c r="R73" i="12"/>
  <c r="R73" i="12" a="1"/>
  <c r="P73" i="12"/>
  <c r="P73" i="12" a="1"/>
  <c r="N73" i="12" a="1"/>
  <c r="N73" i="12" s="1"/>
  <c r="L73" i="12" a="1"/>
  <c r="L73" i="12" s="1"/>
  <c r="J73" i="12" a="1"/>
  <c r="J73" i="12" s="1"/>
  <c r="H73" i="12" a="1"/>
  <c r="H73" i="12" s="1"/>
  <c r="F73" i="12" a="1"/>
  <c r="F73" i="12" s="1"/>
  <c r="D73" i="12" a="1"/>
  <c r="D73" i="12" s="1"/>
  <c r="B73" i="12"/>
  <c r="B73" i="12" a="1"/>
  <c r="AV72" i="12"/>
  <c r="AT72" i="12"/>
  <c r="AR72" i="12"/>
  <c r="AP72" i="12"/>
  <c r="AN72" i="12"/>
  <c r="AL72" i="12"/>
  <c r="AJ72" i="12"/>
  <c r="AH72" i="12"/>
  <c r="AF72" i="12"/>
  <c r="AD72" i="12"/>
  <c r="AB72" i="12"/>
  <c r="Z72" i="12"/>
  <c r="X72" i="12"/>
  <c r="V72" i="12"/>
  <c r="T72" i="12"/>
  <c r="R72" i="12"/>
  <c r="P72" i="12"/>
  <c r="N72" i="12"/>
  <c r="L72" i="12"/>
  <c r="J72" i="12"/>
  <c r="H72" i="12"/>
  <c r="F72" i="12"/>
  <c r="D72" i="12"/>
  <c r="B72" i="12"/>
  <c r="AV71" i="12"/>
  <c r="AT71" i="12"/>
  <c r="AR71" i="12"/>
  <c r="AP71" i="12"/>
  <c r="AN71" i="12"/>
  <c r="AL71" i="12"/>
  <c r="AJ71" i="12"/>
  <c r="AH71" i="12"/>
  <c r="AF71" i="12"/>
  <c r="AD71" i="12"/>
  <c r="AB71" i="12"/>
  <c r="Z71" i="12"/>
  <c r="X71" i="12"/>
  <c r="V71" i="12"/>
  <c r="T71" i="12"/>
  <c r="R71" i="12"/>
  <c r="P71" i="12"/>
  <c r="N71" i="12"/>
  <c r="L71" i="12"/>
  <c r="J71" i="12"/>
  <c r="H71" i="12"/>
  <c r="F71" i="12"/>
  <c r="D71" i="12"/>
  <c r="B71" i="12"/>
  <c r="AV70" i="12"/>
  <c r="AT70" i="12"/>
  <c r="AR70" i="12"/>
  <c r="AP70" i="12"/>
  <c r="AN70" i="12"/>
  <c r="AL70" i="12"/>
  <c r="AJ70" i="12"/>
  <c r="AH70" i="12"/>
  <c r="AF70" i="12"/>
  <c r="AD70" i="12"/>
  <c r="AB70" i="12"/>
  <c r="Z70" i="12"/>
  <c r="X70" i="12"/>
  <c r="V70" i="12"/>
  <c r="T70" i="12"/>
  <c r="R70" i="12"/>
  <c r="P70" i="12"/>
  <c r="N70" i="12"/>
  <c r="L70" i="12"/>
  <c r="J70" i="12"/>
  <c r="H70" i="12"/>
  <c r="F70" i="12"/>
  <c r="D70" i="12"/>
  <c r="B70" i="12"/>
  <c r="AN69" i="12"/>
  <c r="AJ69" i="12"/>
  <c r="AH69" i="12"/>
  <c r="X69" i="12"/>
  <c r="R69" i="12"/>
  <c r="N69" i="12"/>
  <c r="H69" i="12"/>
  <c r="B69" i="12"/>
  <c r="AN68" i="12"/>
  <c r="X68" i="12"/>
  <c r="H68" i="12"/>
  <c r="AV67" i="12" a="1"/>
  <c r="AV67" i="12" s="1"/>
  <c r="AT67" i="12" a="1"/>
  <c r="AT67" i="12" s="1"/>
  <c r="AR67" i="12" a="1"/>
  <c r="AR67" i="12" s="1"/>
  <c r="AP67" i="12" a="1"/>
  <c r="AP67" i="12" s="1"/>
  <c r="AN67" i="12"/>
  <c r="AN67" i="12" a="1"/>
  <c r="AL67" i="12" a="1"/>
  <c r="AL67" i="12" s="1"/>
  <c r="AJ67" i="12" a="1"/>
  <c r="AJ67" i="12" s="1"/>
  <c r="AH67" i="12" a="1"/>
  <c r="AH67" i="12" s="1"/>
  <c r="AF67" i="12" a="1"/>
  <c r="AF67" i="12" s="1"/>
  <c r="AD67" i="12" a="1"/>
  <c r="AD67" i="12" s="1"/>
  <c r="AB67" i="12" a="1"/>
  <c r="AB67" i="12" s="1"/>
  <c r="Z67" i="12" a="1"/>
  <c r="Z67" i="12" s="1"/>
  <c r="X67" i="12"/>
  <c r="X67" i="12" a="1"/>
  <c r="V67" i="12" a="1"/>
  <c r="V67" i="12" s="1"/>
  <c r="T67" i="12" a="1"/>
  <c r="T67" i="12" s="1"/>
  <c r="R67" i="12" a="1"/>
  <c r="R67" i="12" s="1"/>
  <c r="P67" i="12"/>
  <c r="P67" i="12" a="1"/>
  <c r="N67" i="12" a="1"/>
  <c r="N67" i="12" s="1"/>
  <c r="L67" i="12" a="1"/>
  <c r="L67" i="12" s="1"/>
  <c r="J67" i="12" a="1"/>
  <c r="J67" i="12" s="1"/>
  <c r="H67" i="12"/>
  <c r="H67" i="12" a="1"/>
  <c r="F67" i="12" a="1"/>
  <c r="F67" i="12" s="1"/>
  <c r="D67" i="12" a="1"/>
  <c r="D67" i="12" s="1"/>
  <c r="B67" i="12" a="1"/>
  <c r="B67" i="12" s="1"/>
  <c r="AV66" i="12"/>
  <c r="AV66" i="12" a="1"/>
  <c r="AT66" i="12" a="1"/>
  <c r="AT66" i="12" s="1"/>
  <c r="AR66" i="12" a="1"/>
  <c r="AR66" i="12" s="1"/>
  <c r="AR68" i="12" s="1"/>
  <c r="AP66" i="12" a="1"/>
  <c r="AP66" i="12" s="1"/>
  <c r="AP68" i="12" s="1"/>
  <c r="AN66" i="12"/>
  <c r="AN66" i="12" a="1"/>
  <c r="AL66" i="12" a="1"/>
  <c r="AL66" i="12" s="1"/>
  <c r="AL68" i="12" s="1"/>
  <c r="AJ66" i="12" a="1"/>
  <c r="AJ66" i="12" s="1"/>
  <c r="AH66" i="12" a="1"/>
  <c r="AH66" i="12" s="1"/>
  <c r="AH68" i="12" s="1"/>
  <c r="AF66" i="12" a="1"/>
  <c r="AF66" i="12" s="1"/>
  <c r="AF68" i="12" s="1"/>
  <c r="AD66" i="12" a="1"/>
  <c r="AD66" i="12" s="1"/>
  <c r="AD68" i="12" s="1"/>
  <c r="AB66" i="12" a="1"/>
  <c r="AB66" i="12" s="1"/>
  <c r="AB68" i="12" s="1"/>
  <c r="Z66" i="12" a="1"/>
  <c r="Z66" i="12" s="1"/>
  <c r="X66" i="12"/>
  <c r="X66" i="12" a="1"/>
  <c r="V66" i="12" a="1"/>
  <c r="V66" i="12" s="1"/>
  <c r="V68" i="12" s="1"/>
  <c r="T66" i="12" a="1"/>
  <c r="T66" i="12" s="1"/>
  <c r="T68" i="12" s="1"/>
  <c r="R66" i="12" a="1"/>
  <c r="R66" i="12" s="1"/>
  <c r="R68" i="12" s="1"/>
  <c r="P66" i="12"/>
  <c r="P66" i="12" a="1"/>
  <c r="N66" i="12" a="1"/>
  <c r="N66" i="12" s="1"/>
  <c r="N68" i="12" s="1"/>
  <c r="L66" i="12" a="1"/>
  <c r="L66" i="12" s="1"/>
  <c r="J66" i="12" a="1"/>
  <c r="J66" i="12" s="1"/>
  <c r="H66" i="12"/>
  <c r="H66" i="12" a="1"/>
  <c r="F66" i="12" a="1"/>
  <c r="F66" i="12" s="1"/>
  <c r="F68" i="12" s="1"/>
  <c r="D66" i="12" a="1"/>
  <c r="D66" i="12" s="1"/>
  <c r="D68" i="12" s="1"/>
  <c r="B66" i="12" a="1"/>
  <c r="B66" i="12" s="1"/>
  <c r="B68" i="12" s="1"/>
  <c r="AV65" i="12"/>
  <c r="AV69" i="12" s="1"/>
  <c r="AV65" i="12" a="1"/>
  <c r="AT65" i="12" a="1"/>
  <c r="AT65" i="12" s="1"/>
  <c r="AT69" i="12" s="1"/>
  <c r="AR65" i="12" a="1"/>
  <c r="AR65" i="12" s="1"/>
  <c r="AR69" i="12" s="1"/>
  <c r="AP65" i="12"/>
  <c r="AP69" i="12" s="1"/>
  <c r="AP65" i="12" a="1"/>
  <c r="AN65" i="12"/>
  <c r="AN65" i="12" a="1"/>
  <c r="AL65" i="12" a="1"/>
  <c r="AL65" i="12" s="1"/>
  <c r="AL69" i="12" s="1"/>
  <c r="AJ65" i="12" a="1"/>
  <c r="AJ65" i="12" s="1"/>
  <c r="AH65" i="12" a="1"/>
  <c r="AH65" i="12" s="1"/>
  <c r="AF65" i="12" a="1"/>
  <c r="AF65" i="12" s="1"/>
  <c r="AF69" i="12" s="1"/>
  <c r="AD65" i="12" a="1"/>
  <c r="AD65" i="12" s="1"/>
  <c r="AD69" i="12" s="1"/>
  <c r="AB65" i="12" a="1"/>
  <c r="AB65" i="12" s="1"/>
  <c r="AB69" i="12" s="1"/>
  <c r="Z65" i="12"/>
  <c r="Z69" i="12" s="1"/>
  <c r="Z65" i="12" a="1"/>
  <c r="X65" i="12"/>
  <c r="X65" i="12" a="1"/>
  <c r="V65" i="12" a="1"/>
  <c r="V65" i="12" s="1"/>
  <c r="V69" i="12" s="1"/>
  <c r="T65" i="12" a="1"/>
  <c r="T65" i="12" s="1"/>
  <c r="T69" i="12" s="1"/>
  <c r="R65" i="12" a="1"/>
  <c r="R65" i="12" s="1"/>
  <c r="P65" i="12" a="1"/>
  <c r="P65" i="12" s="1"/>
  <c r="P69" i="12" s="1"/>
  <c r="N65" i="12" a="1"/>
  <c r="N65" i="12" s="1"/>
  <c r="L65" i="12" a="1"/>
  <c r="L65" i="12" s="1"/>
  <c r="L69" i="12" s="1"/>
  <c r="J65" i="12" a="1"/>
  <c r="J65" i="12" s="1"/>
  <c r="J69" i="12" s="1"/>
  <c r="H65" i="12"/>
  <c r="H65" i="12" a="1"/>
  <c r="F65" i="12" a="1"/>
  <c r="F65" i="12" s="1"/>
  <c r="F69" i="12" s="1"/>
  <c r="D65" i="12" a="1"/>
  <c r="D65" i="12" s="1"/>
  <c r="D69" i="12" s="1"/>
  <c r="B65" i="12"/>
  <c r="AV62" i="12"/>
  <c r="AT62" i="12"/>
  <c r="AR62" i="12"/>
  <c r="AP62" i="12"/>
  <c r="AN62" i="12"/>
  <c r="AL62" i="12"/>
  <c r="AJ62" i="12"/>
  <c r="AH62" i="12"/>
  <c r="AF62" i="12"/>
  <c r="AD62" i="12"/>
  <c r="AB62" i="12"/>
  <c r="Z62" i="12"/>
  <c r="X62" i="12"/>
  <c r="V62" i="12"/>
  <c r="T62" i="12"/>
  <c r="R62" i="12"/>
  <c r="P62" i="12"/>
  <c r="N62" i="12"/>
  <c r="L62" i="12"/>
  <c r="J62" i="12"/>
  <c r="H62" i="12"/>
  <c r="F62" i="12"/>
  <c r="D62" i="12"/>
  <c r="B62" i="12"/>
  <c r="AV60" i="12"/>
  <c r="AT60" i="12"/>
  <c r="AR60" i="12"/>
  <c r="AP60" i="12"/>
  <c r="AN60" i="12"/>
  <c r="AL60" i="12"/>
  <c r="AJ60" i="12"/>
  <c r="AH60" i="12"/>
  <c r="AF60" i="12"/>
  <c r="AD60" i="12"/>
  <c r="AB60" i="12"/>
  <c r="Z60" i="12"/>
  <c r="X60" i="12"/>
  <c r="V60" i="12"/>
  <c r="T60" i="12"/>
  <c r="R60" i="12"/>
  <c r="P60" i="12"/>
  <c r="N60" i="12"/>
  <c r="L60" i="12"/>
  <c r="J60" i="12"/>
  <c r="H60" i="12"/>
  <c r="F60" i="12"/>
  <c r="D60" i="12"/>
  <c r="B60" i="12"/>
  <c r="AV59" i="12"/>
  <c r="AT59" i="12"/>
  <c r="AR59" i="12"/>
  <c r="AP59" i="12"/>
  <c r="AN59" i="12"/>
  <c r="AL59" i="12"/>
  <c r="AJ59" i="12"/>
  <c r="AH59" i="12"/>
  <c r="AF59" i="12"/>
  <c r="AD59" i="12"/>
  <c r="AB59" i="12"/>
  <c r="Z59" i="12"/>
  <c r="X59" i="12"/>
  <c r="V59" i="12"/>
  <c r="T59" i="12"/>
  <c r="R59" i="12"/>
  <c r="P59" i="12"/>
  <c r="N59" i="12"/>
  <c r="L59" i="12"/>
  <c r="J59" i="12"/>
  <c r="H59" i="12"/>
  <c r="F59" i="12"/>
  <c r="D59" i="12"/>
  <c r="B59" i="12"/>
  <c r="AV58" i="12"/>
  <c r="AV58" i="12" a="1"/>
  <c r="AT58" i="12" a="1"/>
  <c r="AT58" i="12" s="1"/>
  <c r="AR58" i="12" a="1"/>
  <c r="AR58" i="12" s="1"/>
  <c r="AP58" i="12" a="1"/>
  <c r="AP58" i="12" s="1"/>
  <c r="AN58" i="12" a="1"/>
  <c r="AN58" i="12" s="1"/>
  <c r="AL58" i="12" a="1"/>
  <c r="AL58" i="12" s="1"/>
  <c r="AJ58" i="12" a="1"/>
  <c r="AJ58" i="12" s="1"/>
  <c r="AH58" i="12" a="1"/>
  <c r="AH58" i="12" s="1"/>
  <c r="AF58" i="12" a="1"/>
  <c r="AF58" i="12" s="1"/>
  <c r="AD58" i="12" a="1"/>
  <c r="AD58" i="12" s="1"/>
  <c r="AB58" i="12" a="1"/>
  <c r="AB58" i="12" s="1"/>
  <c r="Z58" i="12" a="1"/>
  <c r="Z58" i="12" s="1"/>
  <c r="X58" i="12" a="1"/>
  <c r="X58" i="12" s="1"/>
  <c r="V58" i="12"/>
  <c r="V58" i="12" a="1"/>
  <c r="T58" i="12" a="1"/>
  <c r="T58" i="12" s="1"/>
  <c r="R58" i="12" a="1"/>
  <c r="R58" i="12" s="1"/>
  <c r="P58" i="12" a="1"/>
  <c r="P58" i="12" s="1"/>
  <c r="N58" i="12" a="1"/>
  <c r="N58" i="12" s="1"/>
  <c r="L58" i="12" a="1"/>
  <c r="L58" i="12" s="1"/>
  <c r="J58" i="12" a="1"/>
  <c r="J58" i="12" s="1"/>
  <c r="H58" i="12"/>
  <c r="H58" i="12" a="1"/>
  <c r="F58" i="12" a="1"/>
  <c r="F58" i="12" s="1"/>
  <c r="D58" i="12" a="1"/>
  <c r="D58" i="12" s="1"/>
  <c r="B58" i="12" a="1"/>
  <c r="B58" i="12" s="1"/>
  <c r="AV57" i="12" a="1"/>
  <c r="AV57" i="12" s="1"/>
  <c r="AT57" i="12" a="1"/>
  <c r="AT57" i="12" s="1"/>
  <c r="AR57" i="12" a="1"/>
  <c r="AR57" i="12" s="1"/>
  <c r="AP57" i="12" a="1"/>
  <c r="AP57" i="12" s="1"/>
  <c r="AN57" i="12" a="1"/>
  <c r="AN57" i="12" s="1"/>
  <c r="AL57" i="12" a="1"/>
  <c r="AL57" i="12" s="1"/>
  <c r="AJ57" i="12" a="1"/>
  <c r="AJ57" i="12" s="1"/>
  <c r="AH57" i="12" a="1"/>
  <c r="AH57" i="12" s="1"/>
  <c r="AF57" i="12" a="1"/>
  <c r="AF57" i="12" s="1"/>
  <c r="AD57" i="12" a="1"/>
  <c r="AD57" i="12" s="1"/>
  <c r="AB57" i="12" a="1"/>
  <c r="AB57" i="12" s="1"/>
  <c r="Z57" i="12" a="1"/>
  <c r="Z57" i="12" s="1"/>
  <c r="X57" i="12" a="1"/>
  <c r="X57" i="12" s="1"/>
  <c r="V57" i="12"/>
  <c r="V57" i="12" a="1"/>
  <c r="T57" i="12" a="1"/>
  <c r="T57" i="12" s="1"/>
  <c r="R57" i="12" a="1"/>
  <c r="R57" i="12" s="1"/>
  <c r="P57" i="12" a="1"/>
  <c r="P57" i="12" s="1"/>
  <c r="N57" i="12" a="1"/>
  <c r="N57" i="12" s="1"/>
  <c r="L57" i="12" a="1"/>
  <c r="L57" i="12" s="1"/>
  <c r="J57" i="12" a="1"/>
  <c r="J57" i="12" s="1"/>
  <c r="H57" i="12"/>
  <c r="H57" i="12" a="1"/>
  <c r="F57" i="12" a="1"/>
  <c r="F57" i="12" s="1"/>
  <c r="D57" i="12" a="1"/>
  <c r="D57" i="12" s="1"/>
  <c r="B57" i="12" a="1"/>
  <c r="B57" i="12" s="1"/>
  <c r="AV56" i="12"/>
  <c r="AT56" i="12"/>
  <c r="AR56" i="12"/>
  <c r="AP56" i="12"/>
  <c r="AN56" i="12"/>
  <c r="AL56" i="12"/>
  <c r="AJ56" i="12"/>
  <c r="AH56" i="12"/>
  <c r="AF56" i="12"/>
  <c r="AD56" i="12"/>
  <c r="AB56" i="12"/>
  <c r="Z56" i="12"/>
  <c r="X56" i="12"/>
  <c r="V56" i="12"/>
  <c r="T56" i="12"/>
  <c r="R56" i="12"/>
  <c r="P56" i="12"/>
  <c r="N56" i="12"/>
  <c r="L56" i="12"/>
  <c r="J56" i="12"/>
  <c r="H56" i="12"/>
  <c r="F56" i="12"/>
  <c r="D56" i="12"/>
  <c r="B56" i="12"/>
  <c r="AV55" i="12"/>
  <c r="AV80" i="12" s="1"/>
  <c r="AT55" i="12"/>
  <c r="AT80" i="12" s="1"/>
  <c r="AR55" i="12"/>
  <c r="AR80" i="12" s="1"/>
  <c r="AP55" i="12"/>
  <c r="AN55" i="12"/>
  <c r="AN80" i="12" s="1"/>
  <c r="AL55" i="12"/>
  <c r="AJ55" i="12"/>
  <c r="AH55" i="12"/>
  <c r="AF55" i="12"/>
  <c r="AF80" i="12" s="1"/>
  <c r="AD55" i="12"/>
  <c r="AD80" i="12" s="1"/>
  <c r="AB55" i="12"/>
  <c r="AB80" i="12" s="1"/>
  <c r="Z55" i="12"/>
  <c r="X55" i="12"/>
  <c r="X80" i="12" s="1"/>
  <c r="V55" i="12"/>
  <c r="V80" i="12" s="1"/>
  <c r="T55" i="12"/>
  <c r="R55" i="12"/>
  <c r="P55" i="12"/>
  <c r="N55" i="12"/>
  <c r="N80" i="12" s="1"/>
  <c r="L55" i="12"/>
  <c r="L80" i="12" s="1"/>
  <c r="J55" i="12"/>
  <c r="H55" i="12"/>
  <c r="H80" i="12" s="1"/>
  <c r="F55" i="12"/>
  <c r="D55" i="12"/>
  <c r="B55" i="12"/>
  <c r="B80" i="12" s="1"/>
  <c r="AV53" i="12" a="1"/>
  <c r="AT53" i="12" a="1"/>
  <c r="AR53" i="12" a="1"/>
  <c r="AP53" i="12" a="1"/>
  <c r="AN53" i="12" a="1"/>
  <c r="AL53" i="12" a="1"/>
  <c r="AJ53" i="12" a="1"/>
  <c r="AH53" i="12" a="1"/>
  <c r="AF53" i="12" a="1"/>
  <c r="AD53" i="12" a="1"/>
  <c r="AB53" i="12" a="1"/>
  <c r="Z53" i="12" a="1"/>
  <c r="X53" i="12" a="1"/>
  <c r="V53" i="12" a="1"/>
  <c r="T53" i="12" a="1"/>
  <c r="R53" i="12" a="1"/>
  <c r="P53" i="12" a="1"/>
  <c r="N53" i="12" a="1"/>
  <c r="L53" i="12" a="1"/>
  <c r="J53" i="12" a="1"/>
  <c r="H53" i="12" a="1"/>
  <c r="F53" i="12" a="1"/>
  <c r="D53" i="12" a="1"/>
  <c r="B53" i="12" a="1"/>
  <c r="AV52" i="12" a="1"/>
  <c r="AT52" i="12" a="1"/>
  <c r="AR52" i="12" a="1"/>
  <c r="AP52" i="12" a="1"/>
  <c r="AN52" i="12" a="1"/>
  <c r="AL52" i="12" a="1"/>
  <c r="AJ52" i="12" a="1"/>
  <c r="AH52" i="12" a="1"/>
  <c r="AF52" i="12" a="1"/>
  <c r="AD52" i="12" a="1"/>
  <c r="AB52" i="12" a="1"/>
  <c r="Z52" i="12" a="1"/>
  <c r="X52" i="12" a="1"/>
  <c r="V52" i="12" a="1"/>
  <c r="T52" i="12" a="1"/>
  <c r="R52" i="12" a="1"/>
  <c r="P52" i="12" a="1"/>
  <c r="N52" i="12" a="1"/>
  <c r="L52" i="12" a="1"/>
  <c r="J52" i="12" a="1"/>
  <c r="H52" i="12" a="1"/>
  <c r="F52" i="12" a="1"/>
  <c r="D52" i="12" a="1"/>
  <c r="B52" i="12" a="1"/>
  <c r="AV51" i="12"/>
  <c r="AV81" i="12" s="1"/>
  <c r="AT51" i="12"/>
  <c r="AT81" i="12" s="1"/>
  <c r="AR51" i="12"/>
  <c r="AR81" i="12" s="1"/>
  <c r="AP51" i="12"/>
  <c r="AN51" i="12"/>
  <c r="AN81" i="12" s="1"/>
  <c r="AL51" i="12"/>
  <c r="AL81" i="12" s="1"/>
  <c r="AJ51" i="12"/>
  <c r="AH51" i="12"/>
  <c r="AF51" i="12"/>
  <c r="AD51" i="12"/>
  <c r="AB51" i="12"/>
  <c r="AB81" i="12" s="1"/>
  <c r="Z51" i="12"/>
  <c r="X51" i="12"/>
  <c r="X81" i="12" s="1"/>
  <c r="V51" i="12"/>
  <c r="T51" i="12"/>
  <c r="R51" i="12"/>
  <c r="R81" i="12" s="1"/>
  <c r="P51" i="12"/>
  <c r="P81" i="12" s="1"/>
  <c r="N51" i="12"/>
  <c r="N81" i="12" s="1"/>
  <c r="L51" i="12"/>
  <c r="L81" i="12" s="1"/>
  <c r="J51" i="12"/>
  <c r="H51" i="12"/>
  <c r="H81" i="12" s="1"/>
  <c r="F51" i="12"/>
  <c r="F81" i="12" s="1"/>
  <c r="D51" i="12"/>
  <c r="B51" i="12"/>
  <c r="AV49" i="12"/>
  <c r="AT49" i="12"/>
  <c r="AR49" i="12"/>
  <c r="AP49" i="12"/>
  <c r="AN49" i="12"/>
  <c r="AL49" i="12"/>
  <c r="AJ49" i="12"/>
  <c r="AH49" i="12"/>
  <c r="AF49" i="12"/>
  <c r="AD49" i="12"/>
  <c r="AB49" i="12"/>
  <c r="Z49" i="12"/>
  <c r="X49" i="12"/>
  <c r="V49" i="12"/>
  <c r="T49" i="12"/>
  <c r="R49" i="12"/>
  <c r="P49" i="12"/>
  <c r="N49" i="12"/>
  <c r="L49" i="12"/>
  <c r="J49" i="12"/>
  <c r="H49" i="12"/>
  <c r="F49" i="12"/>
  <c r="D49" i="12"/>
  <c r="B49" i="12"/>
  <c r="AV48" i="12"/>
  <c r="AT48" i="12"/>
  <c r="AR48" i="12"/>
  <c r="AP48" i="12"/>
  <c r="AN48" i="12"/>
  <c r="AL48" i="12"/>
  <c r="AJ48" i="12"/>
  <c r="AH48" i="12"/>
  <c r="AF48" i="12"/>
  <c r="AD48" i="12"/>
  <c r="AB48" i="12"/>
  <c r="Z48" i="12"/>
  <c r="X48" i="12"/>
  <c r="V48" i="12"/>
  <c r="T48" i="12"/>
  <c r="R48" i="12"/>
  <c r="P48" i="12"/>
  <c r="N48" i="12"/>
  <c r="L48" i="12"/>
  <c r="J48" i="12"/>
  <c r="H48" i="12"/>
  <c r="F48" i="12"/>
  <c r="D48" i="12"/>
  <c r="B48" i="12"/>
  <c r="AV46" i="12"/>
  <c r="AT46" i="12"/>
  <c r="AR46" i="12"/>
  <c r="AP46" i="12"/>
  <c r="AN46" i="12"/>
  <c r="AL46" i="12"/>
  <c r="AJ46" i="12"/>
  <c r="AH46" i="12"/>
  <c r="AF46" i="12"/>
  <c r="AD46" i="12"/>
  <c r="AB46" i="12"/>
  <c r="Z46" i="12"/>
  <c r="X46" i="12"/>
  <c r="V46" i="12"/>
  <c r="T46" i="12"/>
  <c r="R46" i="12"/>
  <c r="P46" i="12"/>
  <c r="N46" i="12"/>
  <c r="L46" i="12"/>
  <c r="J46" i="12"/>
  <c r="H46" i="12"/>
  <c r="F46" i="12"/>
  <c r="D46" i="12"/>
  <c r="B46" i="12"/>
  <c r="AV45" i="12"/>
  <c r="AT45" i="12"/>
  <c r="AR45" i="12"/>
  <c r="AP45" i="12"/>
  <c r="AN45" i="12"/>
  <c r="AL45" i="12"/>
  <c r="AJ45" i="12"/>
  <c r="AH45" i="12"/>
  <c r="AF45" i="12"/>
  <c r="AD45" i="12"/>
  <c r="AB45" i="12"/>
  <c r="Z45" i="12"/>
  <c r="X45" i="12"/>
  <c r="V45" i="12"/>
  <c r="T45" i="12"/>
  <c r="R45" i="12"/>
  <c r="P45" i="12"/>
  <c r="N45" i="12"/>
  <c r="L45" i="12"/>
  <c r="J45" i="12"/>
  <c r="H45" i="12"/>
  <c r="F45" i="12"/>
  <c r="D45" i="12"/>
  <c r="B45" i="12"/>
  <c r="AV44" i="12"/>
  <c r="AT44" i="12"/>
  <c r="AR44" i="12"/>
  <c r="AP44" i="12"/>
  <c r="AN44" i="12"/>
  <c r="AL44" i="12"/>
  <c r="AJ44" i="12"/>
  <c r="AH44" i="12"/>
  <c r="AF44" i="12"/>
  <c r="AD44" i="12"/>
  <c r="AB44" i="12"/>
  <c r="Z44" i="12"/>
  <c r="X44" i="12"/>
  <c r="V44" i="12"/>
  <c r="T44" i="12"/>
  <c r="R44" i="12"/>
  <c r="P44" i="12"/>
  <c r="N44" i="12"/>
  <c r="L44" i="12"/>
  <c r="J44" i="12"/>
  <c r="H44" i="12"/>
  <c r="F44" i="12"/>
  <c r="D44" i="12"/>
  <c r="B44" i="12"/>
  <c r="AV43" i="12"/>
  <c r="AV43" i="12" a="1"/>
  <c r="AT43" i="12" a="1"/>
  <c r="AT43" i="12" s="1"/>
  <c r="AR43" i="12" a="1"/>
  <c r="AR43" i="12" s="1"/>
  <c r="AP43" i="12" a="1"/>
  <c r="AP43" i="12" s="1"/>
  <c r="AN43" i="12" a="1"/>
  <c r="AN43" i="12" s="1"/>
  <c r="AL43" i="12"/>
  <c r="AL43" i="12" a="1"/>
  <c r="AJ43" i="12" a="1"/>
  <c r="AJ43" i="12" s="1"/>
  <c r="AH43" i="12" a="1"/>
  <c r="AH43" i="12" s="1"/>
  <c r="AF43" i="12"/>
  <c r="AF43" i="12" a="1"/>
  <c r="AD43" i="12" a="1"/>
  <c r="AD43" i="12" s="1"/>
  <c r="AB43" i="12" a="1"/>
  <c r="AB43" i="12" s="1"/>
  <c r="Z43" i="12" a="1"/>
  <c r="Z43" i="12" s="1"/>
  <c r="X43" i="12" a="1"/>
  <c r="X43" i="12" s="1"/>
  <c r="V43" i="12"/>
  <c r="V43" i="12" a="1"/>
  <c r="T43" i="12" a="1"/>
  <c r="T43" i="12" s="1"/>
  <c r="R43" i="12" a="1"/>
  <c r="R43" i="12" s="1"/>
  <c r="P43" i="12"/>
  <c r="P43" i="12" a="1"/>
  <c r="N43" i="12" a="1"/>
  <c r="N43" i="12" s="1"/>
  <c r="L43" i="12" a="1"/>
  <c r="L43" i="12" s="1"/>
  <c r="J43" i="12" a="1"/>
  <c r="J43" i="12" s="1"/>
  <c r="H43" i="12" a="1"/>
  <c r="H43" i="12" s="1"/>
  <c r="F43" i="12"/>
  <c r="F43" i="12" a="1"/>
  <c r="D43" i="12" a="1"/>
  <c r="D43" i="12" s="1"/>
  <c r="B43" i="12"/>
  <c r="AV42" i="12"/>
  <c r="AT42" i="12"/>
  <c r="AR42" i="12"/>
  <c r="AP42" i="12"/>
  <c r="AN42" i="12"/>
  <c r="AL42" i="12"/>
  <c r="AJ42" i="12"/>
  <c r="AH42" i="12"/>
  <c r="AF42" i="12"/>
  <c r="AD42" i="12"/>
  <c r="AB42" i="12"/>
  <c r="Z42" i="12"/>
  <c r="X42" i="12"/>
  <c r="V42" i="12"/>
  <c r="T42" i="12"/>
  <c r="R42" i="12"/>
  <c r="P42" i="12"/>
  <c r="N42" i="12"/>
  <c r="L42" i="12"/>
  <c r="J42" i="12"/>
  <c r="H42" i="12"/>
  <c r="F42" i="12"/>
  <c r="D42" i="12"/>
  <c r="B42" i="12"/>
  <c r="AR81" i="11"/>
  <c r="AP81" i="11"/>
  <c r="AN81" i="11"/>
  <c r="AL81" i="11"/>
  <c r="AH81" i="11"/>
  <c r="AF81" i="11"/>
  <c r="Z81" i="11"/>
  <c r="X81" i="11"/>
  <c r="V81" i="11"/>
  <c r="L81" i="11"/>
  <c r="J81" i="11"/>
  <c r="H81" i="11"/>
  <c r="F81" i="11"/>
  <c r="B81" i="11"/>
  <c r="AV80" i="11"/>
  <c r="AT80" i="11"/>
  <c r="AR80" i="11"/>
  <c r="AB80" i="11"/>
  <c r="Z80" i="11"/>
  <c r="X80" i="11"/>
  <c r="R80" i="11"/>
  <c r="P80" i="11"/>
  <c r="N80" i="11"/>
  <c r="L80" i="11"/>
  <c r="J80" i="11"/>
  <c r="H80" i="11"/>
  <c r="F80" i="11"/>
  <c r="AV79" i="11"/>
  <c r="AV79" i="11" a="1"/>
  <c r="AT79" i="11" a="1"/>
  <c r="AT79" i="11" s="1"/>
  <c r="AR79" i="11"/>
  <c r="AR79" i="11" a="1"/>
  <c r="AP79" i="11" a="1"/>
  <c r="AP79" i="11" s="1"/>
  <c r="AN79" i="11" a="1"/>
  <c r="AN79" i="11" s="1"/>
  <c r="AL79" i="11" a="1"/>
  <c r="AL79" i="11" s="1"/>
  <c r="AJ79" i="11" a="1"/>
  <c r="AJ79" i="11" s="1"/>
  <c r="AH79" i="11" a="1"/>
  <c r="AH79" i="11" s="1"/>
  <c r="AF79" i="11" a="1"/>
  <c r="AF79" i="11" s="1"/>
  <c r="AD79" i="11" a="1"/>
  <c r="AD79" i="11" s="1"/>
  <c r="AB79" i="11" a="1"/>
  <c r="AB79" i="11" s="1"/>
  <c r="Z79" i="11" a="1"/>
  <c r="Z79" i="11" s="1"/>
  <c r="X79" i="11" a="1"/>
  <c r="X79" i="11" s="1"/>
  <c r="V79" i="11"/>
  <c r="V79" i="11" a="1"/>
  <c r="T79" i="11" a="1"/>
  <c r="T79" i="11" s="1"/>
  <c r="R79" i="11" a="1"/>
  <c r="R79" i="11" s="1"/>
  <c r="P79" i="11" a="1"/>
  <c r="P79" i="11" s="1"/>
  <c r="N79" i="11" a="1"/>
  <c r="N79" i="11" s="1"/>
  <c r="L79" i="11" a="1"/>
  <c r="L79" i="11" s="1"/>
  <c r="J79" i="11" a="1"/>
  <c r="J79" i="11" s="1"/>
  <c r="H79" i="11" a="1"/>
  <c r="H79" i="11" s="1"/>
  <c r="F79" i="11" a="1"/>
  <c r="F79" i="11" s="1"/>
  <c r="D79" i="11" a="1"/>
  <c r="D79" i="11" s="1"/>
  <c r="B79" i="11"/>
  <c r="B79" i="11" a="1"/>
  <c r="AV78" i="11" a="1"/>
  <c r="AV78" i="11" s="1"/>
  <c r="AT78" i="11" a="1"/>
  <c r="AT78" i="11" s="1"/>
  <c r="AR78" i="11" a="1"/>
  <c r="AR78" i="11" s="1"/>
  <c r="AP78" i="11" a="1"/>
  <c r="AP78" i="11" s="1"/>
  <c r="AN78" i="11" a="1"/>
  <c r="AN78" i="11" s="1"/>
  <c r="AL78" i="11" a="1"/>
  <c r="AL78" i="11" s="1"/>
  <c r="AJ78" i="11"/>
  <c r="AJ78" i="11" a="1"/>
  <c r="AH78" i="11" a="1"/>
  <c r="AH78" i="11" s="1"/>
  <c r="AF78" i="11" a="1"/>
  <c r="AF78" i="11" s="1"/>
  <c r="AD78" i="11" a="1"/>
  <c r="AD78" i="11" s="1"/>
  <c r="AB78" i="11"/>
  <c r="AB78" i="11" a="1"/>
  <c r="Z78" i="11" a="1"/>
  <c r="Z78" i="11" s="1"/>
  <c r="X78" i="11" a="1"/>
  <c r="X78" i="11" s="1"/>
  <c r="V78" i="11" a="1"/>
  <c r="V78" i="11" s="1"/>
  <c r="T78" i="11" a="1"/>
  <c r="T78" i="11" s="1"/>
  <c r="R78" i="11" a="1"/>
  <c r="R78" i="11" s="1"/>
  <c r="P78" i="11" a="1"/>
  <c r="P78" i="11" s="1"/>
  <c r="N78" i="11" a="1"/>
  <c r="N78" i="11" s="1"/>
  <c r="L78" i="11" a="1"/>
  <c r="L78" i="11" s="1"/>
  <c r="J78" i="11" a="1"/>
  <c r="J78" i="11" s="1"/>
  <c r="H78" i="11" a="1"/>
  <c r="H78" i="11" s="1"/>
  <c r="F78" i="11"/>
  <c r="F78" i="11" a="1"/>
  <c r="D78" i="11" a="1"/>
  <c r="D78" i="11" s="1"/>
  <c r="B78" i="11" a="1"/>
  <c r="B78" i="11" s="1"/>
  <c r="AV77" i="11" a="1"/>
  <c r="AV77" i="11" s="1"/>
  <c r="AT77" i="11" a="1"/>
  <c r="AT77" i="11" s="1"/>
  <c r="AR77" i="11" a="1"/>
  <c r="AR77" i="11" s="1"/>
  <c r="AP77" i="11" a="1"/>
  <c r="AP77" i="11" s="1"/>
  <c r="AN77" i="11" a="1"/>
  <c r="AN77" i="11" s="1"/>
  <c r="AL77" i="11" a="1"/>
  <c r="AL77" i="11" s="1"/>
  <c r="AJ77" i="11" a="1"/>
  <c r="AJ77" i="11" s="1"/>
  <c r="AH77" i="11"/>
  <c r="AH77" i="11" a="1"/>
  <c r="AF77" i="11" a="1"/>
  <c r="AF77" i="11" s="1"/>
  <c r="AD77" i="11" a="1"/>
  <c r="AD77" i="11" s="1"/>
  <c r="AB77" i="11" a="1"/>
  <c r="AB77" i="11" s="1"/>
  <c r="Z77" i="11" a="1"/>
  <c r="Z77" i="11" s="1"/>
  <c r="X77" i="11" a="1"/>
  <c r="X77" i="11" s="1"/>
  <c r="V77" i="11" a="1"/>
  <c r="V77" i="11" s="1"/>
  <c r="T77" i="11"/>
  <c r="T77" i="11" a="1"/>
  <c r="R77" i="11" a="1"/>
  <c r="R77" i="11" s="1"/>
  <c r="P77" i="11" a="1"/>
  <c r="P77" i="11" s="1"/>
  <c r="N77" i="11" a="1"/>
  <c r="N77" i="11" s="1"/>
  <c r="L77" i="11"/>
  <c r="L77" i="11" a="1"/>
  <c r="J77" i="11" a="1"/>
  <c r="J77" i="11" s="1"/>
  <c r="H77" i="11" a="1"/>
  <c r="H77" i="11" s="1"/>
  <c r="F77" i="11" a="1"/>
  <c r="F77" i="11" s="1"/>
  <c r="D77" i="11" a="1"/>
  <c r="D77" i="11" s="1"/>
  <c r="B77" i="11" a="1"/>
  <c r="B77" i="11" s="1"/>
  <c r="AV76" i="11" a="1"/>
  <c r="AV76" i="11" s="1"/>
  <c r="AT76" i="11" a="1"/>
  <c r="AT76" i="11" s="1"/>
  <c r="AR76" i="11" a="1"/>
  <c r="AR76" i="11" s="1"/>
  <c r="AP76" i="11" a="1"/>
  <c r="AP76" i="11" s="1"/>
  <c r="AN76" i="11" a="1"/>
  <c r="AN76" i="11" s="1"/>
  <c r="AL76" i="11"/>
  <c r="AL76" i="11" a="1"/>
  <c r="AJ76" i="11" a="1"/>
  <c r="AJ76" i="11" s="1"/>
  <c r="AH76" i="11" a="1"/>
  <c r="AH76" i="11" s="1"/>
  <c r="AF76" i="11" a="1"/>
  <c r="AF76" i="11" s="1"/>
  <c r="AD76" i="11" a="1"/>
  <c r="AD76" i="11" s="1"/>
  <c r="AB76" i="11" a="1"/>
  <c r="AB76" i="11" s="1"/>
  <c r="Z76" i="11" a="1"/>
  <c r="Z76" i="11" s="1"/>
  <c r="X76" i="11" a="1"/>
  <c r="X76" i="11" s="1"/>
  <c r="V76" i="11" a="1"/>
  <c r="V76" i="11" s="1"/>
  <c r="T76" i="11" a="1"/>
  <c r="T76" i="11" s="1"/>
  <c r="R76" i="11"/>
  <c r="R76" i="11" a="1"/>
  <c r="P76" i="11" a="1"/>
  <c r="P76" i="11" s="1"/>
  <c r="N76" i="11" a="1"/>
  <c r="N76" i="11" s="1"/>
  <c r="L76" i="11" a="1"/>
  <c r="L76" i="11" s="1"/>
  <c r="J76" i="11" a="1"/>
  <c r="J76" i="11" s="1"/>
  <c r="H76" i="11" a="1"/>
  <c r="H76" i="11" s="1"/>
  <c r="F76" i="11" a="1"/>
  <c r="F76" i="11" s="1"/>
  <c r="D76" i="11"/>
  <c r="D76" i="11" a="1"/>
  <c r="B76" i="11" a="1"/>
  <c r="B76" i="11" s="1"/>
  <c r="AV75" i="11" a="1"/>
  <c r="AV75" i="11" s="1"/>
  <c r="AT75" i="11" a="1"/>
  <c r="AT75" i="11" s="1"/>
  <c r="AR75" i="11"/>
  <c r="AR75" i="11" a="1"/>
  <c r="AP75" i="11" a="1"/>
  <c r="AP75" i="11" s="1"/>
  <c r="AN75" i="11" a="1"/>
  <c r="AN75" i="11" s="1"/>
  <c r="AL75" i="11" a="1"/>
  <c r="AL75" i="11" s="1"/>
  <c r="AJ75" i="11" a="1"/>
  <c r="AJ75" i="11" s="1"/>
  <c r="AH75" i="11" a="1"/>
  <c r="AH75" i="11" s="1"/>
  <c r="AF75" i="11" a="1"/>
  <c r="AF75" i="11" s="1"/>
  <c r="AD75" i="11" a="1"/>
  <c r="AD75" i="11" s="1"/>
  <c r="AB75" i="11" a="1"/>
  <c r="AB75" i="11" s="1"/>
  <c r="Z75" i="11" a="1"/>
  <c r="Z75" i="11" s="1"/>
  <c r="X75" i="11" a="1"/>
  <c r="X75" i="11" s="1"/>
  <c r="V75" i="11"/>
  <c r="V75" i="11" a="1"/>
  <c r="T75" i="11" a="1"/>
  <c r="T75" i="11" s="1"/>
  <c r="R75" i="11" a="1"/>
  <c r="R75" i="11" s="1"/>
  <c r="P75" i="11" a="1"/>
  <c r="P75" i="11" s="1"/>
  <c r="N75" i="11" a="1"/>
  <c r="N75" i="11" s="1"/>
  <c r="L75" i="11" a="1"/>
  <c r="L75" i="11" s="1"/>
  <c r="J75" i="11" a="1"/>
  <c r="J75" i="11" s="1"/>
  <c r="H75" i="11" a="1"/>
  <c r="H75" i="11" s="1"/>
  <c r="F75" i="11" a="1"/>
  <c r="F75" i="11" s="1"/>
  <c r="D75" i="11" a="1"/>
  <c r="D75" i="11" s="1"/>
  <c r="B75" i="11"/>
  <c r="B75" i="11" a="1"/>
  <c r="AV74" i="11" a="1"/>
  <c r="AV74" i="11" s="1"/>
  <c r="AT74" i="11" a="1"/>
  <c r="AT74" i="11" s="1"/>
  <c r="AR74" i="11" a="1"/>
  <c r="AR74" i="11" s="1"/>
  <c r="AP74" i="11" a="1"/>
  <c r="AP74" i="11" s="1"/>
  <c r="AN74" i="11" a="1"/>
  <c r="AN74" i="11" s="1"/>
  <c r="AL74" i="11" a="1"/>
  <c r="AL74" i="11" s="1"/>
  <c r="AJ74" i="11"/>
  <c r="AJ74" i="11" a="1"/>
  <c r="AH74" i="11" a="1"/>
  <c r="AH74" i="11" s="1"/>
  <c r="AF74" i="11" a="1"/>
  <c r="AF74" i="11" s="1"/>
  <c r="AD74" i="11" a="1"/>
  <c r="AD74" i="11" s="1"/>
  <c r="AB74" i="11"/>
  <c r="AB74" i="11" a="1"/>
  <c r="Z74" i="11" a="1"/>
  <c r="Z74" i="11" s="1"/>
  <c r="X74" i="11" a="1"/>
  <c r="X74" i="11" s="1"/>
  <c r="V74" i="11" a="1"/>
  <c r="V74" i="11" s="1"/>
  <c r="T74" i="11" a="1"/>
  <c r="T74" i="11" s="1"/>
  <c r="R74" i="11" a="1"/>
  <c r="R74" i="11" s="1"/>
  <c r="P74" i="11" a="1"/>
  <c r="P74" i="11" s="1"/>
  <c r="N74" i="11" a="1"/>
  <c r="N74" i="11" s="1"/>
  <c r="L74" i="11" a="1"/>
  <c r="L74" i="11" s="1"/>
  <c r="J74" i="11" a="1"/>
  <c r="J74" i="11" s="1"/>
  <c r="H74" i="11" a="1"/>
  <c r="H74" i="11" s="1"/>
  <c r="F74" i="11"/>
  <c r="F74" i="11" a="1"/>
  <c r="D74" i="11" a="1"/>
  <c r="D74" i="11" s="1"/>
  <c r="B74" i="11" a="1"/>
  <c r="B74" i="11" s="1"/>
  <c r="AV73" i="11" a="1"/>
  <c r="AV73" i="11" s="1"/>
  <c r="AT73" i="11" a="1"/>
  <c r="AT73" i="11" s="1"/>
  <c r="AR73" i="11" a="1"/>
  <c r="AR73" i="11" s="1"/>
  <c r="AP73" i="11" a="1"/>
  <c r="AP73" i="11" s="1"/>
  <c r="AN73" i="11" a="1"/>
  <c r="AN73" i="11" s="1"/>
  <c r="AL73" i="11" a="1"/>
  <c r="AL73" i="11" s="1"/>
  <c r="AJ73" i="11" a="1"/>
  <c r="AJ73" i="11" s="1"/>
  <c r="AH73" i="11"/>
  <c r="AH73" i="11" a="1"/>
  <c r="AF73" i="11" a="1"/>
  <c r="AF73" i="11" s="1"/>
  <c r="AD73" i="11" a="1"/>
  <c r="AD73" i="11" s="1"/>
  <c r="AB73" i="11" a="1"/>
  <c r="AB73" i="11" s="1"/>
  <c r="Z73" i="11" a="1"/>
  <c r="Z73" i="11" s="1"/>
  <c r="X73" i="11" a="1"/>
  <c r="X73" i="11" s="1"/>
  <c r="V73" i="11" a="1"/>
  <c r="V73" i="11" s="1"/>
  <c r="T73" i="11"/>
  <c r="T73" i="11" a="1"/>
  <c r="R73" i="11" a="1"/>
  <c r="R73" i="11" s="1"/>
  <c r="P73" i="11" a="1"/>
  <c r="P73" i="11" s="1"/>
  <c r="N73" i="11" a="1"/>
  <c r="N73" i="11" s="1"/>
  <c r="L73" i="11"/>
  <c r="L73" i="11" a="1"/>
  <c r="J73" i="11" a="1"/>
  <c r="J73" i="11" s="1"/>
  <c r="H73" i="11" a="1"/>
  <c r="H73" i="11" s="1"/>
  <c r="F73" i="11" a="1"/>
  <c r="F73" i="11" s="1"/>
  <c r="D73" i="11" a="1"/>
  <c r="D73" i="11" s="1"/>
  <c r="B73" i="11" a="1"/>
  <c r="B73" i="11" s="1"/>
  <c r="AV72" i="11"/>
  <c r="AT72" i="11"/>
  <c r="AR72" i="11"/>
  <c r="AP72" i="11"/>
  <c r="AN72" i="11"/>
  <c r="AL72" i="11"/>
  <c r="AJ72" i="11"/>
  <c r="AH72" i="11"/>
  <c r="AF72" i="11"/>
  <c r="AD72" i="11"/>
  <c r="AB72" i="11"/>
  <c r="Z72" i="11"/>
  <c r="X72" i="11"/>
  <c r="V72" i="11"/>
  <c r="T72" i="11"/>
  <c r="R72" i="11"/>
  <c r="P72" i="11"/>
  <c r="N72" i="11"/>
  <c r="L72" i="11"/>
  <c r="J72" i="11"/>
  <c r="H72" i="11"/>
  <c r="F72" i="11"/>
  <c r="D72" i="11"/>
  <c r="B72" i="11"/>
  <c r="AV71" i="11"/>
  <c r="AT71" i="11"/>
  <c r="AR71" i="11"/>
  <c r="AP71" i="11"/>
  <c r="AN71" i="11"/>
  <c r="AL71" i="11"/>
  <c r="AJ71" i="11"/>
  <c r="AH71" i="11"/>
  <c r="AF71" i="11"/>
  <c r="AD71" i="11"/>
  <c r="AB71" i="11"/>
  <c r="Z71" i="11"/>
  <c r="X71" i="11"/>
  <c r="V71" i="11"/>
  <c r="T71" i="11"/>
  <c r="R71" i="11"/>
  <c r="P71" i="11"/>
  <c r="N71" i="11"/>
  <c r="L71" i="11"/>
  <c r="J71" i="11"/>
  <c r="H71" i="11"/>
  <c r="F71" i="11"/>
  <c r="D71" i="11"/>
  <c r="B71" i="11"/>
  <c r="AV70" i="11"/>
  <c r="AT70" i="11"/>
  <c r="AR70" i="11"/>
  <c r="AP70" i="11"/>
  <c r="AN70" i="11"/>
  <c r="AL70" i="11"/>
  <c r="AJ70" i="11"/>
  <c r="AH70" i="11"/>
  <c r="AF70" i="11"/>
  <c r="AD70" i="11"/>
  <c r="AB70" i="11"/>
  <c r="Z70" i="11"/>
  <c r="X70" i="11"/>
  <c r="V70" i="11"/>
  <c r="T70" i="11"/>
  <c r="R70" i="11"/>
  <c r="P70" i="11"/>
  <c r="N70" i="11"/>
  <c r="L70" i="11"/>
  <c r="J70" i="11"/>
  <c r="H70" i="11"/>
  <c r="F70" i="11"/>
  <c r="D70" i="11"/>
  <c r="B70" i="11"/>
  <c r="AN69" i="11"/>
  <c r="AL69" i="11"/>
  <c r="X69" i="11"/>
  <c r="V69" i="11"/>
  <c r="B69" i="11"/>
  <c r="V68" i="11"/>
  <c r="AV67" i="11" a="1"/>
  <c r="AV67" i="11" s="1"/>
  <c r="AT67" i="11"/>
  <c r="AT67" i="11" a="1"/>
  <c r="AR67" i="11" a="1"/>
  <c r="AR67" i="11" s="1"/>
  <c r="AP67" i="11" a="1"/>
  <c r="AP67" i="11" s="1"/>
  <c r="AN67" i="11" a="1"/>
  <c r="AN67" i="11" s="1"/>
  <c r="AL67" i="11" a="1"/>
  <c r="AL67" i="11" s="1"/>
  <c r="AJ67" i="11" a="1"/>
  <c r="AJ67" i="11" s="1"/>
  <c r="AH67" i="11" a="1"/>
  <c r="AH67" i="11" s="1"/>
  <c r="AF67" i="11" a="1"/>
  <c r="AF67" i="11" s="1"/>
  <c r="AD67" i="11" a="1"/>
  <c r="AD67" i="11" s="1"/>
  <c r="AB67" i="11" a="1"/>
  <c r="AB67" i="11" s="1"/>
  <c r="Z67" i="11" a="1"/>
  <c r="Z67" i="11" s="1"/>
  <c r="X67" i="11" a="1"/>
  <c r="X67" i="11" s="1"/>
  <c r="V67" i="11" a="1"/>
  <c r="V67" i="11" s="1"/>
  <c r="T67" i="11" a="1"/>
  <c r="T67" i="11" s="1"/>
  <c r="R67" i="11" a="1"/>
  <c r="R67" i="11" s="1"/>
  <c r="P67" i="11" a="1"/>
  <c r="P67" i="11" s="1"/>
  <c r="N67" i="11"/>
  <c r="N67" i="11" a="1"/>
  <c r="L67" i="11" a="1"/>
  <c r="L67" i="11" s="1"/>
  <c r="J67" i="11" a="1"/>
  <c r="J67" i="11" s="1"/>
  <c r="H67" i="11" a="1"/>
  <c r="H67" i="11" s="1"/>
  <c r="F67" i="11" a="1"/>
  <c r="F67" i="11" s="1"/>
  <c r="D67" i="11" a="1"/>
  <c r="D67" i="11" s="1"/>
  <c r="B67" i="11" a="1"/>
  <c r="B67" i="11" s="1"/>
  <c r="AV66" i="11" a="1"/>
  <c r="AV66" i="11" s="1"/>
  <c r="AT66" i="11" a="1"/>
  <c r="AT66" i="11" s="1"/>
  <c r="AT68" i="11" s="1"/>
  <c r="AR66" i="11" a="1"/>
  <c r="AR66" i="11" s="1"/>
  <c r="AR68" i="11" s="1"/>
  <c r="AP66" i="11" a="1"/>
  <c r="AP66" i="11" s="1"/>
  <c r="AP68" i="11" s="1"/>
  <c r="AN66" i="11" a="1"/>
  <c r="AN66" i="11" s="1"/>
  <c r="AN68" i="11" s="1"/>
  <c r="AL66" i="11" a="1"/>
  <c r="AL66" i="11" s="1"/>
  <c r="AL68" i="11" s="1"/>
  <c r="AJ66" i="11" a="1"/>
  <c r="AJ66" i="11" s="1"/>
  <c r="AJ68" i="11" s="1"/>
  <c r="AH66" i="11" a="1"/>
  <c r="AH66" i="11" s="1"/>
  <c r="AF66" i="11" a="1"/>
  <c r="AF66" i="11" s="1"/>
  <c r="AD66" i="11" a="1"/>
  <c r="AD66" i="11" s="1"/>
  <c r="AB66" i="11" a="1"/>
  <c r="AB66" i="11" s="1"/>
  <c r="Z66" i="11" a="1"/>
  <c r="Z66" i="11" s="1"/>
  <c r="X66" i="11" a="1"/>
  <c r="X66" i="11" s="1"/>
  <c r="X68" i="11" s="1"/>
  <c r="V66" i="11" a="1"/>
  <c r="V66" i="11" s="1"/>
  <c r="T66" i="11" a="1"/>
  <c r="T66" i="11" s="1"/>
  <c r="R66" i="11" a="1"/>
  <c r="R66" i="11" s="1"/>
  <c r="R68" i="11" s="1"/>
  <c r="P66" i="11" a="1"/>
  <c r="P66" i="11" s="1"/>
  <c r="N66" i="11" a="1"/>
  <c r="N66" i="11" s="1"/>
  <c r="N68" i="11" s="1"/>
  <c r="L66" i="11" a="1"/>
  <c r="L66" i="11" s="1"/>
  <c r="L68" i="11" s="1"/>
  <c r="J66" i="11" a="1"/>
  <c r="J66" i="11" s="1"/>
  <c r="J68" i="11" s="1"/>
  <c r="H66" i="11" a="1"/>
  <c r="H66" i="11" s="1"/>
  <c r="H68" i="11" s="1"/>
  <c r="F66" i="11" a="1"/>
  <c r="F66" i="11" s="1"/>
  <c r="F68" i="11" s="1"/>
  <c r="D66" i="11" a="1"/>
  <c r="D66" i="11" s="1"/>
  <c r="D68" i="11" s="1"/>
  <c r="B66" i="11" a="1"/>
  <c r="B66" i="11" s="1"/>
  <c r="AV65" i="11" a="1"/>
  <c r="AV65" i="11" s="1"/>
  <c r="AV69" i="11" s="1"/>
  <c r="AT65" i="11" a="1"/>
  <c r="AT65" i="11" s="1"/>
  <c r="AT69" i="11" s="1"/>
  <c r="AR65" i="11"/>
  <c r="AR69" i="11" s="1"/>
  <c r="AR65" i="11" a="1"/>
  <c r="AP65" i="11" a="1"/>
  <c r="AP65" i="11" s="1"/>
  <c r="AP69" i="11" s="1"/>
  <c r="AN65" i="11" a="1"/>
  <c r="AN65" i="11" s="1"/>
  <c r="AL65" i="11" a="1"/>
  <c r="AL65" i="11" s="1"/>
  <c r="AJ65" i="11" a="1"/>
  <c r="AJ65" i="11" s="1"/>
  <c r="AJ69" i="11" s="1"/>
  <c r="AH65" i="11" a="1"/>
  <c r="AH65" i="11" s="1"/>
  <c r="AH69" i="11" s="1"/>
  <c r="AF65" i="11" a="1"/>
  <c r="AF65" i="11" s="1"/>
  <c r="AF69" i="11" s="1"/>
  <c r="AD65" i="11" a="1"/>
  <c r="AD65" i="11" s="1"/>
  <c r="AD69" i="11" s="1"/>
  <c r="AB65" i="11" a="1"/>
  <c r="AB65" i="11" s="1"/>
  <c r="AB69" i="11" s="1"/>
  <c r="Z65" i="11" a="1"/>
  <c r="Z65" i="11" s="1"/>
  <c r="Z69" i="11" s="1"/>
  <c r="X65" i="11" a="1"/>
  <c r="X65" i="11" s="1"/>
  <c r="V65" i="11" a="1"/>
  <c r="V65" i="11" s="1"/>
  <c r="T65" i="11" a="1"/>
  <c r="T65" i="11" s="1"/>
  <c r="T69" i="11" s="1"/>
  <c r="R65" i="11" a="1"/>
  <c r="R65" i="11" s="1"/>
  <c r="R69" i="11" s="1"/>
  <c r="P65" i="11" a="1"/>
  <c r="P65" i="11" s="1"/>
  <c r="P69" i="11" s="1"/>
  <c r="N65" i="11" a="1"/>
  <c r="N65" i="11" s="1"/>
  <c r="N69" i="11" s="1"/>
  <c r="L65" i="11"/>
  <c r="L69" i="11" s="1"/>
  <c r="L65" i="11" a="1"/>
  <c r="J65" i="11" a="1"/>
  <c r="J65" i="11" s="1"/>
  <c r="J69" i="11" s="1"/>
  <c r="H65" i="11" a="1"/>
  <c r="H65" i="11" s="1"/>
  <c r="H69" i="11" s="1"/>
  <c r="F65" i="11" a="1"/>
  <c r="F65" i="11" s="1"/>
  <c r="F69" i="11" s="1"/>
  <c r="D65" i="11"/>
  <c r="D69" i="11" s="1"/>
  <c r="D65" i="11" a="1"/>
  <c r="B65" i="11"/>
  <c r="AV62" i="11"/>
  <c r="AT62" i="11"/>
  <c r="AR62" i="11"/>
  <c r="AP62" i="11"/>
  <c r="AN62" i="11"/>
  <c r="AL62" i="11"/>
  <c r="AJ62" i="11"/>
  <c r="AH62" i="11"/>
  <c r="AF62" i="11"/>
  <c r="AD62" i="11"/>
  <c r="AB62" i="11"/>
  <c r="Z62" i="11"/>
  <c r="X62" i="11"/>
  <c r="V62" i="11"/>
  <c r="T62" i="11"/>
  <c r="R62" i="11"/>
  <c r="P62" i="11"/>
  <c r="N62" i="11"/>
  <c r="L62" i="11"/>
  <c r="J62" i="11"/>
  <c r="H62" i="11"/>
  <c r="F62" i="11"/>
  <c r="D62" i="11"/>
  <c r="B62" i="11"/>
  <c r="AV60" i="11"/>
  <c r="AT60" i="11"/>
  <c r="AR60" i="11"/>
  <c r="AP60" i="11"/>
  <c r="AN60" i="11"/>
  <c r="AL60" i="11"/>
  <c r="AJ60" i="11"/>
  <c r="AH60" i="11"/>
  <c r="AF60" i="11"/>
  <c r="AD60" i="11"/>
  <c r="AB60" i="11"/>
  <c r="Z60" i="11"/>
  <c r="X60" i="11"/>
  <c r="V60" i="11"/>
  <c r="T60" i="11"/>
  <c r="R60" i="11"/>
  <c r="P60" i="11"/>
  <c r="N60" i="11"/>
  <c r="L60" i="11"/>
  <c r="J60" i="11"/>
  <c r="H60" i="11"/>
  <c r="F60" i="11"/>
  <c r="D60" i="11"/>
  <c r="B60" i="11"/>
  <c r="AV59" i="11"/>
  <c r="AT59" i="11"/>
  <c r="AR59" i="11"/>
  <c r="AP59" i="11"/>
  <c r="AN59" i="11"/>
  <c r="AL59" i="11"/>
  <c r="AJ59" i="11"/>
  <c r="AH59" i="11"/>
  <c r="AF59" i="11"/>
  <c r="AD59" i="11"/>
  <c r="AB59" i="11"/>
  <c r="Z59" i="11"/>
  <c r="X59" i="11"/>
  <c r="V59" i="11"/>
  <c r="T59" i="11"/>
  <c r="R59" i="11"/>
  <c r="P59" i="11"/>
  <c r="N59" i="11"/>
  <c r="L59" i="11"/>
  <c r="J59" i="11"/>
  <c r="H59" i="11"/>
  <c r="F59" i="11"/>
  <c r="D59" i="11"/>
  <c r="B59" i="11"/>
  <c r="AV58" i="11" a="1"/>
  <c r="AV58" i="11" s="1"/>
  <c r="AT58" i="11" a="1"/>
  <c r="AT58" i="11" s="1"/>
  <c r="AR58" i="11" a="1"/>
  <c r="AR58" i="11" s="1"/>
  <c r="AP58" i="11"/>
  <c r="AP58" i="11" a="1"/>
  <c r="AN58" i="11" a="1"/>
  <c r="AN58" i="11" s="1"/>
  <c r="AL58" i="11" a="1"/>
  <c r="AL58" i="11" s="1"/>
  <c r="AJ58" i="11" a="1"/>
  <c r="AJ58" i="11" s="1"/>
  <c r="AH58" i="11" a="1"/>
  <c r="AH58" i="11" s="1"/>
  <c r="AF58" i="11" a="1"/>
  <c r="AF58" i="11" s="1"/>
  <c r="AD58" i="11" a="1"/>
  <c r="AD58" i="11" s="1"/>
  <c r="AB58" i="11" a="1"/>
  <c r="AB58" i="11" s="1"/>
  <c r="Z58" i="11" a="1"/>
  <c r="Z58" i="11" s="1"/>
  <c r="X58" i="11" a="1"/>
  <c r="X58" i="11" s="1"/>
  <c r="V58" i="11" a="1"/>
  <c r="V58" i="11" s="1"/>
  <c r="T58" i="11" a="1"/>
  <c r="T58" i="11" s="1"/>
  <c r="R58" i="11" a="1"/>
  <c r="R58" i="11" s="1"/>
  <c r="P58" i="11"/>
  <c r="P58" i="11" a="1"/>
  <c r="N58" i="11" a="1"/>
  <c r="N58" i="11" s="1"/>
  <c r="L58" i="11" a="1"/>
  <c r="L58" i="11" s="1"/>
  <c r="J58" i="11"/>
  <c r="J58" i="11" a="1"/>
  <c r="H58" i="11" a="1"/>
  <c r="H58" i="11" s="1"/>
  <c r="F58" i="11" a="1"/>
  <c r="F58" i="11" s="1"/>
  <c r="D58" i="11" a="1"/>
  <c r="D58" i="11" s="1"/>
  <c r="B58" i="11" a="1"/>
  <c r="B58" i="11" s="1"/>
  <c r="AV57" i="11"/>
  <c r="AV57" i="11" a="1"/>
  <c r="AT57" i="11" a="1"/>
  <c r="AT57" i="11" s="1"/>
  <c r="AR57" i="11" a="1"/>
  <c r="AR57" i="11" s="1"/>
  <c r="AP57" i="11" a="1"/>
  <c r="AP57" i="11" s="1"/>
  <c r="AN57" i="11" a="1"/>
  <c r="AN57" i="11" s="1"/>
  <c r="AL57" i="11" a="1"/>
  <c r="AL57" i="11" s="1"/>
  <c r="AJ57" i="11" a="1"/>
  <c r="AJ57" i="11" s="1"/>
  <c r="AH57" i="11" a="1"/>
  <c r="AH57" i="11" s="1"/>
  <c r="AF57" i="11" a="1"/>
  <c r="AF57" i="11" s="1"/>
  <c r="AD57" i="11" a="1"/>
  <c r="AD57" i="11" s="1"/>
  <c r="AB57" i="11" a="1"/>
  <c r="AB57" i="11" s="1"/>
  <c r="Z57" i="11" a="1"/>
  <c r="Z57" i="11" s="1"/>
  <c r="X57" i="11" a="1"/>
  <c r="X57" i="11" s="1"/>
  <c r="V57" i="11" a="1"/>
  <c r="V57" i="11" s="1"/>
  <c r="T57" i="11" a="1"/>
  <c r="T57" i="11" s="1"/>
  <c r="R57" i="11" a="1"/>
  <c r="R57" i="11" s="1"/>
  <c r="P57" i="11"/>
  <c r="P57" i="11" a="1"/>
  <c r="N57" i="11" a="1"/>
  <c r="N57" i="11" s="1"/>
  <c r="L57" i="11" a="1"/>
  <c r="L57" i="11" s="1"/>
  <c r="J57" i="11"/>
  <c r="J57" i="11" a="1"/>
  <c r="H57" i="11" a="1"/>
  <c r="H57" i="11" s="1"/>
  <c r="F57" i="11" a="1"/>
  <c r="F57" i="11" s="1"/>
  <c r="D57" i="11" a="1"/>
  <c r="D57" i="11" s="1"/>
  <c r="B57" i="11" a="1"/>
  <c r="B57" i="11" s="1"/>
  <c r="AV56" i="11"/>
  <c r="AT56" i="11"/>
  <c r="AR56" i="11"/>
  <c r="AP56" i="11"/>
  <c r="AN56" i="11"/>
  <c r="AL56" i="11"/>
  <c r="AJ56" i="11"/>
  <c r="AH56" i="11"/>
  <c r="AF56" i="11"/>
  <c r="AD56" i="11"/>
  <c r="AB56" i="11"/>
  <c r="Z56" i="11"/>
  <c r="X56" i="11"/>
  <c r="V56" i="11"/>
  <c r="T56" i="11"/>
  <c r="R56" i="11"/>
  <c r="P56" i="11"/>
  <c r="N56" i="11"/>
  <c r="L56" i="11"/>
  <c r="J56" i="11"/>
  <c r="H56" i="11"/>
  <c r="F56" i="11"/>
  <c r="D56" i="11"/>
  <c r="B56" i="11"/>
  <c r="AV55" i="11"/>
  <c r="AT55" i="11"/>
  <c r="AR55" i="11"/>
  <c r="AP55" i="11"/>
  <c r="AP80" i="11" s="1"/>
  <c r="AN55" i="11"/>
  <c r="AN80" i="11" s="1"/>
  <c r="AL55" i="11"/>
  <c r="AL80" i="11" s="1"/>
  <c r="AJ55" i="11"/>
  <c r="AJ80" i="11" s="1"/>
  <c r="AH55" i="11"/>
  <c r="AH80" i="11" s="1"/>
  <c r="AF55" i="11"/>
  <c r="AF80" i="11" s="1"/>
  <c r="AD55" i="11"/>
  <c r="AD80" i="11" s="1"/>
  <c r="AB55" i="11"/>
  <c r="Z55" i="11"/>
  <c r="X55" i="11"/>
  <c r="V55" i="11"/>
  <c r="V80" i="11" s="1"/>
  <c r="T55" i="11"/>
  <c r="T80" i="11" s="1"/>
  <c r="R55" i="11"/>
  <c r="P55" i="11"/>
  <c r="N55" i="11"/>
  <c r="L55" i="11"/>
  <c r="J55" i="11"/>
  <c r="H55" i="11"/>
  <c r="F55" i="11"/>
  <c r="D55" i="11"/>
  <c r="D80" i="11" s="1"/>
  <c r="B55" i="11"/>
  <c r="B80" i="11" s="1"/>
  <c r="AV53" i="11" a="1"/>
  <c r="AT53" i="11" a="1"/>
  <c r="AR53" i="11" a="1"/>
  <c r="AP53" i="11" a="1"/>
  <c r="AN53" i="11" a="1"/>
  <c r="AL53" i="11" a="1"/>
  <c r="AJ53" i="11" a="1"/>
  <c r="AH53" i="11" a="1"/>
  <c r="AF53" i="11" a="1"/>
  <c r="AD53" i="11" a="1"/>
  <c r="AB53" i="11" a="1"/>
  <c r="Z53" i="11" a="1"/>
  <c r="X53" i="11" a="1"/>
  <c r="V53" i="11" a="1"/>
  <c r="T53" i="11" a="1"/>
  <c r="R53" i="11" a="1"/>
  <c r="P53" i="11" a="1"/>
  <c r="N53" i="11" a="1"/>
  <c r="L53" i="11" a="1"/>
  <c r="J53" i="11" a="1"/>
  <c r="H53" i="11" a="1"/>
  <c r="F53" i="11" a="1"/>
  <c r="D53" i="11" a="1"/>
  <c r="B53" i="11" a="1"/>
  <c r="AV52" i="11" a="1"/>
  <c r="AT52" i="11" a="1"/>
  <c r="AR52" i="11" a="1"/>
  <c r="AP52" i="11" a="1"/>
  <c r="AN52" i="11" a="1"/>
  <c r="AL52" i="11" a="1"/>
  <c r="AJ52" i="11" a="1"/>
  <c r="AH52" i="11" a="1"/>
  <c r="AF52" i="11" a="1"/>
  <c r="AD52" i="11" a="1"/>
  <c r="AB52" i="11" a="1"/>
  <c r="Z52" i="11" a="1"/>
  <c r="X52" i="11" a="1"/>
  <c r="V52" i="11" a="1"/>
  <c r="T52" i="11" a="1"/>
  <c r="R52" i="11" a="1"/>
  <c r="P52" i="11" a="1"/>
  <c r="N52" i="11" a="1"/>
  <c r="L52" i="11" a="1"/>
  <c r="J52" i="11" a="1"/>
  <c r="H52" i="11" a="1"/>
  <c r="F52" i="11" a="1"/>
  <c r="D52" i="11" a="1"/>
  <c r="B52" i="11" a="1"/>
  <c r="AV51" i="11"/>
  <c r="AV81" i="11" s="1"/>
  <c r="AT51" i="11"/>
  <c r="AT81" i="11" s="1"/>
  <c r="AR51" i="11"/>
  <c r="AP51" i="11"/>
  <c r="AN51" i="11"/>
  <c r="AL51" i="11"/>
  <c r="AJ51" i="11"/>
  <c r="AJ81" i="11" s="1"/>
  <c r="AH51" i="11"/>
  <c r="AF51" i="11"/>
  <c r="AD51" i="11"/>
  <c r="AD81" i="11" s="1"/>
  <c r="AB51" i="11"/>
  <c r="AB81" i="11" s="1"/>
  <c r="Z51" i="11"/>
  <c r="X51" i="11"/>
  <c r="V51" i="11"/>
  <c r="T51" i="11"/>
  <c r="T81" i="11" s="1"/>
  <c r="R51" i="11"/>
  <c r="R81" i="11" s="1"/>
  <c r="P51" i="11"/>
  <c r="P81" i="11" s="1"/>
  <c r="N51" i="11"/>
  <c r="N81" i="11" s="1"/>
  <c r="L51" i="11"/>
  <c r="J51" i="11"/>
  <c r="H51" i="11"/>
  <c r="F51" i="11"/>
  <c r="D51" i="11"/>
  <c r="D81" i="11" s="1"/>
  <c r="B51" i="11"/>
  <c r="AV49" i="11"/>
  <c r="AT49" i="11"/>
  <c r="AR49" i="11"/>
  <c r="AP49" i="11"/>
  <c r="AN49" i="11"/>
  <c r="AL49" i="11"/>
  <c r="AJ49" i="11"/>
  <c r="AH49" i="11"/>
  <c r="AF49" i="11"/>
  <c r="AD49" i="11"/>
  <c r="AB49" i="11"/>
  <c r="Z49" i="11"/>
  <c r="X49" i="11"/>
  <c r="V49" i="11"/>
  <c r="T49" i="11"/>
  <c r="R49" i="11"/>
  <c r="P49" i="11"/>
  <c r="N49" i="11"/>
  <c r="L49" i="11"/>
  <c r="J49" i="11"/>
  <c r="H49" i="11"/>
  <c r="F49" i="11"/>
  <c r="D49" i="11"/>
  <c r="B49" i="11"/>
  <c r="AV48" i="11"/>
  <c r="AT48" i="11"/>
  <c r="AR48" i="11"/>
  <c r="AP48" i="11"/>
  <c r="AN48" i="11"/>
  <c r="AL48" i="11"/>
  <c r="AJ48" i="11"/>
  <c r="AH48" i="11"/>
  <c r="AF48" i="11"/>
  <c r="AD48" i="11"/>
  <c r="AB48" i="11"/>
  <c r="Z48" i="11"/>
  <c r="X48" i="11"/>
  <c r="V48" i="11"/>
  <c r="T48" i="11"/>
  <c r="R48" i="11"/>
  <c r="P48" i="11"/>
  <c r="N48" i="11"/>
  <c r="L48" i="11"/>
  <c r="J48" i="11"/>
  <c r="H48" i="11"/>
  <c r="F48" i="11"/>
  <c r="D48" i="11"/>
  <c r="B48" i="11"/>
  <c r="AV46" i="11"/>
  <c r="AT46" i="11"/>
  <c r="AR46" i="11"/>
  <c r="AP46" i="11"/>
  <c r="AN46" i="11"/>
  <c r="AL46" i="11"/>
  <c r="AJ46" i="11"/>
  <c r="AH46" i="11"/>
  <c r="AF46" i="11"/>
  <c r="AD46" i="11"/>
  <c r="AB46" i="11"/>
  <c r="Z46" i="11"/>
  <c r="X46" i="11"/>
  <c r="V46" i="11"/>
  <c r="T46" i="11"/>
  <c r="R46" i="11"/>
  <c r="P46" i="11"/>
  <c r="N46" i="11"/>
  <c r="L46" i="11"/>
  <c r="J46" i="11"/>
  <c r="H46" i="11"/>
  <c r="F46" i="11"/>
  <c r="D46" i="11"/>
  <c r="B46" i="11"/>
  <c r="AV45" i="11"/>
  <c r="AT45" i="11"/>
  <c r="AR45" i="11"/>
  <c r="AP45" i="11"/>
  <c r="AN45" i="11"/>
  <c r="AL45" i="11"/>
  <c r="AJ45" i="11"/>
  <c r="AH45" i="11"/>
  <c r="AF45" i="11"/>
  <c r="AD45" i="11"/>
  <c r="AB45" i="11"/>
  <c r="Z45" i="11"/>
  <c r="X45" i="11"/>
  <c r="V45" i="11"/>
  <c r="T45" i="11"/>
  <c r="R45" i="11"/>
  <c r="P45" i="11"/>
  <c r="N45" i="11"/>
  <c r="L45" i="11"/>
  <c r="J45" i="11"/>
  <c r="H45" i="11"/>
  <c r="F45" i="11"/>
  <c r="D45" i="11"/>
  <c r="B45" i="11"/>
  <c r="AV44" i="11"/>
  <c r="AT44" i="11"/>
  <c r="AR44" i="11"/>
  <c r="AP44" i="11"/>
  <c r="AN44" i="11"/>
  <c r="AL44" i="11"/>
  <c r="AJ44" i="11"/>
  <c r="AH44" i="11"/>
  <c r="AF44" i="11"/>
  <c r="AD44" i="11"/>
  <c r="AB44" i="11"/>
  <c r="Z44" i="11"/>
  <c r="X44" i="11"/>
  <c r="V44" i="11"/>
  <c r="T44" i="11"/>
  <c r="R44" i="11"/>
  <c r="P44" i="11"/>
  <c r="N44" i="11"/>
  <c r="L44" i="11"/>
  <c r="J44" i="11"/>
  <c r="H44" i="11"/>
  <c r="F44" i="11"/>
  <c r="D44" i="11"/>
  <c r="B44" i="11"/>
  <c r="AV43" i="11"/>
  <c r="AV43" i="11" a="1"/>
  <c r="AT43" i="11" a="1"/>
  <c r="AT43" i="11" s="1"/>
  <c r="AR43" i="11" a="1"/>
  <c r="AR43" i="11" s="1"/>
  <c r="AP43" i="11"/>
  <c r="AP43" i="11" a="1"/>
  <c r="AN43" i="11" a="1"/>
  <c r="AN43" i="11" s="1"/>
  <c r="AL43" i="11"/>
  <c r="AL43" i="11" a="1"/>
  <c r="AJ43" i="11" a="1"/>
  <c r="AJ43" i="11" s="1"/>
  <c r="AH43" i="11" a="1"/>
  <c r="AH43" i="11" s="1"/>
  <c r="AF43" i="11"/>
  <c r="AF43" i="11" a="1"/>
  <c r="AD43" i="11" a="1"/>
  <c r="AD43" i="11" s="1"/>
  <c r="AB43" i="11" a="1"/>
  <c r="AB43" i="11" s="1"/>
  <c r="Z43" i="11"/>
  <c r="Z43" i="11" a="1"/>
  <c r="X43" i="11" a="1"/>
  <c r="X43" i="11" s="1"/>
  <c r="V43" i="11" a="1"/>
  <c r="V43" i="11" s="1"/>
  <c r="T43" i="11"/>
  <c r="T43" i="11" a="1"/>
  <c r="R43" i="11" a="1"/>
  <c r="R43" i="11" s="1"/>
  <c r="P43" i="11"/>
  <c r="P43" i="11" a="1"/>
  <c r="N43" i="11" a="1"/>
  <c r="N43" i="11" s="1"/>
  <c r="L43" i="11" a="1"/>
  <c r="L43" i="11" s="1"/>
  <c r="J43" i="11"/>
  <c r="J43" i="11" a="1"/>
  <c r="H43" i="11" a="1"/>
  <c r="H43" i="11" s="1"/>
  <c r="F43" i="11" a="1"/>
  <c r="F43" i="11" s="1"/>
  <c r="D43" i="11" a="1"/>
  <c r="D43" i="11" s="1"/>
  <c r="B43" i="11"/>
  <c r="AV42" i="11"/>
  <c r="AT42" i="11"/>
  <c r="AR42" i="11"/>
  <c r="AP42" i="11"/>
  <c r="AN42" i="11"/>
  <c r="AL42" i="11"/>
  <c r="AJ42" i="11"/>
  <c r="AH42" i="11"/>
  <c r="AF42" i="11"/>
  <c r="AD42" i="11"/>
  <c r="AB42" i="11"/>
  <c r="Z42" i="11"/>
  <c r="X42" i="11"/>
  <c r="V42" i="11"/>
  <c r="T42" i="11"/>
  <c r="R42" i="11"/>
  <c r="P42" i="11"/>
  <c r="N42" i="11"/>
  <c r="L42" i="11"/>
  <c r="J42" i="11"/>
  <c r="H42" i="11"/>
  <c r="F42" i="11"/>
  <c r="D42" i="11"/>
  <c r="B42" i="11"/>
  <c r="X4" i="23"/>
  <c r="Y11" i="23"/>
  <c r="X11" i="23"/>
  <c r="W11" i="23"/>
  <c r="V11" i="23"/>
  <c r="U11" i="23"/>
  <c r="T11" i="23"/>
  <c r="S11" i="23"/>
  <c r="R11" i="23"/>
  <c r="Q11" i="23"/>
  <c r="P11" i="23"/>
  <c r="O11" i="23"/>
  <c r="N11" i="23"/>
  <c r="M11" i="23"/>
  <c r="L11" i="23"/>
  <c r="K11" i="23"/>
  <c r="J11" i="23"/>
  <c r="I11" i="23"/>
  <c r="H11" i="23"/>
  <c r="G11" i="23"/>
  <c r="F11" i="23"/>
  <c r="E11" i="23"/>
  <c r="D11" i="23"/>
  <c r="C11" i="23"/>
  <c r="B11" i="23"/>
  <c r="Y10" i="23"/>
  <c r="X10" i="23"/>
  <c r="W10" i="23"/>
  <c r="V10" i="23"/>
  <c r="U10" i="23"/>
  <c r="T10" i="23"/>
  <c r="S10" i="23"/>
  <c r="R10" i="23"/>
  <c r="Q10" i="23"/>
  <c r="P10" i="23"/>
  <c r="O10" i="23"/>
  <c r="N10" i="23"/>
  <c r="M10" i="23"/>
  <c r="L10" i="23"/>
  <c r="K10" i="23"/>
  <c r="J10" i="23"/>
  <c r="I10" i="23"/>
  <c r="H10" i="23"/>
  <c r="G10" i="23"/>
  <c r="F10" i="23"/>
  <c r="E10" i="23"/>
  <c r="D10" i="23"/>
  <c r="C10" i="23"/>
  <c r="B10" i="23"/>
  <c r="Y9" i="23"/>
  <c r="X9" i="23"/>
  <c r="W9" i="23"/>
  <c r="V9" i="23"/>
  <c r="U9" i="23"/>
  <c r="T9" i="23"/>
  <c r="S9" i="23"/>
  <c r="R9" i="23"/>
  <c r="Q9" i="23"/>
  <c r="P9" i="23"/>
  <c r="O9" i="23"/>
  <c r="N9" i="23"/>
  <c r="M9" i="23"/>
  <c r="L9" i="23"/>
  <c r="K9" i="23"/>
  <c r="J9" i="23"/>
  <c r="I9" i="23"/>
  <c r="H9" i="23"/>
  <c r="G9" i="23"/>
  <c r="F9" i="23"/>
  <c r="E9" i="23"/>
  <c r="D9" i="23"/>
  <c r="C9" i="23"/>
  <c r="B9" i="23"/>
  <c r="Y8" i="23"/>
  <c r="X8" i="23"/>
  <c r="W8" i="23"/>
  <c r="V8" i="23"/>
  <c r="U8" i="23"/>
  <c r="T8" i="23"/>
  <c r="S8" i="23"/>
  <c r="R8" i="23"/>
  <c r="Q8" i="23"/>
  <c r="P8" i="23"/>
  <c r="O8" i="23"/>
  <c r="N8" i="23"/>
  <c r="M8" i="23"/>
  <c r="L8" i="23"/>
  <c r="K8" i="23"/>
  <c r="J8" i="23"/>
  <c r="I8" i="23"/>
  <c r="H8" i="23"/>
  <c r="G8" i="23"/>
  <c r="F8" i="23"/>
  <c r="E8" i="23"/>
  <c r="D8" i="23"/>
  <c r="C8" i="23"/>
  <c r="B8" i="23"/>
  <c r="Y7" i="23"/>
  <c r="X7" i="23"/>
  <c r="W7" i="23"/>
  <c r="V7" i="23"/>
  <c r="U7" i="23"/>
  <c r="T7" i="23"/>
  <c r="S7" i="23"/>
  <c r="R7" i="23"/>
  <c r="Q7" i="23"/>
  <c r="P7" i="23"/>
  <c r="O7" i="23"/>
  <c r="N7" i="23"/>
  <c r="M7" i="23"/>
  <c r="L7" i="23"/>
  <c r="K7" i="23"/>
  <c r="J7" i="23"/>
  <c r="I7" i="23"/>
  <c r="H7" i="23"/>
  <c r="G7" i="23"/>
  <c r="F7" i="23"/>
  <c r="E7" i="23"/>
  <c r="D7" i="23"/>
  <c r="C7" i="23"/>
  <c r="B7" i="23"/>
  <c r="Y6" i="23"/>
  <c r="X6" i="23"/>
  <c r="W6" i="23"/>
  <c r="V6" i="23"/>
  <c r="U6" i="23"/>
  <c r="T6" i="23"/>
  <c r="S6" i="23"/>
  <c r="R6" i="23"/>
  <c r="Q6" i="23"/>
  <c r="P6" i="23"/>
  <c r="O6" i="23"/>
  <c r="N6" i="23"/>
  <c r="M6" i="23"/>
  <c r="L6" i="23"/>
  <c r="K6" i="23"/>
  <c r="J6" i="23"/>
  <c r="I6" i="23"/>
  <c r="H6" i="23"/>
  <c r="G6" i="23"/>
  <c r="F6" i="23"/>
  <c r="E6" i="23"/>
  <c r="D6" i="23"/>
  <c r="C6" i="23"/>
  <c r="B6" i="23"/>
  <c r="Y5" i="23"/>
  <c r="X5" i="23"/>
  <c r="W5" i="23"/>
  <c r="V5" i="23"/>
  <c r="U5" i="23"/>
  <c r="T5" i="23"/>
  <c r="S5" i="23"/>
  <c r="R5" i="23"/>
  <c r="Q5" i="23"/>
  <c r="P5" i="23"/>
  <c r="O5" i="23"/>
  <c r="N5" i="23"/>
  <c r="M5" i="23"/>
  <c r="L5" i="23"/>
  <c r="K5" i="23"/>
  <c r="J5" i="23"/>
  <c r="I5" i="23"/>
  <c r="H5" i="23"/>
  <c r="G5" i="23"/>
  <c r="F5" i="23"/>
  <c r="E5" i="23"/>
  <c r="D5" i="23"/>
  <c r="C5" i="23"/>
  <c r="B5" i="23"/>
  <c r="Y4" i="23"/>
  <c r="W4" i="23"/>
  <c r="V4" i="23"/>
  <c r="U4" i="23"/>
  <c r="T4" i="23"/>
  <c r="S4" i="23"/>
  <c r="R4" i="23"/>
  <c r="Q4" i="23"/>
  <c r="P4" i="23"/>
  <c r="O4" i="23"/>
  <c r="N4" i="23"/>
  <c r="M4" i="23"/>
  <c r="L4" i="23"/>
  <c r="K4" i="23"/>
  <c r="J4" i="23"/>
  <c r="I4" i="23"/>
  <c r="H4" i="23"/>
  <c r="G4" i="23"/>
  <c r="F4" i="23"/>
  <c r="E4" i="23"/>
  <c r="D4" i="23"/>
  <c r="C4" i="23"/>
  <c r="B4" i="23"/>
  <c r="Y3" i="23"/>
  <c r="X3" i="23"/>
  <c r="W3" i="23"/>
  <c r="V3" i="23"/>
  <c r="U3" i="23"/>
  <c r="T3" i="23"/>
  <c r="S3" i="23"/>
  <c r="R3" i="23"/>
  <c r="Q3" i="23"/>
  <c r="P3" i="23"/>
  <c r="O3" i="23"/>
  <c r="N3" i="23"/>
  <c r="M3" i="23"/>
  <c r="L3" i="23"/>
  <c r="K3" i="23"/>
  <c r="J3" i="23"/>
  <c r="I3" i="23"/>
  <c r="H3" i="23"/>
  <c r="G3" i="23"/>
  <c r="F3" i="23"/>
  <c r="E3" i="23"/>
  <c r="D3" i="23"/>
  <c r="C3" i="23"/>
  <c r="B3" i="23"/>
  <c r="J68" i="35" l="1"/>
  <c r="AP68" i="35"/>
  <c r="P68" i="35"/>
  <c r="AV68" i="35"/>
  <c r="T68" i="35"/>
  <c r="V68" i="35"/>
  <c r="AB68" i="35"/>
  <c r="AD68" i="35"/>
  <c r="B68" i="35"/>
  <c r="AH68" i="35"/>
  <c r="AD68" i="38"/>
  <c r="AF68" i="38"/>
  <c r="L68" i="38"/>
  <c r="AR68" i="38"/>
  <c r="R68" i="38"/>
  <c r="T68" i="38"/>
  <c r="V68" i="38"/>
  <c r="X68" i="38"/>
  <c r="Z68" i="38"/>
  <c r="P68" i="21"/>
  <c r="AT68" i="21"/>
  <c r="AP68" i="21"/>
  <c r="V68" i="21"/>
  <c r="AR68" i="21"/>
  <c r="T68" i="21"/>
  <c r="B68" i="21"/>
  <c r="AH68" i="21"/>
  <c r="N68" i="21"/>
  <c r="AJ68" i="21"/>
  <c r="D68" i="24"/>
  <c r="AH68" i="24"/>
  <c r="L68" i="24"/>
  <c r="AN68" i="24"/>
  <c r="AP68" i="24"/>
  <c r="N68" i="24"/>
  <c r="AR68" i="24"/>
  <c r="AF68" i="24"/>
  <c r="P68" i="24"/>
  <c r="R68" i="24"/>
  <c r="AT68" i="24"/>
  <c r="T68" i="24"/>
  <c r="AV68" i="24"/>
  <c r="V68" i="24"/>
  <c r="R68" i="18"/>
  <c r="T68" i="18"/>
  <c r="AD68" i="18"/>
  <c r="AF68" i="18"/>
  <c r="H68" i="18"/>
  <c r="AN68" i="18"/>
  <c r="J68" i="18"/>
  <c r="AP68" i="18"/>
  <c r="F68" i="18"/>
  <c r="AL68" i="18"/>
  <c r="L68" i="18"/>
  <c r="AR68" i="18"/>
  <c r="AB68" i="22"/>
  <c r="B68" i="22"/>
  <c r="D68" i="22"/>
  <c r="AT68" i="22"/>
  <c r="AF68" i="22"/>
  <c r="AH68" i="22"/>
  <c r="N68" i="22"/>
  <c r="AJ68" i="22"/>
  <c r="J68" i="12"/>
  <c r="Z68" i="12"/>
  <c r="AT68" i="12"/>
  <c r="AV68" i="12"/>
  <c r="L68" i="12"/>
  <c r="AJ68" i="12"/>
  <c r="P68" i="12"/>
  <c r="AB68" i="11"/>
  <c r="P68" i="11"/>
  <c r="AV68" i="11"/>
  <c r="T68" i="11"/>
  <c r="Z68" i="11"/>
  <c r="AD68" i="11"/>
  <c r="AF68" i="11"/>
  <c r="AH68" i="11"/>
  <c r="B68" i="11"/>
  <c r="B1" i="39"/>
  <c r="C1" i="39"/>
  <c r="D1" i="39"/>
  <c r="E1" i="39"/>
  <c r="F1" i="39"/>
  <c r="G1" i="39"/>
  <c r="H1" i="39"/>
  <c r="I1" i="39"/>
  <c r="J1" i="39"/>
  <c r="K1" i="39"/>
  <c r="L1" i="39"/>
  <c r="M1" i="39"/>
  <c r="N1" i="39"/>
  <c r="O1" i="39"/>
  <c r="P1" i="39"/>
  <c r="Q1" i="39"/>
  <c r="R1" i="39"/>
  <c r="S1" i="39"/>
  <c r="T1" i="39"/>
  <c r="U1" i="39"/>
  <c r="V1" i="39"/>
  <c r="W1" i="39"/>
  <c r="X1" i="39"/>
  <c r="Y1" i="39"/>
  <c r="G6" i="39"/>
  <c r="A2" i="39"/>
  <c r="A3" i="39"/>
  <c r="A4" i="39"/>
  <c r="A5" i="39"/>
  <c r="A6" i="39"/>
  <c r="A7" i="39"/>
  <c r="A8" i="39"/>
  <c r="A9" i="39"/>
  <c r="K6" i="39"/>
  <c r="J6" i="39"/>
  <c r="I6" i="39"/>
  <c r="H6" i="39"/>
  <c r="C66" i="1" l="1"/>
  <c r="Y51" i="23"/>
  <c r="Y65" i="23" s="1"/>
  <c r="X51" i="23"/>
  <c r="X65" i="23" s="1"/>
  <c r="W51" i="23"/>
  <c r="W65" i="23" s="1"/>
  <c r="V51" i="23"/>
  <c r="V65" i="23" s="1"/>
  <c r="U51" i="23"/>
  <c r="U65" i="23" s="1"/>
  <c r="T51" i="23"/>
  <c r="T65" i="23" s="1"/>
  <c r="S51" i="23"/>
  <c r="S65" i="23" s="1"/>
  <c r="R51" i="23"/>
  <c r="R65" i="23" s="1"/>
  <c r="Q51" i="23"/>
  <c r="Q65" i="23" s="1"/>
  <c r="P51" i="23"/>
  <c r="P65" i="23" s="1"/>
  <c r="O51" i="23"/>
  <c r="O65" i="23" s="1"/>
  <c r="N51" i="23"/>
  <c r="N65" i="23" s="1"/>
  <c r="M51" i="23"/>
  <c r="M65" i="23" s="1"/>
  <c r="L51" i="23"/>
  <c r="L65" i="23" s="1"/>
  <c r="K51" i="23"/>
  <c r="K65" i="23" s="1"/>
  <c r="J51" i="23"/>
  <c r="I51" i="23"/>
  <c r="H51" i="23"/>
  <c r="G51" i="23"/>
  <c r="F51" i="23"/>
  <c r="E51" i="23"/>
  <c r="D51" i="23"/>
  <c r="C51" i="23"/>
  <c r="Y50" i="23"/>
  <c r="X50" i="23"/>
  <c r="W50" i="23"/>
  <c r="V50" i="23"/>
  <c r="U50" i="23"/>
  <c r="T50" i="23"/>
  <c r="S50" i="23"/>
  <c r="R50" i="23"/>
  <c r="Q50" i="23"/>
  <c r="P50" i="23"/>
  <c r="O50" i="23"/>
  <c r="N50" i="23"/>
  <c r="M50" i="23"/>
  <c r="L50" i="23"/>
  <c r="K50" i="23"/>
  <c r="J50" i="23"/>
  <c r="I50" i="23"/>
  <c r="H50" i="23"/>
  <c r="G50" i="23"/>
  <c r="F50" i="23"/>
  <c r="E50" i="23"/>
  <c r="D50" i="23"/>
  <c r="C50" i="23"/>
  <c r="B50" i="23"/>
  <c r="Y55" i="23"/>
  <c r="Y69" i="23" s="1"/>
  <c r="X55" i="23"/>
  <c r="W55" i="23"/>
  <c r="U55" i="23"/>
  <c r="T55" i="23"/>
  <c r="S55" i="23"/>
  <c r="R55" i="23"/>
  <c r="Q55" i="23"/>
  <c r="P55" i="23"/>
  <c r="O55" i="23"/>
  <c r="N55" i="23"/>
  <c r="L55" i="23"/>
  <c r="K55" i="23"/>
  <c r="J55" i="23"/>
  <c r="I55" i="23"/>
  <c r="H55" i="23"/>
  <c r="G55" i="23"/>
  <c r="F55" i="23"/>
  <c r="E55" i="23"/>
  <c r="D55" i="23"/>
  <c r="C55" i="23"/>
  <c r="S19" i="23"/>
  <c r="T19" i="23"/>
  <c r="U19" i="23"/>
  <c r="V19" i="23"/>
  <c r="W19" i="23"/>
  <c r="X19" i="23"/>
  <c r="Y19" i="23"/>
  <c r="U21" i="23"/>
  <c r="V21" i="23"/>
  <c r="W21" i="23"/>
  <c r="X21" i="23"/>
  <c r="Y21" i="23"/>
  <c r="L22" i="23"/>
  <c r="M22" i="23"/>
  <c r="N22" i="23"/>
  <c r="O22" i="23"/>
  <c r="P22" i="23"/>
  <c r="Q22" i="23"/>
  <c r="R22" i="23"/>
  <c r="S22" i="23"/>
  <c r="T22" i="23"/>
  <c r="U22" i="23"/>
  <c r="V22" i="23"/>
  <c r="W22" i="23"/>
  <c r="X22" i="23"/>
  <c r="Y22" i="23"/>
  <c r="Y23" i="23"/>
  <c r="B26" i="23"/>
  <c r="C26" i="23"/>
  <c r="D26" i="23"/>
  <c r="E26" i="23"/>
  <c r="F26" i="23"/>
  <c r="G26" i="23"/>
  <c r="H26" i="23"/>
  <c r="I26" i="23"/>
  <c r="J26" i="23"/>
  <c r="K26" i="23"/>
  <c r="L26" i="23"/>
  <c r="M26" i="23"/>
  <c r="N26" i="23"/>
  <c r="O26" i="23"/>
  <c r="P26" i="23"/>
  <c r="Q26" i="23"/>
  <c r="R26" i="23"/>
  <c r="S26" i="23"/>
  <c r="T26" i="23"/>
  <c r="U26" i="23"/>
  <c r="V26" i="23"/>
  <c r="W26" i="23"/>
  <c r="X26" i="23"/>
  <c r="Y26" i="23"/>
  <c r="Y36" i="23"/>
  <c r="Y87" i="23" s="1"/>
  <c r="X36" i="23"/>
  <c r="X87" i="23" s="1"/>
  <c r="W36" i="23"/>
  <c r="W87" i="23" s="1"/>
  <c r="V36" i="23"/>
  <c r="V87" i="23" s="1"/>
  <c r="U36" i="23"/>
  <c r="U87" i="23" s="1"/>
  <c r="T36" i="23"/>
  <c r="T87" i="23" s="1"/>
  <c r="S36" i="23"/>
  <c r="S87" i="23" s="1"/>
  <c r="R36" i="23"/>
  <c r="R87" i="23" s="1"/>
  <c r="Q36" i="23"/>
  <c r="Q87" i="23" s="1"/>
  <c r="P36" i="23"/>
  <c r="P87" i="23" s="1"/>
  <c r="O36" i="23"/>
  <c r="O87" i="23" s="1"/>
  <c r="N36" i="23"/>
  <c r="N87" i="23" s="1"/>
  <c r="M36" i="23"/>
  <c r="M87" i="23" s="1"/>
  <c r="L36" i="23"/>
  <c r="L87" i="23" s="1"/>
  <c r="K36" i="23"/>
  <c r="K87" i="23" s="1"/>
  <c r="J36" i="23"/>
  <c r="J87" i="23" s="1"/>
  <c r="I36" i="23"/>
  <c r="I87" i="23" s="1"/>
  <c r="H36" i="23"/>
  <c r="H87" i="23" s="1"/>
  <c r="G36" i="23"/>
  <c r="G87" i="23" s="1"/>
  <c r="F36" i="23"/>
  <c r="F87" i="23" s="1"/>
  <c r="E36" i="23"/>
  <c r="E87" i="23" s="1"/>
  <c r="D36" i="23"/>
  <c r="D87" i="23" s="1"/>
  <c r="C36" i="23"/>
  <c r="C87" i="23" s="1"/>
  <c r="B36" i="23"/>
  <c r="B87" i="23" s="1"/>
  <c r="Y35" i="23"/>
  <c r="Y86" i="23" s="1"/>
  <c r="X35" i="23"/>
  <c r="X86" i="23" s="1"/>
  <c r="W35" i="23"/>
  <c r="W86" i="23" s="1"/>
  <c r="V35" i="23"/>
  <c r="V86" i="23" s="1"/>
  <c r="U35" i="23"/>
  <c r="U86" i="23" s="1"/>
  <c r="T35" i="23"/>
  <c r="T86" i="23" s="1"/>
  <c r="S35" i="23"/>
  <c r="S86" i="23" s="1"/>
  <c r="R35" i="23"/>
  <c r="R86" i="23" s="1"/>
  <c r="Q35" i="23"/>
  <c r="Q86" i="23" s="1"/>
  <c r="P35" i="23"/>
  <c r="P86" i="23" s="1"/>
  <c r="O35" i="23"/>
  <c r="O86" i="23" s="1"/>
  <c r="N35" i="23"/>
  <c r="N86" i="23" s="1"/>
  <c r="M35" i="23"/>
  <c r="M86" i="23" s="1"/>
  <c r="L35" i="23"/>
  <c r="L86" i="23" s="1"/>
  <c r="K35" i="23"/>
  <c r="K86" i="23" s="1"/>
  <c r="J35" i="23"/>
  <c r="J86" i="23" s="1"/>
  <c r="I35" i="23"/>
  <c r="I86" i="23" s="1"/>
  <c r="H35" i="23"/>
  <c r="H86" i="23" s="1"/>
  <c r="G35" i="23"/>
  <c r="G86" i="23" s="1"/>
  <c r="F35" i="23"/>
  <c r="F86" i="23" s="1"/>
  <c r="E35" i="23"/>
  <c r="E86" i="23" s="1"/>
  <c r="D35" i="23"/>
  <c r="D86" i="23" s="1"/>
  <c r="C35" i="23"/>
  <c r="C86" i="23" s="1"/>
  <c r="B35" i="23"/>
  <c r="B86" i="23" s="1"/>
  <c r="C84" i="23"/>
  <c r="D84" i="23"/>
  <c r="E84" i="23"/>
  <c r="F84" i="23"/>
  <c r="G84" i="23"/>
  <c r="H84" i="23"/>
  <c r="I84" i="23"/>
  <c r="J84" i="23"/>
  <c r="K84" i="23"/>
  <c r="L84" i="23"/>
  <c r="M84" i="23"/>
  <c r="N84" i="23"/>
  <c r="O84" i="23"/>
  <c r="P84" i="23"/>
  <c r="Q84" i="23"/>
  <c r="R84" i="23"/>
  <c r="S84" i="23"/>
  <c r="T84" i="23"/>
  <c r="U84" i="23"/>
  <c r="V84" i="23"/>
  <c r="W84" i="23"/>
  <c r="X84" i="23"/>
  <c r="Y84" i="23"/>
  <c r="B84" i="23"/>
  <c r="A86" i="23"/>
  <c r="A87" i="23"/>
  <c r="A88" i="23"/>
  <c r="A89" i="23"/>
  <c r="A90" i="23"/>
  <c r="A91" i="23"/>
  <c r="A92" i="23"/>
  <c r="A93" i="23"/>
  <c r="A85" i="23"/>
  <c r="Y38" i="23"/>
  <c r="Y89" i="23" s="1"/>
  <c r="Y41" i="23"/>
  <c r="Y92" i="23" s="1"/>
  <c r="X41" i="23"/>
  <c r="X92" i="23" s="1"/>
  <c r="W41" i="23"/>
  <c r="W92" i="23" s="1"/>
  <c r="V41" i="23"/>
  <c r="V92" i="23" s="1"/>
  <c r="U41" i="23"/>
  <c r="U92" i="23" s="1"/>
  <c r="T41" i="23"/>
  <c r="T92" i="23" s="1"/>
  <c r="S41" i="23"/>
  <c r="S92" i="23" s="1"/>
  <c r="R41" i="23"/>
  <c r="R92" i="23" s="1"/>
  <c r="Q41" i="23"/>
  <c r="Q92" i="23" s="1"/>
  <c r="P41" i="23"/>
  <c r="P92" i="23" s="1"/>
  <c r="O41" i="23"/>
  <c r="O92" i="23" s="1"/>
  <c r="N41" i="23"/>
  <c r="N92" i="23" s="1"/>
  <c r="M41" i="23"/>
  <c r="M92" i="23" s="1"/>
  <c r="L41" i="23"/>
  <c r="L92" i="23" s="1"/>
  <c r="K41" i="23"/>
  <c r="K92" i="23" s="1"/>
  <c r="J41" i="23"/>
  <c r="J92" i="23" s="1"/>
  <c r="I41" i="23"/>
  <c r="I92" i="23" s="1"/>
  <c r="H41" i="23"/>
  <c r="H92" i="23" s="1"/>
  <c r="G41" i="23"/>
  <c r="G92" i="23" s="1"/>
  <c r="F41" i="23"/>
  <c r="F92" i="23" s="1"/>
  <c r="E41" i="23"/>
  <c r="E92" i="23" s="1"/>
  <c r="D41" i="23"/>
  <c r="D92" i="23" s="1"/>
  <c r="C41" i="23"/>
  <c r="C92" i="23" s="1"/>
  <c r="B41" i="23"/>
  <c r="B92" i="23" s="1"/>
  <c r="Y40" i="23"/>
  <c r="Y91" i="23" s="1"/>
  <c r="X40" i="23"/>
  <c r="X91" i="23" s="1"/>
  <c r="W40" i="23"/>
  <c r="W91" i="23" s="1"/>
  <c r="V40" i="23"/>
  <c r="V91" i="23" s="1"/>
  <c r="U40" i="23"/>
  <c r="U91" i="23" s="1"/>
  <c r="T40" i="23"/>
  <c r="T91" i="23" s="1"/>
  <c r="S40" i="23"/>
  <c r="S91" i="23" s="1"/>
  <c r="R40" i="23"/>
  <c r="R91" i="23" s="1"/>
  <c r="Q40" i="23"/>
  <c r="Q91" i="23" s="1"/>
  <c r="P40" i="23"/>
  <c r="P91" i="23" s="1"/>
  <c r="O40" i="23"/>
  <c r="O91" i="23" s="1"/>
  <c r="N40" i="23"/>
  <c r="N91" i="23" s="1"/>
  <c r="M40" i="23"/>
  <c r="M91" i="23" s="1"/>
  <c r="L40" i="23"/>
  <c r="L91" i="23" s="1"/>
  <c r="K40" i="23"/>
  <c r="K91" i="23" s="1"/>
  <c r="J40" i="23"/>
  <c r="J91" i="23" s="1"/>
  <c r="I40" i="23"/>
  <c r="I91" i="23" s="1"/>
  <c r="H40" i="23"/>
  <c r="H91" i="23" s="1"/>
  <c r="G40" i="23"/>
  <c r="G91" i="23" s="1"/>
  <c r="F40" i="23"/>
  <c r="F91" i="23" s="1"/>
  <c r="E40" i="23"/>
  <c r="E91" i="23" s="1"/>
  <c r="D40" i="23"/>
  <c r="D91" i="23" s="1"/>
  <c r="C40" i="23"/>
  <c r="C91" i="23" s="1"/>
  <c r="B40" i="23"/>
  <c r="B91" i="23" s="1"/>
  <c r="Y39" i="23"/>
  <c r="Y90" i="23" s="1"/>
  <c r="X39" i="23"/>
  <c r="X90" i="23" s="1"/>
  <c r="W39" i="23"/>
  <c r="W90" i="23" s="1"/>
  <c r="V39" i="23"/>
  <c r="V90" i="23" s="1"/>
  <c r="U39" i="23"/>
  <c r="U90" i="23" s="1"/>
  <c r="T39" i="23"/>
  <c r="T90" i="23" s="1"/>
  <c r="S39" i="23"/>
  <c r="S90" i="23" s="1"/>
  <c r="R39" i="23"/>
  <c r="R90" i="23" s="1"/>
  <c r="Q39" i="23"/>
  <c r="Q90" i="23" s="1"/>
  <c r="P39" i="23"/>
  <c r="P90" i="23" s="1"/>
  <c r="O39" i="23"/>
  <c r="O90" i="23" s="1"/>
  <c r="N39" i="23"/>
  <c r="N90" i="23" s="1"/>
  <c r="M39" i="23"/>
  <c r="M90" i="23" s="1"/>
  <c r="L39" i="23"/>
  <c r="L90" i="23" s="1"/>
  <c r="K39" i="23"/>
  <c r="K90" i="23" s="1"/>
  <c r="J39" i="23"/>
  <c r="J90" i="23" s="1"/>
  <c r="I39" i="23"/>
  <c r="I90" i="23" s="1"/>
  <c r="H39" i="23"/>
  <c r="H90" i="23" s="1"/>
  <c r="G39" i="23"/>
  <c r="G90" i="23" s="1"/>
  <c r="F39" i="23"/>
  <c r="F90" i="23" s="1"/>
  <c r="E39" i="23"/>
  <c r="E90" i="23" s="1"/>
  <c r="D39" i="23"/>
  <c r="D90" i="23" s="1"/>
  <c r="C39" i="23"/>
  <c r="C90" i="23" s="1"/>
  <c r="B39" i="23"/>
  <c r="B90" i="23" s="1"/>
  <c r="B34" i="23"/>
  <c r="B85" i="23" s="1"/>
  <c r="A35" i="23"/>
  <c r="A36" i="23"/>
  <c r="A37" i="23"/>
  <c r="A38" i="23"/>
  <c r="A39" i="23"/>
  <c r="A40" i="23"/>
  <c r="A41" i="23"/>
  <c r="A42" i="23"/>
  <c r="A34" i="23"/>
  <c r="V55" i="23"/>
  <c r="M55" i="23"/>
  <c r="A50" i="23"/>
  <c r="Y52" i="23"/>
  <c r="X52" i="23"/>
  <c r="W52" i="23"/>
  <c r="V52" i="23"/>
  <c r="U52" i="23"/>
  <c r="T52" i="23"/>
  <c r="AP52" i="38" l="1"/>
  <c r="AP82" i="38" s="1"/>
  <c r="P52" i="38"/>
  <c r="P82" i="38" s="1"/>
  <c r="AJ52" i="38"/>
  <c r="AJ82" i="38" s="1"/>
  <c r="J52" i="38"/>
  <c r="J82" i="38" s="1"/>
  <c r="AF52" i="38"/>
  <c r="AF82" i="38" s="1"/>
  <c r="D52" i="38"/>
  <c r="D82" i="38" s="1"/>
  <c r="Z52" i="38"/>
  <c r="Z82" i="38" s="1"/>
  <c r="AV52" i="38"/>
  <c r="AV82" i="38" s="1"/>
  <c r="T52" i="38"/>
  <c r="T82" i="38" s="1"/>
  <c r="V52" i="38"/>
  <c r="V82" i="38" s="1"/>
  <c r="N52" i="38"/>
  <c r="N82" i="38" s="1"/>
  <c r="B52" i="38"/>
  <c r="B82" i="38" s="1"/>
  <c r="AB52" i="38"/>
  <c r="AB82" i="38" s="1"/>
  <c r="AD52" i="38"/>
  <c r="AD82" i="38" s="1"/>
  <c r="AT52" i="38"/>
  <c r="AT82" i="38" s="1"/>
  <c r="AH52" i="38"/>
  <c r="AH82" i="38" s="1"/>
  <c r="AR52" i="38"/>
  <c r="AR82" i="38" s="1"/>
  <c r="X52" i="38"/>
  <c r="X82" i="38" s="1"/>
  <c r="AL52" i="38"/>
  <c r="AL82" i="38" s="1"/>
  <c r="L52" i="38"/>
  <c r="L82" i="38" s="1"/>
  <c r="R52" i="38"/>
  <c r="R82" i="38" s="1"/>
  <c r="H52" i="38"/>
  <c r="H82" i="38" s="1"/>
  <c r="F52" i="38"/>
  <c r="F82" i="38" s="1"/>
  <c r="AN52" i="38"/>
  <c r="AN82" i="38" s="1"/>
  <c r="J52" i="21"/>
  <c r="J82" i="21" s="1"/>
  <c r="AF52" i="21"/>
  <c r="AF82" i="21" s="1"/>
  <c r="F52" i="21"/>
  <c r="F82" i="21" s="1"/>
  <c r="Z52" i="21"/>
  <c r="Z82" i="21" s="1"/>
  <c r="D52" i="21"/>
  <c r="D82" i="21" s="1"/>
  <c r="AV52" i="21"/>
  <c r="AV82" i="21" s="1"/>
  <c r="AP52" i="21"/>
  <c r="AP82" i="21" s="1"/>
  <c r="AJ52" i="21"/>
  <c r="AJ82" i="21" s="1"/>
  <c r="T52" i="21"/>
  <c r="T82" i="21" s="1"/>
  <c r="P52" i="21"/>
  <c r="P82" i="21" s="1"/>
  <c r="R52" i="21"/>
  <c r="R82" i="21" s="1"/>
  <c r="AR52" i="21"/>
  <c r="AR82" i="21" s="1"/>
  <c r="AL52" i="21"/>
  <c r="AL82" i="21" s="1"/>
  <c r="AB52" i="21"/>
  <c r="AB82" i="21" s="1"/>
  <c r="AN52" i="21"/>
  <c r="AN82" i="21" s="1"/>
  <c r="N52" i="21"/>
  <c r="N82" i="21" s="1"/>
  <c r="AD52" i="21"/>
  <c r="AD82" i="21" s="1"/>
  <c r="L52" i="21"/>
  <c r="L82" i="21" s="1"/>
  <c r="B52" i="21"/>
  <c r="B82" i="21" s="1"/>
  <c r="H52" i="21"/>
  <c r="H82" i="21" s="1"/>
  <c r="AT52" i="21"/>
  <c r="AT82" i="21" s="1"/>
  <c r="AH52" i="21"/>
  <c r="AH82" i="21" s="1"/>
  <c r="X52" i="21"/>
  <c r="X82" i="21" s="1"/>
  <c r="V52" i="21"/>
  <c r="V82" i="21" s="1"/>
  <c r="AH52" i="24"/>
  <c r="AH82" i="24" s="1"/>
  <c r="N52" i="24"/>
  <c r="N82" i="24" s="1"/>
  <c r="AV52" i="24"/>
  <c r="AV82" i="24" s="1"/>
  <c r="AF52" i="24"/>
  <c r="AF82" i="24" s="1"/>
  <c r="D52" i="24"/>
  <c r="D82" i="24" s="1"/>
  <c r="AD52" i="24"/>
  <c r="AD82" i="24" s="1"/>
  <c r="AT52" i="24"/>
  <c r="AT82" i="24" s="1"/>
  <c r="B52" i="24"/>
  <c r="B82" i="24" s="1"/>
  <c r="T52" i="24"/>
  <c r="T82" i="24" s="1"/>
  <c r="R52" i="24"/>
  <c r="R82" i="24" s="1"/>
  <c r="AJ52" i="24"/>
  <c r="AJ82" i="24" s="1"/>
  <c r="P52" i="24"/>
  <c r="P82" i="24" s="1"/>
  <c r="AL52" i="24"/>
  <c r="AL82" i="24" s="1"/>
  <c r="L52" i="24"/>
  <c r="L82" i="24" s="1"/>
  <c r="AB52" i="24"/>
  <c r="AB82" i="24" s="1"/>
  <c r="Z52" i="24"/>
  <c r="Z82" i="24" s="1"/>
  <c r="J52" i="24"/>
  <c r="J82" i="24" s="1"/>
  <c r="AN52" i="24"/>
  <c r="AN82" i="24" s="1"/>
  <c r="AP52" i="24"/>
  <c r="AP82" i="24" s="1"/>
  <c r="AR52" i="24"/>
  <c r="AR82" i="24" s="1"/>
  <c r="V52" i="24"/>
  <c r="V82" i="24" s="1"/>
  <c r="X52" i="24"/>
  <c r="X82" i="24" s="1"/>
  <c r="F52" i="24"/>
  <c r="F82" i="24" s="1"/>
  <c r="H52" i="24"/>
  <c r="H82" i="24" s="1"/>
  <c r="AV52" i="18"/>
  <c r="AV82" i="18" s="1"/>
  <c r="T52" i="18"/>
  <c r="T82" i="18" s="1"/>
  <c r="D52" i="18"/>
  <c r="D82" i="18" s="1"/>
  <c r="P52" i="18"/>
  <c r="P82" i="18" s="1"/>
  <c r="AF52" i="18"/>
  <c r="AF82" i="18" s="1"/>
  <c r="AJ52" i="18"/>
  <c r="AJ82" i="18" s="1"/>
  <c r="Z52" i="18"/>
  <c r="Z82" i="18" s="1"/>
  <c r="X52" i="18"/>
  <c r="X82" i="18" s="1"/>
  <c r="B52" i="18"/>
  <c r="B82" i="18" s="1"/>
  <c r="J52" i="18"/>
  <c r="J82" i="18" s="1"/>
  <c r="AB52" i="18"/>
  <c r="AB82" i="18" s="1"/>
  <c r="AD52" i="18"/>
  <c r="AD82" i="18" s="1"/>
  <c r="AP52" i="18"/>
  <c r="AP82" i="18" s="1"/>
  <c r="R52" i="18"/>
  <c r="R82" i="18" s="1"/>
  <c r="AR52" i="18"/>
  <c r="AR82" i="18" s="1"/>
  <c r="H52" i="18"/>
  <c r="H82" i="18" s="1"/>
  <c r="F52" i="18"/>
  <c r="F82" i="18" s="1"/>
  <c r="AH52" i="18"/>
  <c r="AH82" i="18" s="1"/>
  <c r="L52" i="18"/>
  <c r="L82" i="18" s="1"/>
  <c r="AN52" i="18"/>
  <c r="AN82" i="18" s="1"/>
  <c r="AT52" i="18"/>
  <c r="AT82" i="18" s="1"/>
  <c r="N52" i="18"/>
  <c r="N82" i="18" s="1"/>
  <c r="V52" i="18"/>
  <c r="V82" i="18" s="1"/>
  <c r="AL52" i="18"/>
  <c r="AL82" i="18" s="1"/>
  <c r="AL52" i="22"/>
  <c r="AL82" i="22" s="1"/>
  <c r="P52" i="22"/>
  <c r="P82" i="22" s="1"/>
  <c r="AH52" i="22"/>
  <c r="AH82" i="22" s="1"/>
  <c r="D52" i="22"/>
  <c r="D82" i="22" s="1"/>
  <c r="AV52" i="22"/>
  <c r="AV82" i="22" s="1"/>
  <c r="Z52" i="22"/>
  <c r="Z82" i="22" s="1"/>
  <c r="J52" i="22"/>
  <c r="J82" i="22" s="1"/>
  <c r="AF52" i="22"/>
  <c r="AF82" i="22" s="1"/>
  <c r="AP52" i="22"/>
  <c r="AP82" i="22" s="1"/>
  <c r="T52" i="22"/>
  <c r="T82" i="22" s="1"/>
  <c r="AB52" i="22"/>
  <c r="AB82" i="22" s="1"/>
  <c r="AR52" i="22"/>
  <c r="AR82" i="22" s="1"/>
  <c r="L52" i="22"/>
  <c r="L82" i="22" s="1"/>
  <c r="F52" i="22"/>
  <c r="F82" i="22" s="1"/>
  <c r="N52" i="22"/>
  <c r="N82" i="22" s="1"/>
  <c r="V52" i="22"/>
  <c r="V82" i="22" s="1"/>
  <c r="AJ52" i="22"/>
  <c r="AJ82" i="22" s="1"/>
  <c r="B52" i="22"/>
  <c r="B82" i="22" s="1"/>
  <c r="X52" i="22"/>
  <c r="X82" i="22" s="1"/>
  <c r="AT52" i="22"/>
  <c r="AT82" i="22" s="1"/>
  <c r="R52" i="22"/>
  <c r="R82" i="22" s="1"/>
  <c r="AD52" i="22"/>
  <c r="AD82" i="22" s="1"/>
  <c r="AN52" i="22"/>
  <c r="AN82" i="22" s="1"/>
  <c r="H52" i="22"/>
  <c r="H82" i="22" s="1"/>
  <c r="P52" i="12"/>
  <c r="P82" i="12" s="1"/>
  <c r="H52" i="12"/>
  <c r="H82" i="12" s="1"/>
  <c r="AF52" i="12"/>
  <c r="AF82" i="12" s="1"/>
  <c r="F52" i="12"/>
  <c r="F82" i="12" s="1"/>
  <c r="AL52" i="12"/>
  <c r="AL82" i="12" s="1"/>
  <c r="AV52" i="12"/>
  <c r="AV82" i="12" s="1"/>
  <c r="V52" i="12"/>
  <c r="V82" i="12" s="1"/>
  <c r="AN52" i="12"/>
  <c r="AN82" i="12" s="1"/>
  <c r="T52" i="12"/>
  <c r="T82" i="12" s="1"/>
  <c r="AT52" i="12"/>
  <c r="AT82" i="12" s="1"/>
  <c r="X52" i="12"/>
  <c r="X82" i="12" s="1"/>
  <c r="B52" i="12"/>
  <c r="B82" i="12" s="1"/>
  <c r="Z52" i="12"/>
  <c r="Z82" i="12" s="1"/>
  <c r="AP52" i="12"/>
  <c r="AP82" i="12" s="1"/>
  <c r="R52" i="12"/>
  <c r="R82" i="12" s="1"/>
  <c r="AR52" i="12"/>
  <c r="AR82" i="12" s="1"/>
  <c r="L52" i="12"/>
  <c r="L82" i="12" s="1"/>
  <c r="AD52" i="12"/>
  <c r="AD82" i="12" s="1"/>
  <c r="D52" i="12"/>
  <c r="D82" i="12" s="1"/>
  <c r="AB52" i="12"/>
  <c r="AB82" i="12" s="1"/>
  <c r="AH52" i="12"/>
  <c r="AH82" i="12" s="1"/>
  <c r="AJ52" i="12"/>
  <c r="AJ82" i="12" s="1"/>
  <c r="N52" i="12"/>
  <c r="N82" i="12" s="1"/>
  <c r="J52" i="12"/>
  <c r="J82" i="12" s="1"/>
  <c r="J52" i="11"/>
  <c r="J82" i="11" s="1"/>
  <c r="AV52" i="11"/>
  <c r="AV82" i="11" s="1"/>
  <c r="Z52" i="11"/>
  <c r="Z82" i="11" s="1"/>
  <c r="P52" i="11"/>
  <c r="P82" i="11" s="1"/>
  <c r="AF52" i="11"/>
  <c r="AF82" i="11" s="1"/>
  <c r="AP52" i="11"/>
  <c r="AP82" i="11" s="1"/>
  <c r="AN52" i="11"/>
  <c r="AN82" i="11" s="1"/>
  <c r="L52" i="11"/>
  <c r="L82" i="11" s="1"/>
  <c r="B52" i="11"/>
  <c r="B82" i="11" s="1"/>
  <c r="N52" i="11"/>
  <c r="N82" i="11" s="1"/>
  <c r="AJ52" i="11"/>
  <c r="AJ82" i="11" s="1"/>
  <c r="AL52" i="11"/>
  <c r="AL82" i="11" s="1"/>
  <c r="F52" i="11"/>
  <c r="F82" i="11" s="1"/>
  <c r="AB52" i="11"/>
  <c r="AB82" i="11" s="1"/>
  <c r="R52" i="11"/>
  <c r="R82" i="11" s="1"/>
  <c r="T52" i="11"/>
  <c r="T82" i="11" s="1"/>
  <c r="AH52" i="11"/>
  <c r="AH82" i="11" s="1"/>
  <c r="D52" i="11"/>
  <c r="D82" i="11" s="1"/>
  <c r="AD52" i="11"/>
  <c r="AD82" i="11" s="1"/>
  <c r="X52" i="11"/>
  <c r="X82" i="11" s="1"/>
  <c r="H52" i="11"/>
  <c r="H82" i="11" s="1"/>
  <c r="V52" i="11"/>
  <c r="V82" i="11" s="1"/>
  <c r="AR52" i="11"/>
  <c r="AR82" i="11" s="1"/>
  <c r="AT52" i="11"/>
  <c r="AT82" i="11" s="1"/>
  <c r="E57" i="1" l="1"/>
  <c r="G8" i="1" l="1"/>
  <c r="F8" i="1"/>
  <c r="A17" i="23" l="1"/>
  <c r="A18" i="23"/>
  <c r="A19" i="23"/>
  <c r="A20" i="23"/>
  <c r="A21" i="23"/>
  <c r="A22" i="23"/>
  <c r="A23" i="23"/>
  <c r="A24" i="23"/>
  <c r="A25" i="23"/>
  <c r="A26" i="23"/>
  <c r="A16" i="23"/>
  <c r="R19" i="23"/>
  <c r="Q19" i="23"/>
  <c r="P19" i="23"/>
  <c r="O19" i="23"/>
  <c r="B19" i="23" l="1"/>
  <c r="B3" i="39"/>
  <c r="C19" i="23"/>
  <c r="C3" i="39"/>
  <c r="I19" i="23"/>
  <c r="I3" i="39"/>
  <c r="N19" i="23"/>
  <c r="N3" i="39"/>
  <c r="D19" i="23"/>
  <c r="D3" i="39"/>
  <c r="E19" i="23"/>
  <c r="E3" i="39"/>
  <c r="F19" i="23"/>
  <c r="F3" i="39"/>
  <c r="G19" i="23"/>
  <c r="G3" i="39"/>
  <c r="H19" i="23"/>
  <c r="H3" i="39"/>
  <c r="J19" i="23"/>
  <c r="J3" i="39"/>
  <c r="K19" i="23"/>
  <c r="K3" i="39"/>
  <c r="L19" i="23"/>
  <c r="L3" i="39"/>
  <c r="M19" i="23"/>
  <c r="M3" i="39"/>
  <c r="Y20" i="23"/>
  <c r="Y4" i="39"/>
  <c r="V20" i="23"/>
  <c r="V4" i="39"/>
  <c r="X20" i="23"/>
  <c r="X4" i="39"/>
  <c r="M20" i="23"/>
  <c r="M4" i="39"/>
  <c r="S20" i="23"/>
  <c r="S4" i="39"/>
  <c r="G20" i="23"/>
  <c r="G4" i="39"/>
  <c r="H20" i="23"/>
  <c r="H4" i="39"/>
  <c r="I20" i="23"/>
  <c r="I4" i="39"/>
  <c r="K20" i="23"/>
  <c r="K4" i="39"/>
  <c r="L20" i="23"/>
  <c r="L4" i="39"/>
  <c r="O20" i="23"/>
  <c r="O4" i="39"/>
  <c r="Q20" i="23"/>
  <c r="Q4" i="39"/>
  <c r="R20" i="23"/>
  <c r="R4" i="39"/>
  <c r="T20" i="23"/>
  <c r="T4" i="39"/>
  <c r="F20" i="23"/>
  <c r="F4" i="39"/>
  <c r="W20" i="23"/>
  <c r="W4" i="39"/>
  <c r="J20" i="23"/>
  <c r="J4" i="39"/>
  <c r="N20" i="23"/>
  <c r="N4" i="39"/>
  <c r="P20" i="23"/>
  <c r="P4" i="39"/>
  <c r="B20" i="23"/>
  <c r="B4" i="39"/>
  <c r="C20" i="23"/>
  <c r="C4" i="39"/>
  <c r="D20" i="23"/>
  <c r="D4" i="39"/>
  <c r="E20" i="23"/>
  <c r="E4" i="39"/>
  <c r="U20" i="23"/>
  <c r="U4" i="39"/>
  <c r="B51" i="3"/>
  <c r="B81" i="3" s="1"/>
  <c r="AV79" i="3" a="1"/>
  <c r="AV79" i="3" s="1"/>
  <c r="AT79" i="3" a="1"/>
  <c r="AT79" i="3" s="1"/>
  <c r="AR79" i="3" a="1"/>
  <c r="AR79" i="3" s="1"/>
  <c r="AP79" i="3" a="1"/>
  <c r="AP79" i="3" s="1"/>
  <c r="AN79" i="3" a="1"/>
  <c r="AN79" i="3" s="1"/>
  <c r="AL79" i="3" a="1"/>
  <c r="AL79" i="3" s="1"/>
  <c r="AJ79" i="3" a="1"/>
  <c r="AJ79" i="3" s="1"/>
  <c r="AH79" i="3" a="1"/>
  <c r="AH79" i="3" s="1"/>
  <c r="AF79" i="3" a="1"/>
  <c r="AF79" i="3" s="1"/>
  <c r="AD79" i="3" a="1"/>
  <c r="AD79" i="3" s="1"/>
  <c r="AB79" i="3" a="1"/>
  <c r="AB79" i="3" s="1"/>
  <c r="Z79" i="3" a="1"/>
  <c r="Z79" i="3" s="1"/>
  <c r="X79" i="3" a="1"/>
  <c r="X79" i="3" s="1"/>
  <c r="V79" i="3" a="1"/>
  <c r="V79" i="3" s="1"/>
  <c r="T79" i="3" a="1"/>
  <c r="T79" i="3" s="1"/>
  <c r="R79" i="3" a="1"/>
  <c r="R79" i="3" s="1"/>
  <c r="P79" i="3" a="1"/>
  <c r="P79" i="3" s="1"/>
  <c r="N79" i="3" a="1"/>
  <c r="N79" i="3" s="1"/>
  <c r="L79" i="3" a="1"/>
  <c r="L79" i="3" s="1"/>
  <c r="J79" i="3" a="1"/>
  <c r="J79" i="3" s="1"/>
  <c r="H79" i="3" a="1"/>
  <c r="H79" i="3" s="1"/>
  <c r="F79" i="3" a="1"/>
  <c r="F79" i="3" s="1"/>
  <c r="D79" i="3" a="1"/>
  <c r="D79" i="3" s="1"/>
  <c r="B79" i="3" a="1"/>
  <c r="B79" i="3" s="1"/>
  <c r="AV78" i="3" a="1"/>
  <c r="AV78" i="3" s="1"/>
  <c r="AT78" i="3" a="1"/>
  <c r="AT78" i="3" s="1"/>
  <c r="AR78" i="3" a="1"/>
  <c r="AR78" i="3" s="1"/>
  <c r="AP78" i="3" a="1"/>
  <c r="AP78" i="3" s="1"/>
  <c r="AN78" i="3" a="1"/>
  <c r="AN78" i="3" s="1"/>
  <c r="AL78" i="3" a="1"/>
  <c r="AL78" i="3" s="1"/>
  <c r="AJ78" i="3" a="1"/>
  <c r="AJ78" i="3" s="1"/>
  <c r="AH78" i="3" a="1"/>
  <c r="AH78" i="3" s="1"/>
  <c r="AF78" i="3" a="1"/>
  <c r="AF78" i="3" s="1"/>
  <c r="AD78" i="3" a="1"/>
  <c r="AD78" i="3" s="1"/>
  <c r="AB78" i="3" a="1"/>
  <c r="AB78" i="3" s="1"/>
  <c r="Z78" i="3" a="1"/>
  <c r="Z78" i="3" s="1"/>
  <c r="X78" i="3" a="1"/>
  <c r="X78" i="3" s="1"/>
  <c r="V78" i="3"/>
  <c r="V78" i="3" a="1"/>
  <c r="T78" i="3" a="1"/>
  <c r="T78" i="3" s="1"/>
  <c r="R78" i="3" a="1"/>
  <c r="R78" i="3" s="1"/>
  <c r="P78" i="3" a="1"/>
  <c r="P78" i="3" s="1"/>
  <c r="N78" i="3" a="1"/>
  <c r="N78" i="3" s="1"/>
  <c r="L78" i="3" a="1"/>
  <c r="L78" i="3" s="1"/>
  <c r="J78" i="3" a="1"/>
  <c r="J78" i="3" s="1"/>
  <c r="H78" i="3" a="1"/>
  <c r="H78" i="3" s="1"/>
  <c r="F78" i="3" a="1"/>
  <c r="F78" i="3" s="1"/>
  <c r="D78" i="3" a="1"/>
  <c r="D78" i="3" s="1"/>
  <c r="B78" i="3" a="1"/>
  <c r="B78" i="3" s="1"/>
  <c r="AV77" i="3" a="1"/>
  <c r="AV77" i="3" s="1"/>
  <c r="AT77" i="3" a="1"/>
  <c r="AT77" i="3" s="1"/>
  <c r="AR77" i="3" a="1"/>
  <c r="AR77" i="3" s="1"/>
  <c r="AP77" i="3" a="1"/>
  <c r="AP77" i="3" s="1"/>
  <c r="AN77" i="3" a="1"/>
  <c r="AN77" i="3" s="1"/>
  <c r="AL77" i="3" a="1"/>
  <c r="AL77" i="3" s="1"/>
  <c r="AJ77" i="3" a="1"/>
  <c r="AJ77" i="3" s="1"/>
  <c r="AH77" i="3" a="1"/>
  <c r="AH77" i="3" s="1"/>
  <c r="AF77" i="3" a="1"/>
  <c r="AF77" i="3" s="1"/>
  <c r="AD77" i="3" a="1"/>
  <c r="AD77" i="3" s="1"/>
  <c r="AB77" i="3" a="1"/>
  <c r="AB77" i="3" s="1"/>
  <c r="Z77" i="3" a="1"/>
  <c r="Z77" i="3" s="1"/>
  <c r="X77" i="3" a="1"/>
  <c r="X77" i="3" s="1"/>
  <c r="V77" i="3" a="1"/>
  <c r="V77" i="3" s="1"/>
  <c r="T77" i="3" a="1"/>
  <c r="T77" i="3" s="1"/>
  <c r="R77" i="3" a="1"/>
  <c r="R77" i="3" s="1"/>
  <c r="P77" i="3" a="1"/>
  <c r="P77" i="3" s="1"/>
  <c r="N77" i="3" a="1"/>
  <c r="N77" i="3" s="1"/>
  <c r="L77" i="3" a="1"/>
  <c r="L77" i="3" s="1"/>
  <c r="J77" i="3" a="1"/>
  <c r="J77" i="3" s="1"/>
  <c r="H77" i="3" a="1"/>
  <c r="H77" i="3" s="1"/>
  <c r="F77" i="3" a="1"/>
  <c r="F77" i="3" s="1"/>
  <c r="D77" i="3" a="1"/>
  <c r="D77" i="3" s="1"/>
  <c r="B77" i="3" a="1"/>
  <c r="B77" i="3" s="1"/>
  <c r="AV76" i="3" a="1"/>
  <c r="AV76" i="3" s="1"/>
  <c r="AT76" i="3" a="1"/>
  <c r="AT76" i="3" s="1"/>
  <c r="AR76" i="3" a="1"/>
  <c r="AR76" i="3" s="1"/>
  <c r="AP76" i="3" a="1"/>
  <c r="AP76" i="3" s="1"/>
  <c r="AN76" i="3" a="1"/>
  <c r="AN76" i="3" s="1"/>
  <c r="AL76" i="3" a="1"/>
  <c r="AL76" i="3" s="1"/>
  <c r="AJ76" i="3" a="1"/>
  <c r="AJ76" i="3" s="1"/>
  <c r="AH76" i="3" a="1"/>
  <c r="AH76" i="3" s="1"/>
  <c r="AF76" i="3" a="1"/>
  <c r="AF76" i="3" s="1"/>
  <c r="AD76" i="3" a="1"/>
  <c r="AD76" i="3" s="1"/>
  <c r="AB76" i="3" a="1"/>
  <c r="AB76" i="3" s="1"/>
  <c r="Z76" i="3" a="1"/>
  <c r="Z76" i="3" s="1"/>
  <c r="X76" i="3" a="1"/>
  <c r="X76" i="3" s="1"/>
  <c r="V76" i="3"/>
  <c r="V76" i="3" a="1"/>
  <c r="T76" i="3" a="1"/>
  <c r="T76" i="3" s="1"/>
  <c r="R76" i="3" a="1"/>
  <c r="R76" i="3" s="1"/>
  <c r="P76" i="3" a="1"/>
  <c r="P76" i="3" s="1"/>
  <c r="N76" i="3" a="1"/>
  <c r="N76" i="3" s="1"/>
  <c r="L76" i="3" a="1"/>
  <c r="L76" i="3" s="1"/>
  <c r="J76" i="3" a="1"/>
  <c r="J76" i="3" s="1"/>
  <c r="H76" i="3" a="1"/>
  <c r="H76" i="3" s="1"/>
  <c r="F76" i="3" a="1"/>
  <c r="F76" i="3" s="1"/>
  <c r="D76" i="3" a="1"/>
  <c r="D76" i="3" s="1"/>
  <c r="B76" i="3" a="1"/>
  <c r="B76" i="3" s="1"/>
  <c r="AV75" i="3" a="1"/>
  <c r="AV75" i="3" s="1"/>
  <c r="AT75" i="3" a="1"/>
  <c r="AT75" i="3" s="1"/>
  <c r="AR75" i="3" a="1"/>
  <c r="AR75" i="3" s="1"/>
  <c r="AP75" i="3" a="1"/>
  <c r="AP75" i="3" s="1"/>
  <c r="AN75" i="3" a="1"/>
  <c r="AN75" i="3" s="1"/>
  <c r="AL75" i="3"/>
  <c r="AL75" i="3" a="1"/>
  <c r="AJ75" i="3" a="1"/>
  <c r="AJ75" i="3" s="1"/>
  <c r="AH75" i="3" a="1"/>
  <c r="AH75" i="3" s="1"/>
  <c r="AF75" i="3" a="1"/>
  <c r="AF75" i="3" s="1"/>
  <c r="AD75" i="3" a="1"/>
  <c r="AD75" i="3" s="1"/>
  <c r="AB75" i="3" a="1"/>
  <c r="AB75" i="3" s="1"/>
  <c r="Z75" i="3" a="1"/>
  <c r="Z75" i="3" s="1"/>
  <c r="X75" i="3" a="1"/>
  <c r="X75" i="3" s="1"/>
  <c r="V75" i="3" a="1"/>
  <c r="V75" i="3" s="1"/>
  <c r="T75" i="3" a="1"/>
  <c r="T75" i="3" s="1"/>
  <c r="R75" i="3" a="1"/>
  <c r="R75" i="3" s="1"/>
  <c r="P75" i="3" a="1"/>
  <c r="P75" i="3" s="1"/>
  <c r="N75" i="3" a="1"/>
  <c r="N75" i="3" s="1"/>
  <c r="L75" i="3" a="1"/>
  <c r="L75" i="3" s="1"/>
  <c r="J75" i="3" a="1"/>
  <c r="J75" i="3" s="1"/>
  <c r="H75" i="3" a="1"/>
  <c r="H75" i="3" s="1"/>
  <c r="F75" i="3" a="1"/>
  <c r="F75" i="3" s="1"/>
  <c r="D75" i="3" a="1"/>
  <c r="D75" i="3" s="1"/>
  <c r="B75" i="3" a="1"/>
  <c r="B75" i="3" s="1"/>
  <c r="AV74" i="3" a="1"/>
  <c r="AV74" i="3" s="1"/>
  <c r="AT74" i="3" a="1"/>
  <c r="AT74" i="3" s="1"/>
  <c r="AR74" i="3" a="1"/>
  <c r="AR74" i="3" s="1"/>
  <c r="AP74" i="3" a="1"/>
  <c r="AP74" i="3" s="1"/>
  <c r="AN74" i="3" a="1"/>
  <c r="AN74" i="3" s="1"/>
  <c r="AL74" i="3" a="1"/>
  <c r="AL74" i="3" s="1"/>
  <c r="AJ74" i="3" a="1"/>
  <c r="AJ74" i="3" s="1"/>
  <c r="AH74" i="3" a="1"/>
  <c r="AH74" i="3" s="1"/>
  <c r="AF74" i="3" a="1"/>
  <c r="AF74" i="3" s="1"/>
  <c r="AD74" i="3" a="1"/>
  <c r="AD74" i="3" s="1"/>
  <c r="AB74" i="3" a="1"/>
  <c r="AB74" i="3" s="1"/>
  <c r="Z74" i="3" a="1"/>
  <c r="Z74" i="3" s="1"/>
  <c r="X74" i="3" a="1"/>
  <c r="X74" i="3" s="1"/>
  <c r="V74" i="3" a="1"/>
  <c r="V74" i="3" s="1"/>
  <c r="T74" i="3" a="1"/>
  <c r="T74" i="3" s="1"/>
  <c r="R74" i="3" a="1"/>
  <c r="R74" i="3" s="1"/>
  <c r="P74" i="3" a="1"/>
  <c r="P74" i="3" s="1"/>
  <c r="N74" i="3" a="1"/>
  <c r="N74" i="3" s="1"/>
  <c r="L74" i="3" a="1"/>
  <c r="L74" i="3" s="1"/>
  <c r="J74" i="3" a="1"/>
  <c r="J74" i="3" s="1"/>
  <c r="H74" i="3" a="1"/>
  <c r="H74" i="3" s="1"/>
  <c r="F74" i="3" a="1"/>
  <c r="F74" i="3" s="1"/>
  <c r="D74" i="3" a="1"/>
  <c r="D74" i="3" s="1"/>
  <c r="B74" i="3" a="1"/>
  <c r="B74" i="3" s="1"/>
  <c r="AV73" i="3" a="1"/>
  <c r="AV73" i="3" s="1"/>
  <c r="AT73" i="3" a="1"/>
  <c r="AT73" i="3" s="1"/>
  <c r="AR73" i="3" a="1"/>
  <c r="AR73" i="3" s="1"/>
  <c r="AP73" i="3" a="1"/>
  <c r="AP73" i="3" s="1"/>
  <c r="AN73" i="3" a="1"/>
  <c r="AN73" i="3" s="1"/>
  <c r="AL73" i="3"/>
  <c r="AL73" i="3" a="1"/>
  <c r="AJ73" i="3" a="1"/>
  <c r="AJ73" i="3" s="1"/>
  <c r="AH73" i="3" a="1"/>
  <c r="AH73" i="3" s="1"/>
  <c r="AF73" i="3" a="1"/>
  <c r="AF73" i="3" s="1"/>
  <c r="AD73" i="3" a="1"/>
  <c r="AD73" i="3" s="1"/>
  <c r="AB73" i="3" a="1"/>
  <c r="AB73" i="3" s="1"/>
  <c r="Z73" i="3" a="1"/>
  <c r="Z73" i="3" s="1"/>
  <c r="X73" i="3" a="1"/>
  <c r="X73" i="3" s="1"/>
  <c r="V73" i="3" a="1"/>
  <c r="V73" i="3" s="1"/>
  <c r="T73" i="3" a="1"/>
  <c r="T73" i="3" s="1"/>
  <c r="R73" i="3" a="1"/>
  <c r="R73" i="3" s="1"/>
  <c r="P73" i="3" a="1"/>
  <c r="P73" i="3" s="1"/>
  <c r="N73" i="3" a="1"/>
  <c r="N73" i="3" s="1"/>
  <c r="L73" i="3" a="1"/>
  <c r="L73" i="3" s="1"/>
  <c r="J73" i="3" a="1"/>
  <c r="J73" i="3" s="1"/>
  <c r="H73" i="3" a="1"/>
  <c r="H73" i="3" s="1"/>
  <c r="F73" i="3"/>
  <c r="F73" i="3" a="1"/>
  <c r="D73" i="3" a="1"/>
  <c r="D73" i="3" s="1"/>
  <c r="B73" i="3" a="1"/>
  <c r="B73" i="3" s="1"/>
  <c r="AV72" i="3"/>
  <c r="AT72" i="3"/>
  <c r="AR72" i="3"/>
  <c r="AP72" i="3"/>
  <c r="AN72" i="3"/>
  <c r="AL72" i="3"/>
  <c r="AJ72" i="3"/>
  <c r="AH72" i="3"/>
  <c r="AF72" i="3"/>
  <c r="AD72" i="3"/>
  <c r="AB72" i="3"/>
  <c r="Z72" i="3"/>
  <c r="X72" i="3"/>
  <c r="V72" i="3"/>
  <c r="T72" i="3"/>
  <c r="R72" i="3"/>
  <c r="P72" i="3"/>
  <c r="N72" i="3"/>
  <c r="L72" i="3"/>
  <c r="J72" i="3"/>
  <c r="H72" i="3"/>
  <c r="F72" i="3"/>
  <c r="D72" i="3"/>
  <c r="B72" i="3"/>
  <c r="AV71" i="3"/>
  <c r="AT71" i="3"/>
  <c r="AR71" i="3"/>
  <c r="AP71" i="3"/>
  <c r="AN71" i="3"/>
  <c r="AL71" i="3"/>
  <c r="AJ71" i="3"/>
  <c r="AH71" i="3"/>
  <c r="AF71" i="3"/>
  <c r="AD71" i="3"/>
  <c r="AB71" i="3"/>
  <c r="Z71" i="3"/>
  <c r="X71" i="3"/>
  <c r="V71" i="3"/>
  <c r="T71" i="3"/>
  <c r="R71" i="3"/>
  <c r="P71" i="3"/>
  <c r="N71" i="3"/>
  <c r="L71" i="3"/>
  <c r="J71" i="3"/>
  <c r="H71" i="3"/>
  <c r="F71" i="3"/>
  <c r="D71" i="3"/>
  <c r="B71" i="3"/>
  <c r="AV70" i="3"/>
  <c r="AT70" i="3"/>
  <c r="AR70" i="3"/>
  <c r="AP70" i="3"/>
  <c r="AN70" i="3"/>
  <c r="AL70" i="3"/>
  <c r="AJ70" i="3"/>
  <c r="AH70" i="3"/>
  <c r="AF70" i="3"/>
  <c r="AD70" i="3"/>
  <c r="AB70" i="3"/>
  <c r="Z70" i="3"/>
  <c r="X70" i="3"/>
  <c r="V70" i="3"/>
  <c r="T70" i="3"/>
  <c r="R70" i="3"/>
  <c r="P70" i="3"/>
  <c r="N70" i="3"/>
  <c r="L70" i="3"/>
  <c r="J70" i="3"/>
  <c r="H70" i="3"/>
  <c r="F70" i="3"/>
  <c r="D70" i="3"/>
  <c r="B70" i="3"/>
  <c r="AV67" i="3"/>
  <c r="AV67" i="3" a="1"/>
  <c r="AT67" i="3" a="1"/>
  <c r="AT67" i="3" s="1"/>
  <c r="AR67" i="3" a="1"/>
  <c r="AR67" i="3" s="1"/>
  <c r="AP67" i="3" a="1"/>
  <c r="AP67" i="3" s="1"/>
  <c r="AN67" i="3" a="1"/>
  <c r="AN67" i="3" s="1"/>
  <c r="AL67" i="3" a="1"/>
  <c r="AL67" i="3" s="1"/>
  <c r="AJ67" i="3" a="1"/>
  <c r="AJ67" i="3" s="1"/>
  <c r="AH67" i="3" a="1"/>
  <c r="AH67" i="3" s="1"/>
  <c r="AF67" i="3" a="1"/>
  <c r="AF67" i="3" s="1"/>
  <c r="AD67" i="3" a="1"/>
  <c r="AD67" i="3" s="1"/>
  <c r="AB67" i="3" a="1"/>
  <c r="AB67" i="3" s="1"/>
  <c r="Z67" i="3" a="1"/>
  <c r="Z67" i="3" s="1"/>
  <c r="X67" i="3"/>
  <c r="X67" i="3" a="1"/>
  <c r="V67" i="3" a="1"/>
  <c r="V67" i="3" s="1"/>
  <c r="T67" i="3" a="1"/>
  <c r="T67" i="3" s="1"/>
  <c r="R67" i="3" a="1"/>
  <c r="R67" i="3" s="1"/>
  <c r="P67" i="3" a="1"/>
  <c r="P67" i="3" s="1"/>
  <c r="N67" i="3" a="1"/>
  <c r="N67" i="3" s="1"/>
  <c r="L67" i="3" a="1"/>
  <c r="L67" i="3" s="1"/>
  <c r="J67" i="3" a="1"/>
  <c r="J67" i="3" s="1"/>
  <c r="H67" i="3" a="1"/>
  <c r="H67" i="3" s="1"/>
  <c r="F67" i="3" a="1"/>
  <c r="F67" i="3" s="1"/>
  <c r="D67" i="3" a="1"/>
  <c r="D67" i="3" s="1"/>
  <c r="B67" i="3" a="1"/>
  <c r="B67" i="3" s="1"/>
  <c r="AV66" i="3" a="1"/>
  <c r="AV66" i="3" s="1"/>
  <c r="AT66" i="3"/>
  <c r="AT66" i="3" a="1"/>
  <c r="AR66" i="3" a="1"/>
  <c r="AR66" i="3" s="1"/>
  <c r="AP66" i="3" a="1"/>
  <c r="AP66" i="3" s="1"/>
  <c r="AN66" i="3" a="1"/>
  <c r="AN66" i="3" s="1"/>
  <c r="AL66" i="3" a="1"/>
  <c r="AL66" i="3" s="1"/>
  <c r="AJ66" i="3" a="1"/>
  <c r="AJ66" i="3" s="1"/>
  <c r="AH66" i="3" a="1"/>
  <c r="AH66" i="3" s="1"/>
  <c r="AF66" i="3" a="1"/>
  <c r="AF66" i="3" s="1"/>
  <c r="AD66" i="3" a="1"/>
  <c r="AD66" i="3" s="1"/>
  <c r="AB66" i="3" a="1"/>
  <c r="AB66" i="3" s="1"/>
  <c r="Z66" i="3" a="1"/>
  <c r="Z66" i="3" s="1"/>
  <c r="X66" i="3" a="1"/>
  <c r="X66" i="3" s="1"/>
  <c r="V66" i="3" a="1"/>
  <c r="V66" i="3" s="1"/>
  <c r="T66" i="3" a="1"/>
  <c r="T66" i="3" s="1"/>
  <c r="R66" i="3" a="1"/>
  <c r="R66" i="3" s="1"/>
  <c r="P66" i="3" a="1"/>
  <c r="P66" i="3" s="1"/>
  <c r="N66" i="3" a="1"/>
  <c r="N66" i="3" s="1"/>
  <c r="L66" i="3" a="1"/>
  <c r="L66" i="3" s="1"/>
  <c r="J66" i="3" a="1"/>
  <c r="J66" i="3" s="1"/>
  <c r="H66" i="3" a="1"/>
  <c r="H66" i="3" s="1"/>
  <c r="F66" i="3" a="1"/>
  <c r="F66" i="3" s="1"/>
  <c r="D66" i="3" a="1"/>
  <c r="D66" i="3" s="1"/>
  <c r="B66" i="3" a="1"/>
  <c r="B66" i="3" s="1"/>
  <c r="AV65" i="3" a="1"/>
  <c r="AV65" i="3" s="1"/>
  <c r="AV69" i="3" s="1"/>
  <c r="AT65" i="3" a="1"/>
  <c r="AT65" i="3" s="1"/>
  <c r="AT69" i="3" s="1"/>
  <c r="AR65" i="3" a="1"/>
  <c r="AR65" i="3" s="1"/>
  <c r="AR69" i="3" s="1"/>
  <c r="AP65" i="3" a="1"/>
  <c r="AP65" i="3" s="1"/>
  <c r="AP69" i="3" s="1"/>
  <c r="AN65" i="3" a="1"/>
  <c r="AN65" i="3" s="1"/>
  <c r="AN69" i="3" s="1"/>
  <c r="AL65" i="3" a="1"/>
  <c r="AL65" i="3" s="1"/>
  <c r="AL69" i="3" s="1"/>
  <c r="AJ65" i="3" a="1"/>
  <c r="AJ65" i="3" s="1"/>
  <c r="AJ69" i="3" s="1"/>
  <c r="AH65" i="3" a="1"/>
  <c r="AH65" i="3" s="1"/>
  <c r="AH69" i="3" s="1"/>
  <c r="AF65" i="3" a="1"/>
  <c r="AF65" i="3" s="1"/>
  <c r="AF69" i="3" s="1"/>
  <c r="AD65" i="3" a="1"/>
  <c r="AD65" i="3" s="1"/>
  <c r="AD69" i="3" s="1"/>
  <c r="AB65" i="3" a="1"/>
  <c r="AB65" i="3" s="1"/>
  <c r="AB69" i="3" s="1"/>
  <c r="Z65" i="3" a="1"/>
  <c r="Z65" i="3" s="1"/>
  <c r="Z69" i="3" s="1"/>
  <c r="X65" i="3" a="1"/>
  <c r="X65" i="3" s="1"/>
  <c r="X69" i="3" s="1"/>
  <c r="V65" i="3" a="1"/>
  <c r="V65" i="3" s="1"/>
  <c r="V69" i="3" s="1"/>
  <c r="T65" i="3" a="1"/>
  <c r="T65" i="3" s="1"/>
  <c r="T69" i="3" s="1"/>
  <c r="R65" i="3" a="1"/>
  <c r="R65" i="3" s="1"/>
  <c r="R69" i="3" s="1"/>
  <c r="P65" i="3" a="1"/>
  <c r="P65" i="3" s="1"/>
  <c r="P69" i="3" s="1"/>
  <c r="N65" i="3" a="1"/>
  <c r="N65" i="3" s="1"/>
  <c r="N69" i="3" s="1"/>
  <c r="L65" i="3" a="1"/>
  <c r="L65" i="3" s="1"/>
  <c r="L69" i="3" s="1"/>
  <c r="J65" i="3" a="1"/>
  <c r="J65" i="3" s="1"/>
  <c r="J69" i="3" s="1"/>
  <c r="H65" i="3" a="1"/>
  <c r="H65" i="3" s="1"/>
  <c r="H69" i="3" s="1"/>
  <c r="F65" i="3" a="1"/>
  <c r="F65" i="3" s="1"/>
  <c r="F69" i="3" s="1"/>
  <c r="D65" i="3" a="1"/>
  <c r="D65" i="3" s="1"/>
  <c r="D69" i="3" s="1"/>
  <c r="B65" i="3"/>
  <c r="B69" i="3" s="1"/>
  <c r="X68" i="3" l="1"/>
  <c r="Z68" i="3"/>
  <c r="V68" i="3"/>
  <c r="AF68" i="3"/>
  <c r="AT68" i="3"/>
  <c r="B68" i="3"/>
  <c r="AH68" i="3"/>
  <c r="AJ68" i="3"/>
  <c r="AP68" i="3"/>
  <c r="AV68" i="3"/>
  <c r="R68" i="3"/>
  <c r="N68" i="3"/>
  <c r="L68" i="3"/>
  <c r="AD68" i="3"/>
  <c r="T68" i="3"/>
  <c r="P68" i="3"/>
  <c r="F68" i="3"/>
  <c r="AL68" i="3"/>
  <c r="H68" i="3"/>
  <c r="D68" i="3"/>
  <c r="J68" i="3"/>
  <c r="AR68" i="3"/>
  <c r="AB68" i="3"/>
  <c r="AN68" i="3"/>
  <c r="AV62" i="3" l="1"/>
  <c r="AT62" i="3"/>
  <c r="AR62" i="3"/>
  <c r="AP62" i="3"/>
  <c r="AN62" i="3"/>
  <c r="AL62" i="3"/>
  <c r="AJ62" i="3"/>
  <c r="AH62" i="3"/>
  <c r="AF62" i="3"/>
  <c r="AD62" i="3"/>
  <c r="AB62" i="3"/>
  <c r="Z62" i="3"/>
  <c r="X62" i="3"/>
  <c r="V62" i="3"/>
  <c r="T62" i="3"/>
  <c r="R62" i="3"/>
  <c r="P62" i="3"/>
  <c r="N62" i="3"/>
  <c r="L62" i="3"/>
  <c r="J62" i="3"/>
  <c r="H62" i="3"/>
  <c r="F62" i="3"/>
  <c r="D62" i="3"/>
  <c r="B62" i="3"/>
  <c r="AV59" i="3" l="1"/>
  <c r="AT59" i="3"/>
  <c r="AR59" i="3"/>
  <c r="AP59" i="3"/>
  <c r="AN59" i="3"/>
  <c r="AL59" i="3"/>
  <c r="AJ59" i="3"/>
  <c r="AH59" i="3"/>
  <c r="AF59" i="3"/>
  <c r="AD59" i="3"/>
  <c r="AB59" i="3"/>
  <c r="Z59" i="3"/>
  <c r="X59" i="3"/>
  <c r="V59" i="3"/>
  <c r="T59" i="3"/>
  <c r="R59" i="3"/>
  <c r="P59" i="3"/>
  <c r="N59" i="3"/>
  <c r="L59" i="3"/>
  <c r="J59" i="3"/>
  <c r="H59" i="3"/>
  <c r="F59" i="3"/>
  <c r="D59" i="3"/>
  <c r="B59" i="3"/>
  <c r="B43" i="3" l="1"/>
  <c r="AV55" i="3"/>
  <c r="AV80" i="3" s="1"/>
  <c r="AT55" i="3"/>
  <c r="AT80" i="3" s="1"/>
  <c r="AR55" i="3"/>
  <c r="AR80" i="3" s="1"/>
  <c r="AP55" i="3"/>
  <c r="AP80" i="3" s="1"/>
  <c r="AN55" i="3"/>
  <c r="AN80" i="3" s="1"/>
  <c r="AL55" i="3"/>
  <c r="AL80" i="3" s="1"/>
  <c r="AJ55" i="3"/>
  <c r="AJ80" i="3" s="1"/>
  <c r="AH55" i="3"/>
  <c r="AH80" i="3" s="1"/>
  <c r="AF55" i="3"/>
  <c r="AF80" i="3" s="1"/>
  <c r="AD55" i="3"/>
  <c r="AD80" i="3" s="1"/>
  <c r="AB55" i="3"/>
  <c r="AB80" i="3" s="1"/>
  <c r="Z55" i="3"/>
  <c r="Z80" i="3" s="1"/>
  <c r="X55" i="3"/>
  <c r="X80" i="3" s="1"/>
  <c r="V55" i="3"/>
  <c r="V80" i="3" s="1"/>
  <c r="T55" i="3"/>
  <c r="T80" i="3" s="1"/>
  <c r="R55" i="3"/>
  <c r="R80" i="3" s="1"/>
  <c r="P55" i="3"/>
  <c r="P80" i="3" s="1"/>
  <c r="N55" i="3"/>
  <c r="N80" i="3" s="1"/>
  <c r="L55" i="3"/>
  <c r="L80" i="3" s="1"/>
  <c r="J55" i="3"/>
  <c r="J80" i="3" s="1"/>
  <c r="H55" i="3"/>
  <c r="H80" i="3" s="1"/>
  <c r="F55" i="3"/>
  <c r="F80" i="3" s="1"/>
  <c r="D55" i="3"/>
  <c r="D80" i="3" s="1"/>
  <c r="B55" i="3"/>
  <c r="B80" i="3" s="1"/>
  <c r="AV52" i="3" a="1"/>
  <c r="AT52" i="3" a="1"/>
  <c r="AR52" i="3" a="1"/>
  <c r="AP52" i="3" a="1"/>
  <c r="AN52" i="3" a="1"/>
  <c r="AL52" i="3" a="1"/>
  <c r="AJ52" i="3" a="1"/>
  <c r="AH52" i="3" a="1"/>
  <c r="AF52" i="3" a="1"/>
  <c r="AD52" i="3" a="1"/>
  <c r="AB52" i="3" a="1"/>
  <c r="Z52" i="3" a="1"/>
  <c r="X52" i="3" a="1"/>
  <c r="V52" i="3" a="1"/>
  <c r="T52" i="3" a="1"/>
  <c r="R52" i="3" a="1"/>
  <c r="P52" i="3" a="1"/>
  <c r="N52" i="3" a="1"/>
  <c r="L52" i="3" a="1"/>
  <c r="J52" i="3" a="1"/>
  <c r="H52" i="3" a="1"/>
  <c r="F52" i="3" a="1"/>
  <c r="D52" i="3" a="1"/>
  <c r="B52" i="3" a="1"/>
  <c r="AV51" i="3"/>
  <c r="AV81" i="3" s="1"/>
  <c r="AT51" i="3"/>
  <c r="AT81" i="3" s="1"/>
  <c r="AR51" i="3"/>
  <c r="AR81" i="3" s="1"/>
  <c r="AP51" i="3"/>
  <c r="AP81" i="3" s="1"/>
  <c r="AN51" i="3"/>
  <c r="AN81" i="3" s="1"/>
  <c r="AL51" i="3"/>
  <c r="AL81" i="3" s="1"/>
  <c r="AJ51" i="3"/>
  <c r="AJ81" i="3" s="1"/>
  <c r="AH51" i="3"/>
  <c r="AH81" i="3" s="1"/>
  <c r="AF51" i="3"/>
  <c r="AF81" i="3" s="1"/>
  <c r="AD51" i="3"/>
  <c r="AD81" i="3" s="1"/>
  <c r="AB51" i="3"/>
  <c r="AB81" i="3" s="1"/>
  <c r="Z51" i="3"/>
  <c r="Z81" i="3" s="1"/>
  <c r="X51" i="3"/>
  <c r="X81" i="3" s="1"/>
  <c r="V51" i="3"/>
  <c r="V81" i="3" s="1"/>
  <c r="T51" i="3"/>
  <c r="T81" i="3" s="1"/>
  <c r="R51" i="3"/>
  <c r="R81" i="3" s="1"/>
  <c r="P51" i="3"/>
  <c r="P81" i="3" s="1"/>
  <c r="N51" i="3"/>
  <c r="N81" i="3" s="1"/>
  <c r="L51" i="3"/>
  <c r="L81" i="3" s="1"/>
  <c r="J51" i="3"/>
  <c r="J81" i="3" s="1"/>
  <c r="H51" i="3"/>
  <c r="H81" i="3" s="1"/>
  <c r="F51" i="3"/>
  <c r="F81" i="3" s="1"/>
  <c r="D51" i="3"/>
  <c r="D81" i="3" s="1"/>
  <c r="B44" i="3"/>
  <c r="Y56" i="23" l="1"/>
  <c r="Y70" i="23" s="1"/>
  <c r="X56" i="23"/>
  <c r="X70" i="23" s="1"/>
  <c r="W56" i="23"/>
  <c r="W70" i="23" s="1"/>
  <c r="V56" i="23"/>
  <c r="V70" i="23" s="1"/>
  <c r="U56" i="23"/>
  <c r="U70" i="23" s="1"/>
  <c r="T56" i="23"/>
  <c r="T70" i="23" s="1"/>
  <c r="S56" i="23"/>
  <c r="S70" i="23" s="1"/>
  <c r="R56" i="23"/>
  <c r="R70" i="23" s="1"/>
  <c r="Q56" i="23"/>
  <c r="Q70" i="23" s="1"/>
  <c r="P56" i="23"/>
  <c r="P70" i="23" s="1"/>
  <c r="O56" i="23"/>
  <c r="O70" i="23" s="1"/>
  <c r="N56" i="23"/>
  <c r="N70" i="23" s="1"/>
  <c r="M56" i="23"/>
  <c r="M70" i="23" s="1"/>
  <c r="L56" i="23"/>
  <c r="L70" i="23" s="1"/>
  <c r="K56" i="23"/>
  <c r="J56" i="23"/>
  <c r="I56" i="23"/>
  <c r="H56" i="23"/>
  <c r="G56" i="23"/>
  <c r="F56" i="23"/>
  <c r="E56" i="23"/>
  <c r="D56" i="23"/>
  <c r="C56" i="23"/>
  <c r="B56" i="23"/>
  <c r="X69" i="23"/>
  <c r="B55" i="23"/>
  <c r="Y54" i="23"/>
  <c r="X54" i="23"/>
  <c r="W54" i="23"/>
  <c r="V54" i="23"/>
  <c r="U54" i="23"/>
  <c r="T54" i="23"/>
  <c r="S54" i="23"/>
  <c r="R54" i="23"/>
  <c r="Q54" i="23"/>
  <c r="P54" i="23"/>
  <c r="O54" i="23"/>
  <c r="N54" i="23"/>
  <c r="M54" i="23"/>
  <c r="L54" i="23"/>
  <c r="K54" i="23"/>
  <c r="J54" i="23"/>
  <c r="I54" i="23"/>
  <c r="H54" i="23"/>
  <c r="G54" i="23"/>
  <c r="F54" i="23"/>
  <c r="E54" i="23"/>
  <c r="D54" i="23"/>
  <c r="C54" i="23"/>
  <c r="B54" i="23"/>
  <c r="Y53" i="23"/>
  <c r="X53" i="23"/>
  <c r="W53" i="23"/>
  <c r="V53" i="23"/>
  <c r="U53" i="23"/>
  <c r="T53" i="23"/>
  <c r="S53" i="23"/>
  <c r="R53" i="23"/>
  <c r="Q53" i="23"/>
  <c r="P53" i="23"/>
  <c r="O53" i="23"/>
  <c r="N53" i="23"/>
  <c r="M53" i="23"/>
  <c r="L53" i="23"/>
  <c r="K53" i="23"/>
  <c r="J53" i="23"/>
  <c r="I53" i="23"/>
  <c r="H53" i="23"/>
  <c r="G53" i="23"/>
  <c r="F53" i="23"/>
  <c r="E53" i="23"/>
  <c r="D53" i="23"/>
  <c r="C53" i="23"/>
  <c r="B53" i="23"/>
  <c r="S52" i="23"/>
  <c r="R52" i="23"/>
  <c r="R66" i="23" s="1"/>
  <c r="Q52" i="23"/>
  <c r="P52" i="23"/>
  <c r="O52" i="23"/>
  <c r="N52" i="23"/>
  <c r="M52" i="23"/>
  <c r="L52" i="23"/>
  <c r="K52" i="23"/>
  <c r="J52" i="23"/>
  <c r="I52" i="23"/>
  <c r="H52" i="23"/>
  <c r="G52" i="23"/>
  <c r="F52" i="23"/>
  <c r="E52" i="23"/>
  <c r="D52" i="23"/>
  <c r="C52" i="23"/>
  <c r="B52" i="23"/>
  <c r="B51" i="23"/>
  <c r="Y49" i="23"/>
  <c r="Y63" i="23" s="1"/>
  <c r="X49" i="23"/>
  <c r="X63" i="23" s="1"/>
  <c r="W49" i="23"/>
  <c r="V49" i="23"/>
  <c r="U49" i="23"/>
  <c r="T49" i="23"/>
  <c r="S49" i="23"/>
  <c r="R49" i="23"/>
  <c r="Q49" i="23"/>
  <c r="P49" i="23"/>
  <c r="O49" i="23"/>
  <c r="N49" i="23"/>
  <c r="M49" i="23"/>
  <c r="L49" i="23"/>
  <c r="K49" i="23"/>
  <c r="J49" i="23"/>
  <c r="I49" i="23"/>
  <c r="H49" i="23"/>
  <c r="G49" i="23"/>
  <c r="F49" i="23"/>
  <c r="E49" i="23"/>
  <c r="D49" i="23"/>
  <c r="C49" i="23"/>
  <c r="B49" i="23"/>
  <c r="Y81" i="23" l="1"/>
  <c r="X81" i="23"/>
  <c r="W81" i="23"/>
  <c r="V81" i="23"/>
  <c r="U81" i="23"/>
  <c r="T81" i="23"/>
  <c r="S81" i="23"/>
  <c r="R81" i="23"/>
  <c r="Q81" i="23"/>
  <c r="P81" i="23"/>
  <c r="O81" i="23"/>
  <c r="N81" i="23"/>
  <c r="M81" i="23"/>
  <c r="L81" i="23"/>
  <c r="K81" i="23"/>
  <c r="J81" i="23"/>
  <c r="I81" i="23"/>
  <c r="H81" i="23"/>
  <c r="G81" i="23"/>
  <c r="F81" i="23"/>
  <c r="E81" i="23"/>
  <c r="D81" i="23"/>
  <c r="C81" i="23"/>
  <c r="B81" i="23"/>
  <c r="Y80" i="23"/>
  <c r="X80" i="23"/>
  <c r="W80" i="23"/>
  <c r="V80" i="23"/>
  <c r="U80" i="23"/>
  <c r="T80" i="23"/>
  <c r="S80" i="23"/>
  <c r="R80" i="23"/>
  <c r="Q80" i="23"/>
  <c r="P80" i="23"/>
  <c r="O80" i="23"/>
  <c r="N80" i="23"/>
  <c r="M80" i="23"/>
  <c r="L80" i="23"/>
  <c r="K80" i="23"/>
  <c r="J80" i="23"/>
  <c r="I80" i="23"/>
  <c r="H80" i="23"/>
  <c r="G80" i="23"/>
  <c r="F80" i="23"/>
  <c r="E80" i="23"/>
  <c r="D80" i="23"/>
  <c r="C80" i="23"/>
  <c r="B80" i="23"/>
  <c r="Y79" i="23"/>
  <c r="X79" i="23"/>
  <c r="W79" i="23"/>
  <c r="V79" i="23"/>
  <c r="U79" i="23"/>
  <c r="T79" i="23"/>
  <c r="S79" i="23"/>
  <c r="R79" i="23"/>
  <c r="Q79" i="23"/>
  <c r="P79" i="23"/>
  <c r="O79" i="23"/>
  <c r="N79" i="23"/>
  <c r="M79" i="23"/>
  <c r="L79" i="23"/>
  <c r="K79" i="23"/>
  <c r="J79" i="23"/>
  <c r="I79" i="23"/>
  <c r="H79" i="23"/>
  <c r="G79" i="23"/>
  <c r="F79" i="23"/>
  <c r="E79" i="23"/>
  <c r="D79" i="23"/>
  <c r="C79" i="23"/>
  <c r="B79" i="23"/>
  <c r="Y78" i="23"/>
  <c r="X78" i="23"/>
  <c r="W78" i="23"/>
  <c r="V78" i="23"/>
  <c r="U78" i="23"/>
  <c r="T78" i="23"/>
  <c r="S78" i="23"/>
  <c r="R78" i="23"/>
  <c r="Q78" i="23"/>
  <c r="P78" i="23"/>
  <c r="O78" i="23"/>
  <c r="N78" i="23"/>
  <c r="M78" i="23"/>
  <c r="L78" i="23"/>
  <c r="K78" i="23"/>
  <c r="J78" i="23"/>
  <c r="I78" i="23"/>
  <c r="H78" i="23"/>
  <c r="G78" i="23"/>
  <c r="F78" i="23"/>
  <c r="E78" i="23"/>
  <c r="D78" i="23"/>
  <c r="C78" i="23"/>
  <c r="B78" i="23"/>
  <c r="Y77" i="23"/>
  <c r="X77" i="23"/>
  <c r="W77" i="23"/>
  <c r="V77" i="23"/>
  <c r="U77" i="23"/>
  <c r="T77" i="23"/>
  <c r="S77" i="23"/>
  <c r="R77" i="23"/>
  <c r="Q77" i="23"/>
  <c r="P77" i="23"/>
  <c r="O77" i="23"/>
  <c r="N77" i="23"/>
  <c r="M77" i="23"/>
  <c r="L77" i="23"/>
  <c r="K77" i="23"/>
  <c r="J77" i="23"/>
  <c r="I77" i="23"/>
  <c r="H77" i="23"/>
  <c r="G77" i="23"/>
  <c r="F77" i="23"/>
  <c r="E77" i="23"/>
  <c r="D77" i="23"/>
  <c r="C77" i="23"/>
  <c r="B77" i="23"/>
  <c r="Y76" i="23"/>
  <c r="X76" i="23"/>
  <c r="W76" i="23"/>
  <c r="V76" i="23"/>
  <c r="U76" i="23"/>
  <c r="T76" i="23"/>
  <c r="S76" i="23"/>
  <c r="R76" i="23"/>
  <c r="Q76" i="23"/>
  <c r="P76" i="23"/>
  <c r="O76" i="23"/>
  <c r="N76" i="23"/>
  <c r="M76" i="23"/>
  <c r="L76" i="23"/>
  <c r="K76" i="23"/>
  <c r="J76" i="23"/>
  <c r="I76" i="23"/>
  <c r="H76" i="23"/>
  <c r="G76" i="23"/>
  <c r="F76" i="23"/>
  <c r="E76" i="23"/>
  <c r="D76" i="23"/>
  <c r="C76" i="23"/>
  <c r="B76" i="23"/>
  <c r="Y75" i="23"/>
  <c r="X75" i="23"/>
  <c r="W75" i="23"/>
  <c r="V75" i="23"/>
  <c r="U75" i="23"/>
  <c r="T75" i="23"/>
  <c r="S75" i="23"/>
  <c r="R75" i="23"/>
  <c r="Q75" i="23"/>
  <c r="P75" i="23"/>
  <c r="O75" i="23"/>
  <c r="N75" i="23"/>
  <c r="M75" i="23"/>
  <c r="L75" i="23"/>
  <c r="K75" i="23"/>
  <c r="J75" i="23"/>
  <c r="I75" i="23"/>
  <c r="H75" i="23"/>
  <c r="G75" i="23"/>
  <c r="F75" i="23"/>
  <c r="E75" i="23"/>
  <c r="D75" i="23"/>
  <c r="C75" i="23"/>
  <c r="B75" i="23"/>
  <c r="Y74" i="23"/>
  <c r="X74" i="23"/>
  <c r="W74" i="23"/>
  <c r="V74" i="23"/>
  <c r="U74" i="23"/>
  <c r="T74" i="23"/>
  <c r="S74" i="23"/>
  <c r="R74" i="23"/>
  <c r="Q74" i="23"/>
  <c r="P74" i="23"/>
  <c r="O74" i="23"/>
  <c r="N74" i="23"/>
  <c r="M74" i="23"/>
  <c r="L74" i="23"/>
  <c r="K74" i="23"/>
  <c r="J74" i="23"/>
  <c r="I74" i="23"/>
  <c r="H74" i="23"/>
  <c r="G74" i="23"/>
  <c r="F74" i="23"/>
  <c r="E74" i="23"/>
  <c r="D74" i="23"/>
  <c r="C74" i="23"/>
  <c r="B74" i="23"/>
  <c r="AT52" i="3" l="1"/>
  <c r="AT82" i="3" s="1"/>
  <c r="AB52" i="3"/>
  <c r="AB82" i="3" s="1"/>
  <c r="J52" i="3"/>
  <c r="J82" i="3" s="1"/>
  <c r="L52" i="3"/>
  <c r="L82" i="3" s="1"/>
  <c r="B52" i="3"/>
  <c r="B82" i="3" s="1"/>
  <c r="AJ52" i="3"/>
  <c r="AJ82" i="3" s="1"/>
  <c r="R52" i="3"/>
  <c r="R82" i="3" s="1"/>
  <c r="AD52" i="3"/>
  <c r="AD82" i="3" s="1"/>
  <c r="T52" i="3"/>
  <c r="T82" i="3" s="1"/>
  <c r="AR52" i="3"/>
  <c r="AR82" i="3" s="1"/>
  <c r="Z52" i="3"/>
  <c r="Z82" i="3" s="1"/>
  <c r="AH52" i="3"/>
  <c r="AH82" i="3" s="1"/>
  <c r="F52" i="3"/>
  <c r="F82" i="3" s="1"/>
  <c r="AL52" i="3"/>
  <c r="AL82" i="3" s="1"/>
  <c r="AP52" i="3"/>
  <c r="AP82" i="3" s="1"/>
  <c r="N52" i="3"/>
  <c r="N82" i="3" s="1"/>
  <c r="V52" i="3"/>
  <c r="V82" i="3" s="1"/>
  <c r="D52" i="3"/>
  <c r="D82" i="3" s="1"/>
  <c r="X52" i="3"/>
  <c r="X82" i="3" s="1"/>
  <c r="AN52" i="3"/>
  <c r="AN82" i="3" s="1"/>
  <c r="H52" i="3"/>
  <c r="H82" i="3" s="1"/>
  <c r="AF52" i="3"/>
  <c r="AF82" i="3" s="1"/>
  <c r="AV52" i="3"/>
  <c r="AV82" i="3" s="1"/>
  <c r="P52" i="3"/>
  <c r="P82" i="3" s="1"/>
  <c r="AV46" i="3"/>
  <c r="AV45" i="3"/>
  <c r="AV44" i="3"/>
  <c r="AV43" i="3" a="1"/>
  <c r="AV43" i="3" s="1"/>
  <c r="AV42" i="3"/>
  <c r="AT42" i="3"/>
  <c r="AR42" i="3"/>
  <c r="AP42" i="3"/>
  <c r="AN42" i="3"/>
  <c r="AL42" i="3"/>
  <c r="AJ42" i="3"/>
  <c r="AH42" i="3"/>
  <c r="AF42" i="3"/>
  <c r="AD42" i="3"/>
  <c r="AB42" i="3"/>
  <c r="Z42" i="3"/>
  <c r="X42" i="3"/>
  <c r="V42" i="3"/>
  <c r="T42" i="3"/>
  <c r="R42" i="3"/>
  <c r="P42" i="3"/>
  <c r="N42" i="3"/>
  <c r="L42" i="3"/>
  <c r="J42" i="3"/>
  <c r="H42" i="3"/>
  <c r="F42" i="3"/>
  <c r="D42" i="3"/>
  <c r="B42" i="3"/>
  <c r="AV49" i="3" l="1"/>
  <c r="AT49" i="3"/>
  <c r="AR49" i="3"/>
  <c r="AP49" i="3"/>
  <c r="AN49" i="3"/>
  <c r="AL49" i="3"/>
  <c r="AJ49" i="3"/>
  <c r="AH49" i="3"/>
  <c r="AF49" i="3"/>
  <c r="AD49" i="3"/>
  <c r="AB49" i="3"/>
  <c r="Z49" i="3"/>
  <c r="X49" i="3"/>
  <c r="V49" i="3"/>
  <c r="T49" i="3"/>
  <c r="R49" i="3"/>
  <c r="P49" i="3"/>
  <c r="N49" i="3"/>
  <c r="L49" i="3"/>
  <c r="J49" i="3"/>
  <c r="H49" i="3"/>
  <c r="F49" i="3"/>
  <c r="D49" i="3"/>
  <c r="B49" i="3"/>
  <c r="AV48" i="3"/>
  <c r="AT48" i="3"/>
  <c r="AR48" i="3"/>
  <c r="AP48" i="3"/>
  <c r="AN48" i="3"/>
  <c r="AL48" i="3"/>
  <c r="AJ48" i="3"/>
  <c r="AH48" i="3"/>
  <c r="AF48" i="3"/>
  <c r="AD48" i="3"/>
  <c r="AB48" i="3"/>
  <c r="Z48" i="3"/>
  <c r="X48" i="3"/>
  <c r="V48" i="3"/>
  <c r="T48" i="3"/>
  <c r="R48" i="3"/>
  <c r="P48" i="3"/>
  <c r="N48" i="3"/>
  <c r="L48" i="3"/>
  <c r="J48" i="3"/>
  <c r="H48" i="3"/>
  <c r="F48" i="3"/>
  <c r="D48" i="3"/>
  <c r="B48" i="3"/>
  <c r="AV45" i="36" l="1"/>
  <c r="AT45" i="36"/>
  <c r="AR45" i="36"/>
  <c r="AP45" i="36"/>
  <c r="AN45" i="36"/>
  <c r="AL45" i="36"/>
  <c r="AJ45" i="36"/>
  <c r="AH45" i="36"/>
  <c r="AF45" i="36"/>
  <c r="AD45" i="36"/>
  <c r="AB45" i="36"/>
  <c r="Z45" i="36"/>
  <c r="X45" i="36"/>
  <c r="V45" i="36"/>
  <c r="T45" i="36"/>
  <c r="R45" i="36"/>
  <c r="P45" i="36"/>
  <c r="N45" i="36"/>
  <c r="L45" i="36"/>
  <c r="J45" i="36"/>
  <c r="H45" i="36"/>
  <c r="F45" i="36"/>
  <c r="D45" i="36"/>
  <c r="B45" i="36"/>
  <c r="AT44" i="36"/>
  <c r="AR44" i="36"/>
  <c r="AP44" i="36"/>
  <c r="AN44" i="36"/>
  <c r="AL44" i="36"/>
  <c r="AJ44" i="36"/>
  <c r="AH44" i="36"/>
  <c r="AF44" i="36"/>
  <c r="AD44" i="36"/>
  <c r="AB44" i="36"/>
  <c r="Z44" i="36"/>
  <c r="X44" i="36"/>
  <c r="V44" i="36"/>
  <c r="T44" i="36"/>
  <c r="R44" i="36"/>
  <c r="P44" i="36"/>
  <c r="N44" i="36"/>
  <c r="L44" i="36"/>
  <c r="J44" i="36"/>
  <c r="H44" i="36"/>
  <c r="F44" i="36"/>
  <c r="D44" i="36"/>
  <c r="B44" i="36"/>
  <c r="AT43" i="36"/>
  <c r="AR43" i="36"/>
  <c r="AP43" i="36"/>
  <c r="AN43" i="36"/>
  <c r="AL43" i="36"/>
  <c r="AJ43" i="36"/>
  <c r="AH43" i="36"/>
  <c r="AF43" i="36"/>
  <c r="AD43" i="36"/>
  <c r="AB43" i="36"/>
  <c r="Z43" i="36"/>
  <c r="X43" i="36"/>
  <c r="V43" i="36"/>
  <c r="T43" i="36"/>
  <c r="R43" i="36"/>
  <c r="P43" i="36"/>
  <c r="N43" i="36"/>
  <c r="L43" i="36"/>
  <c r="J43" i="36"/>
  <c r="H43" i="36"/>
  <c r="F43" i="36"/>
  <c r="D43" i="36"/>
  <c r="B43" i="36"/>
  <c r="AT42" i="36" a="1"/>
  <c r="AT42" i="36" s="1"/>
  <c r="AR42" i="36" a="1"/>
  <c r="AR42" i="36" s="1"/>
  <c r="AP42" i="36" a="1"/>
  <c r="AP42" i="36" s="1"/>
  <c r="AN42" i="36" a="1"/>
  <c r="AN42" i="36" s="1"/>
  <c r="AL42" i="36" a="1"/>
  <c r="AL42" i="36" s="1"/>
  <c r="AJ42" i="36" a="1"/>
  <c r="AJ42" i="36" s="1"/>
  <c r="AH42" i="36" a="1"/>
  <c r="AH42" i="36" s="1"/>
  <c r="AF42" i="36" a="1"/>
  <c r="AF42" i="36" s="1"/>
  <c r="AD42" i="36" a="1"/>
  <c r="AD42" i="36" s="1"/>
  <c r="AB42" i="36" a="1"/>
  <c r="AB42" i="36" s="1"/>
  <c r="Z42" i="36" a="1"/>
  <c r="Z42" i="36" s="1"/>
  <c r="X42" i="36" a="1"/>
  <c r="X42" i="36" s="1"/>
  <c r="V42" i="36" a="1"/>
  <c r="V42" i="36" s="1"/>
  <c r="T42" i="36" a="1"/>
  <c r="T42" i="36" s="1"/>
  <c r="R42" i="36" a="1"/>
  <c r="R42" i="36" s="1"/>
  <c r="P42" i="36" a="1"/>
  <c r="P42" i="36" s="1"/>
  <c r="N42" i="36" a="1"/>
  <c r="N42" i="36" s="1"/>
  <c r="L42" i="36" a="1"/>
  <c r="L42" i="36" s="1"/>
  <c r="J42" i="36" a="1"/>
  <c r="J42" i="36" s="1"/>
  <c r="H42" i="36" a="1"/>
  <c r="H42" i="36" s="1"/>
  <c r="F42" i="36" a="1"/>
  <c r="F42" i="36" s="1"/>
  <c r="D42" i="36" a="1"/>
  <c r="D42" i="36" s="1"/>
  <c r="B42" i="36" a="1"/>
  <c r="B42" i="36" s="1"/>
  <c r="AT41" i="36"/>
  <c r="AR41" i="36"/>
  <c r="AP41" i="36"/>
  <c r="AN41" i="36"/>
  <c r="AL41" i="36"/>
  <c r="AJ41" i="36"/>
  <c r="AH41" i="36"/>
  <c r="AF41" i="36"/>
  <c r="AD41" i="36"/>
  <c r="AB41" i="36"/>
  <c r="Z41" i="36"/>
  <c r="X41" i="36"/>
  <c r="V41" i="36"/>
  <c r="T41" i="36"/>
  <c r="R41" i="36"/>
  <c r="P41" i="36"/>
  <c r="N41" i="36"/>
  <c r="L41" i="36"/>
  <c r="J41" i="36"/>
  <c r="H41" i="36"/>
  <c r="F41" i="36"/>
  <c r="D41" i="36"/>
  <c r="B41" i="36"/>
  <c r="D52" i="2" l="1"/>
  <c r="AT46" i="3" l="1"/>
  <c r="AR46" i="3"/>
  <c r="AP46" i="3"/>
  <c r="AN46" i="3"/>
  <c r="AL46" i="3"/>
  <c r="AJ46" i="3"/>
  <c r="AH46" i="3"/>
  <c r="AF46" i="3"/>
  <c r="AD46" i="3"/>
  <c r="AB46" i="3"/>
  <c r="Z46" i="3"/>
  <c r="X46" i="3"/>
  <c r="V46" i="3"/>
  <c r="T46" i="3"/>
  <c r="R46" i="3"/>
  <c r="P46" i="3"/>
  <c r="N46" i="3"/>
  <c r="L46" i="3"/>
  <c r="J46" i="3"/>
  <c r="H46" i="3"/>
  <c r="F46" i="3"/>
  <c r="D46" i="3"/>
  <c r="B46" i="3"/>
  <c r="K25" i="23" l="1"/>
  <c r="K9" i="39"/>
  <c r="R25" i="23"/>
  <c r="R9" i="39"/>
  <c r="J25" i="23"/>
  <c r="J9" i="39"/>
  <c r="L25" i="23"/>
  <c r="L9" i="39"/>
  <c r="N25" i="23"/>
  <c r="N9" i="39"/>
  <c r="P25" i="23"/>
  <c r="P9" i="39"/>
  <c r="B25" i="23"/>
  <c r="B9" i="39"/>
  <c r="S25" i="23"/>
  <c r="S9" i="39"/>
  <c r="T25" i="23"/>
  <c r="T9" i="39"/>
  <c r="U25" i="23"/>
  <c r="U9" i="39"/>
  <c r="V25" i="23"/>
  <c r="V9" i="39"/>
  <c r="X25" i="23"/>
  <c r="X9" i="39"/>
  <c r="M25" i="23"/>
  <c r="M9" i="39"/>
  <c r="O25" i="23"/>
  <c r="O9" i="39"/>
  <c r="Q25" i="23"/>
  <c r="Q9" i="39"/>
  <c r="C25" i="23"/>
  <c r="C9" i="39"/>
  <c r="D25" i="23"/>
  <c r="D9" i="39"/>
  <c r="E25" i="23"/>
  <c r="E9" i="39"/>
  <c r="F25" i="23"/>
  <c r="F9" i="39"/>
  <c r="G25" i="23"/>
  <c r="G9" i="39"/>
  <c r="W25" i="23"/>
  <c r="W9" i="39"/>
  <c r="H25" i="23"/>
  <c r="H9" i="39"/>
  <c r="I25" i="23"/>
  <c r="I9" i="39"/>
  <c r="Y25" i="23"/>
  <c r="Y9" i="39"/>
  <c r="C43" i="2"/>
  <c r="C52" i="1" l="1" a="1"/>
  <c r="C52" i="1" s="1"/>
  <c r="D52" i="1" l="1"/>
  <c r="H25" i="1" s="1" a="1"/>
  <c r="C52" i="2"/>
  <c r="V24" i="23" l="1"/>
  <c r="H24" i="23"/>
  <c r="H8" i="39"/>
  <c r="C24" i="23"/>
  <c r="C8" i="39"/>
  <c r="N24" i="23"/>
  <c r="N8" i="39"/>
  <c r="W24" i="23"/>
  <c r="X24" i="23"/>
  <c r="Y24" i="23"/>
  <c r="J24" i="23"/>
  <c r="J8" i="39"/>
  <c r="K24" i="23"/>
  <c r="K8" i="39"/>
  <c r="M24" i="23"/>
  <c r="M8" i="39"/>
  <c r="O24" i="23"/>
  <c r="O8" i="39"/>
  <c r="D24" i="23"/>
  <c r="D8" i="39"/>
  <c r="F24" i="23"/>
  <c r="F8" i="39"/>
  <c r="G24" i="23"/>
  <c r="G8" i="39"/>
  <c r="I24" i="23"/>
  <c r="I8" i="39"/>
  <c r="B24" i="23"/>
  <c r="B8" i="39"/>
  <c r="L24" i="23"/>
  <c r="L8" i="39"/>
  <c r="P24" i="23"/>
  <c r="Q24" i="23"/>
  <c r="Q8" i="39"/>
  <c r="R24" i="23"/>
  <c r="S24" i="23"/>
  <c r="T24" i="23"/>
  <c r="E24" i="23"/>
  <c r="E8" i="39"/>
  <c r="U24" i="23"/>
  <c r="H27" i="1" a="1"/>
  <c r="H27" i="1" s="1"/>
  <c r="H28" i="1" a="1"/>
  <c r="H28" i="1" s="1"/>
  <c r="H29" i="1" a="1"/>
  <c r="H29" i="1" s="1"/>
  <c r="F39" i="1" a="1"/>
  <c r="F39" i="1" s="1"/>
  <c r="H26" i="1"/>
  <c r="I25" i="1"/>
  <c r="H25" i="1"/>
  <c r="I26" i="1"/>
  <c r="C43" i="1" a="1"/>
  <c r="C42" i="1" a="1"/>
  <c r="I29" i="1"/>
  <c r="I28" i="1"/>
  <c r="I27" i="1"/>
  <c r="AV60" i="3"/>
  <c r="AF60" i="3"/>
  <c r="P60" i="3"/>
  <c r="B56" i="3"/>
  <c r="N60" i="3"/>
  <c r="Z60" i="3"/>
  <c r="X60" i="3"/>
  <c r="V60" i="3"/>
  <c r="AH60" i="3"/>
  <c r="AT60" i="3"/>
  <c r="AD60" i="3"/>
  <c r="AB60" i="3"/>
  <c r="J60" i="3"/>
  <c r="H60" i="3"/>
  <c r="AJ60" i="3"/>
  <c r="B60" i="3"/>
  <c r="AR60" i="3"/>
  <c r="L60" i="3"/>
  <c r="AN60" i="3"/>
  <c r="D60" i="3"/>
  <c r="AP60" i="3"/>
  <c r="AL60" i="3"/>
  <c r="F60" i="3"/>
  <c r="R60" i="3"/>
  <c r="T60" i="3"/>
  <c r="AJ56" i="3"/>
  <c r="T56" i="3"/>
  <c r="D56" i="3"/>
  <c r="V56" i="3"/>
  <c r="AH56" i="3"/>
  <c r="R56" i="3"/>
  <c r="H56" i="3"/>
  <c r="AV56" i="3"/>
  <c r="AF56" i="3"/>
  <c r="P56" i="3"/>
  <c r="AT56" i="3"/>
  <c r="AD56" i="3"/>
  <c r="N56" i="3"/>
  <c r="AL56" i="3"/>
  <c r="AR56" i="3"/>
  <c r="AB56" i="3"/>
  <c r="L56" i="3"/>
  <c r="X56" i="3"/>
  <c r="AP56" i="3"/>
  <c r="Z56" i="3"/>
  <c r="J56" i="3"/>
  <c r="AN56" i="3"/>
  <c r="F56" i="3"/>
  <c r="D120" i="1"/>
  <c r="C41" i="1" a="1"/>
  <c r="W69" i="23"/>
  <c r="V69" i="23"/>
  <c r="U69" i="23"/>
  <c r="T69" i="23"/>
  <c r="S69" i="23"/>
  <c r="R69" i="23"/>
  <c r="Q69" i="23"/>
  <c r="P69" i="23"/>
  <c r="O69" i="23"/>
  <c r="N69" i="23"/>
  <c r="M69" i="23"/>
  <c r="L69" i="23"/>
  <c r="K69" i="23"/>
  <c r="J69" i="23"/>
  <c r="I69" i="23"/>
  <c r="H69" i="23"/>
  <c r="G69" i="23"/>
  <c r="F69" i="23"/>
  <c r="E69" i="23"/>
  <c r="D69" i="23"/>
  <c r="C69" i="23"/>
  <c r="B69" i="23"/>
  <c r="K70" i="23"/>
  <c r="J70" i="23"/>
  <c r="I70" i="23"/>
  <c r="H70" i="23"/>
  <c r="G70" i="23"/>
  <c r="F70" i="23"/>
  <c r="E70" i="23"/>
  <c r="D70" i="23"/>
  <c r="C70" i="23"/>
  <c r="B70" i="23"/>
  <c r="N68" i="23"/>
  <c r="M68" i="23"/>
  <c r="L68" i="23"/>
  <c r="K68" i="23"/>
  <c r="I68" i="23"/>
  <c r="H68" i="23"/>
  <c r="G68" i="23"/>
  <c r="F68" i="23"/>
  <c r="E68" i="23"/>
  <c r="D68" i="23"/>
  <c r="C68" i="23"/>
  <c r="B68" i="23"/>
  <c r="A64" i="23"/>
  <c r="A51" i="23"/>
  <c r="A65" i="23" s="1"/>
  <c r="A52" i="23"/>
  <c r="A66" i="23" s="1"/>
  <c r="A53" i="23"/>
  <c r="A67" i="23" s="1"/>
  <c r="A54" i="23"/>
  <c r="A68" i="23" s="1"/>
  <c r="A69" i="23"/>
  <c r="A70" i="23"/>
  <c r="A49" i="23"/>
  <c r="A63" i="23" s="1"/>
  <c r="K67" i="23"/>
  <c r="J67" i="23"/>
  <c r="I67" i="23"/>
  <c r="H67" i="23"/>
  <c r="G67" i="23"/>
  <c r="F67" i="23"/>
  <c r="E67" i="23"/>
  <c r="D67" i="23"/>
  <c r="C67" i="23"/>
  <c r="B67" i="23"/>
  <c r="Q66" i="23"/>
  <c r="P66" i="23"/>
  <c r="O66" i="23"/>
  <c r="N66" i="23"/>
  <c r="M66" i="23"/>
  <c r="L66" i="23"/>
  <c r="K66" i="23"/>
  <c r="J66" i="23"/>
  <c r="I66" i="23"/>
  <c r="H66" i="23"/>
  <c r="G66" i="23"/>
  <c r="F66" i="23"/>
  <c r="E66" i="23"/>
  <c r="D66" i="23"/>
  <c r="C66" i="23"/>
  <c r="B66" i="23"/>
  <c r="J65" i="23"/>
  <c r="I65" i="23"/>
  <c r="H65" i="23"/>
  <c r="G65" i="23"/>
  <c r="F65" i="23"/>
  <c r="E65" i="23"/>
  <c r="D65" i="23"/>
  <c r="C65" i="23"/>
  <c r="B65" i="23"/>
  <c r="Q64" i="23"/>
  <c r="P64" i="23"/>
  <c r="O64" i="23"/>
  <c r="N64" i="23"/>
  <c r="M64" i="23"/>
  <c r="L64" i="23"/>
  <c r="K64" i="23"/>
  <c r="J64" i="23"/>
  <c r="I64" i="23"/>
  <c r="H64" i="23"/>
  <c r="G64" i="23"/>
  <c r="F64" i="23"/>
  <c r="E64" i="23"/>
  <c r="D64" i="23"/>
  <c r="C64" i="23"/>
  <c r="B64" i="23"/>
  <c r="W63" i="23"/>
  <c r="V63" i="23"/>
  <c r="U63" i="23"/>
  <c r="T63" i="23"/>
  <c r="S63" i="23"/>
  <c r="R63" i="23"/>
  <c r="Q63" i="23"/>
  <c r="P63" i="23"/>
  <c r="O63" i="23"/>
  <c r="N63" i="23"/>
  <c r="M63" i="23"/>
  <c r="L63" i="23"/>
  <c r="K63" i="23"/>
  <c r="I63" i="23"/>
  <c r="H63" i="23"/>
  <c r="G63" i="23"/>
  <c r="F63" i="23"/>
  <c r="E63" i="23"/>
  <c r="D63" i="23"/>
  <c r="C63" i="23"/>
  <c r="B63" i="23"/>
  <c r="J68" i="23"/>
  <c r="G39" i="1" l="1"/>
  <c r="C43" i="1"/>
  <c r="D43" i="1"/>
  <c r="C41" i="1"/>
  <c r="D41" i="1"/>
  <c r="D42" i="1"/>
  <c r="C42" i="1"/>
  <c r="J63" i="23"/>
  <c r="X23" i="23"/>
  <c r="K22" i="23"/>
  <c r="J22" i="23"/>
  <c r="I22" i="23"/>
  <c r="H22" i="23"/>
  <c r="G22" i="23"/>
  <c r="T21" i="23"/>
  <c r="S21" i="23"/>
  <c r="R21" i="23"/>
  <c r="Q21" i="23"/>
  <c r="P21" i="23"/>
  <c r="O21" i="23"/>
  <c r="L21" i="23" l="1"/>
  <c r="L5" i="39"/>
  <c r="M21" i="23"/>
  <c r="M5" i="39"/>
  <c r="N21" i="23"/>
  <c r="N5" i="39"/>
  <c r="B21" i="23"/>
  <c r="B5" i="39"/>
  <c r="C21" i="23"/>
  <c r="C5" i="39"/>
  <c r="D21" i="23"/>
  <c r="D5" i="39"/>
  <c r="E21" i="23"/>
  <c r="E5" i="39"/>
  <c r="F21" i="23"/>
  <c r="F5" i="39"/>
  <c r="G21" i="23"/>
  <c r="G5" i="39"/>
  <c r="H21" i="23"/>
  <c r="H5" i="39"/>
  <c r="I21" i="23"/>
  <c r="I5" i="39"/>
  <c r="J21" i="23"/>
  <c r="J5" i="39"/>
  <c r="K21" i="23"/>
  <c r="K5" i="39"/>
  <c r="Q23" i="23"/>
  <c r="B23" i="23"/>
  <c r="B7" i="39"/>
  <c r="R23" i="23"/>
  <c r="C23" i="23"/>
  <c r="C7" i="39"/>
  <c r="S23" i="23"/>
  <c r="D23" i="23"/>
  <c r="D7" i="39"/>
  <c r="T23" i="23"/>
  <c r="E23" i="23"/>
  <c r="E7" i="39"/>
  <c r="U23" i="23"/>
  <c r="F23" i="23"/>
  <c r="F7" i="39"/>
  <c r="V23" i="23"/>
  <c r="G23" i="23"/>
  <c r="G7" i="39"/>
  <c r="W23" i="23"/>
  <c r="H23" i="23"/>
  <c r="H7" i="39"/>
  <c r="I23" i="23"/>
  <c r="I7" i="39"/>
  <c r="J23" i="23"/>
  <c r="J7" i="39"/>
  <c r="K23" i="23"/>
  <c r="K7" i="39"/>
  <c r="L23" i="23"/>
  <c r="L7" i="39"/>
  <c r="M23" i="23"/>
  <c r="M7" i="39"/>
  <c r="N23" i="23"/>
  <c r="N7" i="39"/>
  <c r="O23" i="23"/>
  <c r="O7" i="39"/>
  <c r="P23" i="23"/>
  <c r="D22" i="23"/>
  <c r="D6" i="39"/>
  <c r="C22" i="23"/>
  <c r="C6" i="39"/>
  <c r="F22" i="23"/>
  <c r="F6" i="39"/>
  <c r="B22" i="23"/>
  <c r="B6" i="39"/>
  <c r="E22" i="23"/>
  <c r="E6" i="39"/>
  <c r="F18" i="23"/>
  <c r="F2" i="39"/>
  <c r="W18" i="23"/>
  <c r="W2" i="39"/>
  <c r="H18" i="23"/>
  <c r="H2" i="39"/>
  <c r="I18" i="23"/>
  <c r="I2" i="39"/>
  <c r="K18" i="23"/>
  <c r="K2" i="39"/>
  <c r="L18" i="23"/>
  <c r="L2" i="39"/>
  <c r="M18" i="23"/>
  <c r="M2" i="39"/>
  <c r="P18" i="23"/>
  <c r="P2" i="39"/>
  <c r="B18" i="23"/>
  <c r="B2" i="39"/>
  <c r="T18" i="23"/>
  <c r="T2" i="39"/>
  <c r="V18" i="23"/>
  <c r="V2" i="39"/>
  <c r="G18" i="23"/>
  <c r="G2" i="39"/>
  <c r="X18" i="23"/>
  <c r="X2" i="39"/>
  <c r="Y18" i="23"/>
  <c r="Y2" i="39"/>
  <c r="J18" i="23"/>
  <c r="J2" i="39"/>
  <c r="N18" i="23"/>
  <c r="N2" i="39"/>
  <c r="O18" i="23"/>
  <c r="O2" i="39"/>
  <c r="Q18" i="23"/>
  <c r="Q2" i="39"/>
  <c r="R18" i="23"/>
  <c r="R2" i="39"/>
  <c r="C18" i="23"/>
  <c r="C2" i="39"/>
  <c r="S18" i="23"/>
  <c r="S2" i="39"/>
  <c r="D18" i="23"/>
  <c r="D2" i="39"/>
  <c r="E18" i="23"/>
  <c r="E2" i="39"/>
  <c r="U18" i="23"/>
  <c r="U2" i="39"/>
  <c r="AT45" i="3"/>
  <c r="AR45" i="3"/>
  <c r="AP45" i="3"/>
  <c r="AN45" i="3"/>
  <c r="AL45" i="3"/>
  <c r="AJ45" i="3"/>
  <c r="AH45" i="3"/>
  <c r="AF45" i="3"/>
  <c r="AD45" i="3"/>
  <c r="AB45" i="3"/>
  <c r="Z45" i="3"/>
  <c r="X45" i="3"/>
  <c r="V45" i="3"/>
  <c r="T45" i="3"/>
  <c r="R45" i="3"/>
  <c r="P45" i="3"/>
  <c r="N45" i="3"/>
  <c r="L45" i="3"/>
  <c r="J45" i="3"/>
  <c r="H45" i="3"/>
  <c r="F45" i="3"/>
  <c r="D45" i="3"/>
  <c r="B45" i="3"/>
  <c r="AT44" i="3"/>
  <c r="AR44" i="3"/>
  <c r="AP44" i="3"/>
  <c r="AN44" i="3"/>
  <c r="AL44" i="3"/>
  <c r="AJ44" i="3"/>
  <c r="AH44" i="3"/>
  <c r="AF44" i="3"/>
  <c r="AD44" i="3"/>
  <c r="AB44" i="3"/>
  <c r="Z44" i="3"/>
  <c r="X44" i="3"/>
  <c r="V44" i="3"/>
  <c r="T44" i="3"/>
  <c r="R44" i="3"/>
  <c r="P44" i="3"/>
  <c r="N44" i="3"/>
  <c r="L44" i="3"/>
  <c r="J44" i="3"/>
  <c r="H44" i="3"/>
  <c r="F44" i="3"/>
  <c r="D44" i="3"/>
  <c r="C118" i="1" l="1" a="1"/>
  <c r="C118" i="1" s="1"/>
  <c r="C45" i="2" a="1"/>
  <c r="D45" i="2" s="1"/>
  <c r="C34" i="2" a="1"/>
  <c r="C34" i="2" s="1"/>
  <c r="D118" i="1" l="1"/>
  <c r="C45" i="2"/>
  <c r="D34" i="2"/>
  <c r="C37" i="2" l="1" a="1"/>
  <c r="C37" i="2" s="1"/>
  <c r="D37" i="2" l="1"/>
  <c r="C80" i="1" a="1"/>
  <c r="C80" i="1" s="1"/>
  <c r="C115" i="1" a="1"/>
  <c r="D115" i="1" s="1"/>
  <c r="C46" i="1" a="1"/>
  <c r="C46" i="1" s="1"/>
  <c r="D80" i="1" l="1"/>
  <c r="C115" i="1"/>
  <c r="D46" i="1"/>
  <c r="AT43" i="3" l="1" a="1"/>
  <c r="AT43" i="3" s="1"/>
  <c r="AR43" i="3" a="1"/>
  <c r="AR43" i="3" s="1"/>
  <c r="AP43" i="3" a="1"/>
  <c r="AP43" i="3" s="1"/>
  <c r="AN43" i="3" a="1"/>
  <c r="AN43" i="3" s="1"/>
  <c r="AL43" i="3" a="1"/>
  <c r="AL43" i="3" s="1"/>
  <c r="C33" i="2" l="1"/>
  <c r="C31" i="2"/>
  <c r="D31" i="2" l="1"/>
  <c r="D33" i="2"/>
  <c r="C23" i="2" a="1"/>
  <c r="C38" i="1" l="1" a="1"/>
  <c r="C38" i="1" s="1"/>
  <c r="C30" i="1" a="1"/>
  <c r="C30" i="1" s="1"/>
  <c r="H30" i="1" a="1"/>
  <c r="H30" i="1" s="1"/>
  <c r="C100" i="1" a="1"/>
  <c r="D100" i="1" s="1"/>
  <c r="D38" i="1" l="1"/>
  <c r="D30" i="1"/>
  <c r="C44" i="1" s="1" a="1"/>
  <c r="I30" i="1"/>
  <c r="C100" i="1"/>
  <c r="C44" i="1" l="1"/>
  <c r="D44" i="1"/>
  <c r="L9" i="1" a="1"/>
  <c r="C22" i="2" a="1"/>
  <c r="C22" i="2" s="1"/>
  <c r="L9" i="1" l="1"/>
  <c r="M9" i="1"/>
  <c r="D22" i="2"/>
  <c r="C30" i="2" s="1" a="1"/>
  <c r="AJ43" i="3" a="1"/>
  <c r="AJ43" i="3" s="1"/>
  <c r="AH43" i="3" a="1"/>
  <c r="AH43" i="3" s="1"/>
  <c r="AF43" i="3" a="1"/>
  <c r="AF43" i="3" s="1"/>
  <c r="AD43" i="3" a="1"/>
  <c r="AD43" i="3" s="1"/>
  <c r="AB43" i="3" a="1"/>
  <c r="AB43" i="3" s="1"/>
  <c r="Z43" i="3" a="1"/>
  <c r="Z43" i="3" s="1"/>
  <c r="X43" i="3" a="1"/>
  <c r="X43" i="3" s="1"/>
  <c r="V43" i="3" a="1"/>
  <c r="V43" i="3" s="1"/>
  <c r="T43" i="3" a="1"/>
  <c r="T43" i="3" s="1"/>
  <c r="R43" i="3" a="1"/>
  <c r="R43" i="3" s="1"/>
  <c r="P43" i="3" a="1"/>
  <c r="P43" i="3" s="1"/>
  <c r="N43" i="3" a="1"/>
  <c r="N43" i="3" s="1"/>
  <c r="L43" i="3" a="1"/>
  <c r="L43" i="3" s="1"/>
  <c r="J43" i="3" a="1"/>
  <c r="J43" i="3" s="1"/>
  <c r="H43" i="3" a="1"/>
  <c r="H43" i="3" s="1"/>
  <c r="F43" i="3" a="1"/>
  <c r="F43" i="3" s="1"/>
  <c r="D43" i="3" a="1"/>
  <c r="D43" i="3" s="1"/>
  <c r="D30" i="2" l="1"/>
  <c r="C30" i="2"/>
  <c r="C39" i="2" l="1" a="1"/>
  <c r="C21" i="2" a="1"/>
  <c r="C116" i="1" a="1"/>
  <c r="C116" i="1" s="1"/>
  <c r="C114" i="1" a="1"/>
  <c r="D114" i="1" s="1"/>
  <c r="D116" i="1" l="1"/>
  <c r="C114" i="1"/>
  <c r="X38" i="23" l="1"/>
  <c r="X89" i="23" s="1"/>
  <c r="W38" i="23"/>
  <c r="W89" i="23" s="1"/>
  <c r="V38" i="23"/>
  <c r="V89" i="23" s="1"/>
  <c r="U38" i="23"/>
  <c r="U89" i="23" s="1"/>
  <c r="T38" i="23"/>
  <c r="T89" i="23" s="1"/>
  <c r="AT22" i="23" l="1"/>
  <c r="AB23" i="23"/>
  <c r="AY23" i="23"/>
  <c r="AX23" i="23"/>
  <c r="AW23" i="23"/>
  <c r="AV23" i="23"/>
  <c r="AU23" i="23"/>
  <c r="AT23" i="23"/>
  <c r="AS23" i="23"/>
  <c r="AR23" i="23"/>
  <c r="AQ23" i="23"/>
  <c r="AP23" i="23"/>
  <c r="AO23" i="23"/>
  <c r="AN23" i="23"/>
  <c r="AM23" i="23"/>
  <c r="AL23" i="23"/>
  <c r="AK23" i="23"/>
  <c r="AJ23" i="23"/>
  <c r="AI23" i="23"/>
  <c r="AH23" i="23"/>
  <c r="AG23" i="23"/>
  <c r="AF23" i="23"/>
  <c r="AE23" i="23"/>
  <c r="AD23" i="23"/>
  <c r="AC23" i="23"/>
  <c r="S38" i="23"/>
  <c r="S89" i="23" s="1"/>
  <c r="R38" i="23"/>
  <c r="R89" i="23" s="1"/>
  <c r="Q38" i="23"/>
  <c r="Q89" i="23" s="1"/>
  <c r="P38" i="23"/>
  <c r="P89" i="23" s="1"/>
  <c r="O38" i="23"/>
  <c r="O89" i="23" s="1"/>
  <c r="N38" i="23"/>
  <c r="N89" i="23" s="1"/>
  <c r="M38" i="23"/>
  <c r="M89" i="23" s="1"/>
  <c r="L38" i="23"/>
  <c r="L89" i="23" s="1"/>
  <c r="K38" i="23"/>
  <c r="K89" i="23" s="1"/>
  <c r="J38" i="23"/>
  <c r="J89" i="23" s="1"/>
  <c r="I38" i="23"/>
  <c r="I89" i="23" s="1"/>
  <c r="H38" i="23"/>
  <c r="H89" i="23" s="1"/>
  <c r="G38" i="23"/>
  <c r="G89" i="23" s="1"/>
  <c r="F38" i="23"/>
  <c r="F89" i="23" s="1"/>
  <c r="E38" i="23"/>
  <c r="E89" i="23" s="1"/>
  <c r="D38" i="23"/>
  <c r="D89" i="23" s="1"/>
  <c r="C38" i="23"/>
  <c r="C89" i="23" s="1"/>
  <c r="B38" i="23"/>
  <c r="B89" i="23" s="1"/>
  <c r="Y37" i="23"/>
  <c r="Y88" i="23" s="1"/>
  <c r="X37" i="23"/>
  <c r="X88" i="23" s="1"/>
  <c r="W37" i="23"/>
  <c r="W88" i="23" s="1"/>
  <c r="V37" i="23"/>
  <c r="V88" i="23" s="1"/>
  <c r="U37" i="23"/>
  <c r="U88" i="23" s="1"/>
  <c r="T37" i="23"/>
  <c r="T88" i="23" s="1"/>
  <c r="S37" i="23"/>
  <c r="S88" i="23" s="1"/>
  <c r="R37" i="23"/>
  <c r="R88" i="23" s="1"/>
  <c r="Q37" i="23"/>
  <c r="Q88" i="23" s="1"/>
  <c r="P37" i="23"/>
  <c r="P88" i="23" s="1"/>
  <c r="O37" i="23"/>
  <c r="O88" i="23" s="1"/>
  <c r="N37" i="23"/>
  <c r="N88" i="23" s="1"/>
  <c r="M37" i="23"/>
  <c r="M88" i="23" s="1"/>
  <c r="L37" i="23"/>
  <c r="L88" i="23" s="1"/>
  <c r="K37" i="23"/>
  <c r="K88" i="23" s="1"/>
  <c r="J37" i="23"/>
  <c r="J88" i="23" s="1"/>
  <c r="I37" i="23"/>
  <c r="I88" i="23" s="1"/>
  <c r="H37" i="23"/>
  <c r="H88" i="23" s="1"/>
  <c r="G37" i="23"/>
  <c r="G88" i="23" s="1"/>
  <c r="F37" i="23"/>
  <c r="F88" i="23" s="1"/>
  <c r="E37" i="23"/>
  <c r="E88" i="23" s="1"/>
  <c r="D37" i="23"/>
  <c r="D88" i="23" s="1"/>
  <c r="C37" i="23"/>
  <c r="C88" i="23" s="1"/>
  <c r="B37" i="23"/>
  <c r="B88" i="23" s="1"/>
  <c r="Y34" i="23"/>
  <c r="Y85" i="23" s="1"/>
  <c r="X34" i="23"/>
  <c r="X85" i="23" s="1"/>
  <c r="W34" i="23"/>
  <c r="W85" i="23" s="1"/>
  <c r="V34" i="23"/>
  <c r="V85" i="23" s="1"/>
  <c r="U34" i="23"/>
  <c r="U85" i="23" s="1"/>
  <c r="T34" i="23"/>
  <c r="T85" i="23" s="1"/>
  <c r="S34" i="23"/>
  <c r="S85" i="23" s="1"/>
  <c r="R34" i="23"/>
  <c r="R85" i="23" s="1"/>
  <c r="Q34" i="23"/>
  <c r="Q85" i="23" s="1"/>
  <c r="P34" i="23"/>
  <c r="P85" i="23" s="1"/>
  <c r="O34" i="23"/>
  <c r="O85" i="23" s="1"/>
  <c r="N34" i="23"/>
  <c r="N85" i="23" s="1"/>
  <c r="M34" i="23"/>
  <c r="M85" i="23" s="1"/>
  <c r="L34" i="23"/>
  <c r="L85" i="23" s="1"/>
  <c r="K34" i="23"/>
  <c r="K85" i="23" s="1"/>
  <c r="J34" i="23"/>
  <c r="J85" i="23" s="1"/>
  <c r="I34" i="23"/>
  <c r="I85" i="23" s="1"/>
  <c r="H34" i="23"/>
  <c r="H85" i="23" s="1"/>
  <c r="G34" i="23"/>
  <c r="G85" i="23" s="1"/>
  <c r="F34" i="23"/>
  <c r="F85" i="23" s="1"/>
  <c r="E34" i="23"/>
  <c r="E85" i="23" s="1"/>
  <c r="D34" i="23"/>
  <c r="D85" i="23" s="1"/>
  <c r="C34" i="23"/>
  <c r="C85" i="23" s="1"/>
  <c r="AS22" i="23"/>
  <c r="AR22" i="23"/>
  <c r="AQ22" i="23"/>
  <c r="AP22" i="23"/>
  <c r="AO22" i="23"/>
  <c r="AN22" i="23"/>
  <c r="AM22" i="23"/>
  <c r="AL22" i="23"/>
  <c r="AK22" i="23"/>
  <c r="AJ22" i="23"/>
  <c r="AI22" i="23"/>
  <c r="AH22" i="23"/>
  <c r="AG22" i="23"/>
  <c r="AF22" i="23"/>
  <c r="AE22" i="23"/>
  <c r="AD22" i="23"/>
  <c r="AC22" i="23"/>
  <c r="AB22" i="23"/>
  <c r="AP21" i="23"/>
  <c r="AO21" i="23"/>
  <c r="AN21" i="23"/>
  <c r="AM21" i="23"/>
  <c r="AL21" i="23"/>
  <c r="AK21" i="23"/>
  <c r="AJ21" i="23"/>
  <c r="AI21" i="23"/>
  <c r="AH21" i="23"/>
  <c r="AG21" i="23"/>
  <c r="AF21" i="23"/>
  <c r="AE21" i="23"/>
  <c r="AD21" i="23"/>
  <c r="AC21" i="23"/>
  <c r="AB21" i="23"/>
  <c r="AY18" i="23"/>
  <c r="AX18" i="23"/>
  <c r="AW18" i="23"/>
  <c r="AV18" i="23"/>
  <c r="AU18" i="23"/>
  <c r="AT18" i="23"/>
  <c r="AS18" i="23"/>
  <c r="AR18" i="23"/>
  <c r="AQ18" i="23"/>
  <c r="AP18" i="23"/>
  <c r="AO18" i="23"/>
  <c r="AN18" i="23"/>
  <c r="AM18" i="23"/>
  <c r="AL18" i="23"/>
  <c r="AK18" i="23"/>
  <c r="AJ18" i="23"/>
  <c r="AI18" i="23"/>
  <c r="AH18" i="23"/>
  <c r="AG18" i="23"/>
  <c r="AF18" i="23"/>
  <c r="AE18" i="23"/>
  <c r="AD18" i="23"/>
  <c r="AC18" i="23"/>
  <c r="AB18" i="23"/>
  <c r="AT20" i="23"/>
  <c r="AS20" i="23"/>
  <c r="AR20" i="23"/>
  <c r="AQ20" i="23"/>
  <c r="AP20" i="23"/>
  <c r="AO20" i="23"/>
  <c r="AN20" i="23"/>
  <c r="AM20" i="23"/>
  <c r="AL20" i="23"/>
  <c r="AK20" i="23"/>
  <c r="AJ20" i="23"/>
  <c r="AI20" i="23"/>
  <c r="AH20" i="23"/>
  <c r="AG20" i="23"/>
  <c r="AF20" i="23"/>
  <c r="AE20" i="23"/>
  <c r="AD20" i="23"/>
  <c r="AC20" i="23"/>
  <c r="AB20" i="23"/>
  <c r="AY19" i="23"/>
  <c r="AX19" i="23"/>
  <c r="AW19" i="23"/>
  <c r="AV19" i="23"/>
  <c r="AU19" i="23"/>
  <c r="AT19" i="23"/>
  <c r="AS19" i="23"/>
  <c r="AR19" i="23"/>
  <c r="AQ19" i="23"/>
  <c r="AP19" i="23"/>
  <c r="AO19" i="23"/>
  <c r="AN19" i="23"/>
  <c r="AM19" i="23"/>
  <c r="AL19" i="23"/>
  <c r="AK19" i="23"/>
  <c r="AJ19" i="23"/>
  <c r="AI19" i="23"/>
  <c r="AH19" i="23"/>
  <c r="AG19" i="23"/>
  <c r="AF19" i="23"/>
  <c r="AE19" i="23"/>
  <c r="AD19" i="23"/>
  <c r="AC19" i="23"/>
  <c r="AB19" i="23"/>
  <c r="C3" i="2" l="1" a="1"/>
  <c r="C10" i="2" l="1"/>
  <c r="C6" i="2"/>
  <c r="D11" i="2"/>
  <c r="D9" i="2"/>
  <c r="D7" i="2"/>
  <c r="D5" i="2"/>
  <c r="D10" i="2"/>
  <c r="D8" i="2"/>
  <c r="D6" i="2"/>
  <c r="C8" i="2"/>
  <c r="C11" i="2"/>
  <c r="C9" i="2"/>
  <c r="C7" i="2"/>
  <c r="C5" i="2"/>
  <c r="C45" i="1" l="1" a="1"/>
  <c r="C45" i="1" s="1"/>
  <c r="D45" i="1" l="1"/>
  <c r="L5" i="1" s="1" a="1"/>
  <c r="W56" i="2" l="1"/>
  <c r="U56" i="2"/>
  <c r="Y56" i="2"/>
  <c r="C122" i="1" a="1"/>
  <c r="L5" i="1"/>
  <c r="M5" i="1"/>
  <c r="C122" i="1" l="1"/>
  <c r="D122" i="1"/>
  <c r="C90" i="1" a="1"/>
  <c r="D90" i="1" s="1"/>
  <c r="C85" i="1" a="1"/>
  <c r="D85" i="1" s="1"/>
  <c r="C90" i="1" l="1"/>
  <c r="C85" i="1"/>
  <c r="C32" i="1" l="1" a="1"/>
  <c r="C32" i="1" l="1"/>
  <c r="C47" i="1" s="1" a="1"/>
  <c r="D32" i="1"/>
  <c r="D47" i="1" l="1"/>
  <c r="C47" i="1"/>
  <c r="E3" i="2" a="1"/>
  <c r="C48" i="1" l="1" a="1"/>
  <c r="D48" i="1" s="1"/>
  <c r="C55" i="1" a="1"/>
  <c r="C55" i="1" s="1"/>
  <c r="C48" i="1" l="1"/>
  <c r="C57" i="1"/>
  <c r="C121" i="1" s="1"/>
  <c r="C95" i="1" l="1" a="1"/>
  <c r="C95" i="1" s="1"/>
  <c r="D95" i="1" l="1"/>
  <c r="L8" i="1" l="1" a="1"/>
  <c r="C117" i="1" a="1"/>
  <c r="I57" i="1" a="1"/>
  <c r="I57" i="1" s="1"/>
  <c r="L57" i="1" s="1"/>
  <c r="C83" i="1" a="1"/>
  <c r="C82" i="1" a="1"/>
  <c r="M8" i="1" l="1"/>
  <c r="L8" i="1"/>
  <c r="C117" i="1"/>
  <c r="D117" i="1"/>
  <c r="C83" i="1"/>
  <c r="D83" i="1"/>
  <c r="D82" i="1"/>
  <c r="C82" i="1"/>
  <c r="N33" i="1" s="1" a="1"/>
  <c r="N33" i="1" l="1"/>
  <c r="O33" i="1"/>
  <c r="N32" i="1" a="1"/>
  <c r="H34" i="1" a="1"/>
  <c r="I34" i="1" s="1"/>
  <c r="O32" i="1" l="1"/>
  <c r="N32" i="1"/>
  <c r="H34" i="1"/>
  <c r="F82" i="1" a="1"/>
  <c r="F82" i="1" s="1"/>
  <c r="K34" i="1" l="1" a="1"/>
  <c r="K34" i="1" s="1"/>
  <c r="G82" i="1"/>
  <c r="F83" i="1" s="1" a="1"/>
  <c r="L34" i="1" l="1"/>
  <c r="F83" i="1"/>
  <c r="G83" i="1"/>
  <c r="C3" i="2" l="1"/>
  <c r="F12" i="1"/>
  <c r="F3" i="2"/>
  <c r="G4" i="2"/>
  <c r="E4" i="2"/>
  <c r="C59" i="1"/>
  <c r="H3" i="2"/>
  <c r="D3" i="2"/>
  <c r="C4" i="2"/>
  <c r="D4" i="2"/>
  <c r="F4" i="2"/>
  <c r="G3" i="2"/>
  <c r="I4" i="1"/>
  <c r="D12" i="1"/>
  <c r="E3" i="2"/>
  <c r="H4" i="2"/>
  <c r="I3" i="1"/>
  <c r="G12" i="1"/>
  <c r="C12" i="1"/>
  <c r="C37" i="1" l="1" a="1"/>
  <c r="D37" i="1" s="1"/>
  <c r="D12" i="2"/>
  <c r="D14" i="1"/>
  <c r="G12" i="2"/>
  <c r="F12" i="2"/>
  <c r="C14" i="1"/>
  <c r="C12" i="2"/>
  <c r="I4" i="2"/>
  <c r="D14" i="2" s="1"/>
  <c r="I3" i="2"/>
  <c r="C14" i="2" l="1"/>
  <c r="C37" i="1"/>
  <c r="C70" i="1" s="1" a="1"/>
  <c r="D70" i="1" l="1"/>
  <c r="C70" i="1"/>
  <c r="D71" i="1"/>
  <c r="C71" i="1"/>
  <c r="C123" i="1" a="1"/>
  <c r="C51" i="1" a="1"/>
  <c r="H72" i="1" a="1"/>
  <c r="C72" i="1" a="1"/>
  <c r="H73" i="1" a="1"/>
  <c r="C73" i="1" a="1"/>
  <c r="O12" i="1" a="1"/>
  <c r="C123" i="1" l="1"/>
  <c r="D123" i="1"/>
  <c r="C51" i="1"/>
  <c r="D51" i="1"/>
  <c r="C73" i="1"/>
  <c r="D73" i="1"/>
  <c r="I73" i="1"/>
  <c r="H73" i="1"/>
  <c r="P12" i="1"/>
  <c r="O12" i="1"/>
  <c r="D72" i="1"/>
  <c r="C72" i="1"/>
  <c r="H72" i="1"/>
  <c r="I72" i="1"/>
  <c r="K73" i="1" l="1" a="1"/>
  <c r="L73" i="1" s="1"/>
  <c r="L7" i="1" a="1"/>
  <c r="C50" i="1" a="1"/>
  <c r="H45" i="1" a="1"/>
  <c r="H46" i="1" a="1"/>
  <c r="C51" i="2" a="1"/>
  <c r="K72" i="1" a="1"/>
  <c r="K73" i="1" l="1"/>
  <c r="M7" i="1"/>
  <c r="L7" i="1"/>
  <c r="C51" i="2"/>
  <c r="D51" i="2"/>
  <c r="I46" i="1"/>
  <c r="H46" i="1"/>
  <c r="K72" i="1"/>
  <c r="L72" i="1"/>
  <c r="I45" i="1"/>
  <c r="H45" i="1"/>
  <c r="D50" i="1"/>
  <c r="C50" i="1"/>
  <c r="AJ58" i="3" l="1" a="1"/>
  <c r="AJ58" i="3" s="1"/>
  <c r="D58" i="3" a="1"/>
  <c r="AF58" i="3" a="1"/>
  <c r="AF58" i="3" s="1"/>
  <c r="AB58" i="3" a="1"/>
  <c r="Z58" i="3" a="1"/>
  <c r="Z58" i="3" s="1"/>
  <c r="X58" i="3" a="1"/>
  <c r="X58" i="3" s="1"/>
  <c r="V58" i="3" a="1"/>
  <c r="V58" i="3" s="1"/>
  <c r="T58" i="3" a="1"/>
  <c r="T58" i="3" s="1"/>
  <c r="R58" i="3" a="1"/>
  <c r="R58" i="3" s="1"/>
  <c r="AV58" i="3" a="1"/>
  <c r="AT58" i="3" a="1"/>
  <c r="AT58" i="3" s="1"/>
  <c r="AR58" i="3" a="1"/>
  <c r="AR58" i="3" s="1"/>
  <c r="J58" i="3" a="1"/>
  <c r="J58" i="3" s="1"/>
  <c r="H58" i="3" a="1"/>
  <c r="H58" i="3" s="1"/>
  <c r="AL58" i="3" a="1"/>
  <c r="AL58" i="3" s="1"/>
  <c r="AH58" i="3" a="1"/>
  <c r="AH58" i="3" s="1"/>
  <c r="B58" i="3" a="1"/>
  <c r="B58" i="3" s="1"/>
  <c r="AD58" i="3" a="1"/>
  <c r="AD58" i="3" s="1"/>
  <c r="P58" i="3" a="1"/>
  <c r="N58" i="3" a="1"/>
  <c r="L58" i="3" a="1"/>
  <c r="AP58" i="3" a="1"/>
  <c r="AP58" i="3" s="1"/>
  <c r="AN58" i="3" a="1"/>
  <c r="AN58" i="3" s="1"/>
  <c r="F58" i="3" a="1"/>
  <c r="F58" i="3" s="1"/>
  <c r="AB58" i="3"/>
  <c r="P58" i="3"/>
  <c r="N58" i="3"/>
  <c r="L58" i="3"/>
  <c r="AV58" i="3"/>
  <c r="D58" i="3"/>
  <c r="L6" i="1" a="1"/>
  <c r="L6" i="1" s="1"/>
  <c r="K45" i="1" a="1"/>
  <c r="L45" i="1" s="1"/>
  <c r="K46" i="1" a="1"/>
  <c r="L46" i="1" s="1"/>
  <c r="H32" i="1" a="1"/>
  <c r="C50" i="2" a="1"/>
  <c r="M6" i="1" l="1"/>
  <c r="K45" i="1"/>
  <c r="K46" i="1"/>
  <c r="I32" i="1"/>
  <c r="H32" i="1"/>
  <c r="D50" i="2"/>
  <c r="C50" i="2"/>
  <c r="T57" i="3" l="1" a="1"/>
  <c r="AV57" i="3" a="1"/>
  <c r="N57" i="3" a="1"/>
  <c r="N57" i="3" s="1"/>
  <c r="AR57" i="3" a="1"/>
  <c r="AR57" i="3" s="1"/>
  <c r="J57" i="3" a="1"/>
  <c r="J57" i="3" s="1"/>
  <c r="AN57" i="3" a="1"/>
  <c r="AN57" i="3" s="1"/>
  <c r="AL57" i="3" a="1"/>
  <c r="AJ57" i="3" a="1"/>
  <c r="AJ57" i="3" s="1"/>
  <c r="AH57" i="3" a="1"/>
  <c r="AH57" i="3" s="1"/>
  <c r="Z57" i="3" a="1"/>
  <c r="X57" i="3" a="1"/>
  <c r="X57" i="3" s="1"/>
  <c r="R57" i="3" a="1"/>
  <c r="R57" i="3" s="1"/>
  <c r="P57" i="3" a="1"/>
  <c r="P57" i="3" s="1"/>
  <c r="AT57" i="3" a="1"/>
  <c r="AT57" i="3" s="1"/>
  <c r="L57" i="3" a="1"/>
  <c r="L57" i="3" s="1"/>
  <c r="AP57" i="3" a="1"/>
  <c r="AP57" i="3" s="1"/>
  <c r="H57" i="3" a="1"/>
  <c r="H57" i="3" s="1"/>
  <c r="F57" i="3" a="1"/>
  <c r="D57" i="3" a="1"/>
  <c r="B57" i="3" a="1"/>
  <c r="B57" i="3" s="1"/>
  <c r="AF57" i="3" a="1"/>
  <c r="AF57" i="3" s="1"/>
  <c r="AD57" i="3" a="1"/>
  <c r="AD57" i="3" s="1"/>
  <c r="AB57" i="3" a="1"/>
  <c r="V57" i="3" a="1"/>
  <c r="V57" i="3" s="1"/>
  <c r="AV57" i="3"/>
  <c r="F57" i="3"/>
  <c r="AL57" i="3"/>
  <c r="D57" i="3"/>
  <c r="Z57" i="3"/>
  <c r="T57" i="3"/>
  <c r="AB57" i="3"/>
  <c r="K32" i="1" a="1"/>
  <c r="K32" i="1" s="1"/>
  <c r="K30" i="1" a="1"/>
  <c r="Q3" i="1" a="1"/>
  <c r="Q4" i="1" s="1"/>
  <c r="C32" i="2" a="1"/>
  <c r="L32" i="1" l="1"/>
  <c r="Q3" i="1"/>
  <c r="L30" i="1"/>
  <c r="K30" i="1"/>
  <c r="C25" i="1" l="1" a="1"/>
  <c r="D25" i="1" l="1"/>
  <c r="C25" i="1"/>
  <c r="C26" i="1" l="1"/>
  <c r="C93" i="1" s="1" a="1"/>
  <c r="D26" i="1"/>
  <c r="K25" i="1" l="1" a="1"/>
  <c r="C88" i="1" a="1"/>
  <c r="D88" i="1" s="1"/>
  <c r="C87" i="1" a="1"/>
  <c r="C87" i="1" s="1"/>
  <c r="C92" i="1" a="1"/>
  <c r="D92" i="1" s="1"/>
  <c r="L3" i="1" a="1"/>
  <c r="L4" i="1" s="1"/>
  <c r="C93" i="1"/>
  <c r="D93" i="1"/>
  <c r="C92" i="1" l="1"/>
  <c r="H70" i="1" s="1" a="1"/>
  <c r="I70" i="1" s="1"/>
  <c r="M3" i="1"/>
  <c r="L3" i="1"/>
  <c r="D87" i="1"/>
  <c r="M4" i="1"/>
  <c r="C88" i="1"/>
  <c r="H71" i="1" s="1" a="1"/>
  <c r="I71" i="1" l="1"/>
  <c r="H70" i="1"/>
  <c r="H71" i="1"/>
  <c r="H21" i="1" a="1"/>
  <c r="H48" i="1" a="1"/>
  <c r="F92" i="1" a="1"/>
  <c r="F87" i="1" a="1"/>
  <c r="H47" i="1" a="1"/>
  <c r="H35" i="1" a="1"/>
  <c r="K70" i="1" l="1" a="1"/>
  <c r="L70" i="1" s="1"/>
  <c r="H47" i="1"/>
  <c r="I47" i="1"/>
  <c r="G92" i="1"/>
  <c r="F92" i="1"/>
  <c r="I48" i="1"/>
  <c r="H48" i="1"/>
  <c r="H21" i="1"/>
  <c r="I21" i="1"/>
  <c r="I35" i="1"/>
  <c r="H35" i="1"/>
  <c r="G87" i="1"/>
  <c r="F87" i="1"/>
  <c r="K71" i="1" l="1"/>
  <c r="K70" i="1"/>
  <c r="L71" i="1"/>
  <c r="K21" i="1" a="1"/>
  <c r="L21" i="1" s="1"/>
  <c r="K48" i="1" a="1"/>
  <c r="L48" i="1" s="1"/>
  <c r="F88" i="1" a="1"/>
  <c r="F88" i="1" s="1"/>
  <c r="F93" i="1" a="1"/>
  <c r="F93" i="1" s="1"/>
  <c r="K35" i="1" a="1"/>
  <c r="K35" i="1" s="1"/>
  <c r="K47" i="1" a="1"/>
  <c r="L47" i="1" s="1"/>
  <c r="K21" i="1" l="1"/>
  <c r="K47" i="1"/>
  <c r="G93" i="1"/>
  <c r="K48" i="1"/>
  <c r="L35" i="1"/>
  <c r="G88" i="1"/>
  <c r="K26" i="1" l="1"/>
  <c r="K25" i="1" l="1"/>
  <c r="L25" i="1"/>
  <c r="C27" i="1" a="1"/>
  <c r="C39" i="1" a="1"/>
  <c r="C120" i="1"/>
  <c r="H39" i="1" a="1"/>
  <c r="L26" i="1"/>
  <c r="I39" i="1" l="1"/>
  <c r="H39" i="1"/>
  <c r="D39" i="1"/>
  <c r="C39" i="1"/>
  <c r="C27" i="1"/>
  <c r="D27" i="1"/>
  <c r="L10" i="1" l="1" a="1"/>
  <c r="M10" i="1" s="1"/>
  <c r="H55" i="1" a="1"/>
  <c r="H55" i="1" s="1"/>
  <c r="C40" i="1" a="1"/>
  <c r="C119" i="1" a="1"/>
  <c r="H23" i="1" a="1"/>
  <c r="K39" i="1" a="1"/>
  <c r="K27" i="1" a="1"/>
  <c r="L27" i="1" s="1"/>
  <c r="C29" i="1" a="1"/>
  <c r="C29" i="1" s="1"/>
  <c r="C28" i="1" a="1"/>
  <c r="C28" i="1" s="1"/>
  <c r="N3" i="1" a="1"/>
  <c r="K27" i="1"/>
  <c r="L10" i="1" l="1"/>
  <c r="I23" i="1"/>
  <c r="H23" i="1"/>
  <c r="K23" i="1" s="1" a="1"/>
  <c r="C119" i="1"/>
  <c r="D119" i="1"/>
  <c r="K39" i="1"/>
  <c r="L39" i="1"/>
  <c r="C40" i="1"/>
  <c r="D40" i="1"/>
  <c r="D28" i="1"/>
  <c r="D29" i="1"/>
  <c r="K29" i="1" s="1" a="1"/>
  <c r="C107" i="1"/>
  <c r="N4" i="1"/>
  <c r="N3" i="1"/>
  <c r="C77" i="1" l="1" a="1"/>
  <c r="C78" i="1" a="1"/>
  <c r="C104" i="1"/>
  <c r="C105" i="1"/>
  <c r="L23" i="1"/>
  <c r="K23" i="1"/>
  <c r="H57" i="1" a="1"/>
  <c r="H57" i="1" s="1"/>
  <c r="K57" i="1" s="1"/>
  <c r="K29" i="1"/>
  <c r="L29" i="1"/>
  <c r="K28" i="1" a="1"/>
  <c r="C58" i="1" a="1"/>
  <c r="C58" i="1" s="1"/>
  <c r="C62" i="1" a="1"/>
  <c r="C62" i="1" s="1"/>
  <c r="H42" i="1" s="1" a="1"/>
  <c r="H42" i="1" s="1"/>
  <c r="P3" i="1" a="1"/>
  <c r="P3" i="1" s="1"/>
  <c r="C97" i="1" a="1"/>
  <c r="C98" i="1" a="1"/>
  <c r="C64" i="1" a="1"/>
  <c r="C64" i="1" s="1"/>
  <c r="C63" i="1" a="1"/>
  <c r="C63" i="1" s="1"/>
  <c r="C63" i="2" s="1"/>
  <c r="O3" i="1" a="1"/>
  <c r="O4" i="1" s="1"/>
  <c r="H43" i="1" l="1" a="1"/>
  <c r="H43" i="1" s="1"/>
  <c r="I41" i="1"/>
  <c r="H41" i="1" a="1"/>
  <c r="H41" i="1" s="1"/>
  <c r="F104" i="1"/>
  <c r="D78" i="1"/>
  <c r="C78" i="1"/>
  <c r="D77" i="1"/>
  <c r="C77" i="1"/>
  <c r="P4" i="1"/>
  <c r="R4" i="1" s="1"/>
  <c r="C62" i="2"/>
  <c r="K55" i="1" a="1"/>
  <c r="K55" i="1" s="1"/>
  <c r="K28" i="1"/>
  <c r="L28" i="1"/>
  <c r="K42" i="1" a="1"/>
  <c r="L42" i="1" s="1"/>
  <c r="O3" i="1"/>
  <c r="R3" i="1" s="1"/>
  <c r="M12" i="1"/>
  <c r="L12" i="1"/>
  <c r="F77" i="1" l="1" a="1"/>
  <c r="H40" i="1" a="1"/>
  <c r="H38" i="1" a="1"/>
  <c r="C66" i="2"/>
  <c r="M14" i="1"/>
  <c r="K43" i="1" a="1"/>
  <c r="L43" i="1" s="1"/>
  <c r="K42" i="1"/>
  <c r="L14" i="1"/>
  <c r="F105" i="1" a="1"/>
  <c r="F105" i="1" s="1"/>
  <c r="K41" i="1" a="1"/>
  <c r="K41" i="1" s="1"/>
  <c r="C98" i="1"/>
  <c r="C97" i="1"/>
  <c r="D97" i="1"/>
  <c r="D98" i="1"/>
  <c r="C65" i="1" l="1" a="1"/>
  <c r="C65" i="1" s="1"/>
  <c r="C67" i="2"/>
  <c r="H38" i="1"/>
  <c r="I38" i="1"/>
  <c r="H40" i="1"/>
  <c r="I40" i="1"/>
  <c r="F77" i="1"/>
  <c r="G77" i="1"/>
  <c r="H44" i="1" a="1"/>
  <c r="H44" i="1" s="1"/>
  <c r="L41" i="1"/>
  <c r="N21" i="1" a="1"/>
  <c r="N21" i="1" s="1"/>
  <c r="H24" i="1" a="1"/>
  <c r="H24" i="1" s="1"/>
  <c r="F97" i="1" a="1"/>
  <c r="F97" i="1" s="1"/>
  <c r="H37" i="1" a="1"/>
  <c r="I37" i="1" s="1"/>
  <c r="K43" i="1"/>
  <c r="P53" i="38" l="1"/>
  <c r="P83" i="38" s="1"/>
  <c r="AJ53" i="38"/>
  <c r="AJ83" i="38" s="1"/>
  <c r="J53" i="38"/>
  <c r="J83" i="38" s="1"/>
  <c r="AF53" i="38"/>
  <c r="AF83" i="38" s="1"/>
  <c r="AV53" i="38"/>
  <c r="AV83" i="38" s="1"/>
  <c r="D53" i="38"/>
  <c r="D83" i="38" s="1"/>
  <c r="Z53" i="38"/>
  <c r="Z83" i="38" s="1"/>
  <c r="T53" i="38"/>
  <c r="T83" i="38" s="1"/>
  <c r="AP53" i="38"/>
  <c r="AP83" i="38" s="1"/>
  <c r="AD53" i="38"/>
  <c r="AD83" i="38" s="1"/>
  <c r="L53" i="38"/>
  <c r="L83" i="38" s="1"/>
  <c r="H53" i="38"/>
  <c r="H83" i="38" s="1"/>
  <c r="R53" i="38"/>
  <c r="R83" i="38" s="1"/>
  <c r="AL53" i="38"/>
  <c r="AL83" i="38" s="1"/>
  <c r="AR53" i="38"/>
  <c r="AR83" i="38" s="1"/>
  <c r="B53" i="38"/>
  <c r="B83" i="38" s="1"/>
  <c r="AH53" i="38"/>
  <c r="AH83" i="38" s="1"/>
  <c r="V53" i="38"/>
  <c r="V83" i="38" s="1"/>
  <c r="AT53" i="38"/>
  <c r="AT83" i="38" s="1"/>
  <c r="N53" i="38"/>
  <c r="N83" i="38" s="1"/>
  <c r="X53" i="38"/>
  <c r="X83" i="38" s="1"/>
  <c r="F53" i="38"/>
  <c r="F83" i="38" s="1"/>
  <c r="AB53" i="38"/>
  <c r="AB83" i="38" s="1"/>
  <c r="AN53" i="38"/>
  <c r="AN83" i="38" s="1"/>
  <c r="J53" i="21"/>
  <c r="J83" i="21" s="1"/>
  <c r="D53" i="21"/>
  <c r="D83" i="21" s="1"/>
  <c r="AF53" i="21"/>
  <c r="AF83" i="21" s="1"/>
  <c r="T53" i="21"/>
  <c r="T83" i="21" s="1"/>
  <c r="AV53" i="21"/>
  <c r="AV83" i="21" s="1"/>
  <c r="V53" i="21"/>
  <c r="V83" i="21" s="1"/>
  <c r="P53" i="21"/>
  <c r="P83" i="21" s="1"/>
  <c r="AJ53" i="21"/>
  <c r="AJ83" i="21" s="1"/>
  <c r="L53" i="21"/>
  <c r="L83" i="21" s="1"/>
  <c r="X53" i="21"/>
  <c r="X83" i="21" s="1"/>
  <c r="AB53" i="21"/>
  <c r="AB83" i="21" s="1"/>
  <c r="H53" i="21"/>
  <c r="H83" i="21" s="1"/>
  <c r="AN53" i="21"/>
  <c r="AN83" i="21" s="1"/>
  <c r="AR53" i="21"/>
  <c r="AR83" i="21" s="1"/>
  <c r="N53" i="21"/>
  <c r="N83" i="21" s="1"/>
  <c r="Z53" i="21"/>
  <c r="Z83" i="21" s="1"/>
  <c r="F53" i="21"/>
  <c r="F83" i="21" s="1"/>
  <c r="R53" i="21"/>
  <c r="R83" i="21" s="1"/>
  <c r="AP53" i="21"/>
  <c r="AP83" i="21" s="1"/>
  <c r="AT53" i="21"/>
  <c r="AT83" i="21" s="1"/>
  <c r="AL53" i="21"/>
  <c r="AL83" i="21" s="1"/>
  <c r="AH53" i="21"/>
  <c r="AH83" i="21" s="1"/>
  <c r="AD53" i="21"/>
  <c r="AD83" i="21" s="1"/>
  <c r="B53" i="21"/>
  <c r="B83" i="21" s="1"/>
  <c r="AD53" i="24"/>
  <c r="AD83" i="24" s="1"/>
  <c r="AV53" i="24"/>
  <c r="AV83" i="24" s="1"/>
  <c r="D53" i="24"/>
  <c r="D83" i="24" s="1"/>
  <c r="AT53" i="24"/>
  <c r="AT83" i="24" s="1"/>
  <c r="B53" i="24"/>
  <c r="B83" i="24" s="1"/>
  <c r="T53" i="24"/>
  <c r="T83" i="24" s="1"/>
  <c r="R53" i="24"/>
  <c r="R83" i="24" s="1"/>
  <c r="AJ53" i="24"/>
  <c r="AJ83" i="24" s="1"/>
  <c r="P53" i="24"/>
  <c r="P83" i="24" s="1"/>
  <c r="AH53" i="24"/>
  <c r="AH83" i="24" s="1"/>
  <c r="N53" i="24"/>
  <c r="N83" i="24" s="1"/>
  <c r="AF53" i="24"/>
  <c r="AF83" i="24" s="1"/>
  <c r="AR53" i="24"/>
  <c r="AR83" i="24" s="1"/>
  <c r="F53" i="24"/>
  <c r="F83" i="24" s="1"/>
  <c r="H53" i="24"/>
  <c r="H83" i="24" s="1"/>
  <c r="J53" i="24"/>
  <c r="J83" i="24" s="1"/>
  <c r="V53" i="24"/>
  <c r="V83" i="24" s="1"/>
  <c r="X53" i="24"/>
  <c r="X83" i="24" s="1"/>
  <c r="Z53" i="24"/>
  <c r="Z83" i="24" s="1"/>
  <c r="AB53" i="24"/>
  <c r="AB83" i="24" s="1"/>
  <c r="AL53" i="24"/>
  <c r="AL83" i="24" s="1"/>
  <c r="AN53" i="24"/>
  <c r="AN83" i="24" s="1"/>
  <c r="AP53" i="24"/>
  <c r="AP83" i="24" s="1"/>
  <c r="L53" i="24"/>
  <c r="L83" i="24" s="1"/>
  <c r="AV53" i="18"/>
  <c r="AV83" i="18" s="1"/>
  <c r="T53" i="18"/>
  <c r="T83" i="18" s="1"/>
  <c r="AJ53" i="18"/>
  <c r="AJ83" i="18" s="1"/>
  <c r="P53" i="18"/>
  <c r="P83" i="18" s="1"/>
  <c r="AF53" i="18"/>
  <c r="AF83" i="18" s="1"/>
  <c r="D53" i="18"/>
  <c r="D83" i="18" s="1"/>
  <c r="R53" i="18"/>
  <c r="R83" i="18" s="1"/>
  <c r="Z53" i="18"/>
  <c r="Z83" i="18" s="1"/>
  <c r="AR53" i="18"/>
  <c r="AR83" i="18" s="1"/>
  <c r="B53" i="18"/>
  <c r="B83" i="18" s="1"/>
  <c r="AL53" i="18"/>
  <c r="AL83" i="18" s="1"/>
  <c r="AB53" i="18"/>
  <c r="AB83" i="18" s="1"/>
  <c r="AT53" i="18"/>
  <c r="AT83" i="18" s="1"/>
  <c r="H53" i="18"/>
  <c r="H83" i="18" s="1"/>
  <c r="AN53" i="18"/>
  <c r="AN83" i="18" s="1"/>
  <c r="L53" i="18"/>
  <c r="L83" i="18" s="1"/>
  <c r="AP53" i="18"/>
  <c r="AP83" i="18" s="1"/>
  <c r="AD53" i="18"/>
  <c r="AD83" i="18" s="1"/>
  <c r="V53" i="18"/>
  <c r="V83" i="18" s="1"/>
  <c r="F53" i="18"/>
  <c r="F83" i="18" s="1"/>
  <c r="X53" i="18"/>
  <c r="X83" i="18" s="1"/>
  <c r="AH53" i="18"/>
  <c r="AH83" i="18" s="1"/>
  <c r="J53" i="18"/>
  <c r="J83" i="18" s="1"/>
  <c r="N53" i="18"/>
  <c r="N83" i="18" s="1"/>
  <c r="P53" i="22"/>
  <c r="P83" i="22" s="1"/>
  <c r="AJ53" i="22"/>
  <c r="AJ83" i="22" s="1"/>
  <c r="AV53" i="22"/>
  <c r="AV83" i="22" s="1"/>
  <c r="Z53" i="22"/>
  <c r="Z83" i="22" s="1"/>
  <c r="AH53" i="22"/>
  <c r="AH83" i="22" s="1"/>
  <c r="J53" i="22"/>
  <c r="J83" i="22" s="1"/>
  <c r="AF53" i="22"/>
  <c r="AF83" i="22" s="1"/>
  <c r="AP53" i="22"/>
  <c r="AP83" i="22" s="1"/>
  <c r="H53" i="22"/>
  <c r="H83" i="22" s="1"/>
  <c r="AD53" i="22"/>
  <c r="AD83" i="22" s="1"/>
  <c r="AL53" i="22"/>
  <c r="AL83" i="22" s="1"/>
  <c r="R53" i="22"/>
  <c r="R83" i="22" s="1"/>
  <c r="T53" i="22"/>
  <c r="T83" i="22" s="1"/>
  <c r="L53" i="22"/>
  <c r="L83" i="22" s="1"/>
  <c r="V53" i="22"/>
  <c r="V83" i="22" s="1"/>
  <c r="AR53" i="22"/>
  <c r="AR83" i="22" s="1"/>
  <c r="B53" i="22"/>
  <c r="B83" i="22" s="1"/>
  <c r="D53" i="22"/>
  <c r="D83" i="22" s="1"/>
  <c r="AB53" i="22"/>
  <c r="AB83" i="22" s="1"/>
  <c r="X53" i="22"/>
  <c r="X83" i="22" s="1"/>
  <c r="AT53" i="22"/>
  <c r="AT83" i="22" s="1"/>
  <c r="AN53" i="22"/>
  <c r="AN83" i="22" s="1"/>
  <c r="F53" i="22"/>
  <c r="F83" i="22" s="1"/>
  <c r="N53" i="22"/>
  <c r="N83" i="22" s="1"/>
  <c r="V53" i="12"/>
  <c r="V83" i="12" s="1"/>
  <c r="AF53" i="12"/>
  <c r="AF83" i="12" s="1"/>
  <c r="AN53" i="12"/>
  <c r="AN83" i="12" s="1"/>
  <c r="P53" i="12"/>
  <c r="P83" i="12" s="1"/>
  <c r="AL53" i="12"/>
  <c r="AL83" i="12" s="1"/>
  <c r="AV53" i="12"/>
  <c r="AV83" i="12" s="1"/>
  <c r="F53" i="12"/>
  <c r="F83" i="12" s="1"/>
  <c r="X53" i="12"/>
  <c r="X83" i="12" s="1"/>
  <c r="L53" i="12"/>
  <c r="L83" i="12" s="1"/>
  <c r="Z53" i="12"/>
  <c r="Z83" i="12" s="1"/>
  <c r="R53" i="12"/>
  <c r="R83" i="12" s="1"/>
  <c r="T53" i="12"/>
  <c r="T83" i="12" s="1"/>
  <c r="AP53" i="12"/>
  <c r="AP83" i="12" s="1"/>
  <c r="B53" i="12"/>
  <c r="B83" i="12" s="1"/>
  <c r="AB53" i="12"/>
  <c r="AB83" i="12" s="1"/>
  <c r="H53" i="12"/>
  <c r="H83" i="12" s="1"/>
  <c r="D53" i="12"/>
  <c r="D83" i="12" s="1"/>
  <c r="AD53" i="12"/>
  <c r="AD83" i="12" s="1"/>
  <c r="AT53" i="12"/>
  <c r="AT83" i="12" s="1"/>
  <c r="J53" i="12"/>
  <c r="J83" i="12" s="1"/>
  <c r="AH53" i="12"/>
  <c r="AH83" i="12" s="1"/>
  <c r="N53" i="12"/>
  <c r="N83" i="12" s="1"/>
  <c r="AR53" i="12"/>
  <c r="AR83" i="12" s="1"/>
  <c r="AJ53" i="12"/>
  <c r="AJ83" i="12" s="1"/>
  <c r="AL53" i="11"/>
  <c r="AL83" i="11" s="1"/>
  <c r="J53" i="11"/>
  <c r="J83" i="11" s="1"/>
  <c r="AF53" i="11"/>
  <c r="AF83" i="11" s="1"/>
  <c r="P53" i="11"/>
  <c r="P83" i="11" s="1"/>
  <c r="F53" i="11"/>
  <c r="F83" i="11" s="1"/>
  <c r="Z53" i="11"/>
  <c r="Z83" i="11" s="1"/>
  <c r="AV53" i="11"/>
  <c r="AV83" i="11" s="1"/>
  <c r="AP53" i="11"/>
  <c r="AP83" i="11" s="1"/>
  <c r="X53" i="11"/>
  <c r="X83" i="11" s="1"/>
  <c r="AB53" i="11"/>
  <c r="AB83" i="11" s="1"/>
  <c r="R53" i="11"/>
  <c r="R83" i="11" s="1"/>
  <c r="AT53" i="11"/>
  <c r="AT83" i="11" s="1"/>
  <c r="L53" i="11"/>
  <c r="L83" i="11" s="1"/>
  <c r="AR53" i="11"/>
  <c r="AR83" i="11" s="1"/>
  <c r="B53" i="11"/>
  <c r="B83" i="11" s="1"/>
  <c r="V53" i="11"/>
  <c r="V83" i="11" s="1"/>
  <c r="D53" i="11"/>
  <c r="D83" i="11" s="1"/>
  <c r="N53" i="11"/>
  <c r="N83" i="11" s="1"/>
  <c r="H53" i="11"/>
  <c r="H83" i="11" s="1"/>
  <c r="AJ53" i="11"/>
  <c r="AJ83" i="11" s="1"/>
  <c r="AD53" i="11"/>
  <c r="AD83" i="11" s="1"/>
  <c r="AN53" i="11"/>
  <c r="AN83" i="11" s="1"/>
  <c r="T53" i="11"/>
  <c r="T83" i="11" s="1"/>
  <c r="AH53" i="11"/>
  <c r="AH83" i="11" s="1"/>
  <c r="AJ53" i="3" a="1"/>
  <c r="AJ53" i="3" s="1"/>
  <c r="AJ83" i="3" s="1"/>
  <c r="D53" i="3" a="1"/>
  <c r="AB53" i="3" a="1"/>
  <c r="Z53" i="3" a="1"/>
  <c r="T53" i="3" a="1"/>
  <c r="R53" i="3" a="1"/>
  <c r="R53" i="3" s="1"/>
  <c r="R83" i="3" s="1"/>
  <c r="P53" i="3" a="1"/>
  <c r="AT53" i="3" a="1"/>
  <c r="AT53" i="3" s="1"/>
  <c r="AT83" i="3" s="1"/>
  <c r="L53" i="3" a="1"/>
  <c r="L53" i="3" s="1"/>
  <c r="L83" i="3" s="1"/>
  <c r="J53" i="3" a="1"/>
  <c r="J53" i="3" s="1"/>
  <c r="J83" i="3" s="1"/>
  <c r="H53" i="3" a="1"/>
  <c r="H53" i="3" s="1"/>
  <c r="H83" i="3" s="1"/>
  <c r="AL53" i="3" a="1"/>
  <c r="AL53" i="3" s="1"/>
  <c r="AL83" i="3" s="1"/>
  <c r="AH53" i="3" a="1"/>
  <c r="AH53" i="3" s="1"/>
  <c r="AH83" i="3" s="1"/>
  <c r="B53" i="3" a="1"/>
  <c r="B53" i="3" s="1"/>
  <c r="B83" i="3" s="1"/>
  <c r="AF53" i="3" a="1"/>
  <c r="AF53" i="3" s="1"/>
  <c r="AF83" i="3" s="1"/>
  <c r="AD53" i="3" a="1"/>
  <c r="AD53" i="3" s="1"/>
  <c r="AD83" i="3" s="1"/>
  <c r="X53" i="3" a="1"/>
  <c r="X53" i="3" s="1"/>
  <c r="X83" i="3" s="1"/>
  <c r="V53" i="3" a="1"/>
  <c r="AV53" i="3" a="1"/>
  <c r="AV53" i="3" s="1"/>
  <c r="AV83" i="3" s="1"/>
  <c r="N53" i="3" a="1"/>
  <c r="N53" i="3" s="1"/>
  <c r="N83" i="3" s="1"/>
  <c r="AR53" i="3" a="1"/>
  <c r="AP53" i="3" a="1"/>
  <c r="AP53" i="3" s="1"/>
  <c r="AP83" i="3" s="1"/>
  <c r="AN53" i="3" a="1"/>
  <c r="AN53" i="3" s="1"/>
  <c r="AN83" i="3" s="1"/>
  <c r="F53" i="3" a="1"/>
  <c r="K65" i="1"/>
  <c r="AR53" i="3"/>
  <c r="AR83" i="3" s="1"/>
  <c r="Z53" i="3"/>
  <c r="Z83" i="3" s="1"/>
  <c r="AB53" i="3"/>
  <c r="AB83" i="3" s="1"/>
  <c r="F53" i="3"/>
  <c r="F83" i="3" s="1"/>
  <c r="V53" i="3"/>
  <c r="V83" i="3" s="1"/>
  <c r="D53" i="3"/>
  <c r="D83" i="3" s="1"/>
  <c r="T53" i="3"/>
  <c r="T83" i="3" s="1"/>
  <c r="P53" i="3"/>
  <c r="P83" i="3" s="1"/>
  <c r="C65" i="2"/>
  <c r="K59" i="2" s="1" a="1"/>
  <c r="F78" i="1" a="1"/>
  <c r="G78" i="1" s="1"/>
  <c r="O21" i="1"/>
  <c r="I44" i="1"/>
  <c r="G97" i="1"/>
  <c r="F98" i="1" s="1" a="1"/>
  <c r="F98" i="1" s="1"/>
  <c r="H37" i="1"/>
  <c r="K37" i="1" s="1" a="1"/>
  <c r="I24" i="1"/>
  <c r="K44" i="1" a="1"/>
  <c r="K44" i="1" s="1"/>
  <c r="F78" i="1" l="1"/>
  <c r="K37" i="1"/>
  <c r="K38" i="1" a="1"/>
  <c r="K38" i="1" s="1"/>
  <c r="G98" i="1"/>
  <c r="L37" i="1"/>
  <c r="L44" i="1"/>
  <c r="K24" i="1" a="1"/>
  <c r="K24" i="1" s="1"/>
  <c r="K40" i="1" a="1"/>
  <c r="L40" i="1" s="1"/>
  <c r="L38" i="1" l="1"/>
  <c r="K40" i="1"/>
  <c r="L24" i="1"/>
  <c r="D39" i="2" l="1"/>
  <c r="K41" i="2" s="1"/>
  <c r="D32" i="2"/>
  <c r="C57" i="2"/>
  <c r="D21" i="2"/>
  <c r="D23" i="2"/>
  <c r="C21" i="2"/>
  <c r="C23" i="2"/>
  <c r="C39" i="2"/>
  <c r="C29" i="2" l="1" a="1"/>
  <c r="D29" i="2" s="1"/>
  <c r="C27" i="2" a="1"/>
  <c r="D27" i="2" s="1"/>
  <c r="C28" i="2" a="1"/>
  <c r="C28" i="2" s="1"/>
  <c r="L10" i="2" a="1"/>
  <c r="M10" i="2" s="1"/>
  <c r="O12" i="2" a="1"/>
  <c r="P12" i="2" s="1"/>
  <c r="L7" i="2" a="1"/>
  <c r="L7" i="2" s="1"/>
  <c r="C55" i="2" a="1"/>
  <c r="C55" i="2" s="1"/>
  <c r="C24" i="2" a="1"/>
  <c r="D24" i="2" s="1"/>
  <c r="C25" i="2" a="1"/>
  <c r="C27" i="2"/>
  <c r="C32" i="2"/>
  <c r="C29" i="2" l="1"/>
  <c r="K55" i="2" s="1"/>
  <c r="D28" i="2"/>
  <c r="AK58" i="2" a="1"/>
  <c r="O12" i="2"/>
  <c r="L10" i="2"/>
  <c r="M7" i="2"/>
  <c r="C24" i="2"/>
  <c r="C40" i="2" s="1" a="1"/>
  <c r="D40" i="2" s="1"/>
  <c r="H23" i="2" a="1"/>
  <c r="C26" i="2"/>
  <c r="D26" i="2"/>
  <c r="D25" i="2"/>
  <c r="C25" i="2"/>
  <c r="C42" i="2" a="1"/>
  <c r="C42" i="2" s="1"/>
  <c r="AE58" i="2" a="1"/>
  <c r="W59" i="2" a="1"/>
  <c r="Y58" i="2" a="1"/>
  <c r="AC58" i="2" a="1"/>
  <c r="AA56" i="2" a="1"/>
  <c r="AI55" i="2" a="1"/>
  <c r="Q34" i="2" a="1"/>
  <c r="R34" i="2" s="1"/>
  <c r="AC58" i="2" l="1"/>
  <c r="Y58" i="2"/>
  <c r="W59" i="2"/>
  <c r="AE58" i="2"/>
  <c r="P3" i="2" a="1"/>
  <c r="P3" i="2" s="1"/>
  <c r="AI55" i="2"/>
  <c r="AK58" i="2"/>
  <c r="AA56" i="2"/>
  <c r="C38" i="2" a="1"/>
  <c r="D38" i="2" s="1"/>
  <c r="T21" i="2" a="1"/>
  <c r="U21" i="2" s="1"/>
  <c r="C44" i="2" a="1"/>
  <c r="H23" i="2"/>
  <c r="I23" i="2"/>
  <c r="Q34" i="2"/>
  <c r="C40" i="2"/>
  <c r="O3" i="2" a="1"/>
  <c r="O3" i="2" s="1"/>
  <c r="P4" i="2" l="1"/>
  <c r="C38" i="2"/>
  <c r="L9" i="2" s="1" a="1"/>
  <c r="M9" i="2" s="1"/>
  <c r="C44" i="2"/>
  <c r="D44" i="2"/>
  <c r="H37" i="2" a="1"/>
  <c r="T21" i="2"/>
  <c r="Q38" i="2" a="1"/>
  <c r="R38" i="2" s="1"/>
  <c r="Q23" i="2" a="1"/>
  <c r="O4" i="2"/>
  <c r="C35" i="2" a="1"/>
  <c r="L9" i="2" l="1"/>
  <c r="H37" i="2"/>
  <c r="I37" i="2"/>
  <c r="K23" i="2" a="1"/>
  <c r="Q3" i="2" a="1"/>
  <c r="C59" i="2" a="1"/>
  <c r="C59" i="2" s="1"/>
  <c r="Q38" i="2"/>
  <c r="C58" i="2" a="1"/>
  <c r="R23" i="2"/>
  <c r="Q23" i="2"/>
  <c r="K37" i="2" a="1"/>
  <c r="C64" i="2" l="1" a="1"/>
  <c r="AG57" i="2"/>
  <c r="C58" i="2"/>
  <c r="D41" i="2" s="1"/>
  <c r="L37" i="2"/>
  <c r="W57" i="2"/>
  <c r="C64" i="2"/>
  <c r="Y57" i="2"/>
  <c r="AK57" i="2"/>
  <c r="Q4" i="2"/>
  <c r="Q3" i="2"/>
  <c r="L23" i="2"/>
  <c r="K23" i="2"/>
  <c r="AA57" i="2"/>
  <c r="U57" i="2"/>
  <c r="AC57" i="2"/>
  <c r="AE57" i="2"/>
  <c r="K37" i="2"/>
  <c r="C41" i="2" l="1"/>
  <c r="N3" i="2" s="1" a="1"/>
  <c r="N4" i="2" s="1"/>
  <c r="C60" i="2" l="1" a="1"/>
  <c r="C60" i="2" s="1"/>
  <c r="K56" i="2" s="1"/>
  <c r="Q58" i="2" a="1"/>
  <c r="Q58" i="2" s="1"/>
  <c r="Q57" i="2" a="1"/>
  <c r="Q57" i="2" s="1"/>
  <c r="C56" i="2"/>
  <c r="N3" i="2"/>
  <c r="AG56" i="2" l="1" a="1"/>
  <c r="AG56" i="2" s="1"/>
  <c r="AI56" i="2" a="1"/>
  <c r="AI56" i="2" s="1"/>
  <c r="AK56" i="2" a="1"/>
  <c r="AK56" i="2" s="1"/>
  <c r="AE56" i="2" a="1"/>
  <c r="AE56" i="2" s="1"/>
  <c r="AC56" i="2" a="1"/>
  <c r="AC56" i="2" s="1"/>
  <c r="C35" i="2"/>
  <c r="D35" i="2"/>
  <c r="C70" i="2" l="1" a="1"/>
  <c r="C70" i="2" s="1"/>
  <c r="N21" i="2" a="1"/>
  <c r="O35" i="2" s="1"/>
  <c r="C48" i="2" a="1"/>
  <c r="D48" i="2" s="1"/>
  <c r="H21" i="2" a="1"/>
  <c r="H21" i="2" s="1"/>
  <c r="N35" i="2" l="1"/>
  <c r="I21" i="2"/>
  <c r="D70" i="2"/>
  <c r="C48" i="2"/>
  <c r="O33" i="2"/>
  <c r="O29" i="2"/>
  <c r="O25" i="2"/>
  <c r="O24" i="2"/>
  <c r="N29" i="2"/>
  <c r="O32" i="2"/>
  <c r="O31" i="2"/>
  <c r="O30" i="2"/>
  <c r="N31" i="2"/>
  <c r="N28" i="2"/>
  <c r="N25" i="2"/>
  <c r="N30" i="2"/>
  <c r="N24" i="2"/>
  <c r="N27" i="2"/>
  <c r="N32" i="2"/>
  <c r="N22" i="2"/>
  <c r="N23" i="2"/>
  <c r="O27" i="2"/>
  <c r="O26" i="2"/>
  <c r="O22" i="2"/>
  <c r="O28" i="2"/>
  <c r="O21" i="2"/>
  <c r="N21" i="2"/>
  <c r="N26" i="2"/>
  <c r="O23" i="2"/>
  <c r="N33" i="2"/>
  <c r="O34" i="2"/>
  <c r="N34" i="2"/>
  <c r="Q21" i="2" l="1" a="1"/>
  <c r="Q21" i="2" s="1"/>
  <c r="Q37" i="2" a="1"/>
  <c r="C71" i="2" a="1"/>
  <c r="C47" i="2" a="1"/>
  <c r="K21" i="2" a="1"/>
  <c r="K21" i="2" s="1"/>
  <c r="R21" i="2" l="1"/>
  <c r="L21" i="2"/>
  <c r="C47" i="2"/>
  <c r="K58" i="2" s="1"/>
  <c r="D47" i="2"/>
  <c r="L58" i="2" s="1"/>
  <c r="C71" i="2"/>
  <c r="D71" i="2"/>
  <c r="Q37" i="2"/>
  <c r="R37" i="2"/>
  <c r="AG58" i="2" l="1" a="1"/>
  <c r="AG58" i="2" s="1"/>
  <c r="AL58" i="2"/>
  <c r="AI58" i="2" a="1"/>
  <c r="AJ58" i="2" s="1"/>
  <c r="AA58" i="2" a="1"/>
  <c r="AA58" i="2" s="1"/>
  <c r="U58" i="2" a="1"/>
  <c r="V58" i="2" s="1"/>
  <c r="AF58" i="2"/>
  <c r="AD58" i="2"/>
  <c r="Z58" i="2"/>
  <c r="W58" i="2" a="1"/>
  <c r="Q32" i="2" a="1"/>
  <c r="R32" i="2" s="1"/>
  <c r="Q45" i="2" a="1"/>
  <c r="R45" i="2" s="1"/>
  <c r="C46" i="2" a="1"/>
  <c r="Q48" i="2" a="1"/>
  <c r="Q35" i="2" a="1"/>
  <c r="H39" i="2" a="1"/>
  <c r="L3" i="2" a="1"/>
  <c r="AH58" i="2" l="1"/>
  <c r="AI58" i="2"/>
  <c r="U58" i="2"/>
  <c r="AB58" i="2"/>
  <c r="X58" i="2"/>
  <c r="W58" i="2"/>
  <c r="Q32" i="2"/>
  <c r="Q45" i="2"/>
  <c r="C46" i="2"/>
  <c r="D46" i="2"/>
  <c r="I39" i="2"/>
  <c r="H39" i="2"/>
  <c r="Q48" i="2"/>
  <c r="R48" i="2"/>
  <c r="L3" i="2"/>
  <c r="M3" i="2"/>
  <c r="L4" i="2"/>
  <c r="M4" i="2"/>
  <c r="Q35" i="2"/>
  <c r="R35" i="2"/>
  <c r="K57" i="2" l="1"/>
  <c r="K59" i="2"/>
  <c r="Y59" i="2" a="1"/>
  <c r="Y59" i="2" s="1"/>
  <c r="AG55" i="2" a="1"/>
  <c r="AG55" i="2" s="1"/>
  <c r="AG59" i="2" a="1"/>
  <c r="AG59" i="2" s="1"/>
  <c r="R3" i="2" a="1"/>
  <c r="R3" i="2" s="1"/>
  <c r="R4" i="2" a="1"/>
  <c r="R4" i="2" s="1"/>
  <c r="AK55" i="2"/>
  <c r="AI57" i="2" a="1"/>
  <c r="AI57" i="2" s="1"/>
  <c r="AE55" i="2"/>
  <c r="AC55" i="2"/>
  <c r="U55" i="2"/>
  <c r="AA55" i="2"/>
  <c r="Y55" i="2"/>
  <c r="W55" i="2"/>
  <c r="Q33" i="2" a="1"/>
  <c r="Q33" i="2" s="1"/>
  <c r="Q46" i="2" a="1"/>
  <c r="R46" i="2" s="1"/>
  <c r="L5" i="2" a="1"/>
  <c r="L6" i="2" a="1"/>
  <c r="C72" i="2" a="1"/>
  <c r="N37" i="2" a="1"/>
  <c r="Q47" i="2" a="1"/>
  <c r="C73" i="2" a="1"/>
  <c r="K34" i="2" a="1"/>
  <c r="K39" i="2" a="1"/>
  <c r="L39" i="2" s="1"/>
  <c r="AK59" i="2" l="1" a="1"/>
  <c r="AK59" i="2" s="1"/>
  <c r="AE59" i="2" a="1"/>
  <c r="AE59" i="2" s="1"/>
  <c r="U59" i="2" a="1"/>
  <c r="U59" i="2" s="1"/>
  <c r="AA59" i="2" a="1"/>
  <c r="AA59" i="2" s="1"/>
  <c r="AC59" i="2" a="1"/>
  <c r="AC59" i="2" s="1"/>
  <c r="AI59" i="2" a="1"/>
  <c r="AI59" i="2" s="1"/>
  <c r="R33" i="2"/>
  <c r="K39" i="2"/>
  <c r="Q46" i="2"/>
  <c r="N55" i="2" a="1"/>
  <c r="D72" i="2"/>
  <c r="C72" i="2"/>
  <c r="N39" i="2"/>
  <c r="O41" i="2"/>
  <c r="N40" i="2"/>
  <c r="N41" i="2"/>
  <c r="O42" i="2"/>
  <c r="N38" i="2"/>
  <c r="O38" i="2"/>
  <c r="O37" i="2"/>
  <c r="O39" i="2"/>
  <c r="O44" i="2"/>
  <c r="O43" i="2"/>
  <c r="O40" i="2"/>
  <c r="N43" i="2"/>
  <c r="N44" i="2"/>
  <c r="N37" i="2"/>
  <c r="N42" i="2"/>
  <c r="N48" i="2"/>
  <c r="O48" i="2"/>
  <c r="N47" i="2"/>
  <c r="O47" i="2"/>
  <c r="O45" i="2"/>
  <c r="N46" i="2"/>
  <c r="N45" i="2"/>
  <c r="O46" i="2"/>
  <c r="L6" i="2"/>
  <c r="M6" i="2"/>
  <c r="K34" i="2"/>
  <c r="L34" i="2"/>
  <c r="R47" i="2"/>
  <c r="Q47" i="2"/>
  <c r="L5" i="2"/>
  <c r="M5" i="2"/>
  <c r="D73" i="2"/>
  <c r="C73" i="2"/>
  <c r="R57" i="2" a="1"/>
  <c r="R57" i="2" s="1"/>
  <c r="L8" i="2" l="1" a="1"/>
  <c r="M8" i="2" s="1"/>
  <c r="M12" i="2" s="1"/>
  <c r="L17" i="2"/>
  <c r="N70" i="2" a="1"/>
  <c r="O72" i="2" s="1"/>
  <c r="N57" i="2"/>
  <c r="N59" i="2"/>
  <c r="N58" i="2"/>
  <c r="N56" i="2"/>
  <c r="N55" i="2"/>
  <c r="M14" i="2" l="1" a="1"/>
  <c r="M14" i="2" s="1"/>
  <c r="L8" i="2"/>
  <c r="L12" i="2" s="1"/>
  <c r="N70" i="2"/>
  <c r="O70" i="2"/>
  <c r="N71" i="2"/>
  <c r="O71" i="2"/>
  <c r="O73" i="2"/>
  <c r="N73" i="2"/>
  <c r="N72" i="2"/>
  <c r="L14" i="2" l="1" a="1"/>
  <c r="L14"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Frédéric Ghersi</author>
    <author>tc={C96615DD-9C03-4E40-B6D8-F4143B40B058}</author>
    <author>tc={D3DFF277-FA45-464F-847A-E2B29A5F813E}</author>
  </authors>
  <commentList>
    <comment ref="E57" authorId="0" shapeId="0" xr:uid="{00000000-0006-0000-0000-000001000000}">
      <text>
        <r>
          <rPr>
            <b/>
            <sz val="9"/>
            <color indexed="81"/>
            <rFont val="Tahoma"/>
            <family val="2"/>
          </rPr>
          <t>Frédéric Ghersi:</t>
        </r>
        <r>
          <rPr>
            <sz val="9"/>
            <color indexed="81"/>
            <rFont val="Tahoma"/>
            <family val="2"/>
          </rPr>
          <t xml:space="preserve">
PIB UE en dollars x PIB France en euros / PIB France en dollars, 2019. Extrait le 16 février 2024.</t>
        </r>
      </text>
    </comment>
    <comment ref="C66" authorId="0" shapeId="0" xr:uid="{00000000-0006-0000-0000-000002000000}">
      <text>
        <r>
          <rPr>
            <b/>
            <sz val="9"/>
            <color indexed="81"/>
            <rFont val="Tahoma"/>
            <family val="2"/>
          </rPr>
          <t>Frédéric Ghersi:</t>
        </r>
        <r>
          <rPr>
            <sz val="9"/>
            <color indexed="81"/>
            <rFont val="Tahoma"/>
            <family val="2"/>
          </rPr>
          <t xml:space="preserve">
Le taux est déterminé par solveur. Il est élevé parce que les dépenses publiques dépassent largement T, donc le déficit d'épargne publique est élevé. Une part des épargnes élevées sL et sK couvre en fait les impôts directs. Ou encore : les taux s'appliquent au revenu brut.</t>
        </r>
      </text>
    </comment>
    <comment ref="C97" authorId="1" shapeId="0" xr:uid="{00000000-0006-0000-0000-000003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Calibrage des coefficients de la CET</t>
      </text>
    </comment>
    <comment ref="B99" authorId="2" shapeId="0" xr:uid="{00000000-0006-0000-0000-000004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Elasticité CET</t>
      </text>
    </comment>
    <comment ref="C106" authorId="0" shapeId="0" xr:uid="{00000000-0006-0000-0000-000005000000}">
      <text>
        <r>
          <rPr>
            <b/>
            <sz val="9"/>
            <color indexed="81"/>
            <rFont val="Tahoma"/>
            <family val="2"/>
          </rPr>
          <t>Frédéric Ghersi:</t>
        </r>
        <r>
          <rPr>
            <sz val="9"/>
            <color indexed="81"/>
            <rFont val="Tahoma"/>
            <family val="2"/>
          </rPr>
          <t xml:space="preserve">
The long-term estimate from Lecca, P., McGregor, P. G., Swales, J. K., &amp; Turner, K. (2014). The added value from a general equilibrium analysis of increased efficiency in household energy use. Ecological economics, 100, 51-62.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Frédéric Ghersi</author>
  </authors>
  <commentList>
    <comment ref="C46" authorId="0" shapeId="0" xr:uid="{00000000-0006-0000-0100-000001000000}">
      <text>
        <r>
          <rPr>
            <b/>
            <sz val="9"/>
            <color indexed="81"/>
            <rFont val="Tahoma"/>
            <family val="2"/>
          </rPr>
          <t>Frédéric Ghersi:</t>
        </r>
        <r>
          <rPr>
            <sz val="9"/>
            <color indexed="81"/>
            <rFont val="Tahoma"/>
            <family val="2"/>
          </rPr>
          <t xml:space="preserve">
This flows from KL being a CES of K and L.</t>
        </r>
      </text>
    </comment>
    <comment ref="Y54" authorId="0" shapeId="0" xr:uid="{00000000-0006-0000-0100-000002000000}">
      <text>
        <r>
          <rPr>
            <b/>
            <sz val="9"/>
            <color indexed="81"/>
            <rFont val="Tahoma"/>
            <family val="2"/>
          </rPr>
          <t>Frédéric Ghersi:</t>
        </r>
        <r>
          <rPr>
            <sz val="9"/>
            <color indexed="81"/>
            <rFont val="Tahoma"/>
            <family val="2"/>
          </rPr>
          <t xml:space="preserve">
La constance de l'effort d'épargne ne change rien par rapport à Johansen (seule différence) puisque elle est mécaniquement induite par les constances de sI et sB dans Johansen. Donc Kaldor va chercher la rémunération des facteurs qui correspond strictement à celle de Johansen.</t>
        </r>
      </text>
    </comment>
    <comment ref="AA54" authorId="0" shapeId="0" xr:uid="{00000000-0006-0000-0100-000003000000}">
      <text>
        <r>
          <rPr>
            <b/>
            <sz val="9"/>
            <color indexed="81"/>
            <rFont val="Tahoma"/>
            <family val="2"/>
          </rPr>
          <t>Frédéric Ghersi:</t>
        </r>
        <r>
          <rPr>
            <sz val="9"/>
            <color indexed="81"/>
            <rFont val="Tahoma"/>
            <family val="2"/>
          </rPr>
          <t xml:space="preserve">
Par rapport au néoclassique, on substitue la contrainte de l'effort d'investissement à celle de la dotation en travail. Comme le prix des immobilisations progresse moins vite que celui du PIB (car le PIB comporte les consommations d'énergie), le volume d'investissement progresse plus vite que le PIB et produit un effet relance par la demande.</t>
        </r>
      </text>
    </comment>
    <comment ref="AK54" authorId="0" shapeId="0" xr:uid="{00000000-0006-0000-0100-000004000000}">
      <text>
        <r>
          <rPr>
            <b/>
            <sz val="9"/>
            <color indexed="81"/>
            <rFont val="Tahoma"/>
            <family val="2"/>
          </rPr>
          <t>Frédéric Ghersi:</t>
        </r>
        <r>
          <rPr>
            <sz val="9"/>
            <color indexed="81"/>
            <rFont val="Tahoma"/>
            <family val="2"/>
          </rPr>
          <t xml:space="preserve">
Option viciée ! Solutions multiples.</t>
        </r>
      </text>
    </comment>
    <comment ref="U58" authorId="0" shapeId="0" xr:uid="{00000000-0006-0000-0100-000006000000}">
      <text>
        <r>
          <rPr>
            <b/>
            <sz val="9"/>
            <color indexed="81"/>
            <rFont val="Tahoma"/>
            <family val="2"/>
          </rPr>
          <t>Frédéric Ghersi:</t>
        </r>
        <r>
          <rPr>
            <sz val="9"/>
            <color indexed="81"/>
            <rFont val="Tahoma"/>
            <family val="2"/>
          </rPr>
          <t xml:space="preserve">
This is optimal L input into KL CES considering pK and pL.</t>
        </r>
      </text>
    </comment>
    <comment ref="Z58" authorId="0" shapeId="0" xr:uid="{00000000-0006-0000-0100-000007000000}">
      <text>
        <r>
          <rPr>
            <b/>
            <sz val="9"/>
            <color indexed="81"/>
            <rFont val="Tahoma"/>
            <family val="2"/>
          </rPr>
          <t>Frédéric Ghersi:</t>
        </r>
        <r>
          <rPr>
            <sz val="9"/>
            <color indexed="81"/>
            <rFont val="Tahoma"/>
            <family val="2"/>
          </rPr>
          <t xml:space="preserve">
This is forcing the L intensity of KL to evolve in parallel in both sectors.</t>
        </r>
      </text>
    </comment>
  </commentList>
</comments>
</file>

<file path=xl/sharedStrings.xml><?xml version="1.0" encoding="utf-8"?>
<sst xmlns="http://schemas.openxmlformats.org/spreadsheetml/2006/main" count="1133" uniqueCount="199">
  <si>
    <t>X</t>
  </si>
  <si>
    <t>L net</t>
  </si>
  <si>
    <t>K</t>
  </si>
  <si>
    <t>M</t>
  </si>
  <si>
    <t>VAT</t>
  </si>
  <si>
    <t>EXCISE</t>
  </si>
  <si>
    <t>C</t>
  </si>
  <si>
    <t>G</t>
  </si>
  <si>
    <t>I</t>
  </si>
  <si>
    <t>L taxes</t>
  </si>
  <si>
    <t>Ouput taxes</t>
  </si>
  <si>
    <t>Distributed output</t>
  </si>
  <si>
    <t>pY</t>
  </si>
  <si>
    <t>pIC</t>
  </si>
  <si>
    <t>pC</t>
  </si>
  <si>
    <t>pG</t>
  </si>
  <si>
    <t>pX</t>
  </si>
  <si>
    <t>w</t>
  </si>
  <si>
    <t>pK</t>
  </si>
  <si>
    <t>Y</t>
  </si>
  <si>
    <t>tauY</t>
  </si>
  <si>
    <t>alpha</t>
  </si>
  <si>
    <t>lambda</t>
  </si>
  <si>
    <t>kappa</t>
  </si>
  <si>
    <t>COMPOSITE</t>
  </si>
  <si>
    <t>ENERGY</t>
  </si>
  <si>
    <t>tauL</t>
  </si>
  <si>
    <t>Labour</t>
  </si>
  <si>
    <t>Consumption</t>
  </si>
  <si>
    <t>pI</t>
  </si>
  <si>
    <t>Uses-Resources</t>
  </si>
  <si>
    <t>aKL</t>
  </si>
  <si>
    <t>bKL</t>
  </si>
  <si>
    <t>sigmaKL</t>
  </si>
  <si>
    <t>rhoKL</t>
  </si>
  <si>
    <t>KL</t>
  </si>
  <si>
    <t>pL</t>
  </si>
  <si>
    <t>aY</t>
  </si>
  <si>
    <t>bY</t>
  </si>
  <si>
    <t>sigmaY</t>
  </si>
  <si>
    <t>rhoY</t>
  </si>
  <si>
    <t>(pEY)</t>
  </si>
  <si>
    <t>Consistency check</t>
  </si>
  <si>
    <t>aU</t>
  </si>
  <si>
    <t>bU</t>
  </si>
  <si>
    <t>sigmaU</t>
  </si>
  <si>
    <t>rhoU</t>
  </si>
  <si>
    <t>U</t>
  </si>
  <si>
    <t>T</t>
  </si>
  <si>
    <t>aKLE</t>
  </si>
  <si>
    <t>bKLE</t>
  </si>
  <si>
    <t>sigmaKLE</t>
  </si>
  <si>
    <t>rhoKLE</t>
  </si>
  <si>
    <t>KLE</t>
  </si>
  <si>
    <t>Revenue</t>
  </si>
  <si>
    <t>(R, not allowed per XL naming conventions)</t>
  </si>
  <si>
    <t>(r, not allowed per XL naming conventions)</t>
  </si>
  <si>
    <t>(C, not allowed per XL naming conventions)</t>
  </si>
  <si>
    <t>(L, not allowed per XL naming conventions)</t>
  </si>
  <si>
    <t>Error</t>
  </si>
  <si>
    <t>Equation</t>
  </si>
  <si>
    <t>pKL</t>
  </si>
  <si>
    <t>pKLE</t>
  </si>
  <si>
    <t>(pMY)</t>
  </si>
  <si>
    <t>GDP</t>
  </si>
  <si>
    <t>Max error</t>
  </si>
  <si>
    <t>sigmaX</t>
  </si>
  <si>
    <t>Target</t>
  </si>
  <si>
    <t>Calibration</t>
  </si>
  <si>
    <t>ERROR1</t>
  </si>
  <si>
    <t>ERROR2</t>
  </si>
  <si>
    <t>ERROR3</t>
  </si>
  <si>
    <t>ERROR4</t>
  </si>
  <si>
    <t>ERROR5</t>
  </si>
  <si>
    <t>ERROR6</t>
  </si>
  <si>
    <t>B</t>
  </si>
  <si>
    <t>D</t>
  </si>
  <si>
    <t>pD</t>
  </si>
  <si>
    <t>IPC</t>
  </si>
  <si>
    <t>Variable</t>
  </si>
  <si>
    <t>Domestic saving rate</t>
  </si>
  <si>
    <t>Public spending effort</t>
  </si>
  <si>
    <t>Investment effort</t>
  </si>
  <si>
    <t>Saving rate on K income</t>
  </si>
  <si>
    <t>sK</t>
  </si>
  <si>
    <t>sL</t>
  </si>
  <si>
    <t>Model</t>
  </si>
  <si>
    <t>En rouge variable du solveur</t>
  </si>
  <si>
    <t>ERROR7</t>
  </si>
  <si>
    <t>Neoclassical</t>
  </si>
  <si>
    <t>Johansen</t>
  </si>
  <si>
    <t>Calibration!sL</t>
  </si>
  <si>
    <t>Marshall-Sen</t>
  </si>
  <si>
    <t>Kaldor-pL</t>
  </si>
  <si>
    <t>Keynes-pL</t>
  </si>
  <si>
    <t>Keynes-Kaldor-pL</t>
  </si>
  <si>
    <t>Total Reduction</t>
  </si>
  <si>
    <t>Utility</t>
  </si>
  <si>
    <t>sD</t>
  </si>
  <si>
    <t>Tax</t>
  </si>
  <si>
    <t>Profit Share</t>
  </si>
  <si>
    <t>Utility Loss</t>
  </si>
  <si>
    <t>Structuralist - Phillips Curve (pL)</t>
  </si>
  <si>
    <t>Structuralist - Keynes (pK)</t>
  </si>
  <si>
    <t>Structuralist - Keynes (pL)</t>
  </si>
  <si>
    <t>Structuralist - Phillips Curve (pK)</t>
  </si>
  <si>
    <t>Solver variables</t>
  </si>
  <si>
    <t>Unemployment</t>
  </si>
  <si>
    <t>Profit share</t>
  </si>
  <si>
    <t>Saving rate on L income</t>
  </si>
  <si>
    <t>sigmaw</t>
  </si>
  <si>
    <t>omegaG</t>
  </si>
  <si>
    <t>omegaI</t>
  </si>
  <si>
    <t>Aggregate domestic saving rate</t>
  </si>
  <si>
    <t>Saving rate on capital income</t>
  </si>
  <si>
    <t>Saving rate on labour income</t>
  </si>
  <si>
    <t>pW</t>
  </si>
  <si>
    <t>aX</t>
  </si>
  <si>
    <t>bX</t>
  </si>
  <si>
    <t>rhoX</t>
  </si>
  <si>
    <t>ERROR10</t>
  </si>
  <si>
    <t>ERROR11</t>
  </si>
  <si>
    <t>Armington aggregate of D and M</t>
  </si>
  <si>
    <t>sG</t>
  </si>
  <si>
    <t>Output directed to Domestic markets</t>
  </si>
  <si>
    <t>Total output</t>
  </si>
  <si>
    <t>Imports</t>
  </si>
  <si>
    <t>S</t>
  </si>
  <si>
    <t>pS</t>
  </si>
  <si>
    <t>aS</t>
  </si>
  <si>
    <t>bS</t>
  </si>
  <si>
    <t>sigmaS</t>
  </si>
  <si>
    <t>rhoS</t>
  </si>
  <si>
    <t>(Relative to pKL)</t>
  </si>
  <si>
    <t>ERROR12</t>
  </si>
  <si>
    <t>Only for neoclassical production</t>
  </si>
  <si>
    <t>ERROR8&amp;9</t>
  </si>
  <si>
    <t>Capital market</t>
  </si>
  <si>
    <t>Labour market</t>
  </si>
  <si>
    <t>Trade balance</t>
  </si>
  <si>
    <t>Factor payments</t>
  </si>
  <si>
    <t>Savings/investment</t>
  </si>
  <si>
    <t>Domestic s</t>
  </si>
  <si>
    <t>Kaldor</t>
  </si>
  <si>
    <t>Keynes-Marshall</t>
  </si>
  <si>
    <t>Keynes</t>
  </si>
  <si>
    <t>Keynes-Kaldor</t>
  </si>
  <si>
    <t>Fossil energy control</t>
  </si>
  <si>
    <t>Keynes-I</t>
  </si>
  <si>
    <t>Neoclassical - hetero s</t>
  </si>
  <si>
    <t>T&amp;S</t>
  </si>
  <si>
    <t>tauTVA2</t>
  </si>
  <si>
    <t>tauTS</t>
  </si>
  <si>
    <t>Saving rate on budget surplus</t>
  </si>
  <si>
    <t>sK-sL</t>
  </si>
  <si>
    <t>tauTSE</t>
  </si>
  <si>
    <t>Absorption</t>
  </si>
  <si>
    <t>Neo-K2</t>
  </si>
  <si>
    <t>Neo-K1</t>
  </si>
  <si>
    <t>Real investment</t>
  </si>
  <si>
    <t>Real wage</t>
  </si>
  <si>
    <t>CPI</t>
  </si>
  <si>
    <t>Keynesian</t>
  </si>
  <si>
    <t>Kaldorian</t>
  </si>
  <si>
    <t>tauTS2</t>
  </si>
  <si>
    <t>Investment volume</t>
  </si>
  <si>
    <t>Public S</t>
  </si>
  <si>
    <t>Labour S</t>
  </si>
  <si>
    <t>Capital S</t>
  </si>
  <si>
    <t>T in GDP</t>
  </si>
  <si>
    <t>Sales tax in GDP</t>
  </si>
  <si>
    <t>L tax in GDP</t>
  </si>
  <si>
    <t>Y tax in GDP</t>
  </si>
  <si>
    <t>E sales tax in GDP</t>
  </si>
  <si>
    <t>Q sales tax in GDP</t>
  </si>
  <si>
    <t>w/pK</t>
  </si>
  <si>
    <t>GDP price index</t>
  </si>
  <si>
    <t>Real GDP</t>
  </si>
  <si>
    <t>Non-E output</t>
  </si>
  <si>
    <t>E output</t>
  </si>
  <si>
    <t>E imports</t>
  </si>
  <si>
    <t>REER</t>
  </si>
  <si>
    <t>C price index</t>
  </si>
  <si>
    <t>M price index</t>
  </si>
  <si>
    <t>C in GDP</t>
  </si>
  <si>
    <t>G in GDP</t>
  </si>
  <si>
    <t>I in GDP</t>
  </si>
  <si>
    <t>X in GDP</t>
  </si>
  <si>
    <t>M in GDP</t>
  </si>
  <si>
    <t>wL in GDP</t>
  </si>
  <si>
    <t>rK in GDP</t>
  </si>
  <si>
    <t>S_G in GDP</t>
  </si>
  <si>
    <t>S_L in GDP</t>
  </si>
  <si>
    <t>S_K in GDP</t>
  </si>
  <si>
    <t>Output taxes</t>
  </si>
  <si>
    <t>Copier-Coller du tableau UE 2019 - Fichier Matrice Europe Figaro 18sep23</t>
  </si>
  <si>
    <t>WorldBank WDI</t>
  </si>
  <si>
    <t>Carbon Tax</t>
  </si>
  <si>
    <t>Closure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</si>
</sst>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_-* #,##0.00\ _€_-;\-* #,##0.00\ _€_-;_-* &quot;-&quot;??\ _€_-;_-@_-"/>
    <numFmt numFmtId="165" formatCode="#,##0;\-#,##0;\-"/>
    <numFmt numFmtId="166" formatCode="0E+00"/>
    <numFmt numFmtId="167" formatCode="\+0.0%;\-0.0%;\i\d."/>
    <numFmt numFmtId="168" formatCode="#,##0.000"/>
    <numFmt numFmtId="169" formatCode="0.0000"/>
    <numFmt numFmtId="170" formatCode="0.000%"/>
    <numFmt numFmtId="171" formatCode="0.0%"/>
    <numFmt numFmtId="172" formatCode="0.000"/>
  </numFmts>
  <fonts count="15" x14ac:knownFonts="1">
    <font>
      <sz val="8"/>
      <color theme="1"/>
      <name val="Arial"/>
      <family val="2"/>
    </font>
    <font>
      <sz val="8"/>
      <name val="Arial"/>
      <family val="2"/>
    </font>
    <font>
      <sz val="8"/>
      <color theme="1"/>
      <name val="Arial"/>
      <family val="2"/>
    </font>
    <font>
      <sz val="8"/>
      <color theme="0"/>
      <name val="Arial"/>
      <family val="2"/>
    </font>
    <font>
      <sz val="8"/>
      <name val="Arial"/>
      <family val="2"/>
    </font>
    <font>
      <b/>
      <sz val="8"/>
      <name val="Arial"/>
      <family val="2"/>
    </font>
    <font>
      <sz val="8"/>
      <color indexed="9"/>
      <name val="Arial"/>
      <family val="2"/>
    </font>
    <font>
      <sz val="8"/>
      <color rgb="FFFF0000"/>
      <name val="Arial"/>
      <family val="2"/>
    </font>
    <font>
      <b/>
      <sz val="8"/>
      <color theme="1"/>
      <name val="Arial"/>
      <family val="2"/>
    </font>
    <font>
      <sz val="10"/>
      <name val="Arial"/>
      <family val="2"/>
    </font>
    <font>
      <sz val="8"/>
      <color rgb="FF000000"/>
      <name val="Arial"/>
      <family val="2"/>
    </font>
    <font>
      <b/>
      <sz val="8"/>
      <color theme="0"/>
      <name val="Arial"/>
      <family val="2"/>
    </font>
    <font>
      <b/>
      <sz val="8"/>
      <color rgb="FFFF0000"/>
      <name val="Arial"/>
      <family val="2"/>
    </font>
    <font>
      <sz val="9"/>
      <color indexed="81"/>
      <name val="Tahoma"/>
      <family val="2"/>
    </font>
    <font>
      <b/>
      <sz val="9"/>
      <color indexed="81"/>
      <name val="Tahoma"/>
      <family val="2"/>
    </font>
  </fonts>
  <fills count="7">
    <fill>
      <patternFill patternType="none"/>
    </fill>
    <fill>
      <patternFill patternType="gray125"/>
    </fill>
    <fill>
      <patternFill patternType="solid">
        <fgColor rgb="FF666699"/>
        <bgColor indexed="64"/>
      </patternFill>
    </fill>
    <fill>
      <patternFill patternType="solid">
        <fgColor indexed="22"/>
        <bgColor indexed="64"/>
      </patternFill>
    </fill>
    <fill>
      <patternFill patternType="solid">
        <fgColor theme="1"/>
        <bgColor indexed="64"/>
      </patternFill>
    </fill>
    <fill>
      <patternFill patternType="solid">
        <fgColor rgb="FF438787"/>
        <bgColor indexed="64"/>
      </patternFill>
    </fill>
    <fill>
      <patternFill patternType="solid">
        <fgColor theme="5" tint="-0.249977111117893"/>
        <bgColor indexed="64"/>
      </patternFill>
    </fill>
  </fills>
  <borders count="16">
    <border>
      <left/>
      <right/>
      <top/>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s>
  <cellStyleXfs count="5">
    <xf numFmtId="0" fontId="0" fillId="0" borderId="0"/>
    <xf numFmtId="164" fontId="2" fillId="0" borderId="0" applyFont="0" applyFill="0" applyBorder="0" applyAlignment="0" applyProtection="0"/>
    <xf numFmtId="9" fontId="2" fillId="0" borderId="0" applyFont="0" applyFill="0" applyBorder="0" applyAlignment="0" applyProtection="0"/>
    <xf numFmtId="165" fontId="4" fillId="0" borderId="0" applyFill="0" applyBorder="0" applyProtection="0">
      <alignment vertical="center"/>
    </xf>
    <xf numFmtId="0" fontId="9" fillId="0" borderId="0"/>
  </cellStyleXfs>
  <cellXfs count="241">
    <xf numFmtId="0" fontId="0" fillId="0" borderId="0" xfId="0"/>
    <xf numFmtId="0" fontId="4" fillId="0" borderId="0" xfId="0" applyFont="1"/>
    <xf numFmtId="0" fontId="4" fillId="0" borderId="1" xfId="0" applyFont="1" applyBorder="1"/>
    <xf numFmtId="0" fontId="4" fillId="0" borderId="2" xfId="0" applyFont="1" applyBorder="1"/>
    <xf numFmtId="0" fontId="4" fillId="0" borderId="3" xfId="0" applyFont="1" applyBorder="1"/>
    <xf numFmtId="0" fontId="4" fillId="0" borderId="4" xfId="0" applyFont="1" applyBorder="1"/>
    <xf numFmtId="0" fontId="4" fillId="0" borderId="5" xfId="0" applyFont="1" applyBorder="1"/>
    <xf numFmtId="165" fontId="3" fillId="2" borderId="7" xfId="0" applyNumberFormat="1" applyFont="1" applyFill="1" applyBorder="1"/>
    <xf numFmtId="0" fontId="3" fillId="2" borderId="8" xfId="0" applyFont="1" applyFill="1" applyBorder="1"/>
    <xf numFmtId="3" fontId="5" fillId="0" borderId="9" xfId="0" applyNumberFormat="1" applyFont="1" applyBorder="1"/>
    <xf numFmtId="0" fontId="4" fillId="0" borderId="7" xfId="0" applyFont="1" applyBorder="1"/>
    <xf numFmtId="3" fontId="5" fillId="0" borderId="13" xfId="0" applyNumberFormat="1" applyFont="1" applyBorder="1"/>
    <xf numFmtId="0" fontId="4" fillId="0" borderId="9" xfId="0" applyFont="1" applyBorder="1"/>
    <xf numFmtId="3" fontId="4" fillId="0" borderId="0" xfId="0" applyNumberFormat="1" applyFont="1"/>
    <xf numFmtId="0" fontId="4" fillId="0" borderId="14" xfId="0" applyFont="1" applyBorder="1"/>
    <xf numFmtId="0" fontId="4" fillId="0" borderId="10" xfId="0" applyFont="1" applyBorder="1"/>
    <xf numFmtId="3" fontId="4" fillId="0" borderId="6" xfId="1" applyNumberFormat="1" applyFont="1" applyFill="1" applyBorder="1" applyAlignment="1" applyProtection="1">
      <alignment vertical="center"/>
      <protection locked="0"/>
    </xf>
    <xf numFmtId="165" fontId="5" fillId="0" borderId="3" xfId="0" applyNumberFormat="1" applyFont="1" applyBorder="1"/>
    <xf numFmtId="165" fontId="5" fillId="0" borderId="5" xfId="0" applyNumberFormat="1" applyFont="1" applyBorder="1"/>
    <xf numFmtId="3" fontId="4" fillId="0" borderId="0" xfId="0" applyNumberFormat="1" applyFont="1" applyAlignment="1">
      <alignment horizontal="right"/>
    </xf>
    <xf numFmtId="3" fontId="4" fillId="0" borderId="3" xfId="0" applyNumberFormat="1" applyFont="1" applyBorder="1"/>
    <xf numFmtId="3" fontId="4" fillId="0" borderId="5" xfId="0" applyNumberFormat="1" applyFont="1" applyBorder="1"/>
    <xf numFmtId="0" fontId="5" fillId="0" borderId="0" xfId="0" applyFont="1" applyAlignment="1">
      <alignment horizontal="right"/>
    </xf>
    <xf numFmtId="166" fontId="6" fillId="3" borderId="3" xfId="0" applyNumberFormat="1" applyFont="1" applyFill="1" applyBorder="1" applyAlignment="1">
      <alignment horizontal="center"/>
    </xf>
    <xf numFmtId="166" fontId="6" fillId="3" borderId="5" xfId="0" applyNumberFormat="1" applyFont="1" applyFill="1" applyBorder="1" applyAlignment="1">
      <alignment horizontal="center"/>
    </xf>
    <xf numFmtId="3" fontId="4" fillId="0" borderId="0" xfId="2" applyNumberFormat="1" applyFont="1" applyAlignment="1">
      <alignment horizontal="right"/>
    </xf>
    <xf numFmtId="3" fontId="4" fillId="0" borderId="0" xfId="2" applyNumberFormat="1" applyFont="1" applyFill="1" applyAlignment="1">
      <alignment horizontal="center"/>
    </xf>
    <xf numFmtId="3" fontId="4" fillId="0" borderId="0" xfId="2" applyNumberFormat="1" applyFont="1"/>
    <xf numFmtId="0" fontId="3" fillId="2" borderId="0" xfId="0" applyFont="1" applyFill="1"/>
    <xf numFmtId="3" fontId="0" fillId="0" borderId="0" xfId="0" applyNumberFormat="1"/>
    <xf numFmtId="0" fontId="3" fillId="2" borderId="7" xfId="0" applyFont="1" applyFill="1" applyBorder="1"/>
    <xf numFmtId="3" fontId="3" fillId="2" borderId="7" xfId="0" applyNumberFormat="1" applyFont="1" applyFill="1" applyBorder="1"/>
    <xf numFmtId="3" fontId="3" fillId="2" borderId="8" xfId="0" applyNumberFormat="1" applyFont="1" applyFill="1" applyBorder="1"/>
    <xf numFmtId="3" fontId="0" fillId="0" borderId="1" xfId="0" applyNumberFormat="1" applyBorder="1"/>
    <xf numFmtId="3" fontId="0" fillId="0" borderId="6" xfId="0" applyNumberFormat="1" applyBorder="1"/>
    <xf numFmtId="3" fontId="0" fillId="0" borderId="10" xfId="0" applyNumberFormat="1" applyBorder="1"/>
    <xf numFmtId="3" fontId="0" fillId="0" borderId="11" xfId="0" applyNumberFormat="1" applyBorder="1"/>
    <xf numFmtId="2" fontId="0" fillId="0" borderId="1" xfId="0" applyNumberFormat="1" applyBorder="1"/>
    <xf numFmtId="2" fontId="0" fillId="0" borderId="6" xfId="0" applyNumberFormat="1" applyBorder="1"/>
    <xf numFmtId="2" fontId="0" fillId="0" borderId="10" xfId="0" applyNumberFormat="1" applyBorder="1"/>
    <xf numFmtId="2" fontId="0" fillId="0" borderId="11" xfId="0" applyNumberFormat="1" applyBorder="1"/>
    <xf numFmtId="3" fontId="0" fillId="0" borderId="7" xfId="0" applyNumberFormat="1" applyBorder="1"/>
    <xf numFmtId="3" fontId="0" fillId="0" borderId="8" xfId="0" applyNumberFormat="1" applyBorder="1"/>
    <xf numFmtId="9" fontId="0" fillId="0" borderId="1" xfId="2" applyFont="1" applyBorder="1"/>
    <xf numFmtId="9" fontId="0" fillId="0" borderId="6" xfId="2" applyFont="1" applyBorder="1"/>
    <xf numFmtId="9" fontId="0" fillId="0" borderId="10" xfId="2" applyFont="1" applyBorder="1"/>
    <xf numFmtId="9" fontId="0" fillId="0" borderId="11" xfId="2" applyFont="1" applyBorder="1"/>
    <xf numFmtId="9" fontId="0" fillId="0" borderId="7" xfId="2" applyFont="1" applyBorder="1"/>
    <xf numFmtId="9" fontId="0" fillId="0" borderId="8" xfId="2" applyFont="1" applyBorder="1"/>
    <xf numFmtId="3" fontId="4" fillId="0" borderId="11" xfId="0" applyNumberFormat="1" applyFont="1" applyBorder="1"/>
    <xf numFmtId="3" fontId="4" fillId="0" borderId="1" xfId="0" applyNumberFormat="1" applyFont="1" applyBorder="1"/>
    <xf numFmtId="165" fontId="4" fillId="0" borderId="1" xfId="0" applyNumberFormat="1" applyFont="1" applyBorder="1"/>
    <xf numFmtId="165" fontId="4" fillId="0" borderId="6" xfId="0" applyNumberFormat="1" applyFont="1" applyBorder="1"/>
    <xf numFmtId="165" fontId="4" fillId="0" borderId="7" xfId="0" applyNumberFormat="1" applyFont="1" applyBorder="1"/>
    <xf numFmtId="165" fontId="4" fillId="0" borderId="0" xfId="0" applyNumberFormat="1" applyFont="1"/>
    <xf numFmtId="165" fontId="4" fillId="0" borderId="10" xfId="0" applyNumberFormat="1" applyFont="1" applyBorder="1"/>
    <xf numFmtId="165" fontId="4" fillId="0" borderId="11" xfId="0" applyNumberFormat="1" applyFont="1" applyBorder="1"/>
    <xf numFmtId="165" fontId="4" fillId="0" borderId="12" xfId="0" applyNumberFormat="1" applyFont="1" applyBorder="1"/>
    <xf numFmtId="165" fontId="4" fillId="0" borderId="8" xfId="0" applyNumberFormat="1" applyFont="1" applyBorder="1"/>
    <xf numFmtId="3" fontId="4" fillId="0" borderId="7" xfId="0" applyNumberFormat="1" applyFont="1" applyBorder="1"/>
    <xf numFmtId="3" fontId="4" fillId="0" borderId="8" xfId="0" applyNumberFormat="1" applyFont="1" applyBorder="1"/>
    <xf numFmtId="3" fontId="4" fillId="0" borderId="10" xfId="0" applyNumberFormat="1" applyFont="1" applyBorder="1"/>
    <xf numFmtId="0" fontId="0" fillId="0" borderId="0" xfId="0" applyAlignment="1">
      <alignment horizontal="right"/>
    </xf>
    <xf numFmtId="3" fontId="0" fillId="0" borderId="3" xfId="0" applyNumberFormat="1" applyBorder="1"/>
    <xf numFmtId="3" fontId="0" fillId="0" borderId="5" xfId="0" applyNumberFormat="1" applyBorder="1"/>
    <xf numFmtId="3" fontId="0" fillId="0" borderId="15" xfId="0" applyNumberFormat="1" applyBorder="1"/>
    <xf numFmtId="2" fontId="0" fillId="0" borderId="9" xfId="0" applyNumberFormat="1" applyBorder="1"/>
    <xf numFmtId="2" fontId="0" fillId="0" borderId="14" xfId="0" applyNumberFormat="1" applyBorder="1"/>
    <xf numFmtId="2" fontId="0" fillId="0" borderId="13" xfId="0" applyNumberFormat="1" applyBorder="1"/>
    <xf numFmtId="3" fontId="0" fillId="0" borderId="9" xfId="0" applyNumberFormat="1" applyBorder="1"/>
    <xf numFmtId="3" fontId="0" fillId="0" borderId="13" xfId="0" applyNumberFormat="1" applyBorder="1"/>
    <xf numFmtId="167" fontId="0" fillId="0" borderId="1" xfId="0" applyNumberFormat="1" applyBorder="1"/>
    <xf numFmtId="167" fontId="0" fillId="0" borderId="6" xfId="0" applyNumberFormat="1" applyBorder="1"/>
    <xf numFmtId="167" fontId="0" fillId="0" borderId="7" xfId="0" applyNumberFormat="1" applyBorder="1"/>
    <xf numFmtId="167" fontId="0" fillId="0" borderId="8" xfId="0" applyNumberFormat="1" applyBorder="1"/>
    <xf numFmtId="167" fontId="0" fillId="0" borderId="10" xfId="0" applyNumberFormat="1" applyBorder="1"/>
    <xf numFmtId="167" fontId="0" fillId="0" borderId="11" xfId="0" applyNumberFormat="1" applyBorder="1"/>
    <xf numFmtId="167" fontId="0" fillId="0" borderId="9" xfId="0" applyNumberFormat="1" applyBorder="1"/>
    <xf numFmtId="167" fontId="0" fillId="0" borderId="14" xfId="0" applyNumberFormat="1" applyBorder="1"/>
    <xf numFmtId="167" fontId="0" fillId="0" borderId="13" xfId="0" applyNumberFormat="1" applyBorder="1"/>
    <xf numFmtId="168" fontId="0" fillId="0" borderId="14" xfId="0" applyNumberFormat="1" applyBorder="1"/>
    <xf numFmtId="0" fontId="0" fillId="0" borderId="0" xfId="0" applyAlignment="1">
      <alignment horizontal="center"/>
    </xf>
    <xf numFmtId="3" fontId="7" fillId="0" borderId="7" xfId="0" applyNumberFormat="1" applyFont="1" applyBorder="1" applyAlignment="1">
      <alignment horizontal="right"/>
    </xf>
    <xf numFmtId="3" fontId="7" fillId="0" borderId="8" xfId="0" applyNumberFormat="1" applyFont="1" applyBorder="1" applyAlignment="1">
      <alignment horizontal="right"/>
    </xf>
    <xf numFmtId="3" fontId="7" fillId="0" borderId="1" xfId="0" applyNumberFormat="1" applyFont="1" applyBorder="1"/>
    <xf numFmtId="3" fontId="7" fillId="0" borderId="6" xfId="0" applyNumberFormat="1" applyFont="1" applyBorder="1"/>
    <xf numFmtId="165" fontId="7" fillId="0" borderId="14" xfId="0" applyNumberFormat="1" applyFont="1" applyBorder="1"/>
    <xf numFmtId="3" fontId="0" fillId="0" borderId="1" xfId="0" applyNumberFormat="1" applyBorder="1" applyAlignment="1">
      <alignment horizontal="right"/>
    </xf>
    <xf numFmtId="3" fontId="0" fillId="0" borderId="6" xfId="0" applyNumberFormat="1" applyBorder="1" applyAlignment="1">
      <alignment horizontal="right"/>
    </xf>
    <xf numFmtId="3" fontId="0" fillId="0" borderId="7" xfId="0" applyNumberFormat="1" applyBorder="1" applyAlignment="1">
      <alignment horizontal="right"/>
    </xf>
    <xf numFmtId="3" fontId="0" fillId="0" borderId="8" xfId="0" applyNumberFormat="1" applyBorder="1" applyAlignment="1">
      <alignment horizontal="right"/>
    </xf>
    <xf numFmtId="9" fontId="3" fillId="5" borderId="1" xfId="2" applyFont="1" applyFill="1" applyBorder="1"/>
    <xf numFmtId="9" fontId="3" fillId="5" borderId="6" xfId="2" applyFont="1" applyFill="1" applyBorder="1"/>
    <xf numFmtId="9" fontId="3" fillId="5" borderId="10" xfId="2" applyFont="1" applyFill="1" applyBorder="1"/>
    <xf numFmtId="9" fontId="3" fillId="2" borderId="15" xfId="0" applyNumberFormat="1" applyFont="1" applyFill="1" applyBorder="1"/>
    <xf numFmtId="3" fontId="7" fillId="0" borderId="15" xfId="0" applyNumberFormat="1" applyFont="1" applyBorder="1"/>
    <xf numFmtId="0" fontId="8" fillId="0" borderId="0" xfId="0" applyFont="1"/>
    <xf numFmtId="3" fontId="7" fillId="0" borderId="7" xfId="0" applyNumberFormat="1" applyFont="1" applyBorder="1"/>
    <xf numFmtId="3" fontId="7" fillId="0" borderId="8" xfId="0" applyNumberFormat="1" applyFont="1" applyBorder="1"/>
    <xf numFmtId="10" fontId="7" fillId="0" borderId="10" xfId="2" applyNumberFormat="1" applyFont="1" applyFill="1" applyBorder="1"/>
    <xf numFmtId="10" fontId="7" fillId="0" borderId="11" xfId="2" applyNumberFormat="1" applyFont="1" applyFill="1" applyBorder="1"/>
    <xf numFmtId="3" fontId="3" fillId="5" borderId="7" xfId="0" applyNumberFormat="1" applyFont="1" applyFill="1" applyBorder="1"/>
    <xf numFmtId="3" fontId="3" fillId="5" borderId="8" xfId="0" applyNumberFormat="1" applyFont="1" applyFill="1" applyBorder="1"/>
    <xf numFmtId="3" fontId="1" fillId="0" borderId="0" xfId="0" applyNumberFormat="1" applyFont="1"/>
    <xf numFmtId="3" fontId="1" fillId="0" borderId="1" xfId="0" applyNumberFormat="1" applyFont="1" applyBorder="1"/>
    <xf numFmtId="3" fontId="1" fillId="0" borderId="6" xfId="1" applyNumberFormat="1" applyFont="1" applyFill="1" applyBorder="1" applyAlignment="1" applyProtection="1">
      <alignment vertical="center"/>
      <protection locked="0"/>
    </xf>
    <xf numFmtId="3" fontId="1" fillId="0" borderId="0" xfId="0" applyNumberFormat="1" applyFont="1" applyAlignment="1">
      <alignment horizontal="right"/>
    </xf>
    <xf numFmtId="3" fontId="1" fillId="0" borderId="3" xfId="0" applyNumberFormat="1" applyFont="1" applyBorder="1"/>
    <xf numFmtId="3" fontId="1" fillId="0" borderId="5" xfId="0" applyNumberFormat="1" applyFont="1" applyBorder="1"/>
    <xf numFmtId="0" fontId="1" fillId="0" borderId="0" xfId="0" applyFont="1"/>
    <xf numFmtId="165" fontId="5" fillId="0" borderId="10" xfId="0" applyNumberFormat="1" applyFont="1" applyBorder="1"/>
    <xf numFmtId="165" fontId="5" fillId="0" borderId="11" xfId="0" applyNumberFormat="1" applyFont="1" applyBorder="1"/>
    <xf numFmtId="0" fontId="7" fillId="0" borderId="0" xfId="0" applyFont="1"/>
    <xf numFmtId="0" fontId="8" fillId="0" borderId="0" xfId="0" applyFont="1" applyAlignment="1">
      <alignment horizontal="right"/>
    </xf>
    <xf numFmtId="9" fontId="4" fillId="0" borderId="0" xfId="2" applyFont="1" applyFill="1"/>
    <xf numFmtId="169" fontId="0" fillId="0" borderId="0" xfId="0" applyNumberFormat="1"/>
    <xf numFmtId="3" fontId="1" fillId="0" borderId="7" xfId="0" applyNumberFormat="1" applyFont="1" applyBorder="1"/>
    <xf numFmtId="3" fontId="0" fillId="0" borderId="14" xfId="0" applyNumberFormat="1" applyBorder="1"/>
    <xf numFmtId="3" fontId="7" fillId="0" borderId="9" xfId="0" applyNumberFormat="1" applyFont="1" applyBorder="1"/>
    <xf numFmtId="3" fontId="1" fillId="0" borderId="9" xfId="0" applyNumberFormat="1" applyFont="1" applyBorder="1"/>
    <xf numFmtId="166" fontId="1" fillId="3" borderId="0" xfId="4" quotePrefix="1" applyNumberFormat="1" applyFont="1" applyFill="1"/>
    <xf numFmtId="166" fontId="3" fillId="3" borderId="3" xfId="4" quotePrefix="1" applyNumberFormat="1" applyFont="1" applyFill="1" applyBorder="1"/>
    <xf numFmtId="166" fontId="3" fillId="3" borderId="5" xfId="4" quotePrefix="1" applyNumberFormat="1" applyFont="1" applyFill="1" applyBorder="1"/>
    <xf numFmtId="166" fontId="1" fillId="3" borderId="15" xfId="4" quotePrefix="1" applyNumberFormat="1" applyFont="1" applyFill="1" applyBorder="1"/>
    <xf numFmtId="165" fontId="0" fillId="0" borderId="0" xfId="0" applyNumberFormat="1"/>
    <xf numFmtId="166" fontId="0" fillId="0" borderId="0" xfId="0" applyNumberFormat="1"/>
    <xf numFmtId="0" fontId="5" fillId="0" borderId="0" xfId="0" applyFont="1"/>
    <xf numFmtId="165" fontId="4" fillId="0" borderId="3" xfId="0" applyNumberFormat="1" applyFont="1" applyBorder="1"/>
    <xf numFmtId="165" fontId="4" fillId="0" borderId="5" xfId="0" applyNumberFormat="1" applyFont="1" applyBorder="1"/>
    <xf numFmtId="166" fontId="1" fillId="3" borderId="3" xfId="4" quotePrefix="1" applyNumberFormat="1" applyFont="1" applyFill="1" applyBorder="1"/>
    <xf numFmtId="166" fontId="1" fillId="3" borderId="5" xfId="4" quotePrefix="1" applyNumberFormat="1" applyFont="1" applyFill="1" applyBorder="1"/>
    <xf numFmtId="166" fontId="3" fillId="4" borderId="0" xfId="0" applyNumberFormat="1" applyFont="1" applyFill="1"/>
    <xf numFmtId="0" fontId="3" fillId="2" borderId="14" xfId="0" applyFont="1" applyFill="1" applyBorder="1"/>
    <xf numFmtId="165" fontId="0" fillId="0" borderId="14" xfId="0" applyNumberFormat="1" applyBorder="1"/>
    <xf numFmtId="167" fontId="0" fillId="0" borderId="0" xfId="0" applyNumberFormat="1"/>
    <xf numFmtId="2" fontId="0" fillId="0" borderId="0" xfId="0" applyNumberFormat="1"/>
    <xf numFmtId="0" fontId="8" fillId="0" borderId="0" xfId="0" applyFont="1" applyAlignment="1">
      <alignment horizontal="center"/>
    </xf>
    <xf numFmtId="9" fontId="3" fillId="0" borderId="0" xfId="2" applyFont="1" applyFill="1" applyBorder="1"/>
    <xf numFmtId="168" fontId="0" fillId="0" borderId="0" xfId="0" applyNumberFormat="1"/>
    <xf numFmtId="9" fontId="3" fillId="0" borderId="0" xfId="0" applyNumberFormat="1" applyFont="1"/>
    <xf numFmtId="170" fontId="0" fillId="0" borderId="0" xfId="0" applyNumberFormat="1"/>
    <xf numFmtId="165" fontId="3" fillId="2" borderId="0" xfId="0" applyNumberFormat="1" applyFont="1" applyFill="1"/>
    <xf numFmtId="0" fontId="4" fillId="0" borderId="6" xfId="0" applyFont="1" applyBorder="1"/>
    <xf numFmtId="165" fontId="3" fillId="2" borderId="1" xfId="0" applyNumberFormat="1" applyFont="1" applyFill="1" applyBorder="1"/>
    <xf numFmtId="165" fontId="3" fillId="2" borderId="2" xfId="0" applyNumberFormat="1" applyFont="1" applyFill="1" applyBorder="1"/>
    <xf numFmtId="165" fontId="3" fillId="2" borderId="9" xfId="0" applyNumberFormat="1" applyFont="1" applyFill="1" applyBorder="1"/>
    <xf numFmtId="165" fontId="3" fillId="2" borderId="10" xfId="0" applyNumberFormat="1" applyFont="1" applyFill="1" applyBorder="1"/>
    <xf numFmtId="165" fontId="3" fillId="2" borderId="12" xfId="0" applyNumberFormat="1" applyFont="1" applyFill="1" applyBorder="1"/>
    <xf numFmtId="165" fontId="3" fillId="2" borderId="13" xfId="0" applyNumberFormat="1" applyFont="1" applyFill="1" applyBorder="1"/>
    <xf numFmtId="165" fontId="3" fillId="2" borderId="6" xfId="0" applyNumberFormat="1" applyFont="1" applyFill="1" applyBorder="1"/>
    <xf numFmtId="165" fontId="3" fillId="2" borderId="8" xfId="0" applyNumberFormat="1" applyFont="1" applyFill="1" applyBorder="1"/>
    <xf numFmtId="165" fontId="3" fillId="2" borderId="11" xfId="0" applyNumberFormat="1" applyFont="1" applyFill="1" applyBorder="1"/>
    <xf numFmtId="165" fontId="3" fillId="2" borderId="3" xfId="0" applyNumberFormat="1" applyFont="1" applyFill="1" applyBorder="1"/>
    <xf numFmtId="165" fontId="3" fillId="2" borderId="5" xfId="0" applyNumberFormat="1" applyFont="1" applyFill="1" applyBorder="1"/>
    <xf numFmtId="3" fontId="7" fillId="0" borderId="10" xfId="2" applyNumberFormat="1" applyFont="1" applyFill="1" applyBorder="1"/>
    <xf numFmtId="3" fontId="7" fillId="0" borderId="11" xfId="2" applyNumberFormat="1" applyFont="1" applyFill="1" applyBorder="1"/>
    <xf numFmtId="3" fontId="7" fillId="0" borderId="7" xfId="2" applyNumberFormat="1" applyFont="1" applyFill="1" applyBorder="1"/>
    <xf numFmtId="3" fontId="7" fillId="0" borderId="8" xfId="2" applyNumberFormat="1" applyFont="1" applyFill="1" applyBorder="1"/>
    <xf numFmtId="165" fontId="7" fillId="0" borderId="10" xfId="0" applyNumberFormat="1" applyFont="1" applyBorder="1"/>
    <xf numFmtId="165" fontId="7" fillId="0" borderId="7" xfId="0" applyNumberFormat="1" applyFont="1" applyBorder="1"/>
    <xf numFmtId="0" fontId="0" fillId="0" borderId="8" xfId="0" applyBorder="1"/>
    <xf numFmtId="165" fontId="7" fillId="0" borderId="11" xfId="0" applyNumberFormat="1" applyFont="1" applyBorder="1"/>
    <xf numFmtId="9" fontId="0" fillId="0" borderId="0" xfId="2" applyFont="1" applyBorder="1"/>
    <xf numFmtId="171" fontId="0" fillId="0" borderId="9" xfId="2" applyNumberFormat="1" applyFont="1" applyBorder="1"/>
    <xf numFmtId="171" fontId="1" fillId="0" borderId="14" xfId="2" applyNumberFormat="1" applyFont="1" applyFill="1" applyBorder="1"/>
    <xf numFmtId="171" fontId="3" fillId="2" borderId="15" xfId="2" applyNumberFormat="1" applyFont="1" applyFill="1" applyBorder="1"/>
    <xf numFmtId="11" fontId="0" fillId="0" borderId="0" xfId="0" applyNumberFormat="1"/>
    <xf numFmtId="165" fontId="7" fillId="0" borderId="8" xfId="0" applyNumberFormat="1" applyFont="1" applyBorder="1"/>
    <xf numFmtId="3" fontId="1" fillId="0" borderId="10" xfId="0" applyNumberFormat="1" applyFont="1" applyBorder="1"/>
    <xf numFmtId="3" fontId="1" fillId="0" borderId="11" xfId="0" applyNumberFormat="1" applyFont="1" applyBorder="1"/>
    <xf numFmtId="3" fontId="3" fillId="2" borderId="10" xfId="0" applyNumberFormat="1" applyFont="1" applyFill="1" applyBorder="1"/>
    <xf numFmtId="3" fontId="3" fillId="2" borderId="11" xfId="0" applyNumberFormat="1" applyFont="1" applyFill="1" applyBorder="1"/>
    <xf numFmtId="3" fontId="3" fillId="2" borderId="1" xfId="0" applyNumberFormat="1" applyFont="1" applyFill="1" applyBorder="1"/>
    <xf numFmtId="3" fontId="3" fillId="2" borderId="6" xfId="0" applyNumberFormat="1" applyFont="1" applyFill="1" applyBorder="1"/>
    <xf numFmtId="3" fontId="1" fillId="0" borderId="8" xfId="0" applyNumberFormat="1" applyFont="1" applyBorder="1"/>
    <xf numFmtId="3" fontId="1" fillId="0" borderId="11" xfId="2" applyNumberFormat="1" applyFont="1" applyFill="1" applyBorder="1"/>
    <xf numFmtId="171" fontId="3" fillId="6" borderId="0" xfId="0" applyNumberFormat="1" applyFont="1" applyFill="1"/>
    <xf numFmtId="171" fontId="0" fillId="0" borderId="0" xfId="2" applyNumberFormat="1" applyFont="1" applyBorder="1"/>
    <xf numFmtId="3" fontId="3" fillId="2" borderId="10" xfId="2" applyNumberFormat="1" applyFont="1" applyFill="1" applyBorder="1"/>
    <xf numFmtId="3" fontId="3" fillId="2" borderId="11" xfId="2" applyNumberFormat="1" applyFont="1" applyFill="1" applyBorder="1"/>
    <xf numFmtId="172" fontId="3" fillId="2" borderId="7" xfId="0" applyNumberFormat="1" applyFont="1" applyFill="1" applyBorder="1"/>
    <xf numFmtId="172" fontId="3" fillId="2" borderId="8" xfId="0" applyNumberFormat="1" applyFont="1" applyFill="1" applyBorder="1"/>
    <xf numFmtId="171" fontId="0" fillId="0" borderId="13" xfId="2" applyNumberFormat="1" applyFont="1" applyBorder="1"/>
    <xf numFmtId="172" fontId="0" fillId="0" borderId="1" xfId="0" applyNumberFormat="1" applyBorder="1"/>
    <xf numFmtId="172" fontId="0" fillId="0" borderId="6" xfId="0" applyNumberFormat="1" applyBorder="1"/>
    <xf numFmtId="172" fontId="0" fillId="0" borderId="7" xfId="0" applyNumberFormat="1" applyBorder="1"/>
    <xf numFmtId="172" fontId="0" fillId="0" borderId="8" xfId="0" applyNumberFormat="1" applyBorder="1"/>
    <xf numFmtId="172" fontId="3" fillId="2" borderId="3" xfId="1" applyNumberFormat="1" applyFont="1" applyFill="1" applyBorder="1"/>
    <xf numFmtId="172" fontId="3" fillId="2" borderId="5" xfId="1" applyNumberFormat="1" applyFont="1" applyFill="1" applyBorder="1"/>
    <xf numFmtId="172" fontId="0" fillId="0" borderId="10" xfId="0" applyNumberFormat="1" applyBorder="1"/>
    <xf numFmtId="172" fontId="0" fillId="0" borderId="11" xfId="0" applyNumberFormat="1" applyBorder="1"/>
    <xf numFmtId="172" fontId="0" fillId="0" borderId="0" xfId="0" applyNumberFormat="1"/>
    <xf numFmtId="171" fontId="3" fillId="5" borderId="14" xfId="2" applyNumberFormat="1" applyFont="1" applyFill="1" applyBorder="1"/>
    <xf numFmtId="171" fontId="0" fillId="0" borderId="0" xfId="2" applyNumberFormat="1" applyFont="1"/>
    <xf numFmtId="0" fontId="5" fillId="0" borderId="0" xfId="0" applyFont="1" applyAlignment="1">
      <alignment horizontal="center"/>
    </xf>
    <xf numFmtId="171" fontId="0" fillId="0" borderId="14" xfId="2" applyNumberFormat="1" applyFont="1" applyBorder="1"/>
    <xf numFmtId="9" fontId="11" fillId="2" borderId="15" xfId="0" applyNumberFormat="1" applyFont="1" applyFill="1" applyBorder="1"/>
    <xf numFmtId="3" fontId="12" fillId="0" borderId="1" xfId="0" applyNumberFormat="1" applyFont="1" applyBorder="1"/>
    <xf numFmtId="3" fontId="12" fillId="0" borderId="6" xfId="0" applyNumberFormat="1" applyFont="1" applyBorder="1"/>
    <xf numFmtId="3" fontId="11" fillId="5" borderId="7" xfId="0" applyNumberFormat="1" applyFont="1" applyFill="1" applyBorder="1"/>
    <xf numFmtId="3" fontId="11" fillId="5" borderId="8" xfId="0" applyNumberFormat="1" applyFont="1" applyFill="1" applyBorder="1"/>
    <xf numFmtId="3" fontId="8" fillId="0" borderId="7" xfId="0" applyNumberFormat="1" applyFont="1" applyBorder="1"/>
    <xf numFmtId="3" fontId="8" fillId="0" borderId="8" xfId="0" applyNumberFormat="1" applyFont="1" applyBorder="1"/>
    <xf numFmtId="3" fontId="8" fillId="0" borderId="1" xfId="0" applyNumberFormat="1" applyFont="1" applyBorder="1"/>
    <xf numFmtId="3" fontId="8" fillId="0" borderId="6" xfId="0" applyNumberFormat="1" applyFont="1" applyBorder="1"/>
    <xf numFmtId="3" fontId="8" fillId="0" borderId="10" xfId="0" applyNumberFormat="1" applyFont="1" applyBorder="1"/>
    <xf numFmtId="3" fontId="8" fillId="0" borderId="11" xfId="0" applyNumberFormat="1" applyFont="1" applyBorder="1"/>
    <xf numFmtId="3" fontId="12" fillId="0" borderId="7" xfId="0" applyNumberFormat="1" applyFont="1" applyBorder="1"/>
    <xf numFmtId="3" fontId="12" fillId="0" borderId="8" xfId="0" applyNumberFormat="1" applyFont="1" applyBorder="1"/>
    <xf numFmtId="3" fontId="12" fillId="0" borderId="10" xfId="2" applyNumberFormat="1" applyFont="1" applyFill="1" applyBorder="1"/>
    <xf numFmtId="3" fontId="12" fillId="0" borderId="11" xfId="2" applyNumberFormat="1" applyFont="1" applyFill="1" applyBorder="1"/>
    <xf numFmtId="3" fontId="12" fillId="0" borderId="7" xfId="0" applyNumberFormat="1" applyFont="1" applyBorder="1" applyAlignment="1">
      <alignment horizontal="right"/>
    </xf>
    <xf numFmtId="3" fontId="12" fillId="0" borderId="8" xfId="0" applyNumberFormat="1" applyFont="1" applyBorder="1" applyAlignment="1">
      <alignment horizontal="right"/>
    </xf>
    <xf numFmtId="3" fontId="5" fillId="0" borderId="7" xfId="0" applyNumberFormat="1" applyFont="1" applyBorder="1"/>
    <xf numFmtId="0" fontId="11" fillId="2" borderId="8" xfId="0" applyFont="1" applyFill="1" applyBorder="1"/>
    <xf numFmtId="168" fontId="8" fillId="0" borderId="14" xfId="0" applyNumberFormat="1" applyFont="1" applyBorder="1"/>
    <xf numFmtId="165" fontId="12" fillId="0" borderId="14" xfId="0" applyNumberFormat="1" applyFont="1" applyBorder="1"/>
    <xf numFmtId="2" fontId="8" fillId="0" borderId="6" xfId="0" applyNumberFormat="1" applyFont="1" applyBorder="1"/>
    <xf numFmtId="3" fontId="8" fillId="0" borderId="14" xfId="0" applyNumberFormat="1" applyFont="1" applyBorder="1"/>
    <xf numFmtId="2" fontId="8" fillId="0" borderId="11" xfId="0" applyNumberFormat="1" applyFont="1" applyBorder="1"/>
    <xf numFmtId="3" fontId="8" fillId="0" borderId="13" xfId="0" applyNumberFormat="1" applyFont="1" applyBorder="1"/>
    <xf numFmtId="2" fontId="8" fillId="0" borderId="1" xfId="0" applyNumberFormat="1" applyFont="1" applyBorder="1"/>
    <xf numFmtId="2" fontId="8" fillId="0" borderId="10" xfId="0" applyNumberFormat="1" applyFont="1" applyBorder="1"/>
    <xf numFmtId="0" fontId="1" fillId="0" borderId="1" xfId="0" applyFont="1" applyBorder="1"/>
    <xf numFmtId="9" fontId="7" fillId="0" borderId="8" xfId="2" applyFont="1" applyFill="1" applyBorder="1"/>
    <xf numFmtId="9" fontId="7" fillId="0" borderId="11" xfId="2" applyFont="1" applyFill="1" applyBorder="1"/>
    <xf numFmtId="10" fontId="7" fillId="0" borderId="15" xfId="0" applyNumberFormat="1" applyFont="1" applyBorder="1"/>
    <xf numFmtId="10" fontId="0" fillId="0" borderId="0" xfId="0" applyNumberFormat="1" applyAlignment="1">
      <alignment horizontal="center"/>
    </xf>
    <xf numFmtId="10" fontId="0" fillId="0" borderId="0" xfId="0" applyNumberFormat="1"/>
    <xf numFmtId="0" fontId="0" fillId="0" borderId="0" xfId="0" applyAlignment="1">
      <alignment horizontal="left"/>
    </xf>
    <xf numFmtId="10" fontId="12" fillId="0" borderId="15" xfId="0" applyNumberFormat="1" applyFont="1" applyBorder="1"/>
    <xf numFmtId="10" fontId="8" fillId="0" borderId="0" xfId="0" applyNumberFormat="1" applyFont="1" applyAlignment="1">
      <alignment horizontal="center"/>
    </xf>
    <xf numFmtId="172" fontId="0" fillId="0" borderId="13" xfId="0" applyNumberFormat="1" applyBorder="1"/>
    <xf numFmtId="168" fontId="0" fillId="0" borderId="13" xfId="0" applyNumberFormat="1" applyBorder="1"/>
    <xf numFmtId="10" fontId="3" fillId="5" borderId="7" xfId="2" applyNumberFormat="1" applyFont="1" applyFill="1" applyBorder="1"/>
    <xf numFmtId="10" fontId="3" fillId="5" borderId="8" xfId="2" applyNumberFormat="1" applyFont="1" applyFill="1" applyBorder="1"/>
    <xf numFmtId="171" fontId="0" fillId="0" borderId="0" xfId="0" applyNumberFormat="1"/>
    <xf numFmtId="0" fontId="1" fillId="0" borderId="14" xfId="0" applyFont="1" applyBorder="1"/>
    <xf numFmtId="2" fontId="3" fillId="2" borderId="14" xfId="0" applyNumberFormat="1" applyFont="1" applyFill="1" applyBorder="1"/>
    <xf numFmtId="171" fontId="3" fillId="5" borderId="15" xfId="2" applyNumberFormat="1" applyFont="1" applyFill="1" applyBorder="1"/>
    <xf numFmtId="9" fontId="0" fillId="0" borderId="0" xfId="0" applyNumberFormat="1"/>
  </cellXfs>
  <cellStyles count="5">
    <cellStyle name="Milliers" xfId="1" builtinId="3"/>
    <cellStyle name="Motif" xfId="3" xr:uid="{00000000-0005-0000-0000-000001000000}"/>
    <cellStyle name="Motif 2" xfId="4" xr:uid="{00000000-0005-0000-0000-000002000000}"/>
    <cellStyle name="Normal" xfId="0" builtinId="0"/>
    <cellStyle name="Pourcentage" xfId="2" builtinId="5"/>
  </cellStyles>
  <dxfs count="10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bgColor theme="5" tint="0.59996337778862885"/>
        </patternFill>
      </fill>
    </dxf>
    <dxf>
      <font>
        <color auto="1"/>
      </font>
      <fill>
        <patternFill>
          <bgColor theme="5" tint="0.59996337778862885"/>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s>
  <tableStyles count="1" defaultTableStyle="TableStyleMedium9" defaultPivotStyle="PivotStyleLight16">
    <tableStyle name="Invisible" pivot="0" table="0" count="0" xr9:uid="{638D0D31-3D9A-4F1C-B3CA-528F3AE3E056}"/>
  </tableStyles>
  <colors>
    <mruColors>
      <color rgb="FF438787"/>
      <color rgb="FF666699"/>
      <color rgb="FF4189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worksheet" Target="worksheets/sheet12.xml"/><Relationship Id="rId18" Type="http://schemas.openxmlformats.org/officeDocument/2006/relationships/worksheet" Target="worksheets/sheet1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6.xml"/><Relationship Id="rId12" Type="http://schemas.openxmlformats.org/officeDocument/2006/relationships/worksheet" Target="worksheets/sheet11.xml"/><Relationship Id="rId17" Type="http://schemas.openxmlformats.org/officeDocument/2006/relationships/chartsheet" Target="chartsheets/sheet3.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hartsheet" Target="chartsheets/sheet2.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worksheet" Target="worksheets/sheet10.xml"/><Relationship Id="rId24" Type="http://schemas.openxmlformats.org/officeDocument/2006/relationships/customXml" Target="../customXml/item1.xml"/><Relationship Id="rId5" Type="http://schemas.openxmlformats.org/officeDocument/2006/relationships/worksheet" Target="worksheets/sheet4.xml"/><Relationship Id="rId15" Type="http://schemas.openxmlformats.org/officeDocument/2006/relationships/worksheet" Target="worksheets/sheet14.xml"/><Relationship Id="rId23" Type="http://schemas.openxmlformats.org/officeDocument/2006/relationships/calcChain" Target="calcChain.xml"/><Relationship Id="rId10" Type="http://schemas.openxmlformats.org/officeDocument/2006/relationships/worksheet" Target="worksheets/sheet9.xml"/><Relationship Id="rId19" Type="http://schemas.openxmlformats.org/officeDocument/2006/relationships/theme" Target="theme/theme1.xml"/><Relationship Id="rId4" Type="http://schemas.openxmlformats.org/officeDocument/2006/relationships/chartsheet" Target="chartsheets/sheet1.xml"/><Relationship Id="rId9" Type="http://schemas.openxmlformats.org/officeDocument/2006/relationships/worksheet" Target="worksheets/sheet8.xml"/><Relationship Id="rId14" Type="http://schemas.openxmlformats.org/officeDocument/2006/relationships/worksheet" Target="worksheets/sheet13.xml"/><Relationship Id="rId22"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5.0489076522019991E-2"/>
          <c:w val="0.90131583007947491"/>
          <c:h val="0.86934076835108043"/>
        </c:manualLayout>
      </c:layout>
      <c:scatterChart>
        <c:scatterStyle val="smoothMarker"/>
        <c:varyColors val="0"/>
        <c:ser>
          <c:idx val="0"/>
          <c:order val="0"/>
          <c:tx>
            <c:strRef>
              <c:f>'Diagnosis Indicators'!$A$3</c:f>
              <c:strCache>
                <c:ptCount val="1"/>
                <c:pt idx="0">
                  <c:v>Neoclassical</c:v>
                </c:pt>
              </c:strCache>
            </c:strRef>
          </c:tx>
          <c:spPr>
            <a:ln w="19050" cap="rnd">
              <a:solidFill>
                <a:schemeClr val="accent1"/>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Indicators'!$B$3:$Y$3</c:f>
              <c:numCache>
                <c:formatCode>#,##0.000</c:formatCode>
                <c:ptCount val="24"/>
                <c:pt idx="0">
                  <c:v>1</c:v>
                </c:pt>
                <c:pt idx="1">
                  <c:v>0.99095033723033721</c:v>
                </c:pt>
                <c:pt idx="2">
                  <c:v>0.98110310743848661</c:v>
                </c:pt>
                <c:pt idx="3">
                  <c:v>0.97033588277426031</c:v>
                </c:pt>
                <c:pt idx="4">
                  <c:v>0.95849809950823639</c:v>
                </c:pt>
                <c:pt idx="5">
                  <c:v>0.94540034916408078</c:v>
                </c:pt>
                <c:pt idx="6">
                  <c:v>0.93079826568959279</c:v>
                </c:pt>
                <c:pt idx="7">
                  <c:v>0.91436574288810257</c:v>
                </c:pt>
                <c:pt idx="8">
                  <c:v>0.89565126879535073</c:v>
                </c:pt>
                <c:pt idx="9">
                  <c:v>0.87400091485127751</c:v>
                </c:pt>
                <c:pt idx="10">
                  <c:v>0.84842038453236712</c:v>
                </c:pt>
                <c:pt idx="11">
                  <c:v>0.81731774938560198</c:v>
                </c:pt>
                <c:pt idx="12">
                  <c:v>0.77801788859534138</c:v>
                </c:pt>
                <c:pt idx="13">
                  <c:v>0.7259115722953472</c:v>
                </c:pt>
                <c:pt idx="14">
                  <c:v>0.6534394741481544</c:v>
                </c:pt>
                <c:pt idx="15">
                  <c:v>0.55067569548464257</c:v>
                </c:pt>
                <c:pt idx="16">
                  <c:v>0.41033575576013448</c:v>
                </c:pt>
                <c:pt idx="17">
                  <c:v>0.23880067351893206</c:v>
                </c:pt>
                <c:pt idx="18">
                  <c:v>8.0002887935313807E-2</c:v>
                </c:pt>
                <c:pt idx="19">
                  <c:v>6.7039036535221589E-3</c:v>
                </c:pt>
                <c:pt idx="20">
                  <c:v>2.8130835906134909E-3</c:v>
                </c:pt>
                <c:pt idx="21">
                  <c:v>9.034966450069702E-4</c:v>
                </c:pt>
                <c:pt idx="22">
                  <c:v>1.7986191791074453E-4</c:v>
                </c:pt>
                <c:pt idx="23">
                  <c:v>1.1273794199909424E-5</c:v>
                </c:pt>
              </c:numCache>
            </c:numRef>
          </c:yVal>
          <c:smooth val="1"/>
          <c:extLst>
            <c:ext xmlns:c16="http://schemas.microsoft.com/office/drawing/2014/chart" uri="{C3380CC4-5D6E-409C-BE32-E72D297353CC}">
              <c16:uniqueId val="{00000000-C093-4C38-8D34-BC5EA4637B9C}"/>
            </c:ext>
          </c:extLst>
        </c:ser>
        <c:ser>
          <c:idx val="5"/>
          <c:order val="1"/>
          <c:tx>
            <c:strRef>
              <c:f>'Diagnosis Indicators'!$A$4</c:f>
              <c:strCache>
                <c:ptCount val="1"/>
                <c:pt idx="0">
                  <c:v>Kaldorian</c:v>
                </c:pt>
              </c:strCache>
            </c:strRef>
          </c:tx>
          <c:spPr>
            <a:ln w="57150" cap="rnd">
              <a:solidFill>
                <a:schemeClr val="tx1"/>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Indicators'!$B$4:$Y$4</c:f>
              <c:numCache>
                <c:formatCode>#,##0.000</c:formatCode>
                <c:ptCount val="24"/>
                <c:pt idx="0">
                  <c:v>1</c:v>
                </c:pt>
                <c:pt idx="1">
                  <c:v>0.9972394049383293</c:v>
                </c:pt>
                <c:pt idx="2">
                  <c:v>0.99391436784762088</c:v>
                </c:pt>
                <c:pt idx="3">
                  <c:v>0.98993942612019314</c:v>
                </c:pt>
                <c:pt idx="4">
                  <c:v>0.98520984268433986</c:v>
                </c:pt>
                <c:pt idx="5">
                  <c:v>0.97959453780355854</c:v>
                </c:pt>
                <c:pt idx="6">
                  <c:v>0.97292675436650533</c:v>
                </c:pt>
                <c:pt idx="7">
                  <c:v>0.96498788862883267</c:v>
                </c:pt>
                <c:pt idx="8">
                  <c:v>0.95548211146365036</c:v>
                </c:pt>
                <c:pt idx="9">
                  <c:v>0.9439941833984673</c:v>
                </c:pt>
                <c:pt idx="10">
                  <c:v>0.92991409849954254</c:v>
                </c:pt>
                <c:pt idx="11">
                  <c:v>0.91229953845671186</c:v>
                </c:pt>
                <c:pt idx="12">
                  <c:v>0.88961529692206509</c:v>
                </c:pt>
                <c:pt idx="13">
                  <c:v>0.85925942962936142</c:v>
                </c:pt>
                <c:pt idx="14">
                  <c:v>0.81687511907933752</c:v>
                </c:pt>
                <c:pt idx="15">
                  <c:v>0</c:v>
                </c:pt>
                <c:pt idx="16">
                  <c:v>0</c:v>
                </c:pt>
                <c:pt idx="17">
                  <c:v>0</c:v>
                </c:pt>
                <c:pt idx="18">
                  <c:v>0</c:v>
                </c:pt>
                <c:pt idx="19">
                  <c:v>0</c:v>
                </c:pt>
                <c:pt idx="20">
                  <c:v>0</c:v>
                </c:pt>
                <c:pt idx="21">
                  <c:v>0</c:v>
                </c:pt>
                <c:pt idx="22">
                  <c:v>0</c:v>
                </c:pt>
                <c:pt idx="23">
                  <c:v>0</c:v>
                </c:pt>
              </c:numCache>
            </c:numRef>
          </c:yVal>
          <c:smooth val="1"/>
          <c:extLst xmlns:c15="http://schemas.microsoft.com/office/drawing/2012/chart">
            <c:ext xmlns:c16="http://schemas.microsoft.com/office/drawing/2014/chart" uri="{C3380CC4-5D6E-409C-BE32-E72D297353CC}">
              <c16:uniqueId val="{00000005-C093-4C38-8D34-BC5EA4637B9C}"/>
            </c:ext>
          </c:extLst>
        </c:ser>
        <c:ser>
          <c:idx val="1"/>
          <c:order val="2"/>
          <c:tx>
            <c:strRef>
              <c:f>'Diagnosis Indicators'!$A$5</c:f>
              <c:strCache>
                <c:ptCount val="1"/>
                <c:pt idx="0">
                  <c:v>Johansen</c:v>
                </c:pt>
              </c:strCache>
            </c:strRef>
          </c:tx>
          <c:spPr>
            <a:ln w="19050" cap="rnd">
              <a:solidFill>
                <a:schemeClr val="accent2"/>
              </a:solidFill>
              <a:prstDash val="lgDash"/>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Indicators'!$B$5:$Y$5</c:f>
              <c:numCache>
                <c:formatCode>#,##0.000</c:formatCode>
                <c:ptCount val="24"/>
                <c:pt idx="0">
                  <c:v>1</c:v>
                </c:pt>
                <c:pt idx="1">
                  <c:v>0.99728288686722866</c:v>
                </c:pt>
                <c:pt idx="2">
                  <c:v>0.99400272759990993</c:v>
                </c:pt>
                <c:pt idx="3">
                  <c:v>0.99007417471509285</c:v>
                </c:pt>
                <c:pt idx="4">
                  <c:v>0.98539251988136634</c:v>
                </c:pt>
                <c:pt idx="5">
                  <c:v>0.97982638349876372</c:v>
                </c:pt>
                <c:pt idx="6">
                  <c:v>0.97320848724349651</c:v>
                </c:pt>
                <c:pt idx="7">
                  <c:v>0.96531902715671614</c:v>
                </c:pt>
                <c:pt idx="8">
                  <c:v>0.95586005836370003</c:v>
                </c:pt>
                <c:pt idx="9">
                  <c:v>0.94441278182441601</c:v>
                </c:pt>
                <c:pt idx="10">
                  <c:v>0.93036134572419349</c:v>
                </c:pt>
                <c:pt idx="11">
                  <c:v>0.91275360684296447</c:v>
                </c:pt>
                <c:pt idx="12">
                  <c:v>0.89003901365195914</c:v>
                </c:pt>
                <c:pt idx="13">
                  <c:v>0.85959706714730533</c:v>
                </c:pt>
                <c:pt idx="14">
                  <c:v>0.81707434388034417</c:v>
                </c:pt>
                <c:pt idx="15">
                  <c:v>0.75600939288132607</c:v>
                </c:pt>
                <c:pt idx="16">
                  <c:v>0.66820557797007707</c:v>
                </c:pt>
                <c:pt idx="17">
                  <c:v>0.54522573626500459</c:v>
                </c:pt>
                <c:pt idx="18">
                  <c:v>0.38444638979397172</c:v>
                </c:pt>
                <c:pt idx="19">
                  <c:v>0.19684720232320518</c:v>
                </c:pt>
                <c:pt idx="20">
                  <c:v>0.15774975694803883</c:v>
                </c:pt>
                <c:pt idx="21">
                  <c:v>0.11843673533432175</c:v>
                </c:pt>
                <c:pt idx="22">
                  <c:v>7.9000550261762365E-2</c:v>
                </c:pt>
                <c:pt idx="23">
                  <c:v>3.9508157272747882E-2</c:v>
                </c:pt>
              </c:numCache>
            </c:numRef>
          </c:yVal>
          <c:smooth val="1"/>
          <c:extLst>
            <c:ext xmlns:c16="http://schemas.microsoft.com/office/drawing/2014/chart" uri="{C3380CC4-5D6E-409C-BE32-E72D297353CC}">
              <c16:uniqueId val="{00000001-C093-4C38-8D34-BC5EA4637B9C}"/>
            </c:ext>
          </c:extLst>
        </c:ser>
        <c:ser>
          <c:idx val="4"/>
          <c:order val="3"/>
          <c:tx>
            <c:strRef>
              <c:f>'Diagnosis Indicators'!$A$6</c:f>
              <c:strCache>
                <c:ptCount val="1"/>
                <c:pt idx="0">
                  <c:v>Keynes-Kaldor</c:v>
                </c:pt>
              </c:strCache>
            </c:strRef>
          </c:tx>
          <c:spPr>
            <a:ln w="19050" cap="rnd">
              <a:solidFill>
                <a:schemeClr val="accent5"/>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Indicators'!$B$6:$Y$6</c:f>
              <c:numCache>
                <c:formatCode>#,##0.000</c:formatCode>
                <c:ptCount val="24"/>
                <c:pt idx="0">
                  <c:v>1</c:v>
                </c:pt>
                <c:pt idx="1">
                  <c:v>1.003965246739682</c:v>
                </c:pt>
                <c:pt idx="2">
                  <c:v>1.0067093330720938</c:v>
                </c:pt>
                <c:pt idx="3">
                  <c:v>1.0081254038970342</c:v>
                </c:pt>
                <c:pt idx="4">
                  <c:v>1.0080708235488443</c:v>
                </c:pt>
                <c:pt idx="5">
                  <c:v>1.0063596231245415</c:v>
                </c:pt>
                <c:pt idx="6">
                  <c:v>1.0027490910148327</c:v>
                </c:pt>
                <c:pt idx="7">
                  <c:v>0.99692278076680585</c:v>
                </c:pt>
                <c:pt idx="8">
                  <c:v>0.9884594664818388</c:v>
                </c:pt>
                <c:pt idx="9">
                  <c:v>0.97678661000747569</c:v>
                </c:pt>
                <c:pt idx="10">
                  <c:v>0.96109726577065513</c:v>
                </c:pt>
                <c:pt idx="11">
                  <c:v>0.94020348425929878</c:v>
                </c:pt>
                <c:pt idx="12">
                  <c:v>0.91226209650530343</c:v>
                </c:pt>
                <c:pt idx="13">
                  <c:v>0.87428315534462364</c:v>
                </c:pt>
                <c:pt idx="14">
                  <c:v>0.82147461114645559</c:v>
                </c:pt>
                <c:pt idx="15">
                  <c:v>0</c:v>
                </c:pt>
                <c:pt idx="16">
                  <c:v>0</c:v>
                </c:pt>
                <c:pt idx="17">
                  <c:v>0</c:v>
                </c:pt>
                <c:pt idx="18">
                  <c:v>0</c:v>
                </c:pt>
                <c:pt idx="19">
                  <c:v>0</c:v>
                </c:pt>
                <c:pt idx="20">
                  <c:v>0</c:v>
                </c:pt>
                <c:pt idx="21">
                  <c:v>0</c:v>
                </c:pt>
                <c:pt idx="22">
                  <c:v>0</c:v>
                </c:pt>
                <c:pt idx="23">
                  <c:v>0</c:v>
                </c:pt>
              </c:numCache>
            </c:numRef>
          </c:yVal>
          <c:smooth val="1"/>
          <c:extLst>
            <c:ext xmlns:c16="http://schemas.microsoft.com/office/drawing/2014/chart" uri="{C3380CC4-5D6E-409C-BE32-E72D297353CC}">
              <c16:uniqueId val="{00000004-C093-4C38-8D34-BC5EA4637B9C}"/>
            </c:ext>
          </c:extLst>
        </c:ser>
        <c:ser>
          <c:idx val="2"/>
          <c:order val="4"/>
          <c:tx>
            <c:strRef>
              <c:f>'Diagnosis Indicators'!$A$7</c:f>
              <c:strCache>
                <c:ptCount val="1"/>
                <c:pt idx="0">
                  <c:v>Keynes-Marshall</c:v>
                </c:pt>
              </c:strCache>
            </c:strRef>
          </c:tx>
          <c:spPr>
            <a:ln w="19050" cap="rnd">
              <a:solidFill>
                <a:schemeClr val="accent3"/>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Indicators'!$B$7:$Y$7</c:f>
              <c:numCache>
                <c:formatCode>#,##0.000</c:formatCode>
                <c:ptCount val="24"/>
                <c:pt idx="0">
                  <c:v>1</c:v>
                </c:pt>
                <c:pt idx="1">
                  <c:v>1.0164333889004658</c:v>
                </c:pt>
                <c:pt idx="2">
                  <c:v>1.0328649531634537</c:v>
                </c:pt>
                <c:pt idx="3">
                  <c:v>1.0493512048708131</c:v>
                </c:pt>
                <c:pt idx="4">
                  <c:v>1.0659832818976842</c:v>
                </c:pt>
                <c:pt idx="5">
                  <c:v>1.0829272865426618</c:v>
                </c:pt>
                <c:pt idx="6">
                  <c:v>1.1005039494380469</c:v>
                </c:pt>
                <c:pt idx="7">
                  <c:v>1.1193675031679922</c:v>
                </c:pt>
                <c:pt idx="8">
                  <c:v>1.1409504337059968</c:v>
                </c:pt>
                <c:pt idx="9">
                  <c:v>1.1687941081920104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yVal>
          <c:smooth val="1"/>
          <c:extLst>
            <c:ext xmlns:c16="http://schemas.microsoft.com/office/drawing/2014/chart" uri="{C3380CC4-5D6E-409C-BE32-E72D297353CC}">
              <c16:uniqueId val="{00000000-C850-4F38-B604-CD5347F209EA}"/>
            </c:ext>
          </c:extLst>
        </c:ser>
        <c:ser>
          <c:idx val="3"/>
          <c:order val="5"/>
          <c:tx>
            <c:strRef>
              <c:f>'Diagnosis Indicators'!$A$8</c:f>
              <c:strCache>
                <c:ptCount val="1"/>
                <c:pt idx="0">
                  <c:v>Keynesian</c:v>
                </c:pt>
              </c:strCache>
            </c:strRef>
          </c:tx>
          <c:spPr>
            <a:ln w="19050" cap="rnd">
              <a:solidFill>
                <a:schemeClr val="accent6"/>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Indicators'!$B$8:$Y$8</c:f>
              <c:numCache>
                <c:formatCode>#,##0.000</c:formatCode>
                <c:ptCount val="24"/>
                <c:pt idx="0">
                  <c:v>1</c:v>
                </c:pt>
                <c:pt idx="1">
                  <c:v>0.97360119850578641</c:v>
                </c:pt>
                <c:pt idx="2">
                  <c:v>0.94446482539302445</c:v>
                </c:pt>
                <c:pt idx="3">
                  <c:v>0.91243146296306421</c:v>
                </c:pt>
                <c:pt idx="4">
                  <c:v>0.87738260831360715</c:v>
                </c:pt>
                <c:pt idx="5">
                  <c:v>0.83925991525129295</c:v>
                </c:pt>
                <c:pt idx="6">
                  <c:v>0.798087548525931</c:v>
                </c:pt>
                <c:pt idx="7">
                  <c:v>0.75400328220603519</c:v>
                </c:pt>
                <c:pt idx="8">
                  <c:v>0.70730775314249372</c:v>
                </c:pt>
                <c:pt idx="9">
                  <c:v>0.65857636447215961</c:v>
                </c:pt>
                <c:pt idx="10">
                  <c:v>0.60899466249029133</c:v>
                </c:pt>
                <c:pt idx="11">
                  <c:v>0.56172684967355146</c:v>
                </c:pt>
                <c:pt idx="12">
                  <c:v>0.52723115341447069</c:v>
                </c:pt>
                <c:pt idx="13">
                  <c:v>0.51260743366288231</c:v>
                </c:pt>
                <c:pt idx="14">
                  <c:v>0</c:v>
                </c:pt>
                <c:pt idx="15">
                  <c:v>0</c:v>
                </c:pt>
                <c:pt idx="16">
                  <c:v>0</c:v>
                </c:pt>
                <c:pt idx="17">
                  <c:v>0</c:v>
                </c:pt>
                <c:pt idx="18">
                  <c:v>0</c:v>
                </c:pt>
                <c:pt idx="19">
                  <c:v>0</c:v>
                </c:pt>
                <c:pt idx="20">
                  <c:v>0</c:v>
                </c:pt>
                <c:pt idx="21">
                  <c:v>0</c:v>
                </c:pt>
                <c:pt idx="22">
                  <c:v>0</c:v>
                </c:pt>
                <c:pt idx="23">
                  <c:v>0</c:v>
                </c:pt>
              </c:numCache>
            </c:numRef>
          </c:yVal>
          <c:smooth val="1"/>
          <c:extLst>
            <c:ext xmlns:c16="http://schemas.microsoft.com/office/drawing/2014/chart" uri="{C3380CC4-5D6E-409C-BE32-E72D297353CC}">
              <c16:uniqueId val="{00000003-C093-4C38-8D34-BC5EA4637B9C}"/>
            </c:ext>
          </c:extLst>
        </c:ser>
        <c:ser>
          <c:idx val="7"/>
          <c:order val="6"/>
          <c:tx>
            <c:strRef>
              <c:f>'Diagnosis Indicators'!$A$9</c:f>
              <c:strCache>
                <c:ptCount val="1"/>
                <c:pt idx="0">
                  <c:v>Neo-K2</c:v>
                </c:pt>
              </c:strCache>
            </c:strRef>
          </c:tx>
          <c:spPr>
            <a:ln w="19050" cap="rnd">
              <a:solidFill>
                <a:schemeClr val="accent3"/>
              </a:solidFill>
              <a:prstDash val="dash"/>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Indicators'!$B$9:$Y$9</c:f>
              <c:numCache>
                <c:formatCode>#,##0.000</c:formatCode>
                <c:ptCount val="24"/>
                <c:pt idx="0">
                  <c:v>1</c:v>
                </c:pt>
                <c:pt idx="1">
                  <c:v>0.98145304126183353</c:v>
                </c:pt>
                <c:pt idx="2">
                  <c:v>0.96092212649832265</c:v>
                </c:pt>
                <c:pt idx="3">
                  <c:v>0.93812007795385211</c:v>
                </c:pt>
                <c:pt idx="4">
                  <c:v>0.91273347170440944</c:v>
                </c:pt>
                <c:pt idx="5">
                  <c:v>0.88443251641861309</c:v>
                </c:pt>
                <c:pt idx="6">
                  <c:v>0.85289228160143837</c:v>
                </c:pt>
                <c:pt idx="7">
                  <c:v>0.81782512290382992</c:v>
                </c:pt>
                <c:pt idx="8">
                  <c:v>0.77902539627170142</c:v>
                </c:pt>
                <c:pt idx="9">
                  <c:v>0.73642409248146512</c:v>
                </c:pt>
                <c:pt idx="10">
                  <c:v>0.6901476212752361</c:v>
                </c:pt>
                <c:pt idx="11">
                  <c:v>0.64056225007252565</c:v>
                </c:pt>
                <c:pt idx="12">
                  <c:v>0.58828413802012824</c:v>
                </c:pt>
                <c:pt idx="13">
                  <c:v>0.53411127191337038</c:v>
                </c:pt>
                <c:pt idx="14">
                  <c:v>0.47881533800671722</c:v>
                </c:pt>
                <c:pt idx="15">
                  <c:v>0.4227191200107458</c:v>
                </c:pt>
                <c:pt idx="16">
                  <c:v>0</c:v>
                </c:pt>
                <c:pt idx="17">
                  <c:v>0</c:v>
                </c:pt>
                <c:pt idx="18">
                  <c:v>0</c:v>
                </c:pt>
                <c:pt idx="19">
                  <c:v>0</c:v>
                </c:pt>
                <c:pt idx="20">
                  <c:v>0</c:v>
                </c:pt>
                <c:pt idx="21">
                  <c:v>0</c:v>
                </c:pt>
                <c:pt idx="22">
                  <c:v>0</c:v>
                </c:pt>
                <c:pt idx="23">
                  <c:v>0</c:v>
                </c:pt>
              </c:numCache>
            </c:numRef>
          </c:yVal>
          <c:smooth val="1"/>
          <c:extLst>
            <c:ext xmlns:c16="http://schemas.microsoft.com/office/drawing/2014/chart" uri="{C3380CC4-5D6E-409C-BE32-E72D297353CC}">
              <c16:uniqueId val="{00000002-C850-4F38-B604-CD5347F209EA}"/>
            </c:ext>
          </c:extLst>
        </c:ser>
        <c:ser>
          <c:idx val="6"/>
          <c:order val="7"/>
          <c:tx>
            <c:strRef>
              <c:f>'Diagnosis Indicators'!$A$10</c:f>
              <c:strCache>
                <c:ptCount val="1"/>
                <c:pt idx="0">
                  <c:v>Neo-K1</c:v>
                </c:pt>
              </c:strCache>
            </c:strRef>
          </c:tx>
          <c:spPr>
            <a:ln w="19050" cap="rnd">
              <a:solidFill>
                <a:schemeClr val="accent3"/>
              </a:solidFill>
              <a:prstDash val="lgDashDotDot"/>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Indicators'!$B$10:$Y$10</c:f>
              <c:numCache>
                <c:formatCode>#,##0.000</c:formatCode>
                <c:ptCount val="24"/>
                <c:pt idx="0">
                  <c:v>1</c:v>
                </c:pt>
                <c:pt idx="1">
                  <c:v>0.98422643362003559</c:v>
                </c:pt>
                <c:pt idx="2">
                  <c:v>0.9669037162842643</c:v>
                </c:pt>
                <c:pt idx="3">
                  <c:v>0.94779725078241983</c:v>
                </c:pt>
                <c:pt idx="4">
                  <c:v>0.92663093083956549</c:v>
                </c:pt>
                <c:pt idx="5">
                  <c:v>0.90307970915617986</c:v>
                </c:pt>
                <c:pt idx="6">
                  <c:v>0.87676411231390505</c:v>
                </c:pt>
                <c:pt idx="7">
                  <c:v>0.84724594641743234</c:v>
                </c:pt>
                <c:pt idx="8">
                  <c:v>0.81402884506387485</c:v>
                </c:pt>
                <c:pt idx="9">
                  <c:v>0.77656777905956642</c:v>
                </c:pt>
                <c:pt idx="10">
                  <c:v>0.73429222662901761</c:v>
                </c:pt>
                <c:pt idx="11">
                  <c:v>0.68664860326518939</c:v>
                </c:pt>
                <c:pt idx="12">
                  <c:v>0.6331604879660695</c:v>
                </c:pt>
                <c:pt idx="13">
                  <c:v>0.57350059140275544</c:v>
                </c:pt>
                <c:pt idx="14">
                  <c:v>0.5075546707225479</c:v>
                </c:pt>
                <c:pt idx="15">
                  <c:v>0.43545473349513697</c:v>
                </c:pt>
                <c:pt idx="16">
                  <c:v>0.35756587680343804</c:v>
                </c:pt>
                <c:pt idx="17">
                  <c:v>0.27442988190443873</c:v>
                </c:pt>
                <c:pt idx="18">
                  <c:v>0.18668719323821048</c:v>
                </c:pt>
                <c:pt idx="19">
                  <c:v>9.5000788299574493E-2</c:v>
                </c:pt>
                <c:pt idx="20">
                  <c:v>7.6246695628359798E-2</c:v>
                </c:pt>
                <c:pt idx="21">
                  <c:v>5.7364976814330643E-2</c:v>
                </c:pt>
                <c:pt idx="22">
                  <c:v>3.8360307132659158E-2</c:v>
                </c:pt>
                <c:pt idx="23">
                  <c:v>1.9237187522339733E-2</c:v>
                </c:pt>
              </c:numCache>
            </c:numRef>
          </c:yVal>
          <c:smooth val="1"/>
          <c:extLst>
            <c:ext xmlns:c16="http://schemas.microsoft.com/office/drawing/2014/chart" uri="{C3380CC4-5D6E-409C-BE32-E72D297353CC}">
              <c16:uniqueId val="{00000001-C850-4F38-B604-CD5347F209EA}"/>
            </c:ext>
          </c:extLst>
        </c:ser>
        <c:dLbls>
          <c:showLegendKey val="0"/>
          <c:showVal val="0"/>
          <c:showCatName val="0"/>
          <c:showSerName val="0"/>
          <c:showPercent val="0"/>
          <c:showBubbleSize val="0"/>
        </c:dLbls>
        <c:axId val="844946399"/>
        <c:axId val="844953055"/>
        <c:extLst>
          <c:ext xmlns:c15="http://schemas.microsoft.com/office/drawing/2012/chart" uri="{02D57815-91ED-43cb-92C2-25804820EDAC}">
            <c15:filteredScatterSeries>
              <c15:ser>
                <c:idx val="8"/>
                <c:order val="8"/>
                <c:tx>
                  <c:strRef>
                    <c:extLst>
                      <c:ext uri="{02D57815-91ED-43cb-92C2-25804820EDAC}">
                        <c15:formulaRef>
                          <c15:sqref>'Diagnosis Indicators'!$A$11</c15:sqref>
                        </c15:formulaRef>
                      </c:ext>
                    </c:extLst>
                    <c:strCache>
                      <c:ptCount val="1"/>
                      <c:pt idx="0">
                        <c:v>Neoclassical - hetero s</c:v>
                      </c:pt>
                    </c:strCache>
                  </c:strRef>
                </c:tx>
                <c:spPr>
                  <a:ln w="19050" cap="rnd">
                    <a:solidFill>
                      <a:schemeClr val="accent3">
                        <a:lumMod val="60000"/>
                      </a:schemeClr>
                    </a:solidFill>
                    <a:round/>
                  </a:ln>
                  <a:effectLst/>
                </c:spPr>
                <c:marker>
                  <c:symbol val="none"/>
                </c:marker>
                <c:xVal>
                  <c:numRef>
                    <c:extLst>
                      <c:ext uri="{02D57815-91ED-43cb-92C2-25804820EDAC}">
                        <c15:formulaRef>
                          <c15:sqref>'Diagnosis Indicators'!$B$2:$Y$2</c15:sqref>
                        </c15:formulaRef>
                      </c:ext>
                    </c:extLst>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extLst>
                      <c:ext uri="{02D57815-91ED-43cb-92C2-25804820EDAC}">
                        <c15:formulaRef>
                          <c15:sqref>'Diagnosis Indicators'!$B$11:$Y$11</c15:sqref>
                        </c15:formulaRef>
                      </c:ext>
                    </c:extLst>
                    <c:numCache>
                      <c:formatCode>#,##0.000</c:formatCode>
                      <c:ptCount val="24"/>
                      <c:pt idx="0">
                        <c:v>0.99999999999999956</c:v>
                      </c:pt>
                      <c:pt idx="1">
                        <c:v>0.99444591610775457</c:v>
                      </c:pt>
                      <c:pt idx="2">
                        <c:v>0.98832398885785544</c:v>
                      </c:pt>
                      <c:pt idx="3">
                        <c:v>0.98155485786275998</c:v>
                      </c:pt>
                      <c:pt idx="4">
                        <c:v>0.97404297476950719</c:v>
                      </c:pt>
                      <c:pt idx="5">
                        <c:v>0.96567204220783953</c:v>
                      </c:pt>
                      <c:pt idx="6">
                        <c:v>0.95629799805413807</c:v>
                      </c:pt>
                      <c:pt idx="7">
                        <c:v>0.94573972610617074</c:v>
                      </c:pt>
                      <c:pt idx="8">
                        <c:v>0.93376390646056395</c:v>
                      </c:pt>
                      <c:pt idx="9">
                        <c:v>0.92006316660733312</c:v>
                      </c:pt>
                      <c:pt idx="10">
                        <c:v>0.90421972939464912</c:v>
                      </c:pt>
                      <c:pt idx="11">
                        <c:v>0.88564636602078417</c:v>
                      </c:pt>
                      <c:pt idx="12">
                        <c:v>0.86348466526882439</c:v>
                      </c:pt>
                      <c:pt idx="13">
                        <c:v>0.83642519107603419</c:v>
                      </c:pt>
                      <c:pt idx="14">
                        <c:v>0.80238481689363084</c:v>
                      </c:pt>
                      <c:pt idx="15">
                        <c:v>0.75794214216834832</c:v>
                      </c:pt>
                      <c:pt idx="16">
                        <c:v>0.69744648234885309</c:v>
                      </c:pt>
                      <c:pt idx="17">
                        <c:v>0.61173763947405335</c:v>
                      </c:pt>
                      <c:pt idx="18">
                        <c:v>0.48516789846608083</c:v>
                      </c:pt>
                      <c:pt idx="19">
                        <c:v>0.28500358745058368</c:v>
                      </c:pt>
                      <c:pt idx="20">
                        <c:v>0.23086212220297583</c:v>
                      </c:pt>
                      <c:pt idx="21">
                        <c:v>0.17080624919208309</c:v>
                      </c:pt>
                      <c:pt idx="22">
                        <c:v>0.10553097572575747</c:v>
                      </c:pt>
                      <c:pt idx="23">
                        <c:v>4.0042490619631235E-2</c:v>
                      </c:pt>
                    </c:numCache>
                  </c:numRef>
                </c:yVal>
                <c:smooth val="1"/>
                <c:extLst>
                  <c:ext xmlns:c16="http://schemas.microsoft.com/office/drawing/2014/chart" uri="{C3380CC4-5D6E-409C-BE32-E72D297353CC}">
                    <c16:uniqueId val="{00000000-A801-406B-8D2B-155AC302105A}"/>
                  </c:ext>
                </c:extLst>
              </c15:ser>
            </c15:filteredScatterSeries>
          </c:ext>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fr-FR" sz="1200"/>
                  <a:t>Energy demand control</a:t>
                </a:r>
              </a:p>
            </c:rich>
          </c:tx>
          <c:layout>
            <c:manualLayout>
              <c:xMode val="edge"/>
              <c:yMode val="edge"/>
              <c:x val="0.44665217932555212"/>
              <c:y val="0.9597134749809676"/>
            </c:manualLayout>
          </c:layout>
          <c:overlay val="0"/>
          <c:spPr>
            <a:solidFill>
              <a:schemeClr val="bg1">
                <a:alpha val="70000"/>
              </a:schemeClr>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5"/>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800" b="0" i="0" u="none" strike="noStrike" kern="1200" baseline="0">
                    <a:solidFill>
                      <a:schemeClr val="tx1">
                        <a:lumMod val="65000"/>
                        <a:lumOff val="35000"/>
                      </a:schemeClr>
                    </a:solidFill>
                    <a:latin typeface="+mn-lt"/>
                    <a:ea typeface="+mn-ea"/>
                    <a:cs typeface="+mn-cs"/>
                  </a:defRPr>
                </a:pPr>
                <a:r>
                  <a:rPr lang="en-US" sz="1800"/>
                  <a:t>Welfare</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r"/>
      <c:layout>
        <c:manualLayout>
          <c:xMode val="edge"/>
          <c:yMode val="edge"/>
          <c:x val="7.7558359529985993E-2"/>
          <c:y val="0.50069788772209378"/>
          <c:w val="0.18780620873946458"/>
          <c:h val="0.38842449220100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8939229634350809E-2"/>
          <c:y val="7.7694712997173468E-2"/>
          <c:w val="0.91954496211515768"/>
          <c:h val="0.84004231632441195"/>
        </c:manualLayout>
      </c:layout>
      <c:scatterChart>
        <c:scatterStyle val="smoothMarker"/>
        <c:varyColors val="0"/>
        <c:ser>
          <c:idx val="0"/>
          <c:order val="0"/>
          <c:tx>
            <c:strRef>
              <c:f>'Diagnosis Indicators'!$A$63</c:f>
              <c:strCache>
                <c:ptCount val="1"/>
                <c:pt idx="0">
                  <c:v>Neoclassical</c:v>
                </c:pt>
              </c:strCache>
            </c:strRef>
          </c:tx>
          <c:spPr>
            <a:ln w="19050" cap="rnd">
              <a:solidFill>
                <a:schemeClr val="accent1"/>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Indicators'!$B$63:$Y$63</c:f>
              <c:numCache>
                <c:formatCode>0.0%</c:formatCode>
                <c:ptCount val="24"/>
                <c:pt idx="0">
                  <c:v>0.56058995943839085</c:v>
                </c:pt>
                <c:pt idx="1">
                  <c:v>0.56553467285281467</c:v>
                </c:pt>
                <c:pt idx="2">
                  <c:v>0.56386318481281994</c:v>
                </c:pt>
                <c:pt idx="3">
                  <c:v>0.56218563276851263</c:v>
                </c:pt>
                <c:pt idx="4">
                  <c:v>0.56050187344314317</c:v>
                </c:pt>
                <c:pt idx="5">
                  <c:v>0.55881255243469385</c:v>
                </c:pt>
                <c:pt idx="6">
                  <c:v>0.55711949604619282</c:v>
                </c:pt>
                <c:pt idx="7">
                  <c:v>0.5554268562211957</c:v>
                </c:pt>
                <c:pt idx="8">
                  <c:v>0.55374244780957438</c:v>
                </c:pt>
                <c:pt idx="9">
                  <c:v>0.55208019314824175</c:v>
                </c:pt>
                <c:pt idx="10">
                  <c:v>0.55046391249107585</c:v>
                </c:pt>
                <c:pt idx="11">
                  <c:v>0.54893330555769759</c:v>
                </c:pt>
                <c:pt idx="12">
                  <c:v>0.54755254555273458</c:v>
                </c:pt>
                <c:pt idx="13">
                  <c:v>0.54641709092965185</c:v>
                </c:pt>
                <c:pt idx="14">
                  <c:v>0.54563559534328154</c:v>
                </c:pt>
                <c:pt idx="15">
                  <c:v>0.54524255414458722</c:v>
                </c:pt>
                <c:pt idx="16">
                  <c:v>0.54511554137881868</c:v>
                </c:pt>
                <c:pt idx="17">
                  <c:v>0.54508971145955865</c:v>
                </c:pt>
                <c:pt idx="18">
                  <c:v>0.54508602754592383</c:v>
                </c:pt>
                <c:pt idx="19">
                  <c:v>0.54508557675037794</c:v>
                </c:pt>
                <c:pt idx="20">
                  <c:v>0.54508551662586402</c:v>
                </c:pt>
                <c:pt idx="21">
                  <c:v>0.54508540484157708</c:v>
                </c:pt>
                <c:pt idx="22">
                  <c:v>0.54508532897852879</c:v>
                </c:pt>
                <c:pt idx="23">
                  <c:v>0.54508554334450443</c:v>
                </c:pt>
              </c:numCache>
            </c:numRef>
          </c:yVal>
          <c:smooth val="1"/>
          <c:extLst>
            <c:ext xmlns:c16="http://schemas.microsoft.com/office/drawing/2014/chart" uri="{C3380CC4-5D6E-409C-BE32-E72D297353CC}">
              <c16:uniqueId val="{00000000-A1C7-4647-B998-449E9F32F971}"/>
            </c:ext>
          </c:extLst>
        </c:ser>
        <c:ser>
          <c:idx val="1"/>
          <c:order val="1"/>
          <c:tx>
            <c:strRef>
              <c:f>'Diagnosis Indicators'!$A$64</c:f>
              <c:strCache>
                <c:ptCount val="1"/>
                <c:pt idx="0">
                  <c:v>Kaldorian</c:v>
                </c:pt>
              </c:strCache>
            </c:strRef>
          </c:tx>
          <c:spPr>
            <a:ln w="19050" cap="rnd">
              <a:solidFill>
                <a:schemeClr val="accent2"/>
              </a:solidFill>
              <a:prstDash val="lgDash"/>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Indicators'!$B$64:$Y$64</c:f>
              <c:numCache>
                <c:formatCode>0.0%</c:formatCode>
                <c:ptCount val="24"/>
                <c:pt idx="0">
                  <c:v>0.56058995943839085</c:v>
                </c:pt>
                <c:pt idx="1">
                  <c:v>0.55932270496056014</c:v>
                </c:pt>
                <c:pt idx="2">
                  <c:v>0.55089175159630965</c:v>
                </c:pt>
                <c:pt idx="3">
                  <c:v>0.54179906151281143</c:v>
                </c:pt>
                <c:pt idx="4">
                  <c:v>0.53190397993334737</c:v>
                </c:pt>
                <c:pt idx="5">
                  <c:v>0.52101991616472498</c:v>
                </c:pt>
                <c:pt idx="6">
                  <c:v>0.50888739035912134</c:v>
                </c:pt>
                <c:pt idx="7">
                  <c:v>0.4951326579452901</c:v>
                </c:pt>
                <c:pt idx="8">
                  <c:v>0.47918677006132226</c:v>
                </c:pt>
                <c:pt idx="9">
                  <c:v>0.46012991498758732</c:v>
                </c:pt>
                <c:pt idx="10">
                  <c:v>0.43636926628769379</c:v>
                </c:pt>
                <c:pt idx="11">
                  <c:v>0.40491698531379883</c:v>
                </c:pt>
                <c:pt idx="12">
                  <c:v>0.35962782529758885</c:v>
                </c:pt>
                <c:pt idx="13">
                  <c:v>0.28649898890635495</c:v>
                </c:pt>
                <c:pt idx="14">
                  <c:v>0.15002974343233594</c:v>
                </c:pt>
                <c:pt idx="15">
                  <c:v>0</c:v>
                </c:pt>
              </c:numCache>
            </c:numRef>
          </c:yVal>
          <c:smooth val="1"/>
          <c:extLst>
            <c:ext xmlns:c16="http://schemas.microsoft.com/office/drawing/2014/chart" uri="{C3380CC4-5D6E-409C-BE32-E72D297353CC}">
              <c16:uniqueId val="{00000001-A1C7-4647-B998-449E9F32F971}"/>
            </c:ext>
          </c:extLst>
        </c:ser>
        <c:ser>
          <c:idx val="5"/>
          <c:order val="2"/>
          <c:tx>
            <c:strRef>
              <c:f>'Diagnosis Indicators'!$A$65</c:f>
              <c:strCache>
                <c:ptCount val="1"/>
                <c:pt idx="0">
                  <c:v>Johansen</c:v>
                </c:pt>
              </c:strCache>
            </c:strRef>
          </c:tx>
          <c:spPr>
            <a:ln w="19050" cap="rnd">
              <a:solidFill>
                <a:schemeClr val="accent6"/>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Indicators'!$B$65:$Y$65</c:f>
              <c:numCache>
                <c:formatCode>0.0%</c:formatCode>
                <c:ptCount val="24"/>
                <c:pt idx="0">
                  <c:v>0.56058995943839085</c:v>
                </c:pt>
                <c:pt idx="1">
                  <c:v>0.56550673656444395</c:v>
                </c:pt>
                <c:pt idx="2">
                  <c:v>0.56380653255486457</c:v>
                </c:pt>
                <c:pt idx="3">
                  <c:v>0.56209940221526034</c:v>
                </c:pt>
                <c:pt idx="4">
                  <c:v>0.56038518928989001</c:v>
                </c:pt>
                <c:pt idx="5">
                  <c:v>0.55866471246504257</c:v>
                </c:pt>
                <c:pt idx="6">
                  <c:v>0.55694015474795278</c:v>
                </c:pt>
                <c:pt idx="7">
                  <c:v>0.55521638127904993</c:v>
                </c:pt>
                <c:pt idx="8">
                  <c:v>0.55350259389976841</c:v>
                </c:pt>
                <c:pt idx="9">
                  <c:v>0.55181495147092607</c:v>
                </c:pt>
                <c:pt idx="10">
                  <c:v>0.55018096746489953</c:v>
                </c:pt>
                <c:pt idx="11">
                  <c:v>0.54864634962709113</c:v>
                </c:pt>
                <c:pt idx="12">
                  <c:v>0.54728449170557714</c:v>
                </c:pt>
                <c:pt idx="13">
                  <c:v>0.54620169250423378</c:v>
                </c:pt>
                <c:pt idx="14">
                  <c:v>0.54550517598352921</c:v>
                </c:pt>
                <c:pt idx="15">
                  <c:v>0.54519261198161784</c:v>
                </c:pt>
                <c:pt idx="16">
                  <c:v>0.54510449610344169</c:v>
                </c:pt>
                <c:pt idx="17">
                  <c:v>0.54508825727001309</c:v>
                </c:pt>
                <c:pt idx="18">
                  <c:v>0.54508592090981345</c:v>
                </c:pt>
                <c:pt idx="19">
                  <c:v>0.54508545644188644</c:v>
                </c:pt>
                <c:pt idx="20">
                  <c:v>0.54508555765091349</c:v>
                </c:pt>
                <c:pt idx="21">
                  <c:v>0.54508567428949517</c:v>
                </c:pt>
                <c:pt idx="22">
                  <c:v>0.54508536247046058</c:v>
                </c:pt>
                <c:pt idx="23">
                  <c:v>0.54508532967454837</c:v>
                </c:pt>
              </c:numCache>
            </c:numRef>
          </c:yVal>
          <c:smooth val="1"/>
          <c:extLst>
            <c:ext xmlns:c16="http://schemas.microsoft.com/office/drawing/2014/chart" uri="{C3380CC4-5D6E-409C-BE32-E72D297353CC}">
              <c16:uniqueId val="{00000002-A1C7-4647-B998-449E9F32F971}"/>
            </c:ext>
          </c:extLst>
        </c:ser>
        <c:ser>
          <c:idx val="2"/>
          <c:order val="3"/>
          <c:tx>
            <c:strRef>
              <c:f>'Diagnosis Indicators'!$A$66</c:f>
              <c:strCache>
                <c:ptCount val="1"/>
                <c:pt idx="0">
                  <c:v>Keynes-Kaldor</c:v>
                </c:pt>
              </c:strCache>
            </c:strRef>
          </c:tx>
          <c:spPr>
            <a:ln w="19050" cap="rnd">
              <a:solidFill>
                <a:schemeClr val="accent3"/>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Indicators'!$B$66:$Y$66</c:f>
              <c:numCache>
                <c:formatCode>0.0%</c:formatCode>
                <c:ptCount val="24"/>
                <c:pt idx="0">
                  <c:v>0.56058995943839085</c:v>
                </c:pt>
                <c:pt idx="1">
                  <c:v>0.55838900245651912</c:v>
                </c:pt>
                <c:pt idx="2">
                  <c:v>0.54904045429317372</c:v>
                </c:pt>
                <c:pt idx="3">
                  <c:v>0.5390359605315922</c:v>
                </c:pt>
                <c:pt idx="4">
                  <c:v>0.52822403907998816</c:v>
                </c:pt>
                <c:pt idx="5">
                  <c:v>0.51640462019291433</c:v>
                </c:pt>
                <c:pt idx="6">
                  <c:v>0.50330003846307481</c:v>
                </c:pt>
                <c:pt idx="7">
                  <c:v>0.48850823255722747</c:v>
                </c:pt>
                <c:pt idx="8">
                  <c:v>0.47141513286892062</c:v>
                </c:pt>
                <c:pt idx="9">
                  <c:v>0.45102851783017067</c:v>
                </c:pt>
                <c:pt idx="10">
                  <c:v>0.42564523775902313</c:v>
                </c:pt>
                <c:pt idx="11">
                  <c:v>0.39213909426208754</c:v>
                </c:pt>
                <c:pt idx="12">
                  <c:v>0.34435469116133355</c:v>
                </c:pt>
                <c:pt idx="13">
                  <c:v>0.26940559120224761</c:v>
                </c:pt>
                <c:pt idx="14">
                  <c:v>0.13955259003414694</c:v>
                </c:pt>
                <c:pt idx="15">
                  <c:v>0</c:v>
                </c:pt>
                <c:pt idx="16">
                  <c:v>0</c:v>
                </c:pt>
              </c:numCache>
            </c:numRef>
          </c:yVal>
          <c:smooth val="1"/>
          <c:extLst>
            <c:ext xmlns:c16="http://schemas.microsoft.com/office/drawing/2014/chart" uri="{C3380CC4-5D6E-409C-BE32-E72D297353CC}">
              <c16:uniqueId val="{00000003-A1C7-4647-B998-449E9F32F971}"/>
            </c:ext>
          </c:extLst>
        </c:ser>
        <c:ser>
          <c:idx val="3"/>
          <c:order val="4"/>
          <c:tx>
            <c:strRef>
              <c:f>'Diagnosis Indicators'!$A$67</c:f>
              <c:strCache>
                <c:ptCount val="1"/>
                <c:pt idx="0">
                  <c:v>Keynes-Marshall</c:v>
                </c:pt>
              </c:strCache>
            </c:strRef>
          </c:tx>
          <c:spPr>
            <a:ln w="19050" cap="rnd">
              <a:solidFill>
                <a:schemeClr val="accent4"/>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Indicators'!$B$67:$Y$67</c:f>
              <c:numCache>
                <c:formatCode>0.0%</c:formatCode>
                <c:ptCount val="24"/>
                <c:pt idx="0">
                  <c:v>0.56058995943839085</c:v>
                </c:pt>
                <c:pt idx="1">
                  <c:v>0.58712474280484428</c:v>
                </c:pt>
                <c:pt idx="2">
                  <c:v>0.60840640868942031</c:v>
                </c:pt>
                <c:pt idx="3">
                  <c:v>0.6313854895002835</c:v>
                </c:pt>
                <c:pt idx="4">
                  <c:v>0.65654703589682362</c:v>
                </c:pt>
                <c:pt idx="5">
                  <c:v>0.68463316448709111</c:v>
                </c:pt>
                <c:pt idx="6">
                  <c:v>0.71686420272124685</c:v>
                </c:pt>
                <c:pt idx="7">
                  <c:v>0.75542633549520088</c:v>
                </c:pt>
                <c:pt idx="8">
                  <c:v>0.80469077565207614</c:v>
                </c:pt>
                <c:pt idx="9">
                  <c:v>0.87493624177568496</c:v>
                </c:pt>
              </c:numCache>
            </c:numRef>
          </c:yVal>
          <c:smooth val="1"/>
          <c:extLst>
            <c:ext xmlns:c16="http://schemas.microsoft.com/office/drawing/2014/chart" uri="{C3380CC4-5D6E-409C-BE32-E72D297353CC}">
              <c16:uniqueId val="{00000004-A1C7-4647-B998-449E9F32F971}"/>
            </c:ext>
          </c:extLst>
        </c:ser>
        <c:ser>
          <c:idx val="4"/>
          <c:order val="5"/>
          <c:tx>
            <c:strRef>
              <c:f>'Diagnosis Indicators'!$A$68</c:f>
              <c:strCache>
                <c:ptCount val="1"/>
                <c:pt idx="0">
                  <c:v>Keynesian</c:v>
                </c:pt>
              </c:strCache>
            </c:strRef>
          </c:tx>
          <c:spPr>
            <a:ln w="19050" cap="rnd">
              <a:solidFill>
                <a:schemeClr val="accent5"/>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Indicators'!$B$68:$Y$68</c:f>
              <c:numCache>
                <c:formatCode>0.0%</c:formatCode>
                <c:ptCount val="24"/>
                <c:pt idx="0">
                  <c:v>0.56058995943839085</c:v>
                </c:pt>
                <c:pt idx="1">
                  <c:v>0.57590510810526163</c:v>
                </c:pt>
                <c:pt idx="2">
                  <c:v>0.58448171719564546</c:v>
                </c:pt>
                <c:pt idx="3">
                  <c:v>0.59286817125627767</c:v>
                </c:pt>
                <c:pt idx="4">
                  <c:v>0.60099610779211365</c:v>
                </c:pt>
                <c:pt idx="5">
                  <c:v>0.60879280230287702</c:v>
                </c:pt>
                <c:pt idx="6">
                  <c:v>0.61618121856968022</c:v>
                </c:pt>
                <c:pt idx="7">
                  <c:v>0.62308184230910624</c:v>
                </c:pt>
                <c:pt idx="8">
                  <c:v>0.62940883128172054</c:v>
                </c:pt>
                <c:pt idx="9">
                  <c:v>0.6350609883062408</c:v>
                </c:pt>
                <c:pt idx="10">
                  <c:v>0.63986815995810764</c:v>
                </c:pt>
                <c:pt idx="11">
                  <c:v>0.64338316242839733</c:v>
                </c:pt>
                <c:pt idx="12">
                  <c:v>0.64396938881844334</c:v>
                </c:pt>
              </c:numCache>
            </c:numRef>
          </c:yVal>
          <c:smooth val="1"/>
          <c:extLst>
            <c:ext xmlns:c16="http://schemas.microsoft.com/office/drawing/2014/chart" uri="{C3380CC4-5D6E-409C-BE32-E72D297353CC}">
              <c16:uniqueId val="{00000005-A1C7-4647-B998-449E9F32F971}"/>
            </c:ext>
          </c:extLst>
        </c:ser>
        <c:ser>
          <c:idx val="6"/>
          <c:order val="6"/>
          <c:tx>
            <c:strRef>
              <c:f>'Diagnosis Indicators'!$A$69</c:f>
              <c:strCache>
                <c:ptCount val="1"/>
                <c:pt idx="0">
                  <c:v>Neo-K1</c:v>
                </c:pt>
              </c:strCache>
            </c:strRef>
          </c:tx>
          <c:spPr>
            <a:ln w="19050" cap="rnd">
              <a:solidFill>
                <a:schemeClr val="accent1">
                  <a:lumMod val="60000"/>
                </a:schemeClr>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Indicators'!$B$69:$Y$69</c:f>
              <c:numCache>
                <c:formatCode>0.0%</c:formatCode>
                <c:ptCount val="24"/>
                <c:pt idx="0">
                  <c:v>0.56058995943839085</c:v>
                </c:pt>
                <c:pt idx="1">
                  <c:v>0.56658161560465614</c:v>
                </c:pt>
                <c:pt idx="2">
                  <c:v>0.56595746206658937</c:v>
                </c:pt>
                <c:pt idx="3">
                  <c:v>0.56532456184463031</c:v>
                </c:pt>
                <c:pt idx="4">
                  <c:v>0.56467858667763171</c:v>
                </c:pt>
                <c:pt idx="5">
                  <c:v>0.56401432310363397</c:v>
                </c:pt>
                <c:pt idx="6">
                  <c:v>0.56332571027097222</c:v>
                </c:pt>
                <c:pt idx="7">
                  <c:v>0.562605977941813</c:v>
                </c:pt>
                <c:pt idx="8">
                  <c:v>0.56184799540499841</c:v>
                </c:pt>
                <c:pt idx="9">
                  <c:v>0.56104490570636556</c:v>
                </c:pt>
                <c:pt idx="10">
                  <c:v>0.56019109147229373</c:v>
                </c:pt>
                <c:pt idx="11">
                  <c:v>0.55928338115504206</c:v>
                </c:pt>
                <c:pt idx="12">
                  <c:v>0.55832238531890754</c:v>
                </c:pt>
                <c:pt idx="13">
                  <c:v>0.5573134433602277</c:v>
                </c:pt>
                <c:pt idx="14">
                  <c:v>0.55626676040693102</c:v>
                </c:pt>
                <c:pt idx="15">
                  <c:v>0.55519641571304157</c:v>
                </c:pt>
                <c:pt idx="16">
                  <c:v>0.5541184302401071</c:v>
                </c:pt>
                <c:pt idx="17">
                  <c:v>0.55304851628490015</c:v>
                </c:pt>
                <c:pt idx="18">
                  <c:v>0.552000229713553</c:v>
                </c:pt>
                <c:pt idx="19">
                  <c:v>0.55098395356390317</c:v>
                </c:pt>
                <c:pt idx="20">
                  <c:v>0.55078520733104375</c:v>
                </c:pt>
                <c:pt idx="21">
                  <c:v>0.55058808577863083</c:v>
                </c:pt>
                <c:pt idx="22">
                  <c:v>0.55039260410514679</c:v>
                </c:pt>
                <c:pt idx="23">
                  <c:v>0.55019879775369473</c:v>
                </c:pt>
              </c:numCache>
            </c:numRef>
          </c:yVal>
          <c:smooth val="1"/>
          <c:extLst>
            <c:ext xmlns:c16="http://schemas.microsoft.com/office/drawing/2014/chart" uri="{C3380CC4-5D6E-409C-BE32-E72D297353CC}">
              <c16:uniqueId val="{00000006-A1C7-4647-B998-449E9F32F971}"/>
            </c:ext>
          </c:extLst>
        </c:ser>
        <c:ser>
          <c:idx val="7"/>
          <c:order val="7"/>
          <c:tx>
            <c:strRef>
              <c:f>'Diagnosis Indicators'!$A$70</c:f>
              <c:strCache>
                <c:ptCount val="1"/>
                <c:pt idx="0">
                  <c:v>Neo-K2</c:v>
                </c:pt>
              </c:strCache>
            </c:strRef>
          </c:tx>
          <c:spPr>
            <a:ln w="19050" cap="rnd">
              <a:solidFill>
                <a:schemeClr val="accent2">
                  <a:lumMod val="60000"/>
                </a:schemeClr>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Indicators'!$B$70:$Y$70</c:f>
              <c:numCache>
                <c:formatCode>0.0%</c:formatCode>
                <c:ptCount val="24"/>
                <c:pt idx="0">
                  <c:v>0.56058995943839085</c:v>
                </c:pt>
                <c:pt idx="1">
                  <c:v>0.56772118456608844</c:v>
                </c:pt>
                <c:pt idx="2">
                  <c:v>0.56832409171421849</c:v>
                </c:pt>
                <c:pt idx="3">
                  <c:v>0.56901440842598339</c:v>
                </c:pt>
                <c:pt idx="4">
                  <c:v>0.56979587695459799</c:v>
                </c:pt>
                <c:pt idx="5">
                  <c:v>0.57066994705192975</c:v>
                </c:pt>
                <c:pt idx="6">
                  <c:v>0.57163467080157371</c:v>
                </c:pt>
                <c:pt idx="7">
                  <c:v>0.57268334107898422</c:v>
                </c:pt>
                <c:pt idx="8">
                  <c:v>0.57380284385965652</c:v>
                </c:pt>
                <c:pt idx="9">
                  <c:v>0.57497161939845465</c:v>
                </c:pt>
                <c:pt idx="10">
                  <c:v>0.5761568692892074</c:v>
                </c:pt>
                <c:pt idx="11">
                  <c:v>0.57731047558706927</c:v>
                </c:pt>
                <c:pt idx="12">
                  <c:v>0.57836277196849473</c:v>
                </c:pt>
                <c:pt idx="13">
                  <c:v>0.57921332593817254</c:v>
                </c:pt>
                <c:pt idx="14">
                  <c:v>0.57971651982790651</c:v>
                </c:pt>
                <c:pt idx="15">
                  <c:v>0.57965038078825337</c:v>
                </c:pt>
                <c:pt idx="16">
                  <c:v>0</c:v>
                </c:pt>
                <c:pt idx="17">
                  <c:v>0</c:v>
                </c:pt>
                <c:pt idx="18">
                  <c:v>0</c:v>
                </c:pt>
                <c:pt idx="19">
                  <c:v>0</c:v>
                </c:pt>
                <c:pt idx="20">
                  <c:v>0</c:v>
                </c:pt>
                <c:pt idx="21">
                  <c:v>0</c:v>
                </c:pt>
                <c:pt idx="22">
                  <c:v>0</c:v>
                </c:pt>
                <c:pt idx="23">
                  <c:v>0</c:v>
                </c:pt>
              </c:numCache>
            </c:numRef>
          </c:yVal>
          <c:smooth val="1"/>
          <c:extLst>
            <c:ext xmlns:c16="http://schemas.microsoft.com/office/drawing/2014/chart" uri="{C3380CC4-5D6E-409C-BE32-E72D297353CC}">
              <c16:uniqueId val="{00000007-A1C7-4647-B998-449E9F32F971}"/>
            </c:ext>
          </c:extLst>
        </c:ser>
        <c:dLbls>
          <c:showLegendKey val="0"/>
          <c:showVal val="0"/>
          <c:showCatName val="0"/>
          <c:showSerName val="0"/>
          <c:showPercent val="0"/>
          <c:showBubbleSize val="0"/>
        </c:dLbls>
        <c:axId val="844946399"/>
        <c:axId val="844953055"/>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fr-FR" sz="1200"/>
                  <a:t>Fossil energy control</a:t>
                </a:r>
              </a:p>
            </c:rich>
          </c:tx>
          <c:layout>
            <c:manualLayout>
              <c:xMode val="edge"/>
              <c:yMode val="edge"/>
              <c:x val="0.43708696202780883"/>
              <c:y val="0.96180622155430084"/>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2000" b="0" i="0" u="none" strike="noStrike" kern="1200" baseline="0">
                    <a:solidFill>
                      <a:schemeClr val="tx1">
                        <a:lumMod val="65000"/>
                        <a:lumOff val="35000"/>
                      </a:schemeClr>
                    </a:solidFill>
                    <a:latin typeface="+mn-lt"/>
                    <a:ea typeface="+mn-ea"/>
                    <a:cs typeface="+mn-cs"/>
                  </a:defRPr>
                </a:pPr>
                <a:r>
                  <a:rPr lang="en-US" sz="2000"/>
                  <a:t>Profit share</a:t>
                </a:r>
              </a:p>
            </c:rich>
          </c:tx>
          <c:layout>
            <c:manualLayout>
              <c:xMode val="edge"/>
              <c:yMode val="edge"/>
              <c:x val="1.3669649771732994E-2"/>
              <c:y val="2.0934435893485728E-2"/>
            </c:manualLayout>
          </c:layout>
          <c:overlay val="0"/>
          <c:spPr>
            <a:noFill/>
            <a:ln>
              <a:noFill/>
            </a:ln>
            <a:effectLst/>
          </c:spPr>
          <c:txPr>
            <a:bodyPr rot="0" spcFirstLastPara="1" vertOverflow="ellipsis"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5327206286230677E-2"/>
          <c:y val="0.51777688441239067"/>
          <c:w val="0.19412059496196518"/>
          <c:h val="0.38270344479544083"/>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noFill/>
    <a:ln w="9525" cap="flat" cmpd="sng" algn="ctr">
      <a:noFill/>
      <a:round/>
    </a:ln>
    <a:effectLst/>
  </c:spPr>
  <c:txPr>
    <a:bodyPr/>
    <a:lstStyle/>
    <a:p>
      <a:pPr>
        <a:defRPr/>
      </a:pPr>
      <a:endParaRPr lang="fr-FR"/>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a:pPr>
            <a:r>
              <a:rPr lang="fr-FR" sz="2000" b="0" i="0" u="none" strike="noStrike" kern="1200" baseline="0">
                <a:solidFill>
                  <a:sysClr val="windowText" lastClr="000000">
                    <a:lumMod val="65000"/>
                    <a:lumOff val="35000"/>
                  </a:sysClr>
                </a:solidFill>
                <a:latin typeface="+mn-lt"/>
                <a:ea typeface="+mn-ea"/>
                <a:cs typeface="+mn-cs"/>
              </a:rPr>
              <a:t>Optimal Carbon Tax</a:t>
            </a:r>
          </a:p>
        </c:rich>
      </c:tx>
      <c:layout>
        <c:manualLayout>
          <c:xMode val="edge"/>
          <c:yMode val="edge"/>
          <c:x val="4.2052262398352712E-2"/>
          <c:y val="1.674876749842321E-2"/>
        </c:manualLayout>
      </c:layout>
      <c:overlay val="0"/>
    </c:title>
    <c:autoTitleDeleted val="0"/>
    <c:plotArea>
      <c:layout/>
      <c:scatterChart>
        <c:scatterStyle val="lineMarker"/>
        <c:varyColors val="0"/>
        <c:ser>
          <c:idx val="5"/>
          <c:order val="0"/>
          <c:tx>
            <c:strRef>
              <c:f>'Diagnosis Indicators'!$A$85</c:f>
              <c:strCache>
                <c:ptCount val="1"/>
                <c:pt idx="0">
                  <c:v>Neoclassical</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Indicators'!$B$85:$Y$85</c:f>
              <c:numCache>
                <c:formatCode>0%</c:formatCode>
                <c:ptCount val="24"/>
                <c:pt idx="0">
                  <c:v>5.7716594496607888E-3</c:v>
                </c:pt>
                <c:pt idx="1">
                  <c:v>6.7812480990908711E-2</c:v>
                </c:pt>
                <c:pt idx="2">
                  <c:v>0.13647328277484713</c:v>
                </c:pt>
                <c:pt idx="3">
                  <c:v>0.21290927954444849</c:v>
                </c:pt>
                <c:pt idx="4">
                  <c:v>0.29861409573997216</c:v>
                </c:pt>
                <c:pt idx="5">
                  <c:v>0.39557250707412789</c:v>
                </c:pt>
                <c:pt idx="6">
                  <c:v>0.50653152003303714</c:v>
                </c:pt>
                <c:pt idx="7">
                  <c:v>0.6354258061679694</c:v>
                </c:pt>
                <c:pt idx="8">
                  <c:v>0.78816106930218621</c:v>
                </c:pt>
                <c:pt idx="9">
                  <c:v>0.97406411892124545</c:v>
                </c:pt>
                <c:pt idx="10">
                  <c:v>1.2087393654607412</c:v>
                </c:pt>
                <c:pt idx="11">
                  <c:v>1.5200936512312115</c:v>
                </c:pt>
                <c:pt idx="12">
                  <c:v>1.9618521412350727</c:v>
                </c:pt>
                <c:pt idx="13">
                  <c:v>2.6451210374705068</c:v>
                </c:pt>
                <c:pt idx="14">
                  <c:v>3.8086775445985297</c:v>
                </c:pt>
                <c:pt idx="15">
                  <c:v>5.9439193281593568</c:v>
                </c:pt>
                <c:pt idx="16">
                  <c:v>9.9450147467584422</c:v>
                </c:pt>
                <c:pt idx="17">
                  <c:v>17.120114354729317</c:v>
                </c:pt>
                <c:pt idx="18">
                  <c:v>27.713147397418663</c:v>
                </c:pt>
                <c:pt idx="19">
                  <c:v>36.393196680338967</c:v>
                </c:pt>
                <c:pt idx="20">
                  <c:v>37.22694007254195</c:v>
                </c:pt>
                <c:pt idx="21">
                  <c:v>37.753365195254688</c:v>
                </c:pt>
                <c:pt idx="22">
                  <c:v>38.03008809222144</c:v>
                </c:pt>
                <c:pt idx="23">
                  <c:v>38.133163792294589</c:v>
                </c:pt>
              </c:numCache>
            </c:numRef>
          </c:yVal>
          <c:smooth val="0"/>
          <c:extLst>
            <c:ext xmlns:c16="http://schemas.microsoft.com/office/drawing/2014/chart" uri="{C3380CC4-5D6E-409C-BE32-E72D297353CC}">
              <c16:uniqueId val="{00000005-1DAF-401E-8827-605E9C07D3CD}"/>
            </c:ext>
          </c:extLst>
        </c:ser>
        <c:ser>
          <c:idx val="9"/>
          <c:order val="1"/>
          <c:tx>
            <c:strRef>
              <c:f>'Diagnosis Indicators'!$A$86</c:f>
              <c:strCache>
                <c:ptCount val="1"/>
                <c:pt idx="0">
                  <c:v>Kaldorian</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Indicators'!$B$86:$Y$86</c:f>
              <c:numCache>
                <c:formatCode>0%</c:formatCode>
                <c:ptCount val="24"/>
                <c:pt idx="0">
                  <c:v>5.7716594496607888E-3</c:v>
                </c:pt>
                <c:pt idx="1">
                  <c:v>7.3600213743676146E-2</c:v>
                </c:pt>
                <c:pt idx="2">
                  <c:v>0.14864451853442823</c:v>
                </c:pt>
                <c:pt idx="3">
                  <c:v>0.23214699681366854</c:v>
                </c:pt>
                <c:pt idx="4">
                  <c:v>0.3257190318496011</c:v>
                </c:pt>
                <c:pt idx="5">
                  <c:v>0.43151039069575825</c:v>
                </c:pt>
                <c:pt idx="6">
                  <c:v>0.55252188468163022</c:v>
                </c:pt>
                <c:pt idx="7">
                  <c:v>0.6930963077758876</c:v>
                </c:pt>
                <c:pt idx="8">
                  <c:v>0.85983486001359366</c:v>
                </c:pt>
                <c:pt idx="9">
                  <c:v>1.0633273070617546</c:v>
                </c:pt>
                <c:pt idx="10">
                  <c:v>1.3216123183882953</c:v>
                </c:pt>
                <c:pt idx="11">
                  <c:v>1.6676312031242602</c:v>
                </c:pt>
                <c:pt idx="12">
                  <c:v>2.16633442146169</c:v>
                </c:pt>
                <c:pt idx="13">
                  <c:v>2.9552532886389864</c:v>
                </c:pt>
                <c:pt idx="14">
                  <c:v>4.3329450165283712</c:v>
                </c:pt>
                <c:pt idx="15">
                  <c:v>0</c:v>
                </c:pt>
                <c:pt idx="16">
                  <c:v>0</c:v>
                </c:pt>
                <c:pt idx="17">
                  <c:v>0</c:v>
                </c:pt>
                <c:pt idx="18">
                  <c:v>0</c:v>
                </c:pt>
                <c:pt idx="19">
                  <c:v>0</c:v>
                </c:pt>
                <c:pt idx="20">
                  <c:v>0</c:v>
                </c:pt>
                <c:pt idx="21">
                  <c:v>0</c:v>
                </c:pt>
                <c:pt idx="22">
                  <c:v>0</c:v>
                </c:pt>
                <c:pt idx="23">
                  <c:v>0</c:v>
                </c:pt>
              </c:numCache>
            </c:numRef>
          </c:yVal>
          <c:smooth val="0"/>
          <c:extLst>
            <c:ext xmlns:c16="http://schemas.microsoft.com/office/drawing/2014/chart" uri="{C3380CC4-5D6E-409C-BE32-E72D297353CC}">
              <c16:uniqueId val="{0000000A-1DAF-401E-8827-605E9C07D3CD}"/>
            </c:ext>
          </c:extLst>
        </c:ser>
        <c:ser>
          <c:idx val="8"/>
          <c:order val="2"/>
          <c:tx>
            <c:strRef>
              <c:f>'Diagnosis Indicators'!$A$87</c:f>
              <c:strCache>
                <c:ptCount val="1"/>
                <c:pt idx="0">
                  <c:v>Johansen</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Indicators'!$B$87:$Y$87</c:f>
              <c:numCache>
                <c:formatCode>0%</c:formatCode>
                <c:ptCount val="24"/>
                <c:pt idx="0">
                  <c:v>5.7716594496607888E-3</c:v>
                </c:pt>
                <c:pt idx="1">
                  <c:v>7.0980045687539906E-2</c:v>
                </c:pt>
                <c:pt idx="2">
                  <c:v>0.14317207272392832</c:v>
                </c:pt>
                <c:pt idx="3">
                  <c:v>0.22357690924973264</c:v>
                </c:pt>
                <c:pt idx="4">
                  <c:v>0.31379601219813796</c:v>
                </c:pt>
                <c:pt idx="5">
                  <c:v>0.4159742694465704</c:v>
                </c:pt>
                <c:pt idx="6">
                  <c:v>0.53311812008487125</c:v>
                </c:pt>
                <c:pt idx="7">
                  <c:v>0.66959016872402866</c:v>
                </c:pt>
                <c:pt idx="8">
                  <c:v>0.83203735858566319</c:v>
                </c:pt>
                <c:pt idx="9">
                  <c:v>1.0311437378995718</c:v>
                </c:pt>
                <c:pt idx="10">
                  <c:v>1.2851488627100593</c:v>
                </c:pt>
                <c:pt idx="11">
                  <c:v>1.6274433095311918</c:v>
                </c:pt>
                <c:pt idx="12">
                  <c:v>2.1240217534245134</c:v>
                </c:pt>
                <c:pt idx="13">
                  <c:v>2.9146349246409176</c:v>
                </c:pt>
                <c:pt idx="14">
                  <c:v>4.3007280689112202</c:v>
                </c:pt>
                <c:pt idx="15">
                  <c:v>6.8768968251329499</c:v>
                </c:pt>
                <c:pt idx="16">
                  <c:v>11.61495928693788</c:v>
                </c:pt>
                <c:pt idx="17">
                  <c:v>19.543976569538426</c:v>
                </c:pt>
                <c:pt idx="18">
                  <c:v>29.608023021201451</c:v>
                </c:pt>
                <c:pt idx="19">
                  <c:v>36.399181314819309</c:v>
                </c:pt>
                <c:pt idx="20">
                  <c:v>36.987726867694796</c:v>
                </c:pt>
                <c:pt idx="21">
                  <c:v>37.353889025372986</c:v>
                </c:pt>
                <c:pt idx="22">
                  <c:v>37.54469346241067</c:v>
                </c:pt>
                <c:pt idx="23">
                  <c:v>37.615472559597038</c:v>
                </c:pt>
              </c:numCache>
            </c:numRef>
          </c:yVal>
          <c:smooth val="0"/>
          <c:extLst>
            <c:ext xmlns:c16="http://schemas.microsoft.com/office/drawing/2014/chart" uri="{C3380CC4-5D6E-409C-BE32-E72D297353CC}">
              <c16:uniqueId val="{00000009-1DAF-401E-8827-605E9C07D3CD}"/>
            </c:ext>
          </c:extLst>
        </c:ser>
        <c:ser>
          <c:idx val="10"/>
          <c:order val="3"/>
          <c:tx>
            <c:strRef>
              <c:f>'Diagnosis Indicators'!$A$88</c:f>
              <c:strCache>
                <c:ptCount val="1"/>
                <c:pt idx="0">
                  <c:v>Keynes-Kaldor</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Indicators'!$B$88:$Y$88</c:f>
              <c:numCache>
                <c:formatCode>0%</c:formatCode>
                <c:ptCount val="24"/>
                <c:pt idx="0">
                  <c:v>5.7716594496607888E-3</c:v>
                </c:pt>
                <c:pt idx="1">
                  <c:v>8.1794352435459072E-2</c:v>
                </c:pt>
                <c:pt idx="2">
                  <c:v>0.16541988211005457</c:v>
                </c:pt>
                <c:pt idx="3">
                  <c:v>0.25794328294731655</c:v>
                </c:pt>
                <c:pt idx="4">
                  <c:v>0.36105007408697648</c:v>
                </c:pt>
                <c:pt idx="5">
                  <c:v>0.47700433313304169</c:v>
                </c:pt>
                <c:pt idx="6">
                  <c:v>0.6089916312794863</c:v>
                </c:pt>
                <c:pt idx="7">
                  <c:v>0.76165285880019251</c:v>
                </c:pt>
                <c:pt idx="8">
                  <c:v>0.9420580238134536</c:v>
                </c:pt>
                <c:pt idx="9">
                  <c:v>1.1615081480322198</c:v>
                </c:pt>
                <c:pt idx="10">
                  <c:v>1.4390118916035679</c:v>
                </c:pt>
                <c:pt idx="11">
                  <c:v>1.8083942228220073</c:v>
                </c:pt>
                <c:pt idx="12">
                  <c:v>2.3331035206912678</c:v>
                </c:pt>
                <c:pt idx="13">
                  <c:v>3.1350620573253463</c:v>
                </c:pt>
                <c:pt idx="14">
                  <c:v>4.4328656246681621</c:v>
                </c:pt>
                <c:pt idx="15">
                  <c:v>0</c:v>
                </c:pt>
                <c:pt idx="16">
                  <c:v>0</c:v>
                </c:pt>
                <c:pt idx="17">
                  <c:v>0</c:v>
                </c:pt>
                <c:pt idx="18">
                  <c:v>0</c:v>
                </c:pt>
                <c:pt idx="19">
                  <c:v>0</c:v>
                </c:pt>
                <c:pt idx="20">
                  <c:v>0</c:v>
                </c:pt>
                <c:pt idx="21">
                  <c:v>0</c:v>
                </c:pt>
                <c:pt idx="22">
                  <c:v>0</c:v>
                </c:pt>
                <c:pt idx="23">
                  <c:v>0</c:v>
                </c:pt>
              </c:numCache>
            </c:numRef>
          </c:yVal>
          <c:smooth val="0"/>
          <c:extLst>
            <c:ext xmlns:c16="http://schemas.microsoft.com/office/drawing/2014/chart" uri="{C3380CC4-5D6E-409C-BE32-E72D297353CC}">
              <c16:uniqueId val="{0000000C-1DAF-401E-8827-605E9C07D3CD}"/>
            </c:ext>
          </c:extLst>
        </c:ser>
        <c:ser>
          <c:idx val="2"/>
          <c:order val="4"/>
          <c:tx>
            <c:strRef>
              <c:f>'Diagnosis Indicators'!$A$89</c:f>
              <c:strCache>
                <c:ptCount val="1"/>
                <c:pt idx="0">
                  <c:v>Keynes-Marshall</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Indicators'!$B$89:$Y$89</c:f>
              <c:numCache>
                <c:formatCode>0%</c:formatCode>
                <c:ptCount val="24"/>
                <c:pt idx="0">
                  <c:v>5.7716594496607888E-3</c:v>
                </c:pt>
                <c:pt idx="1">
                  <c:v>8.3642603999469656E-2</c:v>
                </c:pt>
                <c:pt idx="2">
                  <c:v>0.17168625979625596</c:v>
                </c:pt>
                <c:pt idx="3">
                  <c:v>0.27237305740096379</c:v>
                </c:pt>
                <c:pt idx="4">
                  <c:v>0.38934106343918035</c:v>
                </c:pt>
                <c:pt idx="5">
                  <c:v>0.52826787362461036</c:v>
                </c:pt>
                <c:pt idx="6">
                  <c:v>0.69864129302906675</c:v>
                </c:pt>
                <c:pt idx="7">
                  <c:v>0.91774334927422718</c:v>
                </c:pt>
                <c:pt idx="8">
                  <c:v>1.2210703738440372</c:v>
                </c:pt>
                <c:pt idx="9">
                  <c:v>1.6961772441386833</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yVal>
          <c:smooth val="0"/>
          <c:extLst>
            <c:ext xmlns:c16="http://schemas.microsoft.com/office/drawing/2014/chart" uri="{C3380CC4-5D6E-409C-BE32-E72D297353CC}">
              <c16:uniqueId val="{00000002-1DAF-401E-8827-605E9C07D3CD}"/>
            </c:ext>
          </c:extLst>
        </c:ser>
        <c:ser>
          <c:idx val="1"/>
          <c:order val="5"/>
          <c:tx>
            <c:strRef>
              <c:f>'Diagnosis Indicators'!$A$90</c:f>
              <c:strCache>
                <c:ptCount val="1"/>
                <c:pt idx="0">
                  <c:v>Keynesian</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Indicators'!$B$90:$Y$90</c:f>
              <c:numCache>
                <c:formatCode>0%</c:formatCode>
                <c:ptCount val="24"/>
                <c:pt idx="0">
                  <c:v>5.7716594496607888E-3</c:v>
                </c:pt>
                <c:pt idx="1">
                  <c:v>3.919360798795811E-2</c:v>
                </c:pt>
                <c:pt idx="2">
                  <c:v>7.3002894329855877E-2</c:v>
                </c:pt>
                <c:pt idx="3">
                  <c:v>0.10691194530270838</c:v>
                </c:pt>
                <c:pt idx="4">
                  <c:v>0.14058182607327915</c:v>
                </c:pt>
                <c:pt idx="5">
                  <c:v>0.17362679193027042</c:v>
                </c:pt>
                <c:pt idx="6">
                  <c:v>0.20561904407557871</c:v>
                </c:pt>
                <c:pt idx="7">
                  <c:v>0.2360921404954619</c:v>
                </c:pt>
                <c:pt idx="8">
                  <c:v>0.26452639735464928</c:v>
                </c:pt>
                <c:pt idx="9">
                  <c:v>0.29028280393705141</c:v>
                </c:pt>
                <c:pt idx="10">
                  <c:v>0.31233668358298378</c:v>
                </c:pt>
                <c:pt idx="11">
                  <c:v>0.32815126939168721</c:v>
                </c:pt>
                <c:pt idx="12">
                  <c:v>0.32920051845742365</c:v>
                </c:pt>
                <c:pt idx="13">
                  <c:v>0.3088088009722062</c:v>
                </c:pt>
                <c:pt idx="14">
                  <c:v>0</c:v>
                </c:pt>
                <c:pt idx="15">
                  <c:v>0</c:v>
                </c:pt>
                <c:pt idx="16">
                  <c:v>0</c:v>
                </c:pt>
                <c:pt idx="17">
                  <c:v>0</c:v>
                </c:pt>
                <c:pt idx="18">
                  <c:v>0</c:v>
                </c:pt>
                <c:pt idx="19">
                  <c:v>0</c:v>
                </c:pt>
                <c:pt idx="20">
                  <c:v>0</c:v>
                </c:pt>
                <c:pt idx="21">
                  <c:v>0</c:v>
                </c:pt>
                <c:pt idx="22">
                  <c:v>0</c:v>
                </c:pt>
                <c:pt idx="23">
                  <c:v>0</c:v>
                </c:pt>
              </c:numCache>
            </c:numRef>
          </c:yVal>
          <c:smooth val="0"/>
          <c:extLst>
            <c:ext xmlns:c16="http://schemas.microsoft.com/office/drawing/2014/chart" uri="{C3380CC4-5D6E-409C-BE32-E72D297353CC}">
              <c16:uniqueId val="{00000001-1DAF-401E-8827-605E9C07D3CD}"/>
            </c:ext>
          </c:extLst>
        </c:ser>
        <c:ser>
          <c:idx val="0"/>
          <c:order val="6"/>
          <c:tx>
            <c:strRef>
              <c:f>'Diagnosis Indicators'!$A$91</c:f>
              <c:strCache>
                <c:ptCount val="1"/>
                <c:pt idx="0">
                  <c:v>Neo-K2</c:v>
                </c:pt>
              </c:strCache>
            </c:strRef>
          </c:tx>
          <c:spPr>
            <a:ln>
              <a:prstDash val="dash"/>
            </a:ln>
          </c:spPr>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Indicators'!$B$91:$Y$91</c:f>
              <c:numCache>
                <c:formatCode>0%</c:formatCode>
                <c:ptCount val="24"/>
                <c:pt idx="0">
                  <c:v>5.7716594496607888E-3</c:v>
                </c:pt>
                <c:pt idx="1">
                  <c:v>5.1353973852621859E-2</c:v>
                </c:pt>
                <c:pt idx="2">
                  <c:v>9.9276483540202118E-2</c:v>
                </c:pt>
                <c:pt idx="3">
                  <c:v>0.14947829182498587</c:v>
                </c:pt>
                <c:pt idx="4">
                  <c:v>0.20183501411398905</c:v>
                </c:pt>
                <c:pt idx="5">
                  <c:v>0.25615112250610694</c:v>
                </c:pt>
                <c:pt idx="6">
                  <c:v>0.31217657830602502</c:v>
                </c:pt>
                <c:pt idx="7">
                  <c:v>0.36965717093078665</c:v>
                </c:pt>
                <c:pt idx="8">
                  <c:v>0.42844472267597306</c:v>
                </c:pt>
                <c:pt idx="9">
                  <c:v>0.48871716201232729</c:v>
                </c:pt>
                <c:pt idx="10">
                  <c:v>0.55138657797265089</c:v>
                </c:pt>
                <c:pt idx="11">
                  <c:v>0.61883369790154408</c:v>
                </c:pt>
                <c:pt idx="12">
                  <c:v>0.69627278876399967</c:v>
                </c:pt>
                <c:pt idx="13">
                  <c:v>0.794440591572806</c:v>
                </c:pt>
                <c:pt idx="14">
                  <c:v>0.93554443503153817</c:v>
                </c:pt>
                <c:pt idx="15">
                  <c:v>1.1689934778369546</c:v>
                </c:pt>
                <c:pt idx="16">
                  <c:v>0</c:v>
                </c:pt>
                <c:pt idx="17">
                  <c:v>0</c:v>
                </c:pt>
                <c:pt idx="18">
                  <c:v>0</c:v>
                </c:pt>
                <c:pt idx="19">
                  <c:v>0</c:v>
                </c:pt>
                <c:pt idx="20">
                  <c:v>0</c:v>
                </c:pt>
                <c:pt idx="21">
                  <c:v>0</c:v>
                </c:pt>
                <c:pt idx="22">
                  <c:v>0</c:v>
                </c:pt>
                <c:pt idx="23">
                  <c:v>0</c:v>
                </c:pt>
              </c:numCache>
            </c:numRef>
          </c:yVal>
          <c:smooth val="0"/>
          <c:extLst>
            <c:ext xmlns:c16="http://schemas.microsoft.com/office/drawing/2014/chart" uri="{C3380CC4-5D6E-409C-BE32-E72D297353CC}">
              <c16:uniqueId val="{00000000-1DAF-401E-8827-605E9C07D3CD}"/>
            </c:ext>
          </c:extLst>
        </c:ser>
        <c:ser>
          <c:idx val="3"/>
          <c:order val="7"/>
          <c:tx>
            <c:strRef>
              <c:f>'Diagnosis Indicators'!$A$92</c:f>
              <c:strCache>
                <c:ptCount val="1"/>
                <c:pt idx="0">
                  <c:v>Neo-K1</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Indicators'!$B$92:$Y$92</c:f>
              <c:numCache>
                <c:formatCode>0%</c:formatCode>
                <c:ptCount val="24"/>
                <c:pt idx="0">
                  <c:v>5.7716594496607888E-3</c:v>
                </c:pt>
                <c:pt idx="1">
                  <c:v>5.6781436340411717E-2</c:v>
                </c:pt>
                <c:pt idx="2">
                  <c:v>0.1117192508245143</c:v>
                </c:pt>
                <c:pt idx="3">
                  <c:v>0.17093620235425261</c:v>
                </c:pt>
                <c:pt idx="4">
                  <c:v>0.23480632811741686</c:v>
                </c:pt>
                <c:pt idx="5">
                  <c:v>0.30371895062923138</c:v>
                </c:pt>
                <c:pt idx="6">
                  <c:v>0.37806859790332698</c:v>
                </c:pt>
                <c:pt idx="7">
                  <c:v>0.45823388198698223</c:v>
                </c:pt>
                <c:pt idx="8">
                  <c:v>0.54454327776312761</c:v>
                </c:pt>
                <c:pt idx="9">
                  <c:v>0.63722402327555638</c:v>
                </c:pt>
                <c:pt idx="10">
                  <c:v>0.73633146267524552</c:v>
                </c:pt>
                <c:pt idx="11">
                  <c:v>0.84166437705735608</c:v>
                </c:pt>
                <c:pt idx="12">
                  <c:v>0.95268374929151844</c:v>
                </c:pt>
                <c:pt idx="13">
                  <c:v>1.0684656184016055</c:v>
                </c:pt>
                <c:pt idx="14">
                  <c:v>1.1877224620054425</c:v>
                </c:pt>
                <c:pt idx="15">
                  <c:v>1.3089107521327537</c:v>
                </c:pt>
                <c:pt idx="16">
                  <c:v>1.4304043223883633</c:v>
                </c:pt>
                <c:pt idx="17">
                  <c:v>1.550680449736332</c:v>
                </c:pt>
                <c:pt idx="18">
                  <c:v>1.6684645179690991</c:v>
                </c:pt>
                <c:pt idx="19">
                  <c:v>1.7828002422268039</c:v>
                </c:pt>
                <c:pt idx="20">
                  <c:v>1.8051924942069015</c:v>
                </c:pt>
                <c:pt idx="21">
                  <c:v>1.8274168761278906</c:v>
                </c:pt>
                <c:pt idx="22">
                  <c:v>1.8494702330878634</c:v>
                </c:pt>
                <c:pt idx="23">
                  <c:v>1.8713497686311238</c:v>
                </c:pt>
              </c:numCache>
            </c:numRef>
          </c:yVal>
          <c:smooth val="0"/>
          <c:extLst>
            <c:ext xmlns:c16="http://schemas.microsoft.com/office/drawing/2014/chart" uri="{C3380CC4-5D6E-409C-BE32-E72D297353CC}">
              <c16:uniqueId val="{00000000-D5EB-4173-B55B-BFE447CB8356}"/>
            </c:ext>
          </c:extLst>
        </c:ser>
        <c:dLbls>
          <c:showLegendKey val="0"/>
          <c:showVal val="0"/>
          <c:showCatName val="0"/>
          <c:showSerName val="0"/>
          <c:showPercent val="0"/>
          <c:showBubbleSize val="0"/>
        </c:dLbls>
        <c:axId val="172451328"/>
        <c:axId val="172452864"/>
      </c:scatterChart>
      <c:valAx>
        <c:axId val="172451328"/>
        <c:scaling>
          <c:orientation val="minMax"/>
          <c:max val="1"/>
        </c:scaling>
        <c:delete val="0"/>
        <c:axPos val="b"/>
        <c:title>
          <c:tx>
            <c:rich>
              <a:bodyPr/>
              <a:lstStyle/>
              <a:p>
                <a:pPr>
                  <a:defRPr/>
                </a:pPr>
                <a:r>
                  <a:rPr lang="fr-FR"/>
                  <a:t>Total Reduction in Polluting Energy Consumption (%)</a:t>
                </a:r>
              </a:p>
            </c:rich>
          </c:tx>
          <c:overlay val="0"/>
        </c:title>
        <c:numFmt formatCode="0%" sourceLinked="1"/>
        <c:majorTickMark val="out"/>
        <c:minorTickMark val="none"/>
        <c:tickLblPos val="nextTo"/>
        <c:crossAx val="172452864"/>
        <c:crosses val="autoZero"/>
        <c:crossBetween val="midCat"/>
      </c:valAx>
      <c:valAx>
        <c:axId val="172452864"/>
        <c:scaling>
          <c:logBase val="10"/>
          <c:orientation val="minMax"/>
        </c:scaling>
        <c:delete val="0"/>
        <c:axPos val="l"/>
        <c:majorGridlines/>
        <c:title>
          <c:tx>
            <c:rich>
              <a:bodyPr rot="-5400000" vert="horz"/>
              <a:lstStyle/>
              <a:p>
                <a:pPr>
                  <a:defRPr sz="1600"/>
                </a:pPr>
                <a:r>
                  <a:rPr lang="en-US" sz="1600"/>
                  <a:t>Optimal Tax (Current Euros, Log Scale)</a:t>
                </a:r>
              </a:p>
            </c:rich>
          </c:tx>
          <c:overlay val="0"/>
        </c:title>
        <c:numFmt formatCode="0%" sourceLinked="1"/>
        <c:majorTickMark val="out"/>
        <c:minorTickMark val="none"/>
        <c:tickLblPos val="nextTo"/>
        <c:crossAx val="172451328"/>
        <c:crosses val="autoZero"/>
        <c:crossBetween val="midCat"/>
      </c:valAx>
    </c:plotArea>
    <c:legend>
      <c:legendPos val="r"/>
      <c:overlay val="0"/>
      <c:txPr>
        <a:bodyPr/>
        <a:lstStyle/>
        <a:p>
          <a:pPr>
            <a:defRPr sz="2000"/>
          </a:pPr>
          <a:endParaRPr lang="fr-FR"/>
        </a:p>
      </c:txPr>
    </c:legend>
    <c:plotVisOnly val="1"/>
    <c:dispBlanksAs val="gap"/>
    <c:showDLblsOverMax val="0"/>
  </c:char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3.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300-000000000000}">
  <sheetPr codeName="Graphique1"/>
  <sheetViews>
    <sheetView zoomScale="85" workbookViewId="0"/>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F00-000000000000}">
  <sheetPr codeName="Graphique2"/>
  <sheetViews>
    <sheetView zoomScale="85" workbookViewId="0"/>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000-000000000000}">
  <sheetPr codeName="Graph2"/>
  <sheetViews>
    <sheetView zoomScale="85"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393700</xdr:colOff>
          <xdr:row>50</xdr:row>
          <xdr:rowOff>88900</xdr:rowOff>
        </xdr:from>
        <xdr:to>
          <xdr:col>8</xdr:col>
          <xdr:colOff>628650</xdr:colOff>
          <xdr:row>53</xdr:row>
          <xdr:rowOff>88900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368300</xdr:colOff>
          <xdr:row>58</xdr:row>
          <xdr:rowOff>101600</xdr:rowOff>
        </xdr:from>
        <xdr:to>
          <xdr:col>12</xdr:col>
          <xdr:colOff>584200</xdr:colOff>
          <xdr:row>61</xdr:row>
          <xdr:rowOff>95250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Initial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355600</xdr:colOff>
          <xdr:row>50</xdr:row>
          <xdr:rowOff>76200</xdr:rowOff>
        </xdr:from>
        <xdr:to>
          <xdr:col>12</xdr:col>
          <xdr:colOff>584200</xdr:colOff>
          <xdr:row>53</xdr:row>
          <xdr:rowOff>88900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Profile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393700</xdr:colOff>
          <xdr:row>54</xdr:row>
          <xdr:rowOff>57150</xdr:rowOff>
        </xdr:from>
        <xdr:to>
          <xdr:col>8</xdr:col>
          <xdr:colOff>628650</xdr:colOff>
          <xdr:row>57</xdr:row>
          <xdr:rowOff>50800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Save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11152094" cy="7279341"/>
    <xdr:graphicFrame macro="">
      <xdr:nvGraphicFramePr>
        <xdr:cNvPr id="2" name="Graphique 1">
          <a:extLst>
            <a:ext uri="{FF2B5EF4-FFF2-40B4-BE49-F238E27FC236}">
              <a16:creationId xmlns:a16="http://schemas.microsoft.com/office/drawing/2014/main" id="{00000000-0008-0000-03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9293412" cy="6066118"/>
    <xdr:graphicFrame macro="">
      <xdr:nvGraphicFramePr>
        <xdr:cNvPr id="2" name="Graphique 1">
          <a:extLst>
            <a:ext uri="{FF2B5EF4-FFF2-40B4-BE49-F238E27FC236}">
              <a16:creationId xmlns:a16="http://schemas.microsoft.com/office/drawing/2014/main" id="{00000000-0008-0000-0F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9293412" cy="6066118"/>
    <xdr:graphicFrame macro="">
      <xdr:nvGraphicFramePr>
        <xdr:cNvPr id="2" name="Graphique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ersons/person.xml><?xml version="1.0" encoding="utf-8"?>
<personList xmlns="http://schemas.microsoft.com/office/spreadsheetml/2018/threadedcomments" xmlns:x="http://schemas.openxmlformats.org/spreadsheetml/2006/main">
  <person displayName="Louis" id="{A1B515F5-52A7-492C-8EFF-2ED382D70E68}" userId="Louis" providerId="None"/>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97" dT="2019-12-03T08:18:55.42" personId="{A1B515F5-52A7-492C-8EFF-2ED382D70E68}" id="{C96615DD-9C03-4E40-B6D8-F4143B40B058}">
    <text>Calibrage des coefficients de la CET</text>
  </threadedComment>
  <threadedComment ref="B99" dT="2019-12-03T08:19:30.63" personId="{A1B515F5-52A7-492C-8EFF-2ED382D70E68}" id="{D3DFF277-FA45-464F-847A-E2B29A5F813E}">
    <text>Elasticité CET</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B1:R127"/>
  <sheetViews>
    <sheetView showGridLines="0" topLeftCell="A71" zoomScaleNormal="100" workbookViewId="0">
      <selection activeCell="D90" sqref="D90"/>
    </sheetView>
  </sheetViews>
  <sheetFormatPr baseColWidth="10" defaultColWidth="12" defaultRowHeight="10" x14ac:dyDescent="0.2"/>
  <sheetData>
    <row r="1" spans="2:18" x14ac:dyDescent="0.2">
      <c r="B1" t="s">
        <v>195</v>
      </c>
    </row>
    <row r="2" spans="2:18" x14ac:dyDescent="0.2">
      <c r="B2" s="1"/>
      <c r="C2" s="2" t="s">
        <v>24</v>
      </c>
      <c r="D2" s="3" t="s">
        <v>25</v>
      </c>
      <c r="E2" s="2" t="s">
        <v>6</v>
      </c>
      <c r="F2" s="3" t="s">
        <v>7</v>
      </c>
      <c r="G2" s="3" t="s">
        <v>8</v>
      </c>
      <c r="H2" s="142" t="s">
        <v>0</v>
      </c>
      <c r="I2" s="1"/>
      <c r="K2" s="1"/>
      <c r="L2" s="2" t="s">
        <v>24</v>
      </c>
      <c r="M2" s="3" t="s">
        <v>25</v>
      </c>
      <c r="N2" s="4" t="s">
        <v>6</v>
      </c>
      <c r="O2" s="5" t="s">
        <v>7</v>
      </c>
      <c r="P2" s="5" t="s">
        <v>8</v>
      </c>
      <c r="Q2" s="6" t="s">
        <v>0</v>
      </c>
      <c r="R2" s="1"/>
    </row>
    <row r="3" spans="2:18" ht="10.5" x14ac:dyDescent="0.25">
      <c r="B3" s="2" t="s">
        <v>24</v>
      </c>
      <c r="C3" s="143">
        <v>13356525.920999993</v>
      </c>
      <c r="D3" s="144">
        <v>398781.47400000016</v>
      </c>
      <c r="E3" s="143">
        <v>6637565.1090000011</v>
      </c>
      <c r="F3" s="143">
        <v>3330668.2879999997</v>
      </c>
      <c r="G3" s="143">
        <v>3247244.4950000001</v>
      </c>
      <c r="H3" s="145">
        <v>3195047.6039999989</v>
      </c>
      <c r="I3" s="9">
        <f>SUM(C3:H3)</f>
        <v>30165832.890999991</v>
      </c>
      <c r="K3" s="2" t="s">
        <v>24</v>
      </c>
      <c r="L3" s="51">
        <f t="array" ref="L3:M4">pIC*alpha*Y</f>
        <v>13356525.920999993</v>
      </c>
      <c r="M3" s="52">
        <v>398781.47400000016</v>
      </c>
      <c r="N3" s="53">
        <f t="array" ref="N3:N4">TRANSPOSE(pC*Consumption)</f>
        <v>6637565.1090000011</v>
      </c>
      <c r="O3" s="54">
        <f t="array" ref="O3:O4">TRANSPOSE(pG*G)</f>
        <v>3330668.2879999997</v>
      </c>
      <c r="P3" s="54">
        <f t="array" ref="P3:P4">TRANSPOSE(pI*I)</f>
        <v>3247244.4950000001</v>
      </c>
      <c r="Q3" s="60">
        <f t="array" ref="Q3:Q4">TRANSPOSE(pX*X)</f>
        <v>3195047.6039999989</v>
      </c>
      <c r="R3" s="9">
        <f>SUM(L3:Q3)</f>
        <v>30165832.890999991</v>
      </c>
    </row>
    <row r="4" spans="2:18" ht="10.5" x14ac:dyDescent="0.25">
      <c r="B4" s="10" t="s">
        <v>25</v>
      </c>
      <c r="C4" s="146">
        <v>599670.88199999998</v>
      </c>
      <c r="D4" s="147">
        <v>434900.03099999996</v>
      </c>
      <c r="E4" s="146">
        <v>382100.58199999394</v>
      </c>
      <c r="F4" s="146">
        <v>0</v>
      </c>
      <c r="G4" s="146">
        <v>0</v>
      </c>
      <c r="H4" s="148">
        <v>91012.690000004077</v>
      </c>
      <c r="I4" s="11">
        <f>SUM(C4:H4)</f>
        <v>1507684.184999998</v>
      </c>
      <c r="K4" s="10" t="s">
        <v>25</v>
      </c>
      <c r="L4" s="55">
        <v>599670.88199999998</v>
      </c>
      <c r="M4" s="56">
        <v>434900.03099999996</v>
      </c>
      <c r="N4" s="55">
        <v>382100.58199999394</v>
      </c>
      <c r="O4" s="57">
        <v>0</v>
      </c>
      <c r="P4" s="57">
        <v>0</v>
      </c>
      <c r="Q4" s="49">
        <v>91012.690000004077</v>
      </c>
      <c r="R4" s="11">
        <f>SUM(L4:Q4)</f>
        <v>1507684.184999998</v>
      </c>
    </row>
    <row r="5" spans="2:18" x14ac:dyDescent="0.2">
      <c r="B5" s="12" t="s">
        <v>1</v>
      </c>
      <c r="C5" s="143">
        <v>5036295.3101960644</v>
      </c>
      <c r="D5" s="149">
        <v>74905.331803938272</v>
      </c>
      <c r="E5" s="103"/>
      <c r="F5" s="103"/>
      <c r="G5" s="103"/>
      <c r="H5" s="103"/>
      <c r="I5" s="1"/>
      <c r="K5" s="12" t="s">
        <v>1</v>
      </c>
      <c r="L5" s="51">
        <f t="array" ref="L5:M5">w*Labour</f>
        <v>5036295.3101960644</v>
      </c>
      <c r="M5" s="52">
        <v>74905.331803938272</v>
      </c>
      <c r="N5" s="13"/>
      <c r="O5" s="13"/>
      <c r="P5" s="13"/>
      <c r="Q5" s="13"/>
      <c r="R5" s="1"/>
    </row>
    <row r="6" spans="2:18" x14ac:dyDescent="0.2">
      <c r="B6" s="14" t="s">
        <v>9</v>
      </c>
      <c r="C6" s="7">
        <v>2301604.2068039379</v>
      </c>
      <c r="D6" s="150">
        <v>34231.993196061703</v>
      </c>
      <c r="E6" s="103"/>
      <c r="F6" s="103"/>
      <c r="G6" s="103"/>
      <c r="H6" s="103"/>
      <c r="I6" s="1"/>
      <c r="K6" s="14" t="s">
        <v>9</v>
      </c>
      <c r="L6" s="53">
        <f t="array" ref="L6:M6">w*tauL*Labour</f>
        <v>2301604.2068039374</v>
      </c>
      <c r="M6" s="58">
        <v>34231.993196061703</v>
      </c>
      <c r="N6" s="13"/>
      <c r="O6" s="13"/>
      <c r="P6" s="13"/>
      <c r="Q6" s="13"/>
      <c r="R6" s="1"/>
    </row>
    <row r="7" spans="2:18" x14ac:dyDescent="0.2">
      <c r="B7" s="237" t="s">
        <v>194</v>
      </c>
      <c r="C7" s="7">
        <v>137715.65500000006</v>
      </c>
      <c r="D7" s="150">
        <v>20719.463999999996</v>
      </c>
      <c r="E7" s="103"/>
      <c r="F7" s="104" t="s">
        <v>24</v>
      </c>
      <c r="G7" s="105" t="s">
        <v>25</v>
      </c>
      <c r="H7" s="103"/>
      <c r="I7" s="1"/>
      <c r="K7" s="14" t="s">
        <v>10</v>
      </c>
      <c r="L7" s="53">
        <f t="array" ref="L7:M7">tauY*pY/(1+tauY)*Y</f>
        <v>137715.65500000006</v>
      </c>
      <c r="M7" s="58">
        <v>20719.463999999996</v>
      </c>
      <c r="N7" s="13"/>
      <c r="O7" s="13"/>
      <c r="P7" s="114"/>
      <c r="Q7" s="13"/>
      <c r="R7" s="1"/>
    </row>
    <row r="8" spans="2:18" x14ac:dyDescent="0.2">
      <c r="B8" s="14" t="s">
        <v>2</v>
      </c>
      <c r="C8" s="146">
        <v>6425198.1590000018</v>
      </c>
      <c r="D8" s="151">
        <v>273229.1540000001</v>
      </c>
      <c r="E8" s="103"/>
      <c r="F8" s="107">
        <f>SUM(C3:G3)</f>
        <v>26970785.286999993</v>
      </c>
      <c r="G8" s="108">
        <f>SUM(C4:G4)</f>
        <v>1416671.4949999938</v>
      </c>
      <c r="H8" s="103" t="s">
        <v>156</v>
      </c>
      <c r="I8" s="1"/>
      <c r="K8" s="14" t="s">
        <v>2</v>
      </c>
      <c r="L8" s="53">
        <f t="array" ref="L8:M8">pK*K</f>
        <v>6425198.1590000018</v>
      </c>
      <c r="M8" s="58">
        <v>273229.1540000001</v>
      </c>
      <c r="N8" s="13"/>
      <c r="O8" s="13"/>
      <c r="P8" s="13"/>
      <c r="Q8" s="13"/>
      <c r="R8" s="1"/>
    </row>
    <row r="9" spans="2:18" x14ac:dyDescent="0.2">
      <c r="B9" s="2" t="s">
        <v>3</v>
      </c>
      <c r="C9" s="152">
        <v>1886393.7399999965</v>
      </c>
      <c r="D9" s="153">
        <v>262787.11299999768</v>
      </c>
      <c r="E9" s="103"/>
      <c r="F9" s="103"/>
      <c r="G9" s="103"/>
      <c r="H9" s="103"/>
      <c r="I9" s="1"/>
      <c r="K9" s="2" t="s">
        <v>3</v>
      </c>
      <c r="L9" s="127">
        <f t="array" ref="L9:M9">pW*M</f>
        <v>1886393.7399999965</v>
      </c>
      <c r="M9" s="128">
        <v>262787.11299999768</v>
      </c>
      <c r="N9" s="13"/>
      <c r="O9" s="13"/>
      <c r="P9" s="114"/>
      <c r="Q9" s="13"/>
      <c r="R9" s="1"/>
    </row>
    <row r="10" spans="2:18" x14ac:dyDescent="0.2">
      <c r="B10" s="223" t="s">
        <v>150</v>
      </c>
      <c r="C10" s="7">
        <v>422429.01700000005</v>
      </c>
      <c r="D10" s="141">
        <v>8129.6240000000016</v>
      </c>
      <c r="E10" s="103"/>
      <c r="F10" s="103"/>
      <c r="G10" s="103"/>
      <c r="H10" s="103"/>
      <c r="I10" s="1"/>
      <c r="K10" s="223" t="s">
        <v>150</v>
      </c>
      <c r="L10" s="59">
        <f t="array" ref="L10:M10">tauTS*pS*S</f>
        <v>422429.01700000011</v>
      </c>
      <c r="M10" s="60">
        <v>8129.6240000000025</v>
      </c>
      <c r="N10" s="13"/>
      <c r="O10" s="13"/>
      <c r="P10" s="13"/>
      <c r="Q10" s="13"/>
      <c r="R10" s="1"/>
    </row>
    <row r="11" spans="2:18" x14ac:dyDescent="0.2">
      <c r="B11" s="15"/>
      <c r="C11" s="7">
        <v>0</v>
      </c>
      <c r="D11" s="141">
        <v>0</v>
      </c>
      <c r="E11" s="103"/>
      <c r="F11" s="104" t="s">
        <v>24</v>
      </c>
      <c r="G11" s="105" t="s">
        <v>25</v>
      </c>
      <c r="H11" s="103"/>
      <c r="I11" s="1"/>
      <c r="K11" s="15"/>
      <c r="L11" s="61"/>
      <c r="M11" s="49"/>
      <c r="N11" s="13"/>
      <c r="O11" s="50" t="s">
        <v>24</v>
      </c>
      <c r="P11" s="16" t="s">
        <v>25</v>
      </c>
      <c r="Q11" s="13"/>
      <c r="R11" s="1"/>
    </row>
    <row r="12" spans="2:18" ht="10.5" x14ac:dyDescent="0.25">
      <c r="B12" s="1"/>
      <c r="C12" s="110">
        <f>SUM(C3:C11)</f>
        <v>30165832.890999991</v>
      </c>
      <c r="D12" s="111">
        <f>SUM(D3:D11)</f>
        <v>1507684.184999998</v>
      </c>
      <c r="E12" s="106"/>
      <c r="F12" s="107">
        <f>SUM(C3:C8)</f>
        <v>27857010.133999996</v>
      </c>
      <c r="G12" s="108">
        <f>SUM(D3:D8)</f>
        <v>1236767.4480000003</v>
      </c>
      <c r="H12" s="109" t="s">
        <v>11</v>
      </c>
      <c r="I12" s="1"/>
      <c r="K12" s="1"/>
      <c r="L12" s="17">
        <f>SUM(L3:L11)</f>
        <v>30165832.890999991</v>
      </c>
      <c r="M12" s="18">
        <f>SUM(M3:M11)</f>
        <v>1507684.184999998</v>
      </c>
      <c r="N12" s="19"/>
      <c r="O12" s="20">
        <f t="array" ref="O12:P12">pY*Y</f>
        <v>27857010.133999996</v>
      </c>
      <c r="P12" s="21">
        <v>1236767.4480000003</v>
      </c>
      <c r="Q12" s="1" t="s">
        <v>11</v>
      </c>
      <c r="R12" s="1"/>
    </row>
    <row r="13" spans="2:18" x14ac:dyDescent="0.2">
      <c r="B13" s="1"/>
      <c r="C13" s="109"/>
      <c r="D13" s="109"/>
      <c r="E13" s="103"/>
      <c r="F13" s="103"/>
      <c r="G13" s="103"/>
      <c r="H13" s="109"/>
      <c r="I13" s="1"/>
      <c r="K13" s="1"/>
      <c r="L13" s="1"/>
      <c r="M13" s="1"/>
      <c r="N13" s="13"/>
      <c r="O13" s="13"/>
      <c r="P13" s="13"/>
      <c r="Q13" s="1"/>
      <c r="R13" s="1"/>
    </row>
    <row r="14" spans="2:18" ht="10.5" x14ac:dyDescent="0.25">
      <c r="B14" s="22" t="s">
        <v>30</v>
      </c>
      <c r="C14" s="121">
        <f>I3-C12</f>
        <v>0</v>
      </c>
      <c r="D14" s="122">
        <f>I4-D12</f>
        <v>0</v>
      </c>
      <c r="E14" s="103"/>
      <c r="F14" s="103"/>
      <c r="G14" s="103"/>
      <c r="H14" s="103"/>
      <c r="I14" s="1"/>
      <c r="K14" s="22" t="s">
        <v>30</v>
      </c>
      <c r="L14" s="23">
        <f>R3-L12</f>
        <v>0</v>
      </c>
      <c r="M14" s="24">
        <f>R4-M12</f>
        <v>0</v>
      </c>
      <c r="N14" s="13"/>
      <c r="O14" s="13"/>
      <c r="P14" s="13"/>
      <c r="Q14" s="13"/>
      <c r="R14" s="1"/>
    </row>
    <row r="16" spans="2:18" x14ac:dyDescent="0.2">
      <c r="F16">
        <v>20952.175621751205</v>
      </c>
      <c r="G16">
        <v>1219.7862210892881</v>
      </c>
      <c r="L16" s="29"/>
      <c r="M16" s="29"/>
    </row>
    <row r="17" spans="2:16" x14ac:dyDescent="0.2">
      <c r="L17" s="29"/>
      <c r="M17" s="29"/>
    </row>
    <row r="20" spans="2:16" ht="10.5" x14ac:dyDescent="0.25">
      <c r="B20" s="96" t="s">
        <v>79</v>
      </c>
      <c r="H20" s="96" t="s">
        <v>60</v>
      </c>
      <c r="K20" s="96" t="s">
        <v>59</v>
      </c>
      <c r="N20" s="96" t="s">
        <v>42</v>
      </c>
    </row>
    <row r="21" spans="2:16" x14ac:dyDescent="0.2">
      <c r="B21" t="s">
        <v>12</v>
      </c>
      <c r="C21" s="172">
        <v>1000</v>
      </c>
      <c r="D21" s="173">
        <v>1000</v>
      </c>
      <c r="H21">
        <f t="array" ref="H21:I21">(aY^sigmaY*pKLE^(1-sigmaY)+bY^sigmaY*pMY^(1-sigmaY))^(1/(1-sigmaY))*(1+tauY)</f>
        <v>1000.0000000000014</v>
      </c>
      <c r="I21">
        <v>999.99999999999898</v>
      </c>
      <c r="K21" s="120">
        <f t="array" ref="K21:L21">H21:I21-pY</f>
        <v>1.3642420526593924E-12</v>
      </c>
      <c r="L21" s="120">
        <v>-1.0231815394945443E-12</v>
      </c>
      <c r="N21">
        <f t="array" ref="N21:O21">(aX^sigmaX*pD^(1-sigmaX)+bX^sigmaX*pX^(1-sigmaX))^(1/(1-sigmaX))</f>
        <v>999.99999999999977</v>
      </c>
      <c r="O21">
        <v>999.99999999999977</v>
      </c>
    </row>
    <row r="22" spans="2:16" x14ac:dyDescent="0.2">
      <c r="B22" t="s">
        <v>116</v>
      </c>
      <c r="C22" s="31">
        <v>1000</v>
      </c>
      <c r="D22" s="32">
        <v>1000</v>
      </c>
      <c r="K22" s="125"/>
      <c r="L22" s="125"/>
    </row>
    <row r="23" spans="2:16" x14ac:dyDescent="0.2">
      <c r="B23" t="s">
        <v>128</v>
      </c>
      <c r="C23" s="170">
        <v>1000</v>
      </c>
      <c r="D23" s="171">
        <v>1000</v>
      </c>
      <c r="H23" s="29">
        <f t="array" ref="H23:I23">(pY*Y+pW*M-pX*X)/S</f>
        <v>1000</v>
      </c>
      <c r="I23" s="29">
        <v>1000</v>
      </c>
      <c r="K23" s="120">
        <f t="array" ref="K23:L23">H23:I23-pS</f>
        <v>0</v>
      </c>
      <c r="L23" s="120">
        <v>0</v>
      </c>
    </row>
    <row r="24" spans="2:16" x14ac:dyDescent="0.2">
      <c r="B24" t="s">
        <v>77</v>
      </c>
      <c r="C24" s="31">
        <v>1000</v>
      </c>
      <c r="D24" s="32">
        <v>1000</v>
      </c>
      <c r="H24" s="29">
        <f t="array" ref="H24:I24">aX^(sigmaX/(sigmaX-1))*(pY^(1-sigmaX)-bX^sigmaX*pW^(1-sigmaX))^(1/(1-sigmaX))</f>
        <v>999.99999999999943</v>
      </c>
      <c r="I24" s="29">
        <v>999.99999999999909</v>
      </c>
      <c r="K24" s="120">
        <f t="array" ref="K24:L24">H24:I24-pD</f>
        <v>0</v>
      </c>
      <c r="L24" s="120">
        <v>-9.0949470177292824E-13</v>
      </c>
    </row>
    <row r="25" spans="2:16" x14ac:dyDescent="0.2">
      <c r="B25" t="s">
        <v>13</v>
      </c>
      <c r="C25" s="33">
        <f t="array" ref="C25:D26">C3:D4/(alpha*Y)</f>
        <v>1015.9116825427475</v>
      </c>
      <c r="D25" s="34">
        <v>1015.9116825427475</v>
      </c>
      <c r="E25" t="s">
        <v>63</v>
      </c>
      <c r="H25" s="29">
        <f t="array" ref="H25:I26">TRANSPOSE(pS*(1+tauTS))</f>
        <v>1015.9116825427475</v>
      </c>
      <c r="I25" s="29">
        <v>1015.9116825427475</v>
      </c>
      <c r="K25" s="120">
        <f t="array" ref="K25:L26">H25:I26-C25:D26</f>
        <v>0</v>
      </c>
      <c r="L25" s="120">
        <v>0</v>
      </c>
    </row>
    <row r="26" spans="2:16" x14ac:dyDescent="0.2">
      <c r="C26" s="35">
        <v>1005.7716594496609</v>
      </c>
      <c r="D26" s="36">
        <v>1005.771659449661</v>
      </c>
      <c r="E26" t="s">
        <v>41</v>
      </c>
      <c r="H26" s="29">
        <v>1005.7716594496609</v>
      </c>
      <c r="I26" s="29">
        <v>1005.7716594496609</v>
      </c>
      <c r="K26" s="120">
        <v>0</v>
      </c>
      <c r="L26" s="120">
        <v>0</v>
      </c>
    </row>
    <row r="27" spans="2:16" x14ac:dyDescent="0.2">
      <c r="B27" t="s">
        <v>14</v>
      </c>
      <c r="C27" s="33">
        <f t="array" ref="C27:D27">TRANSPOSE(E3:E4)/Consumption</f>
        <v>1015.9116825427475</v>
      </c>
      <c r="D27" s="34">
        <v>1005.7716594496608</v>
      </c>
      <c r="H27" s="29">
        <f t="array" ref="H27:I27">pS*(1+tauTS)</f>
        <v>1015.9116825427475</v>
      </c>
      <c r="I27" s="29">
        <v>1005.7716594496609</v>
      </c>
      <c r="K27" s="120">
        <f t="array" ref="K27:L27">H27:I27-pC</f>
        <v>0</v>
      </c>
      <c r="L27" s="120">
        <v>0</v>
      </c>
    </row>
    <row r="28" spans="2:16" x14ac:dyDescent="0.2">
      <c r="B28" t="s">
        <v>15</v>
      </c>
      <c r="C28" s="41">
        <f t="array" ref="C28:D28">IF(ISNUMBER(TRANSPOSE(F3:F4)/G),TRANSPOSE(F3:F4)/G,pC)</f>
        <v>1015.9116825427474</v>
      </c>
      <c r="D28" s="42">
        <v>1005.7716594496608</v>
      </c>
      <c r="H28" s="29">
        <f t="array" ref="H28:I28">pS*(1+tauTS)</f>
        <v>1015.9116825427475</v>
      </c>
      <c r="I28" s="29">
        <v>1005.7716594496609</v>
      </c>
      <c r="K28" s="120">
        <f t="array" ref="K28:L28">H28:I28-pG</f>
        <v>0</v>
      </c>
      <c r="L28" s="120">
        <v>0</v>
      </c>
    </row>
    <row r="29" spans="2:16" x14ac:dyDescent="0.2">
      <c r="B29" t="s">
        <v>29</v>
      </c>
      <c r="C29" s="41">
        <f t="array" ref="C29:D29">IF(ISNUMBER(TRANSPOSE(G3:G4)/I),TRANSPOSE(G3:G4)/I,pC)</f>
        <v>1015.9116825427475</v>
      </c>
      <c r="D29" s="42">
        <v>1005.7716594496608</v>
      </c>
      <c r="H29" s="29">
        <f t="array" ref="H29:I29">pS*(1+tauTS)</f>
        <v>1015.9116825427475</v>
      </c>
      <c r="I29" s="29">
        <v>1005.7716594496609</v>
      </c>
      <c r="K29" s="120">
        <f t="array" ref="K29:L29">H29:I29-pI</f>
        <v>0</v>
      </c>
      <c r="L29" s="120">
        <v>0</v>
      </c>
    </row>
    <row r="30" spans="2:16" x14ac:dyDescent="0.2">
      <c r="B30" t="s">
        <v>16</v>
      </c>
      <c r="C30" s="41">
        <f t="array" ref="C30:D30">pW</f>
        <v>1000</v>
      </c>
      <c r="D30" s="42">
        <v>1000</v>
      </c>
      <c r="H30" s="29">
        <f t="array" ref="H30:I30">pW</f>
        <v>1000</v>
      </c>
      <c r="I30" s="29">
        <v>1000</v>
      </c>
      <c r="K30" s="120">
        <f t="array" ref="K30:L30">H30:I30-pX</f>
        <v>0</v>
      </c>
      <c r="L30" s="120">
        <v>0</v>
      </c>
    </row>
    <row r="31" spans="2:16" x14ac:dyDescent="0.2">
      <c r="B31" t="s">
        <v>17</v>
      </c>
      <c r="C31" s="31">
        <v>1000</v>
      </c>
      <c r="D31" s="32">
        <v>1000</v>
      </c>
      <c r="K31" s="125"/>
      <c r="L31" s="125"/>
    </row>
    <row r="32" spans="2:16" x14ac:dyDescent="0.2">
      <c r="B32" t="s">
        <v>36</v>
      </c>
      <c r="C32" s="41">
        <f t="array" ref="C32:D32">(C5:D5+C6:D6)/Labour</f>
        <v>1457.0034251455234</v>
      </c>
      <c r="D32" s="42">
        <v>1457.0034251455236</v>
      </c>
      <c r="H32" s="29">
        <f t="array" ref="H32:I32">w*(1+tauL)</f>
        <v>1457.0034251455234</v>
      </c>
      <c r="I32" s="29">
        <v>1457.0034251455236</v>
      </c>
      <c r="K32" s="120">
        <f t="array" ref="K32:L32">H32:I32-pL</f>
        <v>0</v>
      </c>
      <c r="L32" s="120">
        <v>0</v>
      </c>
      <c r="N32" s="29">
        <f t="array" ref="N32:O32">bKL*(Labour/KL)^(rhoKL-1)*pKL</f>
        <v>1457.0034251455245</v>
      </c>
      <c r="O32" s="29">
        <v>1457.0034251455252</v>
      </c>
      <c r="P32" t="s">
        <v>133</v>
      </c>
    </row>
    <row r="33" spans="2:16" x14ac:dyDescent="0.2">
      <c r="B33" t="s">
        <v>18</v>
      </c>
      <c r="C33" s="178">
        <v>1000</v>
      </c>
      <c r="D33" s="179">
        <v>1000</v>
      </c>
      <c r="E33" t="s">
        <v>56</v>
      </c>
      <c r="K33" s="125"/>
      <c r="L33" s="125"/>
      <c r="N33" s="29">
        <f t="array" ref="N33:O33">aKL*(K/KL)^(rhoKL-1)*pKL</f>
        <v>999.99999999999966</v>
      </c>
      <c r="O33" s="29">
        <v>1000.0000000000005</v>
      </c>
      <c r="P33" t="s">
        <v>133</v>
      </c>
    </row>
    <row r="34" spans="2:16" x14ac:dyDescent="0.2">
      <c r="B34" t="s">
        <v>61</v>
      </c>
      <c r="C34" s="170">
        <v>1000</v>
      </c>
      <c r="D34" s="171">
        <v>1000</v>
      </c>
      <c r="H34" s="29">
        <f t="array" ref="H34:I34">(aKL^sigmaKL*pK^(1-sigmaKL)+bKL^sigmaKL*pL^(1-sigmaKL))^(1/(1-sigmaKL))</f>
        <v>999.99999999999977</v>
      </c>
      <c r="I34" s="29">
        <v>999.99999999999977</v>
      </c>
      <c r="K34" s="120">
        <f t="array" ref="K34:L34">H34:I34-pKL</f>
        <v>0</v>
      </c>
      <c r="L34" s="120">
        <v>0</v>
      </c>
    </row>
    <row r="35" spans="2:16" x14ac:dyDescent="0.2">
      <c r="B35" t="s">
        <v>62</v>
      </c>
      <c r="C35" s="170">
        <v>1000</v>
      </c>
      <c r="D35" s="171">
        <v>1000</v>
      </c>
      <c r="H35" s="29">
        <f t="array" ref="H35:I35">(aKLE^sigmaKLE*pKL^(1-sigmaKLE)+bKLE^sigmaKLE*pEY^(1-sigmaKLE))^(1/(1-sigmaKLE))</f>
        <v>999.99999999999977</v>
      </c>
      <c r="I35" s="29">
        <v>999.99999999999977</v>
      </c>
      <c r="K35" s="120">
        <f t="array" ref="K35:L35">H35:I35-pKLE</f>
        <v>0</v>
      </c>
      <c r="L35" s="120">
        <v>0</v>
      </c>
    </row>
    <row r="37" spans="2:16" x14ac:dyDescent="0.2">
      <c r="B37" t="s">
        <v>19</v>
      </c>
      <c r="C37" s="87">
        <f t="array" ref="C37:D37">F12:G12/pY</f>
        <v>27857.010133999996</v>
      </c>
      <c r="D37" s="88">
        <v>1236.7674480000003</v>
      </c>
      <c r="E37" t="s">
        <v>125</v>
      </c>
      <c r="H37" s="29">
        <f t="array" ref="H37:I37">(aX*D^rhoX+bX*X^rhoX)^(1/rhoX)</f>
        <v>27857.010133999949</v>
      </c>
      <c r="I37" s="29">
        <v>1236.7674480000003</v>
      </c>
      <c r="K37" s="120">
        <f t="array" ref="K37:L37">H37:I37-Y</f>
        <v>-4.7293724492192268E-11</v>
      </c>
      <c r="L37" s="120">
        <v>0</v>
      </c>
    </row>
    <row r="38" spans="2:16" x14ac:dyDescent="0.2">
      <c r="B38" t="s">
        <v>3</v>
      </c>
      <c r="C38" s="89">
        <f t="array" ref="C38:D38">C9:D9/pW</f>
        <v>1886.3937399999966</v>
      </c>
      <c r="D38" s="90">
        <v>262.7871129999977</v>
      </c>
      <c r="E38" t="s">
        <v>126</v>
      </c>
      <c r="H38" s="29">
        <f t="array" ref="H38:I38">(bS/pW)^sigmaS*(aS^sigmaS*pD^(1-sigmaS)+bS^sigmaS*pW^(1-sigmaS))^(sigmaS/(1-sigmaS))*S</f>
        <v>1886.3937399999948</v>
      </c>
      <c r="I38" s="29">
        <v>262.78711299999759</v>
      </c>
      <c r="K38" s="120">
        <f t="array" ref="K38:L38">H38:I38-M</f>
        <v>-1.8189894035458565E-12</v>
      </c>
      <c r="L38" s="120">
        <v>0</v>
      </c>
    </row>
    <row r="39" spans="2:16" x14ac:dyDescent="0.2">
      <c r="B39" t="s">
        <v>127</v>
      </c>
      <c r="C39" s="89">
        <f t="array" ref="C39:D39">MMULT(Y,TRANSPOSE(alpha))+Consumption+G+I</f>
        <v>26548.356269999993</v>
      </c>
      <c r="D39" s="90">
        <v>1408.5418709999938</v>
      </c>
      <c r="E39" t="s">
        <v>122</v>
      </c>
      <c r="F39" s="63">
        <f t="array" ref="F39:G39">(F8:G8)/(1+tauTS)/pS</f>
        <v>26548.356269999997</v>
      </c>
      <c r="G39" s="64">
        <v>1408.5418709999938</v>
      </c>
      <c r="H39" s="29">
        <f t="array" ref="H39:I39">MMULT(Y,TRANSPOSE(alpha))+Consumption+G+I</f>
        <v>26548.356269999993</v>
      </c>
      <c r="I39" s="29">
        <v>1408.5418709999938</v>
      </c>
      <c r="K39" s="120">
        <f t="array" ref="K39:L39">H39:I39-S</f>
        <v>0</v>
      </c>
      <c r="L39" s="120">
        <v>0</v>
      </c>
      <c r="N39" s="29"/>
      <c r="O39" s="29"/>
    </row>
    <row r="40" spans="2:16" x14ac:dyDescent="0.2">
      <c r="B40" t="s">
        <v>76</v>
      </c>
      <c r="C40" s="89">
        <f t="array" ref="C40:D40">(pS*S-pW*M)/pD</f>
        <v>24661.962529999993</v>
      </c>
      <c r="D40" s="90">
        <v>1145.7547579999962</v>
      </c>
      <c r="E40" t="s">
        <v>124</v>
      </c>
      <c r="H40" s="29">
        <f t="array" ref="H40:I40">(aS/pD)^sigmaS*(aS^sigmaS*pD^(1-sigmaS)+bS^sigmaS*pW^(1-sigmaS))^(sigmaS/(1-sigmaS))*S</f>
        <v>24661.962529999983</v>
      </c>
      <c r="I40" s="29">
        <v>1145.754757999995</v>
      </c>
      <c r="K40" s="120">
        <f t="array" ref="K40:L40">H40:I40-D</f>
        <v>0</v>
      </c>
      <c r="L40" s="120">
        <v>0</v>
      </c>
    </row>
    <row r="41" spans="2:16" x14ac:dyDescent="0.2">
      <c r="B41" t="s">
        <v>28</v>
      </c>
      <c r="C41" s="41">
        <f t="array" ref="C41:D41">TRANSPOSE(E3:E4)/(1+tauTS)/pS</f>
        <v>6533.604468832069</v>
      </c>
      <c r="D41" s="42">
        <v>379.90788307663405</v>
      </c>
      <c r="E41" t="s">
        <v>57</v>
      </c>
      <c r="H41" s="29">
        <f t="array" ref="H41">(aU/pCQ)^sigmaU/(aU^sigmaU*pCQ^(1-sigmaU)+bU^sigmaU*pCE^(1-sigmaU))*Revenue</f>
        <v>6533.6044688320735</v>
      </c>
      <c r="I41" s="29">
        <f>(bU/pCE)^sigmaU/(aU^sigmaU*pCQ^(1-sigmaU)+bU^sigmaU*pCE^(1-sigmaU))*Revenue</f>
        <v>379.90788307663433</v>
      </c>
      <c r="K41" s="120">
        <f t="array" ref="K41:L41">H41:I41-Consumption</f>
        <v>0</v>
      </c>
      <c r="L41" s="120">
        <v>0</v>
      </c>
    </row>
    <row r="42" spans="2:16" x14ac:dyDescent="0.2">
      <c r="B42" t="s">
        <v>7</v>
      </c>
      <c r="C42" s="41">
        <f t="array" ref="C42:D42">TRANSPOSE(F3:F4)/(1+tauTS)/pS</f>
        <v>3278.5018080150412</v>
      </c>
      <c r="D42" s="42">
        <v>0</v>
      </c>
      <c r="H42" s="29">
        <f t="array" ref="H42">omegaG*GDP/pG</f>
        <v>3278.5018080150412</v>
      </c>
      <c r="I42" s="28">
        <v>0</v>
      </c>
      <c r="K42" s="120">
        <f t="array" ref="K42:L42">H42:I42-G</f>
        <v>0</v>
      </c>
      <c r="L42" s="120">
        <v>0</v>
      </c>
    </row>
    <row r="43" spans="2:16" x14ac:dyDescent="0.2">
      <c r="B43" t="s">
        <v>8</v>
      </c>
      <c r="C43" s="41">
        <f t="array" ref="C43:D43">TRANSPOSE(G3:G4)/(1+tauTS)/pS</f>
        <v>3196.3846373657216</v>
      </c>
      <c r="D43" s="42">
        <v>0</v>
      </c>
      <c r="H43" s="29">
        <f t="array" ref="H43">(sD*GDP-B)/pI</f>
        <v>3196.3846373657216</v>
      </c>
      <c r="I43" s="28">
        <v>0</v>
      </c>
      <c r="K43" s="120">
        <f t="array" ref="K43:L43">H43:I43-I</f>
        <v>0</v>
      </c>
      <c r="L43" s="120">
        <v>0</v>
      </c>
    </row>
    <row r="44" spans="2:16" x14ac:dyDescent="0.2">
      <c r="B44" t="s">
        <v>0</v>
      </c>
      <c r="C44" s="41">
        <f t="array" ref="C44:D44">TRANSPOSE(H3:H4)/pX</f>
        <v>3195.047603999999</v>
      </c>
      <c r="D44" s="42">
        <v>91.012690000004071</v>
      </c>
      <c r="H44" s="29">
        <f t="array" ref="H44:I44">(bX/pX)^sigmaX*(aX^sigmaX*pD^(1-sigmaX)+bX^sigmaX*pX^(1-sigmaX))^(-1/rhoX)*Y</f>
        <v>3195.0476040000012</v>
      </c>
      <c r="I44" s="29">
        <v>91.012690000004071</v>
      </c>
      <c r="K44" s="120">
        <f t="array" ref="K44:L44">H44:I44-X</f>
        <v>0</v>
      </c>
      <c r="L44" s="120">
        <v>0</v>
      </c>
    </row>
    <row r="45" spans="2:16" x14ac:dyDescent="0.2">
      <c r="B45" t="s">
        <v>27</v>
      </c>
      <c r="C45" s="41">
        <f t="array" ref="C45:D45">C5:D5/w</f>
        <v>5036.2953101960647</v>
      </c>
      <c r="D45" s="42">
        <v>74.905331803938267</v>
      </c>
      <c r="E45" t="s">
        <v>58</v>
      </c>
      <c r="H45" s="29">
        <f t="array" ref="H45:I45">lambda*Y</f>
        <v>5036.2953101960647</v>
      </c>
      <c r="I45" s="29">
        <v>74.905331803938267</v>
      </c>
      <c r="K45" s="120">
        <f t="array" ref="K45:L45">H45:I45-Labour</f>
        <v>0</v>
      </c>
      <c r="L45" s="120">
        <v>0</v>
      </c>
    </row>
    <row r="46" spans="2:16" x14ac:dyDescent="0.2">
      <c r="B46" t="s">
        <v>2</v>
      </c>
      <c r="C46" s="41">
        <f t="array" ref="C46:D46">C8:D8/pK</f>
        <v>6425.1981590000014</v>
      </c>
      <c r="D46" s="42">
        <v>273.22915400000011</v>
      </c>
      <c r="H46" s="29">
        <f t="array" ref="H46:I46">kappa*Y</f>
        <v>6425.1981590000014</v>
      </c>
      <c r="I46" s="29">
        <v>273.22915400000011</v>
      </c>
      <c r="K46" s="120">
        <f t="array" ref="K46:L46">H46:I46-K</f>
        <v>0</v>
      </c>
      <c r="L46" s="120">
        <v>0</v>
      </c>
    </row>
    <row r="47" spans="2:16" x14ac:dyDescent="0.2">
      <c r="B47" t="s">
        <v>35</v>
      </c>
      <c r="C47" s="116">
        <f t="array" ref="C47:D47">(pK*K+pL*Labour)/pKL</f>
        <v>13763.097676000005</v>
      </c>
      <c r="D47" s="174">
        <v>382.36647900000003</v>
      </c>
      <c r="H47" s="29">
        <f t="array" ref="H47:I47">(aKLE/pKL)^sigmaKLE*(aKLE^sigmaKLE*pKL^(1-sigmaKLE)+bKLE^sigmaKLE*pEY^(1-sigmaKLE))^(-1/rhoKLE)*KLE</f>
        <v>13763.097676000001</v>
      </c>
      <c r="I47" s="29">
        <v>382.36647900000003</v>
      </c>
      <c r="K47" s="120">
        <f t="array" ref="K47:L47">H47:I47-KL</f>
        <v>0</v>
      </c>
      <c r="L47" s="120">
        <v>0</v>
      </c>
    </row>
    <row r="48" spans="2:16" x14ac:dyDescent="0.2">
      <c r="B48" t="s">
        <v>53</v>
      </c>
      <c r="C48" s="168">
        <f t="array" ref="C48:D48">(pKL*KL+C4:D4)/pKLE</f>
        <v>14362.768558000003</v>
      </c>
      <c r="D48" s="169">
        <v>817.26651000000004</v>
      </c>
      <c r="H48" s="29">
        <f t="array" ref="H48:I48">(aY/pKLE)^sigmaY*(aY^sigmaY*pKLE^(1-sigmaY)+bY^sigmaY*pMY^(1-sigmaY))^(-1/rhoY)*Y</f>
        <v>14362.768558000025</v>
      </c>
      <c r="I48" s="29">
        <v>817.26650999999993</v>
      </c>
      <c r="K48" s="120">
        <f t="array" ref="K48:L48">H48:I48-KLE</f>
        <v>2.1827872842550278E-11</v>
      </c>
      <c r="L48" s="120">
        <v>0</v>
      </c>
    </row>
    <row r="50" spans="2:12" x14ac:dyDescent="0.2">
      <c r="B50" t="s">
        <v>26</v>
      </c>
      <c r="C50" s="43">
        <f t="array" ref="C50:D50">C6:D6/(w*lambda*Y)</f>
        <v>0.45700342514552333</v>
      </c>
      <c r="D50" s="44">
        <v>0.4570034251455235</v>
      </c>
      <c r="G50" s="29"/>
    </row>
    <row r="51" spans="2:12" x14ac:dyDescent="0.2">
      <c r="B51" t="s">
        <v>20</v>
      </c>
      <c r="C51" s="47">
        <f t="array" ref="C51:D51">C7:D7/(pY*Y-C7:D7)</f>
        <v>4.9682236719384319E-3</v>
      </c>
      <c r="D51" s="48">
        <v>1.7038360552061892E-2</v>
      </c>
    </row>
    <row r="52" spans="2:12" x14ac:dyDescent="0.2">
      <c r="B52" t="s">
        <v>152</v>
      </c>
      <c r="C52" s="45">
        <f t="array" ref="C52:D52">C10:D10/(TRANSPOSE(C3:C4+D3:D4+E3:E4+F3:F4+G3:G4)-C10:D10)</f>
        <v>1.5911682542747503E-2</v>
      </c>
      <c r="D52" s="46">
        <v>5.7716594496607888E-3</v>
      </c>
    </row>
    <row r="53" spans="2:12" x14ac:dyDescent="0.2">
      <c r="C53" s="29"/>
      <c r="D53" s="29"/>
    </row>
    <row r="54" spans="2:12" x14ac:dyDescent="0.2">
      <c r="C54" s="29"/>
      <c r="D54" s="29"/>
    </row>
    <row r="55" spans="2:12" x14ac:dyDescent="0.2">
      <c r="B55" t="s">
        <v>48</v>
      </c>
      <c r="C55" s="69">
        <f t="array" ref="C55">SUM(C6:D7,C10:D11)</f>
        <v>2924829.96</v>
      </c>
      <c r="H55" s="29">
        <f t="array" ref="H55">SUM(w*tauL*Labour+tauY/(1+tauY)*pY*Y+tauTS*pS*S)</f>
        <v>2924829.9599999995</v>
      </c>
      <c r="K55" s="120">
        <f t="array" ref="K55">H55-T</f>
        <v>0</v>
      </c>
      <c r="L55" s="125"/>
    </row>
    <row r="56" spans="2:12" x14ac:dyDescent="0.2">
      <c r="B56" t="s">
        <v>47</v>
      </c>
      <c r="C56" s="132">
        <v>1</v>
      </c>
      <c r="E56" t="s">
        <v>196</v>
      </c>
      <c r="K56" s="125"/>
      <c r="L56" s="125"/>
    </row>
    <row r="57" spans="2:12" x14ac:dyDescent="0.2">
      <c r="B57" t="s">
        <v>64</v>
      </c>
      <c r="C57" s="133">
        <f>SUM(C5:D8,C10:D11)</f>
        <v>14734457.915000005</v>
      </c>
      <c r="E57" s="65">
        <f>15693432.72*2437635/2728870.25</f>
        <v>14018570.823738214</v>
      </c>
      <c r="H57" s="124">
        <f t="array" ref="H57">SUM(pC*Consumption+pG*G+pI*I+pX*X-pW*M)</f>
        <v>14734457.915000003</v>
      </c>
      <c r="I57" s="124">
        <f t="array" ref="I57">SUM(w*Labour,pK*K,T)</f>
        <v>14734457.915000007</v>
      </c>
      <c r="K57" s="120">
        <f>H57-GDP</f>
        <v>0</v>
      </c>
      <c r="L57" s="120">
        <f>I57-GDP</f>
        <v>0</v>
      </c>
    </row>
    <row r="58" spans="2:12" x14ac:dyDescent="0.2">
      <c r="B58" t="s">
        <v>54</v>
      </c>
      <c r="C58" s="117">
        <f t="array" ref="C58">GDP-SUM(pG*G+pI*I+pX*X-pW*M)</f>
        <v>7019665.6909999968</v>
      </c>
      <c r="D58" t="s">
        <v>55</v>
      </c>
      <c r="K58" s="125"/>
      <c r="L58" s="125"/>
    </row>
    <row r="59" spans="2:12" x14ac:dyDescent="0.2">
      <c r="B59" t="s">
        <v>75</v>
      </c>
      <c r="C59" s="70">
        <f>SUM(H3:H4)-SUM(C9:D9)</f>
        <v>1136879.441000009</v>
      </c>
      <c r="K59" s="125"/>
      <c r="L59" s="125"/>
    </row>
    <row r="60" spans="2:12" x14ac:dyDescent="0.2">
      <c r="C60" s="29"/>
      <c r="D60" s="29"/>
    </row>
    <row r="61" spans="2:12" x14ac:dyDescent="0.2">
      <c r="C61" s="29"/>
      <c r="D61" s="29"/>
    </row>
    <row r="62" spans="2:12" x14ac:dyDescent="0.2">
      <c r="B62" t="s">
        <v>111</v>
      </c>
      <c r="C62" s="163">
        <f t="array" ref="C62">SUM(pG*G)/GDP</f>
        <v>0.22604620456442484</v>
      </c>
      <c r="D62" t="s">
        <v>81</v>
      </c>
    </row>
    <row r="63" spans="2:12" x14ac:dyDescent="0.2">
      <c r="B63" t="s">
        <v>112</v>
      </c>
      <c r="C63" s="182">
        <f t="array" ref="C63">SUM(pI*I)/GDP</f>
        <v>0.22038438833194082</v>
      </c>
      <c r="D63" t="s">
        <v>82</v>
      </c>
    </row>
    <row r="64" spans="2:12" x14ac:dyDescent="0.2">
      <c r="B64" t="s">
        <v>98</v>
      </c>
      <c r="C64" s="163">
        <f t="array" ref="C64">(SUM(pI*I)+B)/GDP</f>
        <v>0.29754226190682415</v>
      </c>
      <c r="D64" t="s">
        <v>80</v>
      </c>
    </row>
    <row r="65" spans="2:14" x14ac:dyDescent="0.2">
      <c r="B65" t="s">
        <v>84</v>
      </c>
      <c r="C65" s="164">
        <f t="array" ref="C65">(SUM(pI*I)+B-sL*(SUM(w*Labour))-sG*(T-SUM(pG*G)))/SUM(pK*K)</f>
        <v>0.40915789876687553</v>
      </c>
      <c r="D65" t="s">
        <v>83</v>
      </c>
      <c r="J65" s="62" t="s">
        <v>154</v>
      </c>
      <c r="K65" s="120">
        <f>sK-sL</f>
        <v>8.2251310858139082E-3</v>
      </c>
      <c r="L65" s="125"/>
    </row>
    <row r="66" spans="2:14" x14ac:dyDescent="0.2">
      <c r="B66" t="s">
        <v>85</v>
      </c>
      <c r="C66" s="239">
        <f>Model!K60</f>
        <v>0.40093276768106162</v>
      </c>
      <c r="D66" t="s">
        <v>109</v>
      </c>
      <c r="K66" s="125"/>
      <c r="L66" s="125"/>
    </row>
    <row r="67" spans="2:14" x14ac:dyDescent="0.2">
      <c r="B67" t="s">
        <v>123</v>
      </c>
      <c r="C67" s="165">
        <v>1</v>
      </c>
      <c r="D67" t="s">
        <v>153</v>
      </c>
      <c r="G67" s="177"/>
      <c r="K67" s="125"/>
      <c r="L67" s="125"/>
    </row>
    <row r="70" spans="2:14" x14ac:dyDescent="0.2">
      <c r="B70" t="s">
        <v>21</v>
      </c>
      <c r="C70" s="37">
        <f t="array" ref="C70:D71">(C3:D4)/Y/TRANSPOSE(pS*(1+tauTS))</f>
        <v>0.47195767671988131</v>
      </c>
      <c r="D70" s="38">
        <v>0.31738834428178964</v>
      </c>
      <c r="E70" t="s">
        <v>24</v>
      </c>
      <c r="H70" s="37">
        <f t="array" ref="H70:I70">(bY/pMY)^sigmaY*(aY^sigmaY*pKLE^(1-sigmaY)+bY^sigmaY*pMY^(1-sigmaY))^(-1/rhoY)</f>
        <v>0.47195767671988198</v>
      </c>
      <c r="I70" s="38">
        <v>0.31738834428178964</v>
      </c>
      <c r="K70" s="120">
        <f t="array" ref="K70:L71">H70:I71-C70:D71</f>
        <v>6.6613381477509392E-16</v>
      </c>
      <c r="L70" s="120">
        <v>0</v>
      </c>
    </row>
    <row r="71" spans="2:14" x14ac:dyDescent="0.2">
      <c r="C71" s="39">
        <v>2.1403217525954435E-2</v>
      </c>
      <c r="D71" s="40">
        <v>0.34962461301992526</v>
      </c>
      <c r="E71" t="s">
        <v>25</v>
      </c>
      <c r="H71" s="39">
        <f t="array" ref="H71:I71">(bKLE/pEY)^sigmaKLE*(aKLE^sigmaKLE*pKL^(1-sigmaKLE)+bKLE^sigmaKLE*pEY^(1-sigmaKLE))^(-1/rhoKLE)*KLE/Y</f>
        <v>2.1403217525954435E-2</v>
      </c>
      <c r="I71" s="40">
        <v>0.3496246130199252</v>
      </c>
      <c r="K71" s="120">
        <v>0</v>
      </c>
      <c r="L71" s="120">
        <v>0</v>
      </c>
    </row>
    <row r="72" spans="2:14" x14ac:dyDescent="0.2">
      <c r="B72" t="s">
        <v>22</v>
      </c>
      <c r="C72" s="37">
        <f t="array" ref="C72:D72">Labour/Y</f>
        <v>0.18079094942242827</v>
      </c>
      <c r="D72" s="38">
        <v>6.0565413429233668E-2</v>
      </c>
      <c r="H72" s="37">
        <f t="array" ref="H72:I72">(bKL/pL)^sigmaKL*(aKL^sigmaKL*pK^(1-sigmaKL)+bKL^sigmaKL*pL^(1-sigmaKL))^(-1/rhoKL)*KL/Y</f>
        <v>0.18079094942242829</v>
      </c>
      <c r="I72" s="38">
        <v>6.0565413429233668E-2</v>
      </c>
      <c r="K72" s="120">
        <f t="array" ref="K72:L72">H72:I72-lambda</f>
        <v>0</v>
      </c>
      <c r="L72" s="120">
        <v>0</v>
      </c>
    </row>
    <row r="73" spans="2:14" x14ac:dyDescent="0.2">
      <c r="B73" t="s">
        <v>23</v>
      </c>
      <c r="C73" s="39">
        <f t="array" ref="C73:D73">K/Y</f>
        <v>0.23064923795098627</v>
      </c>
      <c r="D73" s="40">
        <v>0.22092201281804763</v>
      </c>
      <c r="H73" s="39">
        <f t="array" ref="H73:I73">(aKL/pK)^sigmaKL*(aKL^sigmaKL*pK^(1-sigmaKL)+bKL^sigmaKL*pL^(1-sigmaKL))^(-1/rhoKL)*KL/Y</f>
        <v>0.23064923795098624</v>
      </c>
      <c r="I73" s="40">
        <v>0.22092201281804766</v>
      </c>
      <c r="K73" s="120">
        <f t="array" ref="K73:L73">H73:I73-kappa</f>
        <v>0</v>
      </c>
      <c r="L73" s="120">
        <v>0</v>
      </c>
    </row>
    <row r="75" spans="2:14" x14ac:dyDescent="0.2">
      <c r="F75" t="s">
        <v>42</v>
      </c>
    </row>
    <row r="77" spans="2:14" x14ac:dyDescent="0.2">
      <c r="B77" t="s">
        <v>129</v>
      </c>
      <c r="C77" s="183">
        <f t="array" ref="C77:D77">(S/D)^rhoS*pD*D/(pD*D+pW*M)</f>
        <v>0.96381792329050164</v>
      </c>
      <c r="D77" s="184">
        <v>0.94968696469905056</v>
      </c>
      <c r="E77" s="62" t="s">
        <v>127</v>
      </c>
      <c r="F77" s="63">
        <f t="array" ref="F77:G77">(aS*D^rhoS+bS*M^rhoS)^(1/rhoS)</f>
        <v>26548.356269999997</v>
      </c>
      <c r="G77" s="64">
        <v>1408.5418709999931</v>
      </c>
      <c r="J77">
        <v>0.95656838134985123</v>
      </c>
      <c r="K77">
        <v>0.88500540761921231</v>
      </c>
      <c r="M77">
        <v>0.97096440194717171</v>
      </c>
      <c r="N77">
        <v>0.94099850948718067</v>
      </c>
    </row>
    <row r="78" spans="2:14" x14ac:dyDescent="0.2">
      <c r="B78" t="s">
        <v>130</v>
      </c>
      <c r="C78" s="185">
        <f t="array" ref="C78:D78">(S/M)^rhoS*pW*M/(pD*D+pW*M)</f>
        <v>0.26656145772407763</v>
      </c>
      <c r="D78" s="186">
        <v>0.65721667750764312</v>
      </c>
      <c r="F78" s="129">
        <f t="array" ref="F78:G78">F77:G77-S</f>
        <v>0</v>
      </c>
      <c r="G78" s="130">
        <v>0</v>
      </c>
      <c r="J78">
        <v>0.29150803042407891</v>
      </c>
      <c r="K78">
        <v>0.76679688485558739</v>
      </c>
      <c r="M78">
        <v>0.23922401666925366</v>
      </c>
      <c r="N78">
        <v>0.68167509101198809</v>
      </c>
    </row>
    <row r="79" spans="2:14" x14ac:dyDescent="0.2">
      <c r="B79" t="s">
        <v>131</v>
      </c>
      <c r="C79" s="187">
        <v>2</v>
      </c>
      <c r="D79" s="188">
        <v>4</v>
      </c>
      <c r="J79">
        <v>2</v>
      </c>
      <c r="K79">
        <v>3.7610000000000001</v>
      </c>
      <c r="M79">
        <v>2</v>
      </c>
      <c r="N79">
        <v>4</v>
      </c>
    </row>
    <row r="80" spans="2:14" x14ac:dyDescent="0.2">
      <c r="B80" t="s">
        <v>132</v>
      </c>
      <c r="C80" s="189">
        <f t="array" ref="C80:D80">(sigmaS-1)/sigmaS</f>
        <v>0.5</v>
      </c>
      <c r="D80" s="190">
        <v>0.75</v>
      </c>
      <c r="J80">
        <v>0.5</v>
      </c>
      <c r="K80">
        <v>0.73411326774793939</v>
      </c>
      <c r="M80">
        <v>0.5</v>
      </c>
      <c r="N80">
        <v>0.75</v>
      </c>
    </row>
    <row r="81" spans="2:14" x14ac:dyDescent="0.2">
      <c r="C81" s="191"/>
      <c r="D81" s="191"/>
    </row>
    <row r="82" spans="2:14" x14ac:dyDescent="0.2">
      <c r="B82" t="s">
        <v>31</v>
      </c>
      <c r="C82" s="183">
        <f t="array" ref="C82:D82">(KL/K)^rhoKL*pK*K/(pK*K+pL*Labour)</f>
        <v>7.8928608681718054E-2</v>
      </c>
      <c r="D82" s="184">
        <v>0.10640976976244208</v>
      </c>
      <c r="E82" s="62" t="s">
        <v>35</v>
      </c>
      <c r="F82" s="63">
        <f t="array" ref="F82:G82">(aKL*K^rhoKL+bKL*Labour^rhoKL)^(1/rhoKL)</f>
        <v>13763.097676000012</v>
      </c>
      <c r="G82" s="64">
        <v>382.3664789999998</v>
      </c>
      <c r="J82">
        <v>0.18451576952174367</v>
      </c>
      <c r="K82">
        <v>0.54253201298722808</v>
      </c>
      <c r="M82">
        <v>7.2859611873321836E-2</v>
      </c>
      <c r="N82">
        <v>5.3637383677496479E-2</v>
      </c>
    </row>
    <row r="83" spans="2:14" x14ac:dyDescent="0.2">
      <c r="B83" t="s">
        <v>32</v>
      </c>
      <c r="C83" s="185">
        <f t="array" ref="C83:D83">(KL/Labour)^rhoKL*pL*Labour/(pK*K+pL*Labour)</f>
        <v>5.1063497539797449E-2</v>
      </c>
      <c r="D83" s="186">
        <v>2.7776661157113622E-5</v>
      </c>
      <c r="F83" s="129">
        <f t="array" ref="F83:G83">F82:G82-KL</f>
        <v>0</v>
      </c>
      <c r="G83" s="130">
        <v>0</v>
      </c>
      <c r="J83">
        <v>0.1069127767935206</v>
      </c>
      <c r="K83">
        <v>2.4476064673301264E-2</v>
      </c>
      <c r="M83">
        <v>5.4594777174641881E-2</v>
      </c>
      <c r="N83">
        <v>1.1890509449475719E-4</v>
      </c>
    </row>
    <row r="84" spans="2:14" x14ac:dyDescent="0.2">
      <c r="B84" t="s">
        <v>33</v>
      </c>
      <c r="C84" s="187">
        <v>0.3</v>
      </c>
      <c r="D84" s="188">
        <v>0.15</v>
      </c>
      <c r="J84">
        <v>0.42</v>
      </c>
      <c r="K84">
        <v>0.45010780507311415</v>
      </c>
      <c r="M84">
        <v>0.3</v>
      </c>
      <c r="N84">
        <v>0.15</v>
      </c>
    </row>
    <row r="85" spans="2:14" x14ac:dyDescent="0.2">
      <c r="B85" t="s">
        <v>34</v>
      </c>
      <c r="C85" s="189">
        <f t="array" ref="C85:D85">(sigmaKL-1)/sigmaKL</f>
        <v>-2.3333333333333335</v>
      </c>
      <c r="D85" s="190">
        <v>-5.666666666666667</v>
      </c>
      <c r="J85">
        <v>-1.3809523809523812</v>
      </c>
      <c r="K85">
        <v>-1.2216899789986155</v>
      </c>
      <c r="M85">
        <v>-2.3333333333333335</v>
      </c>
      <c r="N85">
        <v>-5.666666666666667</v>
      </c>
    </row>
    <row r="86" spans="2:14" x14ac:dyDescent="0.2">
      <c r="C86" s="191"/>
      <c r="D86" s="191"/>
    </row>
    <row r="87" spans="2:14" x14ac:dyDescent="0.2">
      <c r="B87" t="s">
        <v>49</v>
      </c>
      <c r="C87" s="183">
        <f t="array" ref="C87:D87">(KLE/KL)^rhoKLE*(pK*K+pL*Labour)/(pK*K+pL*Labour+pEY*alphaEY*Y)</f>
        <v>0.84316412332790835</v>
      </c>
      <c r="D87" s="184">
        <v>2.2957726261613799E-3</v>
      </c>
      <c r="E87" s="62" t="s">
        <v>53</v>
      </c>
      <c r="F87" s="63">
        <f t="array" ref="F87:G87">(aKLE*KL^rhoKLE+bKLE*(alphaEY*Y)^rhoKLE)^(1/rhoKLE)</f>
        <v>14362.768557999996</v>
      </c>
      <c r="G87" s="64">
        <v>817.26650999999947</v>
      </c>
      <c r="J87">
        <v>0.85732710021334335</v>
      </c>
      <c r="K87">
        <v>6.4436442297762988E-3</v>
      </c>
      <c r="M87">
        <v>0.90771284052375456</v>
      </c>
      <c r="N87">
        <v>6.1963941181865996E-2</v>
      </c>
    </row>
    <row r="88" spans="2:14" x14ac:dyDescent="0.2">
      <c r="B88" t="s">
        <v>50</v>
      </c>
      <c r="C88" s="185">
        <f t="array" ref="C88:D88">(KLE/(alphaEY*Y))^rhoKLE*pEY*alphaEY*Y/(pEY*alphaEY*Y+pK*K+pL*Labour)</f>
        <v>2.9867647344691365E-6</v>
      </c>
      <c r="D88" s="186">
        <v>6.1760404177872898E-3</v>
      </c>
      <c r="F88" s="129">
        <f t="array" ref="F88:G88">F87:G87-KLE</f>
        <v>0</v>
      </c>
      <c r="G88" s="130">
        <v>0</v>
      </c>
      <c r="J88">
        <v>1.757694977252001E-4</v>
      </c>
      <c r="K88">
        <v>0.13475758340934371</v>
      </c>
      <c r="M88">
        <v>2.214314390241483E-3</v>
      </c>
      <c r="N88">
        <v>6.1425571228765741E-2</v>
      </c>
    </row>
    <row r="89" spans="2:14" x14ac:dyDescent="0.2">
      <c r="B89" t="s">
        <v>51</v>
      </c>
      <c r="C89" s="187">
        <v>0.25</v>
      </c>
      <c r="D89" s="188">
        <v>0.125</v>
      </c>
      <c r="J89">
        <v>0.3518</v>
      </c>
      <c r="K89">
        <v>0.23739378994633001</v>
      </c>
      <c r="M89">
        <v>0.5</v>
      </c>
      <c r="N89">
        <v>0.25</v>
      </c>
    </row>
    <row r="90" spans="2:14" x14ac:dyDescent="0.2">
      <c r="B90" t="s">
        <v>52</v>
      </c>
      <c r="C90" s="189">
        <f t="array" ref="C90:D90">(sigmaKLE-1)/sigmaKLE</f>
        <v>-3</v>
      </c>
      <c r="D90" s="190">
        <v>-7</v>
      </c>
      <c r="J90">
        <v>-1.8425241614553725</v>
      </c>
      <c r="K90">
        <v>-3.2124101065410349</v>
      </c>
      <c r="M90">
        <v>-1</v>
      </c>
      <c r="N90">
        <v>-3</v>
      </c>
    </row>
    <row r="91" spans="2:14" x14ac:dyDescent="0.2">
      <c r="C91" s="191"/>
      <c r="D91" s="191"/>
    </row>
    <row r="92" spans="2:14" x14ac:dyDescent="0.2">
      <c r="B92" t="s">
        <v>37</v>
      </c>
      <c r="C92" s="183">
        <f t="array" ref="C92:D92">(Y/KLE)^rhoY*(pK*K+pL*Labour+pEY*alphaEY*Y)/(pK*K+pL*Labour+pEY*alphaEY*Y+pMY*alphaMY*Y)</f>
        <v>0.39008348025535444</v>
      </c>
      <c r="D92" s="184">
        <v>0.31136355826594386</v>
      </c>
      <c r="E92" s="62" t="s">
        <v>19</v>
      </c>
      <c r="F92" s="63">
        <f t="array" ref="F92:G92">(aY*KLE^rhoY+bY*(alphaMY*Y)^rhoY)^(1/rhoY)</f>
        <v>27857.010133999996</v>
      </c>
      <c r="G92" s="64">
        <v>1236.767447999998</v>
      </c>
      <c r="J92">
        <v>0.34302659523177403</v>
      </c>
      <c r="K92">
        <v>0.42557690792009023</v>
      </c>
      <c r="M92">
        <v>0.42285434707953978</v>
      </c>
      <c r="N92">
        <v>0.3208524508888656</v>
      </c>
    </row>
    <row r="93" spans="2:14" x14ac:dyDescent="0.2">
      <c r="B93" t="s">
        <v>38</v>
      </c>
      <c r="C93" s="185">
        <f t="array" ref="C93:D93">(Y/(alphaMY*Y))^rhoY*pMY*alphaMY*Y/(pMY*alphaMY*Y+pK*K+pL*Labour+pEY*alphaEY*Y)</f>
        <v>0.34926535250575885</v>
      </c>
      <c r="D93" s="186">
        <v>3.8919522129570013E-2</v>
      </c>
      <c r="F93" s="129">
        <f t="array" ref="F93:G93">F92:G92-Y</f>
        <v>0</v>
      </c>
      <c r="G93" s="130">
        <v>-2.2737367544323206E-12</v>
      </c>
      <c r="J93">
        <v>0.35296646929548525</v>
      </c>
      <c r="K93">
        <v>6.2733891927605194E-4</v>
      </c>
      <c r="M93">
        <v>0.3176642154488255</v>
      </c>
      <c r="N93">
        <v>3.8708344241683464E-2</v>
      </c>
    </row>
    <row r="94" spans="2:14" x14ac:dyDescent="0.2">
      <c r="B94" t="s">
        <v>39</v>
      </c>
      <c r="C94" s="187">
        <v>0.7</v>
      </c>
      <c r="D94" s="188">
        <v>0.35</v>
      </c>
      <c r="J94">
        <v>0.6678438215200766</v>
      </c>
      <c r="K94">
        <v>0.23777313182546062</v>
      </c>
      <c r="M94">
        <v>0.7</v>
      </c>
      <c r="N94">
        <v>0.35</v>
      </c>
    </row>
    <row r="95" spans="2:14" x14ac:dyDescent="0.2">
      <c r="B95" t="s">
        <v>40</v>
      </c>
      <c r="C95" s="189">
        <f t="array" ref="C95:D95">(sigmaY-1)/sigmaY</f>
        <v>-0.42857142857142866</v>
      </c>
      <c r="D95" s="190">
        <v>-1.8571428571428574</v>
      </c>
      <c r="J95">
        <v>-0.49735607005228272</v>
      </c>
      <c r="K95">
        <v>-3.205689651823481</v>
      </c>
      <c r="M95">
        <v>-0.42857142857142866</v>
      </c>
      <c r="N95">
        <v>-1.8571428571428574</v>
      </c>
    </row>
    <row r="96" spans="2:14" x14ac:dyDescent="0.2">
      <c r="C96" s="191"/>
      <c r="D96" s="191"/>
    </row>
    <row r="97" spans="2:14" x14ac:dyDescent="0.2">
      <c r="B97" t="s">
        <v>117</v>
      </c>
      <c r="C97" s="183">
        <f t="array" ref="C97:D97">(Y/D)^rhoX*pD*D/(pD*D+pX*X)</f>
        <v>1.0628046216829141</v>
      </c>
      <c r="D97" s="184">
        <v>1.0389584707528505</v>
      </c>
      <c r="E97" s="62" t="s">
        <v>19</v>
      </c>
      <c r="F97" s="63">
        <f t="array" ref="F97:G97">(aX*D^rhoX+bX*X^rhoX)^(1/rhoX)</f>
        <v>27857.010133999949</v>
      </c>
      <c r="G97" s="64">
        <v>1236.7674480000003</v>
      </c>
      <c r="J97">
        <v>1.0584279955606408</v>
      </c>
      <c r="K97">
        <v>1.0394054770479291</v>
      </c>
      <c r="M97">
        <v>1.056836685236574</v>
      </c>
      <c r="N97">
        <v>1.0883998615921</v>
      </c>
    </row>
    <row r="98" spans="2:14" x14ac:dyDescent="0.2">
      <c r="B98" t="s">
        <v>118</v>
      </c>
      <c r="C98" s="185">
        <f t="array" ref="C98:D98">(Y/X)^rhoX*pX*X/(pD*D+pX*X)</f>
        <v>2.9527629608409791</v>
      </c>
      <c r="D98" s="186">
        <v>3.686320128465423</v>
      </c>
      <c r="F98" s="129">
        <f t="array" ref="F98:G98">F97:G97-Y</f>
        <v>-4.7293724492192268E-11</v>
      </c>
      <c r="G98" s="130">
        <v>0</v>
      </c>
      <c r="J98">
        <v>3.0519891458809019</v>
      </c>
      <c r="K98">
        <v>3.6665272372954751</v>
      </c>
      <c r="M98">
        <v>3.09096156361904</v>
      </c>
      <c r="N98">
        <v>2.533120546112305</v>
      </c>
    </row>
    <row r="99" spans="2:14" x14ac:dyDescent="0.2">
      <c r="B99" t="s">
        <v>66</v>
      </c>
      <c r="C99" s="180">
        <v>-2</v>
      </c>
      <c r="D99" s="181">
        <v>-2</v>
      </c>
      <c r="J99">
        <v>-2</v>
      </c>
      <c r="K99">
        <v>-2</v>
      </c>
      <c r="M99">
        <v>-2</v>
      </c>
      <c r="N99">
        <v>-2</v>
      </c>
    </row>
    <row r="100" spans="2:14" x14ac:dyDescent="0.2">
      <c r="B100" t="s">
        <v>119</v>
      </c>
      <c r="C100" s="189">
        <f t="array" ref="C100:D100">(sigmaX - 1)/sigmaX</f>
        <v>1.5</v>
      </c>
      <c r="D100" s="190">
        <v>1.5</v>
      </c>
      <c r="J100">
        <v>1.5</v>
      </c>
      <c r="K100">
        <v>1.5</v>
      </c>
      <c r="M100">
        <v>1.5</v>
      </c>
      <c r="N100">
        <v>1.5</v>
      </c>
    </row>
    <row r="102" spans="2:14" x14ac:dyDescent="0.2">
      <c r="B102" t="s">
        <v>110</v>
      </c>
      <c r="C102" s="30">
        <v>-0.1</v>
      </c>
      <c r="J102">
        <v>-0.18</v>
      </c>
      <c r="M102">
        <v>-0.1</v>
      </c>
    </row>
    <row r="104" spans="2:14" x14ac:dyDescent="0.2">
      <c r="B104" t="s">
        <v>43</v>
      </c>
      <c r="C104" s="66">
        <f>(U/CQ)^rhoU*pCQ*CQ/(pCQ*CQ+pCE*CE)</f>
        <v>259.94917440961575</v>
      </c>
      <c r="E104" s="62" t="s">
        <v>47</v>
      </c>
      <c r="F104" s="65">
        <f>(aU*CQ^rhoU+bU*CE^rhoU)^(1/rhoU)</f>
        <v>1</v>
      </c>
      <c r="J104">
        <v>161.80093781026901</v>
      </c>
      <c r="M104">
        <v>236.92129697367815</v>
      </c>
    </row>
    <row r="105" spans="2:14" x14ac:dyDescent="0.2">
      <c r="B105" t="s">
        <v>44</v>
      </c>
      <c r="C105" s="67">
        <f>(U/CE)^rhoU*pCE*CE/(pCQ*CQ+pCE*CE)</f>
        <v>2.4275254555409633</v>
      </c>
      <c r="F105" s="123">
        <f t="array" ref="F105">F104-U</f>
        <v>0</v>
      </c>
      <c r="J105">
        <v>1.8943271858376676</v>
      </c>
      <c r="M105">
        <v>2.5407734799088928</v>
      </c>
    </row>
    <row r="106" spans="2:14" x14ac:dyDescent="0.2">
      <c r="B106" t="s">
        <v>45</v>
      </c>
      <c r="C106" s="238">
        <v>0.61</v>
      </c>
      <c r="J106">
        <v>0.62777368056390725</v>
      </c>
      <c r="M106">
        <v>0.61</v>
      </c>
    </row>
    <row r="107" spans="2:14" x14ac:dyDescent="0.2">
      <c r="B107" t="s">
        <v>46</v>
      </c>
      <c r="C107" s="68">
        <f>(sigmaU-1)/sigmaU</f>
        <v>-0.63934426229508201</v>
      </c>
      <c r="J107">
        <v>-0.59293075030118303</v>
      </c>
      <c r="M107">
        <v>-0.63934426229508201</v>
      </c>
    </row>
    <row r="109" spans="2:14" x14ac:dyDescent="0.2">
      <c r="J109">
        <v>-0.97777368056390723</v>
      </c>
      <c r="K109">
        <v>-0.65</v>
      </c>
    </row>
    <row r="111" spans="2:14" x14ac:dyDescent="0.2">
      <c r="H111" s="115"/>
      <c r="I111" s="115"/>
    </row>
    <row r="112" spans="2:14" x14ac:dyDescent="0.2">
      <c r="H112" s="115"/>
      <c r="I112" s="115"/>
    </row>
    <row r="113" spans="2:16" ht="10.5" x14ac:dyDescent="0.25">
      <c r="B113" s="96" t="s">
        <v>106</v>
      </c>
    </row>
    <row r="114" spans="2:16" x14ac:dyDescent="0.2">
      <c r="B114" t="s">
        <v>12</v>
      </c>
      <c r="C114" s="84">
        <f t="array" ref="C114:D114">pY</f>
        <v>1000</v>
      </c>
      <c r="D114" s="85">
        <v>1000</v>
      </c>
    </row>
    <row r="115" spans="2:16" x14ac:dyDescent="0.2">
      <c r="B115" t="s">
        <v>128</v>
      </c>
      <c r="C115" s="97">
        <f t="array" ref="C115:D115">pS</f>
        <v>1000</v>
      </c>
      <c r="D115" s="98">
        <v>1000</v>
      </c>
    </row>
    <row r="116" spans="2:16" x14ac:dyDescent="0.2">
      <c r="B116" t="s">
        <v>17</v>
      </c>
      <c r="C116" s="97">
        <f t="array" ref="C116:D116">w</f>
        <v>1000</v>
      </c>
      <c r="D116" s="98">
        <v>1000</v>
      </c>
    </row>
    <row r="117" spans="2:16" x14ac:dyDescent="0.2">
      <c r="B117" t="s">
        <v>18</v>
      </c>
      <c r="C117" s="156">
        <f t="array" ref="C117:D117">pK</f>
        <v>1000</v>
      </c>
      <c r="D117" s="157">
        <v>1000</v>
      </c>
    </row>
    <row r="118" spans="2:16" x14ac:dyDescent="0.2">
      <c r="B118" t="s">
        <v>61</v>
      </c>
      <c r="C118" s="156">
        <f t="array" ref="C118:D118">pKL</f>
        <v>1000</v>
      </c>
      <c r="D118" s="157">
        <v>1000</v>
      </c>
    </row>
    <row r="119" spans="2:16" x14ac:dyDescent="0.2">
      <c r="B119" t="s">
        <v>127</v>
      </c>
      <c r="C119" s="82">
        <f t="array" ref="C119:D119">S</f>
        <v>26548.356269999993</v>
      </c>
      <c r="D119" s="83">
        <v>1408.5418709999938</v>
      </c>
    </row>
    <row r="120" spans="2:16" x14ac:dyDescent="0.2">
      <c r="B120" t="s">
        <v>8</v>
      </c>
      <c r="C120" s="97">
        <f>C43</f>
        <v>3196.3846373657216</v>
      </c>
      <c r="D120" s="224">
        <f>D52</f>
        <v>5.7716594496607888E-3</v>
      </c>
      <c r="E120" t="s">
        <v>151</v>
      </c>
    </row>
    <row r="121" spans="2:16" x14ac:dyDescent="0.2">
      <c r="B121" t="s">
        <v>64</v>
      </c>
      <c r="C121" s="159">
        <f>GDP</f>
        <v>14734457.915000005</v>
      </c>
      <c r="D121" s="160">
        <v>0</v>
      </c>
    </row>
    <row r="122" spans="2:16" x14ac:dyDescent="0.2">
      <c r="B122" t="s">
        <v>27</v>
      </c>
      <c r="C122" s="159">
        <f t="array" ref="C122:D122">Labour</f>
        <v>5036.2953101960647</v>
      </c>
      <c r="D122" s="167">
        <v>74.905331803938267</v>
      </c>
    </row>
    <row r="123" spans="2:16" x14ac:dyDescent="0.2">
      <c r="B123" t="s">
        <v>19</v>
      </c>
      <c r="C123" s="158">
        <f t="array" ref="C123:D123">Y</f>
        <v>27857.010133999996</v>
      </c>
      <c r="D123" s="161">
        <v>1236.7674480000003</v>
      </c>
    </row>
    <row r="126" spans="2:16" x14ac:dyDescent="0.2">
      <c r="E126" s="29"/>
      <c r="F126" s="29"/>
      <c r="G126" s="29"/>
      <c r="H126" s="29"/>
      <c r="I126" s="29"/>
      <c r="J126" s="29"/>
      <c r="K126" s="29"/>
      <c r="L126" s="29"/>
      <c r="M126" s="29"/>
      <c r="N126" s="29"/>
      <c r="O126" s="29"/>
      <c r="P126" s="29"/>
    </row>
    <row r="127" spans="2:16" x14ac:dyDescent="0.2">
      <c r="E127" s="29"/>
      <c r="F127" s="29"/>
      <c r="G127" s="29"/>
      <c r="H127" s="29"/>
      <c r="I127" s="29"/>
      <c r="J127" s="29"/>
      <c r="K127" s="29"/>
      <c r="L127" s="29"/>
      <c r="M127" s="29"/>
      <c r="N127" s="29"/>
      <c r="O127" s="29"/>
      <c r="P127" s="29"/>
    </row>
  </sheetData>
  <conditionalFormatting sqref="C14:D14">
    <cfRule type="cellIs" dxfId="108" priority="28" stopIfTrue="1" operator="notEqual">
      <formula>0</formula>
    </cfRule>
  </conditionalFormatting>
  <conditionalFormatting sqref="K21:L21">
    <cfRule type="cellIs" dxfId="107" priority="27" stopIfTrue="1" operator="notEqual">
      <formula>0</formula>
    </cfRule>
  </conditionalFormatting>
  <conditionalFormatting sqref="K23:L23 K25:L30">
    <cfRule type="cellIs" dxfId="106" priority="26" stopIfTrue="1" operator="notEqual">
      <formula>0</formula>
    </cfRule>
  </conditionalFormatting>
  <conditionalFormatting sqref="K32:L32">
    <cfRule type="cellIs" dxfId="105" priority="25" stopIfTrue="1" operator="notEqual">
      <formula>0</formula>
    </cfRule>
  </conditionalFormatting>
  <conditionalFormatting sqref="K37:L39 K41:L43">
    <cfRule type="cellIs" dxfId="104" priority="24" stopIfTrue="1" operator="notEqual">
      <formula>0</formula>
    </cfRule>
  </conditionalFormatting>
  <conditionalFormatting sqref="K45:L48">
    <cfRule type="cellIs" dxfId="103" priority="23" stopIfTrue="1" operator="notEqual">
      <formula>0</formula>
    </cfRule>
  </conditionalFormatting>
  <conditionalFormatting sqref="K34:L35">
    <cfRule type="cellIs" dxfId="102" priority="22" stopIfTrue="1" operator="notEqual">
      <formula>0</formula>
    </cfRule>
  </conditionalFormatting>
  <conditionalFormatting sqref="K70:L73">
    <cfRule type="cellIs" dxfId="101" priority="21" stopIfTrue="1" operator="notEqual">
      <formula>0</formula>
    </cfRule>
  </conditionalFormatting>
  <conditionalFormatting sqref="K57">
    <cfRule type="cellIs" dxfId="100" priority="20" stopIfTrue="1" operator="notEqual">
      <formula>0</formula>
    </cfRule>
  </conditionalFormatting>
  <conditionalFormatting sqref="K55">
    <cfRule type="cellIs" dxfId="99" priority="19" stopIfTrue="1" operator="notEqual">
      <formula>0</formula>
    </cfRule>
  </conditionalFormatting>
  <conditionalFormatting sqref="F78:G78">
    <cfRule type="cellIs" dxfId="98" priority="18" stopIfTrue="1" operator="notEqual">
      <formula>0</formula>
    </cfRule>
  </conditionalFormatting>
  <conditionalFormatting sqref="F83:G83">
    <cfRule type="cellIs" dxfId="97" priority="17" stopIfTrue="1" operator="notEqual">
      <formula>0</formula>
    </cfRule>
  </conditionalFormatting>
  <conditionalFormatting sqref="F88:G88">
    <cfRule type="cellIs" dxfId="96" priority="16" stopIfTrue="1" operator="notEqual">
      <formula>0</formula>
    </cfRule>
  </conditionalFormatting>
  <conditionalFormatting sqref="F93:G93">
    <cfRule type="cellIs" dxfId="95" priority="15" stopIfTrue="1" operator="notEqual">
      <formula>0</formula>
    </cfRule>
  </conditionalFormatting>
  <conditionalFormatting sqref="F105">
    <cfRule type="cellIs" dxfId="94" priority="14" stopIfTrue="1" operator="notEqual">
      <formula>0</formula>
    </cfRule>
  </conditionalFormatting>
  <conditionalFormatting sqref="K44:L44">
    <cfRule type="cellIs" dxfId="93" priority="11" stopIfTrue="1" operator="notEqual">
      <formula>0</formula>
    </cfRule>
  </conditionalFormatting>
  <conditionalFormatting sqref="L57">
    <cfRule type="cellIs" dxfId="92" priority="8" stopIfTrue="1" operator="notEqual">
      <formula>0</formula>
    </cfRule>
  </conditionalFormatting>
  <conditionalFormatting sqref="K24:L24">
    <cfRule type="cellIs" dxfId="91" priority="6" stopIfTrue="1" operator="notEqual">
      <formula>0</formula>
    </cfRule>
  </conditionalFormatting>
  <conditionalFormatting sqref="K40:L40">
    <cfRule type="cellIs" dxfId="90" priority="5" stopIfTrue="1" operator="notEqual">
      <formula>0</formula>
    </cfRule>
  </conditionalFormatting>
  <conditionalFormatting sqref="F98:G98">
    <cfRule type="cellIs" dxfId="89" priority="3" stopIfTrue="1" operator="notEqual">
      <formula>0</formula>
    </cfRule>
  </conditionalFormatting>
  <conditionalFormatting sqref="K65">
    <cfRule type="cellIs" dxfId="88" priority="2" stopIfTrue="1" operator="notEqual">
      <formula>0</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B2:AL89"/>
  <sheetViews>
    <sheetView showGridLines="0" topLeftCell="H30" workbookViewId="0">
      <selection activeCell="K41" sqref="K41"/>
    </sheetView>
  </sheetViews>
  <sheetFormatPr baseColWidth="10" defaultRowHeight="10" x14ac:dyDescent="0.2"/>
  <cols>
    <col min="6" max="7" width="12" customWidth="1"/>
    <col min="11" max="11" width="12" customWidth="1"/>
    <col min="12" max="12" width="13" bestFit="1" customWidth="1"/>
    <col min="14" max="14" width="13" bestFit="1" customWidth="1"/>
    <col min="15" max="15" width="12.77734375" bestFit="1" customWidth="1"/>
  </cols>
  <sheetData>
    <row r="2" spans="2:18" ht="10.5" x14ac:dyDescent="0.25">
      <c r="B2" s="126" t="s">
        <v>68</v>
      </c>
      <c r="C2" s="2" t="s">
        <v>24</v>
      </c>
      <c r="D2" s="3" t="s">
        <v>25</v>
      </c>
      <c r="E2" s="4" t="s">
        <v>6</v>
      </c>
      <c r="F2" s="5" t="s">
        <v>7</v>
      </c>
      <c r="G2" s="5" t="s">
        <v>8</v>
      </c>
      <c r="H2" s="6" t="s">
        <v>0</v>
      </c>
      <c r="I2" s="1"/>
      <c r="K2" s="126" t="s">
        <v>86</v>
      </c>
      <c r="L2" s="2" t="s">
        <v>24</v>
      </c>
      <c r="M2" s="3" t="s">
        <v>25</v>
      </c>
      <c r="N2" s="4" t="s">
        <v>6</v>
      </c>
      <c r="O2" s="5" t="s">
        <v>7</v>
      </c>
      <c r="P2" s="5" t="s">
        <v>8</v>
      </c>
      <c r="Q2" s="6" t="s">
        <v>0</v>
      </c>
      <c r="R2" s="1"/>
    </row>
    <row r="3" spans="2:18" ht="10.5" x14ac:dyDescent="0.25">
      <c r="B3" s="2" t="s">
        <v>24</v>
      </c>
      <c r="C3" s="51">
        <f t="array" ref="C3:D11">Calibration!C3:D11</f>
        <v>13356525.920999993</v>
      </c>
      <c r="D3" s="52">
        <v>398781.47400000016</v>
      </c>
      <c r="E3" s="53">
        <f t="array" ref="E3:H4">Calibration!E3:H4</f>
        <v>6637565.1090000011</v>
      </c>
      <c r="F3" s="54">
        <v>3330668.2879999997</v>
      </c>
      <c r="G3" s="54">
        <v>3247244.4950000001</v>
      </c>
      <c r="H3" s="60">
        <v>3195047.6039999989</v>
      </c>
      <c r="I3" s="9">
        <f>SUM(C3:H3)</f>
        <v>30165832.890999991</v>
      </c>
      <c r="K3" s="2" t="s">
        <v>24</v>
      </c>
      <c r="L3" s="51">
        <f t="array" ref="L3:M4">pIC*alpha*Y</f>
        <v>13356525.921000011</v>
      </c>
      <c r="M3" s="52">
        <v>398781.47400000016</v>
      </c>
      <c r="N3" s="53">
        <f t="array" ref="N3:N4">TRANSPOSE(pC*Consumption)</f>
        <v>6637565.1089999964</v>
      </c>
      <c r="O3" s="54">
        <f t="array" ref="O3:O4">TRANSPOSE(pG*G)</f>
        <v>3330668.2879999997</v>
      </c>
      <c r="P3" s="54">
        <f t="array" ref="P3:P4">TRANSPOSE(pI*I)</f>
        <v>3247244.4950000001</v>
      </c>
      <c r="Q3" s="60">
        <f t="array" ref="Q3:Q4">TRANSPOSE(pX*X)</f>
        <v>3195047.6040000012</v>
      </c>
      <c r="R3" s="9">
        <f t="array" ref="R3">SUM(L3:Q3)</f>
        <v>30165832.89100001</v>
      </c>
    </row>
    <row r="4" spans="2:18" ht="10.5" x14ac:dyDescent="0.25">
      <c r="B4" s="10" t="s">
        <v>25</v>
      </c>
      <c r="C4" s="55">
        <v>599670.88199999998</v>
      </c>
      <c r="D4" s="56">
        <v>434900.03099999996</v>
      </c>
      <c r="E4" s="55">
        <v>382100.58199999394</v>
      </c>
      <c r="F4" s="57">
        <v>0</v>
      </c>
      <c r="G4" s="57">
        <v>0</v>
      </c>
      <c r="H4" s="49">
        <v>91012.690000004077</v>
      </c>
      <c r="I4" s="11">
        <f>SUM(C4:H4)</f>
        <v>1507684.184999998</v>
      </c>
      <c r="K4" s="10" t="s">
        <v>25</v>
      </c>
      <c r="L4" s="55">
        <v>599670.8820000008</v>
      </c>
      <c r="M4" s="56">
        <v>434900.03099999978</v>
      </c>
      <c r="N4" s="55">
        <v>382100.58199999377</v>
      </c>
      <c r="O4" s="57">
        <v>0</v>
      </c>
      <c r="P4" s="57">
        <v>0</v>
      </c>
      <c r="Q4" s="49">
        <v>91012.690000004397</v>
      </c>
      <c r="R4" s="11">
        <f t="array" ref="R4">SUM(L4:Q4)</f>
        <v>1507684.1849999989</v>
      </c>
    </row>
    <row r="5" spans="2:18" x14ac:dyDescent="0.2">
      <c r="B5" s="12" t="s">
        <v>1</v>
      </c>
      <c r="C5" s="51">
        <v>5036295.3101960644</v>
      </c>
      <c r="D5" s="52">
        <v>74905.331803938272</v>
      </c>
      <c r="E5" s="13"/>
      <c r="F5" s="13"/>
      <c r="G5" s="13"/>
      <c r="H5" s="13"/>
      <c r="I5" s="1"/>
      <c r="K5" s="12" t="s">
        <v>1</v>
      </c>
      <c r="L5" s="51">
        <f t="array" ref="L5:M5">w*Labour</f>
        <v>5036295.3101960644</v>
      </c>
      <c r="M5" s="52">
        <v>74905.331803938272</v>
      </c>
      <c r="N5" s="13"/>
      <c r="O5" s="13"/>
      <c r="P5" s="13"/>
      <c r="Q5" s="13"/>
      <c r="R5" s="1"/>
    </row>
    <row r="6" spans="2:18" x14ac:dyDescent="0.2">
      <c r="B6" s="14" t="s">
        <v>9</v>
      </c>
      <c r="C6" s="53">
        <v>2301604.2068039379</v>
      </c>
      <c r="D6" s="58">
        <v>34231.993196061703</v>
      </c>
      <c r="E6" s="13"/>
      <c r="F6" s="13"/>
      <c r="G6" s="13"/>
      <c r="H6" s="13"/>
      <c r="I6" s="1"/>
      <c r="K6" s="14" t="s">
        <v>9</v>
      </c>
      <c r="L6" s="53">
        <f t="array" ref="L6:M6">w*tauL*Labour</f>
        <v>2301604.2068039374</v>
      </c>
      <c r="M6" s="58">
        <v>34231.993196061703</v>
      </c>
      <c r="N6" s="13"/>
      <c r="O6" s="13"/>
      <c r="P6" s="13"/>
      <c r="Q6" s="13"/>
      <c r="R6" s="1"/>
    </row>
    <row r="7" spans="2:18" x14ac:dyDescent="0.2">
      <c r="B7" s="14" t="s">
        <v>10</v>
      </c>
      <c r="C7" s="53">
        <v>137715.65500000006</v>
      </c>
      <c r="D7" s="58">
        <v>20719.463999999996</v>
      </c>
      <c r="E7" s="13"/>
      <c r="F7" s="13"/>
      <c r="G7" s="13"/>
      <c r="H7" s="13"/>
      <c r="I7" s="1"/>
      <c r="K7" s="14" t="s">
        <v>10</v>
      </c>
      <c r="L7" s="53">
        <f t="array" ref="L7:M7">tauY*pY/(1+tauY)*Y</f>
        <v>137715.65500000006</v>
      </c>
      <c r="M7" s="58">
        <v>20719.463999999996</v>
      </c>
      <c r="N7" s="13"/>
      <c r="O7" s="13"/>
      <c r="P7" s="13"/>
      <c r="Q7" s="13"/>
      <c r="R7" s="1"/>
    </row>
    <row r="8" spans="2:18" x14ac:dyDescent="0.2">
      <c r="B8" s="14" t="s">
        <v>2</v>
      </c>
      <c r="C8" s="53">
        <v>6425198.1590000018</v>
      </c>
      <c r="D8" s="58">
        <v>273229.1540000001</v>
      </c>
      <c r="E8" s="13"/>
      <c r="F8" s="13"/>
      <c r="G8" s="13"/>
      <c r="H8" s="13"/>
      <c r="I8" s="1"/>
      <c r="K8" s="14" t="s">
        <v>2</v>
      </c>
      <c r="L8" s="53">
        <f t="array" ref="L8:M8">pK*kappa*Y</f>
        <v>6425198.1590000065</v>
      </c>
      <c r="M8" s="58">
        <v>273229.15400000027</v>
      </c>
      <c r="N8" s="13"/>
      <c r="O8" s="13"/>
      <c r="P8" s="13"/>
      <c r="Q8" s="13"/>
      <c r="R8" s="1"/>
    </row>
    <row r="9" spans="2:18" x14ac:dyDescent="0.2">
      <c r="B9" s="2" t="s">
        <v>3</v>
      </c>
      <c r="C9" s="127">
        <v>1886393.7399999965</v>
      </c>
      <c r="D9" s="128">
        <v>262787.11299999768</v>
      </c>
      <c r="E9" s="13"/>
      <c r="F9" s="13"/>
      <c r="G9" s="13"/>
      <c r="H9" s="13"/>
      <c r="I9" s="1"/>
      <c r="K9" s="2" t="s">
        <v>3</v>
      </c>
      <c r="L9" s="127">
        <f t="array" ref="L9:M9">pW*M</f>
        <v>1886393.7399999918</v>
      </c>
      <c r="M9" s="128">
        <v>262787.11299999757</v>
      </c>
      <c r="N9" s="13"/>
      <c r="O9" s="13"/>
      <c r="P9" s="13"/>
      <c r="Q9" s="13"/>
      <c r="R9" s="1"/>
    </row>
    <row r="10" spans="2:18" x14ac:dyDescent="0.2">
      <c r="B10" s="2" t="s">
        <v>4</v>
      </c>
      <c r="C10" s="59">
        <v>422429.01700000005</v>
      </c>
      <c r="D10" s="60">
        <v>8129.6240000000016</v>
      </c>
      <c r="E10" s="13"/>
      <c r="F10" s="13"/>
      <c r="G10" s="13"/>
      <c r="H10" s="13"/>
      <c r="I10" s="1"/>
      <c r="K10" s="2" t="s">
        <v>4</v>
      </c>
      <c r="L10" s="59">
        <f t="array" ref="L10:M10">tauTS*pS*S</f>
        <v>422429.01700000011</v>
      </c>
      <c r="M10" s="60">
        <v>8129.6240000000025</v>
      </c>
      <c r="N10" s="13"/>
      <c r="O10" s="13"/>
      <c r="P10" s="13"/>
      <c r="Q10" s="13"/>
      <c r="R10" s="1"/>
    </row>
    <row r="11" spans="2:18" x14ac:dyDescent="0.2">
      <c r="B11" s="15" t="s">
        <v>5</v>
      </c>
      <c r="C11" s="61">
        <v>0</v>
      </c>
      <c r="D11" s="49">
        <v>0</v>
      </c>
      <c r="E11" s="13"/>
      <c r="F11" s="50" t="s">
        <v>24</v>
      </c>
      <c r="G11" s="16" t="s">
        <v>25</v>
      </c>
      <c r="H11" s="13"/>
      <c r="I11" s="1"/>
      <c r="K11" s="15"/>
      <c r="L11" s="61"/>
      <c r="M11" s="49"/>
      <c r="N11" s="13"/>
      <c r="O11" s="104" t="s">
        <v>24</v>
      </c>
      <c r="P11" s="16" t="s">
        <v>25</v>
      </c>
      <c r="Q11" s="13"/>
      <c r="R11" s="1"/>
    </row>
    <row r="12" spans="2:18" ht="10.5" x14ac:dyDescent="0.25">
      <c r="B12" s="1"/>
      <c r="C12" s="17">
        <f>SUM(C3:C11)</f>
        <v>30165832.890999991</v>
      </c>
      <c r="D12" s="18">
        <f>SUM(D3:D11)</f>
        <v>1507684.184999998</v>
      </c>
      <c r="E12" s="19"/>
      <c r="F12" s="20">
        <f>SUM(C3:C8)</f>
        <v>27857010.133999996</v>
      </c>
      <c r="G12" s="21">
        <f>SUM(D3:D8)</f>
        <v>1236767.4480000003</v>
      </c>
      <c r="H12" s="1" t="s">
        <v>11</v>
      </c>
      <c r="I12" s="1"/>
      <c r="K12" s="1"/>
      <c r="L12" s="17">
        <f>SUM(L3:L11)</f>
        <v>30165832.89100001</v>
      </c>
      <c r="M12" s="18">
        <f>SUM(M3:M11)</f>
        <v>1507684.1849999977</v>
      </c>
      <c r="N12" s="19"/>
      <c r="O12" s="20">
        <f t="array" ref="O12:P12">pY*Y</f>
        <v>27857010.133999996</v>
      </c>
      <c r="P12" s="21">
        <v>1236767.4480000003</v>
      </c>
      <c r="Q12" s="1" t="s">
        <v>11</v>
      </c>
      <c r="R12" s="1"/>
    </row>
    <row r="13" spans="2:18" x14ac:dyDescent="0.2">
      <c r="B13" s="1"/>
      <c r="C13" s="1"/>
      <c r="D13" s="1"/>
      <c r="E13" s="13"/>
      <c r="F13" s="13"/>
      <c r="G13" s="13"/>
      <c r="H13" s="1"/>
      <c r="I13" s="1"/>
      <c r="K13" s="1"/>
      <c r="L13" s="1"/>
      <c r="M13" s="1"/>
      <c r="N13" s="13"/>
      <c r="O13" s="1"/>
      <c r="P13" s="1"/>
      <c r="Q13" s="1"/>
      <c r="R13" s="1"/>
    </row>
    <row r="14" spans="2:18" ht="10.5" x14ac:dyDescent="0.25">
      <c r="B14" s="22" t="s">
        <v>30</v>
      </c>
      <c r="C14" s="23">
        <f>I3-C12</f>
        <v>0</v>
      </c>
      <c r="D14" s="24">
        <f>I4-D12</f>
        <v>0</v>
      </c>
      <c r="E14" s="13"/>
      <c r="F14" s="13"/>
      <c r="G14" s="13"/>
      <c r="H14" s="13"/>
      <c r="I14" s="1"/>
      <c r="K14" s="22" t="s">
        <v>30</v>
      </c>
      <c r="L14" s="23">
        <f t="array" ref="L14">R3-L12</f>
        <v>0</v>
      </c>
      <c r="M14" s="24">
        <f t="array" ref="M14">R4-M12</f>
        <v>0</v>
      </c>
      <c r="N14" s="13"/>
      <c r="O14" s="13"/>
      <c r="P14" s="13"/>
      <c r="Q14" s="13"/>
      <c r="R14" s="1"/>
    </row>
    <row r="15" spans="2:18" x14ac:dyDescent="0.2">
      <c r="B15" s="1"/>
      <c r="C15" s="1"/>
      <c r="D15" s="1"/>
      <c r="E15" s="13"/>
      <c r="F15" s="25"/>
      <c r="G15" s="26"/>
      <c r="H15" s="13"/>
      <c r="I15" s="1"/>
    </row>
    <row r="16" spans="2:18" x14ac:dyDescent="0.2">
      <c r="G16" s="26"/>
      <c r="H16" s="27"/>
      <c r="I16" s="1"/>
    </row>
    <row r="17" spans="2:21" x14ac:dyDescent="0.2">
      <c r="K17" s="62" t="s">
        <v>65</v>
      </c>
      <c r="L17" s="131">
        <f>MAX(ERROR1,ERROR2,ERROR3,ERROR4,ERROR5,ERROR6,ERROR7,ERROR8,ERROR9,ERROR10,ERROR11,ABS(MIN(ERROR1,ERROR2,ERROR3,ERROR4,ERROR5,ERROR6,ERROR7,ERROR8,ERROR9,ERROR10,ERROR11)))</f>
        <v>4.0000000000000044</v>
      </c>
    </row>
    <row r="19" spans="2:21" ht="10.5" x14ac:dyDescent="0.25">
      <c r="B19" s="96" t="s">
        <v>79</v>
      </c>
      <c r="C19" s="112" t="s">
        <v>87</v>
      </c>
      <c r="H19" s="96" t="s">
        <v>60</v>
      </c>
      <c r="K19" s="96" t="s">
        <v>59</v>
      </c>
      <c r="Q19" s="96" t="s">
        <v>42</v>
      </c>
    </row>
    <row r="21" spans="2:21" ht="10.5" x14ac:dyDescent="0.25">
      <c r="B21" t="s">
        <v>12</v>
      </c>
      <c r="C21" s="84">
        <f t="array" ref="C21:D21">ABS(C80:D80)</f>
        <v>1000</v>
      </c>
      <c r="D21" s="85">
        <v>1000</v>
      </c>
      <c r="H21" s="63">
        <f t="array" ref="H21:I21">(aY^sigmaY*pKLE^(1-sigmaY)+bY^sigmaY*pMY^(1-sigmaY))^(1/(1-sigmaY))*(1+tauY)</f>
        <v>1000.0000000000014</v>
      </c>
      <c r="I21" s="64">
        <v>999.99999999999898</v>
      </c>
      <c r="J21" s="113" t="s">
        <v>69</v>
      </c>
      <c r="K21" s="120">
        <f t="array" ref="K21:L21">H21:I21/pY-1</f>
        <v>0</v>
      </c>
      <c r="L21" s="120">
        <v>-9.9920072216264089E-16</v>
      </c>
      <c r="N21" s="71">
        <f t="array" ref="N21:O35">PRICES/Calibration!PRICES-1</f>
        <v>0</v>
      </c>
      <c r="O21" s="72">
        <v>0</v>
      </c>
      <c r="Q21" s="120">
        <f t="array" ref="Q21:R21">(pKLE*KLE+pMY*alphaMY*Y)*(1+tauY)/Y-pY</f>
        <v>1.1368683772161603E-12</v>
      </c>
      <c r="R21" s="120">
        <v>0</v>
      </c>
      <c r="T21" s="120">
        <f t="array" ref="T21:U21">(aX^sigmaX*pD^(1-sigmaX)+bX^sigmaX*pW^(1-sigmaX))^(1/(1-sigmaX))-pY</f>
        <v>0</v>
      </c>
      <c r="U21" s="120">
        <v>-2.0463630789890885E-12</v>
      </c>
    </row>
    <row r="22" spans="2:21" x14ac:dyDescent="0.2">
      <c r="B22" t="s">
        <v>116</v>
      </c>
      <c r="C22" s="101">
        <f t="array" ref="C22:D22">Calibration!pW</f>
        <v>1000</v>
      </c>
      <c r="D22" s="102">
        <v>1000</v>
      </c>
      <c r="N22" s="73">
        <v>0</v>
      </c>
      <c r="O22" s="74">
        <v>0</v>
      </c>
    </row>
    <row r="23" spans="2:21" ht="10.5" x14ac:dyDescent="0.25">
      <c r="B23" t="s">
        <v>128</v>
      </c>
      <c r="C23" s="97">
        <f t="array" ref="C23:D23">ABS(C81:D81)</f>
        <v>1000</v>
      </c>
      <c r="D23" s="98">
        <v>1000</v>
      </c>
      <c r="H23" s="63">
        <f t="array" ref="H23:I23">(aS^sigmaS*pD^(1-sigmaS)+bS^sigmaS*pW^(1-sigmaS))^(1/(1-sigmaS))</f>
        <v>999.99999999999864</v>
      </c>
      <c r="I23" s="64">
        <v>999.99999999999977</v>
      </c>
      <c r="J23" s="113" t="s">
        <v>121</v>
      </c>
      <c r="K23" s="120">
        <f t="array" ref="K23:L23">(pY*Y+pW*M)/(pS*S+pW*X)-1</f>
        <v>0</v>
      </c>
      <c r="L23" s="120">
        <v>0</v>
      </c>
      <c r="N23" s="73">
        <v>0</v>
      </c>
      <c r="O23" s="74">
        <v>0</v>
      </c>
      <c r="Q23" s="120">
        <f t="array" ref="Q23:R23">pS*S-pD*D-pW*M</f>
        <v>4.7497451305389404E-8</v>
      </c>
      <c r="R23" s="120">
        <v>-1.862645149230957E-9</v>
      </c>
    </row>
    <row r="24" spans="2:21" x14ac:dyDescent="0.2">
      <c r="B24" t="s">
        <v>77</v>
      </c>
      <c r="C24" s="116">
        <f t="array" ref="C24:D24">aX^(sigmaX/(sigmaX-1))*(pY^(1-sigmaX)-bX^sigmaX*pW^(1-sigmaX))^(1/(1-sigmaX))</f>
        <v>999.99999999999943</v>
      </c>
      <c r="D24" s="174">
        <v>999.99999999999909</v>
      </c>
      <c r="N24" s="73">
        <v>0</v>
      </c>
      <c r="O24" s="74">
        <v>-8.8817841970012523E-16</v>
      </c>
    </row>
    <row r="25" spans="2:21" x14ac:dyDescent="0.2">
      <c r="B25" t="s">
        <v>13</v>
      </c>
      <c r="C25" s="33">
        <f t="array" ref="C25:D26">TRANSPOSE(pS*(1+tauTS))</f>
        <v>1015.9116825427475</v>
      </c>
      <c r="D25" s="34">
        <v>1015.9116825427475</v>
      </c>
      <c r="E25" t="s">
        <v>63</v>
      </c>
      <c r="N25" s="73">
        <v>0</v>
      </c>
      <c r="O25" s="74">
        <v>0</v>
      </c>
    </row>
    <row r="26" spans="2:21" x14ac:dyDescent="0.2">
      <c r="C26" s="35">
        <v>1005.7716594496609</v>
      </c>
      <c r="D26" s="36">
        <v>1005.7716594496609</v>
      </c>
      <c r="E26" t="s">
        <v>41</v>
      </c>
      <c r="N26" s="73">
        <v>0</v>
      </c>
      <c r="O26" s="74">
        <v>0</v>
      </c>
    </row>
    <row r="27" spans="2:21" ht="10.5" x14ac:dyDescent="0.25">
      <c r="B27" t="s">
        <v>14</v>
      </c>
      <c r="C27" s="41">
        <f t="array" ref="C27:D27">pS*(1+tauTS)</f>
        <v>1015.9116825427475</v>
      </c>
      <c r="D27" s="42">
        <v>1005.7716594496609</v>
      </c>
      <c r="J27" s="96"/>
      <c r="N27" s="73">
        <v>0</v>
      </c>
      <c r="O27" s="74">
        <v>0</v>
      </c>
    </row>
    <row r="28" spans="2:21" ht="10.5" x14ac:dyDescent="0.25">
      <c r="B28" t="s">
        <v>15</v>
      </c>
      <c r="C28" s="41">
        <f t="array" ref="C28:D28">pS*(1+tauTS)</f>
        <v>1015.9116825427475</v>
      </c>
      <c r="D28" s="42">
        <v>1005.7716594496609</v>
      </c>
      <c r="J28" s="96"/>
      <c r="N28" s="73">
        <v>0</v>
      </c>
      <c r="O28" s="74">
        <v>0</v>
      </c>
    </row>
    <row r="29" spans="2:21" ht="10.5" x14ac:dyDescent="0.25">
      <c r="B29" t="s">
        <v>29</v>
      </c>
      <c r="C29" s="41">
        <f t="array" ref="C29:D29">pS*(1+tauTS)</f>
        <v>1015.9116825427475</v>
      </c>
      <c r="D29" s="42">
        <v>1005.7716594496609</v>
      </c>
      <c r="J29" s="96"/>
      <c r="N29" s="73">
        <v>0</v>
      </c>
      <c r="O29" s="74">
        <v>0</v>
      </c>
    </row>
    <row r="30" spans="2:21" ht="10.5" x14ac:dyDescent="0.25">
      <c r="B30" t="s">
        <v>16</v>
      </c>
      <c r="C30" s="41">
        <f t="array" ref="C30:D30">pW</f>
        <v>1000</v>
      </c>
      <c r="D30" s="42">
        <v>1000</v>
      </c>
      <c r="J30" s="96"/>
      <c r="N30" s="73">
        <v>0</v>
      </c>
      <c r="O30" s="74">
        <v>0</v>
      </c>
    </row>
    <row r="31" spans="2:21" x14ac:dyDescent="0.2">
      <c r="B31" t="s">
        <v>17</v>
      </c>
      <c r="C31" s="97">
        <f>ABS(C82)</f>
        <v>1000</v>
      </c>
      <c r="D31" s="174">
        <f>wQ</f>
        <v>1000</v>
      </c>
      <c r="N31" s="73">
        <v>0</v>
      </c>
      <c r="O31" s="74">
        <v>0</v>
      </c>
    </row>
    <row r="32" spans="2:21" x14ac:dyDescent="0.2">
      <c r="B32" t="s">
        <v>36</v>
      </c>
      <c r="C32" s="41">
        <f t="array" ref="C32:D32">w*(1+tauL)</f>
        <v>1457.0034251455234</v>
      </c>
      <c r="D32" s="42">
        <v>1457.0034251455236</v>
      </c>
      <c r="N32" s="73">
        <v>0</v>
      </c>
      <c r="O32" s="74">
        <v>0</v>
      </c>
      <c r="Q32" s="120">
        <f t="array" ref="Q32:R32">bKL*(Labour/KL)^(rhoKL-1)*pKL/pL-1</f>
        <v>4.4408920985006262E-15</v>
      </c>
      <c r="R32" s="120">
        <v>0</v>
      </c>
      <c r="S32" t="s">
        <v>135</v>
      </c>
    </row>
    <row r="33" spans="2:19" x14ac:dyDescent="0.2">
      <c r="B33" t="s">
        <v>18</v>
      </c>
      <c r="C33" s="154">
        <f>ABS(C83)</f>
        <v>1000</v>
      </c>
      <c r="D33" s="175">
        <f>C33</f>
        <v>1000</v>
      </c>
      <c r="E33" t="s">
        <v>56</v>
      </c>
      <c r="N33" s="73">
        <v>0</v>
      </c>
      <c r="O33" s="74">
        <v>0</v>
      </c>
      <c r="Q33" s="120">
        <f t="array" ref="Q33:R33">aKL*(K/KL)^(rhoKL-1)*pKL/pK-1</f>
        <v>0</v>
      </c>
      <c r="R33" s="120">
        <v>-4.8849813083506888E-15</v>
      </c>
      <c r="S33" t="s">
        <v>135</v>
      </c>
    </row>
    <row r="34" spans="2:19" ht="10.5" x14ac:dyDescent="0.25">
      <c r="B34" t="s">
        <v>61</v>
      </c>
      <c r="C34" s="97">
        <f t="array" ref="C34:D34">ABS(C84:D84)</f>
        <v>1000</v>
      </c>
      <c r="D34" s="98">
        <v>1000</v>
      </c>
      <c r="J34" s="113" t="s">
        <v>134</v>
      </c>
      <c r="K34" s="120">
        <f t="array" ref="K34:L34">pKL*KL/(pK*K+pL*Labour)-1</f>
        <v>0</v>
      </c>
      <c r="L34" s="120">
        <v>0</v>
      </c>
      <c r="N34" s="73">
        <v>0</v>
      </c>
      <c r="O34" s="74">
        <v>0</v>
      </c>
      <c r="Q34" s="120">
        <f t="array" ref="Q34:R34">(aKL^sigmaKL*pK^(1-sigmaKL)+bKL^sigmaKL*pL^(1-sigmaKL))^((rhoKL-1)/rhoKL)-pKL</f>
        <v>0</v>
      </c>
      <c r="R34" s="120">
        <v>0</v>
      </c>
      <c r="S34" t="s">
        <v>135</v>
      </c>
    </row>
    <row r="35" spans="2:19" x14ac:dyDescent="0.2">
      <c r="B35" t="s">
        <v>62</v>
      </c>
      <c r="C35" s="35">
        <f t="array" ref="C35:D35">(aKLE^sigmaKLE*pKL^(1-sigmaKLE)+bKLE^sigmaKLE*pEY^(1-sigmaKLE))^(1/(1-sigmaKLE))</f>
        <v>999.99999999999977</v>
      </c>
      <c r="D35" s="36">
        <v>999.99999999999977</v>
      </c>
      <c r="N35" s="75">
        <v>0</v>
      </c>
      <c r="O35" s="76">
        <v>0</v>
      </c>
      <c r="Q35" s="120">
        <f t="array" ref="Q35:R35">(pKL*KL+pEY*alphaEY*Y)/KLE-pKLE</f>
        <v>0</v>
      </c>
      <c r="R35" s="120">
        <v>0</v>
      </c>
    </row>
    <row r="37" spans="2:19" ht="10.5" x14ac:dyDescent="0.25">
      <c r="B37" t="s">
        <v>19</v>
      </c>
      <c r="C37" s="84">
        <f t="array" ref="C37:D37">ABS(C89:D89)</f>
        <v>27857.010133999996</v>
      </c>
      <c r="D37" s="85">
        <v>1236.7674480000003</v>
      </c>
      <c r="H37" s="63">
        <f t="array" ref="H37:I37">(aX*D^rhoX+bX*X^rhoX)^(1/rhoX)</f>
        <v>27857.010133999949</v>
      </c>
      <c r="I37" s="64">
        <v>1236.7674480000046</v>
      </c>
      <c r="J37" s="113" t="s">
        <v>120</v>
      </c>
      <c r="K37" s="120">
        <f t="array" ref="K37:L37">H37:I37/Y-1</f>
        <v>-1.6653345369377348E-15</v>
      </c>
      <c r="L37" s="120">
        <v>3.5527136788005009E-15</v>
      </c>
      <c r="N37" s="71">
        <f t="array" ref="N37:O48">VOLUMES/Calibration!VOLUMES-1</f>
        <v>0</v>
      </c>
      <c r="O37" s="72">
        <v>0</v>
      </c>
      <c r="Q37" s="120">
        <f t="array" ref="Q37:R37">(aY*KLE^rhoY+bY*(alphaMY*Y)^rhoY)^(1/rhoY)-Y</f>
        <v>9.822542779147625E-11</v>
      </c>
      <c r="R37" s="120">
        <v>-2.2737367544323206E-12</v>
      </c>
    </row>
    <row r="38" spans="2:19" x14ac:dyDescent="0.2">
      <c r="B38" t="s">
        <v>3</v>
      </c>
      <c r="C38" s="41">
        <f t="array" ref="C38:D38">(bS/pW)^sigmaS*(aS^sigmaS*pD^(1-sigmaS)+bS^sigmaS*pW^(1-sigmaS))^(-1/rhoS)*S</f>
        <v>1886.3937399999918</v>
      </c>
      <c r="D38" s="42">
        <v>262.78711299999759</v>
      </c>
      <c r="N38" s="73">
        <v>-2.55351295663786E-15</v>
      </c>
      <c r="O38" s="74">
        <v>0</v>
      </c>
      <c r="Q38" s="120">
        <f t="array" ref="Q38:R38">pD*D+pW*M-pS*S</f>
        <v>-4.8428773880004883E-8</v>
      </c>
      <c r="R38" s="120">
        <v>1.862645149230957E-9</v>
      </c>
    </row>
    <row r="39" spans="2:19" ht="10.5" x14ac:dyDescent="0.25">
      <c r="B39" t="s">
        <v>127</v>
      </c>
      <c r="C39" s="82">
        <f t="array" ref="C39:D39">ABS(C85:D85)</f>
        <v>26548.356269999993</v>
      </c>
      <c r="D39" s="83">
        <v>1408.5418709999938</v>
      </c>
      <c r="E39" t="s">
        <v>122</v>
      </c>
      <c r="H39" s="63">
        <f t="array" ref="H39:I39">MMULT(Y,TRANSPOSE(alpha))+Consumption+G+I</f>
        <v>26548.356270000007</v>
      </c>
      <c r="I39" s="64">
        <v>1408.5418709999944</v>
      </c>
      <c r="J39" s="113" t="s">
        <v>72</v>
      </c>
      <c r="K39" s="120">
        <f t="array" ref="K39:L39">H39:I39/S-1</f>
        <v>0</v>
      </c>
      <c r="L39" s="120">
        <v>0</v>
      </c>
      <c r="N39" s="73">
        <v>0</v>
      </c>
      <c r="O39" s="74">
        <v>0</v>
      </c>
    </row>
    <row r="40" spans="2:19" x14ac:dyDescent="0.2">
      <c r="B40" t="s">
        <v>76</v>
      </c>
      <c r="C40" s="41">
        <f t="array" ref="C40:D40">(aS/pD)^sigmaS*(aS^sigmaS*pD^(1-sigmaS)+bS^sigmaS*pW^(1-sigmaS))^(-1/rhoS)*S</f>
        <v>24661.962529999968</v>
      </c>
      <c r="D40" s="42">
        <v>1145.7547579999991</v>
      </c>
      <c r="F40" s="166"/>
      <c r="N40" s="75">
        <v>-9.9920072216264089E-16</v>
      </c>
      <c r="O40" s="76">
        <v>2.6645352591003757E-15</v>
      </c>
    </row>
    <row r="41" spans="2:19" ht="10.5" x14ac:dyDescent="0.25">
      <c r="B41" t="s">
        <v>28</v>
      </c>
      <c r="C41" s="41">
        <f>(aU/pCQ)^sigmaU/(aU^sigmaU*pCQ^(1-sigmaU)+bU^sigmaU*pCE^(1-sigmaU))*Revenue</f>
        <v>6533.6044688320644</v>
      </c>
      <c r="D41" s="42">
        <f>(bU/pCE)^sigmaU/(aU^sigmaU*pCQ^(1-sigmaU)+bU^sigmaU*pCE^(1-sigmaU))*Revenue</f>
        <v>379.90788307663382</v>
      </c>
      <c r="E41" t="s">
        <v>57</v>
      </c>
      <c r="H41" s="62" t="s">
        <v>67</v>
      </c>
      <c r="I41" s="94">
        <v>0.80000000000000016</v>
      </c>
      <c r="J41" s="113" t="s">
        <v>73</v>
      </c>
      <c r="K41" s="120">
        <f>Model!SE/(1-I41)/Calibration!SE-1</f>
        <v>4.0000000000000044</v>
      </c>
      <c r="N41" s="73">
        <v>0</v>
      </c>
      <c r="O41" s="74">
        <v>0</v>
      </c>
    </row>
    <row r="42" spans="2:19" x14ac:dyDescent="0.2">
      <c r="B42" t="s">
        <v>7</v>
      </c>
      <c r="C42" s="116">
        <f t="array" ref="C42">omegaG*GDP/pG</f>
        <v>3278.5018080150408</v>
      </c>
      <c r="D42" s="8">
        <v>0</v>
      </c>
      <c r="N42" s="73">
        <v>0</v>
      </c>
      <c r="O42" s="74" t="e">
        <v>#DIV/0!</v>
      </c>
    </row>
    <row r="43" spans="2:19" x14ac:dyDescent="0.2">
      <c r="B43" t="s">
        <v>8</v>
      </c>
      <c r="C43" s="97">
        <f>ABS(C86)</f>
        <v>3196.3846373657216</v>
      </c>
      <c r="D43" s="8">
        <v>0</v>
      </c>
      <c r="J43" s="62"/>
      <c r="N43" s="73">
        <v>0</v>
      </c>
      <c r="O43" s="74" t="e">
        <v>#DIV/0!</v>
      </c>
    </row>
    <row r="44" spans="2:19" x14ac:dyDescent="0.2">
      <c r="B44" t="s">
        <v>0</v>
      </c>
      <c r="C44" s="168">
        <f t="array" ref="C44:D44">(bX/pX)^sigmaX*(aX^sigmaX*pD^(1-sigmaX)+bX^sigmaX*pX^(1-sigmaX))^(-1/rhoX)*Y</f>
        <v>3195.0476040000012</v>
      </c>
      <c r="D44" s="169">
        <v>91.012690000004397</v>
      </c>
      <c r="N44" s="73">
        <v>0</v>
      </c>
      <c r="O44" s="74">
        <v>3.5527136788005009E-15</v>
      </c>
    </row>
    <row r="45" spans="2:19" x14ac:dyDescent="0.2">
      <c r="B45" t="s">
        <v>27</v>
      </c>
      <c r="C45" s="84">
        <f t="array" ref="C45:D45">ABS(C88:D88)</f>
        <v>5036.2953101960647</v>
      </c>
      <c r="D45" s="85">
        <v>74.905331803938267</v>
      </c>
      <c r="H45" s="29"/>
      <c r="N45" s="73">
        <v>0</v>
      </c>
      <c r="O45" s="74">
        <v>0</v>
      </c>
      <c r="Q45" s="120">
        <f t="array" ref="Q45:R45">(bKL/pL)^sigmaKL*(aKL^sigmaKL*pK^(1-sigmaKL)+bKL^sigmaKL*pL^(1-sigmaKL))^(-1/rhoKL)*KL/Labour-1</f>
        <v>0</v>
      </c>
      <c r="R45" s="120">
        <v>0</v>
      </c>
      <c r="S45" t="s">
        <v>135</v>
      </c>
    </row>
    <row r="46" spans="2:19" x14ac:dyDescent="0.2">
      <c r="B46" t="s">
        <v>2</v>
      </c>
      <c r="C46" s="35">
        <f t="array" ref="C46:D46">(KL^rhoKL/aKL-bKL*Labour^rhoKL/aKL)^(1/rhoKL)</f>
        <v>6425.1981590000069</v>
      </c>
      <c r="D46" s="36">
        <v>273.22915400000028</v>
      </c>
      <c r="N46" s="73">
        <v>0</v>
      </c>
      <c r="O46" s="74">
        <v>0</v>
      </c>
      <c r="Q46" s="120">
        <f t="array" ref="Q46:R46">(aKL/pK)^sigmaKL*(aKL^sigmaKL*pK^(1-sigmaKL)+bKL^sigmaKL*pL^(1-sigmaKL))^(-1/rhoKL)*KL/K-1</f>
        <v>0</v>
      </c>
      <c r="R46" s="120">
        <v>0</v>
      </c>
      <c r="S46" t="s">
        <v>135</v>
      </c>
    </row>
    <row r="47" spans="2:19" x14ac:dyDescent="0.2">
      <c r="B47" t="s">
        <v>35</v>
      </c>
      <c r="C47" s="41">
        <f t="array" ref="C47:D47">(aKLE/pKL)^sigmaKLE*(aKLE^sigmaKLE*pKL^(1-sigmaKLE)+bKLE^sigmaKLE*pEY^(1-sigmaKLE))^(-1/rhoKLE)*KLE</f>
        <v>13763.097676000023</v>
      </c>
      <c r="D47" s="42">
        <v>382.36647899999997</v>
      </c>
      <c r="N47" s="73">
        <v>0</v>
      </c>
      <c r="O47" s="74">
        <v>0</v>
      </c>
      <c r="Q47" s="120">
        <f t="array" ref="Q47:R47">(aKL*K^rhoKL+bKL*Labour^rhoKL)^(1/rhoKL)-KL</f>
        <v>0</v>
      </c>
      <c r="R47" s="120">
        <v>0</v>
      </c>
    </row>
    <row r="48" spans="2:19" x14ac:dyDescent="0.2">
      <c r="B48" t="s">
        <v>53</v>
      </c>
      <c r="C48" s="35">
        <f t="array" ref="C48:D48">(aY/pKLE)^sigmaY*(aY^sigmaY*pKLE^(1-sigmaY)+bY^sigmaY*pMY^(1-sigmaY))^(-1/rhoY)*Y</f>
        <v>14362.768558000025</v>
      </c>
      <c r="D48" s="36">
        <v>817.26650999999993</v>
      </c>
      <c r="N48" s="75">
        <v>0</v>
      </c>
      <c r="O48" s="76">
        <v>0</v>
      </c>
      <c r="Q48" s="120">
        <f t="array" ref="Q48:R48">(aKLE*KL^rhoKLE+bKLE*(alphaEY*Y)^rhoKLE)^(1/rhoKLE)-KLE</f>
        <v>0</v>
      </c>
      <c r="R48" s="120">
        <v>0</v>
      </c>
    </row>
    <row r="50" spans="2:38" x14ac:dyDescent="0.2">
      <c r="B50" t="s">
        <v>26</v>
      </c>
      <c r="C50" s="91">
        <f t="array" ref="C50:D50">Calibration!tauL</f>
        <v>0.45700342514552333</v>
      </c>
      <c r="D50" s="92">
        <v>0.4570034251455235</v>
      </c>
    </row>
    <row r="51" spans="2:38" x14ac:dyDescent="0.2">
      <c r="B51" t="s">
        <v>20</v>
      </c>
      <c r="C51" s="234">
        <f t="array" ref="C51:D51">Calibration!tauY</f>
        <v>4.9682236719384319E-3</v>
      </c>
      <c r="D51" s="235">
        <v>1.7038360552061892E-2</v>
      </c>
    </row>
    <row r="52" spans="2:38" x14ac:dyDescent="0.2">
      <c r="B52" t="s">
        <v>152</v>
      </c>
      <c r="C52" s="93">
        <f>Calibration!C52</f>
        <v>1.5911682542747503E-2</v>
      </c>
      <c r="D52" s="225">
        <f>D86</f>
        <v>5.7716594496607888E-3</v>
      </c>
      <c r="J52" s="29"/>
      <c r="AA52" s="81"/>
    </row>
    <row r="53" spans="2:38" x14ac:dyDescent="0.2">
      <c r="C53" s="29"/>
      <c r="D53" s="29"/>
      <c r="Y53" s="81"/>
      <c r="AA53" s="81"/>
      <c r="AC53" s="81"/>
    </row>
    <row r="54" spans="2:38" ht="10.5" x14ac:dyDescent="0.25">
      <c r="C54" s="29"/>
      <c r="D54" s="29"/>
      <c r="K54" s="194" t="s">
        <v>157</v>
      </c>
      <c r="U54" s="136" t="s">
        <v>89</v>
      </c>
      <c r="W54" s="136" t="s">
        <v>90</v>
      </c>
      <c r="Y54" s="136" t="s">
        <v>163</v>
      </c>
      <c r="AA54" s="194" t="s">
        <v>144</v>
      </c>
      <c r="AC54" s="194" t="s">
        <v>162</v>
      </c>
      <c r="AE54" s="194" t="s">
        <v>146</v>
      </c>
      <c r="AG54" s="194" t="s">
        <v>158</v>
      </c>
      <c r="AI54" s="194" t="s">
        <v>157</v>
      </c>
      <c r="AK54" s="194" t="s">
        <v>148</v>
      </c>
    </row>
    <row r="55" spans="2:38" ht="10.5" x14ac:dyDescent="0.25">
      <c r="B55" t="s">
        <v>48</v>
      </c>
      <c r="C55" s="119">
        <f t="array" ref="C55">SUM(w*tauL*Labour+tauY/(1+tauY)*pY*Y+tauTS*pS*S)</f>
        <v>2924829.9599999995</v>
      </c>
      <c r="J55" s="113" t="s">
        <v>71</v>
      </c>
      <c r="K55" s="120">
        <f t="array" ref="K55">pK/pI/Calibration!pK*Calibration!pI-1</f>
        <v>0</v>
      </c>
      <c r="N55" s="77">
        <f t="array" ref="N55:N59">AGGREGATES/Calibration!AGGREGATES-1</f>
        <v>0</v>
      </c>
      <c r="T55" s="113" t="s">
        <v>137</v>
      </c>
      <c r="U55" s="120">
        <f>SUM(K)/SUM(Calibration!K)-1</f>
        <v>0</v>
      </c>
      <c r="W55" s="120">
        <f>SUM(K)/SUM(Calibration!K)-1</f>
        <v>0</v>
      </c>
      <c r="Y55" s="120">
        <f>SUM(K)/SUM(Calibration!K)-1</f>
        <v>0</v>
      </c>
      <c r="AA55" s="120">
        <f>SUM(K)/SUM(Calibration!K)-1</f>
        <v>0</v>
      </c>
      <c r="AC55" s="120">
        <f>SUM(K)/SUM(Calibration!K)-1</f>
        <v>0</v>
      </c>
      <c r="AE55" s="120">
        <f>SUM(K)/SUM(Calibration!K)-1</f>
        <v>0</v>
      </c>
      <c r="AG55" s="120">
        <f t="array" ref="AG55">pK/pI/Calibration!pK*Calibration!pI*20%^sigmaw*(20%+80%*(SUM(Calibration!K)-SUM(K))/SUM(Calibration!K))^-sigmaw-1</f>
        <v>0</v>
      </c>
      <c r="AI55" s="120">
        <f t="array" ref="AI55">pK/pI/Calibration!pK*Calibration!pI-1</f>
        <v>0</v>
      </c>
      <c r="AK55" s="120">
        <f>SUM(K)/SUM(Calibration!K)-1</f>
        <v>0</v>
      </c>
    </row>
    <row r="56" spans="2:38" ht="10.5" x14ac:dyDescent="0.25">
      <c r="B56" t="s">
        <v>47</v>
      </c>
      <c r="C56" s="80">
        <f>(aU*CQ^rhoU+bU*CE^rhoU)^(1/rhoU)</f>
        <v>1</v>
      </c>
      <c r="J56" s="113" t="s">
        <v>74</v>
      </c>
      <c r="K56" s="120">
        <f t="array" ref="K56">w/CPI/Calibration!w*10.8%^sigmaw*(10.8%+89.2%*(SUM(Calibration!Labour)-SUM(Labour))/SUM(Calibration!Labour))^-sigmaw-1</f>
        <v>0</v>
      </c>
      <c r="N56" s="78">
        <v>0</v>
      </c>
      <c r="T56" s="113" t="s">
        <v>138</v>
      </c>
      <c r="U56" s="120">
        <f>SUM(Labour)/SUM(Calibration!Labour)-1</f>
        <v>0</v>
      </c>
      <c r="W56" s="120">
        <f>SUM(Labour)/SUM(Calibration!Labour)-1</f>
        <v>0</v>
      </c>
      <c r="Y56" s="120">
        <f>SUM(Labour)/SUM(Calibration!Labour)-1</f>
        <v>0</v>
      </c>
      <c r="AA56" s="120">
        <f t="array" ref="AA56">omegaI*GDP/SUM(pI*I)-1</f>
        <v>0</v>
      </c>
      <c r="AC56" s="120">
        <f t="array" ref="AC56">w/CPI/Calibration!w-1</f>
        <v>0</v>
      </c>
      <c r="AE56" s="120">
        <f t="array" ref="AE56">w/CPI/Calibration!w-1</f>
        <v>0</v>
      </c>
      <c r="AG56" s="120">
        <f t="array" ref="AG56">w/CPI/Calibration!w*10.8%^sigmaw*(10.8%+89.2%*(SUM(Calibration!Labour)-SUM(Labour))/SUM(Calibration!Labour))^-sigmaw-1</f>
        <v>0</v>
      </c>
      <c r="AI56" s="120">
        <f t="array" ref="AI56">w/CPI/Calibration!w*10.8%^sigmaw*(10.8%+89.2%*(SUM(Calibration!Labour)-SUM(Labour))/SUM(Calibration!Labour))^-sigmaw-1</f>
        <v>0</v>
      </c>
      <c r="AK56" s="120">
        <f t="array" ref="AK56">w/CPI/Calibration!w-1</f>
        <v>0</v>
      </c>
    </row>
    <row r="57" spans="2:38" ht="10.5" x14ac:dyDescent="0.25">
      <c r="B57" t="s">
        <v>64</v>
      </c>
      <c r="C57" s="86">
        <f>ABS(C87)</f>
        <v>14734457.915000005</v>
      </c>
      <c r="J57" s="113" t="s">
        <v>88</v>
      </c>
      <c r="K57" s="120">
        <f t="array" ref="K57">I/SUM(K)/Calibration!I*SUM(K)-1</f>
        <v>0</v>
      </c>
      <c r="N57" s="78">
        <v>0</v>
      </c>
      <c r="Q57" s="120">
        <f t="array" ref="Q57">(SUM(pC*Consumption+pG*G+pI*I)+B)/GDP-1</f>
        <v>0</v>
      </c>
      <c r="R57" s="120">
        <f t="array" ref="R57">SUM(w*Labour,pK*K,T)/GDP-1</f>
        <v>0</v>
      </c>
      <c r="T57" s="113" t="s">
        <v>139</v>
      </c>
      <c r="U57" s="120">
        <f>B/GDP/Calibration!B*Calibration!GDP-1</f>
        <v>6.4392935428259079E-15</v>
      </c>
      <c r="W57" s="120">
        <f>B/GDP/Calibration!B*Calibration!GDP-1</f>
        <v>6.4392935428259079E-15</v>
      </c>
      <c r="Y57" s="120">
        <f>B/GDP/Calibration!B*Calibration!GDP-1</f>
        <v>6.4392935428259079E-15</v>
      </c>
      <c r="AA57" s="120">
        <f>B/GDP/Calibration!B*Calibration!GDP-1</f>
        <v>6.4392935428259079E-15</v>
      </c>
      <c r="AC57" s="120">
        <f>B/GDP/Calibration!B*Calibration!GDP-1</f>
        <v>6.4392935428259079E-15</v>
      </c>
      <c r="AE57" s="120">
        <f>B/GDP/Calibration!B*Calibration!GDP-1</f>
        <v>6.4392935428259079E-15</v>
      </c>
      <c r="AG57" s="120">
        <f>B/GDP/Calibration!B*Calibration!GDP-1</f>
        <v>6.4392935428259079E-15</v>
      </c>
      <c r="AI57" s="120">
        <f t="array" ref="AI57">I/SUM(K)/Calibration!I*SUM(K)-1</f>
        <v>0</v>
      </c>
      <c r="AK57" s="120">
        <f>B/GDP/Calibration!B*Calibration!GDP-1</f>
        <v>6.4392935428259079E-15</v>
      </c>
    </row>
    <row r="58" spans="2:38" ht="10.5" x14ac:dyDescent="0.25">
      <c r="B58" t="s">
        <v>54</v>
      </c>
      <c r="C58" s="117">
        <f t="array" ref="C58">GDP-SUM(pG*G,pI*I,B)</f>
        <v>7019665.6909999885</v>
      </c>
      <c r="J58" s="113" t="s">
        <v>136</v>
      </c>
      <c r="K58" s="120">
        <f t="array" ref="K58:L58">bKL*(KL/Labour)^(1/sigmaKL)*pKL/pL-1</f>
        <v>4.4408920985006262E-15</v>
      </c>
      <c r="L58" s="120">
        <v>0</v>
      </c>
      <c r="N58" s="78">
        <v>-1.2212453270876722E-15</v>
      </c>
      <c r="Q58" s="120">
        <f t="array" ref="Q58">SUM(pC*Consumption)-Revenue</f>
        <v>0</v>
      </c>
      <c r="T58" s="113" t="s">
        <v>140</v>
      </c>
      <c r="U58" s="120">
        <f t="array" ref="U58:V58">bKL*(KL/Labour)^(1/sigmaKL)*pKL/pL-1</f>
        <v>4.4408920985006262E-15</v>
      </c>
      <c r="V58" s="120">
        <v>0</v>
      </c>
      <c r="W58" s="120">
        <f t="array" ref="W58:X58">bKL*(KL/Labour)^(1/sigmaKL)*pKL/pL-1</f>
        <v>4.4408920985006262E-15</v>
      </c>
      <c r="X58" s="120">
        <v>0</v>
      </c>
      <c r="Y58" s="120">
        <f t="array" ref="Y58">omegaI*GDP/SUM(pI*I)-1</f>
        <v>0</v>
      </c>
      <c r="Z58" s="120">
        <f>Labour_Q/KL_Q/Calibration!Labour_Q*Calibration!KL_Q-Labour_E/KL_E/Calibration!Labour_E*Calibration!KL_E</f>
        <v>-1.5543122344752192E-15</v>
      </c>
      <c r="AA58" s="120">
        <f t="array" ref="AA58:AB58">bKL*(KL/Labour)^(1/sigmaKL)*pKL/pL-1</f>
        <v>4.4408920985006262E-15</v>
      </c>
      <c r="AB58" s="120">
        <v>0</v>
      </c>
      <c r="AC58" s="120">
        <f t="array" ref="AC58">omegaI*GDP/SUM(pI*I)-1</f>
        <v>0</v>
      </c>
      <c r="AD58" s="120">
        <f>Labour_Q/KL_Q/Calibration!Labour_Q*Calibration!KL_Q-Labour_E/KL_E/Calibration!Labour_E*Calibration!KL_E</f>
        <v>-1.5543122344752192E-15</v>
      </c>
      <c r="AE58" s="120">
        <f t="array" ref="AE58">omegaI*GDP/SUM(pI*I)-1</f>
        <v>0</v>
      </c>
      <c r="AF58" s="120">
        <f>Labour_Q/KL_Q/Calibration!Labour_Q*Calibration!KL_Q-Labour_E/KL_E/Calibration!Labour_E*Calibration!KL_E</f>
        <v>-1.5543122344752192E-15</v>
      </c>
      <c r="AG58" s="120">
        <f t="array" ref="AG58:AH58">bKL*(KL/Labour)^(1/sigmaKL)*pKL/pL-1</f>
        <v>4.4408920985006262E-15</v>
      </c>
      <c r="AH58" s="120">
        <v>0</v>
      </c>
      <c r="AI58" s="120">
        <f t="array" ref="AI58:AJ58">bKL*(KL/Labour)^(1/sigmaKL)*pKL/pL-1</f>
        <v>4.4408920985006262E-15</v>
      </c>
      <c r="AJ58" s="120">
        <v>0</v>
      </c>
      <c r="AK58" s="120">
        <f t="array" ref="AK58">(pI*I)/(Calibration!pI*Calibration!I)-1</f>
        <v>0</v>
      </c>
      <c r="AL58" s="120">
        <f>Labour_Q/KL_Q/Calibration!Labour_Q*Calibration!KL_Q-Labour_E/KL_E/Calibration!Labour_E*Calibration!KL_E</f>
        <v>-1.5543122344752192E-15</v>
      </c>
    </row>
    <row r="59" spans="2:38" ht="10.5" x14ac:dyDescent="0.25">
      <c r="B59" t="s">
        <v>75</v>
      </c>
      <c r="C59" s="117">
        <f t="array" ref="C59">SUM(pX*X - pW*M)</f>
        <v>1136879.4410000162</v>
      </c>
      <c r="J59" s="113" t="s">
        <v>70</v>
      </c>
      <c r="K59" s="120">
        <f t="array" ref="K59">(sL*(SUM(w*Labour))+sG*(T-SUM(pG*G))+sK*SUM(pK*K)-B)/SUM(pI*I)-1</f>
        <v>-1.9984014443252818E-15</v>
      </c>
      <c r="N59" s="79">
        <v>6.4392935428259079E-15</v>
      </c>
      <c r="T59" s="113" t="s">
        <v>141</v>
      </c>
      <c r="U59" s="120">
        <f t="array" ref="U59">(sL*(SUM(w*Labour))+sG*(T-SUM(pG*G))+sK*SUM(pK*K)-B)/SUM(pI*I)-1</f>
        <v>-1.9984014443252818E-15</v>
      </c>
      <c r="W59" s="120">
        <f t="array" ref="W59">omegaI*GDP/SUM(pI*I)-1</f>
        <v>0</v>
      </c>
      <c r="Y59" s="120">
        <f t="array" ref="Y59">(sL*(SUM(w*Labour))+sG*(T-SUM(pG*G))+sK*SUM(pK*K)-B)/SUM(pI*I)-1</f>
        <v>-1.9984014443252818E-15</v>
      </c>
      <c r="AA59" s="120">
        <f t="array" ref="AA59">(sL*(SUM(w*Labour))+sG*(T-SUM(pG*G))+sK*SUM(pK*K)-B)/SUM(pI*I)-1</f>
        <v>-1.9984014443252818E-15</v>
      </c>
      <c r="AC59" s="120">
        <f t="array" ref="AC59">(sL*(SUM(w*Labour))+sG*(T-SUM(pG*G))+sK*SUM(pK*K)-B)/SUM(pI*I)-1</f>
        <v>-1.9984014443252818E-15</v>
      </c>
      <c r="AE59" s="120">
        <f t="array" ref="AE59">(sL*(SUM(w*Labour))+sG*(T-SUM(pG*G))+sK*SUM(pK*K)-B)/SUM(pI*I)-1</f>
        <v>-1.9984014443252818E-15</v>
      </c>
      <c r="AG59" s="120">
        <f t="array" ref="AG59">(sL*(SUM(w*Labour))+sG*(T-SUM(pG*G))+sK*SUM(pK*K)-B)/SUM(pI*I)-1</f>
        <v>-1.9984014443252818E-15</v>
      </c>
      <c r="AI59" s="120">
        <f t="array" ref="AI59">(sL*(SUM(w*Labour))+sG*(T-SUM(pG*G))+sK*SUM(pK*K)-B)/SUM(pI*I)-1</f>
        <v>-1.9984014443252818E-15</v>
      </c>
      <c r="AK59" s="120">
        <f t="array" ref="AK59">(sL*(SUM(w*Labour))+sG*(T-SUM(pG*G))+sK*SUM(pK*K)-B)/SUM(pI*I)-1</f>
        <v>-1.9984014443252818E-15</v>
      </c>
    </row>
    <row r="60" spans="2:38" ht="10.5" x14ac:dyDescent="0.25">
      <c r="B60" t="s">
        <v>161</v>
      </c>
      <c r="C60" s="232">
        <f t="array" ref="C60">SQRT(SUM(pC*Calibration!Consumption)*SUM(pC*Consumption)/SUM(Calibration!pC*Calibration!Consumption)/SUM(Calibration!pC*Consumption))</f>
        <v>1</v>
      </c>
      <c r="J60" s="113" t="s">
        <v>91</v>
      </c>
      <c r="K60" s="176">
        <v>0.40093276768106162</v>
      </c>
      <c r="N60" s="134"/>
      <c r="T60" s="113" t="s">
        <v>91</v>
      </c>
      <c r="U60" s="176">
        <v>0.40093276768106162</v>
      </c>
      <c r="W60" s="176">
        <v>0.40093276768106162</v>
      </c>
      <c r="Y60" s="176">
        <v>0</v>
      </c>
      <c r="AA60" s="176">
        <v>0.40093276768106162</v>
      </c>
      <c r="AC60" s="176">
        <v>0.40093276768106162</v>
      </c>
      <c r="AE60" s="176">
        <v>0</v>
      </c>
      <c r="AG60" s="176">
        <v>0.40093276768106162</v>
      </c>
      <c r="AI60" s="176">
        <v>0.40093276768106162</v>
      </c>
      <c r="AK60" s="176">
        <v>0.40093276768106162</v>
      </c>
    </row>
    <row r="61" spans="2:38" ht="10.5" x14ac:dyDescent="0.25">
      <c r="C61" s="29"/>
      <c r="O61" s="96"/>
      <c r="P61" s="96"/>
      <c r="Q61" s="96"/>
      <c r="R61" s="96"/>
    </row>
    <row r="62" spans="2:38" x14ac:dyDescent="0.2">
      <c r="B62" t="s">
        <v>111</v>
      </c>
      <c r="C62" s="192">
        <f>Calibration!omegaG</f>
        <v>0.22604620456442484</v>
      </c>
      <c r="D62" t="s">
        <v>81</v>
      </c>
    </row>
    <row r="63" spans="2:38" x14ac:dyDescent="0.2">
      <c r="B63" t="s">
        <v>112</v>
      </c>
      <c r="C63" s="192">
        <f>Calibration!omegaI</f>
        <v>0.22038438833194082</v>
      </c>
      <c r="D63" t="s">
        <v>82</v>
      </c>
    </row>
    <row r="64" spans="2:38" x14ac:dyDescent="0.2">
      <c r="B64" t="s">
        <v>98</v>
      </c>
      <c r="C64" s="163">
        <f t="array" ref="C64">(SUM(pI*I)+B)/GDP</f>
        <v>0.29754226190682465</v>
      </c>
      <c r="D64" t="s">
        <v>113</v>
      </c>
    </row>
    <row r="65" spans="2:15" x14ac:dyDescent="0.2">
      <c r="B65" t="s">
        <v>84</v>
      </c>
      <c r="C65" s="192">
        <f>Calibration!sK</f>
        <v>0.40915789876687553</v>
      </c>
      <c r="D65" t="s">
        <v>114</v>
      </c>
    </row>
    <row r="66" spans="2:15" x14ac:dyDescent="0.2">
      <c r="B66" t="s">
        <v>85</v>
      </c>
      <c r="C66" s="192">
        <f>Calibration!sL</f>
        <v>0.40093276768106162</v>
      </c>
      <c r="D66" t="s">
        <v>115</v>
      </c>
    </row>
    <row r="67" spans="2:15" x14ac:dyDescent="0.2">
      <c r="B67" t="s">
        <v>123</v>
      </c>
      <c r="C67" s="192">
        <f>Calibration!sG</f>
        <v>1</v>
      </c>
      <c r="D67" t="s">
        <v>153</v>
      </c>
    </row>
    <row r="69" spans="2:15" x14ac:dyDescent="0.2">
      <c r="C69" s="137"/>
    </row>
    <row r="70" spans="2:15" x14ac:dyDescent="0.2">
      <c r="B70" t="s">
        <v>21</v>
      </c>
      <c r="C70" s="37">
        <f t="array" ref="C70:D70">(bY/pMY)^sigmaY*(aY^sigmaY*pKLE^(1-sigmaY)+bY^sigmaY*pMY^(1-sigmaY))^(-1/rhoY)</f>
        <v>0.47195767671988198</v>
      </c>
      <c r="D70" s="38">
        <v>0.31738834428178964</v>
      </c>
      <c r="E70" t="s">
        <v>24</v>
      </c>
      <c r="N70" s="71">
        <f t="array" ref="N70:O73">FACTORS/Calibration!FACTORS-1</f>
        <v>0</v>
      </c>
      <c r="O70" s="72">
        <v>0</v>
      </c>
    </row>
    <row r="71" spans="2:15" x14ac:dyDescent="0.2">
      <c r="C71" s="39">
        <f t="array" ref="C71:D71">(bKLE/pEY)^sigmaKLE*(aKLE^sigmaKLE*pKL^(1-sigmaKLE)+bKLE^sigmaKLE*pEY^(1-sigmaKLE))^(-1/rhoKLE)*KLE/Y</f>
        <v>2.1403217525954466E-2</v>
      </c>
      <c r="D71" s="40">
        <v>0.34962461301992515</v>
      </c>
      <c r="E71" t="s">
        <v>25</v>
      </c>
      <c r="N71" s="73">
        <v>0</v>
      </c>
      <c r="O71" s="74">
        <v>0</v>
      </c>
    </row>
    <row r="72" spans="2:15" x14ac:dyDescent="0.2">
      <c r="B72" t="s">
        <v>22</v>
      </c>
      <c r="C72" s="37">
        <f t="array" ref="C72:D72">Labour/Y</f>
        <v>0.18079094942242827</v>
      </c>
      <c r="D72" s="38">
        <v>6.0565413429233668E-2</v>
      </c>
      <c r="N72" s="73">
        <v>0</v>
      </c>
      <c r="O72" s="74">
        <v>0</v>
      </c>
    </row>
    <row r="73" spans="2:15" x14ac:dyDescent="0.2">
      <c r="B73" t="s">
        <v>23</v>
      </c>
      <c r="C73" s="39">
        <f t="array" ref="C73:D73">K/Y</f>
        <v>0.23064923795098646</v>
      </c>
      <c r="D73" s="40">
        <v>0.22092201281804777</v>
      </c>
      <c r="N73" s="75">
        <v>0</v>
      </c>
      <c r="O73" s="76">
        <v>0</v>
      </c>
    </row>
    <row r="79" spans="2:15" ht="10.5" x14ac:dyDescent="0.25">
      <c r="B79" s="96" t="s">
        <v>106</v>
      </c>
    </row>
    <row r="80" spans="2:15" x14ac:dyDescent="0.2">
      <c r="B80" t="s">
        <v>12</v>
      </c>
      <c r="C80" s="84">
        <v>1000</v>
      </c>
      <c r="D80" s="85">
        <v>1000</v>
      </c>
    </row>
    <row r="81" spans="2:5" x14ac:dyDescent="0.2">
      <c r="B81" t="s">
        <v>128</v>
      </c>
      <c r="C81" s="97">
        <v>1000</v>
      </c>
      <c r="D81" s="98">
        <v>1000</v>
      </c>
    </row>
    <row r="82" spans="2:5" x14ac:dyDescent="0.2">
      <c r="B82" t="s">
        <v>17</v>
      </c>
      <c r="C82" s="97">
        <v>1000</v>
      </c>
      <c r="D82" s="98">
        <v>1000</v>
      </c>
    </row>
    <row r="83" spans="2:5" x14ac:dyDescent="0.2">
      <c r="B83" t="s">
        <v>18</v>
      </c>
      <c r="C83" s="156">
        <v>1000</v>
      </c>
      <c r="D83" s="157">
        <v>1000</v>
      </c>
    </row>
    <row r="84" spans="2:5" x14ac:dyDescent="0.2">
      <c r="B84" t="s">
        <v>61</v>
      </c>
      <c r="C84" s="156">
        <v>1000</v>
      </c>
      <c r="D84" s="157">
        <v>1000</v>
      </c>
    </row>
    <row r="85" spans="2:5" x14ac:dyDescent="0.2">
      <c r="B85" t="s">
        <v>127</v>
      </c>
      <c r="C85" s="82">
        <v>26548.356269999993</v>
      </c>
      <c r="D85" s="83">
        <v>1408.5418709999938</v>
      </c>
    </row>
    <row r="86" spans="2:5" x14ac:dyDescent="0.2">
      <c r="B86" t="s">
        <v>8</v>
      </c>
      <c r="C86" s="97">
        <v>3196.3846373657216</v>
      </c>
      <c r="D86" s="224">
        <v>5.7716594496607888E-3</v>
      </c>
      <c r="E86" t="s">
        <v>164</v>
      </c>
    </row>
    <row r="87" spans="2:5" x14ac:dyDescent="0.2">
      <c r="B87" t="s">
        <v>64</v>
      </c>
      <c r="C87" s="159">
        <v>14734457.915000005</v>
      </c>
      <c r="D87" s="160">
        <v>0</v>
      </c>
    </row>
    <row r="88" spans="2:5" x14ac:dyDescent="0.2">
      <c r="B88" t="s">
        <v>27</v>
      </c>
      <c r="C88" s="159">
        <v>5036.2953101960647</v>
      </c>
      <c r="D88" s="167">
        <v>74.905331803938267</v>
      </c>
    </row>
    <row r="89" spans="2:5" x14ac:dyDescent="0.2">
      <c r="B89" t="s">
        <v>19</v>
      </c>
      <c r="C89" s="158">
        <v>27857.010133999996</v>
      </c>
      <c r="D89" s="161">
        <v>1236.7674480000003</v>
      </c>
    </row>
  </sheetData>
  <conditionalFormatting sqref="K21:L21">
    <cfRule type="cellIs" dxfId="87" priority="1796" stopIfTrue="1" operator="notEqual">
      <formula>0</formula>
    </cfRule>
  </conditionalFormatting>
  <conditionalFormatting sqref="Q48:R48">
    <cfRule type="cellIs" dxfId="86" priority="1785" stopIfTrue="1" operator="notEqual">
      <formula>0</formula>
    </cfRule>
  </conditionalFormatting>
  <conditionalFormatting sqref="K39:L39">
    <cfRule type="cellIs" dxfId="85" priority="1793" stopIfTrue="1" operator="notEqual">
      <formula>0</formula>
    </cfRule>
  </conditionalFormatting>
  <conditionalFormatting sqref="K41">
    <cfRule type="cellIs" dxfId="84" priority="1792" stopIfTrue="1" operator="notEqual">
      <formula>0</formula>
    </cfRule>
  </conditionalFormatting>
  <conditionalFormatting sqref="Q47:R47">
    <cfRule type="cellIs" dxfId="83" priority="1790" stopIfTrue="1" operator="notEqual">
      <formula>0</formula>
    </cfRule>
  </conditionalFormatting>
  <conditionalFormatting sqref="Q37:R37">
    <cfRule type="cellIs" dxfId="82" priority="1787" stopIfTrue="1" operator="notEqual">
      <formula>0</formula>
    </cfRule>
  </conditionalFormatting>
  <conditionalFormatting sqref="R57">
    <cfRule type="cellIs" dxfId="81" priority="1781" stopIfTrue="1" operator="notEqual">
      <formula>0</formula>
    </cfRule>
  </conditionalFormatting>
  <conditionalFormatting sqref="Q57:Q58">
    <cfRule type="cellIs" dxfId="80" priority="1783" stopIfTrue="1" operator="notEqual">
      <formula>0</formula>
    </cfRule>
  </conditionalFormatting>
  <conditionalFormatting sqref="W59">
    <cfRule type="cellIs" dxfId="79" priority="1728" stopIfTrue="1" operator="notEqual">
      <formula>0</formula>
    </cfRule>
  </conditionalFormatting>
  <conditionalFormatting sqref="K37:L37">
    <cfRule type="cellIs" dxfId="78" priority="1362" stopIfTrue="1" operator="notEqual">
      <formula>0</formula>
    </cfRule>
  </conditionalFormatting>
  <conditionalFormatting sqref="Q21:R21">
    <cfRule type="cellIs" dxfId="77" priority="1345" stopIfTrue="1" operator="notEqual">
      <formula>0</formula>
    </cfRule>
  </conditionalFormatting>
  <conditionalFormatting sqref="Q23:R23">
    <cfRule type="cellIs" dxfId="76" priority="1349" stopIfTrue="1" operator="notEqual">
      <formula>0</formula>
    </cfRule>
  </conditionalFormatting>
  <conditionalFormatting sqref="Q38:R38">
    <cfRule type="cellIs" dxfId="75" priority="1348" stopIfTrue="1" operator="notEqual">
      <formula>0</formula>
    </cfRule>
  </conditionalFormatting>
  <conditionalFormatting sqref="Q34:R34">
    <cfRule type="cellIs" dxfId="74" priority="1347" stopIfTrue="1" operator="notEqual">
      <formula>0</formula>
    </cfRule>
  </conditionalFormatting>
  <conditionalFormatting sqref="Q35:R35">
    <cfRule type="cellIs" dxfId="73" priority="1346" stopIfTrue="1" operator="notEqual">
      <formula>0</formula>
    </cfRule>
  </conditionalFormatting>
  <conditionalFormatting sqref="K23:L23">
    <cfRule type="cellIs" dxfId="72" priority="1344" stopIfTrue="1" operator="notEqual">
      <formula>0</formula>
    </cfRule>
  </conditionalFormatting>
  <conditionalFormatting sqref="K34:L34">
    <cfRule type="cellIs" dxfId="71" priority="1115" stopIfTrue="1" operator="notEqual">
      <formula>0</formula>
    </cfRule>
  </conditionalFormatting>
  <conditionalFormatting sqref="Q33:R33">
    <cfRule type="cellIs" dxfId="70" priority="1109" stopIfTrue="1" operator="notEqual">
      <formula>0</formula>
    </cfRule>
  </conditionalFormatting>
  <conditionalFormatting sqref="Q46:R46">
    <cfRule type="cellIs" dxfId="69" priority="1113" stopIfTrue="1" operator="notEqual">
      <formula>0</formula>
    </cfRule>
  </conditionalFormatting>
  <conditionalFormatting sqref="Q45:R45">
    <cfRule type="cellIs" dxfId="68" priority="1114" stopIfTrue="1" operator="notEqual">
      <formula>0</formula>
    </cfRule>
  </conditionalFormatting>
  <conditionalFormatting sqref="W58">
    <cfRule type="cellIs" dxfId="67" priority="1100" stopIfTrue="1" operator="notEqual">
      <formula>0</formula>
    </cfRule>
  </conditionalFormatting>
  <conditionalFormatting sqref="Q32:R32">
    <cfRule type="cellIs" dxfId="66" priority="1110" stopIfTrue="1" operator="notEqual">
      <formula>0</formula>
    </cfRule>
  </conditionalFormatting>
  <conditionalFormatting sqref="X58">
    <cfRule type="cellIs" dxfId="65" priority="1099" stopIfTrue="1" operator="notEqual">
      <formula>0</formula>
    </cfRule>
  </conditionalFormatting>
  <conditionalFormatting sqref="W55">
    <cfRule type="cellIs" dxfId="64" priority="1058" stopIfTrue="1" operator="notEqual">
      <formula>0</formula>
    </cfRule>
  </conditionalFormatting>
  <conditionalFormatting sqref="W56">
    <cfRule type="cellIs" dxfId="63" priority="1057" stopIfTrue="1" operator="notEqual">
      <formula>0</formula>
    </cfRule>
  </conditionalFormatting>
  <conditionalFormatting sqref="Y55">
    <cfRule type="cellIs" dxfId="62" priority="1055" stopIfTrue="1" operator="notEqual">
      <formula>0</formula>
    </cfRule>
  </conditionalFormatting>
  <conditionalFormatting sqref="Y56">
    <cfRule type="cellIs" dxfId="61" priority="1054" stopIfTrue="1" operator="notEqual">
      <formula>0</formula>
    </cfRule>
  </conditionalFormatting>
  <conditionalFormatting sqref="AA59">
    <cfRule type="cellIs" dxfId="60" priority="1051" stopIfTrue="1" operator="notEqual">
      <formula>0</formula>
    </cfRule>
  </conditionalFormatting>
  <conditionalFormatting sqref="AA55">
    <cfRule type="cellIs" dxfId="59" priority="1049" stopIfTrue="1" operator="notEqual">
      <formula>0</formula>
    </cfRule>
  </conditionalFormatting>
  <conditionalFormatting sqref="AA58">
    <cfRule type="cellIs" dxfId="58" priority="1045" stopIfTrue="1" operator="notEqual">
      <formula>0</formula>
    </cfRule>
  </conditionalFormatting>
  <conditionalFormatting sqref="AB58">
    <cfRule type="cellIs" dxfId="57" priority="1044" stopIfTrue="1" operator="notEqual">
      <formula>0</formula>
    </cfRule>
  </conditionalFormatting>
  <conditionalFormatting sqref="U58">
    <cfRule type="cellIs" dxfId="56" priority="1022" stopIfTrue="1" operator="notEqual">
      <formula>0</formula>
    </cfRule>
  </conditionalFormatting>
  <conditionalFormatting sqref="V58">
    <cfRule type="cellIs" dxfId="55" priority="1021" stopIfTrue="1" operator="notEqual">
      <formula>0</formula>
    </cfRule>
  </conditionalFormatting>
  <conditionalFormatting sqref="U57">
    <cfRule type="cellIs" dxfId="54" priority="1019" stopIfTrue="1" operator="notEqual">
      <formula>0</formula>
    </cfRule>
  </conditionalFormatting>
  <conditionalFormatting sqref="U55">
    <cfRule type="cellIs" dxfId="53" priority="1023" stopIfTrue="1" operator="notEqual">
      <formula>0</formula>
    </cfRule>
  </conditionalFormatting>
  <conditionalFormatting sqref="U56">
    <cfRule type="cellIs" dxfId="52" priority="1020" stopIfTrue="1" operator="notEqual">
      <formula>0</formula>
    </cfRule>
  </conditionalFormatting>
  <conditionalFormatting sqref="U59">
    <cfRule type="cellIs" dxfId="51" priority="1018" stopIfTrue="1" operator="notEqual">
      <formula>0</formula>
    </cfRule>
  </conditionalFormatting>
  <conditionalFormatting sqref="Z58">
    <cfRule type="cellIs" dxfId="50" priority="996" stopIfTrue="1" operator="notEqual">
      <formula>0</formula>
    </cfRule>
  </conditionalFormatting>
  <conditionalFormatting sqref="AC59">
    <cfRule type="cellIs" dxfId="49" priority="989" stopIfTrue="1" operator="notEqual">
      <formula>0</formula>
    </cfRule>
  </conditionalFormatting>
  <conditionalFormatting sqref="AC55">
    <cfRule type="cellIs" dxfId="48" priority="988" stopIfTrue="1" operator="notEqual">
      <formula>0</formula>
    </cfRule>
  </conditionalFormatting>
  <conditionalFormatting sqref="AC56">
    <cfRule type="cellIs" dxfId="47" priority="984" stopIfTrue="1" operator="notEqual">
      <formula>0</formula>
    </cfRule>
  </conditionalFormatting>
  <conditionalFormatting sqref="AD58">
    <cfRule type="cellIs" dxfId="46" priority="982" stopIfTrue="1" operator="notEqual">
      <formula>0</formula>
    </cfRule>
  </conditionalFormatting>
  <conditionalFormatting sqref="AE59">
    <cfRule type="cellIs" dxfId="45" priority="975" stopIfTrue="1" operator="notEqual">
      <formula>0</formula>
    </cfRule>
  </conditionalFormatting>
  <conditionalFormatting sqref="AE55">
    <cfRule type="cellIs" dxfId="44" priority="974" stopIfTrue="1" operator="notEqual">
      <formula>0</formula>
    </cfRule>
  </conditionalFormatting>
  <conditionalFormatting sqref="AE56">
    <cfRule type="cellIs" dxfId="43" priority="972" stopIfTrue="1" operator="notEqual">
      <formula>0</formula>
    </cfRule>
  </conditionalFormatting>
  <conditionalFormatting sqref="AF58">
    <cfRule type="cellIs" dxfId="42" priority="970" stopIfTrue="1" operator="notEqual">
      <formula>0</formula>
    </cfRule>
  </conditionalFormatting>
  <conditionalFormatting sqref="AI59">
    <cfRule type="cellIs" dxfId="41" priority="963" stopIfTrue="1" operator="notEqual">
      <formula>0</formula>
    </cfRule>
  </conditionalFormatting>
  <conditionalFormatting sqref="AI57">
    <cfRule type="cellIs" dxfId="40" priority="961" stopIfTrue="1" operator="notEqual">
      <formula>0</formula>
    </cfRule>
  </conditionalFormatting>
  <conditionalFormatting sqref="AI55">
    <cfRule type="cellIs" dxfId="39" priority="962" stopIfTrue="1" operator="notEqual">
      <formula>0</formula>
    </cfRule>
  </conditionalFormatting>
  <conditionalFormatting sqref="AI58">
    <cfRule type="cellIs" dxfId="38" priority="957" stopIfTrue="1" operator="notEqual">
      <formula>0</formula>
    </cfRule>
  </conditionalFormatting>
  <conditionalFormatting sqref="AJ58">
    <cfRule type="cellIs" dxfId="37" priority="956" stopIfTrue="1" operator="notEqual">
      <formula>0</formula>
    </cfRule>
  </conditionalFormatting>
  <conditionalFormatting sqref="W57">
    <cfRule type="cellIs" dxfId="36" priority="858" stopIfTrue="1" operator="notEqual">
      <formula>0</formula>
    </cfRule>
  </conditionalFormatting>
  <conditionalFormatting sqref="Y57">
    <cfRule type="cellIs" dxfId="35" priority="857" stopIfTrue="1" operator="notEqual">
      <formula>0</formula>
    </cfRule>
  </conditionalFormatting>
  <conditionalFormatting sqref="AA57">
    <cfRule type="cellIs" dxfId="34" priority="856" stopIfTrue="1" operator="notEqual">
      <formula>0</formula>
    </cfRule>
  </conditionalFormatting>
  <conditionalFormatting sqref="AC57">
    <cfRule type="cellIs" dxfId="33" priority="855" stopIfTrue="1" operator="notEqual">
      <formula>0</formula>
    </cfRule>
  </conditionalFormatting>
  <conditionalFormatting sqref="AE57">
    <cfRule type="cellIs" dxfId="32" priority="854" stopIfTrue="1" operator="notEqual">
      <formula>0</formula>
    </cfRule>
  </conditionalFormatting>
  <conditionalFormatting sqref="AK57">
    <cfRule type="cellIs" dxfId="31" priority="754" stopIfTrue="1" operator="notEqual">
      <formula>0</formula>
    </cfRule>
  </conditionalFormatting>
  <conditionalFormatting sqref="AK58">
    <cfRule type="cellIs" dxfId="30" priority="753" stopIfTrue="1" operator="notEqual">
      <formula>0</formula>
    </cfRule>
  </conditionalFormatting>
  <conditionalFormatting sqref="Y58">
    <cfRule type="cellIs" dxfId="29" priority="792" stopIfTrue="1" operator="notEqual">
      <formula>0</formula>
    </cfRule>
  </conditionalFormatting>
  <conditionalFormatting sqref="AA56">
    <cfRule type="cellIs" dxfId="28" priority="785" stopIfTrue="1" operator="notEqual">
      <formula>0</formula>
    </cfRule>
  </conditionalFormatting>
  <conditionalFormatting sqref="AC58">
    <cfRule type="cellIs" dxfId="27" priority="778" stopIfTrue="1" operator="notEqual">
      <formula>0</formula>
    </cfRule>
  </conditionalFormatting>
  <conditionalFormatting sqref="AE58">
    <cfRule type="cellIs" dxfId="26" priority="771" stopIfTrue="1" operator="notEqual">
      <formula>0</formula>
    </cfRule>
  </conditionalFormatting>
  <conditionalFormatting sqref="AK59">
    <cfRule type="cellIs" dxfId="25" priority="758" stopIfTrue="1" operator="notEqual">
      <formula>0</formula>
    </cfRule>
  </conditionalFormatting>
  <conditionalFormatting sqref="AK56">
    <cfRule type="cellIs" dxfId="24" priority="756" stopIfTrue="1" operator="notEqual">
      <formula>0</formula>
    </cfRule>
  </conditionalFormatting>
  <conditionalFormatting sqref="AK55">
    <cfRule type="cellIs" dxfId="23" priority="757" stopIfTrue="1" operator="notEqual">
      <formula>0</formula>
    </cfRule>
  </conditionalFormatting>
  <conditionalFormatting sqref="AL58">
    <cfRule type="cellIs" dxfId="22" priority="755" stopIfTrue="1" operator="notEqual">
      <formula>0</formula>
    </cfRule>
  </conditionalFormatting>
  <conditionalFormatting sqref="T21:U21">
    <cfRule type="cellIs" dxfId="21" priority="715" stopIfTrue="1" operator="notEqual">
      <formula>0</formula>
    </cfRule>
  </conditionalFormatting>
  <conditionalFormatting sqref="AG58">
    <cfRule type="cellIs" dxfId="20" priority="692" stopIfTrue="1" operator="notEqual">
      <formula>0</formula>
    </cfRule>
  </conditionalFormatting>
  <conditionalFormatting sqref="AH58">
    <cfRule type="cellIs" dxfId="19" priority="691" stopIfTrue="1" operator="notEqual">
      <formula>0</formula>
    </cfRule>
  </conditionalFormatting>
  <conditionalFormatting sqref="AG57">
    <cfRule type="cellIs" dxfId="18" priority="688" stopIfTrue="1" operator="notEqual">
      <formula>0</formula>
    </cfRule>
  </conditionalFormatting>
  <conditionalFormatting sqref="AG59">
    <cfRule type="cellIs" dxfId="17" priority="695" stopIfTrue="1" operator="notEqual">
      <formula>0</formula>
    </cfRule>
  </conditionalFormatting>
  <conditionalFormatting sqref="AG56">
    <cfRule type="cellIs" dxfId="16" priority="567" stopIfTrue="1" operator="notEqual">
      <formula>0</formula>
    </cfRule>
  </conditionalFormatting>
  <conditionalFormatting sqref="AG55">
    <cfRule type="cellIs" dxfId="15" priority="566" stopIfTrue="1" operator="notEqual">
      <formula>0</formula>
    </cfRule>
  </conditionalFormatting>
  <conditionalFormatting sqref="AI56">
    <cfRule type="cellIs" dxfId="14" priority="565" stopIfTrue="1" operator="notEqual">
      <formula>0</formula>
    </cfRule>
  </conditionalFormatting>
  <conditionalFormatting sqref="Y59">
    <cfRule type="cellIs" dxfId="13" priority="444" stopIfTrue="1" operator="notEqual">
      <formula>0</formula>
    </cfRule>
  </conditionalFormatting>
  <conditionalFormatting sqref="K59">
    <cfRule type="cellIs" dxfId="12" priority="6" stopIfTrue="1" operator="notEqual">
      <formula>0</formula>
    </cfRule>
  </conditionalFormatting>
  <conditionalFormatting sqref="K57">
    <cfRule type="cellIs" dxfId="11" priority="4" stopIfTrue="1" operator="notEqual">
      <formula>0</formula>
    </cfRule>
  </conditionalFormatting>
  <conditionalFormatting sqref="K55">
    <cfRule type="cellIs" dxfId="10" priority="5" stopIfTrue="1" operator="notEqual">
      <formula>0</formula>
    </cfRule>
  </conditionalFormatting>
  <conditionalFormatting sqref="K58">
    <cfRule type="cellIs" dxfId="9" priority="3" stopIfTrue="1" operator="notEqual">
      <formula>0</formula>
    </cfRule>
  </conditionalFormatting>
  <conditionalFormatting sqref="L58">
    <cfRule type="cellIs" dxfId="8" priority="2" stopIfTrue="1" operator="notEqual">
      <formula>0</formula>
    </cfRule>
  </conditionalFormatting>
  <conditionalFormatting sqref="K56">
    <cfRule type="cellIs" dxfId="7" priority="1" stopIfTrue="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Resolution">
                <anchor moveWithCells="1" sizeWithCells="1">
                  <from>
                    <xdr:col>7</xdr:col>
                    <xdr:colOff>393700</xdr:colOff>
                    <xdr:row>50</xdr:row>
                    <xdr:rowOff>88900</xdr:rowOff>
                  </from>
                  <to>
                    <xdr:col>8</xdr:col>
                    <xdr:colOff>628650</xdr:colOff>
                    <xdr:row>53</xdr:row>
                    <xdr:rowOff>88900</xdr:rowOff>
                  </to>
                </anchor>
              </controlPr>
            </control>
          </mc:Choice>
        </mc:AlternateContent>
        <mc:AlternateContent xmlns:mc="http://schemas.openxmlformats.org/markup-compatibility/2006">
          <mc:Choice Requires="x14">
            <control shapeId="2052" r:id="rId5" name="Button 4">
              <controlPr defaultSize="0" print="0" autoFill="0" autoPict="0" macro="[0]!Reference">
                <anchor moveWithCells="1" sizeWithCells="1">
                  <from>
                    <xdr:col>11</xdr:col>
                    <xdr:colOff>368300</xdr:colOff>
                    <xdr:row>58</xdr:row>
                    <xdr:rowOff>101600</xdr:rowOff>
                  </from>
                  <to>
                    <xdr:col>12</xdr:col>
                    <xdr:colOff>584200</xdr:colOff>
                    <xdr:row>61</xdr:row>
                    <xdr:rowOff>95250</xdr:rowOff>
                  </to>
                </anchor>
              </controlPr>
            </control>
          </mc:Choice>
        </mc:AlternateContent>
        <mc:AlternateContent xmlns:mc="http://schemas.openxmlformats.org/markup-compatibility/2006">
          <mc:Choice Requires="x14">
            <control shapeId="2056" r:id="rId6" name="Button 8">
              <controlPr defaultSize="0" print="0" autoFill="0" autoPict="0" macro="[0]!Profile">
                <anchor moveWithCells="1" sizeWithCells="1">
                  <from>
                    <xdr:col>11</xdr:col>
                    <xdr:colOff>355600</xdr:colOff>
                    <xdr:row>50</xdr:row>
                    <xdr:rowOff>76200</xdr:rowOff>
                  </from>
                  <to>
                    <xdr:col>12</xdr:col>
                    <xdr:colOff>584200</xdr:colOff>
                    <xdr:row>53</xdr:row>
                    <xdr:rowOff>88900</xdr:rowOff>
                  </to>
                </anchor>
              </controlPr>
            </control>
          </mc:Choice>
        </mc:AlternateContent>
        <mc:AlternateContent xmlns:mc="http://schemas.openxmlformats.org/markup-compatibility/2006">
          <mc:Choice Requires="x14">
            <control shapeId="2065" r:id="rId7" name="Button 17">
              <controlPr defaultSize="0" print="0" autoFill="0" autoPict="0" macro="[0]!Save">
                <anchor moveWithCells="1" sizeWithCells="1">
                  <from>
                    <xdr:col>7</xdr:col>
                    <xdr:colOff>393700</xdr:colOff>
                    <xdr:row>54</xdr:row>
                    <xdr:rowOff>57150</xdr:rowOff>
                  </from>
                  <to>
                    <xdr:col>8</xdr:col>
                    <xdr:colOff>628650</xdr:colOff>
                    <xdr:row>57</xdr:row>
                    <xdr:rowOff>50800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dimension ref="A1:XFD83"/>
  <sheetViews>
    <sheetView showGridLines="0" zoomScale="80" zoomScaleNormal="80" workbookViewId="0">
      <pane xSplit="1" ySplit="1" topLeftCell="B2" activePane="bottomRight" state="frozen"/>
      <selection pane="topRight" activeCell="B1" sqref="B1"/>
      <selection pane="bottomLeft" activeCell="A2" sqref="A2"/>
      <selection pane="bottomRight" activeCell="I42"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c r="AJ1" s="94"/>
      <c r="AL1" s="94"/>
      <c r="AN1" s="94"/>
      <c r="AP1" s="94"/>
      <c r="AR1" s="94"/>
      <c r="AT1" s="94"/>
      <c r="AV1" s="94"/>
    </row>
    <row r="2" spans="1:49" x14ac:dyDescent="0.2">
      <c r="A2" s="229" t="s">
        <v>155</v>
      </c>
      <c r="B2" s="226">
        <v>5.7716594496607888E-3</v>
      </c>
      <c r="C2" s="227"/>
      <c r="D2" s="226">
        <v>5.1353973852621859E-2</v>
      </c>
      <c r="E2" s="227"/>
      <c r="F2" s="226">
        <v>9.9276483540202118E-2</v>
      </c>
      <c r="G2" s="227"/>
      <c r="H2" s="226">
        <v>0.14947829182498587</v>
      </c>
      <c r="I2" s="227"/>
      <c r="J2" s="226">
        <v>0.20183501411398905</v>
      </c>
      <c r="K2" s="227"/>
      <c r="L2" s="226">
        <v>0.25615112250610694</v>
      </c>
      <c r="M2" s="227"/>
      <c r="N2" s="226">
        <v>0.31217657830602502</v>
      </c>
      <c r="O2" s="227"/>
      <c r="P2" s="226">
        <v>0.36965717093078665</v>
      </c>
      <c r="Q2" s="227"/>
      <c r="R2" s="226">
        <v>0.42844472267597306</v>
      </c>
      <c r="S2" s="227"/>
      <c r="T2" s="226">
        <v>0.48871716201232729</v>
      </c>
      <c r="U2" s="227"/>
      <c r="V2" s="226">
        <v>0.55138657797265089</v>
      </c>
      <c r="W2" s="227"/>
      <c r="X2" s="226">
        <v>0.61883369790154408</v>
      </c>
      <c r="Y2" s="227"/>
      <c r="Z2" s="226">
        <v>0.69627278876399967</v>
      </c>
      <c r="AA2" s="227"/>
      <c r="AB2" s="226">
        <v>0.794440591572806</v>
      </c>
      <c r="AC2" s="227"/>
      <c r="AD2" s="226">
        <v>0.93554443503153817</v>
      </c>
      <c r="AE2" s="227"/>
      <c r="AF2" s="226">
        <v>1.1689934778369546</v>
      </c>
      <c r="AG2" s="227"/>
      <c r="AH2" s="226"/>
      <c r="AI2" s="227"/>
      <c r="AJ2" s="226"/>
      <c r="AK2" s="227"/>
      <c r="AL2" s="226"/>
      <c r="AM2" s="227"/>
      <c r="AN2" s="226"/>
      <c r="AO2" s="227"/>
      <c r="AP2" s="226"/>
      <c r="AQ2" s="227"/>
      <c r="AR2" s="226"/>
      <c r="AS2" s="227"/>
      <c r="AT2" s="226"/>
      <c r="AU2" s="227"/>
      <c r="AV2" s="226"/>
      <c r="AW2" s="227"/>
    </row>
    <row r="3" spans="1:49" x14ac:dyDescent="0.2">
      <c r="A3" t="s">
        <v>12</v>
      </c>
      <c r="B3" s="84">
        <v>1000</v>
      </c>
      <c r="C3" s="85">
        <v>1000</v>
      </c>
      <c r="D3" s="84">
        <v>998.9607773812686</v>
      </c>
      <c r="E3" s="85">
        <v>1022.1387444783622</v>
      </c>
      <c r="F3" s="84">
        <v>998.4800373880272</v>
      </c>
      <c r="G3" s="85">
        <v>1046.4554057673488</v>
      </c>
      <c r="H3" s="84">
        <v>998.71899738468255</v>
      </c>
      <c r="I3" s="85">
        <v>1073.1431826523585</v>
      </c>
      <c r="J3" s="84">
        <v>999.89062350251811</v>
      </c>
      <c r="K3" s="85">
        <v>1102.4080640237366</v>
      </c>
      <c r="L3" s="84">
        <v>1002.2787398963253</v>
      </c>
      <c r="M3" s="85">
        <v>1134.4772156551328</v>
      </c>
      <c r="N3" s="84">
        <v>1006.2621231047139</v>
      </c>
      <c r="O3" s="85">
        <v>1169.6249346542002</v>
      </c>
      <c r="P3" s="84">
        <v>1012.3482047639963</v>
      </c>
      <c r="Q3" s="85">
        <v>1208.2260844363543</v>
      </c>
      <c r="R3" s="84">
        <v>1021.2228228077765</v>
      </c>
      <c r="S3" s="85">
        <v>1250.8586108987154</v>
      </c>
      <c r="T3" s="84">
        <v>1033.8227179795083</v>
      </c>
      <c r="U3" s="85">
        <v>1298.4904683275133</v>
      </c>
      <c r="V3" s="84">
        <v>1051.4484176954386</v>
      </c>
      <c r="W3" s="85">
        <v>1352.8082412751617</v>
      </c>
      <c r="X3" s="84">
        <v>1075.9434251120526</v>
      </c>
      <c r="Y3" s="85">
        <v>1416.7859658740786</v>
      </c>
      <c r="Z3" s="84">
        <v>1109.9969364323731</v>
      </c>
      <c r="AA3" s="85">
        <v>1495.6996083583401</v>
      </c>
      <c r="AB3" s="84">
        <v>1157.7016749514551</v>
      </c>
      <c r="AC3" s="85">
        <v>1599.0595386514062</v>
      </c>
      <c r="AD3" s="84">
        <v>1225.7415679938217</v>
      </c>
      <c r="AE3" s="85">
        <v>1744.7664816042088</v>
      </c>
      <c r="AF3" s="84">
        <v>1326.3797049304401</v>
      </c>
      <c r="AG3" s="85">
        <v>1969.7599694294877</v>
      </c>
      <c r="AH3" s="84"/>
      <c r="AI3" s="85"/>
      <c r="AJ3" s="84"/>
      <c r="AK3" s="85"/>
      <c r="AL3" s="84"/>
      <c r="AM3" s="85"/>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c r="AI4" s="102"/>
      <c r="AJ4" s="101"/>
      <c r="AK4" s="102"/>
      <c r="AL4" s="101"/>
      <c r="AM4" s="102"/>
      <c r="AN4" s="101"/>
      <c r="AO4" s="102"/>
      <c r="AP4" s="101"/>
      <c r="AQ4" s="102"/>
      <c r="AR4" s="101"/>
      <c r="AS4" s="102"/>
      <c r="AT4" s="101"/>
      <c r="AU4" s="102"/>
      <c r="AV4" s="101"/>
      <c r="AW4" s="102"/>
    </row>
    <row r="5" spans="1:49" x14ac:dyDescent="0.2">
      <c r="A5" t="s">
        <v>128</v>
      </c>
      <c r="B5" s="41">
        <v>1000</v>
      </c>
      <c r="C5" s="42">
        <v>1000</v>
      </c>
      <c r="D5" s="41">
        <v>998.90931395886878</v>
      </c>
      <c r="E5" s="42">
        <v>1019.232092326505</v>
      </c>
      <c r="F5" s="41">
        <v>998.40460474938345</v>
      </c>
      <c r="G5" s="42">
        <v>1039.8830021461213</v>
      </c>
      <c r="H5" s="41">
        <v>998.65549032767171</v>
      </c>
      <c r="I5" s="42">
        <v>1061.9834393896065</v>
      </c>
      <c r="J5" s="41">
        <v>999.88522760814635</v>
      </c>
      <c r="K5" s="42">
        <v>1085.5467401925246</v>
      </c>
      <c r="L5" s="41">
        <v>1002.3899252879457</v>
      </c>
      <c r="M5" s="42">
        <v>1110.5710887284363</v>
      </c>
      <c r="N5" s="41">
        <v>1006.5622273850454</v>
      </c>
      <c r="O5" s="42">
        <v>1137.0532306038067</v>
      </c>
      <c r="P5" s="41">
        <v>1012.9237596298582</v>
      </c>
      <c r="Q5" s="42">
        <v>1165.0163154748232</v>
      </c>
      <c r="R5" s="41">
        <v>1022.1720145933914</v>
      </c>
      <c r="S5" s="42">
        <v>1194.560251102615</v>
      </c>
      <c r="T5" s="41">
        <v>1035.2469000615301</v>
      </c>
      <c r="U5" s="42">
        <v>1225.9426412511893</v>
      </c>
      <c r="V5" s="41">
        <v>1053.4319644730419</v>
      </c>
      <c r="W5" s="42">
        <v>1259.6928807843765</v>
      </c>
      <c r="X5" s="41">
        <v>1078.5112131016112</v>
      </c>
      <c r="Y5" s="42">
        <v>1296.7610138328557</v>
      </c>
      <c r="Z5" s="41">
        <v>1113.0285034627616</v>
      </c>
      <c r="AA5" s="42">
        <v>1338.6764326662478</v>
      </c>
      <c r="AB5" s="41">
        <v>1160.7587817295605</v>
      </c>
      <c r="AC5" s="42">
        <v>1387.6515808560853</v>
      </c>
      <c r="AD5" s="41">
        <v>1227.7070730870842</v>
      </c>
      <c r="AE5" s="42">
        <v>1446.4501570424563</v>
      </c>
      <c r="AF5" s="41">
        <v>1324.609404324643</v>
      </c>
      <c r="AG5" s="42">
        <v>1517.5635073029018</v>
      </c>
      <c r="AH5" s="41"/>
      <c r="AI5" s="42"/>
      <c r="AJ5" s="41"/>
      <c r="AK5" s="42"/>
      <c r="AL5" s="41"/>
      <c r="AM5" s="42"/>
      <c r="AN5" s="41"/>
      <c r="AO5" s="42"/>
      <c r="AP5" s="41"/>
      <c r="AQ5" s="42"/>
      <c r="AR5" s="41"/>
      <c r="AS5" s="42"/>
      <c r="AT5" s="41"/>
      <c r="AU5" s="42"/>
      <c r="AV5" s="41"/>
      <c r="AW5" s="42"/>
    </row>
    <row r="6" spans="1:49" x14ac:dyDescent="0.2">
      <c r="A6" t="s">
        <v>77</v>
      </c>
      <c r="B6" s="41">
        <v>999.99999999999943</v>
      </c>
      <c r="C6" s="42">
        <v>999.99999999999909</v>
      </c>
      <c r="D6" s="41">
        <v>998.82598398612924</v>
      </c>
      <c r="E6" s="42">
        <v>1023.8566256751561</v>
      </c>
      <c r="F6" s="41">
        <v>998.28278178246649</v>
      </c>
      <c r="G6" s="42">
        <v>1049.9723500884529</v>
      </c>
      <c r="H6" s="41">
        <v>998.55279818930183</v>
      </c>
      <c r="I6" s="42">
        <v>1078.5391050136498</v>
      </c>
      <c r="J6" s="41">
        <v>999.87645162555975</v>
      </c>
      <c r="K6" s="42">
        <v>1109.7613833535108</v>
      </c>
      <c r="L6" s="41">
        <v>1002.5732017903669</v>
      </c>
      <c r="M6" s="42">
        <v>1143.8652743247321</v>
      </c>
      <c r="N6" s="41">
        <v>1007.067720722948</v>
      </c>
      <c r="O6" s="42">
        <v>1181.125960326606</v>
      </c>
      <c r="P6" s="41">
        <v>1013.926065564437</v>
      </c>
      <c r="Q6" s="42">
        <v>1221.9237662572607</v>
      </c>
      <c r="R6" s="41">
        <v>1023.9085045233818</v>
      </c>
      <c r="S6" s="42">
        <v>1266.8509888549438</v>
      </c>
      <c r="T6" s="41">
        <v>1038.0455087606981</v>
      </c>
      <c r="U6" s="42">
        <v>1316.9057582942589</v>
      </c>
      <c r="V6" s="41">
        <v>1057.7550241319564</v>
      </c>
      <c r="W6" s="42">
        <v>1373.8315424847756</v>
      </c>
      <c r="X6" s="41">
        <v>1085.0271575454383</v>
      </c>
      <c r="Y6" s="42">
        <v>1440.7028566156555</v>
      </c>
      <c r="Z6" s="41">
        <v>1122.7351708561685</v>
      </c>
      <c r="AA6" s="42">
        <v>1522.9670980555859</v>
      </c>
      <c r="AB6" s="41">
        <v>1175.209685306558</v>
      </c>
      <c r="AC6" s="42">
        <v>1630.4253153352163</v>
      </c>
      <c r="AD6" s="41">
        <v>1249.4694806085229</v>
      </c>
      <c r="AE6" s="42">
        <v>1781.4886046137126</v>
      </c>
      <c r="AF6" s="41">
        <v>1358.3360406405941</v>
      </c>
      <c r="AG6" s="42">
        <v>2014.0863882376179</v>
      </c>
      <c r="AH6" s="41"/>
      <c r="AI6" s="42"/>
      <c r="AJ6" s="41"/>
      <c r="AK6" s="42"/>
      <c r="AL6" s="41"/>
      <c r="AM6" s="42"/>
      <c r="AN6" s="41"/>
      <c r="AO6" s="42"/>
      <c r="AP6" s="41"/>
      <c r="AQ6" s="42"/>
      <c r="AR6" s="41"/>
      <c r="AS6" s="42"/>
      <c r="AT6" s="41"/>
      <c r="AU6" s="42"/>
      <c r="AV6" s="41"/>
      <c r="AW6" s="42"/>
    </row>
    <row r="7" spans="1:49" x14ac:dyDescent="0.2">
      <c r="A7" t="s">
        <v>13</v>
      </c>
      <c r="B7" s="33">
        <v>1015.9116825427475</v>
      </c>
      <c r="C7" s="34">
        <v>1015.9116825427475</v>
      </c>
      <c r="D7" s="33">
        <v>1014.8036418515759</v>
      </c>
      <c r="E7" s="34">
        <v>1014.8036418515759</v>
      </c>
      <c r="F7" s="33">
        <v>1014.2909018693729</v>
      </c>
      <c r="G7" s="34">
        <v>1014.2909018693729</v>
      </c>
      <c r="H7" s="33">
        <v>1014.5457794593374</v>
      </c>
      <c r="I7" s="34">
        <v>1014.5457794593374</v>
      </c>
      <c r="J7" s="33">
        <v>1015.7950839290299</v>
      </c>
      <c r="K7" s="34">
        <v>1015.7950839290299</v>
      </c>
      <c r="L7" s="33">
        <v>1018.3396355631759</v>
      </c>
      <c r="M7" s="34">
        <v>1018.3396355631759</v>
      </c>
      <c r="N7" s="33">
        <v>1022.578326006717</v>
      </c>
      <c r="O7" s="34">
        <v>1022.578326006717</v>
      </c>
      <c r="P7" s="33">
        <v>1029.0410809330947</v>
      </c>
      <c r="Q7" s="34">
        <v>1029.0410809330947</v>
      </c>
      <c r="R7" s="33">
        <v>1038.4364911936821</v>
      </c>
      <c r="S7" s="34">
        <v>1038.4364911936821</v>
      </c>
      <c r="T7" s="33">
        <v>1051.7194200886727</v>
      </c>
      <c r="U7" s="34">
        <v>1051.7194200886727</v>
      </c>
      <c r="V7" s="33">
        <v>1070.1938394721199</v>
      </c>
      <c r="W7" s="34">
        <v>1070.1938394721199</v>
      </c>
      <c r="X7" s="33">
        <v>1095.6721411432775</v>
      </c>
      <c r="Y7" s="34">
        <v>1095.6721411432775</v>
      </c>
      <c r="Z7" s="33">
        <v>1130.7386596708902</v>
      </c>
      <c r="AA7" s="34">
        <v>1130.7386596708902</v>
      </c>
      <c r="AB7" s="33">
        <v>1179.2284069731475</v>
      </c>
      <c r="AC7" s="34">
        <v>1179.2284069731475</v>
      </c>
      <c r="AD7" s="33">
        <v>1247.2419582895316</v>
      </c>
      <c r="AE7" s="34">
        <v>1247.2419582895316</v>
      </c>
      <c r="AF7" s="33">
        <v>1345.6861686593945</v>
      </c>
      <c r="AG7" s="34">
        <v>1345.6861686593945</v>
      </c>
      <c r="AH7" s="33"/>
      <c r="AI7" s="34"/>
      <c r="AJ7" s="33"/>
      <c r="AK7" s="34"/>
      <c r="AL7" s="33"/>
      <c r="AM7" s="34"/>
      <c r="AN7" s="33"/>
      <c r="AO7" s="34"/>
      <c r="AP7" s="33"/>
      <c r="AQ7" s="34"/>
      <c r="AR7" s="33"/>
      <c r="AS7" s="34"/>
      <c r="AT7" s="33"/>
      <c r="AU7" s="34"/>
      <c r="AV7" s="33"/>
      <c r="AW7" s="34"/>
    </row>
    <row r="8" spans="1:49" x14ac:dyDescent="0.2">
      <c r="B8" s="35">
        <v>1005.7716594496609</v>
      </c>
      <c r="C8" s="36">
        <v>1005.7716594496609</v>
      </c>
      <c r="D8" s="35">
        <v>1071.5737105455935</v>
      </c>
      <c r="E8" s="36">
        <v>1071.5737105455935</v>
      </c>
      <c r="F8" s="35">
        <v>1143.1189298924166</v>
      </c>
      <c r="G8" s="36">
        <v>1143.1189298924166</v>
      </c>
      <c r="H8" s="35">
        <v>1220.7269098559884</v>
      </c>
      <c r="I8" s="36">
        <v>1220.7269098559884</v>
      </c>
      <c r="J8" s="35">
        <v>1304.6480818206776</v>
      </c>
      <c r="K8" s="36">
        <v>1304.6480818206776</v>
      </c>
      <c r="L8" s="35">
        <v>1395.0451197290547</v>
      </c>
      <c r="M8" s="36">
        <v>1395.0451197290547</v>
      </c>
      <c r="N8" s="35">
        <v>1492.0146174855147</v>
      </c>
      <c r="O8" s="36">
        <v>1492.0146174855147</v>
      </c>
      <c r="P8" s="35">
        <v>1595.672950741455</v>
      </c>
      <c r="Q8" s="36">
        <v>1595.672950741455</v>
      </c>
      <c r="R8" s="35">
        <v>1706.3632866060157</v>
      </c>
      <c r="S8" s="36">
        <v>1706.3632866060157</v>
      </c>
      <c r="T8" s="35">
        <v>1825.0818496733675</v>
      </c>
      <c r="U8" s="36">
        <v>1825.0818496733675</v>
      </c>
      <c r="V8" s="35">
        <v>1954.2706276165845</v>
      </c>
      <c r="W8" s="36">
        <v>1954.2706276165845</v>
      </c>
      <c r="X8" s="35">
        <v>2099.2404273175971</v>
      </c>
      <c r="Y8" s="36">
        <v>2099.2404273175971</v>
      </c>
      <c r="Z8" s="35">
        <v>2270.7604056914188</v>
      </c>
      <c r="AA8" s="36">
        <v>2270.7604056914188</v>
      </c>
      <c r="AB8" s="35">
        <v>2490.058323648333</v>
      </c>
      <c r="AC8" s="36">
        <v>2490.058323648333</v>
      </c>
      <c r="AD8" s="35">
        <v>2799.6685520140209</v>
      </c>
      <c r="AE8" s="36">
        <v>2799.6685520140209</v>
      </c>
      <c r="AF8" s="35">
        <v>3291.5853495433676</v>
      </c>
      <c r="AG8" s="36">
        <v>3291.5853495433676</v>
      </c>
      <c r="AH8" s="35"/>
      <c r="AI8" s="36"/>
      <c r="AJ8" s="35"/>
      <c r="AK8" s="36"/>
      <c r="AL8" s="35"/>
      <c r="AM8" s="36"/>
      <c r="AN8" s="35"/>
      <c r="AO8" s="36"/>
      <c r="AP8" s="35"/>
      <c r="AQ8" s="36"/>
      <c r="AR8" s="35"/>
      <c r="AS8" s="36"/>
      <c r="AT8" s="35"/>
      <c r="AU8" s="36"/>
      <c r="AV8" s="35"/>
      <c r="AW8" s="36"/>
    </row>
    <row r="9" spans="1:49" x14ac:dyDescent="0.2">
      <c r="A9" t="s">
        <v>14</v>
      </c>
      <c r="B9" s="41">
        <v>1015.9116825427475</v>
      </c>
      <c r="C9" s="42">
        <v>1005.7716594496609</v>
      </c>
      <c r="D9" s="41">
        <v>1014.8036418515759</v>
      </c>
      <c r="E9" s="42">
        <v>1071.5737105455935</v>
      </c>
      <c r="F9" s="41">
        <v>1014.2909018693729</v>
      </c>
      <c r="G9" s="42">
        <v>1143.1189298924166</v>
      </c>
      <c r="H9" s="41">
        <v>1014.5457794593374</v>
      </c>
      <c r="I9" s="42">
        <v>1220.7269098559884</v>
      </c>
      <c r="J9" s="41">
        <v>1015.7950839290299</v>
      </c>
      <c r="K9" s="42">
        <v>1304.6480818206776</v>
      </c>
      <c r="L9" s="41">
        <v>1018.3396355631759</v>
      </c>
      <c r="M9" s="42">
        <v>1395.0451197290547</v>
      </c>
      <c r="N9" s="41">
        <v>1022.578326006717</v>
      </c>
      <c r="O9" s="42">
        <v>1492.0146174855147</v>
      </c>
      <c r="P9" s="41">
        <v>1029.0410809330947</v>
      </c>
      <c r="Q9" s="42">
        <v>1595.672950741455</v>
      </c>
      <c r="R9" s="41">
        <v>1038.4364911936821</v>
      </c>
      <c r="S9" s="42">
        <v>1706.3632866060157</v>
      </c>
      <c r="T9" s="41">
        <v>1051.7194200886727</v>
      </c>
      <c r="U9" s="42">
        <v>1825.0818496733675</v>
      </c>
      <c r="V9" s="41">
        <v>1070.1938394721199</v>
      </c>
      <c r="W9" s="42">
        <v>1954.2706276165845</v>
      </c>
      <c r="X9" s="41">
        <v>1095.6721411432775</v>
      </c>
      <c r="Y9" s="42">
        <v>2099.2404273175971</v>
      </c>
      <c r="Z9" s="41">
        <v>1130.7386596708902</v>
      </c>
      <c r="AA9" s="42">
        <v>2270.7604056914188</v>
      </c>
      <c r="AB9" s="41">
        <v>1179.2284069731475</v>
      </c>
      <c r="AC9" s="42">
        <v>2490.058323648333</v>
      </c>
      <c r="AD9" s="41">
        <v>1247.2419582895316</v>
      </c>
      <c r="AE9" s="42">
        <v>2799.6685520140209</v>
      </c>
      <c r="AF9" s="41">
        <v>1345.6861686593945</v>
      </c>
      <c r="AG9" s="42">
        <v>3291.5853495433676</v>
      </c>
      <c r="AH9" s="41"/>
      <c r="AI9" s="42"/>
      <c r="AJ9" s="41"/>
      <c r="AK9" s="42"/>
      <c r="AL9" s="41"/>
      <c r="AM9" s="42"/>
      <c r="AN9" s="41"/>
      <c r="AO9" s="42"/>
      <c r="AP9" s="41"/>
      <c r="AQ9" s="42"/>
      <c r="AR9" s="41"/>
      <c r="AS9" s="42"/>
      <c r="AT9" s="41"/>
      <c r="AU9" s="42"/>
      <c r="AV9" s="41"/>
      <c r="AW9" s="42"/>
    </row>
    <row r="10" spans="1:49" x14ac:dyDescent="0.2">
      <c r="A10" t="s">
        <v>15</v>
      </c>
      <c r="B10" s="41">
        <v>1015.9116825427475</v>
      </c>
      <c r="C10" s="42">
        <v>1005.7716594496609</v>
      </c>
      <c r="D10" s="41">
        <v>1014.8036418515759</v>
      </c>
      <c r="E10" s="42">
        <v>1071.5737105455935</v>
      </c>
      <c r="F10" s="41">
        <v>1014.2909018693729</v>
      </c>
      <c r="G10" s="42">
        <v>1143.1189298924166</v>
      </c>
      <c r="H10" s="41">
        <v>1014.5457794593374</v>
      </c>
      <c r="I10" s="42">
        <v>1220.7269098559884</v>
      </c>
      <c r="J10" s="41">
        <v>1015.7950839290299</v>
      </c>
      <c r="K10" s="42">
        <v>1304.6480818206776</v>
      </c>
      <c r="L10" s="41">
        <v>1018.3396355631759</v>
      </c>
      <c r="M10" s="42">
        <v>1395.0451197290547</v>
      </c>
      <c r="N10" s="41">
        <v>1022.578326006717</v>
      </c>
      <c r="O10" s="42">
        <v>1492.0146174855147</v>
      </c>
      <c r="P10" s="41">
        <v>1029.0410809330947</v>
      </c>
      <c r="Q10" s="42">
        <v>1595.672950741455</v>
      </c>
      <c r="R10" s="41">
        <v>1038.4364911936821</v>
      </c>
      <c r="S10" s="42">
        <v>1706.3632866060157</v>
      </c>
      <c r="T10" s="41">
        <v>1051.7194200886727</v>
      </c>
      <c r="U10" s="42">
        <v>1825.0818496733675</v>
      </c>
      <c r="V10" s="41">
        <v>1070.1938394721199</v>
      </c>
      <c r="W10" s="42">
        <v>1954.2706276165845</v>
      </c>
      <c r="X10" s="41">
        <v>1095.6721411432775</v>
      </c>
      <c r="Y10" s="42">
        <v>2099.2404273175971</v>
      </c>
      <c r="Z10" s="41">
        <v>1130.7386596708902</v>
      </c>
      <c r="AA10" s="42">
        <v>2270.7604056914188</v>
      </c>
      <c r="AB10" s="41">
        <v>1179.2284069731475</v>
      </c>
      <c r="AC10" s="42">
        <v>2490.058323648333</v>
      </c>
      <c r="AD10" s="41">
        <v>1247.2419582895316</v>
      </c>
      <c r="AE10" s="42">
        <v>2799.6685520140209</v>
      </c>
      <c r="AF10" s="41">
        <v>1345.6861686593945</v>
      </c>
      <c r="AG10" s="42">
        <v>3291.5853495433676</v>
      </c>
      <c r="AH10" s="41"/>
      <c r="AI10" s="42"/>
      <c r="AJ10" s="41"/>
      <c r="AK10" s="42"/>
      <c r="AL10" s="41"/>
      <c r="AM10" s="42"/>
      <c r="AN10" s="41"/>
      <c r="AO10" s="42"/>
      <c r="AP10" s="41"/>
      <c r="AQ10" s="42"/>
      <c r="AR10" s="41"/>
      <c r="AS10" s="42"/>
      <c r="AT10" s="41"/>
      <c r="AU10" s="42"/>
      <c r="AV10" s="41"/>
      <c r="AW10" s="42"/>
    </row>
    <row r="11" spans="1:49" x14ac:dyDescent="0.2">
      <c r="A11" t="s">
        <v>29</v>
      </c>
      <c r="B11" s="41">
        <v>1015.9116825427475</v>
      </c>
      <c r="C11" s="42">
        <v>1005.7716594496609</v>
      </c>
      <c r="D11" s="41">
        <v>1014.8036418515759</v>
      </c>
      <c r="E11" s="42">
        <v>1071.5737105455935</v>
      </c>
      <c r="F11" s="41">
        <v>1014.2909018693729</v>
      </c>
      <c r="G11" s="42">
        <v>1143.1189298924166</v>
      </c>
      <c r="H11" s="41">
        <v>1014.5457794593374</v>
      </c>
      <c r="I11" s="42">
        <v>1220.7269098559884</v>
      </c>
      <c r="J11" s="41">
        <v>1015.7950839290299</v>
      </c>
      <c r="K11" s="42">
        <v>1304.6480818206776</v>
      </c>
      <c r="L11" s="41">
        <v>1018.3396355631759</v>
      </c>
      <c r="M11" s="42">
        <v>1395.0451197290547</v>
      </c>
      <c r="N11" s="41">
        <v>1022.578326006717</v>
      </c>
      <c r="O11" s="42">
        <v>1492.0146174855147</v>
      </c>
      <c r="P11" s="41">
        <v>1029.0410809330947</v>
      </c>
      <c r="Q11" s="42">
        <v>1595.672950741455</v>
      </c>
      <c r="R11" s="41">
        <v>1038.4364911936821</v>
      </c>
      <c r="S11" s="42">
        <v>1706.3632866060157</v>
      </c>
      <c r="T11" s="41">
        <v>1051.7194200886727</v>
      </c>
      <c r="U11" s="42">
        <v>1825.0818496733675</v>
      </c>
      <c r="V11" s="41">
        <v>1070.1938394721199</v>
      </c>
      <c r="W11" s="42">
        <v>1954.2706276165845</v>
      </c>
      <c r="X11" s="41">
        <v>1095.6721411432775</v>
      </c>
      <c r="Y11" s="42">
        <v>2099.2404273175971</v>
      </c>
      <c r="Z11" s="41">
        <v>1130.7386596708902</v>
      </c>
      <c r="AA11" s="42">
        <v>2270.7604056914188</v>
      </c>
      <c r="AB11" s="41">
        <v>1179.2284069731475</v>
      </c>
      <c r="AC11" s="42">
        <v>2490.058323648333</v>
      </c>
      <c r="AD11" s="41">
        <v>1247.2419582895316</v>
      </c>
      <c r="AE11" s="42">
        <v>2799.6685520140209</v>
      </c>
      <c r="AF11" s="41">
        <v>1345.6861686593945</v>
      </c>
      <c r="AG11" s="42">
        <v>3291.5853495433676</v>
      </c>
      <c r="AH11" s="41"/>
      <c r="AI11" s="42"/>
      <c r="AJ11" s="41"/>
      <c r="AK11" s="42"/>
      <c r="AL11" s="41"/>
      <c r="AM11" s="42"/>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c r="AI12" s="42"/>
      <c r="AJ12" s="41"/>
      <c r="AK12" s="42"/>
      <c r="AL12" s="41"/>
      <c r="AM12" s="42"/>
      <c r="AN12" s="41"/>
      <c r="AO12" s="42"/>
      <c r="AP12" s="41"/>
      <c r="AQ12" s="42"/>
      <c r="AR12" s="41"/>
      <c r="AS12" s="42"/>
      <c r="AT12" s="41"/>
      <c r="AU12" s="42"/>
      <c r="AV12" s="41"/>
      <c r="AW12" s="42"/>
    </row>
    <row r="13" spans="1:49" x14ac:dyDescent="0.2">
      <c r="A13" t="s">
        <v>17</v>
      </c>
      <c r="B13" s="97">
        <v>1000</v>
      </c>
      <c r="C13" s="98">
        <v>1000</v>
      </c>
      <c r="D13" s="97">
        <v>993.71568441658712</v>
      </c>
      <c r="E13" s="98">
        <v>993.71568441658712</v>
      </c>
      <c r="F13" s="97">
        <v>987.60013662735309</v>
      </c>
      <c r="G13" s="98">
        <v>987.60013662735309</v>
      </c>
      <c r="H13" s="97">
        <v>981.79406765871909</v>
      </c>
      <c r="I13" s="98">
        <v>981.79406765871909</v>
      </c>
      <c r="J13" s="97">
        <v>976.49379246953026</v>
      </c>
      <c r="K13" s="98">
        <v>976.49379246953026</v>
      </c>
      <c r="L13" s="97">
        <v>971.97179777873805</v>
      </c>
      <c r="M13" s="98">
        <v>971.97179777873805</v>
      </c>
      <c r="N13" s="97">
        <v>968.60066244649022</v>
      </c>
      <c r="O13" s="98">
        <v>968.60066244649022</v>
      </c>
      <c r="P13" s="97">
        <v>966.88479930671645</v>
      </c>
      <c r="Q13" s="98">
        <v>966.88479930671645</v>
      </c>
      <c r="R13" s="97">
        <v>967.50539994678491</v>
      </c>
      <c r="S13" s="98">
        <v>967.50539994678491</v>
      </c>
      <c r="T13" s="97">
        <v>971.38333908427899</v>
      </c>
      <c r="U13" s="98">
        <v>971.38333908427899</v>
      </c>
      <c r="V13" s="97">
        <v>979.77655546293465</v>
      </c>
      <c r="W13" s="98">
        <v>979.77655546293465</v>
      </c>
      <c r="X13" s="97">
        <v>994.43612425978961</v>
      </c>
      <c r="Y13" s="98">
        <v>994.43612425978961</v>
      </c>
      <c r="Z13" s="97">
        <v>1017.8745845629147</v>
      </c>
      <c r="AA13" s="98">
        <v>1017.8745845629147</v>
      </c>
      <c r="AB13" s="97">
        <v>1053.8675680078697</v>
      </c>
      <c r="AC13" s="98">
        <v>1053.8675680078697</v>
      </c>
      <c r="AD13" s="97">
        <v>1108.5324737788028</v>
      </c>
      <c r="AE13" s="98">
        <v>1108.5324737788028</v>
      </c>
      <c r="AF13" s="97">
        <v>1193.0647583458506</v>
      </c>
      <c r="AG13" s="98">
        <v>1193.0647583458506</v>
      </c>
      <c r="AH13" s="97"/>
      <c r="AI13" s="98"/>
      <c r="AJ13" s="97"/>
      <c r="AK13" s="98"/>
      <c r="AL13" s="97"/>
      <c r="AM13" s="98"/>
      <c r="AN13" s="97"/>
      <c r="AO13" s="98"/>
      <c r="AP13" s="97"/>
      <c r="AQ13" s="98"/>
      <c r="AR13" s="97"/>
      <c r="AS13" s="98"/>
      <c r="AT13" s="97"/>
      <c r="AU13" s="98"/>
      <c r="AV13" s="97"/>
      <c r="AW13" s="98"/>
    </row>
    <row r="14" spans="1:49" x14ac:dyDescent="0.2">
      <c r="A14" t="s">
        <v>36</v>
      </c>
      <c r="B14" s="41">
        <v>1457.0034251455234</v>
      </c>
      <c r="C14" s="42">
        <v>1457.0034251455236</v>
      </c>
      <c r="D14" s="41">
        <v>1447.8471558157953</v>
      </c>
      <c r="E14" s="42">
        <v>1447.8471558157955</v>
      </c>
      <c r="F14" s="41">
        <v>1438.9367817402401</v>
      </c>
      <c r="G14" s="42">
        <v>1438.9367817402403</v>
      </c>
      <c r="H14" s="41">
        <v>1430.4773193663093</v>
      </c>
      <c r="I14" s="42">
        <v>1430.4773193663095</v>
      </c>
      <c r="J14" s="41">
        <v>1422.7548002614474</v>
      </c>
      <c r="K14" s="42">
        <v>1422.7548002614476</v>
      </c>
      <c r="L14" s="41">
        <v>1416.1662385084733</v>
      </c>
      <c r="M14" s="42">
        <v>1416.1662385084735</v>
      </c>
      <c r="N14" s="41">
        <v>1411.2544827827592</v>
      </c>
      <c r="O14" s="42">
        <v>1411.2544827827594</v>
      </c>
      <c r="P14" s="41">
        <v>1408.7544643110277</v>
      </c>
      <c r="Q14" s="42">
        <v>1408.754464311028</v>
      </c>
      <c r="R14" s="41">
        <v>1409.6586815692549</v>
      </c>
      <c r="S14" s="42">
        <v>1409.6586815692551</v>
      </c>
      <c r="T14" s="41">
        <v>1415.3088521750897</v>
      </c>
      <c r="U14" s="42">
        <v>1415.3088521750899</v>
      </c>
      <c r="V14" s="41">
        <v>1427.5377971867786</v>
      </c>
      <c r="W14" s="42">
        <v>1427.5377971867788</v>
      </c>
      <c r="X14" s="41">
        <v>1448.8968391349526</v>
      </c>
      <c r="Y14" s="42">
        <v>1448.8968391349529</v>
      </c>
      <c r="Z14" s="41">
        <v>1483.0467560767433</v>
      </c>
      <c r="AA14" s="42">
        <v>1483.0467560767436</v>
      </c>
      <c r="AB14" s="41">
        <v>1535.488656237249</v>
      </c>
      <c r="AC14" s="42">
        <v>1535.4886562372492</v>
      </c>
      <c r="AD14" s="41">
        <v>1615.1356111807556</v>
      </c>
      <c r="AE14" s="42">
        <v>1615.1356111807559</v>
      </c>
      <c r="AF14" s="41">
        <v>1738.2994393303204</v>
      </c>
      <c r="AG14" s="42">
        <v>1738.2994393303206</v>
      </c>
      <c r="AH14" s="41"/>
      <c r="AI14" s="42"/>
      <c r="AJ14" s="41"/>
      <c r="AK14" s="42"/>
      <c r="AL14" s="41"/>
      <c r="AM14" s="42"/>
      <c r="AN14" s="41"/>
      <c r="AO14" s="42"/>
      <c r="AP14" s="41"/>
      <c r="AQ14" s="42"/>
      <c r="AR14" s="41"/>
      <c r="AS14" s="42"/>
      <c r="AT14" s="41"/>
      <c r="AU14" s="42"/>
      <c r="AV14" s="41"/>
      <c r="AW14" s="42"/>
    </row>
    <row r="15" spans="1:49" x14ac:dyDescent="0.2">
      <c r="A15" t="s">
        <v>18</v>
      </c>
      <c r="B15" s="154">
        <v>1000</v>
      </c>
      <c r="C15" s="155">
        <v>1000</v>
      </c>
      <c r="D15" s="154">
        <v>998.90931395886878</v>
      </c>
      <c r="E15" s="155">
        <v>998.90931395886878</v>
      </c>
      <c r="F15" s="154">
        <v>998.40460474938345</v>
      </c>
      <c r="G15" s="155">
        <v>998.40460474938345</v>
      </c>
      <c r="H15" s="154">
        <v>998.65549032767171</v>
      </c>
      <c r="I15" s="155">
        <v>998.65549032767171</v>
      </c>
      <c r="J15" s="154">
        <v>999.88522760814635</v>
      </c>
      <c r="K15" s="155">
        <v>999.88522760814635</v>
      </c>
      <c r="L15" s="154">
        <v>1002.3899252879457</v>
      </c>
      <c r="M15" s="155">
        <v>1002.3899252879457</v>
      </c>
      <c r="N15" s="154">
        <v>1006.5622273850454</v>
      </c>
      <c r="O15" s="155">
        <v>1006.5622273850454</v>
      </c>
      <c r="P15" s="154">
        <v>1012.9237596298582</v>
      </c>
      <c r="Q15" s="155">
        <v>1012.9237596298582</v>
      </c>
      <c r="R15" s="154">
        <v>1022.1720145933914</v>
      </c>
      <c r="S15" s="155">
        <v>1022.1720145933914</v>
      </c>
      <c r="T15" s="154">
        <v>1035.2469000615301</v>
      </c>
      <c r="U15" s="155">
        <v>1035.2469000615301</v>
      </c>
      <c r="V15" s="154">
        <v>1053.4319644730419</v>
      </c>
      <c r="W15" s="155">
        <v>1053.4319644730419</v>
      </c>
      <c r="X15" s="154">
        <v>1078.5112131016112</v>
      </c>
      <c r="Y15" s="155">
        <v>1078.5112131016112</v>
      </c>
      <c r="Z15" s="154">
        <v>1113.0285034627616</v>
      </c>
      <c r="AA15" s="155">
        <v>1113.0285034627616</v>
      </c>
      <c r="AB15" s="154">
        <v>1160.7587817295605</v>
      </c>
      <c r="AC15" s="155">
        <v>1160.7587817295605</v>
      </c>
      <c r="AD15" s="154">
        <v>1227.7070730870842</v>
      </c>
      <c r="AE15" s="155">
        <v>1227.7070730870842</v>
      </c>
      <c r="AF15" s="154">
        <v>1324.609404324643</v>
      </c>
      <c r="AG15" s="155">
        <v>1324.609404324643</v>
      </c>
      <c r="AH15" s="154"/>
      <c r="AI15" s="155"/>
      <c r="AJ15" s="154"/>
      <c r="AK15" s="155"/>
      <c r="AL15" s="154"/>
      <c r="AM15" s="155"/>
      <c r="AN15" s="154"/>
      <c r="AO15" s="155"/>
      <c r="AP15" s="154"/>
      <c r="AQ15" s="155"/>
      <c r="AR15" s="154"/>
      <c r="AS15" s="155"/>
      <c r="AT15" s="154"/>
      <c r="AU15" s="155"/>
      <c r="AV15" s="154"/>
      <c r="AW15" s="155"/>
    </row>
    <row r="16" spans="1:49" s="29" customFormat="1" x14ac:dyDescent="0.2">
      <c r="A16" t="s">
        <v>61</v>
      </c>
      <c r="B16" s="41">
        <v>1000</v>
      </c>
      <c r="C16" s="42">
        <v>1000</v>
      </c>
      <c r="D16" s="41">
        <v>996.13928050766151</v>
      </c>
      <c r="E16" s="42">
        <v>997.42650322859686</v>
      </c>
      <c r="F16" s="41">
        <v>992.63973191229309</v>
      </c>
      <c r="G16" s="42">
        <v>995.31893170493481</v>
      </c>
      <c r="H16" s="41">
        <v>989.65497558716163</v>
      </c>
      <c r="I16" s="42">
        <v>993.83841428596588</v>
      </c>
      <c r="J16" s="41">
        <v>987.39323244324669</v>
      </c>
      <c r="K16" s="42">
        <v>993.20024453801091</v>
      </c>
      <c r="L16" s="41">
        <v>986.13727087051529</v>
      </c>
      <c r="M16" s="42">
        <v>993.69348561739332</v>
      </c>
      <c r="N16" s="41">
        <v>986.26823902283604</v>
      </c>
      <c r="O16" s="42">
        <v>995.70473071954893</v>
      </c>
      <c r="P16" s="41">
        <v>988.29777186093656</v>
      </c>
      <c r="Q16" s="42">
        <v>999.75036329766522</v>
      </c>
      <c r="R16" s="41">
        <v>992.91389706114035</v>
      </c>
      <c r="S16" s="42">
        <v>1006.5229109088044</v>
      </c>
      <c r="T16" s="41">
        <v>1001.045712328142</v>
      </c>
      <c r="U16" s="42">
        <v>1016.9565826066403</v>
      </c>
      <c r="V16" s="41">
        <v>1013.9626643661823</v>
      </c>
      <c r="W16" s="42">
        <v>1032.3274387825993</v>
      </c>
      <c r="X16" s="41">
        <v>1033.4311372000511</v>
      </c>
      <c r="Y16" s="42">
        <v>1054.4100630343739</v>
      </c>
      <c r="Z16" s="41">
        <v>1061.9789279365525</v>
      </c>
      <c r="AA16" s="42">
        <v>1085.7396353465713</v>
      </c>
      <c r="AB16" s="41">
        <v>1103.3833157357049</v>
      </c>
      <c r="AC16" s="42">
        <v>1130.0920971356234</v>
      </c>
      <c r="AD16" s="41">
        <v>1163.7138230843134</v>
      </c>
      <c r="AE16" s="42">
        <v>1193.5064060476923</v>
      </c>
      <c r="AF16" s="41">
        <v>1253.9616181386502</v>
      </c>
      <c r="AG16" s="42">
        <v>1286.8538514216038</v>
      </c>
      <c r="AH16" s="41"/>
      <c r="AI16" s="42"/>
      <c r="AJ16" s="41"/>
      <c r="AK16" s="42"/>
      <c r="AL16" s="41"/>
      <c r="AM16" s="42"/>
      <c r="AN16" s="41"/>
      <c r="AO16" s="42"/>
      <c r="AP16" s="41"/>
      <c r="AQ16" s="42"/>
      <c r="AR16" s="41"/>
      <c r="AS16" s="42"/>
      <c r="AT16" s="41"/>
      <c r="AU16" s="42"/>
      <c r="AV16" s="41"/>
      <c r="AW16" s="42"/>
    </row>
    <row r="17" spans="1:49" x14ac:dyDescent="0.2">
      <c r="A17" t="s">
        <v>62</v>
      </c>
      <c r="B17" s="35">
        <v>999.99999999999977</v>
      </c>
      <c r="C17" s="36">
        <v>999.99999999999977</v>
      </c>
      <c r="D17" s="35">
        <v>999.00864115655963</v>
      </c>
      <c r="E17" s="36">
        <v>1033.5411801388357</v>
      </c>
      <c r="F17" s="35">
        <v>998.55019431890196</v>
      </c>
      <c r="G17" s="36">
        <v>1070.187294515142</v>
      </c>
      <c r="H17" s="35">
        <v>998.77806700736619</v>
      </c>
      <c r="I17" s="36">
        <v>1110.1652465423383</v>
      </c>
      <c r="J17" s="35">
        <v>999.89564764398813</v>
      </c>
      <c r="K17" s="36">
        <v>1153.6929516814489</v>
      </c>
      <c r="L17" s="35">
        <v>1002.1753518640539</v>
      </c>
      <c r="M17" s="36">
        <v>1200.9805846108579</v>
      </c>
      <c r="N17" s="35">
        <v>1005.9830997861023</v>
      </c>
      <c r="O17" s="36">
        <v>1252.2550352209278</v>
      </c>
      <c r="P17" s="35">
        <v>1011.8131777176543</v>
      </c>
      <c r="Q17" s="36">
        <v>1307.821549431326</v>
      </c>
      <c r="R17" s="35">
        <v>1020.3406812826961</v>
      </c>
      <c r="S17" s="36">
        <v>1368.1940556623194</v>
      </c>
      <c r="T17" s="35">
        <v>1032.4995439583049</v>
      </c>
      <c r="U17" s="36">
        <v>1434.3462605209118</v>
      </c>
      <c r="V17" s="35">
        <v>1049.606183577047</v>
      </c>
      <c r="W17" s="36">
        <v>1508.1653769966888</v>
      </c>
      <c r="X17" s="35">
        <v>1073.5593766109</v>
      </c>
      <c r="Y17" s="36">
        <v>1593.2528503154128</v>
      </c>
      <c r="Z17" s="35">
        <v>1107.1829492737043</v>
      </c>
      <c r="AA17" s="36">
        <v>1696.3676879929462</v>
      </c>
      <c r="AB17" s="35">
        <v>1154.8638066037697</v>
      </c>
      <c r="AC17" s="36">
        <v>1830.1968468867342</v>
      </c>
      <c r="AD17" s="35">
        <v>1223.915740869837</v>
      </c>
      <c r="AE17" s="36">
        <v>2019.3446706521315</v>
      </c>
      <c r="AF17" s="35">
        <v>1328.0274666838986</v>
      </c>
      <c r="AG17" s="36">
        <v>2315.7956672073933</v>
      </c>
      <c r="AH17" s="35"/>
      <c r="AI17" s="36"/>
      <c r="AJ17" s="35"/>
      <c r="AK17" s="36"/>
      <c r="AL17" s="35"/>
      <c r="AM17" s="36"/>
      <c r="AN17" s="35"/>
      <c r="AO17" s="36"/>
      <c r="AP17" s="35"/>
      <c r="AQ17" s="36"/>
      <c r="AR17" s="35"/>
      <c r="AS17" s="36"/>
      <c r="AT17" s="35"/>
      <c r="AU17" s="36"/>
      <c r="AV17" s="35"/>
      <c r="AW17" s="36"/>
    </row>
    <row r="18" spans="1:49" x14ac:dyDescent="0.2">
      <c r="A18" t="s">
        <v>19</v>
      </c>
      <c r="B18" s="33">
        <v>27857.010133999996</v>
      </c>
      <c r="C18" s="34">
        <v>1236.7674480000003</v>
      </c>
      <c r="D18" s="33">
        <v>27533.050816406158</v>
      </c>
      <c r="E18" s="34">
        <v>1149.9766110535431</v>
      </c>
      <c r="F18" s="33">
        <v>27153.773270799087</v>
      </c>
      <c r="G18" s="34">
        <v>1063.7581596287857</v>
      </c>
      <c r="H18" s="33">
        <v>26709.000941659997</v>
      </c>
      <c r="I18" s="34">
        <v>978.31365340066486</v>
      </c>
      <c r="J18" s="33">
        <v>26187.178682821428</v>
      </c>
      <c r="K18" s="34">
        <v>893.88030370413378</v>
      </c>
      <c r="L18" s="33">
        <v>25575.575998315828</v>
      </c>
      <c r="M18" s="34">
        <v>810.73140174758316</v>
      </c>
      <c r="N18" s="33">
        <v>24860.917479034757</v>
      </c>
      <c r="O18" s="34">
        <v>729.16392611549816</v>
      </c>
      <c r="P18" s="33">
        <v>24030.461709628176</v>
      </c>
      <c r="Q18" s="34">
        <v>649.47308349402101</v>
      </c>
      <c r="R18" s="33">
        <v>23073.593599625008</v>
      </c>
      <c r="S18" s="34">
        <v>571.91932751518448</v>
      </c>
      <c r="T18" s="33">
        <v>21983.936877743159</v>
      </c>
      <c r="U18" s="34">
        <v>496.68468231639002</v>
      </c>
      <c r="V18" s="33">
        <v>20761.738772774384</v>
      </c>
      <c r="W18" s="34">
        <v>423.82689134280434</v>
      </c>
      <c r="X18" s="33">
        <v>19415.985043683901</v>
      </c>
      <c r="Y18" s="34">
        <v>353.26664615760433</v>
      </c>
      <c r="Z18" s="33">
        <v>17965.403867831385</v>
      </c>
      <c r="AA18" s="34">
        <v>284.83693788525215</v>
      </c>
      <c r="AB18" s="33">
        <v>16436.869378159929</v>
      </c>
      <c r="AC18" s="34">
        <v>218.47507360092501</v>
      </c>
      <c r="AD18" s="33">
        <v>14859.076555149624</v>
      </c>
      <c r="AE18" s="34">
        <v>154.6676781200689</v>
      </c>
      <c r="AF18" s="33">
        <v>13249.043786946131</v>
      </c>
      <c r="AG18" s="34">
        <v>95.317723564430949</v>
      </c>
      <c r="AH18" s="33"/>
      <c r="AI18" s="34"/>
      <c r="AJ18" s="33"/>
      <c r="AK18" s="34"/>
      <c r="AL18" s="33"/>
      <c r="AM18" s="34"/>
      <c r="AN18" s="33"/>
      <c r="AO18" s="34"/>
      <c r="AP18" s="33"/>
      <c r="AQ18" s="34"/>
      <c r="AR18" s="33"/>
      <c r="AS18" s="34"/>
      <c r="AT18" s="33"/>
      <c r="AU18" s="34"/>
      <c r="AV18" s="33"/>
      <c r="AW18" s="34"/>
    </row>
    <row r="19" spans="1:49" x14ac:dyDescent="0.2">
      <c r="A19" t="s">
        <v>3</v>
      </c>
      <c r="B19" s="41">
        <v>1886.3937399999918</v>
      </c>
      <c r="C19" s="42">
        <v>262.78711299999759</v>
      </c>
      <c r="D19" s="41">
        <v>1859.5789932524692</v>
      </c>
      <c r="E19" s="42">
        <v>269.41392841494633</v>
      </c>
      <c r="F19" s="41">
        <v>1831.7389282028134</v>
      </c>
      <c r="G19" s="42">
        <v>276.55688016218255</v>
      </c>
      <c r="H19" s="41">
        <v>1802.8225607369104</v>
      </c>
      <c r="I19" s="42">
        <v>284.11480825608891</v>
      </c>
      <c r="J19" s="41">
        <v>1772.8292709329746</v>
      </c>
      <c r="K19" s="42">
        <v>291.93627635328937</v>
      </c>
      <c r="L19" s="41">
        <v>1741.8493737980029</v>
      </c>
      <c r="M19" s="42">
        <v>299.81323460956628</v>
      </c>
      <c r="N19" s="41">
        <v>1710.123387578956</v>
      </c>
      <c r="O19" s="42">
        <v>307.48598311930652</v>
      </c>
      <c r="P19" s="41">
        <v>1678.1287394546189</v>
      </c>
      <c r="Q19" s="42">
        <v>314.66286538739695</v>
      </c>
      <c r="R19" s="41">
        <v>1646.7082195081016</v>
      </c>
      <c r="S19" s="42">
        <v>321.06117944388956</v>
      </c>
      <c r="T19" s="41">
        <v>1617.2484521164522</v>
      </c>
      <c r="U19" s="42">
        <v>326.47304753051662</v>
      </c>
      <c r="V19" s="41">
        <v>1591.9374836316949</v>
      </c>
      <c r="W19" s="42">
        <v>330.85120464226827</v>
      </c>
      <c r="X19" s="41">
        <v>1574.1308595566961</v>
      </c>
      <c r="Y19" s="42">
        <v>334.39229983385997</v>
      </c>
      <c r="Z19" s="41">
        <v>1568.9192061548213</v>
      </c>
      <c r="AA19" s="42">
        <v>337.57203098429903</v>
      </c>
      <c r="AB19" s="41">
        <v>1584.1090351541602</v>
      </c>
      <c r="AC19" s="42">
        <v>341.03102961257036</v>
      </c>
      <c r="AD19" s="41">
        <v>1632.2791877701166</v>
      </c>
      <c r="AE19" s="42">
        <v>345.09554945963919</v>
      </c>
      <c r="AF19" s="41">
        <v>1736.1032131789573</v>
      </c>
      <c r="AG19" s="42">
        <v>348.44278114745623</v>
      </c>
      <c r="AH19" s="41"/>
      <c r="AI19" s="42"/>
      <c r="AJ19" s="41"/>
      <c r="AK19" s="42"/>
      <c r="AL19" s="41"/>
      <c r="AM19" s="42"/>
      <c r="AN19" s="41"/>
      <c r="AO19" s="42"/>
      <c r="AP19" s="41"/>
      <c r="AQ19" s="42"/>
      <c r="AR19" s="41"/>
      <c r="AS19" s="42"/>
      <c r="AT19" s="41"/>
      <c r="AU19" s="42"/>
      <c r="AV19" s="41"/>
      <c r="AW19" s="42"/>
    </row>
    <row r="20" spans="1:49" x14ac:dyDescent="0.2">
      <c r="A20" t="s">
        <v>127</v>
      </c>
      <c r="B20" s="82">
        <v>26548.356269999993</v>
      </c>
      <c r="C20" s="83">
        <v>1408.5418709999938</v>
      </c>
      <c r="D20" s="82">
        <v>26228.158410834043</v>
      </c>
      <c r="E20" s="83">
        <v>1338.1147774499941</v>
      </c>
      <c r="F20" s="82">
        <v>25861.619375247799</v>
      </c>
      <c r="G20" s="83">
        <v>1267.6876838999945</v>
      </c>
      <c r="H20" s="82">
        <v>25440.572861162618</v>
      </c>
      <c r="I20" s="83">
        <v>1197.2605903499946</v>
      </c>
      <c r="J20" s="82">
        <v>24955.823100614733</v>
      </c>
      <c r="K20" s="83">
        <v>1126.8334967999949</v>
      </c>
      <c r="L20" s="82">
        <v>24397.341240633163</v>
      </c>
      <c r="M20" s="83">
        <v>1056.4064032499953</v>
      </c>
      <c r="N20" s="82">
        <v>23754.805480908009</v>
      </c>
      <c r="O20" s="83">
        <v>985.97930969999561</v>
      </c>
      <c r="P20" s="82">
        <v>23018.501533094688</v>
      </c>
      <c r="Q20" s="83">
        <v>915.55221614999596</v>
      </c>
      <c r="R20" s="82">
        <v>22180.634573641124</v>
      </c>
      <c r="S20" s="83">
        <v>845.12512259999642</v>
      </c>
      <c r="T20" s="82">
        <v>21237.048384663609</v>
      </c>
      <c r="U20" s="83">
        <v>774.69802904999653</v>
      </c>
      <c r="V20" s="82">
        <v>20189.162934343396</v>
      </c>
      <c r="W20" s="83">
        <v>704.27093549999688</v>
      </c>
      <c r="X20" s="82">
        <v>19045.693455373337</v>
      </c>
      <c r="Y20" s="83">
        <v>633.84384194999723</v>
      </c>
      <c r="Z20" s="82">
        <v>17823.512514015336</v>
      </c>
      <c r="AA20" s="83">
        <v>563.41674839999746</v>
      </c>
      <c r="AB20" s="82">
        <v>16546.509785601964</v>
      </c>
      <c r="AC20" s="83">
        <v>492.98965484999781</v>
      </c>
      <c r="AD20" s="82">
        <v>15240.8860574588</v>
      </c>
      <c r="AE20" s="83">
        <v>422.56256129999809</v>
      </c>
      <c r="AF20" s="82">
        <v>13925.319344938443</v>
      </c>
      <c r="AG20" s="83">
        <v>352.13546774999827</v>
      </c>
      <c r="AH20" s="82"/>
      <c r="AI20" s="83"/>
      <c r="AJ20" s="82"/>
      <c r="AK20" s="83"/>
      <c r="AL20" s="82"/>
      <c r="AM20" s="83"/>
      <c r="AN20" s="82"/>
      <c r="AO20" s="83"/>
      <c r="AP20" s="82"/>
      <c r="AQ20" s="83"/>
      <c r="AR20" s="82"/>
      <c r="AS20" s="83"/>
      <c r="AT20" s="82"/>
      <c r="AU20" s="83"/>
      <c r="AV20" s="82"/>
      <c r="AW20" s="83"/>
    </row>
    <row r="21" spans="1:49" x14ac:dyDescent="0.2">
      <c r="A21" t="s">
        <v>76</v>
      </c>
      <c r="B21" s="82">
        <v>24661.962529999968</v>
      </c>
      <c r="C21" s="83">
        <v>1145.7547579999991</v>
      </c>
      <c r="D21" s="82">
        <v>24368.581804145124</v>
      </c>
      <c r="E21" s="83">
        <v>1068.9344401650628</v>
      </c>
      <c r="F21" s="82">
        <v>24029.885482020742</v>
      </c>
      <c r="G21" s="83">
        <v>992.11181769728989</v>
      </c>
      <c r="H21" s="82">
        <v>23637.753818128211</v>
      </c>
      <c r="I21" s="83">
        <v>915.45687657327869</v>
      </c>
      <c r="J21" s="82">
        <v>23182.993854825974</v>
      </c>
      <c r="K21" s="83">
        <v>839.18407939628901</v>
      </c>
      <c r="L21" s="82">
        <v>22655.502525826229</v>
      </c>
      <c r="M21" s="83">
        <v>763.55249818413972</v>
      </c>
      <c r="N21" s="82">
        <v>22044.760338735647</v>
      </c>
      <c r="O21" s="83">
        <v>688.8554017360824</v>
      </c>
      <c r="P21" s="82">
        <v>21340.666869629527</v>
      </c>
      <c r="Q21" s="83">
        <v>615.39880894812882</v>
      </c>
      <c r="R21" s="82">
        <v>20534.760398537332</v>
      </c>
      <c r="S21" s="83">
        <v>543.46710652734782</v>
      </c>
      <c r="T21" s="82">
        <v>19621.818023545322</v>
      </c>
      <c r="U21" s="83">
        <v>473.2778204374676</v>
      </c>
      <c r="V21" s="82">
        <v>18601.634300991478</v>
      </c>
      <c r="W21" s="83">
        <v>404.93600377983546</v>
      </c>
      <c r="X21" s="82">
        <v>17480.542360051368</v>
      </c>
      <c r="Y21" s="83">
        <v>338.41235076991597</v>
      </c>
      <c r="Z21" s="82">
        <v>16272.010333206576</v>
      </c>
      <c r="AA21" s="83">
        <v>273.58480843297411</v>
      </c>
      <c r="AB21" s="82">
        <v>14995.109245534024</v>
      </c>
      <c r="AC21" s="83">
        <v>210.41556480400595</v>
      </c>
      <c r="AD21" s="82">
        <v>13669.052927235016</v>
      </c>
      <c r="AE21" s="83">
        <v>149.38079598686033</v>
      </c>
      <c r="AF21" s="82">
        <v>12301.452103468244</v>
      </c>
      <c r="AG21" s="83">
        <v>92.322317899856017</v>
      </c>
      <c r="AH21" s="82"/>
      <c r="AI21" s="83"/>
      <c r="AJ21" s="82"/>
      <c r="AK21" s="83"/>
      <c r="AL21" s="82"/>
      <c r="AM21" s="83"/>
      <c r="AN21" s="82"/>
      <c r="AO21" s="83"/>
      <c r="AP21" s="82"/>
      <c r="AQ21" s="83"/>
      <c r="AR21" s="82"/>
      <c r="AS21" s="83"/>
      <c r="AT21" s="82"/>
      <c r="AU21" s="83"/>
      <c r="AV21" s="82"/>
      <c r="AW21" s="83"/>
    </row>
    <row r="22" spans="1:49" x14ac:dyDescent="0.2">
      <c r="A22" t="s">
        <v>28</v>
      </c>
      <c r="B22" s="41">
        <v>6533.6044688320644</v>
      </c>
      <c r="C22" s="42">
        <v>379.90788307663382</v>
      </c>
      <c r="D22" s="41">
        <v>6426.3310988099365</v>
      </c>
      <c r="E22" s="42">
        <v>359.26146870225182</v>
      </c>
      <c r="F22" s="41">
        <v>6306.0190186892723</v>
      </c>
      <c r="G22" s="42">
        <v>338.80250986961801</v>
      </c>
      <c r="H22" s="41">
        <v>6170.5976588167341</v>
      </c>
      <c r="I22" s="42">
        <v>318.55439634845811</v>
      </c>
      <c r="J22" s="41">
        <v>6017.7759978138783</v>
      </c>
      <c r="K22" s="42">
        <v>298.5415234290881</v>
      </c>
      <c r="L22" s="41">
        <v>5845.105231167161</v>
      </c>
      <c r="M22" s="42">
        <v>278.7892207388872</v>
      </c>
      <c r="N22" s="41">
        <v>5650.1258529822053</v>
      </c>
      <c r="O22" s="42">
        <v>259.32203649083436</v>
      </c>
      <c r="P22" s="41">
        <v>5430.5997141867347</v>
      </c>
      <c r="Q22" s="42">
        <v>240.16180678689804</v>
      </c>
      <c r="R22" s="41">
        <v>5184.8378759702045</v>
      </c>
      <c r="S22" s="42">
        <v>221.32541879936684</v>
      </c>
      <c r="T22" s="41">
        <v>4912.1119992098729</v>
      </c>
      <c r="U22" s="42">
        <v>202.82100383315009</v>
      </c>
      <c r="V22" s="41">
        <v>4613.1085060652704</v>
      </c>
      <c r="W22" s="42">
        <v>184.64308858138668</v>
      </c>
      <c r="X22" s="41">
        <v>4290.2963605079003</v>
      </c>
      <c r="Y22" s="42">
        <v>166.76407684520217</v>
      </c>
      <c r="Z22" s="41">
        <v>3948.0638686565871</v>
      </c>
      <c r="AA22" s="42">
        <v>149.12092857053165</v>
      </c>
      <c r="AB22" s="41">
        <v>3592.3200268654991</v>
      </c>
      <c r="AC22" s="42">
        <v>131.59212952000715</v>
      </c>
      <c r="AD22" s="41">
        <v>3229.1396411929022</v>
      </c>
      <c r="AE22" s="42">
        <v>113.95927739361233</v>
      </c>
      <c r="AF22" s="41">
        <v>2861.9840200941912</v>
      </c>
      <c r="AG22" s="42">
        <v>95.845947637873238</v>
      </c>
      <c r="AH22" s="41"/>
      <c r="AI22" s="42"/>
      <c r="AJ22" s="41"/>
      <c r="AK22" s="42"/>
      <c r="AL22" s="41"/>
      <c r="AM22" s="42"/>
      <c r="AN22" s="41"/>
      <c r="AO22" s="42"/>
      <c r="AP22" s="41"/>
      <c r="AQ22" s="42"/>
      <c r="AR22" s="41"/>
      <c r="AS22" s="42"/>
      <c r="AT22" s="41"/>
      <c r="AU22" s="42"/>
      <c r="AV22" s="41"/>
      <c r="AW22" s="42"/>
    </row>
    <row r="23" spans="1:49" x14ac:dyDescent="0.2">
      <c r="A23" t="s">
        <v>7</v>
      </c>
      <c r="B23" s="116">
        <v>3278.5018080150408</v>
      </c>
      <c r="C23" s="8">
        <v>0</v>
      </c>
      <c r="D23" s="116">
        <v>3242.6014847753831</v>
      </c>
      <c r="E23" s="8">
        <v>0</v>
      </c>
      <c r="F23" s="116">
        <v>3199.881094555667</v>
      </c>
      <c r="G23" s="8">
        <v>0</v>
      </c>
      <c r="H23" s="116">
        <v>3149.0886293973349</v>
      </c>
      <c r="I23" s="8">
        <v>0</v>
      </c>
      <c r="J23" s="116">
        <v>3088.8083779303861</v>
      </c>
      <c r="K23" s="8">
        <v>0</v>
      </c>
      <c r="L23" s="116">
        <v>3017.4892500018282</v>
      </c>
      <c r="M23" s="8">
        <v>0</v>
      </c>
      <c r="N23" s="116">
        <v>2933.5281673261629</v>
      </c>
      <c r="O23" s="8">
        <v>0</v>
      </c>
      <c r="P23" s="116">
        <v>2835.4113728687134</v>
      </c>
      <c r="Q23" s="8">
        <v>0</v>
      </c>
      <c r="R23" s="116">
        <v>2721.9203189094387</v>
      </c>
      <c r="S23" s="8">
        <v>0</v>
      </c>
      <c r="T23" s="116">
        <v>2592.4060908080478</v>
      </c>
      <c r="U23" s="8">
        <v>0</v>
      </c>
      <c r="V23" s="116">
        <v>2447.1017762896058</v>
      </c>
      <c r="W23" s="8">
        <v>0</v>
      </c>
      <c r="X23" s="116">
        <v>2287.4105318482493</v>
      </c>
      <c r="Y23" s="8">
        <v>0</v>
      </c>
      <c r="Z23" s="116">
        <v>2116.0713998973511</v>
      </c>
      <c r="AA23" s="8">
        <v>0</v>
      </c>
      <c r="AB23" s="116">
        <v>1937.0374478374149</v>
      </c>
      <c r="AC23" s="8">
        <v>0</v>
      </c>
      <c r="AD23" s="116">
        <v>1754.8518945664823</v>
      </c>
      <c r="AE23" s="8">
        <v>0</v>
      </c>
      <c r="AF23" s="116">
        <v>1573.3541848545244</v>
      </c>
      <c r="AG23" s="8">
        <v>0</v>
      </c>
      <c r="AH23" s="116"/>
      <c r="AI23" s="8"/>
      <c r="AJ23" s="116"/>
      <c r="AK23" s="8"/>
      <c r="AL23" s="116"/>
      <c r="AM23" s="8"/>
      <c r="AN23" s="116"/>
      <c r="AO23" s="8"/>
      <c r="AP23" s="116"/>
      <c r="AQ23" s="8"/>
      <c r="AR23" s="116"/>
      <c r="AS23" s="8"/>
      <c r="AT23" s="116"/>
      <c r="AU23" s="8"/>
      <c r="AV23" s="116"/>
      <c r="AW23" s="8"/>
    </row>
    <row r="24" spans="1:49" x14ac:dyDescent="0.2">
      <c r="A24" t="s">
        <v>8</v>
      </c>
      <c r="B24" s="97">
        <v>3196.3846373657216</v>
      </c>
      <c r="C24" s="8">
        <v>0</v>
      </c>
      <c r="D24" s="97">
        <v>3196.3846373657216</v>
      </c>
      <c r="E24" s="8">
        <v>0</v>
      </c>
      <c r="F24" s="97">
        <v>3196.3846373657216</v>
      </c>
      <c r="G24" s="8">
        <v>0</v>
      </c>
      <c r="H24" s="97">
        <v>3196.3846373657216</v>
      </c>
      <c r="I24" s="8">
        <v>0</v>
      </c>
      <c r="J24" s="97">
        <v>3196.3846373657216</v>
      </c>
      <c r="K24" s="8">
        <v>0</v>
      </c>
      <c r="L24" s="97">
        <v>3196.3846373657216</v>
      </c>
      <c r="M24" s="8">
        <v>0</v>
      </c>
      <c r="N24" s="97">
        <v>3196.3846373657216</v>
      </c>
      <c r="O24" s="8">
        <v>0</v>
      </c>
      <c r="P24" s="97">
        <v>3196.3846373657216</v>
      </c>
      <c r="Q24" s="8">
        <v>0</v>
      </c>
      <c r="R24" s="97">
        <v>3196.3846373657216</v>
      </c>
      <c r="S24" s="8">
        <v>0</v>
      </c>
      <c r="T24" s="97">
        <v>3196.3846373657216</v>
      </c>
      <c r="U24" s="8">
        <v>0</v>
      </c>
      <c r="V24" s="97">
        <v>3196.3846373657216</v>
      </c>
      <c r="W24" s="8">
        <v>0</v>
      </c>
      <c r="X24" s="97">
        <v>3196.3846373657216</v>
      </c>
      <c r="Y24" s="8">
        <v>0</v>
      </c>
      <c r="Z24" s="97">
        <v>3196.3846373657216</v>
      </c>
      <c r="AA24" s="8">
        <v>0</v>
      </c>
      <c r="AB24" s="97">
        <v>3196.3846373657216</v>
      </c>
      <c r="AC24" s="8">
        <v>0</v>
      </c>
      <c r="AD24" s="97">
        <v>3196.3846373657216</v>
      </c>
      <c r="AE24" s="8">
        <v>0</v>
      </c>
      <c r="AF24" s="97">
        <v>3196.3846373657216</v>
      </c>
      <c r="AG24" s="8">
        <v>0</v>
      </c>
      <c r="AH24" s="97"/>
      <c r="AI24" s="8"/>
      <c r="AJ24" s="97"/>
      <c r="AK24" s="8"/>
      <c r="AL24" s="97"/>
      <c r="AM24" s="8"/>
      <c r="AN24" s="97"/>
      <c r="AO24" s="8"/>
      <c r="AP24" s="97"/>
      <c r="AQ24" s="8"/>
      <c r="AR24" s="97"/>
      <c r="AS24" s="8"/>
      <c r="AT24" s="97"/>
      <c r="AU24" s="8"/>
      <c r="AV24" s="97"/>
      <c r="AW24" s="8"/>
    </row>
    <row r="25" spans="1:49" x14ac:dyDescent="0.2">
      <c r="A25" t="s">
        <v>0</v>
      </c>
      <c r="B25" s="41">
        <v>3195.0476040000012</v>
      </c>
      <c r="C25" s="42">
        <v>91.012690000004397</v>
      </c>
      <c r="D25" s="41">
        <v>3164.4649812354569</v>
      </c>
      <c r="E25" s="42">
        <v>80.999662790208532</v>
      </c>
      <c r="F25" s="41">
        <v>3123.8793017149414</v>
      </c>
      <c r="G25" s="42">
        <v>71.485071762642818</v>
      </c>
      <c r="H25" s="41">
        <v>3071.240686252524</v>
      </c>
      <c r="I25" s="42">
        <v>62.51391204301509</v>
      </c>
      <c r="J25" s="41">
        <v>3004.1841537531241</v>
      </c>
      <c r="K25" s="42">
        <v>54.126321118711772</v>
      </c>
      <c r="L25" s="41">
        <v>2920.056252567821</v>
      </c>
      <c r="M25" s="42">
        <v>46.355294352371402</v>
      </c>
      <c r="N25" s="41">
        <v>2816.0329477990899</v>
      </c>
      <c r="O25" s="42">
        <v>39.223454736812442</v>
      </c>
      <c r="P25" s="41">
        <v>2689.3362892328573</v>
      </c>
      <c r="Q25" s="42">
        <v>32.739997866330768</v>
      </c>
      <c r="R25" s="41">
        <v>2537.5642425792948</v>
      </c>
      <c r="S25" s="42">
        <v>26.898758322996283</v>
      </c>
      <c r="T25" s="41">
        <v>2359.1532668261302</v>
      </c>
      <c r="U25" s="42">
        <v>21.67789654406182</v>
      </c>
      <c r="V25" s="41">
        <v>2153.925162889559</v>
      </c>
      <c r="W25" s="42">
        <v>17.042367762190576</v>
      </c>
      <c r="X25" s="41">
        <v>1923.6381779449464</v>
      </c>
      <c r="Y25" s="42">
        <v>12.951141472696758</v>
      </c>
      <c r="Z25" s="41">
        <v>1672.3849687039376</v>
      </c>
      <c r="AA25" s="42">
        <v>9.3696086815875752</v>
      </c>
      <c r="AB25" s="41">
        <v>1406.5935178596326</v>
      </c>
      <c r="AC25" s="42">
        <v>6.2876235266263896</v>
      </c>
      <c r="AD25" s="41">
        <v>1134.3232205193358</v>
      </c>
      <c r="AE25" s="42">
        <v>3.7388569708958994</v>
      </c>
      <c r="AF25" s="41">
        <v>863.75710009522993</v>
      </c>
      <c r="AG25" s="42">
        <v>1.8078439989982942</v>
      </c>
      <c r="AH25" s="41"/>
      <c r="AI25" s="42"/>
      <c r="AJ25" s="41"/>
      <c r="AK25" s="42"/>
      <c r="AL25" s="41"/>
      <c r="AM25" s="42"/>
      <c r="AN25" s="41"/>
      <c r="AO25" s="42"/>
      <c r="AP25" s="41"/>
      <c r="AQ25" s="42"/>
      <c r="AR25" s="41"/>
      <c r="AS25" s="42"/>
      <c r="AT25" s="41"/>
      <c r="AU25" s="42"/>
      <c r="AV25" s="41"/>
      <c r="AW25" s="42"/>
    </row>
    <row r="26" spans="1:49" x14ac:dyDescent="0.2">
      <c r="A26" t="s">
        <v>27</v>
      </c>
      <c r="B26" s="33">
        <v>5036.2953101960647</v>
      </c>
      <c r="C26" s="34">
        <v>74.905331803938267</v>
      </c>
      <c r="D26" s="33">
        <v>4984.781464347855</v>
      </c>
      <c r="E26" s="34">
        <v>69.727015905167093</v>
      </c>
      <c r="F26" s="33">
        <v>4923.7186024620696</v>
      </c>
      <c r="G26" s="34">
        <v>64.580776926987213</v>
      </c>
      <c r="H26" s="33">
        <v>4851.2277310236914</v>
      </c>
      <c r="I26" s="34">
        <v>59.477209738808817</v>
      </c>
      <c r="J26" s="33">
        <v>4765.1458468240508</v>
      </c>
      <c r="K26" s="34">
        <v>54.428838917047337</v>
      </c>
      <c r="L26" s="33">
        <v>4663.0510272496713</v>
      </c>
      <c r="M26" s="34">
        <v>49.45018023065559</v>
      </c>
      <c r="N26" s="33">
        <v>4542.3661702093877</v>
      </c>
      <c r="O26" s="34">
        <v>44.557094060760427</v>
      </c>
      <c r="P26" s="33">
        <v>4400.5459903754581</v>
      </c>
      <c r="Q26" s="34">
        <v>39.765403346790983</v>
      </c>
      <c r="R26" s="33">
        <v>4235.3616527279064</v>
      </c>
      <c r="S26" s="34">
        <v>35.089058115738844</v>
      </c>
      <c r="T26" s="33">
        <v>4045.288162897145</v>
      </c>
      <c r="U26" s="34">
        <v>30.537664683864019</v>
      </c>
      <c r="V26" s="33">
        <v>3829.9499865320622</v>
      </c>
      <c r="W26" s="34">
        <v>26.113868965617797</v>
      </c>
      <c r="X26" s="33">
        <v>3590.5253669011695</v>
      </c>
      <c r="Y26" s="34">
        <v>21.812649517771895</v>
      </c>
      <c r="Z26" s="33">
        <v>3329.9499515297393</v>
      </c>
      <c r="AA26" s="34">
        <v>17.624366457243056</v>
      </c>
      <c r="AB26" s="33">
        <v>3052.6366585219766</v>
      </c>
      <c r="AC26" s="34">
        <v>13.546500827965799</v>
      </c>
      <c r="AD26" s="33">
        <v>2763.2955971357728</v>
      </c>
      <c r="AE26" s="34">
        <v>9.6109942594803695</v>
      </c>
      <c r="AF26" s="33">
        <v>2464.3396231489301</v>
      </c>
      <c r="AG26" s="34">
        <v>5.9377795775618392</v>
      </c>
      <c r="AH26" s="33"/>
      <c r="AI26" s="34"/>
      <c r="AJ26" s="33"/>
      <c r="AK26" s="34"/>
      <c r="AL26" s="33"/>
      <c r="AM26" s="34"/>
      <c r="AN26" s="33"/>
      <c r="AO26" s="34"/>
      <c r="AP26" s="33"/>
      <c r="AQ26" s="34"/>
      <c r="AR26" s="33"/>
      <c r="AS26" s="34"/>
      <c r="AT26" s="33"/>
      <c r="AU26" s="34"/>
      <c r="AV26" s="33"/>
      <c r="AW26" s="34"/>
    </row>
    <row r="27" spans="1:49" x14ac:dyDescent="0.2">
      <c r="A27" t="s">
        <v>2</v>
      </c>
      <c r="B27" s="35">
        <v>6425.1981590000069</v>
      </c>
      <c r="C27" s="36">
        <v>273.22915400000028</v>
      </c>
      <c r="D27" s="35">
        <v>6349.5404787198904</v>
      </c>
      <c r="E27" s="36">
        <v>254.14163468018072</v>
      </c>
      <c r="F27" s="35">
        <v>6261.1043676907047</v>
      </c>
      <c r="G27" s="36">
        <v>235.18454687051295</v>
      </c>
      <c r="H27" s="35">
        <v>6157.5568205673335</v>
      </c>
      <c r="I27" s="36">
        <v>216.39919554321608</v>
      </c>
      <c r="J27" s="35">
        <v>6036.2517475486929</v>
      </c>
      <c r="K27" s="36">
        <v>197.83417005817111</v>
      </c>
      <c r="L27" s="35">
        <v>5894.2777782524727</v>
      </c>
      <c r="M27" s="36">
        <v>179.54557955125847</v>
      </c>
      <c r="N27" s="35">
        <v>5728.6029188927778</v>
      </c>
      <c r="O27" s="36">
        <v>161.5945737001185</v>
      </c>
      <c r="P27" s="35">
        <v>5536.3214178479866</v>
      </c>
      <c r="Q27" s="36">
        <v>144.04207997452835</v>
      </c>
      <c r="R27" s="35">
        <v>5315.017086237056</v>
      </c>
      <c r="S27" s="36">
        <v>126.94201601206828</v>
      </c>
      <c r="T27" s="35">
        <v>5063.2435161798012</v>
      </c>
      <c r="U27" s="36">
        <v>110.33216691521446</v>
      </c>
      <c r="V27" s="35">
        <v>4781.0645267232967</v>
      </c>
      <c r="W27" s="36">
        <v>94.224455488764306</v>
      </c>
      <c r="X27" s="35">
        <v>4470.529885604039</v>
      </c>
      <c r="Y27" s="36">
        <v>78.60236319746717</v>
      </c>
      <c r="Z27" s="35">
        <v>4135.894362792239</v>
      </c>
      <c r="AA27" s="36">
        <v>63.431654510422959</v>
      </c>
      <c r="AB27" s="35">
        <v>3783.238059830609</v>
      </c>
      <c r="AC27" s="36">
        <v>48.702140806207851</v>
      </c>
      <c r="AD27" s="35">
        <v>3418.9974935134169</v>
      </c>
      <c r="AE27" s="36">
        <v>34.524759829399265</v>
      </c>
      <c r="AF27" s="35">
        <v>3046.8337194062315</v>
      </c>
      <c r="AG27" s="36">
        <v>21.321846731802999</v>
      </c>
      <c r="AH27" s="35"/>
      <c r="AI27" s="36"/>
      <c r="AJ27" s="35"/>
      <c r="AK27" s="36"/>
      <c r="AL27" s="35"/>
      <c r="AM27" s="36"/>
      <c r="AN27" s="35"/>
      <c r="AO27" s="36"/>
      <c r="AP27" s="35"/>
      <c r="AQ27" s="36"/>
      <c r="AR27" s="35"/>
      <c r="AS27" s="36"/>
      <c r="AT27" s="35"/>
      <c r="AU27" s="36"/>
      <c r="AV27" s="35"/>
      <c r="AW27" s="36"/>
    </row>
    <row r="28" spans="1:49" x14ac:dyDescent="0.2">
      <c r="A28" t="s">
        <v>35</v>
      </c>
      <c r="B28" s="41">
        <v>13763.097676000023</v>
      </c>
      <c r="C28" s="42">
        <v>382.36647899999997</v>
      </c>
      <c r="D28" s="41">
        <v>13612.370335312853</v>
      </c>
      <c r="E28" s="42">
        <v>355.733987905763</v>
      </c>
      <c r="F28" s="41">
        <v>13434.919847393681</v>
      </c>
      <c r="G28" s="42">
        <v>329.27836442591575</v>
      </c>
      <c r="H28" s="41">
        <v>13225.669042873595</v>
      </c>
      <c r="I28" s="42">
        <v>303.05635204037668</v>
      </c>
      <c r="J28" s="41">
        <v>12978.813976543113</v>
      </c>
      <c r="K28" s="42">
        <v>277.13480495011612</v>
      </c>
      <c r="L28" s="41">
        <v>12687.909143798282</v>
      </c>
      <c r="M28" s="42">
        <v>251.59101818697647</v>
      </c>
      <c r="N28" s="41">
        <v>12346.164514799402</v>
      </c>
      <c r="O28" s="42">
        <v>226.50931126179887</v>
      </c>
      <c r="P28" s="41">
        <v>11946.966441674902</v>
      </c>
      <c r="Q28" s="42">
        <v>201.97375474740718</v>
      </c>
      <c r="R28" s="41">
        <v>11484.657511944009</v>
      </c>
      <c r="S28" s="42">
        <v>178.05871054338206</v>
      </c>
      <c r="T28" s="41">
        <v>10955.582912850841</v>
      </c>
      <c r="U28" s="42">
        <v>154.8161087905417</v>
      </c>
      <c r="V28" s="41">
        <v>10359.281394719219</v>
      </c>
      <c r="W28" s="42">
        <v>132.2618997591434</v>
      </c>
      <c r="X28" s="41">
        <v>9699.5504631336298</v>
      </c>
      <c r="Y28" s="42">
        <v>110.37243773174434</v>
      </c>
      <c r="Z28" s="41">
        <v>8984.9615051968303</v>
      </c>
      <c r="AA28" s="42">
        <v>89.099629271859953</v>
      </c>
      <c r="AB28" s="41">
        <v>8228.0705471263409</v>
      </c>
      <c r="AC28" s="42">
        <v>68.429764423576145</v>
      </c>
      <c r="AD28" s="41">
        <v>7442.2287997579833</v>
      </c>
      <c r="AE28" s="42">
        <v>48.520351992385351</v>
      </c>
      <c r="AF28" s="41">
        <v>6634.6725952667075</v>
      </c>
      <c r="AG28" s="42">
        <v>29.968249748376806</v>
      </c>
      <c r="AH28" s="41"/>
      <c r="AI28" s="42"/>
      <c r="AJ28" s="41"/>
      <c r="AK28" s="42"/>
      <c r="AL28" s="41"/>
      <c r="AM28" s="42"/>
      <c r="AN28" s="41"/>
      <c r="AO28" s="42"/>
      <c r="AP28" s="41"/>
      <c r="AQ28" s="42"/>
      <c r="AR28" s="41"/>
      <c r="AS28" s="42"/>
      <c r="AT28" s="41"/>
      <c r="AU28" s="42"/>
      <c r="AV28" s="41"/>
      <c r="AW28" s="42"/>
    </row>
    <row r="29" spans="1:49" x14ac:dyDescent="0.2">
      <c r="A29" t="s">
        <v>53</v>
      </c>
      <c r="B29" s="35">
        <v>14362.768558000025</v>
      </c>
      <c r="C29" s="36">
        <v>817.26650999999993</v>
      </c>
      <c r="D29" s="35">
        <v>14195.26261381686</v>
      </c>
      <c r="E29" s="36">
        <v>756.96951832679156</v>
      </c>
      <c r="F29" s="35">
        <v>13999.498827904714</v>
      </c>
      <c r="G29" s="36">
        <v>697.44488893614061</v>
      </c>
      <c r="H29" s="35">
        <v>13770.297560183873</v>
      </c>
      <c r="I29" s="36">
        <v>638.84912016932435</v>
      </c>
      <c r="J29" s="35">
        <v>13501.774337474619</v>
      </c>
      <c r="K29" s="36">
        <v>581.35750690384998</v>
      </c>
      <c r="L29" s="35">
        <v>13187.438409029879</v>
      </c>
      <c r="M29" s="36">
        <v>525.16234702370377</v>
      </c>
      <c r="N29" s="35">
        <v>12820.504654810353</v>
      </c>
      <c r="O29" s="36">
        <v>470.46213310908564</v>
      </c>
      <c r="P29" s="35">
        <v>12394.427894196211</v>
      </c>
      <c r="Q29" s="36">
        <v>417.4425505128786</v>
      </c>
      <c r="R29" s="35">
        <v>11903.690194993174</v>
      </c>
      <c r="S29" s="36">
        <v>366.25335407178488</v>
      </c>
      <c r="T29" s="35">
        <v>11344.842489201012</v>
      </c>
      <c r="U29" s="36">
        <v>316.97943660307277</v>
      </c>
      <c r="V29" s="35">
        <v>10717.672848103839</v>
      </c>
      <c r="W29" s="36">
        <v>269.61230562106999</v>
      </c>
      <c r="X29" s="35">
        <v>10026.224975661995</v>
      </c>
      <c r="Y29" s="36">
        <v>224.04493501276593</v>
      </c>
      <c r="Z29" s="35">
        <v>9279.238100447792</v>
      </c>
      <c r="AA29" s="36">
        <v>180.10903545935912</v>
      </c>
      <c r="AB29" s="35">
        <v>8489.2414788903352</v>
      </c>
      <c r="AC29" s="36">
        <v>137.70697558599096</v>
      </c>
      <c r="AD29" s="35">
        <v>7669.1751440125636</v>
      </c>
      <c r="AE29" s="36">
        <v>97.109031186678195</v>
      </c>
      <c r="AF29" s="35">
        <v>6825.1274112011661</v>
      </c>
      <c r="AG29" s="36">
        <v>59.518077408934978</v>
      </c>
      <c r="AH29" s="35"/>
      <c r="AI29" s="36"/>
      <c r="AJ29" s="35"/>
      <c r="AK29" s="36"/>
      <c r="AL29" s="35"/>
      <c r="AM29" s="36"/>
      <c r="AN29" s="35"/>
      <c r="AO29" s="36"/>
      <c r="AP29" s="35"/>
      <c r="AQ29" s="36"/>
      <c r="AR29" s="35"/>
      <c r="AS29" s="36"/>
      <c r="AT29" s="35"/>
      <c r="AU29" s="36"/>
      <c r="AV29" s="35"/>
      <c r="AW29" s="36"/>
    </row>
    <row r="30" spans="1:49" x14ac:dyDescent="0.2">
      <c r="A30" t="s">
        <v>48</v>
      </c>
      <c r="B30" s="119">
        <v>2924829.9599999995</v>
      </c>
      <c r="D30" s="119">
        <v>2937994.0499694743</v>
      </c>
      <c r="F30" s="119">
        <v>2945802.5789810806</v>
      </c>
      <c r="H30" s="119">
        <v>2947125.9585534153</v>
      </c>
      <c r="J30" s="119">
        <v>2940677.634305289</v>
      </c>
      <c r="L30" s="119">
        <v>2925051.2844707039</v>
      </c>
      <c r="N30" s="119">
        <v>2898824.3192097414</v>
      </c>
      <c r="P30" s="119">
        <v>2860735.7572199171</v>
      </c>
      <c r="R30" s="119">
        <v>2809961.5892427694</v>
      </c>
      <c r="T30" s="119">
        <v>2746504.4286872204</v>
      </c>
      <c r="V30" s="119">
        <v>2671700.1238679225</v>
      </c>
      <c r="X30" s="119">
        <v>2588814.6039925497</v>
      </c>
      <c r="Z30" s="119">
        <v>2503728.8396236636</v>
      </c>
      <c r="AB30" s="119">
        <v>2425747.0436198255</v>
      </c>
      <c r="AD30" s="119">
        <v>2368873.3362212935</v>
      </c>
      <c r="AF30" s="119">
        <v>2355099.2876216723</v>
      </c>
      <c r="AH30" s="119"/>
      <c r="AJ30" s="119"/>
      <c r="AL30" s="119"/>
      <c r="AN30" s="119"/>
      <c r="AP30" s="119"/>
      <c r="AR30" s="119"/>
      <c r="AT30" s="119"/>
      <c r="AV30" s="119"/>
    </row>
    <row r="31" spans="1:49" x14ac:dyDescent="0.2">
      <c r="A31" t="s">
        <v>47</v>
      </c>
      <c r="B31" s="80">
        <v>1</v>
      </c>
      <c r="D31" s="80">
        <v>0.98145304126183353</v>
      </c>
      <c r="F31" s="80">
        <v>0.96092212649832265</v>
      </c>
      <c r="H31" s="80">
        <v>0.93812007795385211</v>
      </c>
      <c r="J31" s="80">
        <v>0.91273347170440944</v>
      </c>
      <c r="L31" s="80">
        <v>0.88443251641861309</v>
      </c>
      <c r="N31" s="80">
        <v>0.85289228160143837</v>
      </c>
      <c r="P31" s="80">
        <v>0.81782512290382992</v>
      </c>
      <c r="R31" s="80">
        <v>0.77902539627170142</v>
      </c>
      <c r="T31" s="80">
        <v>0.73642409248146512</v>
      </c>
      <c r="V31" s="80">
        <v>0.6901476212752361</v>
      </c>
      <c r="X31" s="80">
        <v>0.64056225007252565</v>
      </c>
      <c r="Z31" s="80">
        <v>0.58828413802012824</v>
      </c>
      <c r="AB31" s="80">
        <v>0.53411127191337038</v>
      </c>
      <c r="AD31" s="80">
        <v>0.47881533800671722</v>
      </c>
      <c r="AF31" s="80">
        <v>0.4227191200107458</v>
      </c>
      <c r="AH31" s="80"/>
      <c r="AJ31" s="80"/>
      <c r="AL31" s="80"/>
      <c r="AN31" s="80"/>
      <c r="AP31" s="80"/>
      <c r="AR31" s="80"/>
      <c r="AT31" s="80"/>
      <c r="AV31" s="80"/>
    </row>
    <row r="32" spans="1:49" x14ac:dyDescent="0.2">
      <c r="A32" t="s">
        <v>64</v>
      </c>
      <c r="B32" s="86">
        <v>14734457.915000005</v>
      </c>
      <c r="D32" s="86">
        <v>14557217.63682849</v>
      </c>
      <c r="F32" s="86">
        <v>14358171.983138079</v>
      </c>
      <c r="H32" s="86">
        <v>14133812.086138729</v>
      </c>
      <c r="J32" s="86">
        <v>13880331.994719466</v>
      </c>
      <c r="L32" s="86">
        <v>13593808.881170059</v>
      </c>
      <c r="N32" s="86">
        <v>13270571.511776859</v>
      </c>
      <c r="P32" s="86">
        <v>12907780.467489464</v>
      </c>
      <c r="R32" s="86">
        <v>12504263.854921397</v>
      </c>
      <c r="T32" s="86">
        <v>12061621.807420857</v>
      </c>
      <c r="V32" s="86">
        <v>11585566.104030821</v>
      </c>
      <c r="X32" s="86">
        <v>11087343.846065568</v>
      </c>
      <c r="Z32" s="86">
        <v>10585109.106779499</v>
      </c>
      <c r="AB32" s="86">
        <v>10105056.124530634</v>
      </c>
      <c r="AD32" s="86">
        <v>9682643.9431031961</v>
      </c>
      <c r="AF32" s="86">
        <v>9366407.9387702364</v>
      </c>
      <c r="AH32" s="86"/>
      <c r="AJ32" s="86"/>
      <c r="AL32" s="86"/>
      <c r="AN32" s="86"/>
      <c r="AP32" s="86"/>
      <c r="AR32" s="86"/>
      <c r="AT32" s="86"/>
      <c r="AV32" s="86"/>
    </row>
    <row r="33" spans="1:49 16319:16321" x14ac:dyDescent="0.2">
      <c r="A33" t="s">
        <v>54</v>
      </c>
      <c r="B33" s="117">
        <v>7019665.6909999885</v>
      </c>
      <c r="D33" s="117">
        <v>6906439.3478896907</v>
      </c>
      <c r="F33" s="117">
        <v>6783429.2801987818</v>
      </c>
      <c r="H33" s="117">
        <v>6649221.7353696767</v>
      </c>
      <c r="J33" s="117">
        <v>6502318.9006510321</v>
      </c>
      <c r="L33" s="117">
        <v>6341225.8727600295</v>
      </c>
      <c r="N33" s="117">
        <v>6164608.5055502523</v>
      </c>
      <c r="P33" s="117">
        <v>5971529.8988927202</v>
      </c>
      <c r="R33" s="117">
        <v>5761786.4203625415</v>
      </c>
      <c r="T33" s="117">
        <v>5536328.5160480319</v>
      </c>
      <c r="V33" s="117">
        <v>5297762.8686144957</v>
      </c>
      <c r="X33" s="117">
        <v>5050836.091394648</v>
      </c>
      <c r="Z33" s="117">
        <v>4802846.3473977186</v>
      </c>
      <c r="AB33" s="117">
        <v>4563837.9000562383</v>
      </c>
      <c r="AD33" s="117">
        <v>4346566.6548009291</v>
      </c>
      <c r="AF33" s="117">
        <v>4166817.427822886</v>
      </c>
      <c r="AH33" s="117"/>
      <c r="AJ33" s="117"/>
      <c r="AL33" s="117"/>
      <c r="AN33" s="117"/>
      <c r="AP33" s="117"/>
      <c r="AR33" s="117"/>
      <c r="AT33" s="117"/>
      <c r="AV33" s="117"/>
    </row>
    <row r="34" spans="1:49 16319:16321" x14ac:dyDescent="0.2">
      <c r="A34" t="s">
        <v>75</v>
      </c>
      <c r="B34" s="117">
        <v>1136879.4410000162</v>
      </c>
      <c r="D34" s="117">
        <v>1116471.7223582501</v>
      </c>
      <c r="F34" s="117">
        <v>1087068.5651125882</v>
      </c>
      <c r="H34" s="117">
        <v>1046817.2293025398</v>
      </c>
      <c r="J34" s="117">
        <v>993544.927585572</v>
      </c>
      <c r="L34" s="117">
        <v>924748.93851262331</v>
      </c>
      <c r="N34" s="117">
        <v>837647.03183763963</v>
      </c>
      <c r="P34" s="117">
        <v>729284.68225717242</v>
      </c>
      <c r="R34" s="117">
        <v>596693.60195029993</v>
      </c>
      <c r="T34" s="117">
        <v>437109.66372322349</v>
      </c>
      <c r="V34" s="117">
        <v>248178.84237778623</v>
      </c>
      <c r="X34" s="117">
        <v>28066.160027086968</v>
      </c>
      <c r="Z34" s="117">
        <v>-224736.65975359495</v>
      </c>
      <c r="AB34" s="117">
        <v>-512258.92338047147</v>
      </c>
      <c r="AD34" s="117">
        <v>-839312.65973952413</v>
      </c>
      <c r="AF34" s="117">
        <v>-1218981.0502321853</v>
      </c>
      <c r="AH34" s="117"/>
      <c r="AJ34" s="117"/>
      <c r="AL34" s="117"/>
      <c r="AN34" s="117"/>
      <c r="AP34" s="117"/>
      <c r="AR34" s="117"/>
      <c r="AT34" s="117"/>
      <c r="AV34" s="117"/>
    </row>
    <row r="35" spans="1:49 16319:16321" x14ac:dyDescent="0.2">
      <c r="A35" t="s">
        <v>78</v>
      </c>
      <c r="B35" s="233">
        <v>1</v>
      </c>
      <c r="D35" s="233">
        <v>1.0024637765825737</v>
      </c>
      <c r="F35" s="233">
        <v>1.0056533348510883</v>
      </c>
      <c r="H35" s="233">
        <v>1.0097373390590691</v>
      </c>
      <c r="J35" s="233">
        <v>1.0149339479806234</v>
      </c>
      <c r="L35" s="233">
        <v>1.0215292430195684</v>
      </c>
      <c r="N35" s="233">
        <v>1.0299018634085584</v>
      </c>
      <c r="P35" s="233">
        <v>1.0405586642502862</v>
      </c>
      <c r="R35" s="233">
        <v>1.0541889312139932</v>
      </c>
      <c r="T35" s="233">
        <v>1.0717457979295766</v>
      </c>
      <c r="V35" s="233">
        <v>1.094574684162646</v>
      </c>
      <c r="X35" s="233">
        <v>1.12461873388556</v>
      </c>
      <c r="Z35" s="233">
        <v>1.1647664607772563</v>
      </c>
      <c r="AB35" s="233">
        <v>1.2194922297147905</v>
      </c>
      <c r="AD35" s="233">
        <v>1.296216097010825</v>
      </c>
      <c r="AF35" s="233">
        <v>1.4087194342455087</v>
      </c>
      <c r="AH35" s="233"/>
      <c r="AJ35" s="233"/>
      <c r="AL35" s="233"/>
      <c r="AN35" s="233"/>
      <c r="AP35" s="233"/>
      <c r="AR35" s="233"/>
      <c r="AT35" s="233"/>
      <c r="AV35" s="233"/>
    </row>
    <row r="36" spans="1:49 16319:16321" x14ac:dyDescent="0.2">
      <c r="A36" t="s">
        <v>21</v>
      </c>
      <c r="B36" s="37">
        <v>0.47195767671988198</v>
      </c>
      <c r="C36" s="38">
        <v>0.31738834428178964</v>
      </c>
      <c r="D36" s="37">
        <v>0.47197469785683488</v>
      </c>
      <c r="E36" s="38">
        <v>0.31995234983548837</v>
      </c>
      <c r="F36" s="37">
        <v>0.47198263790318379</v>
      </c>
      <c r="G36" s="38">
        <v>0.32265316825021217</v>
      </c>
      <c r="H36" s="37">
        <v>0.4719786872065182</v>
      </c>
      <c r="I36" s="38">
        <v>0.32548102891984804</v>
      </c>
      <c r="J36" s="37">
        <v>0.47195946063846789</v>
      </c>
      <c r="K36" s="38">
        <v>0.32841899247663237</v>
      </c>
      <c r="L36" s="37">
        <v>0.47192103133995245</v>
      </c>
      <c r="M36" s="38">
        <v>0.33144132434314905</v>
      </c>
      <c r="N36" s="37">
        <v>0.47185917307678288</v>
      </c>
      <c r="O36" s="38">
        <v>0.33451305446864094</v>
      </c>
      <c r="P36" s="37">
        <v>0.47176994040619347</v>
      </c>
      <c r="Q36" s="38">
        <v>0.33759109401490822</v>
      </c>
      <c r="R36" s="37">
        <v>0.47165085060155726</v>
      </c>
      <c r="S36" s="38">
        <v>0.34062808552450186</v>
      </c>
      <c r="T36" s="37">
        <v>0.47150309460025075</v>
      </c>
      <c r="U36" s="38">
        <v>0.34358101862565793</v>
      </c>
      <c r="V36" s="37">
        <v>0.47133543399248878</v>
      </c>
      <c r="W36" s="38">
        <v>0.34642672217638149</v>
      </c>
      <c r="X36" s="37">
        <v>0.47117082867376392</v>
      </c>
      <c r="Y36" s="38">
        <v>0.34918761022691286</v>
      </c>
      <c r="Z36" s="37">
        <v>0.4710574754956206</v>
      </c>
      <c r="AA36" s="38">
        <v>0.35197296448075255</v>
      </c>
      <c r="AB36" s="37">
        <v>0.47108723125644769</v>
      </c>
      <c r="AC36" s="38">
        <v>0.3550454091749537</v>
      </c>
      <c r="AD36" s="37">
        <v>0.47142864100311421</v>
      </c>
      <c r="AE36" s="38">
        <v>0.35893504697980877</v>
      </c>
      <c r="AF36" s="37">
        <v>0.47239911847977434</v>
      </c>
      <c r="AG36" s="38">
        <v>0.36467407517044992</v>
      </c>
      <c r="AH36" s="37"/>
      <c r="AI36" s="38"/>
      <c r="AJ36" s="37"/>
      <c r="AK36" s="38"/>
      <c r="AL36" s="37"/>
      <c r="AM36" s="38"/>
      <c r="AN36" s="37"/>
      <c r="AO36" s="38"/>
      <c r="AP36" s="37"/>
      <c r="AQ36" s="38"/>
      <c r="AR36" s="37"/>
      <c r="AS36" s="38"/>
      <c r="AT36" s="37"/>
      <c r="AU36" s="38"/>
      <c r="AV36" s="37"/>
      <c r="AW36" s="38"/>
    </row>
    <row r="37" spans="1:49 16319:16321" x14ac:dyDescent="0.2">
      <c r="B37" s="39">
        <v>2.1403217525954466E-2</v>
      </c>
      <c r="C37" s="40">
        <v>0.34962461301992515</v>
      </c>
      <c r="D37" s="39">
        <v>2.1060862241750154E-2</v>
      </c>
      <c r="E37" s="40">
        <v>0.34694958090876959</v>
      </c>
      <c r="F37" s="39">
        <v>2.0720592786834958E-2</v>
      </c>
      <c r="G37" s="40">
        <v>0.3442918993339687</v>
      </c>
      <c r="H37" s="39">
        <v>2.0384429196591496E-2</v>
      </c>
      <c r="I37" s="40">
        <v>0.34166861819900574</v>
      </c>
      <c r="J37" s="39">
        <v>2.0054771208104206E-2</v>
      </c>
      <c r="K37" s="40">
        <v>0.33909961014483181</v>
      </c>
      <c r="L37" s="39">
        <v>1.9734409706792425E-2</v>
      </c>
      <c r="M37" s="40">
        <v>0.336607523473063</v>
      </c>
      <c r="N37" s="39">
        <v>1.9426413295926474E-2</v>
      </c>
      <c r="O37" s="40">
        <v>0.33421676287137952</v>
      </c>
      <c r="P37" s="39">
        <v>1.9133910395649403E-2</v>
      </c>
      <c r="Q37" s="40">
        <v>0.33195170230364818</v>
      </c>
      <c r="R37" s="39">
        <v>1.8859711982669766E-2</v>
      </c>
      <c r="S37" s="40">
        <v>0.32983377733581726</v>
      </c>
      <c r="T37" s="39">
        <v>1.8605662402812743E-2</v>
      </c>
      <c r="U37" s="40">
        <v>0.32787669304057404</v>
      </c>
      <c r="V37" s="39">
        <v>1.8371619692295706E-2</v>
      </c>
      <c r="W37" s="40">
        <v>0.32607912767267139</v>
      </c>
      <c r="X37" s="39">
        <v>1.8153870886225422E-2</v>
      </c>
      <c r="Y37" s="40">
        <v>0.32441361808120051</v>
      </c>
      <c r="Z37" s="39">
        <v>1.7942692182699435E-2</v>
      </c>
      <c r="AA37" s="40">
        <v>0.32280967543806288</v>
      </c>
      <c r="AB37" s="39">
        <v>1.7718638597338375E-2</v>
      </c>
      <c r="AC37" s="40">
        <v>0.3211284975525065</v>
      </c>
      <c r="AD37" s="39">
        <v>1.7446901727969977E-2</v>
      </c>
      <c r="AE37" s="40">
        <v>0.319125714992751</v>
      </c>
      <c r="AF37" s="39">
        <v>1.7067777225425469E-2</v>
      </c>
      <c r="AG37" s="40">
        <v>0.31639228713484979</v>
      </c>
      <c r="AH37" s="39"/>
      <c r="AI37" s="40"/>
      <c r="AJ37" s="39"/>
      <c r="AK37" s="40"/>
      <c r="AL37" s="39"/>
      <c r="AM37" s="40"/>
      <c r="AN37" s="39"/>
      <c r="AO37" s="40"/>
      <c r="AP37" s="39"/>
      <c r="AQ37" s="40"/>
      <c r="AR37" s="39"/>
      <c r="AS37" s="40"/>
      <c r="AT37" s="39"/>
      <c r="AU37" s="40"/>
      <c r="AV37" s="39"/>
      <c r="AW37" s="40"/>
    </row>
    <row r="38" spans="1:49 16319:16321" x14ac:dyDescent="0.2">
      <c r="A38" t="s">
        <v>22</v>
      </c>
      <c r="B38" s="37">
        <v>0.18079094942242827</v>
      </c>
      <c r="C38" s="38">
        <v>6.0565413429233668E-2</v>
      </c>
      <c r="D38" s="37">
        <v>0.18104718934298289</v>
      </c>
      <c r="E38" s="38">
        <v>6.0633420919132583E-2</v>
      </c>
      <c r="F38" s="37">
        <v>0.18132723409593282</v>
      </c>
      <c r="G38" s="38">
        <v>6.0710017913774346E-2</v>
      </c>
      <c r="H38" s="37">
        <v>0.18163269160161188</v>
      </c>
      <c r="I38" s="38">
        <v>6.079564517173322E-2</v>
      </c>
      <c r="J38" s="37">
        <v>0.18196484258725995</v>
      </c>
      <c r="K38" s="38">
        <v>6.0890522692468661E-2</v>
      </c>
      <c r="L38" s="37">
        <v>0.18232437961736372</v>
      </c>
      <c r="M38" s="38">
        <v>6.0994529290542561E-2</v>
      </c>
      <c r="N38" s="37">
        <v>0.18271112375639278</v>
      </c>
      <c r="O38" s="38">
        <v>6.1107101523975652E-2</v>
      </c>
      <c r="P38" s="37">
        <v>0.18312365544821435</v>
      </c>
      <c r="Q38" s="38">
        <v>6.1227176856755848E-2</v>
      </c>
      <c r="R38" s="37">
        <v>0.18355882166515836</v>
      </c>
      <c r="S38" s="38">
        <v>6.1353160188151235E-2</v>
      </c>
      <c r="T38" s="37">
        <v>0.18401108888702508</v>
      </c>
      <c r="U38" s="38">
        <v>6.1483000726830168E-2</v>
      </c>
      <c r="V38" s="37">
        <v>0.18447154298822088</v>
      </c>
      <c r="W38" s="38">
        <v>6.1614469253901329E-2</v>
      </c>
      <c r="X38" s="37">
        <v>0.18492625323015388</v>
      </c>
      <c r="Y38" s="38">
        <v>6.1745567420595171E-2</v>
      </c>
      <c r="Z38" s="37">
        <v>0.18535347026026527</v>
      </c>
      <c r="AA38" s="38">
        <v>6.1875284112003451E-2</v>
      </c>
      <c r="AB38" s="37">
        <v>0.18571886095159276</v>
      </c>
      <c r="AC38" s="38">
        <v>6.2004788943155864E-2</v>
      </c>
      <c r="AD38" s="37">
        <v>0.1859668457107527</v>
      </c>
      <c r="AE38" s="38">
        <v>6.2139642724961135E-2</v>
      </c>
      <c r="AF38" s="37">
        <v>0.18600131924818356</v>
      </c>
      <c r="AG38" s="38">
        <v>6.2294601208642365E-2</v>
      </c>
      <c r="AH38" s="37"/>
      <c r="AI38" s="38"/>
      <c r="AJ38" s="37"/>
      <c r="AK38" s="38"/>
      <c r="AL38" s="37"/>
      <c r="AM38" s="38"/>
      <c r="AN38" s="37"/>
      <c r="AO38" s="38"/>
      <c r="AP38" s="37"/>
      <c r="AQ38" s="38"/>
      <c r="AR38" s="37"/>
      <c r="AS38" s="38"/>
      <c r="AT38" s="37"/>
      <c r="AU38" s="38"/>
      <c r="AV38" s="37"/>
      <c r="AW38" s="38"/>
    </row>
    <row r="39" spans="1:49 16319:16321" x14ac:dyDescent="0.2">
      <c r="A39" t="s">
        <v>23</v>
      </c>
      <c r="B39" s="39">
        <v>0.23064923795098646</v>
      </c>
      <c r="C39" s="40">
        <v>0.22092201281804777</v>
      </c>
      <c r="D39" s="39">
        <v>0.23061521663761217</v>
      </c>
      <c r="E39" s="40">
        <v>0.22099722049768525</v>
      </c>
      <c r="F39" s="39">
        <v>0.23057953328437922</v>
      </c>
      <c r="G39" s="40">
        <v>0.22108835992626755</v>
      </c>
      <c r="H39" s="39">
        <v>0.23054238659159049</v>
      </c>
      <c r="I39" s="40">
        <v>0.22119613151774195</v>
      </c>
      <c r="J39" s="39">
        <v>0.2305040883044199</v>
      </c>
      <c r="K39" s="40">
        <v>0.22132065024631353</v>
      </c>
      <c r="L39" s="39">
        <v>0.23046510384128263</v>
      </c>
      <c r="M39" s="40">
        <v>0.22146123754949734</v>
      </c>
      <c r="N39" s="39">
        <v>0.23042604617161519</v>
      </c>
      <c r="O39" s="40">
        <v>0.22161624829822182</v>
      </c>
      <c r="P39" s="39">
        <v>0.23038764234936751</v>
      </c>
      <c r="Q39" s="40">
        <v>0.22178298629346413</v>
      </c>
      <c r="R39" s="39">
        <v>0.2303506414502956</v>
      </c>
      <c r="S39" s="40">
        <v>0.2219579054332588</v>
      </c>
      <c r="T39" s="39">
        <v>0.2303155956249992</v>
      </c>
      <c r="U39" s="40">
        <v>0.2221372449028586</v>
      </c>
      <c r="V39" s="39">
        <v>0.2302824719571599</v>
      </c>
      <c r="W39" s="40">
        <v>0.22231825637640495</v>
      </c>
      <c r="X39" s="39">
        <v>0.23024996545608284</v>
      </c>
      <c r="Y39" s="40">
        <v>0.22250151281590272</v>
      </c>
      <c r="Z39" s="39">
        <v>0.23021438277810816</v>
      </c>
      <c r="AA39" s="40">
        <v>0.22269462304069806</v>
      </c>
      <c r="AB39" s="39">
        <v>0.23016779976711929</v>
      </c>
      <c r="AC39" s="40">
        <v>0.22291852339717738</v>
      </c>
      <c r="AD39" s="39">
        <v>0.23009488381217841</v>
      </c>
      <c r="AE39" s="40">
        <v>0.22321897017551146</v>
      </c>
      <c r="AF39" s="39">
        <v>0.22996631065618348</v>
      </c>
      <c r="AG39" s="40">
        <v>0.22369236207566673</v>
      </c>
      <c r="AH39" s="39"/>
      <c r="AI39" s="40"/>
      <c r="AJ39" s="39"/>
      <c r="AK39" s="40"/>
      <c r="AL39" s="39"/>
      <c r="AM39" s="40"/>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0.11789384135358849</v>
      </c>
      <c r="E42" s="135"/>
      <c r="F42" s="177">
        <f>10.8%+(1-10.8%)*(1-SUM(F26:G26)/SUM($B$26:$C$26))</f>
        <v>0.12944856637951654</v>
      </c>
      <c r="G42" s="135"/>
      <c r="H42" s="177">
        <f>10.8%+(1-10.8%)*(1-SUM(H26:I26)/SUM($B$26:$C$26))</f>
        <v>0.14299024554705655</v>
      </c>
      <c r="I42" s="135"/>
      <c r="J42" s="177">
        <f>10.8%+(1-10.8%)*(1-SUM(J26:K26)/SUM($B$26:$C$26))</f>
        <v>0.1588941775529977</v>
      </c>
      <c r="K42" s="135"/>
      <c r="L42" s="177">
        <f>10.8%+(1-10.8%)*(1-SUM(L26:M26)/SUM($B$26:$C$26))</f>
        <v>0.17758049986712907</v>
      </c>
      <c r="M42" s="135"/>
      <c r="N42" s="177">
        <f>10.8%+(1-10.8%)*(1-SUM(N26:O26)/SUM($B$26:$C$26))</f>
        <v>0.1994961970172312</v>
      </c>
      <c r="O42" s="135"/>
      <c r="P42" s="177">
        <f>10.8%+(1-10.8%)*(1-SUM(P26:Q26)/SUM($B$26:$C$26))</f>
        <v>0.22508270744573849</v>
      </c>
      <c r="Q42" s="135"/>
      <c r="R42" s="177">
        <f>10.8%+(1-10.8%)*(1-SUM(R26:S26)/SUM($B$26:$C$26))</f>
        <v>0.25472656996263365</v>
      </c>
      <c r="S42" s="135"/>
      <c r="T42" s="177">
        <f>10.8%+(1-10.8%)*(1-SUM(T26:U26)/SUM($B$26:$C$26))</f>
        <v>0.28869224809385646</v>
      </c>
      <c r="U42" s="135"/>
      <c r="V42" s="177">
        <f>10.8%+(1-10.8%)*(1-SUM(V26:W26)/SUM($B$26:$C$26))</f>
        <v>0.32704481783794381</v>
      </c>
      <c r="W42" s="135"/>
      <c r="X42" s="177">
        <f>10.8%+(1-10.8%)*(1-SUM(X26:Y26)/SUM($B$26:$C$26))</f>
        <v>0.36957953006813438</v>
      </c>
      <c r="Y42" s="162"/>
      <c r="Z42" s="177">
        <f>10.8%+(1-10.8%)*(1-SUM(Z26:AA26)/SUM($B$26:$C$26))</f>
        <v>0.41578574178689298</v>
      </c>
      <c r="AA42" s="135"/>
      <c r="AB42" s="177">
        <f>10.8%+(1-10.8%)*(1-SUM(AB26:AC26)/SUM($B$26:$C$26))</f>
        <v>0.4648937559473435</v>
      </c>
      <c r="AC42" s="135"/>
      <c r="AD42" s="177">
        <f>10.8%+(1-10.8%)*(1-SUM(AD26:AE26)/SUM($B$26:$C$26))</f>
        <v>0.51607599607815124</v>
      </c>
      <c r="AE42" s="135"/>
      <c r="AF42" s="177">
        <f>10.8%+(1-10.8%)*(1-SUM(AF26:AG26)/SUM($B$26:$C$26))</f>
        <v>0.56889044325017735</v>
      </c>
      <c r="AG42" s="135"/>
      <c r="AH42" s="177">
        <f>10.8%+(1-10.8%)*(1-SUM(AH26:AI26)/SUM($B$26:$C$26))</f>
        <v>1</v>
      </c>
      <c r="AI42" s="135"/>
      <c r="AJ42" s="177">
        <f>10.8%+(1-10.8%)*(1-SUM(AJ26:AK26)/SUM($B$26:$C$26))</f>
        <v>1</v>
      </c>
      <c r="AK42" s="135"/>
      <c r="AL42" s="177">
        <f>10.8%+(1-10.8%)*(1-SUM(AL26:AM26)/SUM($B$26:$C$26))</f>
        <v>1</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0.56058995943839085</v>
      </c>
      <c r="C43" s="135"/>
      <c r="D43" s="162">
        <f t="array" ref="D43">SUM(D15:E15*D27:E27)/SUM(D15:E15*D27:E27,D13:E13*D26:E26)</f>
        <v>0.56772118456608844</v>
      </c>
      <c r="E43" s="135"/>
      <c r="F43" s="162">
        <f t="array" ref="F43">SUM(F15:G15*F27:G27)/SUM(F15:G15*F27:G27,F13:G13*F26:G26)</f>
        <v>0.56832409171421849</v>
      </c>
      <c r="G43" s="135"/>
      <c r="H43" s="162">
        <f t="array" ref="H43">SUM(H15:I15*H27:I27)/SUM(H15:I15*H27:I27,H13:I13*H26:I26)</f>
        <v>0.56901440842598339</v>
      </c>
      <c r="I43" s="135"/>
      <c r="J43" s="162">
        <f t="array" ref="J43">SUM(J15:K15*J27:K27)/SUM(J15:K15*J27:K27,J13:K13*J26:K26)</f>
        <v>0.56979587695459799</v>
      </c>
      <c r="K43" s="135"/>
      <c r="L43" s="162">
        <f t="array" ref="L43">SUM(L15:M15*L27:M27)/SUM(L15:M15*L27:M27,L13:M13*L26:M26)</f>
        <v>0.57066994705192975</v>
      </c>
      <c r="M43" s="135"/>
      <c r="N43" s="162">
        <f t="array" ref="N43">SUM(N15:O15*N27:O27)/SUM(N15:O15*N27:O27,N13:O13*N26:O26)</f>
        <v>0.57163467080157371</v>
      </c>
      <c r="O43" s="135"/>
      <c r="P43" s="162">
        <f t="array" ref="P43">SUM(P15:Q15*P27:Q27)/SUM(P15:Q15*P27:Q27,P13:Q13*P26:Q26)</f>
        <v>0.57268334107898422</v>
      </c>
      <c r="Q43" s="135"/>
      <c r="R43" s="162">
        <f t="array" ref="R43">SUM(R15:S15*R27:S27)/SUM(R15:S15*R27:S27,R13:S13*R26:S26)</f>
        <v>0.57380284385965652</v>
      </c>
      <c r="S43" s="135"/>
      <c r="T43" s="162">
        <f t="array" ref="T43">SUM(T15:U15*T27:U27)/SUM(T15:U15*T27:U27,T13:U13*T26:U26)</f>
        <v>0.57497161939845465</v>
      </c>
      <c r="U43" s="135"/>
      <c r="V43" s="162">
        <f t="array" ref="V43">SUM(V15:W15*V27:W27)/SUM(V15:W15*V27:W27,V13:W13*V26:W26)</f>
        <v>0.5761568692892074</v>
      </c>
      <c r="W43" s="135"/>
      <c r="X43" s="162">
        <f t="array" ref="X43">SUM(X15:Y15*X27:Y27)/SUM(X15:Y15*X27:Y27,X13:Y13*X26:Y26)</f>
        <v>0.57731047558706927</v>
      </c>
      <c r="Y43" s="135"/>
      <c r="Z43" s="162">
        <f t="array" ref="Z43">SUM(Z15:AA15*Z27:AA27)/SUM(Z15:AA15*Z27:AA27,Z13:AA13*Z26:AA26)</f>
        <v>0.57836277196849473</v>
      </c>
      <c r="AA43" s="135"/>
      <c r="AB43" s="162">
        <f t="array" ref="AB43">SUM(AB15:AC15*AB27:AC27)/SUM(AB15:AC15*AB27:AC27,AB13:AC13*AB26:AC26)</f>
        <v>0.57921332593817254</v>
      </c>
      <c r="AC43" s="135"/>
      <c r="AD43" s="162">
        <f t="array" ref="AD43">SUM(AD15:AE15*AD27:AE27)/SUM(AD15:AE15*AD27:AE27,AD13:AE13*AD26:AE26)</f>
        <v>0.57971651982790651</v>
      </c>
      <c r="AE43" s="135"/>
      <c r="AF43" s="162">
        <f t="array" ref="AF43">SUM(AF15:AG15*AF27:AG27)/SUM(AF15:AG15*AF27:AG27,AF13:AG13*AF26:AG26)</f>
        <v>0.57965038078825337</v>
      </c>
      <c r="AG43" s="135"/>
      <c r="AH43" s="162" t="e">
        <f t="array" ref="AH43">SUM(AH15:AI15*AH27:AI27)/SUM(AH15:AI15*AH27:AI27,AH13:AI13*AH26:AI26)</f>
        <v>#DIV/0!</v>
      </c>
      <c r="AI43" s="135"/>
      <c r="AJ43" s="162" t="e">
        <f t="array" ref="AJ43">SUM(AJ15:AK15*AJ27:AK27)/SUM(AJ15:AK15*AJ27:AK27,AJ13:AK13*AJ26:AK26)</f>
        <v>#DIV/0!</v>
      </c>
      <c r="AK43" s="135"/>
      <c r="AL43" s="162" t="e">
        <f t="array" ref="AL43">SUM(AL15:AM15*AL27:AM27)/SUM(AL15:AM15*AL27:AM27,AL13:AM13*AL26:AM26)</f>
        <v>#DIV/0!</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0.29754226190682465</v>
      </c>
      <c r="D44" s="193">
        <f>(SUM(D11:E11*D24:E24)+D34)/D32</f>
        <v>0.29951977100930005</v>
      </c>
      <c r="F44" s="193">
        <f>(SUM(F11:G11*F24:G24)+F34)/F32</f>
        <v>0.30150999909680093</v>
      </c>
      <c r="H44" s="193">
        <f>(SUM(H11:I11*H24:I24)+H34)/H32</f>
        <v>0.30350592936477305</v>
      </c>
      <c r="J44" s="193">
        <f>(SUM(J11:K11*J24:K24)+J34)/J32</f>
        <v>0.30549822080488709</v>
      </c>
      <c r="L44" s="193">
        <f>(SUM(L11:M11*L24:M24)+L34)/L32</f>
        <v>0.30747483224051347</v>
      </c>
      <c r="N44" s="193">
        <f>(SUM(N11:O11*N24:O24)+N34)/N32</f>
        <v>0.30942154073354361</v>
      </c>
      <c r="P44" s="193">
        <f>(SUM(P11:Q11*P24:Q24)+P34)/P32</f>
        <v>0.31132353038473398</v>
      </c>
      <c r="R44" s="193">
        <f>(SUM(R11:S11*R24:S24)+R34)/R32</f>
        <v>0.31316805968873773</v>
      </c>
      <c r="T44" s="193">
        <f>(SUM(T11:U11*T24:U24)+T34)/T32</f>
        <v>0.31495013867676092</v>
      </c>
      <c r="V44" s="193">
        <f>(SUM(V11:W11*V24:W24)+V34)/V32</f>
        <v>0.3166811148393881</v>
      </c>
      <c r="X44" s="193">
        <f>(SUM(X11:Y11*X24:Y24)+X34)/X32</f>
        <v>0.31840410188232826</v>
      </c>
      <c r="Z44" s="193">
        <f>(SUM(Z11:AA11*Z24:AA24)+Z34)/Z32</f>
        <v>0.32021767434811133</v>
      </c>
      <c r="AB44" s="193">
        <f>(SUM(AB11:AC11*AB24:AC24)+AB34)/AB32</f>
        <v>0.32231475020778605</v>
      </c>
      <c r="AD44" s="193">
        <f>(SUM(AD11:AE11*AD24:AE24)+AD34)/AD32</f>
        <v>0.32505092548165887</v>
      </c>
      <c r="AF44" s="193">
        <f>(SUM(AF11:AG11*AF24:AG24)+AF34)/AF32</f>
        <v>0.32908555404975648</v>
      </c>
      <c r="AH44" s="193" t="e">
        <f>(SUM(AH11:AI11*AH24:AI24)+AH34)/AH32</f>
        <v>#DIV/0!</v>
      </c>
      <c r="AJ44" s="193" t="e">
        <f>(SUM(AJ11:AK11*AJ24:AK24)+AJ34)/AJ32</f>
        <v>#DIV/0!</v>
      </c>
      <c r="AL44" s="193" t="e">
        <f>(SUM(AL11:AM11*AL24:AM24)+AL34)/AL32</f>
        <v>#DIV/0!</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0.22282436463345015</v>
      </c>
      <c r="F45" s="193">
        <f>SUM(F11:G11*F24:G24)/F32</f>
        <v>0.22579920761239625</v>
      </c>
      <c r="H45" s="193">
        <f>SUM(H11:I11*H24:I24)/H32</f>
        <v>0.22944118144519579</v>
      </c>
      <c r="J45" s="193">
        <f>SUM(J11:K11*J24:K24)/J32</f>
        <v>0.23391888624980958</v>
      </c>
      <c r="L45" s="193">
        <f>SUM(L11:M11*L24:M24)/L32</f>
        <v>0.23944761877912876</v>
      </c>
      <c r="N45" s="193">
        <f>SUM(N11:O11*N24:O24)/N32</f>
        <v>0.24630089584690276</v>
      </c>
      <c r="P45" s="193">
        <f>SUM(P11:Q11*P24:Q24)/P32</f>
        <v>0.2548239110974363</v>
      </c>
      <c r="R45" s="193">
        <f>SUM(R11:S11*R24:S24)/R32</f>
        <v>0.26544884895603599</v>
      </c>
      <c r="T45" s="193">
        <f>SUM(T11:U11*T24:U24)/T32</f>
        <v>0.27871042973029952</v>
      </c>
      <c r="V45" s="193">
        <f>SUM(V11:W11*V24:W24)/V32</f>
        <v>0.29525973239253123</v>
      </c>
      <c r="X45" s="193">
        <f>SUM(X11:Y11*X24:Y24)/X32</f>
        <v>0.31587273274498101</v>
      </c>
      <c r="Z45" s="193">
        <f>SUM(Z11:AA11*Z24:AA24)/Z32</f>
        <v>0.34144907191676338</v>
      </c>
      <c r="AB45" s="193">
        <f>SUM(AB11:AC11*AB24:AC24)/AB32</f>
        <v>0.37300807808915548</v>
      </c>
      <c r="AD45" s="193">
        <f>SUM(AD11:AE11*AD24:AE24)/AD32</f>
        <v>0.41173310285712195</v>
      </c>
      <c r="AF45" s="193">
        <f>SUM(AF11:AG11*AF24:AG24)/AF32</f>
        <v>0.45922947455811641</v>
      </c>
      <c r="AH45" s="193" t="e">
        <f>SUM(AH11:AI11*AH24:AI24)/AH32</f>
        <v>#DIV/0!</v>
      </c>
      <c r="AJ45" s="193" t="e">
        <f>SUM(AJ11:AK11*AJ24:AK24)/AJ32</f>
        <v>#DIV/0!</v>
      </c>
      <c r="AL45" s="193" t="e">
        <f>SUM(AL11:AM11*AL24:AM24)/AL32</f>
        <v>#DIV/0!</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7.7157873574883795E-2</v>
      </c>
      <c r="D46" s="193">
        <f>D34/D32</f>
        <v>7.6695406375849873E-2</v>
      </c>
      <c r="F46" s="193">
        <f>F34/F32</f>
        <v>7.5710791484404669E-2</v>
      </c>
      <c r="H46" s="193">
        <f>H34/H32</f>
        <v>7.406474791957729E-2</v>
      </c>
      <c r="J46" s="193">
        <f>J34/J32</f>
        <v>7.1579334555077576E-2</v>
      </c>
      <c r="L46" s="193">
        <f>L34/L32</f>
        <v>6.8027213461384739E-2</v>
      </c>
      <c r="N46" s="193">
        <f>N34/N32</f>
        <v>6.3120644886640848E-2</v>
      </c>
      <c r="P46" s="193">
        <f>P34/P32</f>
        <v>5.6499619287297714E-2</v>
      </c>
      <c r="R46" s="193">
        <f>R34/R32</f>
        <v>4.7719210732701772E-2</v>
      </c>
      <c r="T46" s="193">
        <f>T34/T32</f>
        <v>3.6239708946461391E-2</v>
      </c>
      <c r="V46" s="193">
        <f>V34/V32</f>
        <v>2.1421382446856908E-2</v>
      </c>
      <c r="X46" s="193">
        <f>X34/X32</f>
        <v>2.5313691373472168E-3</v>
      </c>
      <c r="Z46" s="193">
        <f>Z34/Z32</f>
        <v>-2.1231397568652052E-2</v>
      </c>
      <c r="AB46" s="193">
        <f>AB34/AB32</f>
        <v>-5.0693327881369404E-2</v>
      </c>
      <c r="AD46" s="193">
        <f>AD34/AD32</f>
        <v>-8.6682177375463049E-2</v>
      </c>
      <c r="AF46" s="193">
        <f>AF34/AF32</f>
        <v>-0.13014392050835996</v>
      </c>
      <c r="AH46" s="193" t="e">
        <f>AH34/AH32</f>
        <v>#DIV/0!</v>
      </c>
      <c r="AJ46" s="193" t="e">
        <f>AJ34/AJ32</f>
        <v>#DIV/0!</v>
      </c>
      <c r="AL46" s="193" t="e">
        <f>AL34/AL32</f>
        <v>#DIV/0!</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1</v>
      </c>
      <c r="E48" s="191"/>
      <c r="F48" s="191">
        <f>F24/$B$24</f>
        <v>1</v>
      </c>
      <c r="G48" s="191"/>
      <c r="H48" s="191">
        <f>H24/$B$24</f>
        <v>1</v>
      </c>
      <c r="I48" s="191"/>
      <c r="J48" s="191">
        <f>J24/$B$24</f>
        <v>1</v>
      </c>
      <c r="K48" s="191"/>
      <c r="L48" s="191">
        <f>L24/$B$24</f>
        <v>1</v>
      </c>
      <c r="M48" s="191"/>
      <c r="N48" s="191">
        <f>N24/$B$24</f>
        <v>1</v>
      </c>
      <c r="O48" s="191"/>
      <c r="P48" s="191">
        <f>P24/$B$24</f>
        <v>1</v>
      </c>
      <c r="Q48" s="191"/>
      <c r="R48" s="191">
        <f>R24/$B$24</f>
        <v>1</v>
      </c>
      <c r="S48" s="191"/>
      <c r="T48" s="191">
        <f>T24/$B$24</f>
        <v>1</v>
      </c>
      <c r="U48" s="191"/>
      <c r="V48" s="191">
        <f>V24/$B$24</f>
        <v>1</v>
      </c>
      <c r="W48" s="191"/>
      <c r="X48" s="191">
        <f>X24/$B$24</f>
        <v>1</v>
      </c>
      <c r="Y48" s="191"/>
      <c r="Z48" s="191">
        <f>Z24/$B$24</f>
        <v>1</v>
      </c>
      <c r="AA48" s="191"/>
      <c r="AB48" s="191">
        <f>AB24/$B$24</f>
        <v>1</v>
      </c>
      <c r="AC48" s="191"/>
      <c r="AD48" s="191">
        <f>AD24/$B$24</f>
        <v>1</v>
      </c>
      <c r="AE48" s="191"/>
      <c r="AF48" s="191">
        <f>AF24/$B$24</f>
        <v>1</v>
      </c>
      <c r="AG48" s="191"/>
      <c r="AH48" s="191">
        <f>AH24/$B$24</f>
        <v>0</v>
      </c>
      <c r="AI48" s="191"/>
      <c r="AJ48" s="191">
        <f>AJ24/$B$24</f>
        <v>0</v>
      </c>
      <c r="AK48" s="191"/>
      <c r="AL48" s="191">
        <f>AL24/$B$24</f>
        <v>0</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0.99127340820651988</v>
      </c>
      <c r="E49" s="191"/>
      <c r="F49" s="191">
        <f>F13/F35/$B$13*$B$35</f>
        <v>0.98204828881076756</v>
      </c>
      <c r="G49" s="191"/>
      <c r="H49" s="191">
        <f>H13/H35/$B$13*$B$35</f>
        <v>0.9723261977947758</v>
      </c>
      <c r="I49" s="191"/>
      <c r="J49" s="191">
        <f>J13/J35/$B$13*$B$35</f>
        <v>0.96212546088582795</v>
      </c>
      <c r="K49" s="191"/>
      <c r="L49" s="191">
        <f>L13/L35/$B$13*$B$35</f>
        <v>0.95148700286411581</v>
      </c>
      <c r="M49" s="191"/>
      <c r="N49" s="191">
        <f>N13/N35/$B$13*$B$35</f>
        <v>0.94047859981611648</v>
      </c>
      <c r="O49" s="191"/>
      <c r="P49" s="191">
        <f>P13/P35/$B$13*$B$35</f>
        <v>0.92919777858305452</v>
      </c>
      <c r="Q49" s="191"/>
      <c r="R49" s="191">
        <f>R13/R35/$B$13*$B$35</f>
        <v>0.91777229991650133</v>
      </c>
      <c r="S49" s="191"/>
      <c r="T49" s="191">
        <f>T13/T35/$B$13*$B$35</f>
        <v>0.90635609765003966</v>
      </c>
      <c r="U49" s="191"/>
      <c r="V49" s="191">
        <f>V13/V35/$B$13*$B$35</f>
        <v>0.89512078950781471</v>
      </c>
      <c r="W49" s="191"/>
      <c r="X49" s="191">
        <f>X13/X35/$B$13*$B$35</f>
        <v>0.88424289432207026</v>
      </c>
      <c r="Y49" s="191"/>
      <c r="Z49" s="191">
        <f>Z13/Z35/$B$13*$B$35</f>
        <v>0.87388727168850688</v>
      </c>
      <c r="AA49" s="191"/>
      <c r="AB49" s="191">
        <f>AB13/AB35/$B$13*$B$35</f>
        <v>0.86418555389593887</v>
      </c>
      <c r="AC49" s="191"/>
      <c r="AD49" s="191">
        <f>AD13/AD35/$B$13*$B$35</f>
        <v>0.85520653256441181</v>
      </c>
      <c r="AE49" s="191"/>
      <c r="AF49" s="191">
        <f>AF13/AF35/$B$13*$B$35</f>
        <v>0.8469143885878454</v>
      </c>
      <c r="AG49" s="191"/>
      <c r="AH49" s="191" t="e">
        <f>AH13/AH35/$B$13*$B$35</f>
        <v>#DIV/0!</v>
      </c>
      <c r="AI49" s="191"/>
      <c r="AJ49" s="191" t="e">
        <f>AJ13/AJ35/$B$13*$B$35</f>
        <v>#DIV/0!</v>
      </c>
      <c r="AK49" s="191"/>
      <c r="AL49" s="191" t="e">
        <f>AL13/AL35/$B$13*$B$35</f>
        <v>#DIV/0!</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-352609.74585391162</v>
      </c>
      <c r="F51" s="29">
        <f>F30-F10*F23</f>
        <v>-299807.70229054289</v>
      </c>
      <c r="H51" s="29">
        <f>H30-H10*H23</f>
        <v>-247768.61954504019</v>
      </c>
      <c r="J51" s="29">
        <f>J30-J10*J23</f>
        <v>-196918.73119519837</v>
      </c>
      <c r="L51" s="29">
        <f>L30-L10*L23</f>
        <v>-147777.61869195849</v>
      </c>
      <c r="N51" s="29">
        <f>N30-N10*N23</f>
        <v>-100938.00342819886</v>
      </c>
      <c r="P51" s="29">
        <f>P30-P10*P23</f>
        <v>-57019.026806893758</v>
      </c>
      <c r="R51" s="29">
        <f>R30-R10*R23</f>
        <v>-16579.79603433609</v>
      </c>
      <c r="T51" s="29">
        <f>T30-T10*T23</f>
        <v>20020.598228237592</v>
      </c>
      <c r="V51" s="29">
        <f>V30-V10*V23</f>
        <v>52826.878321504686</v>
      </c>
      <c r="X51" s="29">
        <f>X30-X10*X23</f>
        <v>82562.608888695482</v>
      </c>
      <c r="Z51" s="29">
        <f>Z30-Z10*Z23</f>
        <v>111005.10113582853</v>
      </c>
      <c r="AB51" s="29">
        <f>AB30-AB10*AB23</f>
        <v>141537.4597591795</v>
      </c>
      <c r="AD51" s="29">
        <f>AD30-AD10*AD23</f>
        <v>180148.42273409944</v>
      </c>
      <c r="AF51" s="29">
        <f>AF30-AF10*AF23</f>
        <v>237858.32266056258</v>
      </c>
      <c r="AH51" s="29">
        <f>AH30-AH10*AH23</f>
        <v>0</v>
      </c>
      <c r="AJ51" s="29">
        <f>AJ30-AJ10*AJ23</f>
        <v>0</v>
      </c>
      <c r="AL51" s="29">
        <f>AL30-AL10*AL23</f>
        <v>0</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2013782.7951411307</v>
      </c>
      <c r="F52" s="29">
        <f t="array" ref="F52">Calibration!sL*SUM(F13:G13*F26:G26)</f>
        <v>1975173.2882662676</v>
      </c>
      <c r="H52" s="29">
        <f t="array" ref="H52">Calibration!sL*SUM(H13:I13*H26:I26)</f>
        <v>1933017.5452789478</v>
      </c>
      <c r="J52" s="29">
        <f t="array" ref="J52">Calibration!sL*SUM(J13:K13*J26:K26)</f>
        <v>1886903.7755125586</v>
      </c>
      <c r="L52" s="29">
        <f t="array" ref="L52">Calibration!sL*SUM(L13:M13*L26:M26)</f>
        <v>1836439.7743962752</v>
      </c>
      <c r="N52" s="29">
        <f t="array" ref="N52">Calibration!sL*SUM(N13:O13*N26:O26)</f>
        <v>1781302.9555954542</v>
      </c>
      <c r="P52" s="29">
        <f t="array" ref="P52">Calibration!sL*SUM(P13:Q13*P26:Q26)</f>
        <v>1721312.4594317481</v>
      </c>
      <c r="R52" s="29">
        <f t="array" ref="R52">Calibration!sL*SUM(R13:S13*R26:S26)</f>
        <v>1656527.5505973664</v>
      </c>
      <c r="T52" s="29">
        <f t="array" ref="T52">Calibration!sL*SUM(T13:U13*T26:U26)</f>
        <v>1587368.7245926715</v>
      </c>
      <c r="V52" s="29">
        <f t="array" ref="V52">Calibration!sL*SUM(V13:W13*V26:W26)</f>
        <v>1514756.4566116296</v>
      </c>
      <c r="X52" s="29">
        <f t="array" ref="X52">Calibration!sL*SUM(X13:Y13*X26:Y26)</f>
        <v>1440246.4914559857</v>
      </c>
      <c r="Z52" s="29">
        <f t="array" ref="Z52">Calibration!sL*SUM(Z13:AA13*Z26:AA26)</f>
        <v>1366142.6499731231</v>
      </c>
      <c r="AB52" s="29">
        <f t="array" ref="AB52">Calibration!sL*SUM(AB13:AC13*AB26:AC26)</f>
        <v>1295554.4954532264</v>
      </c>
      <c r="AD52" s="29">
        <f t="array" ref="AD52">Calibration!sL*SUM(AD13:AE13*AD26:AE26)</f>
        <v>1232409.9957956702</v>
      </c>
      <c r="AF52" s="29">
        <f t="array" ref="AF52">Calibration!sL*SUM(AF13:AG13*AF26:AG26)</f>
        <v>1181629.4187732432</v>
      </c>
      <c r="AH52" s="29">
        <f t="array" ref="AH52">Calibration!sL*SUM(AH13:AI13*AH26:AI26)</f>
        <v>0</v>
      </c>
      <c r="AJ52" s="29">
        <f t="array" ref="AJ52">Calibration!sL*SUM(AJ13:AK13*AJ26:AK26)</f>
        <v>0</v>
      </c>
      <c r="AL52" s="29">
        <f t="array" ref="AL52">Calibration!sL*SUM(AL13:AM13*AL26:AM26)</f>
        <v>0</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2740714.4444297305</v>
      </c>
      <c r="D53" s="29">
        <f t="array" ref="D53">Calibration!sK*SUM(D15:E15*D27:E27)</f>
        <v>2699001.719914801</v>
      </c>
      <c r="F53" s="29">
        <f t="array" ref="F53">Calibration!sK*SUM(F15:G15*F27:G27)</f>
        <v>2653767.3488494516</v>
      </c>
      <c r="H53" s="29">
        <f t="array" ref="H53">Calibration!sK*SUM(H15:I15*H27:I27)</f>
        <v>2604448.0304007442</v>
      </c>
      <c r="J53" s="29">
        <f t="array" ref="J53">Calibration!sK*SUM(J15:K15*J27:K27)</f>
        <v>2550432.7419141959</v>
      </c>
      <c r="L53" s="29">
        <f t="array" ref="L53">Calibration!sK*SUM(L15:M15*L27:M27)</f>
        <v>2491092.1320873909</v>
      </c>
      <c r="N53" s="29">
        <f t="array" ref="N53">Calibration!sK*SUM(N15:O15*N27:O27)</f>
        <v>2425835.9340763888</v>
      </c>
      <c r="P53" s="29">
        <f t="array" ref="P53">Calibration!sK*SUM(P15:Q15*P27:Q27)</f>
        <v>2354202.5504650529</v>
      </c>
      <c r="R53" s="29">
        <f t="array" ref="R53">Calibration!sK*SUM(R15:S15*R27:S27)</f>
        <v>2275989.2148122527</v>
      </c>
      <c r="T53" s="29">
        <f t="array" ref="T53">Calibration!sK*SUM(T15:U15*T27:U27)</f>
        <v>2191420.3234129357</v>
      </c>
      <c r="V53" s="29">
        <f t="array" ref="V53">Calibration!sK*SUM(V15:W15*V27:W27)</f>
        <v>2101347.101369218</v>
      </c>
      <c r="X53" s="29">
        <f t="array" ref="X53">Calibration!sK*SUM(X15:Y15*X27:Y27)</f>
        <v>2007447.3645108338</v>
      </c>
      <c r="Z53" s="29">
        <f t="array" ref="Z53">Calibration!sK*SUM(Z15:AA15*Z27:AA27)</f>
        <v>1912391.5610383316</v>
      </c>
      <c r="AB53" s="29">
        <f t="array" ref="AB53">Calibration!sK*SUM(AB15:AC15*AB27:AC27)</f>
        <v>1819917.2468522976</v>
      </c>
      <c r="AD53" s="29">
        <f t="array" ref="AD53">Calibration!sK*SUM(AD15:AE15*AD27:AE27)</f>
        <v>1734794.1794189743</v>
      </c>
      <c r="AF53" s="29">
        <f t="array" ref="AF53">Calibration!sK*SUM(AF15:AG15*AF27:AG27)</f>
        <v>1662861.7737834507</v>
      </c>
      <c r="AH53" s="29">
        <f t="array" ref="AH53">Calibration!sK*SUM(AH15:AI15*AH27:AI27)</f>
        <v>0</v>
      </c>
      <c r="AJ53" s="29">
        <f t="array" ref="AJ53">Calibration!sK*SUM(AJ15:AK15*AJ27:AK27)</f>
        <v>0</v>
      </c>
      <c r="AL53" s="29">
        <f t="array" ref="AL53">Calibration!sK*SUM(AL15:AM15*AL27:AM27)</f>
        <v>0</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0.20182387343970223</v>
      </c>
      <c r="F55" s="193">
        <f>F30/F32</f>
        <v>0.20516557277908123</v>
      </c>
      <c r="H55" s="193">
        <f>H30/H32</f>
        <v>0.20851599983020236</v>
      </c>
      <c r="J55" s="193">
        <f>J30/J32</f>
        <v>0.21185931542732692</v>
      </c>
      <c r="L55" s="193">
        <f>L30/L32</f>
        <v>0.21517525441470944</v>
      </c>
      <c r="N55" s="193">
        <f>N30/N32</f>
        <v>0.2184400511038431</v>
      </c>
      <c r="P55" s="193">
        <f>P30/P32</f>
        <v>0.22162878927366234</v>
      </c>
      <c r="R55" s="193">
        <f>R30/R32</f>
        <v>0.22472027316800675</v>
      </c>
      <c r="T55" s="193">
        <f>T30/T32</f>
        <v>0.22770606412128144</v>
      </c>
      <c r="V55" s="193">
        <f>V30/V32</f>
        <v>0.23060591945855724</v>
      </c>
      <c r="X55" s="193">
        <f>X30/X32</f>
        <v>0.23349276796454826</v>
      </c>
      <c r="Z55" s="193">
        <f>Z30/Z32</f>
        <v>0.23653311594304566</v>
      </c>
      <c r="AB55" s="193">
        <f>AB30/AB32</f>
        <v>0.24005280264907961</v>
      </c>
      <c r="AD55" s="193">
        <f>AD30/AD32</f>
        <v>0.24465149706435368</v>
      </c>
      <c r="AF55" s="193">
        <f>AF30/AF32</f>
        <v>0.25144103299977399</v>
      </c>
      <c r="AH55" s="193" t="e">
        <f>AH30/AH32</f>
        <v>#DIV/0!</v>
      </c>
      <c r="AJ55" s="193" t="e">
        <f>AJ30/AJ32</f>
        <v>#DIV/0!</v>
      </c>
      <c r="AL55" s="193" t="e">
        <f>AL30/AL32</f>
        <v>#DIV/0!</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3.3448565156188284E-2</v>
      </c>
      <c r="F56" s="193">
        <f>(Model!$C$52*F5*F20+F2*G5*G20)/F32</f>
        <v>3.772877802100514E-2</v>
      </c>
      <c r="H56" s="193">
        <f>(Model!$C$52*H5*H20+H2*I5*I20)/H32</f>
        <v>4.2049190691216681E-2</v>
      </c>
      <c r="J56" s="193">
        <f>(Model!$C$52*J5*J20+J2*K5*K20)/J32</f>
        <v>4.6391850791866168E-2</v>
      </c>
      <c r="L56" s="193">
        <f>(Model!$C$52*L5*L20+L2*M5*M20)/L32</f>
        <v>5.07327062054483E-2</v>
      </c>
      <c r="N56" s="193">
        <f>(Model!$C$52*N5*N20+N2*O5*O20)/N32</f>
        <v>5.5042383809951398E-2</v>
      </c>
      <c r="P56" s="193">
        <f>(Model!$C$52*P5*P20+P2*Q5*Q20)/P32</f>
        <v>5.928867661434923E-2</v>
      </c>
      <c r="R56" s="193">
        <f>(Model!$C$52*R5*R20+R2*S5*S20)/R32</f>
        <v>6.3441880652352386E-2</v>
      </c>
      <c r="T56" s="193">
        <f>(Model!$C$52*T5*T20+T2*U5*U20)/T32</f>
        <v>6.7485092943654151E-2</v>
      </c>
      <c r="V56" s="193">
        <f>(Model!$C$52*V5*V20+V2*W5*W20)/V32</f>
        <v>7.143191256684045E-2</v>
      </c>
      <c r="X56" s="193">
        <f>(Model!$C$52*X5*X20+X2*Y5*Y20)/X32</f>
        <v>7.5355145562363515E-2</v>
      </c>
      <c r="Z56" s="193">
        <f>(Model!$C$52*Z5*Z20+Z2*AA5*AA20)/Z32</f>
        <v>7.9433183317857883E-2</v>
      </c>
      <c r="AB56" s="193">
        <f>(Model!$C$52*AB5*AB20+AB2*AC5*AC20)/AB32</f>
        <v>8.4025555523801143E-2</v>
      </c>
      <c r="AD56" s="193">
        <f>(Model!$C$52*AD5*AD20+AD2*AE5*AE20)/AD32</f>
        <v>8.980485036970319E-2</v>
      </c>
      <c r="AF56" s="193">
        <f>(Model!$C$52*AF5*AF20+AF2*AG5*AG20)/AF32</f>
        <v>9.8030823698678216E-2</v>
      </c>
      <c r="AH56" s="193" t="e">
        <f>(Model!$C$52*AH5*AH20+AH2*AI5*AI20)/AH32</f>
        <v>#DIV/0!</v>
      </c>
      <c r="AJ56" s="193" t="e">
        <f>(Model!$C$52*AJ5*AJ20+AJ2*AK5*AK20)/AJ32</f>
        <v>#DIV/0!</v>
      </c>
      <c r="AL56" s="193" t="e">
        <f>(Model!$C$52*AL5*AL20+AL2*AM5*AM20)/AL32</f>
        <v>#DIV/0!</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0.15768201249735322</v>
      </c>
      <c r="F57" s="193">
        <f t="array" ref="F57">SUM(Model!tauL*F13:G13*F26:G26)/F32</f>
        <v>0.15680285132091687</v>
      </c>
      <c r="H57" s="193">
        <f t="array" ref="H57">SUM(Model!tauL*H13:I13*H26:I26)/H32</f>
        <v>0.15589220003559492</v>
      </c>
      <c r="J57" s="193">
        <f t="array" ref="J57">SUM(Model!tauL*J13:K13*J26:K26)/J32</f>
        <v>0.15495221996170305</v>
      </c>
      <c r="L57" s="193">
        <f t="array" ref="L57">SUM(Model!tauL*L13:M13*L26:M26)/L32</f>
        <v>0.15398677858377779</v>
      </c>
      <c r="N57" s="193">
        <f t="array" ref="N57">SUM(Model!tauL*N13:O13*N26:O26)/N32</f>
        <v>0.1530016325760056</v>
      </c>
      <c r="P57" s="193">
        <f t="array" ref="P57">SUM(Model!tauL*P13:Q13*P26:Q26)/P32</f>
        <v>0.15200435992854236</v>
      </c>
      <c r="R57" s="193">
        <f t="array" ref="R57">SUM(Model!tauL*R13:S13*R26:S26)/R32</f>
        <v>0.15100399493436611</v>
      </c>
      <c r="T57" s="193">
        <f t="array" ref="T57">SUM(Model!tauL*T13:U13*T26:U26)/T32</f>
        <v>0.15000993238442242</v>
      </c>
      <c r="V57" s="193">
        <f t="array" ref="V57">SUM(Model!tauL*V13:W13*V26:W26)/V32</f>
        <v>0.14902991572447732</v>
      </c>
      <c r="X57" s="193">
        <f t="array" ref="X57">SUM(Model!tauL*X13:Y13*X26:Y26)/X32</f>
        <v>0.14806663706880877</v>
      </c>
      <c r="Y57" s="193"/>
      <c r="Z57" s="193">
        <f t="array" ref="Z57">SUM(Model!tauL*Z13:AA13*Z26:AA26)/Z32</f>
        <v>0.14711217419616218</v>
      </c>
      <c r="AB57" s="193">
        <f t="array" ref="AB57">SUM(Model!tauL*AB13:AC13*AB26:AC26)/AB32</f>
        <v>0.14613857179198081</v>
      </c>
      <c r="AD57" s="193">
        <f t="array" ref="AD57">SUM(Model!tauL*AD13:AE13*AD26:AE26)/AD32</f>
        <v>0.14508053659496406</v>
      </c>
      <c r="AF57" s="193">
        <f t="array" ref="AF57">SUM(Model!tauL*AF13:AG13*AF26:AG26)/AF32</f>
        <v>0.1437990871659133</v>
      </c>
      <c r="AH57" s="193" t="e">
        <f t="array" ref="AH57">SUM(Model!tauL*AH13:AI13*AH26:AI26)/AH32</f>
        <v>#DIV/0!</v>
      </c>
      <c r="AJ57" s="193" t="e">
        <f t="array" ref="AJ57">SUM(Model!tauL*AJ13:AK13*AJ26:AK26)/AJ32</f>
        <v>#DIV/0!</v>
      </c>
      <c r="AL57" s="193" t="e">
        <f t="array" ref="AL57">SUM(Model!tauL*AL13:AM13*AL26:AM26)/AL32</f>
        <v>#DIV/0!</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1.0693295786160703E-2</v>
      </c>
      <c r="F58" s="193">
        <f t="array" ref="F58">SUM(Model!tauY/(1+Model!tauY)*F3:G3*F18:G18)/F32</f>
        <v>1.0633943437159208E-2</v>
      </c>
      <c r="H58" s="193">
        <f t="array" ref="H58">SUM(Model!tauY/(1+Model!tauY)*H3:I3*H18:I18)/H32</f>
        <v>1.057460910339076E-2</v>
      </c>
      <c r="J58" s="193">
        <f t="array" ref="J58">SUM(Model!tauY/(1+Model!tauY)*J3:K3*J18:K18)/J32</f>
        <v>1.0515244673757702E-2</v>
      </c>
      <c r="L58" s="193">
        <f t="array" ref="L58">SUM(Model!tauY/(1+Model!tauY)*L3:M3*L18:M18)/L32</f>
        <v>1.0455769625483358E-2</v>
      </c>
      <c r="N58" s="193">
        <f t="array" ref="N58">SUM(Model!tauY/(1+Model!tauY)*N3:O3*N18:O18)/N32</f>
        <v>1.0396034717886063E-2</v>
      </c>
      <c r="P58" s="193">
        <f t="array" ref="P58">SUM(Model!tauY/(1+Model!tauY)*P3:Q3*P18:Q18)/P32</f>
        <v>1.0335752730770757E-2</v>
      </c>
      <c r="R58" s="193">
        <f t="array" ref="R58">SUM(Model!tauY/(1+Model!tauY)*R3:S3*R18:S18)/R32</f>
        <v>1.0274397581288251E-2</v>
      </c>
      <c r="T58" s="193">
        <f t="array" ref="T58">SUM(Model!tauY/(1+Model!tauY)*T3:U3*T18:U18)/T32</f>
        <v>1.0211038793204836E-2</v>
      </c>
      <c r="V58" s="193">
        <f t="array" ref="V58">SUM(Model!tauY/(1+Model!tauY)*V3:W3*V18:W18)/V32</f>
        <v>1.0144091167239465E-2</v>
      </c>
      <c r="X58" s="193">
        <f t="array" ref="X58">SUM(Model!tauY/(1+Model!tauY)*X3:Y3*X18:Y18)/X32</f>
        <v>1.0070985333375993E-2</v>
      </c>
      <c r="Y58" s="193"/>
      <c r="Z58" s="193">
        <f t="array" ref="Z58">SUM(Model!tauY/(1+Model!tauY)*Z3:AA3*Z18:AA18)/Z32</f>
        <v>9.9877584290255506E-3</v>
      </c>
      <c r="AB58" s="193">
        <f t="array" ref="AB58">SUM(Model!tauY/(1+Model!tauY)*AB3:AC3*AB18:AC18)/AB32</f>
        <v>9.8886753332976599E-3</v>
      </c>
      <c r="AD58" s="193">
        <f t="array" ref="AD58">SUM(Model!tauY/(1+Model!tauY)*AD3:AE3*AD18:AE18)/AD32</f>
        <v>9.7661100996863977E-3</v>
      </c>
      <c r="AF58" s="193">
        <f t="array" ref="AF58">SUM(Model!tauY/(1+Model!tauY)*AF3:AG3*AF18:AG18)/AF32</f>
        <v>9.6111221351824483E-3</v>
      </c>
      <c r="AH58" s="193" t="e">
        <f t="array" ref="AH58">SUM(Model!tauY/(1+Model!tauY)*AH3:AI3*AH18:AI18)/AH32</f>
        <v>#DIV/0!</v>
      </c>
      <c r="AJ58" s="193" t="e">
        <f t="array" ref="AJ58">SUM(Model!tauY/(1+Model!tauY)*AJ3:AK3*AJ18:AK18)/AJ32</f>
        <v>#DIV/0!</v>
      </c>
      <c r="AL58" s="193" t="e">
        <f t="array" ref="AL58">SUM(Model!tauY/(1+Model!tauY)*AL3:AM3*AL18:AM18)/AL32</f>
        <v>#DIV/0!</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4.8112966750881881E-3</v>
      </c>
      <c r="F59" s="193">
        <f>(F2*G5*G20)/F32</f>
        <v>9.1147337066069603E-3</v>
      </c>
      <c r="H59" s="193">
        <f>(H2*I5*I20)/H32</f>
        <v>1.3446995050343115E-2</v>
      </c>
      <c r="J59" s="193">
        <f>(J2*K5*K20)/J32</f>
        <v>1.7787091190206925E-2</v>
      </c>
      <c r="L59" s="193">
        <f>(L2*M5*M20)/L32</f>
        <v>2.2107136457072518E-2</v>
      </c>
      <c r="N59" s="193">
        <f>(N2*O5*O20)/N32</f>
        <v>2.6372984983893767E-2</v>
      </c>
      <c r="P59" s="193">
        <f>(P2*Q5*Q20)/P32</f>
        <v>3.0546586828862736E-2</v>
      </c>
      <c r="R59" s="193">
        <f>(R2*S5*S20)/R32</f>
        <v>3.4591208898445046E-2</v>
      </c>
      <c r="T59" s="193">
        <f>(T2*U5*U20)/T32</f>
        <v>3.8481720891436755E-2</v>
      </c>
      <c r="V59" s="193">
        <f>(V2*W5*W20)/V32</f>
        <v>4.2222444302381375E-2</v>
      </c>
      <c r="X59" s="193">
        <f>(X2*Y5*Y20)/X32</f>
        <v>4.5876329046063299E-2</v>
      </c>
      <c r="Z59" s="193">
        <f>(Z2*AA5*AA20)/Z32</f>
        <v>4.9612310654525628E-2</v>
      </c>
      <c r="AB59" s="193">
        <f>(AB2*AC5*AC20)/AB32</f>
        <v>5.3782493925406495E-2</v>
      </c>
      <c r="AD59" s="193">
        <f>(AD2*AE5*AE20)/AD32</f>
        <v>5.9056124994119531E-2</v>
      </c>
      <c r="AF59" s="193">
        <f>(AF2*AG5*AG20)/AF32</f>
        <v>6.6695366601561848E-2</v>
      </c>
      <c r="AH59" s="193" t="e">
        <f>(AH2*AI5*AI20)/AH32</f>
        <v>#DIV/0!</v>
      </c>
      <c r="AJ59" s="193" t="e">
        <f>(AJ2*AK5*AK20)/AJ32</f>
        <v>#DIV/0!</v>
      </c>
      <c r="AL59" s="193" t="e">
        <f>(AL2*AM5*AM20)/AL32</f>
        <v>#DIV/0!</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2.8637268481100098E-2</v>
      </c>
      <c r="F60" s="193">
        <f>Model!$C$52*F5*F20/F32</f>
        <v>2.8614044314398183E-2</v>
      </c>
      <c r="H60" s="193">
        <f>Model!$C$52*H5*H20/H32</f>
        <v>2.8602195640873566E-2</v>
      </c>
      <c r="J60" s="193">
        <f>Model!$C$52*J5*J20/J32</f>
        <v>2.8604759601659244E-2</v>
      </c>
      <c r="L60" s="193">
        <f>Model!$C$52*L5*L20/L32</f>
        <v>2.8625569748375788E-2</v>
      </c>
      <c r="N60" s="193">
        <f>Model!$C$52*N5*N20/N32</f>
        <v>2.8669398826057638E-2</v>
      </c>
      <c r="P60" s="193">
        <f>Model!$C$52*P5*P20/P32</f>
        <v>2.874208978548649E-2</v>
      </c>
      <c r="R60" s="193">
        <f>Model!$C$52*R5*R20/R32</f>
        <v>2.8850671753907341E-2</v>
      </c>
      <c r="T60" s="193">
        <f>Model!$C$52*T5*T20/T32</f>
        <v>2.9003372052217397E-2</v>
      </c>
      <c r="V60" s="193">
        <f>Model!$C$52*V5*V20/V32</f>
        <v>2.9209468264459072E-2</v>
      </c>
      <c r="X60" s="193">
        <f>Model!$C$52*X5*X20/X32</f>
        <v>2.9478816516300226E-2</v>
      </c>
      <c r="Z60" s="193">
        <f>Model!$C$52*Z5*Z20/Z32</f>
        <v>2.9820872663332252E-2</v>
      </c>
      <c r="AB60" s="193">
        <f>Model!$C$52*AB5*AB20/AB32</f>
        <v>3.0243061598394655E-2</v>
      </c>
      <c r="AD60" s="193">
        <f>Model!$C$52*AD5*AD20/AD32</f>
        <v>3.0748725375583659E-2</v>
      </c>
      <c r="AF60" s="193">
        <f>Model!$C$52*AF5*AF20/AF32</f>
        <v>3.1335457097116375E-2</v>
      </c>
      <c r="AH60" s="193" t="e">
        <f>Model!$C$52*AH5*AH20/AH32</f>
        <v>#DIV/0!</v>
      </c>
      <c r="AJ60" s="193" t="e">
        <f>Model!$C$52*AJ5*AJ20/AJ32</f>
        <v>#DIV/0!</v>
      </c>
      <c r="AL60" s="193" t="e">
        <f>Model!$C$52*AL5*AL20/AL32</f>
        <v>#DIV/0!</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0.99480069965340667</v>
      </c>
      <c r="F62">
        <f>F13/F15</f>
        <v>0.98917826693643662</v>
      </c>
      <c r="H62">
        <f>H13/H15</f>
        <v>0.98311587646364396</v>
      </c>
      <c r="J62">
        <f>J13/J15</f>
        <v>0.97660587986226044</v>
      </c>
      <c r="L62">
        <f>L13/L15</f>
        <v>0.96965439621665206</v>
      </c>
      <c r="N62">
        <f>N13/N15</f>
        <v>0.96228592340766073</v>
      </c>
      <c r="P62">
        <f>P13/P15</f>
        <v>0.95454844465296651</v>
      </c>
      <c r="R62">
        <f>R13/R15</f>
        <v>0.94651916324636198</v>
      </c>
      <c r="T62">
        <f>T13/T15</f>
        <v>0.93831079235933434</v>
      </c>
      <c r="V62">
        <f>V13/V15</f>
        <v>0.93008052584871781</v>
      </c>
      <c r="X62">
        <f>X13/X15</f>
        <v>0.92204523437448904</v>
      </c>
      <c r="Z62">
        <f>Z13/Z15</f>
        <v>0.91450900079933983</v>
      </c>
      <c r="AB62">
        <f>AB13/AB15</f>
        <v>0.90791263834987312</v>
      </c>
      <c r="AD62">
        <f>AD13/AD15</f>
        <v>0.9029291254235301</v>
      </c>
      <c r="AF62">
        <f>AF13/AF15</f>
        <v>0.90069174690341192</v>
      </c>
      <c r="AH62" t="e">
        <f>AH13/AH15</f>
        <v>#DIV/0!</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0.99900795411573129</v>
      </c>
      <c r="E65" s="191"/>
      <c r="F65" s="191">
        <f t="array" ref="F65">SQRT((F9:G9*$B$22:$C$22+F10:G10*$B$23:$C$23+F11:G11*$B$24:$C$24+F4:G4*($B$25:$C$25-$B$19:$C$19))/($B$9:$C$9*$B$22:$C$22+$B$10:$C$10*$B$23:$C$23+$B$11:$C$11*$B$24:$C$24+$B$4:$C$4*($B$25:$C$25-$B$19:$C$19))*(F9:G9*F22:G22+F10:G10*F23:G23+F11:G11*F24:G24+F4:G4*(F25:G25-F19:G19))/($B$9:$C$9*F22:G22+$B$10:$C$10*F23:G23+$B$11:$C$11*F24:G24+$B$4:$C$4*(F25:G25-F19:G19)))</f>
        <v>0.99854908375660911</v>
      </c>
      <c r="G65" s="191"/>
      <c r="H65" s="191">
        <f t="array" ref="H65">SQRT((H9:I9*$B$22:$C$22+H10:I10*$B$23:$C$23+H11:I11*$B$24:$C$24+H4:I4*($B$25:$C$25-$B$19:$C$19))/($B$9:$C$9*$B$22:$C$22+$B$10:$C$10*$B$23:$C$23+$B$11:$C$11*$B$24:$C$24+$B$4:$C$4*($B$25:$C$25-$B$19:$C$19))*(H9:I9*H22:I22+H10:I10*H23:I23+H11:I11*H24:I24+H4:I4*(H25:I25-H19:I19))/($B$9:$C$9*H22:I22+$B$10:$C$10*H23:I23+$B$11:$C$11*H24:I24+$B$4:$C$4*(H25:I25-H19:I19)))</f>
        <v>0.9987770402707048</v>
      </c>
      <c r="I65" s="191"/>
      <c r="J65" s="191">
        <f t="array" ref="J65">SQRT((J9:K9*$B$22:$C$22+J10:K10*$B$23:$C$23+J11:K11*$B$24:$C$24+J4:K4*($B$25:$C$25-$B$19:$C$19))/($B$9:$C$9*$B$22:$C$22+$B$10:$C$10*$B$23:$C$23+$B$11:$C$11*$B$24:$C$24+$B$4:$C$4*($B$25:$C$25-$B$19:$C$19))*(J9:K9*J22:K22+J10:K10*J23:K23+J11:K11*J24:K24+J4:K4*(J25:K25-J19:K19))/($B$9:$C$9*J22:K22+$B$10:$C$10*J23:K23+$B$11:$C$11*J24:K24+$B$4:$C$4*(J25:K25-J19:K19)))</f>
        <v>0.99989554478621434</v>
      </c>
      <c r="K65" s="191"/>
      <c r="L65" s="191">
        <f t="array" ref="L65">SQRT((L9:M9*$B$22:$C$22+L10:M10*$B$23:$C$23+L11:M11*$B$24:$C$24+L4:M4*($B$25:$C$25-$B$19:$C$19))/($B$9:$C$9*$B$22:$C$22+$B$10:$C$10*$B$23:$C$23+$B$11:$C$11*$B$24:$C$24+$B$4:$C$4*($B$25:$C$25-$B$19:$C$19))*(L9:M9*L22:M22+L10:M10*L23:M23+L11:M11*L24:M24+L4:M4*(L25:M25-L19:M19))/($B$9:$C$9*L22:M22+$B$10:$C$10*L23:M23+$B$11:$C$11*L24:M24+$B$4:$C$4*(L25:M25-L19:M19)))</f>
        <v>1.0021774159651697</v>
      </c>
      <c r="M65" s="191"/>
      <c r="N65" s="191">
        <f t="array" ref="N65">SQRT((N9:O9*$B$22:$C$22+N10:O10*$B$23:$C$23+N11:O11*$B$24:$C$24+N4:O4*($B$25:$C$25-$B$19:$C$19))/($B$9:$C$9*$B$22:$C$22+$B$10:$C$10*$B$23:$C$23+$B$11:$C$11*$B$24:$C$24+$B$4:$C$4*($B$25:$C$25-$B$19:$C$19))*(N9:O9*N22:O22+N10:O10*N23:O23+N11:O11*N24:O24+N4:O4*(N25:O25-N19:O19))/($B$9:$C$9*N22:O22+$B$10:$C$10*N23:O23+$B$11:$C$11*N24:O24+$B$4:$C$4*(N25:O25-N19:O19)))</f>
        <v>1.0059890348478049</v>
      </c>
      <c r="O65" s="191"/>
      <c r="P65" s="191">
        <f t="array" ref="P65">SQRT((P9:Q9*$B$22:$C$22+P10:Q10*$B$23:$C$23+P11:Q11*$B$24:$C$24+P4:Q4*($B$25:$C$25-$B$19:$C$19))/($B$9:$C$9*$B$22:$C$22+$B$10:$C$10*$B$23:$C$23+$B$11:$C$11*$B$24:$C$24+$B$4:$C$4*($B$25:$C$25-$B$19:$C$19))*(P9:Q9*P22:Q22+P10:Q10*P23:Q23+P11:Q11*P24:Q24+P4:Q4*(P25:Q25-P19:Q19))/($B$9:$C$9*P22:Q22+$B$10:$C$10*P23:Q23+$B$11:$C$11*P24:Q24+$B$4:$C$4*(P25:Q25-P19:Q19)))</f>
        <v>1.0118252278075828</v>
      </c>
      <c r="Q65" s="191"/>
      <c r="R65" s="191">
        <f t="array" ref="R65">SQRT((R9:S9*$B$22:$C$22+R10:S10*$B$23:$C$23+R11:S11*$B$24:$C$24+R4:S4*($B$25:$C$25-$B$19:$C$19))/($B$9:$C$9*$B$22:$C$22+$B$10:$C$10*$B$23:$C$23+$B$11:$C$11*$B$24:$C$24+$B$4:$C$4*($B$25:$C$25-$B$19:$C$19))*(R9:S9*R22:S22+R10:S10*R23:S23+R11:S11*R24:S24+R4:S4*(R25:S25-R19:S19))/($B$9:$C$9*R22:S22+$B$10:$C$10*R23:S23+$B$11:$C$11*R24:S24+$B$4:$C$4*(R25:S25-R19:S19)))</f>
        <v>1.0203616634276336</v>
      </c>
      <c r="S65" s="191"/>
      <c r="T65" s="191">
        <f t="array" ref="T65">SQRT((T9:U9*$B$22:$C$22+T10:U10*$B$23:$C$23+T11:U11*$B$24:$C$24+T4:U4*($B$25:$C$25-$B$19:$C$19))/($B$9:$C$9*$B$22:$C$22+$B$10:$C$10*$B$23:$C$23+$B$11:$C$11*$B$24:$C$24+$B$4:$C$4*($B$25:$C$25-$B$19:$C$19))*(T9:U9*T22:U22+T10:U10*T23:U23+T11:U11*T24:U24+T4:U4*(T25:U25-T19:U19))/($B$9:$C$9*T22:U22+$B$10:$C$10*T23:U23+$B$11:$C$11*T24:U24+$B$4:$C$4*(T25:U25-T19:U19)))</f>
        <v>1.0325330086741649</v>
      </c>
      <c r="U65" s="191"/>
      <c r="V65" s="191">
        <f t="array" ref="V65">SQRT((V9:W9*$B$22:$C$22+V10:W10*$B$23:$C$23+V11:W11*$B$24:$C$24+V4:W4*($B$25:$C$25-$B$19:$C$19))/($B$9:$C$9*$B$22:$C$22+$B$10:$C$10*$B$23:$C$23+$B$11:$C$11*$B$24:$C$24+$B$4:$C$4*($B$25:$C$25-$B$19:$C$19))*(V9:W9*V22:W22+V10:W10*V23:W23+V11:W11*V24:W24+V4:W4*(V25:W25-V19:W19))/($B$9:$C$9*V22:W22+$B$10:$C$10*V23:W23+$B$11:$C$11*V24:W24+$B$4:$C$4*(V25:W25-V19:W19)))</f>
        <v>1.049657106681158</v>
      </c>
      <c r="W65" s="191"/>
      <c r="X65" s="191">
        <f t="array" ref="X65">SQRT((X9:Y9*$B$22:$C$22+X10:Y10*$B$23:$C$23+X11:Y11*$B$24:$C$24+X4:Y4*($B$25:$C$25-$B$19:$C$19))/($B$9:$C$9*$B$22:$C$22+$B$10:$C$10*$B$23:$C$23+$B$11:$C$11*$B$24:$C$24+$B$4:$C$4*($B$25:$C$25-$B$19:$C$19))*(X9:Y9*X22:Y22+X10:Y10*X23:Y23+X11:Y11*X24:Y24+X4:Y4*(X25:Y25-X19:Y19))/($B$9:$C$9*X22:Y22+$B$10:$C$10*X23:Y23+$B$11:$C$11*X24:Y24+$B$4:$C$4*(X25:Y25-X19:Y19)))</f>
        <v>1.0736371880158064</v>
      </c>
      <c r="Y65" s="191"/>
      <c r="Z65" s="191">
        <f t="array" ref="Z65">SQRT((Z9:AA9*$B$22:$C$22+Z10:AA10*$B$23:$C$23+Z11:AA11*$B$24:$C$24+Z4:AA4*($B$25:$C$25-$B$19:$C$19))/($B$9:$C$9*$B$22:$C$22+$B$10:$C$10*$B$23:$C$23+$B$11:$C$11*$B$24:$C$24+$B$4:$C$4*($B$25:$C$25-$B$19:$C$19))*(Z9:AA9*Z22:AA22+Z10:AA10*Z23:AA23+Z11:AA11*Z24:AA24+Z4:AA4*(Z25:AA25-Z19:AA19))/($B$9:$C$9*Z22:AA22+$B$10:$C$10*Z23:AA23+$B$11:$C$11*Z24:AA24+$B$4:$C$4*(Z25:AA25-Z19:AA19)))</f>
        <v>1.1073126319812643</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1.1551247748235332</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1.2245801441000261</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1.3300966259557683</v>
      </c>
      <c r="AG65" s="191"/>
      <c r="AH65" s="191" t="e">
        <f t="array" ref="AH65">SQRT((AH9:AI9*$B$22:$C$22+AH10:AI10*$B$23:$C$23+AH11:AI11*$B$24:$C$24+AH4:AI4*($B$25:$C$25-$B$19:$C$19))/($B$9:$C$9*$B$22:$C$22+$B$10:$C$10*$B$23:$C$23+$B$11:$C$11*$B$24:$C$24+$B$4:$C$4*($B$25:$C$25-$B$19:$C$19))*(AH9:AI9*AH22:AI22+AH10:AI10*AH23:AI23+AH11:AI11*AH24:AI24+AH4:AI4*(AH25:AI25-AH19:AI19))/($B$9:$C$9*AH22:AI22+$B$10:$C$10*AH23:AI23+$B$11:$C$11*AH24:AI24+$B$4:$C$4*(AH25:AI25-AH19:AI19)))</f>
        <v>#DIV/0!</v>
      </c>
      <c r="AI65" s="191"/>
      <c r="AJ65" s="19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91"/>
      <c r="AL65" s="19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0.99890931395886873</v>
      </c>
      <c r="E66" s="191"/>
      <c r="F66" s="191">
        <f t="array" ref="F66">SQRT((F9:G9*$B$22:$C$22)/($B$9:$C$9*$B$22:$C$22)*(F9:G9*F22:G22)/($B$9:$C$9*F22:G22))</f>
        <v>0.99840460474938331</v>
      </c>
      <c r="G66" s="191"/>
      <c r="H66" s="191">
        <f t="array" ref="H66">SQRT((H9:I9*$B$22:$C$22)/($B$9:$C$9*$B$22:$C$22)*(H9:I9*H22:I22)/($B$9:$C$9*H22:I22))</f>
        <v>0.99865549032767165</v>
      </c>
      <c r="I66" s="191"/>
      <c r="J66" s="191">
        <f t="array" ref="J66">SQRT((J9:K9*$B$22:$C$22)/($B$9:$C$9*$B$22:$C$22)*(J9:K9*J22:K22)/($B$9:$C$9*J22:K22))</f>
        <v>0.99988522760814635</v>
      </c>
      <c r="K66" s="191"/>
      <c r="L66" s="191">
        <f t="array" ref="L66">SQRT((L9:M9*$B$22:$C$22)/($B$9:$C$9*$B$22:$C$22)*(L9:M9*L22:M22)/($B$9:$C$9*L22:M22))</f>
        <v>1.0023899252879458</v>
      </c>
      <c r="M66" s="191"/>
      <c r="N66" s="191">
        <f t="array" ref="N66">SQRT((N9:O9*$B$22:$C$22)/($B$9:$C$9*$B$22:$C$22)*(N9:O9*N22:O22)/($B$9:$C$9*N22:O22))</f>
        <v>1.0065622273850454</v>
      </c>
      <c r="O66" s="191"/>
      <c r="P66" s="191">
        <f t="array" ref="P66">SQRT((P9:Q9*$B$22:$C$22)/($B$9:$C$9*$B$22:$C$22)*(P9:Q9*P22:Q22)/($B$9:$C$9*P22:Q22))</f>
        <v>1.0129237596298581</v>
      </c>
      <c r="Q66" s="191"/>
      <c r="R66" s="191">
        <f t="array" ref="R66">SQRT((R9:S9*$B$22:$C$22)/($B$9:$C$9*$B$22:$C$22)*(R9:S9*R22:S22)/($B$9:$C$9*R22:S22))</f>
        <v>1.0221720145933912</v>
      </c>
      <c r="S66" s="191"/>
      <c r="T66" s="191">
        <f t="array" ref="T66">SQRT((T9:U9*$B$22:$C$22)/($B$9:$C$9*$B$22:$C$22)*(T9:U9*T22:U22)/($B$9:$C$9*T22:U22))</f>
        <v>1.0352469000615303</v>
      </c>
      <c r="U66" s="191"/>
      <c r="V66" s="191">
        <f t="array" ref="V66">SQRT((V9:W9*$B$22:$C$22)/($B$9:$C$9*$B$22:$C$22)*(V9:W9*V22:W22)/($B$9:$C$9*V22:W22))</f>
        <v>1.0534319644730419</v>
      </c>
      <c r="W66" s="191"/>
      <c r="X66" s="191">
        <f t="array" ref="X66">SQRT((X9:Y9*$B$22:$C$22)/($B$9:$C$9*$B$22:$C$22)*(X9:Y9*X22:Y22)/($B$9:$C$9*X22:Y22))</f>
        <v>1.0785112131016112</v>
      </c>
      <c r="Y66" s="191"/>
      <c r="Z66" s="191">
        <f t="array" ref="Z66">SQRT((Z9:AA9*$B$22:$C$22)/($B$9:$C$9*$B$22:$C$22)*(Z9:AA9*Z22:AA22)/($B$9:$C$9*Z22:AA22))</f>
        <v>1.1130285034627616</v>
      </c>
      <c r="AA66" s="191"/>
      <c r="AB66" s="191">
        <f t="array" ref="AB66">SQRT((AB9:AC9*$B$22:$C$22)/($B$9:$C$9*$B$22:$C$22)*(AB9:AC9*AB22:AC22)/($B$9:$C$9*AB22:AC22))</f>
        <v>1.1607587817295604</v>
      </c>
      <c r="AC66" s="191"/>
      <c r="AD66" s="191">
        <f t="array" ref="AD66">SQRT((AD9:AE9*$B$22:$C$22)/($B$9:$C$9*$B$22:$C$22)*(AD9:AE9*AD22:AE22)/($B$9:$C$9*AD22:AE22))</f>
        <v>1.227707073087084</v>
      </c>
      <c r="AE66" s="191"/>
      <c r="AF66" s="191">
        <f t="array" ref="AF66">SQRT((AF9:AG9*$B$22:$C$22)/($B$9:$C$9*$B$22:$C$22)*(AF9:AG9*AF22:AG22)/($B$9:$C$9*AF22:AG22))</f>
        <v>1.324609404324643</v>
      </c>
      <c r="AG66" s="191"/>
      <c r="AH66" s="191" t="e">
        <f t="array" ref="AH66">SQRT((AH9:AI9*$B$22:$C$22)/($B$9:$C$9*$B$22:$C$22)*(AH9:AI9*AH22:AI22)/($B$9:$C$9*AH22:AI22))</f>
        <v>#DIV/0!</v>
      </c>
      <c r="AI66" s="191"/>
      <c r="AJ66" s="191" t="e">
        <f t="array" ref="AJ66">SQRT((AJ9:AK9*$B$22:$C$22)/($B$9:$C$9*$B$22:$C$22)*(AJ9:AK9*AJ22:AK22)/($B$9:$C$9*AJ22:AK22))</f>
        <v>#DIV/0!</v>
      </c>
      <c r="AK66" s="191"/>
      <c r="AL66" s="191" t="e">
        <f t="array" ref="AL66">SQRT((AL9:AM9*$B$22:$C$22)/($B$9:$C$9*$B$22:$C$22)*(AL9:AM9*AL22:AM22)/($B$9:$C$9*AL22:AM22))</f>
        <v>#DIV/0!</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t="e">
        <f t="array" ref="AH67">SQRT((AH4:AI4*$B$19:$C$19)/($B$4:$C$4*$B$19:$C$19)*(AH4:AI4*AH19:AI19)/($B$4:$C$4*AH19:AI19))</f>
        <v>#DIV/0!</v>
      </c>
      <c r="AI67" s="191"/>
      <c r="AJ67" s="191" t="e">
        <f t="array" ref="AJ67">SQRT((AJ4:AK4*$B$19:$C$19)/($B$4:$C$4*$B$19:$C$19)*(AJ4:AK4*AJ19:AK19)/($B$4:$C$4*AJ19:AK19))</f>
        <v>#DIV/0!</v>
      </c>
      <c r="AK67" s="191"/>
      <c r="AL67" s="191" t="e">
        <f t="array" ref="AL67">SQRT((AL4:AM4*$B$19:$C$19)/($B$4:$C$4*$B$19:$C$19)*(AL4:AM4*AL19:AM19)/($B$4:$C$4*AL19:AM19))</f>
        <v>#DIV/0!</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0.99890931395886873</v>
      </c>
      <c r="E68" s="191"/>
      <c r="F68" s="191">
        <f>F66/F67</f>
        <v>0.99840460474938331</v>
      </c>
      <c r="G68" s="191"/>
      <c r="H68" s="191">
        <f>H66/H67</f>
        <v>0.99865549032767165</v>
      </c>
      <c r="I68" s="191"/>
      <c r="J68" s="191">
        <f>J66/J67</f>
        <v>0.99988522760814635</v>
      </c>
      <c r="K68" s="191"/>
      <c r="L68" s="191">
        <f>L66/L67</f>
        <v>1.0023899252879458</v>
      </c>
      <c r="M68" s="191"/>
      <c r="N68" s="191">
        <f>N66/N67</f>
        <v>1.0065622273850454</v>
      </c>
      <c r="O68" s="191"/>
      <c r="P68" s="191">
        <f>P66/P67</f>
        <v>1.0129237596298581</v>
      </c>
      <c r="Q68" s="191"/>
      <c r="R68" s="191">
        <f>R66/R67</f>
        <v>1.0221720145933912</v>
      </c>
      <c r="S68" s="191"/>
      <c r="T68" s="191">
        <f>T66/T67</f>
        <v>1.0352469000615303</v>
      </c>
      <c r="U68" s="191"/>
      <c r="V68" s="191">
        <f>V66/V67</f>
        <v>1.0534319644730419</v>
      </c>
      <c r="W68" s="191"/>
      <c r="X68" s="191">
        <f>X66/X67</f>
        <v>1.0785112131016112</v>
      </c>
      <c r="Y68" s="191"/>
      <c r="Z68" s="191">
        <f>Z66/Z67</f>
        <v>1.1130285034627616</v>
      </c>
      <c r="AA68" s="191"/>
      <c r="AB68" s="191">
        <f>AB66/AB67</f>
        <v>1.1607587817295604</v>
      </c>
      <c r="AC68" s="191"/>
      <c r="AD68" s="191">
        <f>AD66/AD67</f>
        <v>1.227707073087084</v>
      </c>
      <c r="AE68" s="191"/>
      <c r="AF68" s="191">
        <f>AF66/AF67</f>
        <v>1.324609404324643</v>
      </c>
      <c r="AG68" s="191"/>
      <c r="AH68" s="191" t="e">
        <f>AH66/AH67</f>
        <v>#DIV/0!</v>
      </c>
      <c r="AI68" s="191"/>
      <c r="AJ68" s="191" t="e">
        <f>AJ66/AJ67</f>
        <v>#DIV/0!</v>
      </c>
      <c r="AK68" s="191"/>
      <c r="AL68" s="191" t="e">
        <f>AL66/AL67</f>
        <v>#DIV/0!</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0.98895212090720985</v>
      </c>
      <c r="E69" s="191"/>
      <c r="F69" s="191">
        <f>F32/F65/($B$32)</f>
        <v>0.97587809753047683</v>
      </c>
      <c r="G69" s="191"/>
      <c r="H69" s="191">
        <f>H32/H65/($B$32)</f>
        <v>0.9604098376486272</v>
      </c>
      <c r="I69" s="191"/>
      <c r="J69" s="191">
        <f>J32/J65/($B$32)</f>
        <v>0.94213048754892093</v>
      </c>
      <c r="K69" s="191"/>
      <c r="L69" s="191">
        <f>L32/L65/($B$32)</f>
        <v>0.92058180172349791</v>
      </c>
      <c r="M69" s="191"/>
      <c r="N69" s="191">
        <f>N32/N65/($B$32)</f>
        <v>0.89528687345410818</v>
      </c>
      <c r="O69" s="191"/>
      <c r="P69" s="191">
        <f>P32/P65/($B$32)</f>
        <v>0.86578868217312721</v>
      </c>
      <c r="Q69" s="191"/>
      <c r="R69" s="191">
        <f>R32/R65/($B$32)</f>
        <v>0.83170599793590472</v>
      </c>
      <c r="S69" s="191"/>
      <c r="T69" s="191">
        <f>T32/T65/($B$32)</f>
        <v>0.79280722630505207</v>
      </c>
      <c r="U69" s="191"/>
      <c r="V69" s="191">
        <f>V32/V65/($B$32)</f>
        <v>0.74909284061083115</v>
      </c>
      <c r="W69" s="191"/>
      <c r="X69" s="191">
        <f>X32/X65/($B$32)</f>
        <v>0.70086731597694929</v>
      </c>
      <c r="Y69" s="191"/>
      <c r="Z69" s="191">
        <f>Z32/Z65/($B$32)</f>
        <v>0.64877024298331532</v>
      </c>
      <c r="AA69" s="191"/>
      <c r="AB69" s="191">
        <f>AB32/AB65/($B$32)</f>
        <v>0.59371178376537437</v>
      </c>
      <c r="AC69" s="191"/>
      <c r="AD69" s="191">
        <f>AD32/AD65/($B$32)</f>
        <v>0.53662708143106697</v>
      </c>
      <c r="AE69" s="191"/>
      <c r="AF69" s="191">
        <f>AF32/AF65/($B$32)</f>
        <v>0.47792056028735125</v>
      </c>
      <c r="AG69" s="191"/>
      <c r="AH69" s="191" t="e">
        <f>AH32/AH65/($B$32)</f>
        <v>#DIV/0!</v>
      </c>
      <c r="AI69" s="191"/>
      <c r="AJ69" s="191" t="e">
        <f>AJ32/AJ65/($B$32)</f>
        <v>#DIV/0!</v>
      </c>
      <c r="AK69" s="191"/>
      <c r="AL69" s="191" t="e">
        <f>AL32/AL65/($B$32)</f>
        <v>#DIV/0!</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0.9883706357561165</v>
      </c>
      <c r="E70" s="138"/>
      <c r="F70" s="138">
        <f>F18/$B$18</f>
        <v>0.97475547950702024</v>
      </c>
      <c r="G70" s="138"/>
      <c r="H70" s="138">
        <f>H18/$B$18</f>
        <v>0.95878921726280908</v>
      </c>
      <c r="I70" s="138"/>
      <c r="J70" s="138">
        <f>J18/$B$18</f>
        <v>0.94005704692835979</v>
      </c>
      <c r="K70" s="138"/>
      <c r="L70" s="138">
        <f>L18/$B$18</f>
        <v>0.91810197416342121</v>
      </c>
      <c r="M70" s="138"/>
      <c r="N70" s="138">
        <f>N18/$B$18</f>
        <v>0.89244744355000061</v>
      </c>
      <c r="O70" s="138"/>
      <c r="P70" s="138">
        <f>P18/$B$18</f>
        <v>0.86263606876814658</v>
      </c>
      <c r="Q70" s="138"/>
      <c r="R70" s="138">
        <f>R18/$B$18</f>
        <v>0.82828679347261536</v>
      </c>
      <c r="S70" s="138"/>
      <c r="T70" s="138">
        <f>T18/$B$18</f>
        <v>0.78917072478325145</v>
      </c>
      <c r="U70" s="138"/>
      <c r="V70" s="138">
        <f>V18/$B$18</f>
        <v>0.74529673762204285</v>
      </c>
      <c r="W70" s="138"/>
      <c r="X70" s="138">
        <f>X18/$B$18</f>
        <v>0.69698739923227915</v>
      </c>
      <c r="Y70" s="138"/>
      <c r="Z70" s="138">
        <f>Z18/$B$18</f>
        <v>0.64491500636330945</v>
      </c>
      <c r="AA70" s="138"/>
      <c r="AB70" s="138">
        <f>AB18/$B$18</f>
        <v>0.59004427607607557</v>
      </c>
      <c r="AC70" s="138"/>
      <c r="AD70" s="138">
        <f>AD18/$B$18</f>
        <v>0.53340528950067922</v>
      </c>
      <c r="AE70" s="138"/>
      <c r="AF70" s="138">
        <f>AF18/$B$18</f>
        <v>0.47560896604533404</v>
      </c>
      <c r="AG70" s="138"/>
      <c r="AH70" s="138">
        <f>AH18/$B$18</f>
        <v>0</v>
      </c>
      <c r="AI70" s="138"/>
      <c r="AJ70" s="138">
        <f>AJ18/$B$18</f>
        <v>0</v>
      </c>
      <c r="AK70" s="138"/>
      <c r="AL70" s="138">
        <f>AL18/$B$18</f>
        <v>0</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0.92982444914215023</v>
      </c>
      <c r="E71" s="138"/>
      <c r="F71" s="138">
        <f>G18/$C$18</f>
        <v>0.86011170600342768</v>
      </c>
      <c r="G71" s="138"/>
      <c r="H71" s="138">
        <f>I18/$C$18</f>
        <v>0.79102474356251384</v>
      </c>
      <c r="I71" s="138"/>
      <c r="J71" s="138">
        <f>K18/$C$18</f>
        <v>0.72275536128448747</v>
      </c>
      <c r="K71" s="138"/>
      <c r="L71" s="138">
        <f>M18/$C$18</f>
        <v>0.65552453135683031</v>
      </c>
      <c r="M71" s="138"/>
      <c r="N71" s="138">
        <f>O18/$C$18</f>
        <v>0.58957237861866651</v>
      </c>
      <c r="O71" s="138"/>
      <c r="P71" s="138">
        <f>Q18/$C$18</f>
        <v>0.52513759522398173</v>
      </c>
      <c r="Q71" s="138"/>
      <c r="R71" s="138">
        <f>S18/$C$18</f>
        <v>0.46243077341665639</v>
      </c>
      <c r="S71" s="138"/>
      <c r="T71" s="138">
        <f>U18/$C$18</f>
        <v>0.40159909053200593</v>
      </c>
      <c r="U71" s="138"/>
      <c r="V71" s="138">
        <f>W18/$C$18</f>
        <v>0.34268923557794373</v>
      </c>
      <c r="W71" s="138"/>
      <c r="X71" s="138">
        <f>Y18/$C$18</f>
        <v>0.28563708296889478</v>
      </c>
      <c r="Y71" s="138"/>
      <c r="Z71" s="138">
        <f>AA18/$C$18</f>
        <v>0.23030759610132631</v>
      </c>
      <c r="AA71" s="138"/>
      <c r="AB71" s="138">
        <f>AC18/$C$18</f>
        <v>0.17665008401880655</v>
      </c>
      <c r="AC71" s="138"/>
      <c r="AD71" s="138">
        <f>AE18/$C$18</f>
        <v>0.12505801181150497</v>
      </c>
      <c r="AE71" s="138"/>
      <c r="AF71" s="138">
        <f>AG18/$C$18</f>
        <v>7.7070045559956335E-2</v>
      </c>
      <c r="AG71" s="138"/>
      <c r="AH71" s="138">
        <f>AI18/$C$18</f>
        <v>0</v>
      </c>
      <c r="AI71" s="138"/>
      <c r="AJ71" s="138">
        <f>AK18/$C$18</f>
        <v>0</v>
      </c>
      <c r="AK71" s="138"/>
      <c r="AL71" s="138">
        <f>AM18/$C$18</f>
        <v>0</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1.0252174291931462</v>
      </c>
      <c r="E72" s="138"/>
      <c r="F72" s="138">
        <f>G19/$C$19</f>
        <v>1.0523989437875712</v>
      </c>
      <c r="G72" s="138"/>
      <c r="H72" s="138">
        <f>I19/$C$19</f>
        <v>1.0811595934542326</v>
      </c>
      <c r="I72" s="138"/>
      <c r="J72" s="138">
        <f>K19/$C$19</f>
        <v>1.1109231081407407</v>
      </c>
      <c r="K72" s="138"/>
      <c r="L72" s="138">
        <f>M19/$C$19</f>
        <v>1.1408977829501443</v>
      </c>
      <c r="M72" s="138"/>
      <c r="N72" s="138">
        <f>O19/$C$19</f>
        <v>1.1700953658230164</v>
      </c>
      <c r="O72" s="138"/>
      <c r="P72" s="138">
        <f>Q19/$C$19</f>
        <v>1.1974059983200158</v>
      </c>
      <c r="Q72" s="138"/>
      <c r="R72" s="138">
        <f>S19/$C$19</f>
        <v>1.2217538972083937</v>
      </c>
      <c r="S72" s="138"/>
      <c r="T72" s="138">
        <f>U19/$C$19</f>
        <v>1.2423480124404715</v>
      </c>
      <c r="U72" s="138"/>
      <c r="V72" s="138">
        <f>W19/$C$19</f>
        <v>1.2590084835791446</v>
      </c>
      <c r="W72" s="138"/>
      <c r="X72" s="138">
        <f>Y19/$C$19</f>
        <v>1.2724836313942953</v>
      </c>
      <c r="Y72" s="138"/>
      <c r="Z72" s="138">
        <f>AA19/$C$19</f>
        <v>1.2845836583482011</v>
      </c>
      <c r="AA72" s="138"/>
      <c r="AB72" s="138">
        <f>AC19/$C$19</f>
        <v>1.2977463990502971</v>
      </c>
      <c r="AC72" s="138"/>
      <c r="AD72" s="138">
        <f>AE19/$C$19</f>
        <v>1.3132133669722319</v>
      </c>
      <c r="AE72" s="138"/>
      <c r="AF72" s="138">
        <f>AG19/$C$19</f>
        <v>1.3259507940462036</v>
      </c>
      <c r="AG72" s="138"/>
      <c r="AH72" s="138">
        <f>AI19/$C$19</f>
        <v>0</v>
      </c>
      <c r="AI72" s="138"/>
      <c r="AJ72" s="138">
        <f>AK19/$C$19</f>
        <v>0</v>
      </c>
      <c r="AK72" s="138"/>
      <c r="AL72" s="138">
        <f>AM19/$C$19</f>
        <v>0</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0.47641153352875065</v>
      </c>
      <c r="D73" s="193">
        <f t="array" ref="D73">SUM(D9:E9*D22:E22)/D32</f>
        <v>0.47443402442627547</v>
      </c>
      <c r="E73" s="138"/>
      <c r="F73" s="193">
        <f t="array" ref="F73">SUM(F9:G9*F22:G22)/F32</f>
        <v>0.47244379633877431</v>
      </c>
      <c r="G73" s="138"/>
      <c r="H73" s="193">
        <f t="array" ref="H73">SUM(H9:I9*H22:I22)/H32</f>
        <v>0.47044786607080225</v>
      </c>
      <c r="I73" s="138"/>
      <c r="J73" s="193">
        <f t="array" ref="J73">SUM(J9:K9*J22:K22)/J32</f>
        <v>0.4684555746306881</v>
      </c>
      <c r="K73" s="138"/>
      <c r="L73" s="193">
        <f t="array" ref="L73">SUM(L9:M9*L22:M22)/L32</f>
        <v>0.4664789631950616</v>
      </c>
      <c r="M73" s="138"/>
      <c r="N73" s="193">
        <f t="array" ref="N73">SUM(N9:O9*N22:O22)/N32</f>
        <v>0.46453225470203174</v>
      </c>
      <c r="O73" s="138"/>
      <c r="P73" s="193">
        <f t="array" ref="P73">SUM(P9:Q9*P22:Q22)/P32</f>
        <v>0.46263026505084115</v>
      </c>
      <c r="Q73" s="138"/>
      <c r="R73" s="193">
        <f t="array" ref="R73">SUM(R9:S9*R22:S22)/R32</f>
        <v>0.46078573574683757</v>
      </c>
      <c r="S73" s="138"/>
      <c r="T73" s="193">
        <f t="array" ref="T73">SUM(T9:U9*T22:U22)/T32</f>
        <v>0.45900365675881433</v>
      </c>
      <c r="U73" s="138"/>
      <c r="V73" s="193">
        <f t="array" ref="V73">SUM(V9:W9*V22:W22)/V32</f>
        <v>0.45727268059618709</v>
      </c>
      <c r="W73" s="138"/>
      <c r="X73" s="193">
        <f t="array" ref="X73">SUM(X9:Y9*X22:Y22)/X32</f>
        <v>0.45554969355324704</v>
      </c>
      <c r="Y73" s="138"/>
      <c r="Z73" s="193">
        <f t="array" ref="Z73">SUM(Z9:AA9*Z22:AA22)/Z32</f>
        <v>0.45373612108746397</v>
      </c>
      <c r="AA73" s="138"/>
      <c r="AB73" s="193">
        <f t="array" ref="AB73">SUM(AB9:AC9*AB22:AC22)/AB32</f>
        <v>0.4516390452277893</v>
      </c>
      <c r="AC73" s="138"/>
      <c r="AD73" s="193">
        <f t="array" ref="AD73">SUM(AD9:AE9*AD22:AE22)/AD32</f>
        <v>0.44890286995391626</v>
      </c>
      <c r="AE73" s="138"/>
      <c r="AF73" s="193">
        <f t="array" ref="AF73">SUM(AF9:AG9*AF22:AG22)/AF32</f>
        <v>0.44486824138581887</v>
      </c>
      <c r="AG73" s="138"/>
      <c r="AH73" s="193" t="e">
        <f t="array" ref="AH73">SUM(AH9:AI9*AH22:AI22)/AH32</f>
        <v>#DIV/0!</v>
      </c>
      <c r="AI73" s="138"/>
      <c r="AJ73" s="193" t="e">
        <f t="array" ref="AJ73">SUM(AJ9:AK9*AJ22:AK22)/AJ32</f>
        <v>#DIV/0!</v>
      </c>
      <c r="AK73" s="138"/>
      <c r="AL73" s="193" t="e">
        <f t="array" ref="AL73">SUM(AL9:AM9*AL22:AM22)/AL32</f>
        <v>#DIV/0!</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0.22604620456442481</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0.22604620456442487</v>
      </c>
      <c r="W74" s="138"/>
      <c r="X74" s="193">
        <f t="array" ref="X74">SUM(X10:Y10*X23:Y23)/X32</f>
        <v>0.22604620456442484</v>
      </c>
      <c r="Y74" s="138"/>
      <c r="Z74" s="193">
        <f t="array" ref="Z74">SUM(Z10:AA10*Z23:AA23)/Z32</f>
        <v>0.22604620456442484</v>
      </c>
      <c r="AA74" s="138"/>
      <c r="AB74" s="193">
        <f t="array" ref="AB74">SUM(AB10:AC10*AB23:AC23)/AB32</f>
        <v>0.22604620456442487</v>
      </c>
      <c r="AC74" s="138"/>
      <c r="AD74" s="193">
        <f t="array" ref="AD74">SUM(AD10:AE10*AD23:AE23)/AD32</f>
        <v>0.22604620456442484</v>
      </c>
      <c r="AE74" s="138"/>
      <c r="AF74" s="193">
        <f t="array" ref="AF74">SUM(AF10:AG10*AF23:AG23)/AF32</f>
        <v>0.22604620456442484</v>
      </c>
      <c r="AG74" s="138"/>
      <c r="AH74" s="193" t="e">
        <f t="array" ref="AH74">SUM(AH10:AI10*AH23:AI23)/AH32</f>
        <v>#DIV/0!</v>
      </c>
      <c r="AI74" s="138"/>
      <c r="AJ74" s="193" t="e">
        <f t="array" ref="AJ74">SUM(AJ10:AK10*AJ23:AK23)/AJ32</f>
        <v>#DIV/0!</v>
      </c>
      <c r="AK74" s="138"/>
      <c r="AL74" s="193" t="e">
        <f t="array" ref="AL74">SUM(AL10:AM10*AL23:AM23)/AL32</f>
        <v>#DIV/0!</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0.22282436463345015</v>
      </c>
      <c r="E75" s="138"/>
      <c r="F75" s="193">
        <f t="array" ref="F75">SUM(F11:G11*F24:G24)/F32</f>
        <v>0.22579920761239625</v>
      </c>
      <c r="G75" s="138"/>
      <c r="H75" s="193">
        <f t="array" ref="H75">SUM(H11:I11*H24:I24)/H32</f>
        <v>0.22944118144519579</v>
      </c>
      <c r="I75" s="138"/>
      <c r="J75" s="193">
        <f t="array" ref="J75">SUM(J11:K11*J24:K24)/J32</f>
        <v>0.23391888624980958</v>
      </c>
      <c r="K75" s="138"/>
      <c r="L75" s="193">
        <f t="array" ref="L75">SUM(L11:M11*L24:M24)/L32</f>
        <v>0.23944761877912876</v>
      </c>
      <c r="M75" s="138"/>
      <c r="N75" s="193">
        <f t="array" ref="N75">SUM(N11:O11*N24:O24)/N32</f>
        <v>0.24630089584690276</v>
      </c>
      <c r="O75" s="138"/>
      <c r="P75" s="193">
        <f t="array" ref="P75">SUM(P11:Q11*P24:Q24)/P32</f>
        <v>0.2548239110974363</v>
      </c>
      <c r="Q75" s="138"/>
      <c r="R75" s="193">
        <f t="array" ref="R75">SUM(R11:S11*R24:S24)/R32</f>
        <v>0.26544884895603599</v>
      </c>
      <c r="S75" s="138"/>
      <c r="T75" s="193">
        <f t="array" ref="T75">SUM(T11:U11*T24:U24)/T32</f>
        <v>0.27871042973029952</v>
      </c>
      <c r="U75" s="138"/>
      <c r="V75" s="193">
        <f t="array" ref="V75">SUM(V11:W11*V24:W24)/V32</f>
        <v>0.29525973239253123</v>
      </c>
      <c r="W75" s="138"/>
      <c r="X75" s="193">
        <f t="array" ref="X75">SUM(X11:Y11*X24:Y24)/X32</f>
        <v>0.31587273274498101</v>
      </c>
      <c r="Y75" s="138"/>
      <c r="Z75" s="193">
        <f t="array" ref="Z75">SUM(Z11:AA11*Z24:AA24)/Z32</f>
        <v>0.34144907191676338</v>
      </c>
      <c r="AA75" s="138"/>
      <c r="AB75" s="193">
        <f t="array" ref="AB75">SUM(AB11:AC11*AB24:AC24)/AB32</f>
        <v>0.37300807808915548</v>
      </c>
      <c r="AC75" s="138"/>
      <c r="AD75" s="193">
        <f t="array" ref="AD75">SUM(AD11:AE11*AD24:AE24)/AD32</f>
        <v>0.41173310285712195</v>
      </c>
      <c r="AE75" s="138"/>
      <c r="AF75" s="193">
        <f t="array" ref="AF75">SUM(AF11:AG11*AF24:AG24)/AF32</f>
        <v>0.45922947455811641</v>
      </c>
      <c r="AG75" s="138"/>
      <c r="AH75" s="193" t="e">
        <f t="array" ref="AH75">SUM(AH11:AI11*AH24:AI24)/AH32</f>
        <v>#DIV/0!</v>
      </c>
      <c r="AI75" s="138"/>
      <c r="AJ75" s="193" t="e">
        <f t="array" ref="AJ75">SUM(AJ11:AK11*AJ24:AK24)/AJ32</f>
        <v>#DIV/0!</v>
      </c>
      <c r="AK75" s="138"/>
      <c r="AL75" s="193" t="e">
        <f t="array" ref="AL75">SUM(AL11:AM11*AL24:AM24)/AL32</f>
        <v>#DIV/0!</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0.22294539554144766</v>
      </c>
      <c r="E76" s="138"/>
      <c r="F76" s="193">
        <f t="array" ref="F76">SUM(F12:G12*F25:G25)/F32</f>
        <v>0.22254674043674569</v>
      </c>
      <c r="G76" s="138"/>
      <c r="H76" s="193">
        <f t="array" ref="H76">SUM(H12:I12*H25:I25)/H32</f>
        <v>0.2217204091293152</v>
      </c>
      <c r="I76" s="138"/>
      <c r="J76" s="193">
        <f t="array" ref="J76">SUM(J12:K12*J25:K25)/J32</f>
        <v>0.22033410123297612</v>
      </c>
      <c r="K76" s="138"/>
      <c r="L76" s="193">
        <f t="array" ref="L76">SUM(L12:M12*L25:M25)/L32</f>
        <v>0.21821783525507862</v>
      </c>
      <c r="M76" s="138"/>
      <c r="N76" s="193">
        <f t="array" ref="N76">SUM(N12:O12*N25:O25)/N32</f>
        <v>0.21515700360018622</v>
      </c>
      <c r="O76" s="138"/>
      <c r="P76" s="193">
        <f t="array" ref="P76">SUM(P12:Q12*P25:Q25)/P32</f>
        <v>0.21088647222930545</v>
      </c>
      <c r="Q76" s="138"/>
      <c r="R76" s="193">
        <f t="array" ref="R76">SUM(R12:S12*R25:S25)/R32</f>
        <v>0.20508708314668009</v>
      </c>
      <c r="S76" s="138"/>
      <c r="T76" s="193">
        <f t="array" ref="T76">SUM(T12:U12*T25:U25)/T32</f>
        <v>0.19738897483134454</v>
      </c>
      <c r="U76" s="138"/>
      <c r="V76" s="193">
        <f t="array" ref="V76">SUM(V12:W12*V25:W25)/V32</f>
        <v>0.18738553741421682</v>
      </c>
      <c r="W76" s="138"/>
      <c r="X76" s="193">
        <f t="array" ref="X76">SUM(X12:Y12*X25:Y25)/X32</f>
        <v>0.17466666014014323</v>
      </c>
      <c r="Y76" s="138"/>
      <c r="Z76" s="193">
        <f t="array" ref="Z76">SUM(Z12:AA12*Z25:AA25)/Z32</f>
        <v>0.15887928602534698</v>
      </c>
      <c r="AA76" s="138"/>
      <c r="AB76" s="193">
        <f t="array" ref="AB76">SUM(AB12:AC12*AB25:AC25)/AB32</f>
        <v>0.13981922752080564</v>
      </c>
      <c r="AC76" s="138"/>
      <c r="AD76" s="193">
        <f t="array" ref="AD76">SUM(AD12:AE12*AD25:AE25)/AD32</f>
        <v>0.11753629320438416</v>
      </c>
      <c r="AE76" s="138"/>
      <c r="AF76" s="193">
        <f t="array" ref="AF76">SUM(AF12:AG12*AF25:AG25)/AF32</f>
        <v>9.2411621376366479E-2</v>
      </c>
      <c r="AG76" s="138"/>
      <c r="AH76" s="193" t="e">
        <f t="array" ref="AH76">SUM(AH12:AI12*AH25:AI25)/AH32</f>
        <v>#DIV/0!</v>
      </c>
      <c r="AI76" s="138"/>
      <c r="AJ76" s="193" t="e">
        <f t="array" ref="AJ76">SUM(AJ12:AK12*AJ25:AK25)/AJ32</f>
        <v>#DIV/0!</v>
      </c>
      <c r="AK76" s="138"/>
      <c r="AL76" s="193" t="e">
        <f t="array" ref="AL76">SUM(AL12:AM12*AL25:AM25)/AL32</f>
        <v>#DIV/0!</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0.14586087017236485</v>
      </c>
      <c r="D77" s="193">
        <f t="array" ref="D77">SUM(D4:E4*D19:E19)/D32</f>
        <v>0.14624998916559778</v>
      </c>
      <c r="E77" s="138"/>
      <c r="F77" s="193">
        <f t="array" ref="F77">SUM(F4:G4*F19:G19)/F32</f>
        <v>0.14683594895234103</v>
      </c>
      <c r="G77" s="138"/>
      <c r="H77" s="193">
        <f t="array" ref="H77">SUM(H4:I4*H19:I19)/H32</f>
        <v>0.14765566120973792</v>
      </c>
      <c r="I77" s="138"/>
      <c r="J77" s="193">
        <f t="array" ref="J77">SUM(J4:K4*J19:K19)/J32</f>
        <v>0.14875476667789853</v>
      </c>
      <c r="K77" s="138"/>
      <c r="L77" s="193">
        <f t="array" ref="L77">SUM(L4:M4*L19:M19)/L32</f>
        <v>0.15019062179369388</v>
      </c>
      <c r="M77" s="138"/>
      <c r="N77" s="193">
        <f t="array" ref="N77">SUM(N4:O4*N19:O19)/N32</f>
        <v>0.15203635871354537</v>
      </c>
      <c r="O77" s="138"/>
      <c r="P77" s="193">
        <f t="array" ref="P77">SUM(P4:Q4*P19:Q19)/P32</f>
        <v>0.15438685294200774</v>
      </c>
      <c r="Q77" s="138"/>
      <c r="R77" s="193">
        <f t="array" ref="R77">SUM(R4:S4*R19:S19)/R32</f>
        <v>0.15736787241397834</v>
      </c>
      <c r="S77" s="138"/>
      <c r="T77" s="193">
        <f t="array" ref="T77">SUM(T4:U4*T19:U19)/T32</f>
        <v>0.16114926588488315</v>
      </c>
      <c r="U77" s="138"/>
      <c r="V77" s="193">
        <f t="array" ref="V77">SUM(V4:W4*V19:W19)/V32</f>
        <v>0.16596415496735986</v>
      </c>
      <c r="W77" s="138"/>
      <c r="X77" s="193">
        <f t="array" ref="X77">SUM(X4:Y4*X19:Y19)/X32</f>
        <v>0.17213529100279601</v>
      </c>
      <c r="Y77" s="138"/>
      <c r="Z77" s="193">
        <f t="array" ref="Z77">SUM(Z4:AA4*Z19:AA19)/Z32</f>
        <v>0.18011068359399904</v>
      </c>
      <c r="AA77" s="138"/>
      <c r="AB77" s="193">
        <f t="array" ref="AB77">SUM(AB4:AC4*AB19:AC19)/AB32</f>
        <v>0.19051255540217502</v>
      </c>
      <c r="AC77" s="138"/>
      <c r="AD77" s="193">
        <f t="array" ref="AD77">SUM(AD4:AE4*AD19:AE19)/AD32</f>
        <v>0.20421847057984721</v>
      </c>
      <c r="AE77" s="138"/>
      <c r="AF77" s="193">
        <f t="array" ref="AF77">SUM(AF4:AG4*AF19:AG19)/AF32</f>
        <v>0.22255554188472645</v>
      </c>
      <c r="AG77" s="138"/>
      <c r="AH77" s="193" t="e">
        <f t="array" ref="AH77">SUM(AH4:AI4*AH19:AI19)/AH32</f>
        <v>#DIV/0!</v>
      </c>
      <c r="AI77" s="138"/>
      <c r="AJ77" s="193" t="e">
        <f t="array" ref="AJ77">SUM(AJ4:AK4*AJ19:AK19)/AJ32</f>
        <v>#DIV/0!</v>
      </c>
      <c r="AK77" s="138"/>
      <c r="AL77" s="193" t="e">
        <f t="array" ref="AL77">SUM(AL4:AM4*AL19:AM19)/AL32</f>
        <v>#DIV/0!</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0.34503464048905685</v>
      </c>
      <c r="E78" s="138"/>
      <c r="F78" s="193">
        <f t="array" ref="F78">SUM(F13:G13*F26:G26)/F32</f>
        <v>0.34311088865687656</v>
      </c>
      <c r="G78" s="138"/>
      <c r="H78" s="193">
        <f t="array" ref="H78">SUM(H13:I13*H26:I26)/H32</f>
        <v>0.34111823119477558</v>
      </c>
      <c r="I78" s="138"/>
      <c r="J78" s="193">
        <f t="array" ref="J78">SUM(J13:K13*J26:K26)/J32</f>
        <v>0.33906139743342556</v>
      </c>
      <c r="K78" s="138"/>
      <c r="L78" s="193">
        <f t="array" ref="L78">SUM(L13:M13*L26:M26)/L32</f>
        <v>0.33694885007643838</v>
      </c>
      <c r="M78" s="138"/>
      <c r="N78" s="193">
        <f t="array" ref="N78">SUM(N13:O13*N26:O26)/N32</f>
        <v>0.33479318569064426</v>
      </c>
      <c r="O78" s="138"/>
      <c r="P78" s="193">
        <f t="array" ref="P78">SUM(P13:Q13*P26:Q26)/P32</f>
        <v>0.33261098618711599</v>
      </c>
      <c r="Q78" s="138"/>
      <c r="R78" s="193">
        <f t="array" ref="R78">SUM(R13:S13*R26:S26)/R32</f>
        <v>0.3304220201112979</v>
      </c>
      <c r="S78" s="138"/>
      <c r="T78" s="193">
        <f t="array" ref="T78">SUM(T13:U13*T26:U26)/T32</f>
        <v>0.32824684483853678</v>
      </c>
      <c r="U78" s="138"/>
      <c r="V78" s="193">
        <f t="array" ref="V78">SUM(V13:W13*V26:W26)/V32</f>
        <v>0.32610240432447918</v>
      </c>
      <c r="W78" s="138"/>
      <c r="X78" s="193">
        <f t="array" ref="X78">SUM(X13:Y13*X26:Y26)/X32</f>
        <v>0.32399458936584552</v>
      </c>
      <c r="Y78" s="138"/>
      <c r="Z78" s="193">
        <f t="array" ref="Z78">SUM(Z13:AA13*Z26:AA26)/Z32</f>
        <v>0.3219060648162918</v>
      </c>
      <c r="AA78" s="138"/>
      <c r="AB78" s="193">
        <f t="array" ref="AB78">SUM(AB13:AC13*AB26:AC26)/AB32</f>
        <v>0.31977565976763955</v>
      </c>
      <c r="AC78" s="138"/>
      <c r="AD78" s="193">
        <f t="array" ref="AD78">SUM(AD13:AE13*AD26:AE26)/AD32</f>
        <v>0.31746050163358441</v>
      </c>
      <c r="AE78" s="138"/>
      <c r="AF78" s="193">
        <f t="array" ref="AF78">SUM(AF13:AG13*AF26:AG26)/AF32</f>
        <v>0.31465647575863009</v>
      </c>
      <c r="AG78" s="138"/>
      <c r="AH78" s="193" t="e">
        <f t="array" ref="AH78">SUM(AH13:AI13*AH26:AI26)/AH32</f>
        <v>#DIV/0!</v>
      </c>
      <c r="AI78" s="138"/>
      <c r="AJ78" s="193" t="e">
        <f t="array" ref="AJ78">SUM(AJ13:AK13*AJ26:AK26)/AJ32</f>
        <v>#DIV/0!</v>
      </c>
      <c r="AK78" s="138"/>
      <c r="AL78" s="193" t="e">
        <f t="array" ref="AL78">SUM(AL13:AM13*AL26:AM26)/AL32</f>
        <v>#DIV/0!</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0.45460968782440642</v>
      </c>
      <c r="D79" s="193">
        <f t="array" ref="D79">SUM(D15:E15*D27:E27)/D32</f>
        <v>0.45314150918582136</v>
      </c>
      <c r="F79" s="193">
        <f t="array" ref="F79">SUM(F15:G15*F27:G27)/F32</f>
        <v>0.45172357412191616</v>
      </c>
      <c r="H79" s="193">
        <f t="array" ref="H79">SUM(H15:I15*H27:I27)/H32</f>
        <v>0.45036584127494778</v>
      </c>
      <c r="J79" s="193">
        <f t="array" ref="J79">SUM(J15:K15*J27:K27)/J32</f>
        <v>0.449079346158756</v>
      </c>
      <c r="L79" s="193">
        <f t="array" ref="L79">SUM(L15:M15*L27:M27)/L32</f>
        <v>0.44787589667194294</v>
      </c>
      <c r="N79" s="193">
        <f t="array" ref="N79">SUM(N15:O15*N27:O27)/N32</f>
        <v>0.4467667652912013</v>
      </c>
      <c r="P79" s="193">
        <f t="array" ref="P79">SUM(P15:Q15*P27:Q27)/P32</f>
        <v>0.44576022692441175</v>
      </c>
      <c r="R79" s="193">
        <f t="array" ref="R79">SUM(R15:S15*R27:S27)/R32</f>
        <v>0.44485771920843703</v>
      </c>
      <c r="T79" s="193">
        <f t="array" ref="T79">SUM(T15:U15*T27:U27)/T32</f>
        <v>0.44404710027159178</v>
      </c>
      <c r="V79" s="193">
        <f t="array" ref="V79">SUM(V15:W15*V27:W27)/V32</f>
        <v>0.44329169621833148</v>
      </c>
      <c r="X79" s="193">
        <f t="array" ref="X79">SUM(X15:Y15*X27:Y27)/X32</f>
        <v>0.44251267105381681</v>
      </c>
      <c r="Z79" s="193">
        <f t="array" ref="Z79">SUM(Z15:AA15*Z27:AA27)/Z32</f>
        <v>0.44156082903265109</v>
      </c>
      <c r="AB79" s="193">
        <f t="array" ref="AB79">SUM(AB15:AC15*AB27:AC27)/AB32</f>
        <v>0.4401715521553643</v>
      </c>
      <c r="AD79" s="193">
        <f t="array" ref="AD79">SUM(AD15:AE15*AD27:AE27)/AD32</f>
        <v>0.43788801100268154</v>
      </c>
      <c r="AF79" s="193">
        <f t="array" ref="AF79">SUM(AF15:AG15*AF27:AG27)/AF32</f>
        <v>0.43390248891626187</v>
      </c>
      <c r="AH79" s="193" t="e">
        <f t="array" ref="AH79">SUM(AH15:AI15*AH27:AI27)/AH32</f>
        <v>#DIV/0!</v>
      </c>
      <c r="AJ79" s="193" t="e">
        <f t="array" ref="AJ79">SUM(AJ15:AK15*AJ27:AK27)/AJ32</f>
        <v>#DIV/0!</v>
      </c>
      <c r="AL79" s="193" t="e">
        <f t="array" ref="AL79">SUM(AL15:AM15*AL27:AM27)/AL32</f>
        <v>#DIV/0!</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0.20182387343970223</v>
      </c>
      <c r="F80" s="236">
        <f>F55</f>
        <v>0.20516557277908123</v>
      </c>
      <c r="H80" s="236">
        <f>H55</f>
        <v>0.20851599983020236</v>
      </c>
      <c r="J80" s="236">
        <f>J55</f>
        <v>0.21185931542732692</v>
      </c>
      <c r="L80" s="236">
        <f>L55</f>
        <v>0.21517525441470944</v>
      </c>
      <c r="N80" s="236">
        <f>N55</f>
        <v>0.2184400511038431</v>
      </c>
      <c r="P80" s="236">
        <f>P55</f>
        <v>0.22162878927366234</v>
      </c>
      <c r="R80" s="236">
        <f>R55</f>
        <v>0.22472027316800675</v>
      </c>
      <c r="T80" s="236">
        <f>T55</f>
        <v>0.22770606412128144</v>
      </c>
      <c r="V80" s="236">
        <f>V55</f>
        <v>0.23060591945855724</v>
      </c>
      <c r="X80" s="236">
        <f>X55</f>
        <v>0.23349276796454826</v>
      </c>
      <c r="Z80" s="236">
        <f>Z55</f>
        <v>0.23653311594304566</v>
      </c>
      <c r="AB80" s="236">
        <f>AB55</f>
        <v>0.24005280264907961</v>
      </c>
      <c r="AD80" s="236">
        <f>AD55</f>
        <v>0.24465149706435368</v>
      </c>
      <c r="AF80" s="236">
        <f>AF55</f>
        <v>0.25144103299977399</v>
      </c>
      <c r="AH80" s="236" t="e">
        <f>AH55</f>
        <v>#DIV/0!</v>
      </c>
      <c r="AJ80" s="236" t="e">
        <f>AJ55</f>
        <v>#DIV/0!</v>
      </c>
      <c r="AL80" s="236" t="e">
        <f>AL55</f>
        <v>#DIV/0!</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-2.4222331124722607E-2</v>
      </c>
      <c r="F81" s="236">
        <f>F51/F$32</f>
        <v>-2.0880631785343599E-2</v>
      </c>
      <c r="H81" s="236">
        <f>H51/H$32</f>
        <v>-1.7530204734222489E-2</v>
      </c>
      <c r="J81" s="236">
        <f>J51/J$32</f>
        <v>-1.4186889137097926E-2</v>
      </c>
      <c r="L81" s="236">
        <f>L51/L$32</f>
        <v>-1.0870950149715423E-2</v>
      </c>
      <c r="N81" s="236">
        <f>N51/N$32</f>
        <v>-7.6061534605817291E-3</v>
      </c>
      <c r="P81" s="236">
        <f>P51/P$32</f>
        <v>-4.4174152907625209E-3</v>
      </c>
      <c r="R81" s="236">
        <f>R51/R$32</f>
        <v>-1.3259313964180831E-3</v>
      </c>
      <c r="T81" s="236">
        <f>T51/T$32</f>
        <v>1.6598595568566086E-3</v>
      </c>
      <c r="V81" s="236">
        <f>V51/V$32</f>
        <v>4.5597148941323882E-3</v>
      </c>
      <c r="X81" s="236">
        <f>X51/X$32</f>
        <v>7.4465634001234194E-3</v>
      </c>
      <c r="Z81" s="236">
        <f>Z51/Z$32</f>
        <v>1.0486911378620796E-2</v>
      </c>
      <c r="AB81" s="236">
        <f>AB51/AB$32</f>
        <v>1.4006598084654747E-2</v>
      </c>
      <c r="AD81" s="236">
        <f>AD51/AD$32</f>
        <v>1.8605292499928854E-2</v>
      </c>
      <c r="AF81" s="236">
        <f>AF51/AF$32</f>
        <v>2.5394828435349168E-2</v>
      </c>
      <c r="AH81" s="236" t="e">
        <f>AH51/AH$32</f>
        <v>#DIV/0!</v>
      </c>
      <c r="AJ81" s="236" t="e">
        <f>AJ51/AJ$32</f>
        <v>#DIV/0!</v>
      </c>
      <c r="AL81" s="236" t="e">
        <f>AL51/AL$32</f>
        <v>#DIV/0!</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0.13833569335711765</v>
      </c>
      <c r="F82" s="236">
        <f>F52/F$32</f>
        <v>0.13756439821071009</v>
      </c>
      <c r="H82" s="236">
        <f>H52/H$32</f>
        <v>0.13676547653938961</v>
      </c>
      <c r="J82" s="236">
        <f>J52/J$32</f>
        <v>0.13594082448679173</v>
      </c>
      <c r="L82" s="236">
        <f>L52/L$32</f>
        <v>0.13509383502809755</v>
      </c>
      <c r="N82" s="236">
        <f>N52/N$32</f>
        <v>0.13422955853970958</v>
      </c>
      <c r="P82" s="236">
        <f>P52/P$32</f>
        <v>0.13335464325312776</v>
      </c>
      <c r="R82" s="236">
        <f>R52/R$32</f>
        <v>0.13247701502599007</v>
      </c>
      <c r="T82" s="236">
        <f>T52/T$32</f>
        <v>0.13160491598369053</v>
      </c>
      <c r="V82" s="236">
        <f>V52/V$32</f>
        <v>0.13074513951326205</v>
      </c>
      <c r="X82" s="236">
        <f>X52/X$32</f>
        <v>0.12990004742813749</v>
      </c>
      <c r="Z82" s="236">
        <f>Z52/Z$32</f>
        <v>0.1290626895001151</v>
      </c>
      <c r="AB82" s="236">
        <f>AB52/AB$32</f>
        <v>0.12820854030767723</v>
      </c>
      <c r="AD82" s="236">
        <f>AD52/AD$32</f>
        <v>0.12728031754937116</v>
      </c>
      <c r="AF82" s="236">
        <f>AF52/AF$32</f>
        <v>0.12615609169467643</v>
      </c>
      <c r="AH82" s="236" t="e">
        <f>AH52/AH$32</f>
        <v>#DIV/0!</v>
      </c>
      <c r="AJ82" s="236" t="e">
        <f>AJ52/AJ$32</f>
        <v>#DIV/0!</v>
      </c>
      <c r="AL82" s="236" t="e">
        <f>AL52/AL$32</f>
        <v>#DIV/0!</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0.18600714462929935</v>
      </c>
      <c r="D83" s="236">
        <f>D53/D$32</f>
        <v>0.1854064277425215</v>
      </c>
      <c r="F83" s="236">
        <f>F53/F$32</f>
        <v>0.18482626841118616</v>
      </c>
      <c r="H83" s="236">
        <f>H53/H$32</f>
        <v>0.18427074129243382</v>
      </c>
      <c r="J83" s="236">
        <f>J53/J$32</f>
        <v>0.18374436165391897</v>
      </c>
      <c r="L83" s="236">
        <f>L53/L$32</f>
        <v>0.18325196079062245</v>
      </c>
      <c r="N83" s="236">
        <f>N53/N$32</f>
        <v>0.18279815092542176</v>
      </c>
      <c r="P83" s="236">
        <f>P53/P$32</f>
        <v>0.18238631780223796</v>
      </c>
      <c r="R83" s="236">
        <f>R53/R$32</f>
        <v>0.18201704964154883</v>
      </c>
      <c r="T83" s="236">
        <f>T53/T$32</f>
        <v>0.18168537850064859</v>
      </c>
      <c r="V83" s="236">
        <f>V53/V$32</f>
        <v>0.18137629896549659</v>
      </c>
      <c r="X83" s="236">
        <f>X53/X$32</f>
        <v>0.18105755466609727</v>
      </c>
      <c r="Z83" s="236">
        <f>Z53/Z$32</f>
        <v>0.18066810098475908</v>
      </c>
      <c r="AB83" s="236">
        <f>AB53/AB$32</f>
        <v>0.18009966737684302</v>
      </c>
      <c r="AD83" s="236">
        <f>AD53/AD$32</f>
        <v>0.17916533847706365</v>
      </c>
      <c r="AF83" s="236">
        <f>AF53/AF$32</f>
        <v>0.17753463063469518</v>
      </c>
      <c r="AH83" s="236" t="e">
        <f>AH53/AH$32</f>
        <v>#DIV/0!</v>
      </c>
      <c r="AJ83" s="236" t="e">
        <f>AJ53/AJ$32</f>
        <v>#DIV/0!</v>
      </c>
      <c r="AL83" s="236" t="e">
        <f>AL53/AL$32</f>
        <v>#DIV/0!</v>
      </c>
      <c r="AN83" s="236" t="e">
        <f>AN53/AN$32</f>
        <v>#DIV/0!</v>
      </c>
      <c r="AP83" s="236" t="e">
        <f>AP53/AP$32</f>
        <v>#DIV/0!</v>
      </c>
      <c r="AR83" s="236" t="e">
        <f>AR53/AR$32</f>
        <v>#DIV/0!</v>
      </c>
      <c r="AT83" s="236" t="e">
        <f>AT53/AT$32</f>
        <v>#DIV/0!</v>
      </c>
      <c r="AV83" s="236" t="e">
        <f>AV53/AV$32</f>
        <v>#DIV/0!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7"/>
  <dimension ref="A1:XFD83"/>
  <sheetViews>
    <sheetView showGridLines="0" workbookViewId="0">
      <pane xSplit="1" ySplit="1" topLeftCell="AK9"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row>
    <row r="2" spans="1:49" x14ac:dyDescent="0.2">
      <c r="A2" s="229" t="s">
        <v>155</v>
      </c>
      <c r="B2" s="226">
        <v>5.7716594496607888E-3</v>
      </c>
      <c r="C2" s="227"/>
      <c r="D2" s="226">
        <v>6.7812480990908711E-2</v>
      </c>
      <c r="E2" s="227"/>
      <c r="F2" s="226">
        <v>0.13647328277484713</v>
      </c>
      <c r="G2" s="227"/>
      <c r="H2" s="226">
        <v>0.21290927954444849</v>
      </c>
      <c r="I2" s="227"/>
      <c r="J2" s="226">
        <v>0.29861409573997216</v>
      </c>
      <c r="K2" s="227"/>
      <c r="L2" s="226">
        <v>0.39557250707412789</v>
      </c>
      <c r="M2" s="227"/>
      <c r="N2" s="226">
        <v>0.50653152003303714</v>
      </c>
      <c r="O2" s="227"/>
      <c r="P2" s="226">
        <v>0.6354258061679694</v>
      </c>
      <c r="Q2" s="227"/>
      <c r="R2" s="226">
        <v>0.78816106930218621</v>
      </c>
      <c r="S2" s="227"/>
      <c r="T2" s="226">
        <v>0.97406411892124545</v>
      </c>
      <c r="U2" s="227"/>
      <c r="V2" s="226">
        <v>1.2087393654607412</v>
      </c>
      <c r="W2" s="227"/>
      <c r="X2" s="226">
        <v>1.5200936512312115</v>
      </c>
      <c r="Y2" s="227"/>
      <c r="Z2" s="226">
        <v>1.9618521412350727</v>
      </c>
      <c r="AA2" s="227"/>
      <c r="AB2" s="226">
        <v>2.6451210374705068</v>
      </c>
      <c r="AC2" s="227"/>
      <c r="AD2" s="226">
        <v>3.8086775445985297</v>
      </c>
      <c r="AE2" s="227"/>
      <c r="AF2" s="226">
        <v>5.9439193281593568</v>
      </c>
      <c r="AG2" s="227"/>
      <c r="AH2" s="226">
        <v>9.9450147467584422</v>
      </c>
      <c r="AI2" s="227"/>
      <c r="AJ2" s="226">
        <v>17.120114354729317</v>
      </c>
      <c r="AK2" s="227"/>
      <c r="AL2" s="226">
        <v>27.713147397418663</v>
      </c>
      <c r="AM2" s="227"/>
      <c r="AN2" s="226">
        <v>36.393196680338967</v>
      </c>
      <c r="AO2" s="227"/>
      <c r="AP2" s="226">
        <v>37.22694007254195</v>
      </c>
      <c r="AQ2" s="227"/>
      <c r="AR2" s="226">
        <v>37.753365195254688</v>
      </c>
      <c r="AS2" s="227"/>
      <c r="AT2" s="226">
        <v>38.03008809222144</v>
      </c>
      <c r="AU2" s="227"/>
      <c r="AV2" s="226">
        <v>38.133163792294589</v>
      </c>
      <c r="AW2" s="227"/>
    </row>
    <row r="3" spans="1:49" x14ac:dyDescent="0.2">
      <c r="A3" t="s">
        <v>12</v>
      </c>
      <c r="B3" s="84">
        <v>1000</v>
      </c>
      <c r="C3" s="85">
        <v>1000</v>
      </c>
      <c r="D3" s="84">
        <v>998.02221311986705</v>
      </c>
      <c r="E3" s="85">
        <v>1028.1365572810259</v>
      </c>
      <c r="F3" s="84">
        <v>995.9339746497609</v>
      </c>
      <c r="G3" s="85">
        <v>1060.2730620861412</v>
      </c>
      <c r="H3" s="84">
        <v>993.71549127569187</v>
      </c>
      <c r="I3" s="85">
        <v>1097.205753241182</v>
      </c>
      <c r="J3" s="84">
        <v>991.34397870025725</v>
      </c>
      <c r="K3" s="85">
        <v>1139.9545243405473</v>
      </c>
      <c r="L3" s="84">
        <v>988.79415567084504</v>
      </c>
      <c r="M3" s="85">
        <v>1189.8512558425091</v>
      </c>
      <c r="N3" s="84">
        <v>986.03918741438702</v>
      </c>
      <c r="O3" s="85">
        <v>1248.6926985487917</v>
      </c>
      <c r="P3" s="84">
        <v>983.05359782472692</v>
      </c>
      <c r="Q3" s="85">
        <v>1318.9710341488153</v>
      </c>
      <c r="R3" s="84">
        <v>979.81868424017614</v>
      </c>
      <c r="S3" s="85">
        <v>1404.2896970579654</v>
      </c>
      <c r="T3" s="84">
        <v>976.33350229420569</v>
      </c>
      <c r="U3" s="85">
        <v>1510.1168517948413</v>
      </c>
      <c r="V3" s="84">
        <v>972.63676205180479</v>
      </c>
      <c r="W3" s="85">
        <v>1645.2341215299582</v>
      </c>
      <c r="X3" s="84">
        <v>968.85093282546529</v>
      </c>
      <c r="Y3" s="85">
        <v>1824.7132428832326</v>
      </c>
      <c r="Z3" s="84">
        <v>965.26956193344131</v>
      </c>
      <c r="AA3" s="85">
        <v>2076.3963960138799</v>
      </c>
      <c r="AB3" s="84">
        <v>962.50836073830669</v>
      </c>
      <c r="AC3" s="85">
        <v>2455.4797636260132</v>
      </c>
      <c r="AD3" s="84">
        <v>961.62380521117404</v>
      </c>
      <c r="AE3" s="85">
        <v>3075.6500552268953</v>
      </c>
      <c r="AF3" s="84">
        <v>963.68047487417255</v>
      </c>
      <c r="AG3" s="85">
        <v>4162.4243953409878</v>
      </c>
      <c r="AH3" s="84">
        <v>968.54282682298094</v>
      </c>
      <c r="AI3" s="85">
        <v>6118.5624913386946</v>
      </c>
      <c r="AJ3" s="84">
        <v>974.85665247057318</v>
      </c>
      <c r="AK3" s="85">
        <v>9531.7665298906832</v>
      </c>
      <c r="AL3" s="84">
        <v>981.09332312677031</v>
      </c>
      <c r="AM3" s="85">
        <v>14495.765622057193</v>
      </c>
      <c r="AN3" s="84">
        <v>985.04627623380725</v>
      </c>
      <c r="AO3" s="85">
        <v>18542.083475398336</v>
      </c>
      <c r="AP3" s="84">
        <v>985.39514529344615</v>
      </c>
      <c r="AQ3" s="85">
        <v>18931.03166953953</v>
      </c>
      <c r="AR3" s="84">
        <v>985.61323697763532</v>
      </c>
      <c r="AS3" s="85">
        <v>19176.871107502779</v>
      </c>
      <c r="AT3" s="84">
        <v>985.72722539996812</v>
      </c>
      <c r="AU3" s="85">
        <v>19306.281051515231</v>
      </c>
      <c r="AV3" s="84">
        <v>985.76957138849878</v>
      </c>
      <c r="AW3" s="85">
        <v>19354.571841047822</v>
      </c>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row>
    <row r="5" spans="1:49" x14ac:dyDescent="0.2">
      <c r="A5" t="s">
        <v>128</v>
      </c>
      <c r="B5" s="41">
        <v>1000</v>
      </c>
      <c r="C5" s="42">
        <v>1000</v>
      </c>
      <c r="D5" s="41">
        <v>997.92385845071874</v>
      </c>
      <c r="E5" s="42">
        <v>1024.371367675943</v>
      </c>
      <c r="F5" s="41">
        <v>995.72989125308106</v>
      </c>
      <c r="G5" s="42">
        <v>1051.3987863121249</v>
      </c>
      <c r="H5" s="41">
        <v>993.396952596745</v>
      </c>
      <c r="I5" s="42">
        <v>1081.4088114670451</v>
      </c>
      <c r="J5" s="41">
        <v>990.90064231053145</v>
      </c>
      <c r="K5" s="42">
        <v>1114.7613940298422</v>
      </c>
      <c r="L5" s="41">
        <v>988.21379593618815</v>
      </c>
      <c r="M5" s="42">
        <v>1151.850402747039</v>
      </c>
      <c r="N5" s="41">
        <v>985.30743974029872</v>
      </c>
      <c r="O5" s="42">
        <v>1193.0924697447899</v>
      </c>
      <c r="P5" s="41">
        <v>982.15383575964506</v>
      </c>
      <c r="Q5" s="42">
        <v>1238.9187323430165</v>
      </c>
      <c r="R5" s="41">
        <v>978.73218788341774</v>
      </c>
      <c r="S5" s="42">
        <v>1289.7425080904618</v>
      </c>
      <c r="T5" s="41">
        <v>975.04030609678375</v>
      </c>
      <c r="U5" s="42">
        <v>1345.8988570013796</v>
      </c>
      <c r="V5" s="41">
        <v>971.1179869813451</v>
      </c>
      <c r="W5" s="42">
        <v>1407.5135840651367</v>
      </c>
      <c r="X5" s="41">
        <v>967.09429946519924</v>
      </c>
      <c r="Y5" s="42">
        <v>1474.2074374075462</v>
      </c>
      <c r="Z5" s="41">
        <v>963.28145886616392</v>
      </c>
      <c r="AA5" s="42">
        <v>1544.452254269514</v>
      </c>
      <c r="AB5" s="41">
        <v>960.33745875287775</v>
      </c>
      <c r="AC5" s="42">
        <v>1614.2751545595006</v>
      </c>
      <c r="AD5" s="41">
        <v>959.39353751458748</v>
      </c>
      <c r="AE5" s="42">
        <v>1675.6796430479199</v>
      </c>
      <c r="AF5" s="41">
        <v>961.58763421743163</v>
      </c>
      <c r="AG5" s="42">
        <v>1718.534627151741</v>
      </c>
      <c r="AH5" s="41">
        <v>966.76652810401549</v>
      </c>
      <c r="AI5" s="42">
        <v>1739.8985840659104</v>
      </c>
      <c r="AJ5" s="41">
        <v>973.47412379396803</v>
      </c>
      <c r="AK5" s="42">
        <v>1747.3565904129712</v>
      </c>
      <c r="AL5" s="41">
        <v>980.0809905375346</v>
      </c>
      <c r="AM5" s="42">
        <v>1749.2963354711248</v>
      </c>
      <c r="AN5" s="41">
        <v>984.25911078230502</v>
      </c>
      <c r="AO5" s="42">
        <v>1749.6997811549502</v>
      </c>
      <c r="AP5" s="41">
        <v>984.62750334509769</v>
      </c>
      <c r="AQ5" s="42">
        <v>1749.7220803408588</v>
      </c>
      <c r="AR5" s="41">
        <v>984.85777135258388</v>
      </c>
      <c r="AS5" s="42">
        <v>1749.7352565110027</v>
      </c>
      <c r="AT5" s="41">
        <v>984.97811514376588</v>
      </c>
      <c r="AU5" s="42">
        <v>1749.7419253254689</v>
      </c>
      <c r="AV5" s="41">
        <v>985.02282058379615</v>
      </c>
      <c r="AW5" s="42">
        <v>1749.7443683757722</v>
      </c>
    </row>
    <row r="6" spans="1:49" x14ac:dyDescent="0.2">
      <c r="A6" t="s">
        <v>77</v>
      </c>
      <c r="B6" s="41">
        <v>999.99999999999943</v>
      </c>
      <c r="C6" s="42">
        <v>999.99999999999909</v>
      </c>
      <c r="D6" s="41">
        <v>997.76540940292023</v>
      </c>
      <c r="E6" s="42">
        <v>1030.3063870221856</v>
      </c>
      <c r="F6" s="41">
        <v>995.40477149362573</v>
      </c>
      <c r="G6" s="42">
        <v>1064.77468331822</v>
      </c>
      <c r="H6" s="41">
        <v>992.89547370692037</v>
      </c>
      <c r="I6" s="42">
        <v>1104.2184695982505</v>
      </c>
      <c r="J6" s="41">
        <v>990.21144580247937</v>
      </c>
      <c r="K6" s="42">
        <v>1149.6795397945859</v>
      </c>
      <c r="L6" s="41">
        <v>987.32369712025263</v>
      </c>
      <c r="M6" s="42">
        <v>1202.5184105610597</v>
      </c>
      <c r="N6" s="41">
        <v>984.20136076164886</v>
      </c>
      <c r="O6" s="42">
        <v>1264.571528306524</v>
      </c>
      <c r="P6" s="41">
        <v>980.81497123378233</v>
      </c>
      <c r="Q6" s="42">
        <v>1338.3876871618347</v>
      </c>
      <c r="R6" s="41">
        <v>977.14259667988154</v>
      </c>
      <c r="S6" s="42">
        <v>1427.6549937017126</v>
      </c>
      <c r="T6" s="41">
        <v>973.1823383225028</v>
      </c>
      <c r="U6" s="42">
        <v>1537.9740816401866</v>
      </c>
      <c r="V6" s="41">
        <v>968.97733631859523</v>
      </c>
      <c r="W6" s="42">
        <v>1678.344082280327</v>
      </c>
      <c r="X6" s="41">
        <v>964.66627561287032</v>
      </c>
      <c r="Y6" s="42">
        <v>1864.2147001216254</v>
      </c>
      <c r="Z6" s="41">
        <v>960.58356238141755</v>
      </c>
      <c r="AA6" s="42">
        <v>2124.1286146595089</v>
      </c>
      <c r="AB6" s="41">
        <v>957.43281044358832</v>
      </c>
      <c r="AC6" s="42">
        <v>2514.666883650134</v>
      </c>
      <c r="AD6" s="41">
        <v>956.42289881023123</v>
      </c>
      <c r="AE6" s="42">
        <v>3152.3596452114652</v>
      </c>
      <c r="AF6" s="41">
        <v>958.77061064044187</v>
      </c>
      <c r="AG6" s="42">
        <v>4268.389296102453</v>
      </c>
      <c r="AH6" s="41">
        <v>964.31521128645807</v>
      </c>
      <c r="AI6" s="42">
        <v>6275.7891395718016</v>
      </c>
      <c r="AJ6" s="41">
        <v>971.50297872472822</v>
      </c>
      <c r="AK6" s="42">
        <v>9777.4713738054252</v>
      </c>
      <c r="AL6" s="41">
        <v>978.59000570017611</v>
      </c>
      <c r="AM6" s="42">
        <v>14869.731264987235</v>
      </c>
      <c r="AN6" s="41">
        <v>983.07546751020607</v>
      </c>
      <c r="AO6" s="42">
        <v>19020.517099374756</v>
      </c>
      <c r="AP6" s="41">
        <v>983.47109632098443</v>
      </c>
      <c r="AQ6" s="42">
        <v>19419.50567283075</v>
      </c>
      <c r="AR6" s="41">
        <v>983.71839996924575</v>
      </c>
      <c r="AS6" s="42">
        <v>19671.691161992752</v>
      </c>
      <c r="AT6" s="41">
        <v>983.84765047245025</v>
      </c>
      <c r="AU6" s="42">
        <v>19804.441641673988</v>
      </c>
      <c r="AV6" s="41">
        <v>983.89566519283983</v>
      </c>
      <c r="AW6" s="42">
        <v>19853.978985320409</v>
      </c>
    </row>
    <row r="7" spans="1:49" x14ac:dyDescent="0.2">
      <c r="A7" t="s">
        <v>13</v>
      </c>
      <c r="B7" s="33">
        <v>1015.9116825427475</v>
      </c>
      <c r="C7" s="34">
        <v>1015.9116825427475</v>
      </c>
      <c r="D7" s="33">
        <v>1013.8025060882202</v>
      </c>
      <c r="E7" s="34">
        <v>1013.8025060882202</v>
      </c>
      <c r="F7" s="33">
        <v>1011.5736291810246</v>
      </c>
      <c r="G7" s="34">
        <v>1011.5736291810246</v>
      </c>
      <c r="H7" s="33">
        <v>1009.2035695453972</v>
      </c>
      <c r="I7" s="34">
        <v>1009.2035695453972</v>
      </c>
      <c r="J7" s="33">
        <v>1006.6675387623811</v>
      </c>
      <c r="K7" s="34">
        <v>1006.6675387623811</v>
      </c>
      <c r="L7" s="33">
        <v>1003.9379401414882</v>
      </c>
      <c r="M7" s="34">
        <v>1003.9379401414882</v>
      </c>
      <c r="N7" s="33">
        <v>1000.9853389284536</v>
      </c>
      <c r="O7" s="34">
        <v>1000.9853389284536</v>
      </c>
      <c r="P7" s="33">
        <v>997.78155580239422</v>
      </c>
      <c r="Q7" s="34">
        <v>997.78155580239422</v>
      </c>
      <c r="R7" s="33">
        <v>994.30546375138738</v>
      </c>
      <c r="S7" s="34">
        <v>994.30546375138738</v>
      </c>
      <c r="T7" s="33">
        <v>990.55483791377901</v>
      </c>
      <c r="U7" s="34">
        <v>990.55483791377901</v>
      </c>
      <c r="V7" s="33">
        <v>986.57010810174415</v>
      </c>
      <c r="W7" s="34">
        <v>986.57010810174415</v>
      </c>
      <c r="X7" s="33">
        <v>982.48239694719018</v>
      </c>
      <c r="Y7" s="34">
        <v>982.48239694719018</v>
      </c>
      <c r="Z7" s="33">
        <v>978.60888763895696</v>
      </c>
      <c r="AA7" s="34">
        <v>978.60888763895696</v>
      </c>
      <c r="AB7" s="33">
        <v>975.61804353046239</v>
      </c>
      <c r="AC7" s="34">
        <v>975.61804353046239</v>
      </c>
      <c r="AD7" s="33">
        <v>974.65910291708303</v>
      </c>
      <c r="AE7" s="34">
        <v>974.65910291708303</v>
      </c>
      <c r="AF7" s="33">
        <v>976.88811139013092</v>
      </c>
      <c r="AG7" s="34">
        <v>976.88811139013092</v>
      </c>
      <c r="AH7" s="33">
        <v>982.14941019216076</v>
      </c>
      <c r="AI7" s="34">
        <v>982.14941019216076</v>
      </c>
      <c r="AJ7" s="33">
        <v>988.96373501535686</v>
      </c>
      <c r="AK7" s="34">
        <v>988.96373501535686</v>
      </c>
      <c r="AL7" s="33">
        <v>995.67572812514936</v>
      </c>
      <c r="AM7" s="34">
        <v>995.67572812514936</v>
      </c>
      <c r="AN7" s="33">
        <v>999.92032929287996</v>
      </c>
      <c r="AO7" s="34">
        <v>999.92032929287996</v>
      </c>
      <c r="AP7" s="33">
        <v>1000.2945836011829</v>
      </c>
      <c r="AQ7" s="34">
        <v>1000.2945836011829</v>
      </c>
      <c r="AR7" s="33">
        <v>1000.528515560104</v>
      </c>
      <c r="AS7" s="34">
        <v>1000.528515560104</v>
      </c>
      <c r="AT7" s="33">
        <v>1000.6507742234872</v>
      </c>
      <c r="AU7" s="34">
        <v>1000.6507742234872</v>
      </c>
      <c r="AV7" s="33">
        <v>1000.6961910022872</v>
      </c>
      <c r="AW7" s="34">
        <v>1000.6961910022872</v>
      </c>
    </row>
    <row r="8" spans="1:49" x14ac:dyDescent="0.2">
      <c r="B8" s="35">
        <v>1005.7716594496609</v>
      </c>
      <c r="C8" s="36">
        <v>1005.7716594496609</v>
      </c>
      <c r="D8" s="35">
        <v>1093.8365315740989</v>
      </c>
      <c r="E8" s="36">
        <v>1093.8365315740989</v>
      </c>
      <c r="F8" s="35">
        <v>1194.8866301856306</v>
      </c>
      <c r="G8" s="36">
        <v>1194.8866301856306</v>
      </c>
      <c r="H8" s="35">
        <v>1311.650782409512</v>
      </c>
      <c r="I8" s="36">
        <v>1311.650782409512</v>
      </c>
      <c r="J8" s="35">
        <v>1447.6448596738942</v>
      </c>
      <c r="K8" s="36">
        <v>1447.6448596738942</v>
      </c>
      <c r="L8" s="35">
        <v>1607.4907543360291</v>
      </c>
      <c r="M8" s="36">
        <v>1607.4907543360291</v>
      </c>
      <c r="N8" s="35">
        <v>1797.4314119845887</v>
      </c>
      <c r="O8" s="36">
        <v>1797.4314119845887</v>
      </c>
      <c r="P8" s="35">
        <v>2026.1596666186765</v>
      </c>
      <c r="Q8" s="36">
        <v>2026.1596666186765</v>
      </c>
      <c r="R8" s="35">
        <v>2306.2673423915239</v>
      </c>
      <c r="S8" s="36">
        <v>2306.2673423915239</v>
      </c>
      <c r="T8" s="35">
        <v>2656.8906413035397</v>
      </c>
      <c r="U8" s="36">
        <v>2656.8906413035397</v>
      </c>
      <c r="V8" s="35">
        <v>3108.8306605454036</v>
      </c>
      <c r="W8" s="36">
        <v>3108.8306605454036</v>
      </c>
      <c r="X8" s="35">
        <v>3715.1408036085904</v>
      </c>
      <c r="Y8" s="36">
        <v>3715.1408036085904</v>
      </c>
      <c r="Z8" s="35">
        <v>4574.439216343495</v>
      </c>
      <c r="AA8" s="36">
        <v>4574.439216343495</v>
      </c>
      <c r="AB8" s="35">
        <v>5884.2283261507891</v>
      </c>
      <c r="AC8" s="36">
        <v>5884.2283261507891</v>
      </c>
      <c r="AD8" s="35">
        <v>8057.8030714654114</v>
      </c>
      <c r="AE8" s="36">
        <v>8057.8030714654114</v>
      </c>
      <c r="AF8" s="35">
        <v>11933.365813590108</v>
      </c>
      <c r="AG8" s="36">
        <v>11933.365813590108</v>
      </c>
      <c r="AH8" s="35">
        <v>19043.215660465521</v>
      </c>
      <c r="AI8" s="36">
        <v>19043.215660465521</v>
      </c>
      <c r="AJ8" s="35">
        <v>31662.301236772953</v>
      </c>
      <c r="AK8" s="36">
        <v>31662.301236772953</v>
      </c>
      <c r="AL8" s="35">
        <v>50227.803522146729</v>
      </c>
      <c r="AM8" s="36">
        <v>50227.803522146729</v>
      </c>
      <c r="AN8" s="35">
        <v>65426.8680482731</v>
      </c>
      <c r="AO8" s="36">
        <v>65426.8680482731</v>
      </c>
      <c r="AP8" s="35">
        <v>66886.521108793444</v>
      </c>
      <c r="AQ8" s="36">
        <v>66886.521108793444</v>
      </c>
      <c r="AR8" s="35">
        <v>67808.129390583519</v>
      </c>
      <c r="AS8" s="36">
        <v>67808.129390583519</v>
      </c>
      <c r="AT8" s="35">
        <v>68292.581484106195</v>
      </c>
      <c r="AU8" s="36">
        <v>68292.581484106195</v>
      </c>
      <c r="AV8" s="35">
        <v>68473.032962294135</v>
      </c>
      <c r="AW8" s="36">
        <v>68473.032962294135</v>
      </c>
    </row>
    <row r="9" spans="1:49" x14ac:dyDescent="0.2">
      <c r="A9" t="s">
        <v>14</v>
      </c>
      <c r="B9" s="41">
        <v>1015.9116825427475</v>
      </c>
      <c r="C9" s="42">
        <v>1005.7716594496609</v>
      </c>
      <c r="D9" s="41">
        <v>1013.8025060882202</v>
      </c>
      <c r="E9" s="42">
        <v>1093.8365315740989</v>
      </c>
      <c r="F9" s="41">
        <v>1011.5736291810246</v>
      </c>
      <c r="G9" s="42">
        <v>1194.8866301856306</v>
      </c>
      <c r="H9" s="41">
        <v>1009.2035695453972</v>
      </c>
      <c r="I9" s="42">
        <v>1311.650782409512</v>
      </c>
      <c r="J9" s="41">
        <v>1006.6675387623811</v>
      </c>
      <c r="K9" s="42">
        <v>1447.6448596738942</v>
      </c>
      <c r="L9" s="41">
        <v>1003.9379401414882</v>
      </c>
      <c r="M9" s="42">
        <v>1607.4907543360291</v>
      </c>
      <c r="N9" s="41">
        <v>1000.9853389284536</v>
      </c>
      <c r="O9" s="42">
        <v>1797.4314119845887</v>
      </c>
      <c r="P9" s="41">
        <v>997.78155580239422</v>
      </c>
      <c r="Q9" s="42">
        <v>2026.1596666186765</v>
      </c>
      <c r="R9" s="41">
        <v>994.30546375138738</v>
      </c>
      <c r="S9" s="42">
        <v>2306.2673423915239</v>
      </c>
      <c r="T9" s="41">
        <v>990.55483791377901</v>
      </c>
      <c r="U9" s="42">
        <v>2656.8906413035397</v>
      </c>
      <c r="V9" s="41">
        <v>986.57010810174415</v>
      </c>
      <c r="W9" s="42">
        <v>3108.8306605454036</v>
      </c>
      <c r="X9" s="41">
        <v>982.48239694719018</v>
      </c>
      <c r="Y9" s="42">
        <v>3715.1408036085904</v>
      </c>
      <c r="Z9" s="41">
        <v>978.60888763895696</v>
      </c>
      <c r="AA9" s="42">
        <v>4574.439216343495</v>
      </c>
      <c r="AB9" s="41">
        <v>975.61804353046239</v>
      </c>
      <c r="AC9" s="42">
        <v>5884.2283261507891</v>
      </c>
      <c r="AD9" s="41">
        <v>974.65910291708303</v>
      </c>
      <c r="AE9" s="42">
        <v>8057.8030714654114</v>
      </c>
      <c r="AF9" s="41">
        <v>976.88811139013092</v>
      </c>
      <c r="AG9" s="42">
        <v>11933.365813590108</v>
      </c>
      <c r="AH9" s="41">
        <v>982.14941019216076</v>
      </c>
      <c r="AI9" s="42">
        <v>19043.215660465521</v>
      </c>
      <c r="AJ9" s="41">
        <v>988.96373501535686</v>
      </c>
      <c r="AK9" s="42">
        <v>31662.301236772953</v>
      </c>
      <c r="AL9" s="41">
        <v>995.67572812514936</v>
      </c>
      <c r="AM9" s="42">
        <v>50227.803522146729</v>
      </c>
      <c r="AN9" s="41">
        <v>999.92032929287996</v>
      </c>
      <c r="AO9" s="42">
        <v>65426.8680482731</v>
      </c>
      <c r="AP9" s="41">
        <v>1000.2945836011829</v>
      </c>
      <c r="AQ9" s="42">
        <v>66886.521108793444</v>
      </c>
      <c r="AR9" s="41">
        <v>1000.528515560104</v>
      </c>
      <c r="AS9" s="42">
        <v>67808.129390583519</v>
      </c>
      <c r="AT9" s="41">
        <v>1000.6507742234872</v>
      </c>
      <c r="AU9" s="42">
        <v>68292.581484106195</v>
      </c>
      <c r="AV9" s="41">
        <v>1000.6961910022872</v>
      </c>
      <c r="AW9" s="42">
        <v>68473.032962294135</v>
      </c>
    </row>
    <row r="10" spans="1:49" x14ac:dyDescent="0.2">
      <c r="A10" t="s">
        <v>15</v>
      </c>
      <c r="B10" s="41">
        <v>1015.9116825427475</v>
      </c>
      <c r="C10" s="42">
        <v>1005.7716594496609</v>
      </c>
      <c r="D10" s="41">
        <v>1013.8025060882202</v>
      </c>
      <c r="E10" s="42">
        <v>1093.8365315740989</v>
      </c>
      <c r="F10" s="41">
        <v>1011.5736291810246</v>
      </c>
      <c r="G10" s="42">
        <v>1194.8866301856306</v>
      </c>
      <c r="H10" s="41">
        <v>1009.2035695453972</v>
      </c>
      <c r="I10" s="42">
        <v>1311.650782409512</v>
      </c>
      <c r="J10" s="41">
        <v>1006.6675387623811</v>
      </c>
      <c r="K10" s="42">
        <v>1447.6448596738942</v>
      </c>
      <c r="L10" s="41">
        <v>1003.9379401414882</v>
      </c>
      <c r="M10" s="42">
        <v>1607.4907543360291</v>
      </c>
      <c r="N10" s="41">
        <v>1000.9853389284536</v>
      </c>
      <c r="O10" s="42">
        <v>1797.4314119845887</v>
      </c>
      <c r="P10" s="41">
        <v>997.78155580239422</v>
      </c>
      <c r="Q10" s="42">
        <v>2026.1596666186765</v>
      </c>
      <c r="R10" s="41">
        <v>994.30546375138738</v>
      </c>
      <c r="S10" s="42">
        <v>2306.2673423915239</v>
      </c>
      <c r="T10" s="41">
        <v>990.55483791377901</v>
      </c>
      <c r="U10" s="42">
        <v>2656.8906413035397</v>
      </c>
      <c r="V10" s="41">
        <v>986.57010810174415</v>
      </c>
      <c r="W10" s="42">
        <v>3108.8306605454036</v>
      </c>
      <c r="X10" s="41">
        <v>982.48239694719018</v>
      </c>
      <c r="Y10" s="42">
        <v>3715.1408036085904</v>
      </c>
      <c r="Z10" s="41">
        <v>978.60888763895696</v>
      </c>
      <c r="AA10" s="42">
        <v>4574.439216343495</v>
      </c>
      <c r="AB10" s="41">
        <v>975.61804353046239</v>
      </c>
      <c r="AC10" s="42">
        <v>5884.2283261507891</v>
      </c>
      <c r="AD10" s="41">
        <v>974.65910291708303</v>
      </c>
      <c r="AE10" s="42">
        <v>8057.8030714654114</v>
      </c>
      <c r="AF10" s="41">
        <v>976.88811139013092</v>
      </c>
      <c r="AG10" s="42">
        <v>11933.365813590108</v>
      </c>
      <c r="AH10" s="41">
        <v>982.14941019216076</v>
      </c>
      <c r="AI10" s="42">
        <v>19043.215660465521</v>
      </c>
      <c r="AJ10" s="41">
        <v>988.96373501535686</v>
      </c>
      <c r="AK10" s="42">
        <v>31662.301236772953</v>
      </c>
      <c r="AL10" s="41">
        <v>995.67572812514936</v>
      </c>
      <c r="AM10" s="42">
        <v>50227.803522146729</v>
      </c>
      <c r="AN10" s="41">
        <v>999.92032929287996</v>
      </c>
      <c r="AO10" s="42">
        <v>65426.8680482731</v>
      </c>
      <c r="AP10" s="41">
        <v>1000.2945836011829</v>
      </c>
      <c r="AQ10" s="42">
        <v>66886.521108793444</v>
      </c>
      <c r="AR10" s="41">
        <v>1000.528515560104</v>
      </c>
      <c r="AS10" s="42">
        <v>67808.129390583519</v>
      </c>
      <c r="AT10" s="41">
        <v>1000.6507742234872</v>
      </c>
      <c r="AU10" s="42">
        <v>68292.581484106195</v>
      </c>
      <c r="AV10" s="41">
        <v>1000.6961910022872</v>
      </c>
      <c r="AW10" s="42">
        <v>68473.032962294135</v>
      </c>
    </row>
    <row r="11" spans="1:49" x14ac:dyDescent="0.2">
      <c r="A11" t="s">
        <v>29</v>
      </c>
      <c r="B11" s="41">
        <v>1015.9116825427475</v>
      </c>
      <c r="C11" s="42">
        <v>1005.7716594496609</v>
      </c>
      <c r="D11" s="41">
        <v>1013.8025060882202</v>
      </c>
      <c r="E11" s="42">
        <v>1093.8365315740989</v>
      </c>
      <c r="F11" s="41">
        <v>1011.5736291810246</v>
      </c>
      <c r="G11" s="42">
        <v>1194.8866301856306</v>
      </c>
      <c r="H11" s="41">
        <v>1009.2035695453972</v>
      </c>
      <c r="I11" s="42">
        <v>1311.650782409512</v>
      </c>
      <c r="J11" s="41">
        <v>1006.6675387623811</v>
      </c>
      <c r="K11" s="42">
        <v>1447.6448596738942</v>
      </c>
      <c r="L11" s="41">
        <v>1003.9379401414882</v>
      </c>
      <c r="M11" s="42">
        <v>1607.4907543360291</v>
      </c>
      <c r="N11" s="41">
        <v>1000.9853389284536</v>
      </c>
      <c r="O11" s="42">
        <v>1797.4314119845887</v>
      </c>
      <c r="P11" s="41">
        <v>997.78155580239422</v>
      </c>
      <c r="Q11" s="42">
        <v>2026.1596666186765</v>
      </c>
      <c r="R11" s="41">
        <v>994.30546375138738</v>
      </c>
      <c r="S11" s="42">
        <v>2306.2673423915239</v>
      </c>
      <c r="T11" s="41">
        <v>990.55483791377901</v>
      </c>
      <c r="U11" s="42">
        <v>2656.8906413035397</v>
      </c>
      <c r="V11" s="41">
        <v>986.57010810174415</v>
      </c>
      <c r="W11" s="42">
        <v>3108.8306605454036</v>
      </c>
      <c r="X11" s="41">
        <v>982.48239694719018</v>
      </c>
      <c r="Y11" s="42">
        <v>3715.1408036085904</v>
      </c>
      <c r="Z11" s="41">
        <v>978.60888763895696</v>
      </c>
      <c r="AA11" s="42">
        <v>4574.439216343495</v>
      </c>
      <c r="AB11" s="41">
        <v>975.61804353046239</v>
      </c>
      <c r="AC11" s="42">
        <v>5884.2283261507891</v>
      </c>
      <c r="AD11" s="41">
        <v>974.65910291708303</v>
      </c>
      <c r="AE11" s="42">
        <v>8057.8030714654114</v>
      </c>
      <c r="AF11" s="41">
        <v>976.88811139013092</v>
      </c>
      <c r="AG11" s="42">
        <v>11933.365813590108</v>
      </c>
      <c r="AH11" s="41">
        <v>982.14941019216076</v>
      </c>
      <c r="AI11" s="42">
        <v>19043.215660465521</v>
      </c>
      <c r="AJ11" s="41">
        <v>988.96373501535686</v>
      </c>
      <c r="AK11" s="42">
        <v>31662.301236772953</v>
      </c>
      <c r="AL11" s="41">
        <v>995.67572812514936</v>
      </c>
      <c r="AM11" s="42">
        <v>50227.803522146729</v>
      </c>
      <c r="AN11" s="41">
        <v>999.92032929287996</v>
      </c>
      <c r="AO11" s="42">
        <v>65426.8680482731</v>
      </c>
      <c r="AP11" s="41">
        <v>1000.2945836011829</v>
      </c>
      <c r="AQ11" s="42">
        <v>66886.521108793444</v>
      </c>
      <c r="AR11" s="41">
        <v>1000.528515560104</v>
      </c>
      <c r="AS11" s="42">
        <v>67808.129390583519</v>
      </c>
      <c r="AT11" s="41">
        <v>1000.6507742234872</v>
      </c>
      <c r="AU11" s="42">
        <v>68292.581484106195</v>
      </c>
      <c r="AV11" s="41">
        <v>1000.6961910022872</v>
      </c>
      <c r="AW11" s="42">
        <v>68473.032962294135</v>
      </c>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row>
    <row r="13" spans="1:49" x14ac:dyDescent="0.2">
      <c r="A13" t="s">
        <v>17</v>
      </c>
      <c r="B13" s="97">
        <v>1000</v>
      </c>
      <c r="C13" s="98">
        <v>1000</v>
      </c>
      <c r="D13" s="97">
        <v>997.4098077521063</v>
      </c>
      <c r="E13" s="98">
        <v>997.4098077521063</v>
      </c>
      <c r="F13" s="97">
        <v>994.22600319379967</v>
      </c>
      <c r="G13" s="98">
        <v>994.22600319379967</v>
      </c>
      <c r="H13" s="97">
        <v>990.34169131918554</v>
      </c>
      <c r="I13" s="98">
        <v>990.34169131918554</v>
      </c>
      <c r="J13" s="97">
        <v>985.62389628222604</v>
      </c>
      <c r="K13" s="98">
        <v>985.62389628222604</v>
      </c>
      <c r="L13" s="97">
        <v>979.90481628633086</v>
      </c>
      <c r="M13" s="98">
        <v>979.90481628633086</v>
      </c>
      <c r="N13" s="97">
        <v>972.96813954630215</v>
      </c>
      <c r="O13" s="98">
        <v>972.96813954630215</v>
      </c>
      <c r="P13" s="97">
        <v>964.52877807910579</v>
      </c>
      <c r="Q13" s="98">
        <v>964.52877807910579</v>
      </c>
      <c r="R13" s="97">
        <v>954.19887835231862</v>
      </c>
      <c r="S13" s="98">
        <v>954.19887835231862</v>
      </c>
      <c r="T13" s="97">
        <v>941.42868896985885</v>
      </c>
      <c r="U13" s="98">
        <v>941.42868896985885</v>
      </c>
      <c r="V13" s="97">
        <v>925.3986102581058</v>
      </c>
      <c r="W13" s="98">
        <v>925.3986102581058</v>
      </c>
      <c r="X13" s="97">
        <v>904.80887591574151</v>
      </c>
      <c r="Y13" s="98">
        <v>904.80887591574151</v>
      </c>
      <c r="Z13" s="97">
        <v>877.44807806410893</v>
      </c>
      <c r="AA13" s="98">
        <v>877.44807806410893</v>
      </c>
      <c r="AB13" s="97">
        <v>839.29343294624266</v>
      </c>
      <c r="AC13" s="98">
        <v>839.29343294624266</v>
      </c>
      <c r="AD13" s="97">
        <v>782.80149756333185</v>
      </c>
      <c r="AE13" s="98">
        <v>782.80149756333185</v>
      </c>
      <c r="AF13" s="97">
        <v>694.73853073166663</v>
      </c>
      <c r="AG13" s="98">
        <v>694.73853073166663</v>
      </c>
      <c r="AH13" s="97">
        <v>556.3882874072051</v>
      </c>
      <c r="AI13" s="98">
        <v>556.3882874072051</v>
      </c>
      <c r="AJ13" s="97">
        <v>354.8259608482303</v>
      </c>
      <c r="AK13" s="98">
        <v>354.8259608482303</v>
      </c>
      <c r="AL13" s="97">
        <v>130.85418413320451</v>
      </c>
      <c r="AM13" s="98">
        <v>130.85418413320451</v>
      </c>
      <c r="AN13" s="97">
        <v>11.657639476657653</v>
      </c>
      <c r="AO13" s="98">
        <v>11.657639476657653</v>
      </c>
      <c r="AP13" s="97">
        <v>4.9179230803282907</v>
      </c>
      <c r="AQ13" s="98">
        <v>4.9179230803282907</v>
      </c>
      <c r="AR13" s="97">
        <v>1.5847834286076361</v>
      </c>
      <c r="AS13" s="98">
        <v>1.5847834286076361</v>
      </c>
      <c r="AT13" s="97">
        <v>0.31603580541314824</v>
      </c>
      <c r="AU13" s="98">
        <v>0.31603580541314824</v>
      </c>
      <c r="AV13" s="97">
        <v>1.982196571739013E-2</v>
      </c>
      <c r="AW13" s="98">
        <v>1.982196571739013E-2</v>
      </c>
    </row>
    <row r="14" spans="1:49" x14ac:dyDescent="0.2">
      <c r="A14" t="s">
        <v>36</v>
      </c>
      <c r="B14" s="41">
        <v>1457.0034251455234</v>
      </c>
      <c r="C14" s="42">
        <v>1457.0034251455236</v>
      </c>
      <c r="D14" s="41">
        <v>1453.2295061685568</v>
      </c>
      <c r="E14" s="42">
        <v>1453.229506168557</v>
      </c>
      <c r="F14" s="41">
        <v>1448.59069202211</v>
      </c>
      <c r="G14" s="42">
        <v>1448.5906920221103</v>
      </c>
      <c r="H14" s="41">
        <v>1442.9312363164638</v>
      </c>
      <c r="I14" s="42">
        <v>1442.931236316464</v>
      </c>
      <c r="J14" s="41">
        <v>1436.0573927884793</v>
      </c>
      <c r="K14" s="42">
        <v>1436.0573927884795</v>
      </c>
      <c r="L14" s="41">
        <v>1427.7246736457787</v>
      </c>
      <c r="M14" s="42">
        <v>1427.7246736457789</v>
      </c>
      <c r="N14" s="41">
        <v>1417.6179118764296</v>
      </c>
      <c r="O14" s="42">
        <v>1417.6179118764298</v>
      </c>
      <c r="P14" s="41">
        <v>1405.3217333126834</v>
      </c>
      <c r="Q14" s="42">
        <v>1405.3217333126836</v>
      </c>
      <c r="R14" s="41">
        <v>1390.2710340293447</v>
      </c>
      <c r="S14" s="42">
        <v>1390.2710340293449</v>
      </c>
      <c r="T14" s="41">
        <v>1371.6648243593438</v>
      </c>
      <c r="U14" s="42">
        <v>1371.664824359344</v>
      </c>
      <c r="V14" s="41">
        <v>1348.3089447709674</v>
      </c>
      <c r="W14" s="42">
        <v>1348.3089447709676</v>
      </c>
      <c r="X14" s="41">
        <v>1318.3096313113062</v>
      </c>
      <c r="Y14" s="42">
        <v>1318.3096313113062</v>
      </c>
      <c r="Z14" s="41">
        <v>1278.4448551267633</v>
      </c>
      <c r="AA14" s="42">
        <v>1278.4448551267633</v>
      </c>
      <c r="AB14" s="41">
        <v>1222.8534065048202</v>
      </c>
      <c r="AC14" s="42">
        <v>1222.8534065048202</v>
      </c>
      <c r="AD14" s="41">
        <v>1140.5444631588196</v>
      </c>
      <c r="AE14" s="42">
        <v>1140.5444631588198</v>
      </c>
      <c r="AF14" s="41">
        <v>1012.2364188566066</v>
      </c>
      <c r="AG14" s="42">
        <v>1012.2364188566069</v>
      </c>
      <c r="AH14" s="41">
        <v>810.65964046314969</v>
      </c>
      <c r="AI14" s="42">
        <v>810.6596404631498</v>
      </c>
      <c r="AJ14" s="41">
        <v>516.98264028642291</v>
      </c>
      <c r="AK14" s="42">
        <v>516.98264028642291</v>
      </c>
      <c r="AL14" s="41">
        <v>190.65499447670197</v>
      </c>
      <c r="AM14" s="42">
        <v>190.654994476702</v>
      </c>
      <c r="AN14" s="41">
        <v>16.985220646601867</v>
      </c>
      <c r="AO14" s="42">
        <v>16.985220646601871</v>
      </c>
      <c r="AP14" s="41">
        <v>7.1654307726405424</v>
      </c>
      <c r="AQ14" s="42">
        <v>7.1654307726405433</v>
      </c>
      <c r="AR14" s="41">
        <v>2.3090348835951917</v>
      </c>
      <c r="AS14" s="42">
        <v>2.3090348835951922</v>
      </c>
      <c r="AT14" s="41">
        <v>0.46046525095558111</v>
      </c>
      <c r="AU14" s="42">
        <v>0.46046525095558116</v>
      </c>
      <c r="AV14" s="41">
        <v>2.8880671943354558E-2</v>
      </c>
      <c r="AW14" s="42">
        <v>2.8880671943354565E-2</v>
      </c>
    </row>
    <row r="15" spans="1:49" x14ac:dyDescent="0.2">
      <c r="A15" t="s">
        <v>18</v>
      </c>
      <c r="B15" s="154">
        <v>1000</v>
      </c>
      <c r="C15" s="155">
        <v>1000</v>
      </c>
      <c r="D15" s="154">
        <v>990.6673040290641</v>
      </c>
      <c r="E15" s="155">
        <v>990.6673040290641</v>
      </c>
      <c r="F15" s="154">
        <v>980.81294766960173</v>
      </c>
      <c r="G15" s="155">
        <v>980.81294766960173</v>
      </c>
      <c r="H15" s="154">
        <v>970.34210429640416</v>
      </c>
      <c r="I15" s="155">
        <v>970.34210429640416</v>
      </c>
      <c r="J15" s="154">
        <v>959.1385524599757</v>
      </c>
      <c r="K15" s="155">
        <v>959.1385524599757</v>
      </c>
      <c r="L15" s="154">
        <v>947.05887496905643</v>
      </c>
      <c r="M15" s="155">
        <v>947.05887496905643</v>
      </c>
      <c r="N15" s="154">
        <v>933.92175882967365</v>
      </c>
      <c r="O15" s="155">
        <v>933.92175882967365</v>
      </c>
      <c r="P15" s="154">
        <v>919.49404935836583</v>
      </c>
      <c r="Q15" s="155">
        <v>919.49404935836583</v>
      </c>
      <c r="R15" s="154">
        <v>903.46476650974284</v>
      </c>
      <c r="S15" s="155">
        <v>903.46476650974284</v>
      </c>
      <c r="T15" s="154">
        <v>885.39977930899965</v>
      </c>
      <c r="U15" s="155">
        <v>885.39977930899965</v>
      </c>
      <c r="V15" s="154">
        <v>864.65571267701489</v>
      </c>
      <c r="W15" s="155">
        <v>864.65571267701489</v>
      </c>
      <c r="X15" s="154">
        <v>840.20595124373563</v>
      </c>
      <c r="Y15" s="155">
        <v>840.20595124373563</v>
      </c>
      <c r="Z15" s="154">
        <v>810.26888308440095</v>
      </c>
      <c r="AA15" s="155">
        <v>810.26888308440095</v>
      </c>
      <c r="AB15" s="154">
        <v>771.49212691276477</v>
      </c>
      <c r="AC15" s="155">
        <v>771.49212691276477</v>
      </c>
      <c r="AD15" s="154">
        <v>717.29882933095348</v>
      </c>
      <c r="AE15" s="155">
        <v>717.29882933095348</v>
      </c>
      <c r="AF15" s="154">
        <v>635.59634546778625</v>
      </c>
      <c r="AG15" s="155">
        <v>635.59634546778625</v>
      </c>
      <c r="AH15" s="154">
        <v>508.76300583845045</v>
      </c>
      <c r="AI15" s="155">
        <v>508.76300583845045</v>
      </c>
      <c r="AJ15" s="154">
        <v>324.42005508853697</v>
      </c>
      <c r="AK15" s="155">
        <v>324.42005508853697</v>
      </c>
      <c r="AL15" s="154">
        <v>119.63919147910431</v>
      </c>
      <c r="AM15" s="155">
        <v>119.63919147910431</v>
      </c>
      <c r="AN15" s="154">
        <v>10.658489059765316</v>
      </c>
      <c r="AO15" s="155">
        <v>10.658489059765316</v>
      </c>
      <c r="AP15" s="154">
        <v>4.4964182605888059</v>
      </c>
      <c r="AQ15" s="155">
        <v>4.4964182605888059</v>
      </c>
      <c r="AR15" s="154">
        <v>1.4489548386266882</v>
      </c>
      <c r="AS15" s="155">
        <v>1.4489548386266882</v>
      </c>
      <c r="AT15" s="154">
        <v>0.28894898710414141</v>
      </c>
      <c r="AU15" s="155">
        <v>0.28894898710414141</v>
      </c>
      <c r="AV15" s="154">
        <v>1.812306138520103E-2</v>
      </c>
      <c r="AW15" s="155">
        <v>1.812306138520103E-2</v>
      </c>
    </row>
    <row r="16" spans="1:49" s="29" customFormat="1" x14ac:dyDescent="0.2">
      <c r="A16" t="s">
        <v>61</v>
      </c>
      <c r="B16" s="41">
        <v>1000</v>
      </c>
      <c r="C16" s="42">
        <v>1000</v>
      </c>
      <c r="D16" s="41">
        <v>994.26041310663163</v>
      </c>
      <c r="E16" s="42">
        <v>992.59108977988217</v>
      </c>
      <c r="F16" s="41">
        <v>987.95741810314405</v>
      </c>
      <c r="G16" s="42">
        <v>984.63859337547603</v>
      </c>
      <c r="H16" s="41">
        <v>980.98980344171719</v>
      </c>
      <c r="I16" s="42">
        <v>976.04425825231056</v>
      </c>
      <c r="J16" s="41">
        <v>973.23248253533734</v>
      </c>
      <c r="K16" s="42">
        <v>966.68710703502177</v>
      </c>
      <c r="L16" s="41">
        <v>964.5291345563478</v>
      </c>
      <c r="M16" s="42">
        <v>956.41680090997386</v>
      </c>
      <c r="N16" s="41">
        <v>954.6799358754356</v>
      </c>
      <c r="O16" s="42">
        <v>945.04209716243781</v>
      </c>
      <c r="P16" s="41">
        <v>943.42428038502544</v>
      </c>
      <c r="Q16" s="42">
        <v>932.31511406961704</v>
      </c>
      <c r="R16" s="41">
        <v>930.41058725482264</v>
      </c>
      <c r="S16" s="42">
        <v>917.90308687280253</v>
      </c>
      <c r="T16" s="41">
        <v>915.14370937757315</v>
      </c>
      <c r="U16" s="42">
        <v>901.33914072994833</v>
      </c>
      <c r="V16" s="41">
        <v>896.88734163706158</v>
      </c>
      <c r="W16" s="42">
        <v>881.93002286723936</v>
      </c>
      <c r="X16" s="41">
        <v>874.470903554404</v>
      </c>
      <c r="Y16" s="42">
        <v>858.57184010228093</v>
      </c>
      <c r="Z16" s="41">
        <v>845.88630500634292</v>
      </c>
      <c r="AA16" s="42">
        <v>829.36140668040002</v>
      </c>
      <c r="AB16" s="41">
        <v>807.42779815038341</v>
      </c>
      <c r="AC16" s="42">
        <v>790.75666760979971</v>
      </c>
      <c r="AD16" s="41">
        <v>752.00848964827912</v>
      </c>
      <c r="AE16" s="42">
        <v>735.90706874875229</v>
      </c>
      <c r="AF16" s="41">
        <v>666.932110155391</v>
      </c>
      <c r="AG16" s="42">
        <v>652.39622959601513</v>
      </c>
      <c r="AH16" s="41">
        <v>533.99577023199288</v>
      </c>
      <c r="AI16" s="42">
        <v>522.29103082697497</v>
      </c>
      <c r="AJ16" s="41">
        <v>340.52955422926527</v>
      </c>
      <c r="AK16" s="42">
        <v>333.05684447610537</v>
      </c>
      <c r="AL16" s="41">
        <v>125.58105445510303</v>
      </c>
      <c r="AM16" s="42">
        <v>122.82480456947265</v>
      </c>
      <c r="AN16" s="41">
        <v>11.187853131512895</v>
      </c>
      <c r="AO16" s="42">
        <v>10.942297209929533</v>
      </c>
      <c r="AP16" s="41">
        <v>4.7197374894433359</v>
      </c>
      <c r="AQ16" s="42">
        <v>4.6161464818653801</v>
      </c>
      <c r="AR16" s="41">
        <v>1.5209187502757915</v>
      </c>
      <c r="AS16" s="42">
        <v>1.4875368775783488</v>
      </c>
      <c r="AT16" s="41">
        <v>0.30329996707444523</v>
      </c>
      <c r="AU16" s="42">
        <v>0.29664298342898648</v>
      </c>
      <c r="AV16" s="41">
        <v>1.9023164977032804E-2</v>
      </c>
      <c r="AW16" s="42">
        <v>1.8605634256085732E-2</v>
      </c>
    </row>
    <row r="17" spans="1:49" x14ac:dyDescent="0.2">
      <c r="A17" t="s">
        <v>62</v>
      </c>
      <c r="B17" s="35">
        <v>999.99999999999977</v>
      </c>
      <c r="C17" s="36">
        <v>999.99999999999977</v>
      </c>
      <c r="D17" s="35">
        <v>998.11368399125479</v>
      </c>
      <c r="E17" s="36">
        <v>1042.9926761928568</v>
      </c>
      <c r="F17" s="35">
        <v>996.12378628195108</v>
      </c>
      <c r="G17" s="36">
        <v>1092.2784366810661</v>
      </c>
      <c r="H17" s="35">
        <v>994.0117773802084</v>
      </c>
      <c r="I17" s="36">
        <v>1149.1567941837591</v>
      </c>
      <c r="J17" s="35">
        <v>991.75635598637427</v>
      </c>
      <c r="K17" s="36">
        <v>1215.3006855422748</v>
      </c>
      <c r="L17" s="35">
        <v>989.33406941347221</v>
      </c>
      <c r="M17" s="36">
        <v>1292.908782750316</v>
      </c>
      <c r="N17" s="35">
        <v>986.72000874304501</v>
      </c>
      <c r="O17" s="36">
        <v>1384.9514469859735</v>
      </c>
      <c r="P17" s="35">
        <v>983.89083344754761</v>
      </c>
      <c r="Q17" s="36">
        <v>1495.5673107650769</v>
      </c>
      <c r="R17" s="35">
        <v>980.82981449033855</v>
      </c>
      <c r="S17" s="36">
        <v>1630.7564488646976</v>
      </c>
      <c r="T17" s="35">
        <v>977.53717264977774</v>
      </c>
      <c r="U17" s="36">
        <v>1799.6455732521983</v>
      </c>
      <c r="V17" s="35">
        <v>974.05063029835367</v>
      </c>
      <c r="W17" s="36">
        <v>2016.9345080215676</v>
      </c>
      <c r="X17" s="35">
        <v>970.48650010729239</v>
      </c>
      <c r="Y17" s="36">
        <v>2307.9470179503874</v>
      </c>
      <c r="Z17" s="35">
        <v>967.1209576773947</v>
      </c>
      <c r="AA17" s="36">
        <v>2719.7284982054052</v>
      </c>
      <c r="AB17" s="35">
        <v>964.53025264600763</v>
      </c>
      <c r="AC17" s="36">
        <v>3346.3500100308288</v>
      </c>
      <c r="AD17" s="35">
        <v>963.70107957587277</v>
      </c>
      <c r="AE17" s="36">
        <v>4384.1429408179683</v>
      </c>
      <c r="AF17" s="35">
        <v>965.62955285433816</v>
      </c>
      <c r="AG17" s="36">
        <v>6229.9764641109477</v>
      </c>
      <c r="AH17" s="35">
        <v>970.19672847273546</v>
      </c>
      <c r="AI17" s="36">
        <v>9608.0287624749817</v>
      </c>
      <c r="AJ17" s="35">
        <v>976.14355516487592</v>
      </c>
      <c r="AK17" s="36">
        <v>15596.090796366641</v>
      </c>
      <c r="AL17" s="35">
        <v>982.03538953932969</v>
      </c>
      <c r="AM17" s="36">
        <v>24411.838010293832</v>
      </c>
      <c r="AN17" s="35">
        <v>985.77868744533816</v>
      </c>
      <c r="AO17" s="36">
        <v>31649.055861792371</v>
      </c>
      <c r="AP17" s="35">
        <v>986.10938299453767</v>
      </c>
      <c r="AQ17" s="36">
        <v>32346.404941854453</v>
      </c>
      <c r="AR17" s="35">
        <v>986.31614062858387</v>
      </c>
      <c r="AS17" s="36">
        <v>32787.3035911927</v>
      </c>
      <c r="AT17" s="35">
        <v>986.42421208284259</v>
      </c>
      <c r="AU17" s="36">
        <v>33019.432666532128</v>
      </c>
      <c r="AV17" s="35">
        <v>986.46436098020399</v>
      </c>
      <c r="AW17" s="36">
        <v>33106.061317863001</v>
      </c>
    </row>
    <row r="18" spans="1:49" x14ac:dyDescent="0.2">
      <c r="A18" t="s">
        <v>19</v>
      </c>
      <c r="B18" s="33">
        <v>27857.010133999996</v>
      </c>
      <c r="C18" s="34">
        <v>1236.7674480000003</v>
      </c>
      <c r="D18" s="33">
        <v>27889.445817160944</v>
      </c>
      <c r="E18" s="34">
        <v>1143.2604950602861</v>
      </c>
      <c r="F18" s="33">
        <v>27918.674685836431</v>
      </c>
      <c r="G18" s="34">
        <v>1049.2757367341101</v>
      </c>
      <c r="H18" s="33">
        <v>27944.063306078388</v>
      </c>
      <c r="I18" s="34">
        <v>954.80074263402935</v>
      </c>
      <c r="J18" s="33">
        <v>27964.790090044771</v>
      </c>
      <c r="K18" s="34">
        <v>859.84786651809657</v>
      </c>
      <c r="L18" s="33">
        <v>27979.758595151285</v>
      </c>
      <c r="M18" s="34">
        <v>764.48445148820622</v>
      </c>
      <c r="N18" s="33">
        <v>27987.466448499814</v>
      </c>
      <c r="O18" s="34">
        <v>668.85729384528383</v>
      </c>
      <c r="P18" s="33">
        <v>27985.785003729321</v>
      </c>
      <c r="Q18" s="34">
        <v>573.26114573036455</v>
      </c>
      <c r="R18" s="33">
        <v>27971.593212623997</v>
      </c>
      <c r="S18" s="34">
        <v>478.21796772998408</v>
      </c>
      <c r="T18" s="33">
        <v>27940.119311852537</v>
      </c>
      <c r="U18" s="34">
        <v>384.61664044053231</v>
      </c>
      <c r="V18" s="33">
        <v>27883.720112730272</v>
      </c>
      <c r="W18" s="34">
        <v>293.9259880625379</v>
      </c>
      <c r="X18" s="33">
        <v>27789.476018930764</v>
      </c>
      <c r="Y18" s="34">
        <v>208.52044732166354</v>
      </c>
      <c r="Z18" s="33">
        <v>27634.219684998086</v>
      </c>
      <c r="AA18" s="34">
        <v>132.12399084353646</v>
      </c>
      <c r="AB18" s="33">
        <v>27374.099507274717</v>
      </c>
      <c r="AC18" s="34">
        <v>70.090040091908122</v>
      </c>
      <c r="AD18" s="33">
        <v>26924.16478371718</v>
      </c>
      <c r="AE18" s="34">
        <v>28.198936970056391</v>
      </c>
      <c r="AF18" s="33">
        <v>26124.911821759706</v>
      </c>
      <c r="AG18" s="34">
        <v>7.7262698854365137</v>
      </c>
      <c r="AH18" s="33">
        <v>24681.853966266033</v>
      </c>
      <c r="AI18" s="34">
        <v>1.3890007052744351</v>
      </c>
      <c r="AJ18" s="33">
        <v>22017.322369713158</v>
      </c>
      <c r="AK18" s="34">
        <v>0.17984271047289471</v>
      </c>
      <c r="AL18" s="33">
        <v>17127.584727322319</v>
      </c>
      <c r="AM18" s="34">
        <v>2.2511545209754454E-2</v>
      </c>
      <c r="AN18" s="33">
        <v>9347.0197578445404</v>
      </c>
      <c r="AO18" s="34">
        <v>4.2081900061236143E-3</v>
      </c>
      <c r="AP18" s="33">
        <v>7532.2343679279866</v>
      </c>
      <c r="AQ18" s="34">
        <v>3.0984455419450388E-3</v>
      </c>
      <c r="AR18" s="33">
        <v>5674.7209016996894</v>
      </c>
      <c r="AS18" s="34">
        <v>2.2070084093049522E-3</v>
      </c>
      <c r="AT18" s="33">
        <v>3792.0348515404567</v>
      </c>
      <c r="AU18" s="34">
        <v>1.4323055263752073E-3</v>
      </c>
      <c r="AV18" s="33">
        <v>1897.6670740734965</v>
      </c>
      <c r="AW18" s="34">
        <v>7.0903594580421837E-4</v>
      </c>
    </row>
    <row r="19" spans="1:49" x14ac:dyDescent="0.2">
      <c r="A19" t="s">
        <v>3</v>
      </c>
      <c r="B19" s="41">
        <v>1886.3937399999918</v>
      </c>
      <c r="C19" s="42">
        <v>262.78711299999759</v>
      </c>
      <c r="D19" s="41">
        <v>1879.1917126361304</v>
      </c>
      <c r="E19" s="42">
        <v>274.8892317228599</v>
      </c>
      <c r="F19" s="41">
        <v>1871.243995364433</v>
      </c>
      <c r="G19" s="42">
        <v>289.01243548258003</v>
      </c>
      <c r="H19" s="41">
        <v>1862.4190449363637</v>
      </c>
      <c r="I19" s="42">
        <v>305.47995628475735</v>
      </c>
      <c r="J19" s="41">
        <v>1852.5606272405728</v>
      </c>
      <c r="K19" s="42">
        <v>324.6561685030544</v>
      </c>
      <c r="L19" s="41">
        <v>1841.4853538877005</v>
      </c>
      <c r="M19" s="42">
        <v>346.93641549393601</v>
      </c>
      <c r="N19" s="41">
        <v>1828.9798663071767</v>
      </c>
      <c r="O19" s="42">
        <v>372.73413038532624</v>
      </c>
      <c r="P19" s="41">
        <v>1814.8021666310253</v>
      </c>
      <c r="Q19" s="42">
        <v>402.42947162292626</v>
      </c>
      <c r="R19" s="41">
        <v>1798.686181865146</v>
      </c>
      <c r="S19" s="42">
        <v>436.28296047534377</v>
      </c>
      <c r="T19" s="41">
        <v>1780.35492732845</v>
      </c>
      <c r="U19" s="42">
        <v>474.26079759313353</v>
      </c>
      <c r="V19" s="41">
        <v>1759.5502576177121</v>
      </c>
      <c r="W19" s="42">
        <v>515.68492777476104</v>
      </c>
      <c r="X19" s="41">
        <v>1736.0917087760376</v>
      </c>
      <c r="Y19" s="42">
        <v>558.53590400831263</v>
      </c>
      <c r="Z19" s="41">
        <v>1709.9697571302283</v>
      </c>
      <c r="AA19" s="42">
        <v>598.08365898557122</v>
      </c>
      <c r="AB19" s="41">
        <v>1681.3645634304921</v>
      </c>
      <c r="AC19" s="42">
        <v>624.5717394988053</v>
      </c>
      <c r="AD19" s="41">
        <v>1649.7932963675057</v>
      </c>
      <c r="AE19" s="42">
        <v>621.56880551337588</v>
      </c>
      <c r="AF19" s="41">
        <v>1609.7017278068274</v>
      </c>
      <c r="AG19" s="42">
        <v>573.02979949983967</v>
      </c>
      <c r="AH19" s="41">
        <v>1540.6856394142776</v>
      </c>
      <c r="AI19" s="42">
        <v>481.64804372310061</v>
      </c>
      <c r="AJ19" s="41">
        <v>1397.5178779386392</v>
      </c>
      <c r="AK19" s="42">
        <v>367.46966494661547</v>
      </c>
      <c r="AL19" s="41">
        <v>1105.0360153311062</v>
      </c>
      <c r="AM19" s="42">
        <v>246.06939917209004</v>
      </c>
      <c r="AN19" s="41">
        <v>609.26351521241486</v>
      </c>
      <c r="AO19" s="42">
        <v>123.14824246122546</v>
      </c>
      <c r="AP19" s="41">
        <v>491.41367244398134</v>
      </c>
      <c r="AQ19" s="42">
        <v>98.5236163765518</v>
      </c>
      <c r="AR19" s="41">
        <v>370.4353934060058</v>
      </c>
      <c r="AS19" s="42">
        <v>73.894938084921733</v>
      </c>
      <c r="AT19" s="41">
        <v>247.60993849347651</v>
      </c>
      <c r="AU19" s="42">
        <v>49.2640430951109</v>
      </c>
      <c r="AV19" s="41">
        <v>123.92623021861918</v>
      </c>
      <c r="AW19" s="42">
        <v>24.632159116171099</v>
      </c>
    </row>
    <row r="20" spans="1:49" x14ac:dyDescent="0.2">
      <c r="A20" t="s">
        <v>127</v>
      </c>
      <c r="B20" s="82">
        <v>26548.356269999993</v>
      </c>
      <c r="C20" s="83">
        <v>1408.5418709999938</v>
      </c>
      <c r="D20" s="82">
        <v>26557.156148279373</v>
      </c>
      <c r="E20" s="83">
        <v>1338.1147774499941</v>
      </c>
      <c r="F20" s="82">
        <v>26561.501462612796</v>
      </c>
      <c r="G20" s="83">
        <v>1267.6876838999945</v>
      </c>
      <c r="H20" s="82">
        <v>26560.549015859073</v>
      </c>
      <c r="I20" s="83">
        <v>1197.2605903499946</v>
      </c>
      <c r="J20" s="82">
        <v>26553.238724151073</v>
      </c>
      <c r="K20" s="83">
        <v>1126.8334967999949</v>
      </c>
      <c r="L20" s="82">
        <v>26538.216606566813</v>
      </c>
      <c r="M20" s="83">
        <v>1056.4064032499953</v>
      </c>
      <c r="N20" s="82">
        <v>26513.721564272211</v>
      </c>
      <c r="O20" s="83">
        <v>985.97930969999561</v>
      </c>
      <c r="P20" s="82">
        <v>26477.412731698594</v>
      </c>
      <c r="Q20" s="83">
        <v>915.55221614999596</v>
      </c>
      <c r="R20" s="82">
        <v>26426.092210530227</v>
      </c>
      <c r="S20" s="83">
        <v>845.12512259999642</v>
      </c>
      <c r="T20" s="82">
        <v>26355.225933262987</v>
      </c>
      <c r="U20" s="83">
        <v>774.69802904999653</v>
      </c>
      <c r="V20" s="82">
        <v>26258.080186860065</v>
      </c>
      <c r="W20" s="83">
        <v>704.27093549999688</v>
      </c>
      <c r="X20" s="82">
        <v>26124.038000941775</v>
      </c>
      <c r="Y20" s="83">
        <v>633.84384194999734</v>
      </c>
      <c r="Z20" s="82">
        <v>25935.063625106086</v>
      </c>
      <c r="AA20" s="83">
        <v>563.41674839999757</v>
      </c>
      <c r="AB20" s="82">
        <v>25657.801568948998</v>
      </c>
      <c r="AC20" s="83">
        <v>492.98965484999775</v>
      </c>
      <c r="AD20" s="82">
        <v>25225.585061133042</v>
      </c>
      <c r="AE20" s="83">
        <v>422.56256129999804</v>
      </c>
      <c r="AF20" s="82">
        <v>24500.387949101059</v>
      </c>
      <c r="AG20" s="83">
        <v>352.13546774999827</v>
      </c>
      <c r="AH20" s="82">
        <v>23199.365858819237</v>
      </c>
      <c r="AI20" s="83">
        <v>281.70837419999856</v>
      </c>
      <c r="AJ20" s="82">
        <v>20754.574739018477</v>
      </c>
      <c r="AK20" s="83">
        <v>211.28128064999879</v>
      </c>
      <c r="AL20" s="82">
        <v>16190.407947707525</v>
      </c>
      <c r="AM20" s="83">
        <v>140.85418709999902</v>
      </c>
      <c r="AN20" s="82">
        <v>8850.9844013502607</v>
      </c>
      <c r="AO20" s="83">
        <v>70.427093549999285</v>
      </c>
      <c r="AP20" s="82">
        <v>7133.5974898012382</v>
      </c>
      <c r="AQ20" s="83">
        <v>56.341674839999335</v>
      </c>
      <c r="AR20" s="82">
        <v>5374.9042618814501</v>
      </c>
      <c r="AS20" s="83">
        <v>42.256256129999379</v>
      </c>
      <c r="AT20" s="82">
        <v>3591.8666135418271</v>
      </c>
      <c r="AU20" s="83">
        <v>28.170837419999433</v>
      </c>
      <c r="AV20" s="82">
        <v>1797.5291629883448</v>
      </c>
      <c r="AW20" s="83">
        <v>14.08541870999948</v>
      </c>
    </row>
    <row r="21" spans="1:49" x14ac:dyDescent="0.2">
      <c r="A21" t="s">
        <v>76</v>
      </c>
      <c r="B21" s="82">
        <v>24661.962529999968</v>
      </c>
      <c r="C21" s="83">
        <v>1145.7547579999991</v>
      </c>
      <c r="D21" s="82">
        <v>24677.973191529891</v>
      </c>
      <c r="E21" s="83">
        <v>1063.60351719818</v>
      </c>
      <c r="F21" s="82">
        <v>24690.29451272649</v>
      </c>
      <c r="G21" s="83">
        <v>980.33220338034687</v>
      </c>
      <c r="H21" s="82">
        <v>24698.218549885452</v>
      </c>
      <c r="I21" s="83">
        <v>895.88094054812359</v>
      </c>
      <c r="J21" s="82">
        <v>24700.846265019871</v>
      </c>
      <c r="K21" s="83">
        <v>810.22204300890496</v>
      </c>
      <c r="L21" s="82">
        <v>24697.013236608946</v>
      </c>
      <c r="M21" s="83">
        <v>723.38676082655229</v>
      </c>
      <c r="N21" s="82">
        <v>24685.179492527368</v>
      </c>
      <c r="O21" s="83">
        <v>635.49650964210048</v>
      </c>
      <c r="P21" s="82">
        <v>24663.255580376408</v>
      </c>
      <c r="Q21" s="83">
        <v>546.82662705348537</v>
      </c>
      <c r="R21" s="82">
        <v>24628.320317225447</v>
      </c>
      <c r="S21" s="83">
        <v>457.89171134670408</v>
      </c>
      <c r="T21" s="82">
        <v>24576.12689120034</v>
      </c>
      <c r="U21" s="83">
        <v>369.58025971298298</v>
      </c>
      <c r="V21" s="82">
        <v>24500.205345028422</v>
      </c>
      <c r="W21" s="83">
        <v>283.36619425847425</v>
      </c>
      <c r="X21" s="82">
        <v>24390.109943623469</v>
      </c>
      <c r="Y21" s="83">
        <v>201.62992497243687</v>
      </c>
      <c r="Z21" s="82">
        <v>24227.768492772258</v>
      </c>
      <c r="AA21" s="83">
        <v>128.09326761028476</v>
      </c>
      <c r="AB21" s="82">
        <v>23979.524350984095</v>
      </c>
      <c r="AC21" s="83">
        <v>68.100152619862115</v>
      </c>
      <c r="AD21" s="82">
        <v>23578.973296606498</v>
      </c>
      <c r="AE21" s="83">
        <v>27.443138609133669</v>
      </c>
      <c r="AF21" s="82">
        <v>22893.451378237314</v>
      </c>
      <c r="AG21" s="83">
        <v>7.5267713725034566</v>
      </c>
      <c r="AH21" s="82">
        <v>21660.640111925321</v>
      </c>
      <c r="AI21" s="83">
        <v>1.3537673424992629</v>
      </c>
      <c r="AJ21" s="82">
        <v>19358.173873569296</v>
      </c>
      <c r="AK21" s="83">
        <v>0.17530846481295345</v>
      </c>
      <c r="AL21" s="82">
        <v>15085.863290318928</v>
      </c>
      <c r="AM21" s="83">
        <v>2.1944856005878161E-2</v>
      </c>
      <c r="AN21" s="82">
        <v>8241.8886331576268</v>
      </c>
      <c r="AO21" s="83">
        <v>4.1022917639961321E-3</v>
      </c>
      <c r="AP21" s="82">
        <v>6642.3127616511229</v>
      </c>
      <c r="AQ21" s="83">
        <v>3.0204751534661312E-3</v>
      </c>
      <c r="AR21" s="82">
        <v>5004.5631344681524</v>
      </c>
      <c r="AS21" s="83">
        <v>2.1514710427084334E-3</v>
      </c>
      <c r="AT21" s="82">
        <v>3344.3186724903467</v>
      </c>
      <c r="AU21" s="83">
        <v>1.396263055028747E-3</v>
      </c>
      <c r="AV21" s="82">
        <v>1673.633774641183</v>
      </c>
      <c r="AW21" s="83">
        <v>6.9119383451424275E-4</v>
      </c>
    </row>
    <row r="22" spans="1:49" x14ac:dyDescent="0.2">
      <c r="A22" t="s">
        <v>28</v>
      </c>
      <c r="B22" s="41">
        <v>6533.6044688320644</v>
      </c>
      <c r="C22" s="42">
        <v>379.90788307663382</v>
      </c>
      <c r="D22" s="41">
        <v>6493.2923501672549</v>
      </c>
      <c r="E22" s="42">
        <v>358.26426507514316</v>
      </c>
      <c r="F22" s="41">
        <v>6449.0892811244348</v>
      </c>
      <c r="G22" s="42">
        <v>336.7018785247389</v>
      </c>
      <c r="H22" s="41">
        <v>6400.3363676250356</v>
      </c>
      <c r="I22" s="42">
        <v>315.23084138814932</v>
      </c>
      <c r="J22" s="41">
        <v>6346.2125236998709</v>
      </c>
      <c r="K22" s="42">
        <v>293.85916139240993</v>
      </c>
      <c r="L22" s="41">
        <v>6285.6708293417823</v>
      </c>
      <c r="M22" s="42">
        <v>272.59018317536487</v>
      </c>
      <c r="N22" s="41">
        <v>6217.3448685507929</v>
      </c>
      <c r="O22" s="42">
        <v>251.41773468363911</v>
      </c>
      <c r="P22" s="41">
        <v>6139.3880401637844</v>
      </c>
      <c r="Q22" s="42">
        <v>230.3211121751649</v>
      </c>
      <c r="R22" s="41">
        <v>6049.2124251372388</v>
      </c>
      <c r="S22" s="42">
        <v>209.25652400969315</v>
      </c>
      <c r="T22" s="41">
        <v>5943.0202486711878</v>
      </c>
      <c r="U22" s="42">
        <v>188.14519380550936</v>
      </c>
      <c r="V22" s="41">
        <v>5814.9462377143991</v>
      </c>
      <c r="W22" s="42">
        <v>166.85818224379994</v>
      </c>
      <c r="X22" s="41">
        <v>5655.4086283475945</v>
      </c>
      <c r="Y22" s="42">
        <v>145.19950927404028</v>
      </c>
      <c r="Z22" s="41">
        <v>5447.8449105069021</v>
      </c>
      <c r="AA22" s="42">
        <v>122.90178451842154</v>
      </c>
      <c r="AB22" s="41">
        <v>5162.4619171157337</v>
      </c>
      <c r="AC22" s="42">
        <v>99.695352232808432</v>
      </c>
      <c r="AD22" s="41">
        <v>4746.6773323675925</v>
      </c>
      <c r="AE22" s="42">
        <v>75.625052897781202</v>
      </c>
      <c r="AF22" s="41">
        <v>4120.5934485184989</v>
      </c>
      <c r="AG22" s="42">
        <v>51.737765998863537</v>
      </c>
      <c r="AH22" s="41">
        <v>3197.479374794571</v>
      </c>
      <c r="AI22" s="42">
        <v>30.28743205095294</v>
      </c>
      <c r="AJ22" s="41">
        <v>1959.2931646771174</v>
      </c>
      <c r="AK22" s="42">
        <v>13.667733429932728</v>
      </c>
      <c r="AL22" s="41">
        <v>693.12854908672102</v>
      </c>
      <c r="AM22" s="42">
        <v>3.6640190956115259</v>
      </c>
      <c r="AN22" s="41">
        <v>60.136094434814368</v>
      </c>
      <c r="AO22" s="42">
        <v>0.271250679998495</v>
      </c>
      <c r="AP22" s="41">
        <v>25.310680696199178</v>
      </c>
      <c r="AQ22" s="42">
        <v>0.11266610156802248</v>
      </c>
      <c r="AR22" s="41">
        <v>8.144543197235814</v>
      </c>
      <c r="AS22" s="42">
        <v>3.5957773793495809E-2</v>
      </c>
      <c r="AT22" s="41">
        <v>1.622955999698092</v>
      </c>
      <c r="AU22" s="42">
        <v>7.1347572783624471E-3</v>
      </c>
      <c r="AV22" s="41">
        <v>0.10176448841071739</v>
      </c>
      <c r="AW22" s="42">
        <v>4.4666472229207694E-4</v>
      </c>
    </row>
    <row r="23" spans="1:49" x14ac:dyDescent="0.2">
      <c r="A23" t="s">
        <v>7</v>
      </c>
      <c r="B23" s="116">
        <v>3278.5018080150408</v>
      </c>
      <c r="C23" s="8">
        <v>0</v>
      </c>
      <c r="D23" s="116">
        <v>3285.5770730405297</v>
      </c>
      <c r="E23" s="8">
        <v>0</v>
      </c>
      <c r="F23" s="116">
        <v>3292.184316533685</v>
      </c>
      <c r="G23" s="8">
        <v>0</v>
      </c>
      <c r="H23" s="116">
        <v>3298.2196407416845</v>
      </c>
      <c r="I23" s="8">
        <v>0</v>
      </c>
      <c r="J23" s="116">
        <v>3303.5507650268432</v>
      </c>
      <c r="K23" s="8">
        <v>0</v>
      </c>
      <c r="L23" s="116">
        <v>3308.0069883560768</v>
      </c>
      <c r="M23" s="8">
        <v>0</v>
      </c>
      <c r="N23" s="116">
        <v>3311.3663552833568</v>
      </c>
      <c r="O23" s="8">
        <v>0</v>
      </c>
      <c r="P23" s="116">
        <v>3313.3353608520479</v>
      </c>
      <c r="Q23" s="8">
        <v>0</v>
      </c>
      <c r="R23" s="116">
        <v>3313.5196274204741</v>
      </c>
      <c r="S23" s="8">
        <v>0</v>
      </c>
      <c r="T23" s="116">
        <v>3311.3740941025294</v>
      </c>
      <c r="U23" s="8">
        <v>0</v>
      </c>
      <c r="V23" s="116">
        <v>3306.1161879008141</v>
      </c>
      <c r="W23" s="8">
        <v>0</v>
      </c>
      <c r="X23" s="116">
        <v>3296.5561820898793</v>
      </c>
      <c r="Y23" s="8">
        <v>0</v>
      </c>
      <c r="Z23" s="116">
        <v>3280.7225367191613</v>
      </c>
      <c r="AA23" s="8">
        <v>0</v>
      </c>
      <c r="AB23" s="116">
        <v>3254.9217038694528</v>
      </c>
      <c r="AC23" s="8">
        <v>0</v>
      </c>
      <c r="AD23" s="116">
        <v>3211.1420101403482</v>
      </c>
      <c r="AE23" s="8">
        <v>0</v>
      </c>
      <c r="AF23" s="116">
        <v>3130.3261402407402</v>
      </c>
      <c r="AG23" s="8">
        <v>0</v>
      </c>
      <c r="AH23" s="116">
        <v>2969.2339965501392</v>
      </c>
      <c r="AI23" s="8">
        <v>0</v>
      </c>
      <c r="AJ23" s="116">
        <v>2643.0758680961439</v>
      </c>
      <c r="AK23" s="8">
        <v>0</v>
      </c>
      <c r="AL23" s="116">
        <v>2029.5920112703766</v>
      </c>
      <c r="AM23" s="8">
        <v>0</v>
      </c>
      <c r="AN23" s="116">
        <v>1091.1992883081916</v>
      </c>
      <c r="AO23" s="8">
        <v>0</v>
      </c>
      <c r="AP23" s="116">
        <v>877.95705984287986</v>
      </c>
      <c r="AQ23" s="8">
        <v>0</v>
      </c>
      <c r="AR23" s="116">
        <v>660.78343338322645</v>
      </c>
      <c r="AS23" s="8">
        <v>0</v>
      </c>
      <c r="AT23" s="116">
        <v>441.32346405462636</v>
      </c>
      <c r="AU23" s="8">
        <v>0</v>
      </c>
      <c r="AV23" s="116">
        <v>220.81004728600291</v>
      </c>
      <c r="AW23" s="8">
        <v>0</v>
      </c>
    </row>
    <row r="24" spans="1:49" x14ac:dyDescent="0.2">
      <c r="A24" t="s">
        <v>8</v>
      </c>
      <c r="B24" s="97">
        <v>3196.3846373657216</v>
      </c>
      <c r="C24" s="8">
        <v>0</v>
      </c>
      <c r="D24" s="97">
        <v>3248.0754767360122</v>
      </c>
      <c r="E24" s="8">
        <v>0</v>
      </c>
      <c r="F24" s="97">
        <v>3301.4750904046959</v>
      </c>
      <c r="G24" s="8">
        <v>0</v>
      </c>
      <c r="H24" s="97">
        <v>3356.8476001250892</v>
      </c>
      <c r="I24" s="8">
        <v>0</v>
      </c>
      <c r="J24" s="97">
        <v>3414.5213999790062</v>
      </c>
      <c r="K24" s="8">
        <v>0</v>
      </c>
      <c r="L24" s="97">
        <v>3474.9176552367644</v>
      </c>
      <c r="M24" s="8">
        <v>0</v>
      </c>
      <c r="N24" s="97">
        <v>3538.6051505496393</v>
      </c>
      <c r="O24" s="8">
        <v>0</v>
      </c>
      <c r="P24" s="97">
        <v>3606.388121909878</v>
      </c>
      <c r="Q24" s="8">
        <v>0</v>
      </c>
      <c r="R24" s="97">
        <v>3679.4712053720855</v>
      </c>
      <c r="S24" s="8">
        <v>0</v>
      </c>
      <c r="T24" s="97">
        <v>3759.7674085163485</v>
      </c>
      <c r="U24" s="8">
        <v>0</v>
      </c>
      <c r="V24" s="97">
        <v>3850.4860002899563</v>
      </c>
      <c r="W24" s="8">
        <v>0</v>
      </c>
      <c r="X24" s="97">
        <v>3957.2949826880972</v>
      </c>
      <c r="Y24" s="8">
        <v>0</v>
      </c>
      <c r="Z24" s="97">
        <v>4090.6097653340521</v>
      </c>
      <c r="AA24" s="8">
        <v>0</v>
      </c>
      <c r="AB24" s="97">
        <v>4269.6657112446164</v>
      </c>
      <c r="AC24" s="8">
        <v>0</v>
      </c>
      <c r="AD24" s="97">
        <v>4526.5733059824297</v>
      </c>
      <c r="AE24" s="8">
        <v>0</v>
      </c>
      <c r="AF24" s="97">
        <v>4896.7418416125656</v>
      </c>
      <c r="AG24" s="8">
        <v>0</v>
      </c>
      <c r="AH24" s="97">
        <v>5368.0431115827105</v>
      </c>
      <c r="AI24" s="8">
        <v>0</v>
      </c>
      <c r="AJ24" s="97">
        <v>5750.5063881042333</v>
      </c>
      <c r="AK24" s="8">
        <v>0</v>
      </c>
      <c r="AL24" s="97">
        <v>5378.3302033496548</v>
      </c>
      <c r="AM24" s="8">
        <v>0</v>
      </c>
      <c r="AN24" s="97">
        <v>3285.7782296000842</v>
      </c>
      <c r="AO24" s="8">
        <v>0</v>
      </c>
      <c r="AP24" s="97">
        <v>2673.4913313344555</v>
      </c>
      <c r="AQ24" s="8">
        <v>0</v>
      </c>
      <c r="AR24" s="97">
        <v>2026.308285387096</v>
      </c>
      <c r="AS24" s="8">
        <v>0</v>
      </c>
      <c r="AT24" s="97">
        <v>1358.286275668891</v>
      </c>
      <c r="AU24" s="8">
        <v>0</v>
      </c>
      <c r="AV24" s="97">
        <v>680.52294254160347</v>
      </c>
      <c r="AW24" s="8">
        <v>0</v>
      </c>
    </row>
    <row r="25" spans="1:49" x14ac:dyDescent="0.2">
      <c r="A25" t="s">
        <v>0</v>
      </c>
      <c r="B25" s="41">
        <v>3195.0476040000012</v>
      </c>
      <c r="C25" s="42">
        <v>91.012690000004397</v>
      </c>
      <c r="D25" s="41">
        <v>3211.4583990091328</v>
      </c>
      <c r="E25" s="42">
        <v>79.58981559227351</v>
      </c>
      <c r="F25" s="41">
        <v>3228.3196797431915</v>
      </c>
      <c r="G25" s="42">
        <v>68.685976971477288</v>
      </c>
      <c r="H25" s="41">
        <v>3245.6991902334121</v>
      </c>
      <c r="I25" s="42">
        <v>58.364732646495021</v>
      </c>
      <c r="J25" s="41">
        <v>3263.665560466924</v>
      </c>
      <c r="K25" s="42">
        <v>48.692320232892875</v>
      </c>
      <c r="L25" s="41">
        <v>3282.2753601483037</v>
      </c>
      <c r="M25" s="42">
        <v>39.737195680693617</v>
      </c>
      <c r="N25" s="41">
        <v>3301.551428934572</v>
      </c>
      <c r="O25" s="42">
        <v>31.56721204375545</v>
      </c>
      <c r="P25" s="41">
        <v>3321.4363208984828</v>
      </c>
      <c r="Q25" s="42">
        <v>24.249115146959134</v>
      </c>
      <c r="R25" s="41">
        <v>3341.7087911590634</v>
      </c>
      <c r="S25" s="42">
        <v>17.84540362152363</v>
      </c>
      <c r="T25" s="41">
        <v>3361.821908905732</v>
      </c>
      <c r="U25" s="42">
        <v>12.411402694883863</v>
      </c>
      <c r="V25" s="41">
        <v>3380.5875313210795</v>
      </c>
      <c r="W25" s="42">
        <v>7.9909143444831505</v>
      </c>
      <c r="X25" s="41">
        <v>3395.5432426221073</v>
      </c>
      <c r="Y25" s="42">
        <v>4.608645515945522</v>
      </c>
      <c r="Z25" s="41">
        <v>3401.6749623533856</v>
      </c>
      <c r="AA25" s="42">
        <v>2.2551480324097044</v>
      </c>
      <c r="AB25" s="41">
        <v>3389.0162509204706</v>
      </c>
      <c r="AC25" s="42">
        <v>0.85545564101178673</v>
      </c>
      <c r="AD25" s="41">
        <v>3339.4477999875016</v>
      </c>
      <c r="AE25" s="42">
        <v>0.21936776015411599</v>
      </c>
      <c r="AF25" s="41">
        <v>3226.4990728483876</v>
      </c>
      <c r="AG25" s="42">
        <v>3.281640951543429E-2</v>
      </c>
      <c r="AH25" s="41">
        <v>3017.747865587894</v>
      </c>
      <c r="AI25" s="42">
        <v>2.73034527649754E-3</v>
      </c>
      <c r="AJ25" s="41">
        <v>2657.2096008600352</v>
      </c>
      <c r="AK25" s="42">
        <v>1.4566658929424266E-4</v>
      </c>
      <c r="AL25" s="41">
        <v>2040.8839739834052</v>
      </c>
      <c r="AM25" s="42">
        <v>7.8838235241430664E-6</v>
      </c>
      <c r="AN25" s="41">
        <v>1104.8484852180425</v>
      </c>
      <c r="AO25" s="42">
        <v>9.0072492654480355E-7</v>
      </c>
      <c r="AP25" s="41">
        <v>889.70456555046826</v>
      </c>
      <c r="AQ25" s="42">
        <v>6.3622276990908325E-7</v>
      </c>
      <c r="AR25" s="41">
        <v>669.999197639621</v>
      </c>
      <c r="AS25" s="42">
        <v>4.4163389136917931E-7</v>
      </c>
      <c r="AT25" s="41">
        <v>447.61192445390594</v>
      </c>
      <c r="AU25" s="42">
        <v>2.8278236610982968E-7</v>
      </c>
      <c r="AV25" s="41">
        <v>223.9814422582802</v>
      </c>
      <c r="AW25" s="42">
        <v>1.3928842288043333E-7</v>
      </c>
    </row>
    <row r="26" spans="1:49" x14ac:dyDescent="0.2">
      <c r="A26" t="s">
        <v>27</v>
      </c>
      <c r="B26" s="33">
        <v>5036.2953101960647</v>
      </c>
      <c r="C26" s="34">
        <v>74.905331803938267</v>
      </c>
      <c r="D26" s="33">
        <v>5041.9278685730051</v>
      </c>
      <c r="E26" s="34">
        <v>69.272773426996153</v>
      </c>
      <c r="F26" s="33">
        <v>5047.5804950401043</v>
      </c>
      <c r="G26" s="34">
        <v>63.620146959899451</v>
      </c>
      <c r="H26" s="33">
        <v>5053.254850534111</v>
      </c>
      <c r="I26" s="34">
        <v>57.945791465888206</v>
      </c>
      <c r="J26" s="33">
        <v>5058.9515809170862</v>
      </c>
      <c r="K26" s="34">
        <v>52.24906108292226</v>
      </c>
      <c r="L26" s="33">
        <v>5064.668654085689</v>
      </c>
      <c r="M26" s="34">
        <v>46.531987914305745</v>
      </c>
      <c r="N26" s="33">
        <v>5070.4000615212526</v>
      </c>
      <c r="O26" s="34">
        <v>40.800580478754426</v>
      </c>
      <c r="P26" s="33">
        <v>5076.1319178543199</v>
      </c>
      <c r="Q26" s="34">
        <v>35.068724145694468</v>
      </c>
      <c r="R26" s="33">
        <v>5081.8378766261158</v>
      </c>
      <c r="S26" s="34">
        <v>29.362765373890195</v>
      </c>
      <c r="T26" s="33">
        <v>5087.4708751330354</v>
      </c>
      <c r="U26" s="34">
        <v>23.729766866972334</v>
      </c>
      <c r="V26" s="33">
        <v>5092.9502066233799</v>
      </c>
      <c r="W26" s="34">
        <v>18.250435376626104</v>
      </c>
      <c r="X26" s="33">
        <v>5098.1411421574594</v>
      </c>
      <c r="Y26" s="34">
        <v>13.059499842543509</v>
      </c>
      <c r="Z26" s="33">
        <v>5102.8256950098639</v>
      </c>
      <c r="AA26" s="34">
        <v>8.3749469901408222</v>
      </c>
      <c r="AB26" s="33">
        <v>5106.6793334028307</v>
      </c>
      <c r="AC26" s="34">
        <v>4.5213085971726414</v>
      </c>
      <c r="AD26" s="33">
        <v>5109.3323960116331</v>
      </c>
      <c r="AE26" s="34">
        <v>1.8682459883711657</v>
      </c>
      <c r="AF26" s="33">
        <v>5110.6669435992526</v>
      </c>
      <c r="AG26" s="34">
        <v>0.53369840074891084</v>
      </c>
      <c r="AH26" s="33">
        <v>5111.098241315568</v>
      </c>
      <c r="AI26" s="34">
        <v>0.10240068443788476</v>
      </c>
      <c r="AJ26" s="33">
        <v>5111.1859540779215</v>
      </c>
      <c r="AK26" s="34">
        <v>1.468792208471589E-2</v>
      </c>
      <c r="AL26" s="33">
        <v>5111.1984614389803</v>
      </c>
      <c r="AM26" s="34">
        <v>2.1805610278500687E-3</v>
      </c>
      <c r="AN26" s="33">
        <v>5111.2000750034058</v>
      </c>
      <c r="AO26" s="34">
        <v>5.6699660041256705E-4</v>
      </c>
      <c r="AP26" s="33">
        <v>5111.2001758685292</v>
      </c>
      <c r="AQ26" s="34">
        <v>4.6613147596849812E-4</v>
      </c>
      <c r="AR26" s="33">
        <v>5111.2002589254153</v>
      </c>
      <c r="AS26" s="34">
        <v>3.8307458903374882E-4</v>
      </c>
      <c r="AT26" s="33">
        <v>5111.2003376472912</v>
      </c>
      <c r="AU26" s="34">
        <v>3.043527124236513E-4</v>
      </c>
      <c r="AV26" s="33">
        <v>5111.2004289620072</v>
      </c>
      <c r="AW26" s="34">
        <v>2.1303799388469101E-4</v>
      </c>
    </row>
    <row r="27" spans="1:49" x14ac:dyDescent="0.2">
      <c r="A27" t="s">
        <v>2</v>
      </c>
      <c r="B27" s="35">
        <v>6425.1981590000069</v>
      </c>
      <c r="C27" s="36">
        <v>273.22915400000028</v>
      </c>
      <c r="D27" s="35">
        <v>6445.486575451986</v>
      </c>
      <c r="E27" s="36">
        <v>252.94072097183124</v>
      </c>
      <c r="F27" s="35">
        <v>6465.8893780038152</v>
      </c>
      <c r="G27" s="36">
        <v>232.53793487484612</v>
      </c>
      <c r="H27" s="35">
        <v>6486.4129762893099</v>
      </c>
      <c r="I27" s="36">
        <v>212.01433655386055</v>
      </c>
      <c r="J27" s="35">
        <v>6507.0601837058412</v>
      </c>
      <c r="K27" s="36">
        <v>191.36709218654275</v>
      </c>
      <c r="L27" s="35">
        <v>6527.8242061752735</v>
      </c>
      <c r="M27" s="36">
        <v>170.60310662819435</v>
      </c>
      <c r="N27" s="35">
        <v>6548.6835234946529</v>
      </c>
      <c r="O27" s="36">
        <v>149.74378920013163</v>
      </c>
      <c r="P27" s="35">
        <v>6569.5877474905274</v>
      </c>
      <c r="Q27" s="36">
        <v>128.83954775634945</v>
      </c>
      <c r="R27" s="35">
        <v>6590.4405678736257</v>
      </c>
      <c r="S27" s="36">
        <v>107.98673064231811</v>
      </c>
      <c r="T27" s="35">
        <v>6611.0688422680414</v>
      </c>
      <c r="U27" s="36">
        <v>87.358457761571742</v>
      </c>
      <c r="V27" s="35">
        <v>6631.1745018308638</v>
      </c>
      <c r="W27" s="36">
        <v>67.25280509732373</v>
      </c>
      <c r="X27" s="35">
        <v>6650.2584395790927</v>
      </c>
      <c r="Y27" s="36">
        <v>48.168873486295595</v>
      </c>
      <c r="Z27" s="35">
        <v>6667.5111726533178</v>
      </c>
      <c r="AA27" s="36">
        <v>30.916139180881586</v>
      </c>
      <c r="AB27" s="35">
        <v>6681.7254144289618</v>
      </c>
      <c r="AC27" s="36">
        <v>16.701897768157338</v>
      </c>
      <c r="AD27" s="35">
        <v>6691.5226682773127</v>
      </c>
      <c r="AE27" s="36">
        <v>6.9046421271795255</v>
      </c>
      <c r="AF27" s="35">
        <v>6696.454407177479</v>
      </c>
      <c r="AG27" s="36">
        <v>1.9729052873343229</v>
      </c>
      <c r="AH27" s="35">
        <v>6698.0487428227998</v>
      </c>
      <c r="AI27" s="36">
        <v>0.37857027451742076</v>
      </c>
      <c r="AJ27" s="35">
        <v>6698.3730116774041</v>
      </c>
      <c r="AK27" s="36">
        <v>5.4301366956123025E-2</v>
      </c>
      <c r="AL27" s="35">
        <v>6698.4192318529731</v>
      </c>
      <c r="AM27" s="36">
        <v>8.0615722439843582E-3</v>
      </c>
      <c r="AN27" s="35">
        <v>6698.4258504153959</v>
      </c>
      <c r="AO27" s="36">
        <v>2.0961966207714896E-3</v>
      </c>
      <c r="AP27" s="35">
        <v>6698.4254080900973</v>
      </c>
      <c r="AQ27" s="36">
        <v>1.7232964221451667E-3</v>
      </c>
      <c r="AR27" s="35">
        <v>6698.4233574786222</v>
      </c>
      <c r="AS27" s="36">
        <v>1.4162334879382983E-3</v>
      </c>
      <c r="AT27" s="35">
        <v>6698.422227571783</v>
      </c>
      <c r="AU27" s="36">
        <v>1.1251972620893406E-3</v>
      </c>
      <c r="AV27" s="35">
        <v>6698.4290751900917</v>
      </c>
      <c r="AW27" s="36">
        <v>7.87605420372584E-4</v>
      </c>
    </row>
    <row r="28" spans="1:49" x14ac:dyDescent="0.2">
      <c r="A28" t="s">
        <v>35</v>
      </c>
      <c r="B28" s="41">
        <v>13763.097676000023</v>
      </c>
      <c r="C28" s="42">
        <v>382.36647899999997</v>
      </c>
      <c r="D28" s="41">
        <v>13791.569060443071</v>
      </c>
      <c r="E28" s="42">
        <v>353.87113990460188</v>
      </c>
      <c r="F28" s="41">
        <v>13820.136265930696</v>
      </c>
      <c r="G28" s="42">
        <v>325.23178780673192</v>
      </c>
      <c r="H28" s="41">
        <v>13848.807438035177</v>
      </c>
      <c r="I28" s="42">
        <v>296.43966198618841</v>
      </c>
      <c r="J28" s="41">
        <v>13877.585621570181</v>
      </c>
      <c r="K28" s="42">
        <v>267.49110893038886</v>
      </c>
      <c r="L28" s="41">
        <v>13906.460438376025</v>
      </c>
      <c r="M28" s="42">
        <v>238.39611901595148</v>
      </c>
      <c r="N28" s="41">
        <v>13935.401263742464</v>
      </c>
      <c r="O28" s="42">
        <v>209.18498477233123</v>
      </c>
      <c r="P28" s="41">
        <v>13964.337807129099</v>
      </c>
      <c r="Q28" s="42">
        <v>179.92847606923496</v>
      </c>
      <c r="R28" s="41">
        <v>13993.137037813161</v>
      </c>
      <c r="S28" s="42">
        <v>150.76145896691401</v>
      </c>
      <c r="T28" s="41">
        <v>14021.561430385049</v>
      </c>
      <c r="U28" s="42">
        <v>121.92574443988931</v>
      </c>
      <c r="V28" s="41">
        <v>14049.204006412183</v>
      </c>
      <c r="W28" s="42">
        <v>93.837090515968583</v>
      </c>
      <c r="X28" s="41">
        <v>14075.385742147047</v>
      </c>
      <c r="Y28" s="42">
        <v>67.190927882890506</v>
      </c>
      <c r="Z28" s="41">
        <v>14099.008361518563</v>
      </c>
      <c r="AA28" s="42">
        <v>43.114248103198221</v>
      </c>
      <c r="AB28" s="41">
        <v>14118.437334351642</v>
      </c>
      <c r="AC28" s="42">
        <v>23.286911140697871</v>
      </c>
      <c r="AD28" s="41">
        <v>14131.811405576564</v>
      </c>
      <c r="AE28" s="42">
        <v>9.6255487050504875</v>
      </c>
      <c r="AF28" s="41">
        <v>14138.538256246666</v>
      </c>
      <c r="AG28" s="42">
        <v>2.7501697083967982</v>
      </c>
      <c r="AH28" s="41">
        <v>14140.71214655344</v>
      </c>
      <c r="AI28" s="42">
        <v>0.52770320864554254</v>
      </c>
      <c r="AJ28" s="41">
        <v>14141.154243969197</v>
      </c>
      <c r="AK28" s="42">
        <v>7.5692343865887857E-2</v>
      </c>
      <c r="AL28" s="41">
        <v>14141.217265814963</v>
      </c>
      <c r="AM28" s="42">
        <v>1.1237264662283827E-2</v>
      </c>
      <c r="AN28" s="41">
        <v>14141.226020903432</v>
      </c>
      <c r="AO28" s="42">
        <v>2.9219505283804687E-3</v>
      </c>
      <c r="AP28" s="41">
        <v>14141.225752639079</v>
      </c>
      <c r="AQ28" s="42">
        <v>2.4021539104777711E-3</v>
      </c>
      <c r="AR28" s="41">
        <v>14141.223925149336</v>
      </c>
      <c r="AS28" s="42">
        <v>1.9741298506330851E-3</v>
      </c>
      <c r="AT28" s="41">
        <v>14141.222968218553</v>
      </c>
      <c r="AU28" s="42">
        <v>1.5684458531978044E-3</v>
      </c>
      <c r="AV28" s="41">
        <v>14141.229630467669</v>
      </c>
      <c r="AW28" s="42">
        <v>1.0978664587978474E-3</v>
      </c>
    </row>
    <row r="29" spans="1:49" x14ac:dyDescent="0.2">
      <c r="A29" t="s">
        <v>53</v>
      </c>
      <c r="B29" s="35">
        <v>14362.768558000025</v>
      </c>
      <c r="C29" s="36">
        <v>817.26650999999993</v>
      </c>
      <c r="D29" s="35">
        <v>14378.569578044564</v>
      </c>
      <c r="E29" s="36">
        <v>751.69242723454499</v>
      </c>
      <c r="F29" s="35">
        <v>14392.642047101908</v>
      </c>
      <c r="G29" s="36">
        <v>686.19067843138373</v>
      </c>
      <c r="H29" s="35">
        <v>14404.645929720053</v>
      </c>
      <c r="I29" s="36">
        <v>620.80681809690304</v>
      </c>
      <c r="J29" s="35">
        <v>14414.141679460525</v>
      </c>
      <c r="K29" s="36">
        <v>555.60803148167417</v>
      </c>
      <c r="L29" s="35">
        <v>14420.544904824077</v>
      </c>
      <c r="M29" s="36">
        <v>490.70217810794287</v>
      </c>
      <c r="N29" s="35">
        <v>14423.060122708537</v>
      </c>
      <c r="O29" s="36">
        <v>426.25204387262079</v>
      </c>
      <c r="P29" s="35">
        <v>14420.567446099736</v>
      </c>
      <c r="Q29" s="36">
        <v>362.51700855234532</v>
      </c>
      <c r="R29" s="35">
        <v>14411.437538280521</v>
      </c>
      <c r="S29" s="36">
        <v>299.89911776743543</v>
      </c>
      <c r="T29" s="35">
        <v>14393.199784649962</v>
      </c>
      <c r="U29" s="36">
        <v>239.0242492623947</v>
      </c>
      <c r="V29" s="35">
        <v>14361.929146458515</v>
      </c>
      <c r="W29" s="36">
        <v>180.86361869853062</v>
      </c>
      <c r="X29" s="35">
        <v>14311.04153749611</v>
      </c>
      <c r="Y29" s="36">
        <v>126.91512448986661</v>
      </c>
      <c r="Z29" s="35">
        <v>14228.802069027637</v>
      </c>
      <c r="AA29" s="36">
        <v>79.438674901777503</v>
      </c>
      <c r="AB29" s="35">
        <v>14093.0684598027</v>
      </c>
      <c r="AC29" s="36">
        <v>41.560399556945271</v>
      </c>
      <c r="AD29" s="35">
        <v>13860.851246073817</v>
      </c>
      <c r="AE29" s="36">
        <v>16.459880214928859</v>
      </c>
      <c r="AF29" s="35">
        <v>13450.680326564992</v>
      </c>
      <c r="AG29" s="36">
        <v>4.433497977214139</v>
      </c>
      <c r="AH29" s="35">
        <v>12710.503505307126</v>
      </c>
      <c r="AI29" s="36">
        <v>0.78376056819372608</v>
      </c>
      <c r="AJ29" s="35">
        <v>11341.411526797496</v>
      </c>
      <c r="AK29" s="36">
        <v>0.10002848024956025</v>
      </c>
      <c r="AL29" s="35">
        <v>8824.8638076378375</v>
      </c>
      <c r="AM29" s="36">
        <v>1.2395247437810848E-2</v>
      </c>
      <c r="AN29" s="35">
        <v>4816.7140755566988</v>
      </c>
      <c r="AO29" s="36">
        <v>2.3062172589782713E-3</v>
      </c>
      <c r="AP29" s="35">
        <v>3881.5681346523611</v>
      </c>
      <c r="AQ29" s="36">
        <v>1.6974282124118522E-3</v>
      </c>
      <c r="AR29" s="35">
        <v>2924.3640612800659</v>
      </c>
      <c r="AS29" s="36">
        <v>1.2088011408806414E-3</v>
      </c>
      <c r="AT29" s="35">
        <v>1954.1644127432392</v>
      </c>
      <c r="AU29" s="36">
        <v>7.8439800481761273E-4</v>
      </c>
      <c r="AV29" s="35">
        <v>977.93387139427557</v>
      </c>
      <c r="AW29" s="36">
        <v>3.8828492398260698E-4</v>
      </c>
    </row>
    <row r="30" spans="1:49" x14ac:dyDescent="0.2">
      <c r="A30" t="s">
        <v>48</v>
      </c>
      <c r="B30" s="119">
        <v>2924829.9599999995</v>
      </c>
      <c r="D30" s="119">
        <v>3001725.1866811924</v>
      </c>
      <c r="F30" s="119">
        <v>3081177.5752429306</v>
      </c>
      <c r="H30" s="119">
        <v>3163596.4446756085</v>
      </c>
      <c r="J30" s="119">
        <v>3249495.1829965734</v>
      </c>
      <c r="L30" s="119">
        <v>3339540.5702514024</v>
      </c>
      <c r="N30" s="119">
        <v>3434660.3002093593</v>
      </c>
      <c r="P30" s="119">
        <v>3536197.8428656743</v>
      </c>
      <c r="R30" s="119">
        <v>3646225.713672698</v>
      </c>
      <c r="T30" s="119">
        <v>3768122.8660488334</v>
      </c>
      <c r="V30" s="119">
        <v>3907687.845494817</v>
      </c>
      <c r="X30" s="119">
        <v>4075363.1770094633</v>
      </c>
      <c r="Z30" s="119">
        <v>4290703.8333851518</v>
      </c>
      <c r="AB30" s="119">
        <v>4590698.8187931571</v>
      </c>
      <c r="AD30" s="119">
        <v>5039874.256187899</v>
      </c>
      <c r="AF30" s="119">
        <v>5719668.1472929139</v>
      </c>
      <c r="AH30" s="119">
        <v>6649317.1017669197</v>
      </c>
      <c r="AJ30" s="119">
        <v>7576901.6032360904</v>
      </c>
      <c r="AL30" s="119">
        <v>7469617.4045399465</v>
      </c>
      <c r="AN30" s="119">
        <v>4695964.2520971699</v>
      </c>
      <c r="AP30" s="119">
        <v>3829860.4266090645</v>
      </c>
      <c r="AR30" s="119">
        <v>2906961.9752021679</v>
      </c>
      <c r="AT30" s="119">
        <v>1950079.2618686797</v>
      </c>
      <c r="AV30" s="119">
        <v>977293.25248342776</v>
      </c>
    </row>
    <row r="31" spans="1:49" x14ac:dyDescent="0.2">
      <c r="A31" t="s">
        <v>47</v>
      </c>
      <c r="B31" s="80">
        <v>1</v>
      </c>
      <c r="D31" s="80">
        <v>0.99095033723033721</v>
      </c>
      <c r="F31" s="80">
        <v>0.98110310743848661</v>
      </c>
      <c r="H31" s="80">
        <v>0.97033588277426031</v>
      </c>
      <c r="J31" s="80">
        <v>0.95849809950823639</v>
      </c>
      <c r="L31" s="80">
        <v>0.94540034916408078</v>
      </c>
      <c r="N31" s="80">
        <v>0.93079826568959279</v>
      </c>
      <c r="P31" s="80">
        <v>0.91436574288810257</v>
      </c>
      <c r="R31" s="80">
        <v>0.89565126879535073</v>
      </c>
      <c r="T31" s="80">
        <v>0.87400091485127751</v>
      </c>
      <c r="V31" s="80">
        <v>0.84842038453236712</v>
      </c>
      <c r="X31" s="80">
        <v>0.81731774938560198</v>
      </c>
      <c r="Z31" s="80">
        <v>0.77801788859534138</v>
      </c>
      <c r="AB31" s="80">
        <v>0.7259115722953472</v>
      </c>
      <c r="AD31" s="80">
        <v>0.6534394741481544</v>
      </c>
      <c r="AF31" s="80">
        <v>0.55067569548464257</v>
      </c>
      <c r="AH31" s="80">
        <v>0.41033575576013448</v>
      </c>
      <c r="AJ31" s="80">
        <v>0.23880067351893206</v>
      </c>
      <c r="AL31" s="80">
        <v>8.0002887935313807E-2</v>
      </c>
      <c r="AN31" s="80">
        <v>6.7039036535221589E-3</v>
      </c>
      <c r="AP31" s="80">
        <v>2.8130835906134909E-3</v>
      </c>
      <c r="AR31" s="80">
        <v>9.034966450069702E-4</v>
      </c>
      <c r="AT31" s="80">
        <v>1.7986191791074453E-4</v>
      </c>
      <c r="AV31" s="80">
        <v>1.1273794199909424E-5</v>
      </c>
    </row>
    <row r="32" spans="1:49" x14ac:dyDescent="0.2">
      <c r="A32" t="s">
        <v>64</v>
      </c>
      <c r="B32" s="86">
        <v>14734457.915000005</v>
      </c>
      <c r="D32" s="86">
        <v>14735599.197575333</v>
      </c>
      <c r="F32" s="86">
        <v>14732770.423754999</v>
      </c>
      <c r="H32" s="86">
        <v>14725197.624950951</v>
      </c>
      <c r="J32" s="86">
        <v>14711936.102684438</v>
      </c>
      <c r="L32" s="86">
        <v>14691835.805264886</v>
      </c>
      <c r="N32" s="86">
        <v>14663502.888034092</v>
      </c>
      <c r="P32" s="86">
        <v>14625261.758393353</v>
      </c>
      <c r="R32" s="86">
        <v>14575120.498661764</v>
      </c>
      <c r="T32" s="86">
        <v>14510739.675439963</v>
      </c>
      <c r="V32" s="86">
        <v>14429419.025987757</v>
      </c>
      <c r="X32" s="86">
        <v>14328081.401285632</v>
      </c>
      <c r="Z32" s="86">
        <v>14203044.18955978</v>
      </c>
      <c r="AB32" s="86">
        <v>14048279.866910556</v>
      </c>
      <c r="AD32" s="86">
        <v>13845703.788628502</v>
      </c>
      <c r="AF32" s="86">
        <v>13528112.082516246</v>
      </c>
      <c r="AH32" s="86">
        <v>12901041.289561152</v>
      </c>
      <c r="AJ32" s="86">
        <v>11563592.441103503</v>
      </c>
      <c r="AL32" s="86">
        <v>8939833.8163323198</v>
      </c>
      <c r="AN32" s="86">
        <v>4826943.9152574148</v>
      </c>
      <c r="AP32" s="86">
        <v>3885115.8473884235</v>
      </c>
      <c r="AR32" s="86">
        <v>2924767.8322384786</v>
      </c>
      <c r="AT32" s="86">
        <v>1953630.0856729974</v>
      </c>
      <c r="AV32" s="86">
        <v>977515.96263215179</v>
      </c>
    </row>
    <row r="33" spans="1:49 16319:16321" x14ac:dyDescent="0.2">
      <c r="A33" t="s">
        <v>54</v>
      </c>
      <c r="B33" s="117">
        <v>7019665.6909999885</v>
      </c>
      <c r="D33" s="117">
        <v>6974798.5984597681</v>
      </c>
      <c r="F33" s="117">
        <v>6926049.2220270829</v>
      </c>
      <c r="H33" s="117">
        <v>6872715.088244779</v>
      </c>
      <c r="J33" s="117">
        <v>6813929.8461537492</v>
      </c>
      <c r="L33" s="117">
        <v>6748609.6239939909</v>
      </c>
      <c r="N33" s="117">
        <v>6675377.1943317764</v>
      </c>
      <c r="P33" s="117">
        <v>6592435.4982493063</v>
      </c>
      <c r="R33" s="117">
        <v>6497366.4532126598</v>
      </c>
      <c r="T33" s="117">
        <v>6386768.6637688931</v>
      </c>
      <c r="V33" s="117">
        <v>6255585.9712701207</v>
      </c>
      <c r="X33" s="117">
        <v>6095776.0464626951</v>
      </c>
      <c r="Z33" s="117">
        <v>5893516.1907603778</v>
      </c>
      <c r="AB33" s="117">
        <v>5623221.2109708432</v>
      </c>
      <c r="AD33" s="117">
        <v>5235764.0541217271</v>
      </c>
      <c r="AF33" s="117">
        <v>4642764.439772144</v>
      </c>
      <c r="AH33" s="117">
        <v>3717172.5824040789</v>
      </c>
      <c r="AJ33" s="117">
        <v>2370421.7792115826</v>
      </c>
      <c r="AL33" s="117">
        <v>874166.90403201897</v>
      </c>
      <c r="AN33" s="117">
        <v>77878.385797913186</v>
      </c>
      <c r="AP33" s="117">
        <v>32853.980388442054</v>
      </c>
      <c r="AR33" s="117">
        <v>10587.077093032189</v>
      </c>
      <c r="AT33" s="117">
        <v>2111.2631704304367</v>
      </c>
      <c r="AV33" s="117">
        <v>132.41982418450061</v>
      </c>
    </row>
    <row r="34" spans="1:49 16319:16321" x14ac:dyDescent="0.2">
      <c r="A34" t="s">
        <v>75</v>
      </c>
      <c r="B34" s="117">
        <v>1136879.4410000162</v>
      </c>
      <c r="D34" s="117">
        <v>1136967.2702424161</v>
      </c>
      <c r="F34" s="117">
        <v>1136749.2258676561</v>
      </c>
      <c r="H34" s="117">
        <v>1136164.9216587862</v>
      </c>
      <c r="J34" s="117">
        <v>1135141.0849561899</v>
      </c>
      <c r="L34" s="117">
        <v>1133590.7864473609</v>
      </c>
      <c r="N34" s="117">
        <v>1131404.6442858244</v>
      </c>
      <c r="P34" s="117">
        <v>1128453.7977914903</v>
      </c>
      <c r="R34" s="117">
        <v>1124585.0524400976</v>
      </c>
      <c r="T34" s="117">
        <v>1119617.5866790325</v>
      </c>
      <c r="V34" s="117">
        <v>1113343.2602730896</v>
      </c>
      <c r="X34" s="117">
        <v>1105524.2753537025</v>
      </c>
      <c r="Z34" s="117">
        <v>1095876.6942699957</v>
      </c>
      <c r="AB34" s="117">
        <v>1083935.4036321854</v>
      </c>
      <c r="AD34" s="117">
        <v>1068305.0658667739</v>
      </c>
      <c r="AF34" s="117">
        <v>1043800.3619512358</v>
      </c>
      <c r="AH34" s="117">
        <v>995416.9127957921</v>
      </c>
      <c r="AJ34" s="117">
        <v>892222.20364136971</v>
      </c>
      <c r="AL34" s="117">
        <v>689778.56736403238</v>
      </c>
      <c r="AN34" s="117">
        <v>372436.72844512708</v>
      </c>
      <c r="AP34" s="117">
        <v>299767.27736615791</v>
      </c>
      <c r="AR34" s="117">
        <v>225668.86659032735</v>
      </c>
      <c r="AT34" s="117">
        <v>150737.94314810092</v>
      </c>
      <c r="AV34" s="117">
        <v>75423.053062778345</v>
      </c>
    </row>
    <row r="35" spans="1:49 16319:16321" x14ac:dyDescent="0.2">
      <c r="A35" t="s">
        <v>78</v>
      </c>
      <c r="B35" s="233">
        <v>1</v>
      </c>
      <c r="D35" s="233">
        <v>1.0026847354149979</v>
      </c>
      <c r="F35" s="233">
        <v>1.0056890312924289</v>
      </c>
      <c r="H35" s="233">
        <v>1.0090764790383868</v>
      </c>
      <c r="J35" s="233">
        <v>1.0129308871494818</v>
      </c>
      <c r="L35" s="233">
        <v>1.0173660933397537</v>
      </c>
      <c r="N35" s="233">
        <v>1.0225420635396119</v>
      </c>
      <c r="P35" s="233">
        <v>1.0286917601543908</v>
      </c>
      <c r="R35" s="233">
        <v>1.0361683079102215</v>
      </c>
      <c r="T35" s="233">
        <v>1.0455311754353549</v>
      </c>
      <c r="V35" s="233">
        <v>1.0577109377922946</v>
      </c>
      <c r="X35" s="233">
        <v>1.0743413478974468</v>
      </c>
      <c r="Z35" s="233">
        <v>1.0984570416682389</v>
      </c>
      <c r="AB35" s="233">
        <v>1.1359553199642525</v>
      </c>
      <c r="AD35" s="233">
        <v>1.1982554672441328</v>
      </c>
      <c r="AF35" s="233">
        <v>1.3051937081093801</v>
      </c>
      <c r="AH35" s="233">
        <v>1.4848476743441006</v>
      </c>
      <c r="AJ35" s="233">
        <v>1.7650371761002854</v>
      </c>
      <c r="AL35" s="233">
        <v>2.1216941314401292</v>
      </c>
      <c r="AN35" s="233">
        <v>2.3821972712959787</v>
      </c>
      <c r="AP35" s="233">
        <v>2.406084988655214</v>
      </c>
      <c r="AR35" s="233">
        <v>2.4210768134212919</v>
      </c>
      <c r="AT35" s="233">
        <v>2.4289297770820917</v>
      </c>
      <c r="AV35" s="233">
        <v>2.4318500735681381</v>
      </c>
    </row>
    <row r="36" spans="1:49 16319:16321" x14ac:dyDescent="0.2">
      <c r="A36" t="s">
        <v>21</v>
      </c>
      <c r="B36" s="37">
        <v>0.47195767671988198</v>
      </c>
      <c r="C36" s="38">
        <v>0.31738834428178964</v>
      </c>
      <c r="D36" s="37">
        <v>0.47199023743784063</v>
      </c>
      <c r="E36" s="38">
        <v>0.32071896648935</v>
      </c>
      <c r="F36" s="37">
        <v>0.472025386861187</v>
      </c>
      <c r="G36" s="38">
        <v>0.32444242295324777</v>
      </c>
      <c r="H36" s="37">
        <v>0.4720636068293757</v>
      </c>
      <c r="I36" s="38">
        <v>0.32862364609409234</v>
      </c>
      <c r="J36" s="37">
        <v>0.47210547285568794</v>
      </c>
      <c r="K36" s="38">
        <v>0.3333427281818423</v>
      </c>
      <c r="L36" s="37">
        <v>0.47215167996066165</v>
      </c>
      <c r="M36" s="38">
        <v>0.33870030395486483</v>
      </c>
      <c r="N36" s="37">
        <v>0.47220300165164836</v>
      </c>
      <c r="O36" s="38">
        <v>0.34482623418496183</v>
      </c>
      <c r="P36" s="37">
        <v>0.47226028980914014</v>
      </c>
      <c r="Q36" s="38">
        <v>0.35189285896267691</v>
      </c>
      <c r="R36" s="37">
        <v>0.47232436098406272</v>
      </c>
      <c r="S36" s="38">
        <v>0.36013758446470834</v>
      </c>
      <c r="T36" s="37">
        <v>0.47239575944470341</v>
      </c>
      <c r="U36" s="38">
        <v>0.36990206391481489</v>
      </c>
      <c r="V36" s="37">
        <v>0.47247423770241626</v>
      </c>
      <c r="W36" s="38">
        <v>0.38170291405132734</v>
      </c>
      <c r="X36" s="37">
        <v>0.47255759902119954</v>
      </c>
      <c r="Y36" s="38">
        <v>0.39636473072854767</v>
      </c>
      <c r="Z36" s="37">
        <v>0.47263931287116984</v>
      </c>
      <c r="AA36" s="38">
        <v>0.41527515383367192</v>
      </c>
      <c r="AB36" s="37">
        <v>0.47270424646766174</v>
      </c>
      <c r="AC36" s="38">
        <v>0.44084949323040629</v>
      </c>
      <c r="AD36" s="37">
        <v>0.47272540982841038</v>
      </c>
      <c r="AE36" s="38">
        <v>0.47716658292507408</v>
      </c>
      <c r="AF36" s="37">
        <v>0.4726764745819842</v>
      </c>
      <c r="AG36" s="38">
        <v>0.53004909210822704</v>
      </c>
      <c r="AH36" s="37">
        <v>0.47256451904083463</v>
      </c>
      <c r="AI36" s="38">
        <v>0.60541851955170223</v>
      </c>
      <c r="AJ36" s="37">
        <v>0.47242676906454462</v>
      </c>
      <c r="AK36" s="38">
        <v>0.70532311724257302</v>
      </c>
      <c r="AL36" s="37">
        <v>0.47229886582416009</v>
      </c>
      <c r="AM36" s="38">
        <v>0.8148612975936218</v>
      </c>
      <c r="AN36" s="37">
        <v>0.47222185990163046</v>
      </c>
      <c r="AO36" s="38">
        <v>0.88686630452400794</v>
      </c>
      <c r="AP36" s="37">
        <v>0.47221521222958796</v>
      </c>
      <c r="AQ36" s="38">
        <v>0.89321659980202295</v>
      </c>
      <c r="AR36" s="37">
        <v>0.47221106861921841</v>
      </c>
      <c r="AS36" s="38">
        <v>0.89718593231814092</v>
      </c>
      <c r="AT36" s="37">
        <v>0.47220890638146945</v>
      </c>
      <c r="AU36" s="38">
        <v>0.89926189008404023</v>
      </c>
      <c r="AV36" s="37">
        <v>0.47220810369870725</v>
      </c>
      <c r="AW36" s="38">
        <v>0.90003421679893214</v>
      </c>
    </row>
    <row r="37" spans="1:49 16319:16321" x14ac:dyDescent="0.2">
      <c r="B37" s="39">
        <v>2.1403217525954466E-2</v>
      </c>
      <c r="C37" s="40">
        <v>0.34962461301992515</v>
      </c>
      <c r="D37" s="39">
        <v>2.0947536167022308E-2</v>
      </c>
      <c r="E37" s="40">
        <v>0.34605876118933004</v>
      </c>
      <c r="F37" s="39">
        <v>2.0478240167754784E-2</v>
      </c>
      <c r="G37" s="40">
        <v>0.34238898309851246</v>
      </c>
      <c r="H37" s="39">
        <v>1.9994318767165866E-2</v>
      </c>
      <c r="I37" s="40">
        <v>0.3386122217615874</v>
      </c>
      <c r="J37" s="39">
        <v>1.9494550079674006E-2</v>
      </c>
      <c r="K37" s="40">
        <v>0.33472517472147151</v>
      </c>
      <c r="L37" s="39">
        <v>1.8977394341998546E-2</v>
      </c>
      <c r="M37" s="40">
        <v>0.3307238539848581</v>
      </c>
      <c r="N37" s="39">
        <v>1.8440788359695419E-2</v>
      </c>
      <c r="O37" s="40">
        <v>0.32660253470147671</v>
      </c>
      <c r="P37" s="39">
        <v>1.7881890145864849E-2</v>
      </c>
      <c r="Q37" s="40">
        <v>0.32235260464569293</v>
      </c>
      <c r="R37" s="39">
        <v>1.7296624455882075E-2</v>
      </c>
      <c r="S37" s="40">
        <v>0.31796037225243151</v>
      </c>
      <c r="T37" s="39">
        <v>1.6678970923601405E-2</v>
      </c>
      <c r="U37" s="40">
        <v>0.31340384612278643</v>
      </c>
      <c r="V37" s="39">
        <v>1.6019849622779407E-2</v>
      </c>
      <c r="W37" s="40">
        <v>0.30864826253012767</v>
      </c>
      <c r="X37" s="39">
        <v>1.5305400310742168E-2</v>
      </c>
      <c r="Y37" s="40">
        <v>0.30364058393736548</v>
      </c>
      <c r="Z37" s="39">
        <v>1.451466843143248E-2</v>
      </c>
      <c r="AA37" s="40">
        <v>0.2983063756107926</v>
      </c>
      <c r="AB37" s="39">
        <v>1.3618289369479352E-2</v>
      </c>
      <c r="AC37" s="40">
        <v>0.2925650224343152</v>
      </c>
      <c r="AD37" s="39">
        <v>1.2585756949664274E-2</v>
      </c>
      <c r="AE37" s="40">
        <v>0.28641199789813981</v>
      </c>
      <c r="AF37" s="39">
        <v>1.1415674324035353E-2</v>
      </c>
      <c r="AG37" s="40">
        <v>0.28011143472034278</v>
      </c>
      <c r="AH37" s="39">
        <v>1.0171034093181333E-2</v>
      </c>
      <c r="AI37" s="40">
        <v>0.27427199210033387</v>
      </c>
      <c r="AJ37" s="39">
        <v>8.9731652418030862E-3</v>
      </c>
      <c r="AK37" s="40">
        <v>0.26954343411025716</v>
      </c>
      <c r="AL37" s="39">
        <v>8.009545611119601E-3</v>
      </c>
      <c r="AM37" s="40">
        <v>0.26639170479392882</v>
      </c>
      <c r="AN37" s="39">
        <v>7.5055717894481899E-3</v>
      </c>
      <c r="AO37" s="40">
        <v>0.26498373783998691</v>
      </c>
      <c r="AP37" s="39">
        <v>7.4650077619077427E-3</v>
      </c>
      <c r="AQ37" s="40">
        <v>0.26487882505605775</v>
      </c>
      <c r="AR37" s="39">
        <v>7.4399630604794842E-3</v>
      </c>
      <c r="AS37" s="40">
        <v>0.26481503073328688</v>
      </c>
      <c r="AT37" s="39">
        <v>7.42696850370788E-3</v>
      </c>
      <c r="AU37" s="40">
        <v>0.26478238432759638</v>
      </c>
      <c r="AV37" s="39">
        <v>7.4221577146865924E-3</v>
      </c>
      <c r="AW37" s="40">
        <v>0.26477046327242859</v>
      </c>
    </row>
    <row r="38" spans="1:49 16319:16321" x14ac:dyDescent="0.2">
      <c r="A38" t="s">
        <v>22</v>
      </c>
      <c r="B38" s="37">
        <v>0.18079094942242827</v>
      </c>
      <c r="C38" s="38">
        <v>6.0565413429233668E-2</v>
      </c>
      <c r="D38" s="37">
        <v>0.18078264808942901</v>
      </c>
      <c r="E38" s="38">
        <v>6.0592291718558226E-2</v>
      </c>
      <c r="F38" s="37">
        <v>0.18079584908093144</v>
      </c>
      <c r="G38" s="38">
        <v>6.0632438864848169E-2</v>
      </c>
      <c r="H38" s="37">
        <v>0.18083464796026738</v>
      </c>
      <c r="I38" s="38">
        <v>6.0688883950835548E-2</v>
      </c>
      <c r="J38" s="37">
        <v>0.18090432878729279</v>
      </c>
      <c r="K38" s="38">
        <v>6.0765471564756875E-2</v>
      </c>
      <c r="L38" s="37">
        <v>0.18101187817122069</v>
      </c>
      <c r="M38" s="38">
        <v>6.0867147557707522E-2</v>
      </c>
      <c r="N38" s="37">
        <v>0.18116681161016762</v>
      </c>
      <c r="O38" s="38">
        <v>6.1000426928426645E-2</v>
      </c>
      <c r="P38" s="37">
        <v>0.18138250962686545</v>
      </c>
      <c r="Q38" s="38">
        <v>6.1174081667466032E-2</v>
      </c>
      <c r="R38" s="37">
        <v>0.18167852785491698</v>
      </c>
      <c r="S38" s="38">
        <v>6.1400380904276845E-2</v>
      </c>
      <c r="T38" s="37">
        <v>0.18208479421112811</v>
      </c>
      <c r="U38" s="38">
        <v>6.1697192403825082E-2</v>
      </c>
      <c r="V38" s="37">
        <v>0.18264959575097015</v>
      </c>
      <c r="W38" s="38">
        <v>6.2091941910026018E-2</v>
      </c>
      <c r="X38" s="37">
        <v>0.18345582114194958</v>
      </c>
      <c r="Y38" s="38">
        <v>6.2629348873388571E-2</v>
      </c>
      <c r="Z38" s="37">
        <v>0.18465604432391691</v>
      </c>
      <c r="AA38" s="38">
        <v>6.3387027114996705E-2</v>
      </c>
      <c r="AB38" s="37">
        <v>0.18655150033504195</v>
      </c>
      <c r="AC38" s="38">
        <v>6.4507148108973983E-2</v>
      </c>
      <c r="AD38" s="37">
        <v>0.18976753548550496</v>
      </c>
      <c r="AE38" s="38">
        <v>6.6252355198885698E-2</v>
      </c>
      <c r="AF38" s="37">
        <v>0.19562427534559279</v>
      </c>
      <c r="AG38" s="38">
        <v>6.9075816488742586E-2</v>
      </c>
      <c r="AH38" s="37">
        <v>0.20707918652712112</v>
      </c>
      <c r="AI38" s="38">
        <v>7.372255755453537E-2</v>
      </c>
      <c r="AJ38" s="37">
        <v>0.2321438487501471</v>
      </c>
      <c r="AK38" s="38">
        <v>8.1670933706982821E-2</v>
      </c>
      <c r="AL38" s="37">
        <v>0.29841910244854769</v>
      </c>
      <c r="AM38" s="38">
        <v>9.686412050049821E-2</v>
      </c>
      <c r="AN38" s="37">
        <v>0.54682671133906624</v>
      </c>
      <c r="AO38" s="38">
        <v>0.1347364542921049</v>
      </c>
      <c r="AP38" s="37">
        <v>0.67857689049505099</v>
      </c>
      <c r="AQ38" s="38">
        <v>0.15044042880801631</v>
      </c>
      <c r="AR38" s="37">
        <v>0.90069632453545179</v>
      </c>
      <c r="AS38" s="38">
        <v>0.17357187558446574</v>
      </c>
      <c r="AT38" s="37">
        <v>1.3478779963140222</v>
      </c>
      <c r="AU38" s="38">
        <v>0.21249147393425816</v>
      </c>
      <c r="AV38" s="37">
        <v>2.6934126110911545</v>
      </c>
      <c r="AW38" s="38">
        <v>0.30046148597311856</v>
      </c>
    </row>
    <row r="39" spans="1:49 16319:16321" x14ac:dyDescent="0.2">
      <c r="A39" t="s">
        <v>23</v>
      </c>
      <c r="B39" s="39">
        <v>0.23064923795098646</v>
      </c>
      <c r="C39" s="40">
        <v>0.22092201281804777</v>
      </c>
      <c r="D39" s="39">
        <v>0.23110844932909877</v>
      </c>
      <c r="E39" s="40">
        <v>0.22124504613315904</v>
      </c>
      <c r="F39" s="39">
        <v>0.23159728929697582</v>
      </c>
      <c r="G39" s="40">
        <v>0.22161756603523941</v>
      </c>
      <c r="H39" s="39">
        <v>0.23212132413393102</v>
      </c>
      <c r="I39" s="40">
        <v>0.22205087102149926</v>
      </c>
      <c r="J39" s="39">
        <v>0.2326876104828085</v>
      </c>
      <c r="K39" s="40">
        <v>0.22255924523191822</v>
      </c>
      <c r="L39" s="39">
        <v>0.23330523685456328</v>
      </c>
      <c r="M39" s="40">
        <v>0.22316098946955007</v>
      </c>
      <c r="N39" s="39">
        <v>0.23398629295527662</v>
      </c>
      <c r="O39" s="40">
        <v>0.22388002729139631</v>
      </c>
      <c r="P39" s="39">
        <v>0.23474730998666213</v>
      </c>
      <c r="Q39" s="40">
        <v>0.22474843919903406</v>
      </c>
      <c r="R39" s="39">
        <v>0.23561191233466322</v>
      </c>
      <c r="S39" s="40">
        <v>0.22581069288323058</v>
      </c>
      <c r="T39" s="39">
        <v>0.23661562674371064</v>
      </c>
      <c r="U39" s="40">
        <v>0.22713124856353872</v>
      </c>
      <c r="V39" s="39">
        <v>0.23781527267602326</v>
      </c>
      <c r="W39" s="40">
        <v>0.22880863832637527</v>
      </c>
      <c r="X39" s="39">
        <v>0.2393085222279398</v>
      </c>
      <c r="Y39" s="40">
        <v>0.23100311794358619</v>
      </c>
      <c r="Z39" s="39">
        <v>0.24127734557574426</v>
      </c>
      <c r="AA39" s="40">
        <v>0.23399337988127394</v>
      </c>
      <c r="AB39" s="39">
        <v>0.24408932292561006</v>
      </c>
      <c r="AC39" s="40">
        <v>0.23829202760130205</v>
      </c>
      <c r="AD39" s="39">
        <v>0.24853222828008087</v>
      </c>
      <c r="AE39" s="40">
        <v>0.24485469556924641</v>
      </c>
      <c r="AF39" s="39">
        <v>0.2563244788294341</v>
      </c>
      <c r="AG39" s="40">
        <v>0.25535029407309645</v>
      </c>
      <c r="AH39" s="39">
        <v>0.27137543038611966</v>
      </c>
      <c r="AI39" s="40">
        <v>0.27254865536056289</v>
      </c>
      <c r="AJ39" s="39">
        <v>0.30423195424034072</v>
      </c>
      <c r="AK39" s="40">
        <v>0.30193810365367657</v>
      </c>
      <c r="AL39" s="39">
        <v>0.39108953997276102</v>
      </c>
      <c r="AM39" s="40">
        <v>0.35810834702236283</v>
      </c>
      <c r="AN39" s="39">
        <v>0.71663760470750082</v>
      </c>
      <c r="AO39" s="40">
        <v>0.49812309275987443</v>
      </c>
      <c r="AP39" s="39">
        <v>0.88930124593729831</v>
      </c>
      <c r="AQ39" s="40">
        <v>0.55618096197468525</v>
      </c>
      <c r="AR39" s="39">
        <v>1.1803969699148225</v>
      </c>
      <c r="AS39" s="40">
        <v>0.6416982744457731</v>
      </c>
      <c r="AT39" s="39">
        <v>1.7664453228457673</v>
      </c>
      <c r="AU39" s="40">
        <v>0.78558466847287955</v>
      </c>
      <c r="AV39" s="39">
        <v>3.5298231005354221</v>
      </c>
      <c r="AW39" s="40">
        <v>1.1108116944328525</v>
      </c>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0.1080000000000003</v>
      </c>
      <c r="E42" s="135"/>
      <c r="F42" s="177">
        <f>10.8%+(1-10.8%)*(1-SUM(F26:G26)/SUM($B$26:$C$26))</f>
        <v>0.10800000000000001</v>
      </c>
      <c r="G42" s="135"/>
      <c r="H42" s="177">
        <f>10.8%+(1-10.8%)*(1-SUM(H26:I26)/SUM($B$26:$C$26))</f>
        <v>0.1080000000000008</v>
      </c>
      <c r="I42" s="135"/>
      <c r="J42" s="177">
        <f>10.8%+(1-10.8%)*(1-SUM(J26:K26)/SUM($B$26:$C$26))</f>
        <v>0.10799999999999903</v>
      </c>
      <c r="K42" s="135"/>
      <c r="L42" s="177">
        <f>10.8%+(1-10.8%)*(1-SUM(L26:M26)/SUM($B$26:$C$26))</f>
        <v>0.10800000000000159</v>
      </c>
      <c r="M42" s="135"/>
      <c r="N42" s="177">
        <f>10.8%+(1-10.8%)*(1-SUM(N26:O26)/SUM($B$26:$C$26))</f>
        <v>0.10799999999999942</v>
      </c>
      <c r="O42" s="135"/>
      <c r="P42" s="177">
        <f>10.8%+(1-10.8%)*(1-SUM(P26:Q26)/SUM($B$26:$C$26))</f>
        <v>0.10799999999999803</v>
      </c>
      <c r="Q42" s="135"/>
      <c r="R42" s="177">
        <f>10.8%+(1-10.8%)*(1-SUM(R26:S26)/SUM($B$26:$C$26))</f>
        <v>0.10799999999999961</v>
      </c>
      <c r="S42" s="135"/>
      <c r="T42" s="177">
        <f>10.8%+(1-10.8%)*(1-SUM(T26:U26)/SUM($B$26:$C$26))</f>
        <v>0.10799999999999922</v>
      </c>
      <c r="U42" s="135"/>
      <c r="V42" s="177">
        <f>10.8%+(1-10.8%)*(1-SUM(V26:W26)/SUM($B$26:$C$26))</f>
        <v>0.10799999999999961</v>
      </c>
      <c r="W42" s="135"/>
      <c r="X42" s="177">
        <f>10.8%+(1-10.8%)*(1-SUM(X26:Y26)/SUM($B$26:$C$26))</f>
        <v>0.10800000000000021</v>
      </c>
      <c r="Y42" s="162"/>
      <c r="Z42" s="177">
        <f>10.8%+(1-10.8%)*(1-SUM(Z26:AA26)/SUM($B$26:$C$26))</f>
        <v>0.10799999999999982</v>
      </c>
      <c r="AA42" s="135"/>
      <c r="AB42" s="177">
        <f>10.8%+(1-10.8%)*(1-SUM(AB26:AC26)/SUM($B$26:$C$26))</f>
        <v>0.10800000000000001</v>
      </c>
      <c r="AC42" s="135"/>
      <c r="AD42" s="177">
        <f>10.8%+(1-10.8%)*(1-SUM(AD26:AE26)/SUM($B$26:$C$26))</f>
        <v>0.10799999999999982</v>
      </c>
      <c r="AE42" s="135"/>
      <c r="AF42" s="177">
        <f>10.8%+(1-10.8%)*(1-SUM(AF26:AG26)/SUM($B$26:$C$26))</f>
        <v>0.1080000000000003</v>
      </c>
      <c r="AG42" s="135"/>
      <c r="AH42" s="177">
        <f>10.8%+(1-10.8%)*(1-SUM(AH26:AI26)/SUM($B$26:$C$26))</f>
        <v>0.10799999999999961</v>
      </c>
      <c r="AI42" s="135"/>
      <c r="AJ42" s="177">
        <f>10.8%+(1-10.8%)*(1-SUM(AJ26:AK26)/SUM($B$26:$C$26))</f>
        <v>0.10799999999999961</v>
      </c>
      <c r="AK42" s="135"/>
      <c r="AL42" s="177">
        <f>10.8%+(1-10.8%)*(1-SUM(AL26:AM26)/SUM($B$26:$C$26))</f>
        <v>0.10799999999999922</v>
      </c>
      <c r="AM42" s="135"/>
      <c r="AN42" s="177">
        <f>10.8%+(1-10.8%)*(1-SUM(AN26:AO26)/SUM($B$26:$C$26))</f>
        <v>0.10799999999999961</v>
      </c>
      <c r="AO42" s="135"/>
      <c r="AP42" s="177">
        <f>10.8%+(1-10.8%)*(1-SUM(AP26:AQ26)/SUM($B$26:$C$26))</f>
        <v>0.10799999999999961</v>
      </c>
      <c r="AQ42" s="135"/>
      <c r="AR42" s="177">
        <f>10.8%+(1-10.8%)*(1-SUM(AR26:AS26)/SUM($B$26:$C$26))</f>
        <v>0.10799999999999982</v>
      </c>
      <c r="AS42" s="135"/>
      <c r="AT42" s="177">
        <f>10.8%+(1-10.8%)*(1-SUM(AT26:AU26)/SUM($B$26:$C$26))</f>
        <v>0.10800000000000001</v>
      </c>
      <c r="AU42" s="135"/>
      <c r="AV42" s="177">
        <f>10.8%+(1-10.8%)*(1-SUM(AV26:AW26)/SUM($B$26:$C$26))</f>
        <v>0.10800000000000051</v>
      </c>
    </row>
    <row r="43" spans="1:49 16319:16321" x14ac:dyDescent="0.2">
      <c r="A43" t="s">
        <v>108</v>
      </c>
      <c r="B43" s="162">
        <f>SUM(B15:C15*B27:C27)/SUM(B15:C15*B27:C27,B13:C13*B26:C26)</f>
        <v>0.56058995943839085</v>
      </c>
      <c r="C43" s="135"/>
      <c r="D43" s="162">
        <f t="array" ref="D43">SUM(D15:E15*D27:E27)/SUM(D15:E15*D27:E27,D13:E13*D26:E26)</f>
        <v>0.56553467285281467</v>
      </c>
      <c r="E43" s="135"/>
      <c r="F43" s="162">
        <f t="array" ref="F43">SUM(F15:G15*F27:G27)/SUM(F15:G15*F27:G27,F13:G13*F26:G26)</f>
        <v>0.56386318481281994</v>
      </c>
      <c r="G43" s="135"/>
      <c r="H43" s="162">
        <f t="array" ref="H43">SUM(H15:I15*H27:I27)/SUM(H15:I15*H27:I27,H13:I13*H26:I26)</f>
        <v>0.56218563276851263</v>
      </c>
      <c r="I43" s="135"/>
      <c r="J43" s="162">
        <f t="array" ref="J43">SUM(J15:K15*J27:K27)/SUM(J15:K15*J27:K27,J13:K13*J26:K26)</f>
        <v>0.56050187344314317</v>
      </c>
      <c r="K43" s="135"/>
      <c r="L43" s="162">
        <f t="array" ref="L43">SUM(L15:M15*L27:M27)/SUM(L15:M15*L27:M27,L13:M13*L26:M26)</f>
        <v>0.55881255243469385</v>
      </c>
      <c r="M43" s="135"/>
      <c r="N43" s="162">
        <f t="array" ref="N43">SUM(N15:O15*N27:O27)/SUM(N15:O15*N27:O27,N13:O13*N26:O26)</f>
        <v>0.55711949604619282</v>
      </c>
      <c r="O43" s="135"/>
      <c r="P43" s="162">
        <f t="array" ref="P43">SUM(P15:Q15*P27:Q27)/SUM(P15:Q15*P27:Q27,P13:Q13*P26:Q26)</f>
        <v>0.5554268562211957</v>
      </c>
      <c r="Q43" s="135"/>
      <c r="R43" s="162">
        <f t="array" ref="R43">SUM(R15:S15*R27:S27)/SUM(R15:S15*R27:S27,R13:S13*R26:S26)</f>
        <v>0.55374244780957438</v>
      </c>
      <c r="S43" s="135"/>
      <c r="T43" s="162">
        <f t="array" ref="T43">SUM(T15:U15*T27:U27)/SUM(T15:U15*T27:U27,T13:U13*T26:U26)</f>
        <v>0.55208019314824175</v>
      </c>
      <c r="U43" s="135"/>
      <c r="V43" s="162">
        <f t="array" ref="V43">SUM(V15:W15*V27:W27)/SUM(V15:W15*V27:W27,V13:W13*V26:W26)</f>
        <v>0.55046391249107585</v>
      </c>
      <c r="W43" s="135"/>
      <c r="X43" s="162">
        <f t="array" ref="X43">SUM(X15:Y15*X27:Y27)/SUM(X15:Y15*X27:Y27,X13:Y13*X26:Y26)</f>
        <v>0.54893330555769759</v>
      </c>
      <c r="Y43" s="135"/>
      <c r="Z43" s="162">
        <f t="array" ref="Z43">SUM(Z15:AA15*Z27:AA27)/SUM(Z15:AA15*Z27:AA27,Z13:AA13*Z26:AA26)</f>
        <v>0.54755254555273458</v>
      </c>
      <c r="AA43" s="135"/>
      <c r="AB43" s="162">
        <f t="array" ref="AB43">SUM(AB15:AC15*AB27:AC27)/SUM(AB15:AC15*AB27:AC27,AB13:AC13*AB26:AC26)</f>
        <v>0.54641709092965185</v>
      </c>
      <c r="AC43" s="135"/>
      <c r="AD43" s="162">
        <f t="array" ref="AD43">SUM(AD15:AE15*AD27:AE27)/SUM(AD15:AE15*AD27:AE27,AD13:AE13*AD26:AE26)</f>
        <v>0.54563559534328154</v>
      </c>
      <c r="AE43" s="135"/>
      <c r="AF43" s="162">
        <f t="array" ref="AF43">SUM(AF15:AG15*AF27:AG27)/SUM(AF15:AG15*AF27:AG27,AF13:AG13*AF26:AG26)</f>
        <v>0.54524255414458722</v>
      </c>
      <c r="AG43" s="135"/>
      <c r="AH43" s="162">
        <f t="array" ref="AH43">SUM(AH15:AI15*AH27:AI27)/SUM(AH15:AI15*AH27:AI27,AH13:AI13*AH26:AI26)</f>
        <v>0.54511554137881868</v>
      </c>
      <c r="AI43" s="135"/>
      <c r="AJ43" s="162">
        <f t="array" ref="AJ43">SUM(AJ15:AK15*AJ27:AK27)/SUM(AJ15:AK15*AJ27:AK27,AJ13:AK13*AJ26:AK26)</f>
        <v>0.54508971145955865</v>
      </c>
      <c r="AK43" s="135"/>
      <c r="AL43" s="162">
        <f t="array" ref="AL43">SUM(AL15:AM15*AL27:AM27)/SUM(AL15:AM15*AL27:AM27,AL13:AM13*AL26:AM26)</f>
        <v>0.54508602754592383</v>
      </c>
      <c r="AM43" s="135"/>
      <c r="AN43" s="162">
        <f t="array" ref="AN43">SUM(AN15:AO15*AN27:AO27)/SUM(AN15:AO15*AN27:AO27,AN13:AO13*AN26:AO26)</f>
        <v>0.54508557675037794</v>
      </c>
      <c r="AO43" s="135"/>
      <c r="AP43" s="162">
        <f t="array" ref="AP43">SUM(AP15:AQ15*AP27:AQ27)/SUM(AP15:AQ15*AP27:AQ27,AP13:AQ13*AP26:AQ26)</f>
        <v>0.54508551662586402</v>
      </c>
      <c r="AQ43" s="135"/>
      <c r="AR43" s="162">
        <f t="array" ref="AR43">SUM(AR15:AS15*AR27:AS27)/SUM(AR15:AS15*AR27:AS27,AR13:AS13*AR26:AS26)</f>
        <v>0.54508540484157708</v>
      </c>
      <c r="AS43" s="135"/>
      <c r="AT43" s="162">
        <f t="array" ref="AT43">SUM(AT15:AU15*AT27:AU27)/SUM(AT15:AU15*AT27:AU27,AT13:AU13*AT26:AU26)</f>
        <v>0.54508532897852879</v>
      </c>
      <c r="AU43" s="135"/>
      <c r="AV43" s="162">
        <f t="array" ref="AV43">SUM(AV15:AW15*AV27:AW27)/SUM(AV15:AW15*AV27:AW27,AV13:AW13*AV26:AW26)</f>
        <v>0.54508554334450443</v>
      </c>
    </row>
    <row r="44" spans="1:49 16319:16321" x14ac:dyDescent="0.2">
      <c r="A44" t="s">
        <v>142</v>
      </c>
      <c r="B44" s="193">
        <f>(SUM(B11:C11*B24:C24)+B34)/B32</f>
        <v>0.29754226190682465</v>
      </c>
      <c r="D44" s="193">
        <f>(SUM(D11:E11*D24:E24)+D34)/D32</f>
        <v>0.30062396982472139</v>
      </c>
      <c r="F44" s="193">
        <f>(SUM(F11:G11*F24:G24)+F34)/F32</f>
        <v>0.3038419954947047</v>
      </c>
      <c r="H44" s="193">
        <f>(SUM(H11:I11*H24:I24)+H34)/H32</f>
        <v>0.30722219268958673</v>
      </c>
      <c r="J44" s="193">
        <f>(SUM(J11:K11*J24:K24)+J34)/J32</f>
        <v>0.31079722660637571</v>
      </c>
      <c r="L44" s="193">
        <f>(SUM(L11:M11*L24:M24)+L34)/L32</f>
        <v>0.31460959138616729</v>
      </c>
      <c r="N44" s="193">
        <f>(SUM(N11:O11*N24:O24)+N34)/N32</f>
        <v>0.31871624099153384</v>
      </c>
      <c r="P44" s="193">
        <f>(SUM(P11:Q11*P24:Q24)+P34)/P32</f>
        <v>0.32319704269123911</v>
      </c>
      <c r="R44" s="193">
        <f>(SUM(R11:S11*R24:S24)+R34)/R32</f>
        <v>0.32816904505843592</v>
      </c>
      <c r="T44" s="193">
        <f>(SUM(T11:U11*T24:U24)+T34)/T32</f>
        <v>0.33381298892804973</v>
      </c>
      <c r="V44" s="193">
        <f>(SUM(V11:W11*V24:W24)+V34)/V32</f>
        <v>0.34042379952904228</v>
      </c>
      <c r="X44" s="193">
        <f>(SUM(X11:Y11*X24:Y24)+X34)/X32</f>
        <v>0.34851120645672323</v>
      </c>
      <c r="Z44" s="193">
        <f>(SUM(Z11:AA11*Z24:AA24)+Z34)/Z32</f>
        <v>0.35900640020797181</v>
      </c>
      <c r="AB44" s="193">
        <f>(SUM(AB11:AC11*AB24:AC24)+AB34)/AB32</f>
        <v>0.3736755219214043</v>
      </c>
      <c r="AD44" s="193">
        <f>(SUM(AD11:AE11*AD24:AE24)+AD34)/AD32</f>
        <v>0.39580298894339316</v>
      </c>
      <c r="AF44" s="193">
        <f>(SUM(AF11:AG11*AF24:AG24)+AF34)/AF32</f>
        <v>0.43075997715161368</v>
      </c>
      <c r="AH44" s="193">
        <f>(SUM(AH11:AI11*AH24:AI24)+AH34)/AH32</f>
        <v>0.48582413993157958</v>
      </c>
      <c r="AJ44" s="193">
        <f>(SUM(AJ11:AK11*AJ24:AK24)+AJ34)/AJ32</f>
        <v>0.56896371200909857</v>
      </c>
      <c r="AL44" s="193">
        <f>(SUM(AL11:AM11*AL24:AM24)+AL34)/AL32</f>
        <v>0.67617044487317546</v>
      </c>
      <c r="AN44" s="193">
        <f>(SUM(AN11:AO11*AN24:AO24)+AN34)/AN32</f>
        <v>0.75781969751250888</v>
      </c>
      <c r="AP44" s="193">
        <f>(SUM(AP11:AQ11*AP24:AQ24)+AP34)/AP32</f>
        <v>0.76549742458873771</v>
      </c>
      <c r="AR44" s="193">
        <f>(SUM(AR11:AS11*AR24:AS24)+AR34)/AR32</f>
        <v>0.77033399458289387</v>
      </c>
      <c r="AT44" s="193">
        <f>(SUM(AT11:AU11*AT24:AU24)+AT34)/AT32</f>
        <v>0.7728731081622201</v>
      </c>
      <c r="AV44" s="193">
        <f>(SUM(AV11:AW11*AV24:AW24)+AV34)/AV32</f>
        <v>0.77381832979690879</v>
      </c>
    </row>
    <row r="45" spans="1:49 16319:16321" x14ac:dyDescent="0.2">
      <c r="A45" t="s">
        <v>82</v>
      </c>
      <c r="B45" s="193">
        <f>SUM(B11:C11*B24:C24)/B32</f>
        <v>0.22038438833194082</v>
      </c>
      <c r="D45" s="193">
        <f>SUM(D11:E11*D24:E24)/D32</f>
        <v>0.22346611183754855</v>
      </c>
      <c r="F45" s="193">
        <f>SUM(F11:G11*F24:G24)/F32</f>
        <v>0.22668412272728747</v>
      </c>
      <c r="H45" s="193">
        <f>SUM(H11:I11*H24:I24)/H32</f>
        <v>0.23006432013692071</v>
      </c>
      <c r="J45" s="193">
        <f>SUM(J11:K11*J24:K24)/J32</f>
        <v>0.23363939523508095</v>
      </c>
      <c r="L45" s="193">
        <f>SUM(L11:M11*L24:M24)/L32</f>
        <v>0.23745171939027054</v>
      </c>
      <c r="N45" s="193">
        <f>SUM(N11:O11*N24:O24)/N32</f>
        <v>0.24155837135254821</v>
      </c>
      <c r="P45" s="193">
        <f>SUM(P11:Q11*P24:Q24)/P32</f>
        <v>0.24603918962622456</v>
      </c>
      <c r="R45" s="193">
        <f>SUM(R11:S11*R24:S24)/R32</f>
        <v>0.25101118879622847</v>
      </c>
      <c r="T45" s="193">
        <f>SUM(T11:U11*T24:U24)/T32</f>
        <v>0.25665513125012368</v>
      </c>
      <c r="V45" s="193">
        <f>SUM(V11:W11*V24:W24)/V32</f>
        <v>0.26326592794267212</v>
      </c>
      <c r="X45" s="193">
        <f>SUM(X11:Y11*X24:Y24)/X32</f>
        <v>0.27135333413653212</v>
      </c>
      <c r="Z45" s="193">
        <f>SUM(Z11:AA11*Z24:AA24)/Z32</f>
        <v>0.28184852618857387</v>
      </c>
      <c r="AB45" s="193">
        <f>SUM(AB11:AC11*AB24:AC24)/AB32</f>
        <v>0.29651764822433363</v>
      </c>
      <c r="AD45" s="193">
        <f>SUM(AD11:AE11*AD24:AE24)/AD32</f>
        <v>0.31864511512377741</v>
      </c>
      <c r="AF45" s="193">
        <f>SUM(AF11:AG11*AF24:AG24)/AF32</f>
        <v>0.35360210356330679</v>
      </c>
      <c r="AH45" s="193">
        <f>SUM(AH11:AI11*AH24:AI24)/AH32</f>
        <v>0.40866626635735642</v>
      </c>
      <c r="AJ45" s="193">
        <f>SUM(AJ11:AK11*AJ24:AK24)/AJ32</f>
        <v>0.49180583843428183</v>
      </c>
      <c r="AL45" s="193">
        <f>SUM(AL11:AM11*AL24:AM24)/AL32</f>
        <v>0.59901257130019414</v>
      </c>
      <c r="AN45" s="193">
        <f>SUM(AN11:AO11*AN24:AO24)/AN32</f>
        <v>0.68066182392133301</v>
      </c>
      <c r="AP45" s="193">
        <f>SUM(AP11:AQ11*AP24:AQ24)/AP32</f>
        <v>0.68833955101653466</v>
      </c>
      <c r="AR45" s="193">
        <f>SUM(AR11:AS11*AR24:AS24)/AR32</f>
        <v>0.69317612102353809</v>
      </c>
      <c r="AT45" s="193">
        <f>SUM(AT11:AU11*AT24:AU24)/AT32</f>
        <v>0.69571523459467932</v>
      </c>
      <c r="AV45" s="193">
        <f>SUM(AV11:AW11*AV24:AW24)/AV32</f>
        <v>0.6966604562214358</v>
      </c>
      <c r="XCQ45" s="193"/>
    </row>
    <row r="46" spans="1:49 16319:16321" x14ac:dyDescent="0.2">
      <c r="A46" t="s">
        <v>139</v>
      </c>
      <c r="B46" s="193">
        <f>B34/B32</f>
        <v>7.7157873574883795E-2</v>
      </c>
      <c r="D46" s="193">
        <f>D34/D32</f>
        <v>7.7157857987172868E-2</v>
      </c>
      <c r="F46" s="193">
        <f>F34/F32</f>
        <v>7.7157872767417243E-2</v>
      </c>
      <c r="H46" s="193">
        <f>H34/H32</f>
        <v>7.715787255266604E-2</v>
      </c>
      <c r="J46" s="193">
        <f>J34/J32</f>
        <v>7.7157831371294797E-2</v>
      </c>
      <c r="L46" s="193">
        <f>L34/L32</f>
        <v>7.7157871995896757E-2</v>
      </c>
      <c r="N46" s="193">
        <f>N34/N32</f>
        <v>7.7157869638985674E-2</v>
      </c>
      <c r="P46" s="193">
        <f>P34/P32</f>
        <v>7.7157853065014534E-2</v>
      </c>
      <c r="R46" s="193">
        <f>R34/R32</f>
        <v>7.7157856262207433E-2</v>
      </c>
      <c r="T46" s="193">
        <f>T34/T32</f>
        <v>7.7157857677926114E-2</v>
      </c>
      <c r="V46" s="193">
        <f>V34/V32</f>
        <v>7.715787158637015E-2</v>
      </c>
      <c r="X46" s="193">
        <f>X34/X32</f>
        <v>7.7157872320191168E-2</v>
      </c>
      <c r="Z46" s="193">
        <f>Z34/Z32</f>
        <v>7.7157874019397957E-2</v>
      </c>
      <c r="AB46" s="193">
        <f>AB34/AB32</f>
        <v>7.7157873697070667E-2</v>
      </c>
      <c r="AD46" s="193">
        <f>AD34/AD32</f>
        <v>7.7157873819615766E-2</v>
      </c>
      <c r="AF46" s="193">
        <f>AF34/AF32</f>
        <v>7.7157873588306905E-2</v>
      </c>
      <c r="AH46" s="193">
        <f>AH34/AH32</f>
        <v>7.7157873574223143E-2</v>
      </c>
      <c r="AJ46" s="193">
        <f>AJ34/AJ32</f>
        <v>7.7157873574816668E-2</v>
      </c>
      <c r="AL46" s="193">
        <f>AL34/AL32</f>
        <v>7.7157873572981331E-2</v>
      </c>
      <c r="AN46" s="193">
        <f>AN34/AN32</f>
        <v>7.715787359117586E-2</v>
      </c>
      <c r="AP46" s="193">
        <f>AP34/AP32</f>
        <v>7.7157873572202898E-2</v>
      </c>
      <c r="AR46" s="193">
        <f>AR34/AR32</f>
        <v>7.7157873559355689E-2</v>
      </c>
      <c r="AT46" s="193">
        <f>AT34/AT32</f>
        <v>7.7157873567540738E-2</v>
      </c>
      <c r="AV46" s="193">
        <f>AV34/AV32</f>
        <v>7.7157873575472991E-2</v>
      </c>
      <c r="XCS46" s="193"/>
    </row>
    <row r="48" spans="1:49 16319:16321" x14ac:dyDescent="0.2">
      <c r="A48" t="s">
        <v>159</v>
      </c>
      <c r="B48" s="191">
        <f>B24/$B$24</f>
        <v>1</v>
      </c>
      <c r="C48" s="191"/>
      <c r="D48" s="191">
        <f>D24/$B$24</f>
        <v>1.0161716580558</v>
      </c>
      <c r="E48" s="191"/>
      <c r="F48" s="191">
        <f>F24/$B$24</f>
        <v>1.0328779120667981</v>
      </c>
      <c r="G48" s="191"/>
      <c r="H48" s="191">
        <f>H24/$B$24</f>
        <v>1.0502013934379351</v>
      </c>
      <c r="I48" s="191"/>
      <c r="J48" s="191">
        <f>J24/$B$24</f>
        <v>1.068244841394639</v>
      </c>
      <c r="K48" s="191"/>
      <c r="L48" s="191">
        <f>L24/$B$24</f>
        <v>1.087140018949845</v>
      </c>
      <c r="M48" s="191"/>
      <c r="N48" s="191">
        <f>N24/$B$24</f>
        <v>1.1070648723508933</v>
      </c>
      <c r="O48" s="191"/>
      <c r="P48" s="191">
        <f>P24/$B$24</f>
        <v>1.1282710096123032</v>
      </c>
      <c r="Q48" s="191"/>
      <c r="R48" s="191">
        <f>R24/$B$24</f>
        <v>1.1511353052943267</v>
      </c>
      <c r="S48" s="191"/>
      <c r="T48" s="191">
        <f>T24/$B$24</f>
        <v>1.1762562504414158</v>
      </c>
      <c r="U48" s="191"/>
      <c r="V48" s="191">
        <f>V24/$B$24</f>
        <v>1.2046378759545371</v>
      </c>
      <c r="W48" s="191"/>
      <c r="X48" s="191">
        <f>X24/$B$24</f>
        <v>1.2380534358810693</v>
      </c>
      <c r="Y48" s="191"/>
      <c r="Z48" s="191">
        <f>Z24/$B$24</f>
        <v>1.2797614271808351</v>
      </c>
      <c r="AA48" s="191"/>
      <c r="AB48" s="191">
        <f>AB24/$B$24</f>
        <v>1.3357796997683709</v>
      </c>
      <c r="AC48" s="191"/>
      <c r="AD48" s="191">
        <f>AD24/$B$24</f>
        <v>1.4161541302216287</v>
      </c>
      <c r="AE48" s="191"/>
      <c r="AF48" s="191">
        <f>AF24/$B$24</f>
        <v>1.5319626381536429</v>
      </c>
      <c r="AG48" s="191"/>
      <c r="AH48" s="191">
        <f>AH24/$B$24</f>
        <v>1.6794108721554695</v>
      </c>
      <c r="AI48" s="191"/>
      <c r="AJ48" s="191">
        <f>AJ24/$B$24</f>
        <v>1.7990658323409643</v>
      </c>
      <c r="AK48" s="191"/>
      <c r="AL48" s="191">
        <f>AL24/$B$24</f>
        <v>1.6826292244296883</v>
      </c>
      <c r="AM48" s="191"/>
      <c r="AN48" s="191">
        <f>AN24/$B$24</f>
        <v>1.0279670948199888</v>
      </c>
      <c r="AO48" s="191"/>
      <c r="AP48" s="191">
        <f>AP24/$B$24</f>
        <v>0.83641101889971381</v>
      </c>
      <c r="AQ48" s="191"/>
      <c r="AR48" s="191">
        <f>AR24/$B$24</f>
        <v>0.63393756236329057</v>
      </c>
      <c r="AS48" s="191"/>
      <c r="AT48" s="191">
        <f>AT24/$B$24</f>
        <v>0.42494456386460211</v>
      </c>
      <c r="AU48" s="191"/>
      <c r="AV48" s="191">
        <f>AV24/$B$24</f>
        <v>0.21290395861195596</v>
      </c>
    </row>
    <row r="49" spans="1:48 16321:16384" x14ac:dyDescent="0.2">
      <c r="A49" t="s">
        <v>160</v>
      </c>
      <c r="B49" s="191">
        <f>B13/B35/$B$13*$B$35</f>
        <v>1</v>
      </c>
      <c r="C49" s="191"/>
      <c r="D49" s="191">
        <f>D13/D35/$B$13*$B$35</f>
        <v>0.99473919620337259</v>
      </c>
      <c r="E49" s="191"/>
      <c r="F49" s="191">
        <f>F13/F35/$B$13*$B$35</f>
        <v>0.98860181652384349</v>
      </c>
      <c r="G49" s="191"/>
      <c r="H49" s="191">
        <f>H13/H35/$B$13*$B$35</f>
        <v>0.98143372865349621</v>
      </c>
      <c r="I49" s="191"/>
      <c r="J49" s="191">
        <f>J13/J35/$B$13*$B$35</f>
        <v>0.97304160509499205</v>
      </c>
      <c r="K49" s="191"/>
      <c r="L49" s="191">
        <f>L13/L35/$B$13*$B$35</f>
        <v>0.96317817421018326</v>
      </c>
      <c r="M49" s="191"/>
      <c r="N49" s="191">
        <f>N13/N35/$B$13*$B$35</f>
        <v>0.95151893916059982</v>
      </c>
      <c r="O49" s="191"/>
      <c r="P49" s="191">
        <f>P13/P35/$B$13*$B$35</f>
        <v>0.93762661998414853</v>
      </c>
      <c r="Q49" s="191"/>
      <c r="R49" s="191">
        <f>R13/R35/$B$13*$B$35</f>
        <v>0.92089178086982648</v>
      </c>
      <c r="S49" s="191"/>
      <c r="T49" s="191">
        <f>T13/T35/$B$13*$B$35</f>
        <v>0.90043100683042931</v>
      </c>
      <c r="U49" s="191"/>
      <c r="V49" s="191">
        <f>V13/V35/$B$13*$B$35</f>
        <v>0.87490691189186576</v>
      </c>
      <c r="W49" s="191"/>
      <c r="X49" s="191">
        <f>X13/X35/$B$13*$B$35</f>
        <v>0.84219869009650339</v>
      </c>
      <c r="Y49" s="191"/>
      <c r="Z49" s="191">
        <f>Z13/Z35/$B$13*$B$35</f>
        <v>0.79880054001157741</v>
      </c>
      <c r="AA49" s="191"/>
      <c r="AB49" s="191">
        <f>AB13/AB35/$B$13*$B$35</f>
        <v>0.73884370115248421</v>
      </c>
      <c r="AC49" s="191"/>
      <c r="AD49" s="191">
        <f>AD13/AD35/$B$13*$B$35</f>
        <v>0.65328431120259911</v>
      </c>
      <c r="AE49" s="191"/>
      <c r="AF49" s="191">
        <f>AF13/AF35/$B$13*$B$35</f>
        <v>0.53228767991689163</v>
      </c>
      <c r="AG49" s="191"/>
      <c r="AH49" s="191">
        <f>AH13/AH35/$B$13*$B$35</f>
        <v>0.37471068381002626</v>
      </c>
      <c r="AI49" s="191"/>
      <c r="AJ49" s="191">
        <f>AJ13/AJ35/$B$13*$B$35</f>
        <v>0.20103030443369532</v>
      </c>
      <c r="AK49" s="191"/>
      <c r="AL49" s="191">
        <f>AL13/AL35/$B$13*$B$35</f>
        <v>6.1674386611224416E-2</v>
      </c>
      <c r="AM49" s="191"/>
      <c r="AN49" s="191">
        <f>AN13/AN35/$B$13*$B$35</f>
        <v>4.8936499160355381E-3</v>
      </c>
      <c r="AO49" s="191"/>
      <c r="AP49" s="191">
        <f>AP13/AP35/$B$13*$B$35</f>
        <v>2.0439523555969524E-3</v>
      </c>
      <c r="AQ49" s="191"/>
      <c r="AR49" s="191">
        <f>AR13/AR35/$B$13*$B$35</f>
        <v>6.545779216183289E-4</v>
      </c>
      <c r="AS49" s="191"/>
      <c r="AT49" s="191">
        <f>AT13/AT35/$B$13*$B$35</f>
        <v>1.3011319157724133E-4</v>
      </c>
      <c r="AU49" s="191"/>
      <c r="AV49" s="191">
        <f>AV13/AV35/$B$13*$B$35</f>
        <v>8.1509818112702575E-6</v>
      </c>
    </row>
    <row r="51" spans="1:48 16321:16384" x14ac:dyDescent="0.2">
      <c r="A51" t="s">
        <v>166</v>
      </c>
      <c r="B51" s="29">
        <f>B30-B10*B23</f>
        <v>-405838.32800000021</v>
      </c>
      <c r="D51" s="29">
        <f>D30-D10*D23</f>
        <v>-329201.083913296</v>
      </c>
      <c r="F51" s="29">
        <f>F30-F10*F23</f>
        <v>-249109.26176590007</v>
      </c>
      <c r="H51" s="29">
        <f>H30-H10*H23</f>
        <v>-164978.58990563685</v>
      </c>
      <c r="J51" s="29">
        <f>J30-J10*J23</f>
        <v>-76082.134809580166</v>
      </c>
      <c r="L51" s="29">
        <f>L30-L10*L23</f>
        <v>18506.848387554754</v>
      </c>
      <c r="N51" s="29">
        <f>N30-N10*N23</f>
        <v>120031.12674977025</v>
      </c>
      <c r="P51" s="29">
        <f>P30-P10*P23</f>
        <v>230212.93161963066</v>
      </c>
      <c r="R51" s="29">
        <f>R30-R10*R23</f>
        <v>351575.04388105916</v>
      </c>
      <c r="T51" s="29">
        <f>T30-T10*T23</f>
        <v>488025.23699321551</v>
      </c>
      <c r="V51" s="29">
        <f>V30-V10*V23</f>
        <v>645972.44060058473</v>
      </c>
      <c r="X51" s="29">
        <f>X30-X10*X23</f>
        <v>836554.75755872065</v>
      </c>
      <c r="Z51" s="29">
        <f>Z30-Z10*Z23</f>
        <v>1080159.6010743561</v>
      </c>
      <c r="AB51" s="29">
        <f>AB30-AB10*AB23</f>
        <v>1415138.4742192025</v>
      </c>
      <c r="AD51" s="29">
        <f>AD30-AD10*AD23</f>
        <v>1910105.4652451486</v>
      </c>
      <c r="AF51" s="29">
        <f>AF30-AF10*AF23</f>
        <v>2661689.7561179791</v>
      </c>
      <c r="AH51" s="29">
        <f>AH30-AH10*AH23</f>
        <v>3733085.6833326882</v>
      </c>
      <c r="AJ51" s="29">
        <f>AJ30-AJ10*AJ23</f>
        <v>4962995.4207947711</v>
      </c>
      <c r="AL51" s="29">
        <f>AL30-AL10*AL23</f>
        <v>5448801.900921328</v>
      </c>
      <c r="AN51" s="29">
        <f>AN30-AN10*AN23</f>
        <v>3604851.9004078866</v>
      </c>
      <c r="AP51" s="29">
        <f>AP30-AP10*AP23</f>
        <v>2951644.7350138118</v>
      </c>
      <c r="AQ51" s="29"/>
      <c r="AR51" s="29">
        <f>AR30-AR10*AR23</f>
        <v>2245829.3074925393</v>
      </c>
      <c r="AT51" s="29">
        <f>AT30-AT10*AT23</f>
        <v>1508468.5958794265</v>
      </c>
      <c r="AV51" s="29">
        <f>AV30-AV10*AV23</f>
        <v>756329.47922928969</v>
      </c>
      <c r="XFD51" s="29"/>
    </row>
    <row r="52" spans="1:48 16321:16384" x14ac:dyDescent="0.2">
      <c r="A52" t="s">
        <v>167</v>
      </c>
      <c r="B52" s="29">
        <f t="array" ref="B52">Calibration!sL*SUM(B13:C13*B26:C26)</f>
        <v>2049247.8195702801</v>
      </c>
      <c r="D52" s="29">
        <f t="array" ref="D52">Calibration!sL*SUM(D13:E13*D26:E26)</f>
        <v>2043939.8737540157</v>
      </c>
      <c r="F52" s="29">
        <f t="array" ref="F52">Calibration!sL*SUM(F13:G13*F26:G26)</f>
        <v>2037415.4692049683</v>
      </c>
      <c r="H52" s="29">
        <f t="array" ref="H52">Calibration!sL*SUM(H13:I13*H26:I26)</f>
        <v>2029455.5515653829</v>
      </c>
      <c r="J52" s="29">
        <f t="array" ref="J52">Calibration!sL*SUM(J13:K13*J26:K26)</f>
        <v>2019787.620372718</v>
      </c>
      <c r="L52" s="29">
        <f t="array" ref="L52">Calibration!sL*SUM(L13:M13*L26:M26)</f>
        <v>2008067.8081611763</v>
      </c>
      <c r="N52" s="29">
        <f t="array" ref="N52">Calibration!sL*SUM(N13:O13*N26:O26)</f>
        <v>1993852.8384766132</v>
      </c>
      <c r="P52" s="29">
        <f t="array" ref="P52">Calibration!sL*SUM(P13:Q13*P26:Q26)</f>
        <v>1976558.4953913987</v>
      </c>
      <c r="R52" s="29">
        <f t="array" ref="R52">Calibration!sL*SUM(R13:S13*R26:S26)</f>
        <v>1955389.9708998969</v>
      </c>
      <c r="T52" s="29">
        <f t="array" ref="T52">Calibration!sL*SUM(T13:U13*T26:U26)</f>
        <v>1929220.6881523924</v>
      </c>
      <c r="V52" s="29">
        <f t="array" ref="V52">Calibration!sL*SUM(V13:W13*V26:W26)</f>
        <v>1896371.0843047919</v>
      </c>
      <c r="X52" s="29">
        <f t="array" ref="X52">Calibration!sL*SUM(X13:Y13*X26:Y26)</f>
        <v>1854177.6160981695</v>
      </c>
      <c r="Z52" s="29">
        <f t="array" ref="Z52">Calibration!sL*SUM(Z13:AA13*Z26:AA26)</f>
        <v>1798108.5607590089</v>
      </c>
      <c r="AB52" s="29">
        <f t="array" ref="AB52">Calibration!sL*SUM(AB13:AC13*AB26:AC26)</f>
        <v>1719920.2374447433</v>
      </c>
      <c r="AD52" s="29">
        <f t="array" ref="AD52">Calibration!sL*SUM(AD13:AE13*AD26:AE26)</f>
        <v>1604154.2620380083</v>
      </c>
      <c r="AF52" s="29">
        <f t="array" ref="AF52">Calibration!sL*SUM(AF13:AG13*AF26:AG26)</f>
        <v>1423691.4192733273</v>
      </c>
      <c r="AH52" s="29">
        <f t="array" ref="AH52">Calibration!sL*SUM(AH13:AI13*AH26:AI26)</f>
        <v>1140177.4848036582</v>
      </c>
      <c r="AJ52" s="29">
        <f t="array" ref="AJ52">Calibration!sL*SUM(AJ13:AK13*AJ26:AK26)</f>
        <v>727126.326595166</v>
      </c>
      <c r="AL52" s="29">
        <f t="array" ref="AL52">Calibration!sL*SUM(AL13:AM13*AL26:AM26)</f>
        <v>268152.65151661757</v>
      </c>
      <c r="AN52" s="29">
        <f t="array" ref="AN52">Calibration!sL*SUM(AN13:AO13*AN26:AO26)</f>
        <v>23889.392278877134</v>
      </c>
      <c r="AP52" s="29">
        <f t="array" ref="AP52">Calibration!sL*SUM(AP13:AQ13*AP26:AQ26)</f>
        <v>10078.043149177111</v>
      </c>
      <c r="AQ52" s="29"/>
      <c r="AR52" s="29">
        <f t="array" ref="AR52">Calibration!sL*SUM(AR13:AS13*AR26:AS26)</f>
        <v>3247.6139855653123</v>
      </c>
      <c r="AT52" s="29">
        <f t="array" ref="AT52">Calibration!sL*SUM(AT13:AU13*AT26:AU26)</f>
        <v>647.63568514903147</v>
      </c>
      <c r="AV52" s="29">
        <f t="array" ref="AV52">Calibration!sL*SUM(AV13:AW13*AV26:AW26)</f>
        <v>40.620120025958549</v>
      </c>
    </row>
    <row r="53" spans="1:48 16321:16384" x14ac:dyDescent="0.2">
      <c r="A53" t="s">
        <v>168</v>
      </c>
      <c r="B53" s="29">
        <f t="array" ref="B53">Calibration!sK*SUM(B15:C15*B27:C27)</f>
        <v>2740714.4444297305</v>
      </c>
      <c r="D53" s="29">
        <f t="array" ref="D53">Calibration!sK*SUM(D15:E15*D27:E27)</f>
        <v>2715136.1830577333</v>
      </c>
      <c r="F53" s="29">
        <f t="array" ref="F53">Calibration!sK*SUM(F15:G15*F27:G27)</f>
        <v>2688128.2129130824</v>
      </c>
      <c r="H53" s="29">
        <f t="array" ref="H53">Calibration!sK*SUM(H15:I15*H27:I27)</f>
        <v>2659430.6212212276</v>
      </c>
      <c r="J53" s="29">
        <f t="array" ref="J53">Calibration!sK*SUM(J15:K15*J27:K27)</f>
        <v>2628724.870373996</v>
      </c>
      <c r="L53" s="29">
        <f t="array" ref="L53">Calibration!sK*SUM(L15:M15*L27:M27)</f>
        <v>2595617.9382769051</v>
      </c>
      <c r="N53" s="29">
        <f t="array" ref="N53">Calibration!sK*SUM(N15:O15*N27:O27)</f>
        <v>2559612.8542750739</v>
      </c>
      <c r="P53" s="29">
        <f t="array" ref="P53">Calibration!sK*SUM(P15:Q15*P27:Q27)</f>
        <v>2520070.6159646059</v>
      </c>
      <c r="R53" s="29">
        <f t="array" ref="R53">Calibration!sK*SUM(R15:S15*R27:S27)</f>
        <v>2476138.9302524109</v>
      </c>
      <c r="T53" s="29">
        <f t="array" ref="T53">Calibration!sK*SUM(T15:U15*T27:U27)</f>
        <v>2426627.959548309</v>
      </c>
      <c r="V53" s="29">
        <f t="array" ref="V53">Calibration!sK*SUM(V15:W15*V27:W27)</f>
        <v>2369774.3990444853</v>
      </c>
      <c r="X53" s="29">
        <f t="array" ref="X53">Calibration!sK*SUM(X15:Y15*X27:Y27)</f>
        <v>2302764.5868920055</v>
      </c>
      <c r="Z53" s="29">
        <f t="array" ref="Z53">Calibration!sK*SUM(Z15:AA15*Z27:AA27)</f>
        <v>2220715.6313548647</v>
      </c>
      <c r="AB53" s="29">
        <f t="array" ref="AB53">Calibration!sK*SUM(AB15:AC15*AB27:AC27)</f>
        <v>2114439.6157401884</v>
      </c>
      <c r="AD53" s="29">
        <f t="array" ref="AD53">Calibration!sK*SUM(AD15:AE15*AD27:AE27)</f>
        <v>1965911.2617581268</v>
      </c>
      <c r="AF53" s="29">
        <f t="array" ref="AF53">Calibration!sK*SUM(AF15:AG15*AF27:AG27)</f>
        <v>1741988.0847111291</v>
      </c>
      <c r="AH53" s="29">
        <f t="array" ref="AH53">Calibration!sK*SUM(AH15:AI15*AH27:AI27)</f>
        <v>1394374.1189131851</v>
      </c>
      <c r="AJ53" s="29">
        <f t="array" ref="AJ53">Calibration!sK*SUM(AJ15:AK15*AJ27:AK27)</f>
        <v>889142.73104972974</v>
      </c>
      <c r="AL53" s="29">
        <f t="array" ref="AL53">Calibration!sK*SUM(AL15:AM15*AL27:AM27)</f>
        <v>327896.8592484637</v>
      </c>
      <c r="AN53" s="29">
        <f t="array" ref="AN53">Calibration!sK*SUM(AN15:AO15*AN27:AO27)</f>
        <v>29211.877685080195</v>
      </c>
      <c r="AP53" s="29">
        <f t="array" ref="AP53">Calibration!sK*SUM(AP15:AQ15*AP27:AQ27)</f>
        <v>12323.398140870833</v>
      </c>
      <c r="AQ53" s="29"/>
      <c r="AR53" s="29">
        <f t="array" ref="AR53">Calibration!sK*SUM(AR15:AS15*AR27:AS27)</f>
        <v>3971.1699501303401</v>
      </c>
      <c r="AT53" s="29">
        <f t="array" ref="AT53">Calibration!sK*SUM(AT15:AU15*AT27:AU27)</f>
        <v>791.9261944583435</v>
      </c>
      <c r="AV53" s="29">
        <f t="array" ref="AV53">Calibration!sK*SUM(AV15:AW15*AV27:AW27)</f>
        <v>49.67015502293475</v>
      </c>
      <c r="XFD53" s="29"/>
    </row>
    <row r="55" spans="1:48 16321:16384" x14ac:dyDescent="0.2">
      <c r="A55" t="s">
        <v>169</v>
      </c>
      <c r="B55" s="193">
        <f>B30/B32</f>
        <v>0.19850271905982084</v>
      </c>
      <c r="D55" s="193">
        <f>D30/D32</f>
        <v>0.20370567538068698</v>
      </c>
      <c r="F55" s="193">
        <f>F30/F32</f>
        <v>0.20913769010306879</v>
      </c>
      <c r="H55" s="193">
        <f>H30/H32</f>
        <v>0.21484237599060041</v>
      </c>
      <c r="J55" s="193">
        <f>J30/J32</f>
        <v>0.22087474825313091</v>
      </c>
      <c r="L55" s="193">
        <f>L30/L32</f>
        <v>0.22730587344671133</v>
      </c>
      <c r="N55" s="193">
        <f>N30/N32</f>
        <v>0.23423191078116518</v>
      </c>
      <c r="P55" s="193">
        <f>P30/P32</f>
        <v>0.24178697798938681</v>
      </c>
      <c r="R55" s="193">
        <f>R30/R32</f>
        <v>0.25016779202665812</v>
      </c>
      <c r="T55" s="193">
        <f>T30/T32</f>
        <v>0.25967820733677277</v>
      </c>
      <c r="V55" s="193">
        <f>V30/V32</f>
        <v>0.27081394188199609</v>
      </c>
      <c r="X55" s="193">
        <f>X30/X32</f>
        <v>0.28443188329763319</v>
      </c>
      <c r="Z55" s="193">
        <f>Z30/Z32</f>
        <v>0.30209747826730809</v>
      </c>
      <c r="AB55" s="193">
        <f>AB30/AB32</f>
        <v>0.32678013694802094</v>
      </c>
      <c r="AD55" s="193">
        <f>AD30/AD32</f>
        <v>0.36400275010412658</v>
      </c>
      <c r="AF55" s="193">
        <f>AF30/AF32</f>
        <v>0.42279869596031971</v>
      </c>
      <c r="AH55" s="193">
        <f>AH30/AH32</f>
        <v>0.51540933421763402</v>
      </c>
      <c r="AJ55" s="193">
        <f>AJ30/AJ32</f>
        <v>0.65523769034815915</v>
      </c>
      <c r="AL55" s="193">
        <f>AL30/AL32</f>
        <v>0.83554320561234452</v>
      </c>
      <c r="AN55" s="193">
        <f>AN30/AN32</f>
        <v>0.9728648881238845</v>
      </c>
      <c r="AP55" s="193">
        <f>AP30/AP32</f>
        <v>0.98577766456655291</v>
      </c>
      <c r="AR55" s="193">
        <f>AR30/AR32</f>
        <v>0.99391204428603042</v>
      </c>
      <c r="AT55" s="193">
        <f>AT30/AT32</f>
        <v>0.99818244823809898</v>
      </c>
      <c r="AV55" s="193">
        <f>AV30/AV32</f>
        <v>0.99977216725123919</v>
      </c>
      <c r="XCS55" s="193"/>
      <c r="XFD55" s="193"/>
    </row>
    <row r="56" spans="1:48 16321:16384" x14ac:dyDescent="0.2">
      <c r="A56" t="s">
        <v>170</v>
      </c>
      <c r="B56" s="193">
        <f>(Model!$C$52*B5*B20+B2*C5*C20)/B32</f>
        <v>2.9221206744340551E-2</v>
      </c>
      <c r="D56" s="193">
        <f>(Model!$C$52*D5*D20+D2*E5*E20)/D32</f>
        <v>3.4925222935449141E-2</v>
      </c>
      <c r="F56" s="193">
        <f>(Model!$C$52*F5*F20+F2*G5*G20)/F32</f>
        <v>4.091092328719758E-2</v>
      </c>
      <c r="H56" s="193">
        <f>(Model!$C$52*H5*H20+H2*I5*I20)/H32</f>
        <v>4.7231424664551921E-2</v>
      </c>
      <c r="J56" s="193">
        <f>(Model!$C$52*J5*J20+J2*K5*K20)/J32</f>
        <v>5.3953905149077545E-2</v>
      </c>
      <c r="L56" s="193">
        <f>(Model!$C$52*L5*L20+L2*M5*M20)/L32</f>
        <v>6.1165407902857558E-2</v>
      </c>
      <c r="N56" s="193">
        <f>(Model!$C$52*N5*N20+N2*O5*O20)/N32</f>
        <v>6.8983867947906674E-2</v>
      </c>
      <c r="P56" s="193">
        <f>(Model!$C$52*P5*P20+P2*Q5*Q20)/P32</f>
        <v>7.7574117604854276E-2</v>
      </c>
      <c r="R56" s="193">
        <f>(Model!$C$52*R5*R20+R2*S5*S20)/R32</f>
        <v>8.717811282852049E-2</v>
      </c>
      <c r="T56" s="193">
        <f>(Model!$C$52*T5*T20+T2*U5*U20)/T32</f>
        <v>9.8169478231104779E-2</v>
      </c>
      <c r="V56" s="193">
        <f>(Model!$C$52*V5*V20+V2*W5*W20)/V32</f>
        <v>0.11115701897510016</v>
      </c>
      <c r="X56" s="193">
        <f>(Model!$C$52*X5*X20+X2*Y5*Y20)/X32</f>
        <v>0.12719086434035892</v>
      </c>
      <c r="Z56" s="193">
        <f>(Model!$C$52*Z5*Z20+Z2*AA5*AA20)/Z32</f>
        <v>0.14818395367979301</v>
      </c>
      <c r="AB56" s="193">
        <f>(Model!$C$52*AB5*AB20+AB2*AC5*AC20)/AB32</f>
        <v>0.17775193660904534</v>
      </c>
      <c r="AD56" s="193">
        <f>(Model!$C$52*AD5*AD20+AD2*AE5*AE20)/AD32</f>
        <v>0.22259101365023837</v>
      </c>
      <c r="AF56" s="193">
        <f>(Model!$C$52*AF5*AF20+AF2*AG5*AG20)/AF32</f>
        <v>0.29360135103363738</v>
      </c>
      <c r="AH56" s="193">
        <f>(Model!$C$52*AH5*AH20+AH2*AI5*AI20)/AH32</f>
        <v>0.40549923947755379</v>
      </c>
      <c r="AJ56" s="193">
        <f>(Model!$C$52*AJ5*AJ20+AJ2*AK5*AK20)/AJ32</f>
        <v>0.57438448674654119</v>
      </c>
      <c r="AL56" s="193">
        <f>(Model!$C$52*AL5*AL20+AL2*AM5*AM20)/AL32</f>
        <v>0.79206012443379037</v>
      </c>
      <c r="AN56" s="193">
        <f>(Model!$C$52*AN5*AN20+AN2*AO5*AO20)/AN32</f>
        <v>0.95779341306973997</v>
      </c>
      <c r="AP56" s="193">
        <f>(Model!$C$52*AP5*AP20+AP2*AQ5*AQ20)/AP32</f>
        <v>0.97337612156631836</v>
      </c>
      <c r="AR56" s="193">
        <f>(Model!$C$52*AR5*AR20+AR2*AS5*AS20)/AR32</f>
        <v>0.98319228630630018</v>
      </c>
      <c r="AT56" s="193">
        <f>(Model!$C$52*AT5*AT20+AT2*AU5*AU20)/AT32</f>
        <v>0.98834555719090456</v>
      </c>
      <c r="AV56" s="193">
        <f>(Model!$C$52*AV5*AV20+AV2*AW5*AW20)/AV32</f>
        <v>0.99026392915007166</v>
      </c>
      <c r="XFD56" s="193"/>
    </row>
    <row r="57" spans="1:48 16321:16384" x14ac:dyDescent="0.2">
      <c r="A57" t="s">
        <v>171</v>
      </c>
      <c r="B57" s="193">
        <f t="array" ref="B57">SUM(Model!tauL*B13:C13*B26:C26)/B32</f>
        <v>0.15852881819439493</v>
      </c>
      <c r="D57" s="193">
        <f t="array" ref="D57">SUM(Model!tauL*D13:E13*D26:E26)/D32</f>
        <v>0.15810595171221564</v>
      </c>
      <c r="F57" s="193">
        <f t="array" ref="F57">SUM(Model!tauL*F13:G13*F26:G26)/F32</f>
        <v>0.15763152634869376</v>
      </c>
      <c r="H57" s="193">
        <f t="array" ref="H57">SUM(Model!tauL*H13:I13*H26:I26)/H32</f>
        <v>0.15709642966236809</v>
      </c>
      <c r="J57" s="193">
        <f t="array" ref="J57">SUM(Model!tauL*J13:K13*J26:K26)/J32</f>
        <v>0.15648898693224922</v>
      </c>
      <c r="L57" s="193">
        <f t="array" ref="L57">SUM(Model!tauL*L13:M13*L26:M26)/L32</f>
        <v>0.15579381452219335</v>
      </c>
      <c r="N57" s="193">
        <f t="array" ref="N57">SUM(Model!tauL*N13:O13*N26:O26)/N32</f>
        <v>0.15498985604957322</v>
      </c>
      <c r="P57" s="193">
        <f t="array" ref="P57">SUM(Model!tauL*P13:Q13*P26:Q26)/P32</f>
        <v>0.15404724188857497</v>
      </c>
      <c r="R57" s="193">
        <f t="array" ref="R57">SUM(Model!tauL*R13:S13*R26:S26)/R32</f>
        <v>0.15292170533062746</v>
      </c>
      <c r="T57" s="193">
        <f t="array" ref="T57">SUM(Model!tauL*T13:U13*T26:U26)/T32</f>
        <v>0.15154452912805524</v>
      </c>
      <c r="V57" s="193">
        <f t="array" ref="V57">SUM(Model!tauL*V13:W13*V26:W26)/V32</f>
        <v>0.14980364555062922</v>
      </c>
      <c r="X57" s="193">
        <f t="array" ref="X57">SUM(Model!tauL*X13:Y13*X26:Y26)/X32</f>
        <v>0.14750651306710588</v>
      </c>
      <c r="Y57" s="193"/>
      <c r="Z57" s="193">
        <f t="array" ref="Z57">SUM(Model!tauL*Z13:AA13*Z26:AA26)/Z32</f>
        <v>0.14430533039312451</v>
      </c>
      <c r="AB57" s="193">
        <f t="array" ref="AB57">SUM(Model!tauL*AB13:AC13*AB26:AC26)/AB32</f>
        <v>0.13955103412452449</v>
      </c>
      <c r="AD57" s="193">
        <f t="array" ref="AD57">SUM(Model!tauL*AD13:AE13*AD26:AE26)/AD32</f>
        <v>0.13206234246643273</v>
      </c>
      <c r="AF57" s="193">
        <f t="array" ref="AF57">SUM(Model!tauL*AF13:AG13*AF26:AG26)/AF32</f>
        <v>0.11995727117866961</v>
      </c>
      <c r="AH57" s="193">
        <f t="array" ref="AH57">SUM(Model!tauL*AH13:AI13*AH26:AI26)/AH32</f>
        <v>0.10073852751973969</v>
      </c>
      <c r="AJ57" s="193">
        <f t="array" ref="AJ57">SUM(Model!tauL*AJ13:AK13*AJ26:AK26)/AJ32</f>
        <v>7.1674553411533601E-2</v>
      </c>
      <c r="AL57" s="193">
        <f t="array" ref="AL57">SUM(Model!tauL*AL13:AM13*AL26:AM26)/AL32</f>
        <v>3.419011432420601E-2</v>
      </c>
      <c r="AN57" s="193">
        <f t="array" ref="AN57">SUM(Model!tauL*AN13:AO13*AN26:AO26)/AN32</f>
        <v>5.6413202171365709E-3</v>
      </c>
      <c r="AP57" s="193">
        <f t="array" ref="AP57">SUM(Model!tauL*AP13:AQ13*AP26:AQ26)/AP32</f>
        <v>2.9567877023713995E-3</v>
      </c>
      <c r="AR57" s="193">
        <f t="array" ref="AR57">SUM(Model!tauL*AR13:AS13*AR26:AS26)/AR32</f>
        <v>1.2656712306865921E-3</v>
      </c>
      <c r="AT57" s="193">
        <f t="array" ref="AT57">SUM(Model!tauL*AT13:AU13*AT26:AU26)/AT32</f>
        <v>3.7786471461197094E-4</v>
      </c>
      <c r="AV57" s="193">
        <f t="array" ref="AV57">SUM(Model!tauL*AV13:AW13*AV26:AW26)/AV32</f>
        <v>4.7365840403429042E-5</v>
      </c>
      <c r="XFD57" s="193"/>
    </row>
    <row r="58" spans="1:48 16321:16384" x14ac:dyDescent="0.2">
      <c r="A58" t="s">
        <v>172</v>
      </c>
      <c r="B58" s="193">
        <f t="array" ref="B58">SUM(Model!tauY/(1+Model!tauY)*B3:C3*B18:C18)/B32</f>
        <v>1.075269412108535E-2</v>
      </c>
      <c r="D58" s="193">
        <f t="array" ref="D58">SUM(Model!tauY/(1+Model!tauY)*D3:E3*D18:E18)/D32</f>
        <v>1.0674500733022247E-2</v>
      </c>
      <c r="F58" s="193">
        <f t="array" ref="F58">SUM(Model!tauY/(1+Model!tauY)*F3:G3*F18:G18)/F32</f>
        <v>1.0595240467177464E-2</v>
      </c>
      <c r="H58" s="193">
        <f t="array" ref="H58">SUM(Model!tauY/(1+Model!tauY)*H3:I3*H18:I18)/H32</f>
        <v>1.0514521663680403E-2</v>
      </c>
      <c r="J58" s="193">
        <f t="array" ref="J58">SUM(Model!tauY/(1+Model!tauY)*J3:K3*J18:K18)/J32</f>
        <v>1.0431856171804137E-2</v>
      </c>
      <c r="L58" s="193">
        <f t="array" ref="L58">SUM(Model!tauY/(1+Model!tauY)*L3:M3*L18:M18)/L32</f>
        <v>1.0346651021660446E-2</v>
      </c>
      <c r="N58" s="193">
        <f t="array" ref="N58">SUM(Model!tauY/(1+Model!tauY)*N3:O3*N18:O18)/N32</f>
        <v>1.0258186783685281E-2</v>
      </c>
      <c r="P58" s="193">
        <f t="array" ref="P58">SUM(Model!tauY/(1+Model!tauY)*P3:Q3*P18:Q18)/P32</f>
        <v>1.0165618495957592E-2</v>
      </c>
      <c r="R58" s="193">
        <f t="array" ref="R58">SUM(Model!tauY/(1+Model!tauY)*R3:S3*R18:S18)/R32</f>
        <v>1.006797386751015E-2</v>
      </c>
      <c r="T58" s="193">
        <f t="array" ref="T58">SUM(Model!tauY/(1+Model!tauY)*T3:U3*T18:U18)/T32</f>
        <v>9.9641999776127373E-3</v>
      </c>
      <c r="V58" s="193">
        <f t="array" ref="V58">SUM(Model!tauY/(1+Model!tauY)*V3:W3*V18:W18)/V32</f>
        <v>9.8532773562666556E-3</v>
      </c>
      <c r="X58" s="193">
        <f t="array" ref="X58">SUM(Model!tauY/(1+Model!tauY)*X3:Y3*X18:Y18)/X32</f>
        <v>9.7345058901683306E-3</v>
      </c>
      <c r="Y58" s="193"/>
      <c r="Z58" s="193">
        <f t="array" ref="Z58">SUM(Model!tauY/(1+Model!tauY)*Z3:AA3*Z18:AA18)/Z32</f>
        <v>9.6081941943905631E-3</v>
      </c>
      <c r="AB58" s="193">
        <f t="array" ref="AB58">SUM(Model!tauY/(1+Model!tauY)*AB3:AC3*AB18:AC18)/AB32</f>
        <v>9.4771662144510944E-3</v>
      </c>
      <c r="AD58" s="193">
        <f t="array" ref="AD58">SUM(Model!tauY/(1+Model!tauY)*AD3:AE3*AD18:AE18)/AD32</f>
        <v>9.3493939874554812E-3</v>
      </c>
      <c r="AF58" s="193">
        <f t="array" ref="AF58">SUM(Model!tauY/(1+Model!tauY)*AF3:AG3*AF18:AG18)/AF32</f>
        <v>9.2400737480127001E-3</v>
      </c>
      <c r="AH58" s="193">
        <f t="array" ref="AH58">SUM(Model!tauY/(1+Model!tauY)*AH3:AI3*AH18:AI18)/AH32</f>
        <v>9.1715672203405239E-3</v>
      </c>
      <c r="AJ58" s="193">
        <f t="array" ref="AJ58">SUM(Model!tauY/(1+Model!tauY)*AJ3:AK3*AJ18:AK18)/AJ32</f>
        <v>9.1786501900843996E-3</v>
      </c>
      <c r="AL58" s="193">
        <f t="array" ref="AL58">SUM(Model!tauY/(1+Model!tauY)*AL3:AM3*AL18:AM18)/AL32</f>
        <v>9.292966854348203E-3</v>
      </c>
      <c r="AN58" s="193">
        <f t="array" ref="AN58">SUM(Model!tauY/(1+Model!tauY)*AN3:AO3*AN18:AO18)/AN32</f>
        <v>9.4301548370080302E-3</v>
      </c>
      <c r="AP58" s="193">
        <f t="array" ref="AP58">SUM(Model!tauY/(1+Model!tauY)*AP3:AQ3*AP18:AQ18)/AP32</f>
        <v>9.4447552978630823E-3</v>
      </c>
      <c r="AR58" s="193">
        <f t="array" ref="AR58">SUM(Model!tauY/(1+Model!tauY)*AR3:AS3*AR18:AS18)/AR32</f>
        <v>9.4540867490435047E-3</v>
      </c>
      <c r="AT58" s="193">
        <f t="array" ref="AT58">SUM(Model!tauY/(1+Model!tauY)*AT3:AU3*AT18:AU18)/AT32</f>
        <v>9.4590263325824379E-3</v>
      </c>
      <c r="AV58" s="193">
        <f t="array" ref="AV58">SUM(Model!tauY/(1+Model!tauY)*AV3:AW3*AV18:AW18)/AV32</f>
        <v>9.4608722607642075E-3</v>
      </c>
      <c r="XFD58" s="193"/>
    </row>
    <row r="59" spans="1:48 16321:16384" x14ac:dyDescent="0.2">
      <c r="A59" t="s">
        <v>173</v>
      </c>
      <c r="B59" s="193">
        <f>(B2*C5*C20)/B32</f>
        <v>5.5174232040962052E-4</v>
      </c>
      <c r="D59" s="193">
        <f>(D2*E5*E20)/D32</f>
        <v>6.3080137484604823E-3</v>
      </c>
      <c r="F59" s="193">
        <f>(F2*G5*G20)/F32</f>
        <v>1.2346474372160035E-2</v>
      </c>
      <c r="H59" s="193">
        <f>(H2*I5*I20)/H32</f>
        <v>1.8720267467706903E-2</v>
      </c>
      <c r="J59" s="193">
        <f>(J2*K5*K20)/J32</f>
        <v>2.549659249472571E-2</v>
      </c>
      <c r="L59" s="193">
        <f>(L2*M5*M20)/L32</f>
        <v>3.2762507788522757E-2</v>
      </c>
      <c r="N59" s="193">
        <f>(N2*O5*O20)/N32</f>
        <v>4.0635972021437566E-2</v>
      </c>
      <c r="P59" s="193">
        <f>(P2*Q5*Q20)/P32</f>
        <v>4.9281865441241329E-2</v>
      </c>
      <c r="R59" s="193">
        <f>(R2*S5*S20)/R32</f>
        <v>5.8942269142372078E-2</v>
      </c>
      <c r="T59" s="193">
        <f>(T2*U5*U20)/T32</f>
        <v>6.9991108249195993E-2</v>
      </c>
      <c r="V59" s="193">
        <f>(V2*W5*W20)/V32</f>
        <v>8.3037866380961653E-2</v>
      </c>
      <c r="X59" s="193">
        <f>(X2*Y5*Y20)/X32</f>
        <v>9.9134125121550495E-2</v>
      </c>
      <c r="Z59" s="193">
        <f>(Z2*AA5*AA20)/Z32</f>
        <v>0.12019573966551333</v>
      </c>
      <c r="AB59" s="193">
        <f>(AB2*AC5*AC20)/AB32</f>
        <v>0.14984345131439752</v>
      </c>
      <c r="AD59" s="193">
        <f>(AD2*AE5*AE20)/AD32</f>
        <v>0.19477857273385732</v>
      </c>
      <c r="AF59" s="193">
        <f>(AF2*AG5*AG20)/AF32</f>
        <v>0.26589108191027766</v>
      </c>
      <c r="AH59" s="193">
        <f>(AH2*AI5*AI20)/AH32</f>
        <v>0.37783689025193562</v>
      </c>
      <c r="AJ59" s="193">
        <f>(AJ2*AK5*AK20)/AJ32</f>
        <v>0.54658341234772945</v>
      </c>
      <c r="AL59" s="193">
        <f>(AL2*AM5*AM20)/AL32</f>
        <v>0.76381741113864354</v>
      </c>
      <c r="AN59" s="193">
        <f>(AN2*AO5*AO20)/AN32</f>
        <v>0.92907602932200584</v>
      </c>
      <c r="AP59" s="193">
        <f>(AP2*AQ5*AQ20)/AP32</f>
        <v>0.94460924593699802</v>
      </c>
      <c r="AR59" s="193">
        <f>(AR2*AS5*AS20)/AR32</f>
        <v>0.95439384668335436</v>
      </c>
      <c r="AT59" s="193">
        <f>(AT2*AU5*AU20)/AT32</f>
        <v>0.95953042923668797</v>
      </c>
      <c r="AV59" s="193">
        <f>(AV2*AW5*AW20)/AV32</f>
        <v>0.96144256818355156</v>
      </c>
      <c r="XFD59" s="193"/>
    </row>
    <row r="60" spans="1:48 16321:16384" x14ac:dyDescent="0.2">
      <c r="A60" t="s">
        <v>174</v>
      </c>
      <c r="B60" s="193">
        <f>Model!$C$52*B5*B20/B32</f>
        <v>2.8669464423930927E-2</v>
      </c>
      <c r="D60" s="193">
        <f>Model!$C$52*D5*D20/D32</f>
        <v>2.8617209186988662E-2</v>
      </c>
      <c r="F60" s="193">
        <f>Model!$C$52*F5*F20/F32</f>
        <v>2.8564448915037538E-2</v>
      </c>
      <c r="H60" s="193">
        <f>Model!$C$52*H5*H20/H32</f>
        <v>2.8511157196845018E-2</v>
      </c>
      <c r="J60" s="193">
        <f>Model!$C$52*J5*J20/J32</f>
        <v>2.8457312654351835E-2</v>
      </c>
      <c r="L60" s="193">
        <f>Model!$C$52*L5*L20/L32</f>
        <v>2.8402900114334797E-2</v>
      </c>
      <c r="N60" s="193">
        <f>Model!$C$52*N5*N20/N32</f>
        <v>2.8347895926469108E-2</v>
      </c>
      <c r="P60" s="193">
        <f>Model!$C$52*P5*P20/P32</f>
        <v>2.829225216361295E-2</v>
      </c>
      <c r="R60" s="193">
        <f>Model!$C$52*R5*R20/R32</f>
        <v>2.8235843686148412E-2</v>
      </c>
      <c r="T60" s="193">
        <f>Model!$C$52*T5*T20/T32</f>
        <v>2.8178369981908782E-2</v>
      </c>
      <c r="V60" s="193">
        <f>Model!$C$52*V5*V20/V32</f>
        <v>2.8119152594138514E-2</v>
      </c>
      <c r="X60" s="193">
        <f>Model!$C$52*X5*X20/X32</f>
        <v>2.8056739218808434E-2</v>
      </c>
      <c r="Z60" s="193">
        <f>Model!$C$52*Z5*Z20/Z32</f>
        <v>2.7988214014279665E-2</v>
      </c>
      <c r="AB60" s="193">
        <f>Model!$C$52*AB5*AB20/AB32</f>
        <v>2.7908485294647799E-2</v>
      </c>
      <c r="AD60" s="193">
        <f>Model!$C$52*AD5*AD20/AD32</f>
        <v>2.7812440916381038E-2</v>
      </c>
      <c r="AF60" s="193">
        <f>Model!$C$52*AF5*AF20/AF32</f>
        <v>2.7710269123359738E-2</v>
      </c>
      <c r="AH60" s="193">
        <f>Model!$C$52*AH5*AH20/AH32</f>
        <v>2.7662349225618135E-2</v>
      </c>
      <c r="AJ60" s="193">
        <f>Model!$C$52*AJ5*AJ20/AJ32</f>
        <v>2.7801074398811718E-2</v>
      </c>
      <c r="AL60" s="193">
        <f>Model!$C$52*AL5*AL20/AL32</f>
        <v>2.824271329514676E-2</v>
      </c>
      <c r="AN60" s="193">
        <f>Model!$C$52*AN5*AN20/AN32</f>
        <v>2.8717383747734068E-2</v>
      </c>
      <c r="AP60" s="193">
        <f>Model!$C$52*AP5*AP20/AP32</f>
        <v>2.876687562932034E-2</v>
      </c>
      <c r="AR60" s="193">
        <f>Model!$C$52*AR5*AR20/AR32</f>
        <v>2.8798439622945815E-2</v>
      </c>
      <c r="AT60" s="193">
        <f>Model!$C$52*AT5*AT20/AT32</f>
        <v>2.8815127954216556E-2</v>
      </c>
      <c r="AV60" s="193">
        <f>Model!$C$52*AV5*AV20/AV32</f>
        <v>2.8821360966520056E-2</v>
      </c>
      <c r="XFD60" s="193"/>
    </row>
    <row r="62" spans="1:48 16321:16384" x14ac:dyDescent="0.2">
      <c r="A62" t="s">
        <v>175</v>
      </c>
      <c r="B62">
        <f>B13/B15</f>
        <v>1</v>
      </c>
      <c r="D62">
        <f>D13/D15</f>
        <v>1.0068060222595621</v>
      </c>
      <c r="F62">
        <f>F13/F15</f>
        <v>1.0136754470422389</v>
      </c>
      <c r="H62">
        <f>H13/H15</f>
        <v>1.0206108618127863</v>
      </c>
      <c r="J62">
        <f>J13/J15</f>
        <v>1.0276136787060861</v>
      </c>
      <c r="L62">
        <f>L13/L15</f>
        <v>1.034682047954355</v>
      </c>
      <c r="N62">
        <f>N13/N15</f>
        <v>1.0418090491494263</v>
      </c>
      <c r="P62">
        <f>P13/P15</f>
        <v>1.0489777272100518</v>
      </c>
      <c r="R62">
        <f>R13/R15</f>
        <v>1.0561550529951171</v>
      </c>
      <c r="T62">
        <f>T13/T15</f>
        <v>1.0632809166776462</v>
      </c>
      <c r="V62">
        <f>V13/V15</f>
        <v>1.0702509642745874</v>
      </c>
      <c r="X62">
        <f>X13/X15</f>
        <v>1.0768893919120375</v>
      </c>
      <c r="Z62">
        <f>Z13/Z15</f>
        <v>1.0829097554924991</v>
      </c>
      <c r="AB62">
        <f>AB13/AB15</f>
        <v>1.0878833414733531</v>
      </c>
      <c r="AD62">
        <f>AD13/AD15</f>
        <v>1.0913185210318477</v>
      </c>
      <c r="AF62">
        <f>AF13/AF15</f>
        <v>1.0930499139675716</v>
      </c>
      <c r="AH62">
        <f>AH13/AH15</f>
        <v>1.0936099539907924</v>
      </c>
      <c r="AJ62">
        <f>AJ13/AJ15</f>
        <v>1.093723878295364</v>
      </c>
      <c r="AL62">
        <f>AL13/AL15</f>
        <v>1.0937401240801512</v>
      </c>
      <c r="AN62">
        <f>AN13/AN15</f>
        <v>1.0937422191165938</v>
      </c>
      <c r="AP62">
        <f>AP13/AP15</f>
        <v>1.0937423512029525</v>
      </c>
      <c r="AR62">
        <f>AR13/AR15</f>
        <v>1.0937424592954779</v>
      </c>
      <c r="AT62">
        <f>AT13/AT15</f>
        <v>1.0937425618981123</v>
      </c>
      <c r="AV62">
        <f>AV13/AV15</f>
        <v>1.0937426793453557</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0.99811233378567699</v>
      </c>
      <c r="E65" s="191"/>
      <c r="F65" s="191">
        <f t="array" ref="F65">SQRT((F9:G9*$B$22:$C$22+F10:G10*$B$23:$C$23+F11:G11*$B$24:$C$24+F4:G4*($B$25:$C$25-$B$19:$C$19))/($B$9:$C$9*$B$22:$C$22+$B$10:$C$10*$B$23:$C$23+$B$11:$C$11*$B$24:$C$24+$B$4:$C$4*($B$25:$C$25-$B$19:$C$19))*(F9:G9*F22:G22+F10:G10*F23:G23+F11:G11*F24:G24+F4:G4*(F25:G25-F19:G19))/($B$9:$C$9*F22:G22+$B$10:$C$10*F23:G23+$B$11:$C$11*F24:G24+$B$4:$C$4*(F25:G25-F19:G19)))</f>
        <v>0.99612061817559505</v>
      </c>
      <c r="G65" s="191"/>
      <c r="H65" s="191">
        <f t="array" ref="H65">SQRT((H9:I9*$B$22:$C$22+H10:I10*$B$23:$C$23+H11:I11*$B$24:$C$24+H4:I4*($B$25:$C$25-$B$19:$C$19))/($B$9:$C$9*$B$22:$C$22+$B$10:$C$10*$B$23:$C$23+$B$11:$C$11*$B$24:$C$24+$B$4:$C$4*($B$25:$C$25-$B$19:$C$19))*(H9:I9*H22:I22+H10:I10*H23:I23+H11:I11*H24:I24+H4:I4*(H25:I25-H19:I19))/($B$9:$C$9*H22:I22+$B$10:$C$10*H23:I23+$B$11:$C$11*H24:I24+$B$4:$C$4*(H25:I25-H19:I19)))</f>
        <v>0.99400623874794292</v>
      </c>
      <c r="I65" s="191"/>
      <c r="J65" s="191">
        <f t="array" ref="J65">SQRT((J9:K9*$B$22:$C$22+J10:K10*$B$23:$C$23+J11:K11*$B$24:$C$24+J4:K4*($B$25:$C$25-$B$19:$C$19))/($B$9:$C$9*$B$22:$C$22+$B$10:$C$10*$B$23:$C$23+$B$11:$C$11*$B$24:$C$24+$B$4:$C$4*($B$25:$C$25-$B$19:$C$19))*(J9:K9*J22:K22+J10:K10*J23:K23+J11:K11*J24:K24+J4:K4*(J25:K25-J19:K19))/($B$9:$C$9*J22:K22+$B$10:$C$10*J23:K23+$B$11:$C$11*J24:K24+$B$4:$C$4*(J25:K25-J19:K19)))</f>
        <v>0.99174781479964103</v>
      </c>
      <c r="K65" s="191"/>
      <c r="L65" s="191">
        <f t="array" ref="L65">SQRT((L9:M9*$B$22:$C$22+L10:M10*$B$23:$C$23+L11:M11*$B$24:$C$24+L4:M4*($B$25:$C$25-$B$19:$C$19))/($B$9:$C$9*$B$22:$C$22+$B$10:$C$10*$B$23:$C$23+$B$11:$C$11*$B$24:$C$24+$B$4:$C$4*($B$25:$C$25-$B$19:$C$19))*(L9:M9*L22:M22+L10:M10*L23:M23+L11:M11*L24:M24+L4:M4*(L25:M25-L19:M19))/($B$9:$C$9*L22:M22+$B$10:$C$10*L23:M23+$B$11:$C$11*L24:M24+$B$4:$C$4*(L25:M25-L19:M19)))</f>
        <v>0.98932169544926707</v>
      </c>
      <c r="M65" s="191"/>
      <c r="N65" s="191">
        <f t="array" ref="N65">SQRT((N9:O9*$B$22:$C$22+N10:O10*$B$23:$C$23+N11:O11*$B$24:$C$24+N4:O4*($B$25:$C$25-$B$19:$C$19))/($B$9:$C$9*$B$22:$C$22+$B$10:$C$10*$B$23:$C$23+$B$11:$C$11*$B$24:$C$24+$B$4:$C$4*($B$25:$C$25-$B$19:$C$19))*(N9:O9*N22:O22+N10:O10*N23:O23+N11:O11*N24:O24+N4:O4*(N25:O25-N19:O19))/($B$9:$C$9*N22:O22+$B$10:$C$10*N23:O23+$B$11:$C$11*N24:O24+$B$4:$C$4*(N25:O25-N19:O19)))</f>
        <v>0.98670287933604806</v>
      </c>
      <c r="O65" s="191"/>
      <c r="P65" s="191">
        <f t="array" ref="P65">SQRT((P9:Q9*$B$22:$C$22+P10:Q10*$B$23:$C$23+P11:Q11*$B$24:$C$24+P4:Q4*($B$25:$C$25-$B$19:$C$19))/($B$9:$C$9*$B$22:$C$22+$B$10:$C$10*$B$23:$C$23+$B$11:$C$11*$B$24:$C$24+$B$4:$C$4*($B$25:$C$25-$B$19:$C$19))*(P9:Q9*P22:Q22+P10:Q10*P23:Q23+P11:Q11*P24:Q24+P4:Q4*(P25:Q25-P19:Q19))/($B$9:$C$9*P22:Q22+$B$10:$C$10*P23:Q23+$B$11:$C$11*P24:Q24+$B$4:$C$4*(P25:Q25-P19:Q19)))</f>
        <v>0.98386781120041455</v>
      </c>
      <c r="Q65" s="191"/>
      <c r="R65" s="191">
        <f t="array" ref="R65">SQRT((R9:S9*$B$22:$C$22+R10:S10*$B$23:$C$23+R11:S11*$B$24:$C$24+R4:S4*($B$25:$C$25-$B$19:$C$19))/($B$9:$C$9*$B$22:$C$22+$B$10:$C$10*$B$23:$C$23+$B$11:$C$11*$B$24:$C$24+$B$4:$C$4*($B$25:$C$25-$B$19:$C$19))*(R9:S9*R22:S22+R10:S10*R23:S23+R11:S11*R24:S24+R4:S4*(R25:S25-R19:S19))/($B$9:$C$9*R22:S22+$B$10:$C$10*R23:S23+$B$11:$C$11*R24:S24+$B$4:$C$4*(R25:S25-R19:S19)))</f>
        <v>0.98079952907317913</v>
      </c>
      <c r="S65" s="191"/>
      <c r="T65" s="191">
        <f t="array" ref="T65">SQRT((T9:U9*$B$22:$C$22+T10:U10*$B$23:$C$23+T11:U11*$B$24:$C$24+T4:U4*($B$25:$C$25-$B$19:$C$19))/($B$9:$C$9*$B$22:$C$22+$B$10:$C$10*$B$23:$C$23+$B$11:$C$11*$B$24:$C$24+$B$4:$C$4*($B$25:$C$25-$B$19:$C$19))*(T9:U9*T22:U22+T10:U10*T23:U23+T11:U11*T24:U24+T4:U4*(T25:U25-T19:U19))/($B$9:$C$9*T22:U22+$B$10:$C$10*T23:U23+$B$11:$C$11*T24:U24+$B$4:$C$4*(T25:U25-T19:U19)))</f>
        <v>0.97749804464499912</v>
      </c>
      <c r="U65" s="191"/>
      <c r="V65" s="191">
        <f t="array" ref="V65">SQRT((V9:W9*$B$22:$C$22+V10:W10*$B$23:$C$23+V11:W11*$B$24:$C$24+V4:W4*($B$25:$C$25-$B$19:$C$19))/($B$9:$C$9*$B$22:$C$22+$B$10:$C$10*$B$23:$C$23+$B$11:$C$11*$B$24:$C$24+$B$4:$C$4*($B$25:$C$25-$B$19:$C$19))*(V9:W9*V22:W22+V10:W10*V23:W23+V11:W11*V24:W24+V4:W4*(V25:W25-V19:W19))/($B$9:$C$9*V22:W22+$B$10:$C$10*V23:W23+$B$11:$C$11*V24:W24+$B$4:$C$4*(V25:W25-V19:W19)))</f>
        <v>0.97400093603262006</v>
      </c>
      <c r="W65" s="191"/>
      <c r="X65" s="191">
        <f t="array" ref="X65">SQRT((X9:Y9*$B$22:$C$22+X10:Y10*$B$23:$C$23+X11:Y11*$B$24:$C$24+X4:Y4*($B$25:$C$25-$B$19:$C$19))/($B$9:$C$9*$B$22:$C$22+$B$10:$C$10*$B$23:$C$23+$B$11:$C$11*$B$24:$C$24+$B$4:$C$4*($B$25:$C$25-$B$19:$C$19))*(X9:Y9*X22:Y22+X10:Y10*X23:Y23+X11:Y11*X24:Y24+X4:Y4*(X25:Y25-X19:Y19))/($B$9:$C$9*X22:Y22+$B$10:$C$10*X23:Y23+$B$11:$C$11*X24:Y24+$B$4:$C$4*(X25:Y25-X19:Y19)))</f>
        <v>0.97042467507684715</v>
      </c>
      <c r="Y65" s="191"/>
      <c r="Z65" s="191">
        <f t="array" ref="Z65">SQRT((Z9:AA9*$B$22:$C$22+Z10:AA10*$B$23:$C$23+Z11:AA11*$B$24:$C$24+Z4:AA4*($B$25:$C$25-$B$19:$C$19))/($B$9:$C$9*$B$22:$C$22+$B$10:$C$10*$B$23:$C$23+$B$11:$C$11*$B$24:$C$24+$B$4:$C$4*($B$25:$C$25-$B$19:$C$19))*(Z9:AA9*Z22:AA22+Z10:AA10*Z23:AA23+Z11:AA11*Z24:AA24+Z4:AA4*(Z25:AA25-Z19:AA19))/($B$9:$C$9*Z22:AA22+$B$10:$C$10*Z23:AA23+$B$11:$C$11*Z24:AA24+$B$4:$C$4*(Z25:AA25-Z19:AA19)))</f>
        <v>0.9670462469010761</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0.96444420765274541</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0.96360958732133006</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0.96554277425954982</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0.9701237067772579</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0.97608771060708877</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0.98199524184994302</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0.9857478315671635</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0.98607932138221643</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0.98628657353873261</v>
      </c>
      <c r="AS65" s="191"/>
      <c r="AT65" s="191">
        <f t="array" ref="AT65">SQRT((AT9:AU9*$B$22:$C$22+AT10:AU10*$B$23:$C$23+AT11:AU11*$B$24:$C$24+AT4:AU4*($B$25:$C$25-$B$19:$C$19))/($B$9:$C$9*$B$22:$C$22+$B$10:$C$10*$B$23:$C$23+$B$11:$C$11*$B$24:$C$24+$B$4:$C$4*($B$25:$C$25-$B$19:$C$19))*(AT9:AU9*AT22:AU22+AT10:AU10*AT23:AU23+AT11:AU11*AT24:AU24+AT4:AU4*(AT25:AU25-AT19:AU19))/($B$9:$C$9*AT22:AU22+$B$10:$C$10*AT23:AU23+$B$11:$C$11*AT24:AU24+$B$4:$C$4*(AT25:AU25-AT19:AU19)))</f>
        <v>0.98639490416517472</v>
      </c>
      <c r="AU65" s="191"/>
      <c r="AV65" s="191">
        <f t="array" ref="AV65">SQRT((AV9:AW9*$B$22:$C$22+AV10:AW10*$B$23:$C$23+AV11:AW11*$B$24:$C$24+AV4:AW4*($B$25:$C$25-$B$19:$C$19))/($B$9:$C$9*$B$22:$C$22+$B$10:$C$10*$B$23:$C$23+$B$11:$C$11*$B$24:$C$24+$B$4:$C$4*($B$25:$C$25-$B$19:$C$19))*(AV9:AW9*AV22:AW22+AV10:AW10*AV23:AW23+AV11:AW11*AV24:AW24+AV4:AW4*(AV25:AW25-AV19:AW19))/($B$9:$C$9*AV22:AW22+$B$10:$C$10*AV23:AW23+$B$11:$C$11*AV24:AW24+$B$4:$C$4*(AV25:AW25-AV19:AW19)))</f>
        <v>0.98643514965037005</v>
      </c>
    </row>
    <row r="66" spans="1:48 16384:16384" x14ac:dyDescent="0.2">
      <c r="A66" t="s">
        <v>182</v>
      </c>
      <c r="B66" s="191">
        <f t="array" ref="B66">SQRT((B9:C9*$B$22:$C$22)/($B$9:$C$9*$B$22:$C$22)*(B9:C9*B22:C22)/($B$9:$C$9*B22:C22))</f>
        <v>1</v>
      </c>
      <c r="C66" s="191"/>
      <c r="D66" s="191">
        <f t="array" ref="D66">SQRT((D9:E9*$B$22:$C$22)/($B$9:$C$9*$B$22:$C$22)*(D9:E9*D22:E22)/($B$9:$C$9*D22:E22))</f>
        <v>0.99792385845071863</v>
      </c>
      <c r="E66" s="191"/>
      <c r="F66" s="191">
        <f t="array" ref="F66">SQRT((F9:G9*$B$22:$C$22)/($B$9:$C$9*$B$22:$C$22)*(F9:G9*F22:G22)/($B$9:$C$9*F22:G22))</f>
        <v>0.99572989125308109</v>
      </c>
      <c r="G66" s="191"/>
      <c r="H66" s="191">
        <f t="array" ref="H66">SQRT((H9:I9*$B$22:$C$22)/($B$9:$C$9*$B$22:$C$22)*(H9:I9*H22:I22)/($B$9:$C$9*H22:I22))</f>
        <v>0.99339695259674499</v>
      </c>
      <c r="I66" s="191"/>
      <c r="J66" s="191">
        <f t="array" ref="J66">SQRT((J9:K9*$B$22:$C$22)/($B$9:$C$9*$B$22:$C$22)*(J9:K9*J22:K22)/($B$9:$C$9*J22:K22))</f>
        <v>0.99090064231053143</v>
      </c>
      <c r="K66" s="191"/>
      <c r="L66" s="191">
        <f t="array" ref="L66">SQRT((L9:M9*$B$22:$C$22)/($B$9:$C$9*$B$22:$C$22)*(L9:M9*L22:M22)/($B$9:$C$9*L22:M22))</f>
        <v>0.98821379593618808</v>
      </c>
      <c r="M66" s="191"/>
      <c r="N66" s="191">
        <f t="array" ref="N66">SQRT((N9:O9*$B$22:$C$22)/($B$9:$C$9*$B$22:$C$22)*(N9:O9*N22:O22)/($B$9:$C$9*N22:O22))</f>
        <v>0.98530743974029866</v>
      </c>
      <c r="O66" s="191"/>
      <c r="P66" s="191">
        <f t="array" ref="P66">SQRT((P9:Q9*$B$22:$C$22)/($B$9:$C$9*$B$22:$C$22)*(P9:Q9*P22:Q22)/($B$9:$C$9*P22:Q22))</f>
        <v>0.98215383575964499</v>
      </c>
      <c r="Q66" s="191"/>
      <c r="R66" s="191">
        <f t="array" ref="R66">SQRT((R9:S9*$B$22:$C$22)/($B$9:$C$9*$B$22:$C$22)*(R9:S9*R22:S22)/($B$9:$C$9*R22:S22))</f>
        <v>0.97873218788341776</v>
      </c>
      <c r="S66" s="191"/>
      <c r="T66" s="191">
        <f t="array" ref="T66">SQRT((T9:U9*$B$22:$C$22)/($B$9:$C$9*$B$22:$C$22)*(T9:U9*T22:U22)/($B$9:$C$9*T22:U22))</f>
        <v>0.97504030609678372</v>
      </c>
      <c r="U66" s="191"/>
      <c r="V66" s="191">
        <f t="array" ref="V66">SQRT((V9:W9*$B$22:$C$22)/($B$9:$C$9*$B$22:$C$22)*(V9:W9*V22:W22)/($B$9:$C$9*V22:W22))</f>
        <v>0.9711179869813451</v>
      </c>
      <c r="W66" s="191"/>
      <c r="X66" s="191">
        <f t="array" ref="X66">SQRT((X9:Y9*$B$22:$C$22)/($B$9:$C$9*$B$22:$C$22)*(X9:Y9*X22:Y22)/($B$9:$C$9*X22:Y22))</f>
        <v>0.9670942994651992</v>
      </c>
      <c r="Y66" s="191"/>
      <c r="Z66" s="191">
        <f t="array" ref="Z66">SQRT((Z9:AA9*$B$22:$C$22)/($B$9:$C$9*$B$22:$C$22)*(Z9:AA9*Z22:AA22)/($B$9:$C$9*Z22:AA22))</f>
        <v>0.9632814588661639</v>
      </c>
      <c r="AA66" s="191"/>
      <c r="AB66" s="191">
        <f t="array" ref="AB66">SQRT((AB9:AC9*$B$22:$C$22)/($B$9:$C$9*$B$22:$C$22)*(AB9:AC9*AB22:AC22)/($B$9:$C$9*AB22:AC22))</f>
        <v>0.96033745875287779</v>
      </c>
      <c r="AC66" s="191"/>
      <c r="AD66" s="191">
        <f t="array" ref="AD66">SQRT((AD9:AE9*$B$22:$C$22)/($B$9:$C$9*$B$22:$C$22)*(AD9:AE9*AD22:AE22)/($B$9:$C$9*AD22:AE22))</f>
        <v>0.95939353751458745</v>
      </c>
      <c r="AE66" s="191"/>
      <c r="AF66" s="191">
        <f t="array" ref="AF66">SQRT((AF9:AG9*$B$22:$C$22)/($B$9:$C$9*$B$22:$C$22)*(AF9:AG9*AF22:AG22)/($B$9:$C$9*AF22:AG22))</f>
        <v>0.96158763421743154</v>
      </c>
      <c r="AG66" s="191"/>
      <c r="AH66" s="191">
        <f t="array" ref="AH66">SQRT((AH9:AI9*$B$22:$C$22)/($B$9:$C$9*$B$22:$C$22)*(AH9:AI9*AH22:AI22)/($B$9:$C$9*AH22:AI22))</f>
        <v>0.96676652810401564</v>
      </c>
      <c r="AI66" s="191"/>
      <c r="AJ66" s="191">
        <f t="array" ref="AJ66">SQRT((AJ9:AK9*$B$22:$C$22)/($B$9:$C$9*$B$22:$C$22)*(AJ9:AK9*AJ22:AK22)/($B$9:$C$9*AJ22:AK22))</f>
        <v>0.97347412379396803</v>
      </c>
      <c r="AK66" s="191"/>
      <c r="AL66" s="191">
        <f t="array" ref="AL66">SQRT((AL9:AM9*$B$22:$C$22)/($B$9:$C$9*$B$22:$C$22)*(AL9:AM9*AL22:AM22)/($B$9:$C$9*AL22:AM22))</f>
        <v>0.98008099053753461</v>
      </c>
      <c r="AM66" s="191"/>
      <c r="AN66" s="191">
        <f t="array" ref="AN66">SQRT((AN9:AO9*$B$22:$C$22)/($B$9:$C$9*$B$22:$C$22)*(AN9:AO9*AN22:AO22)/($B$9:$C$9*AN22:AO22))</f>
        <v>0.9842591107823051</v>
      </c>
      <c r="AO66" s="191"/>
      <c r="AP66" s="191">
        <f t="array" ref="AP66">SQRT((AP9:AQ9*$B$22:$C$22)/($B$9:$C$9*$B$22:$C$22)*(AP9:AQ9*AP22:AQ22)/($B$9:$C$9*AP22:AQ22))</f>
        <v>0.98462750334509763</v>
      </c>
      <c r="AQ66" s="191"/>
      <c r="AR66" s="191">
        <f t="array" ref="AR66">SQRT((AR9:AS9*$B$22:$C$22)/($B$9:$C$9*$B$22:$C$22)*(AR9:AS9*AR22:AS22)/($B$9:$C$9*AR22:AS22))</f>
        <v>0.9848577713525839</v>
      </c>
      <c r="AS66" s="191"/>
      <c r="AT66" s="191">
        <f t="array" ref="AT66">SQRT((AT9:AU9*$B$22:$C$22)/($B$9:$C$9*$B$22:$C$22)*(AT9:AU9*AT22:AU22)/($B$9:$C$9*AT22:AU22))</f>
        <v>0.98497811514376588</v>
      </c>
      <c r="AU66" s="191"/>
      <c r="AV66" s="191">
        <f t="array" ref="AV66">SQRT((AV9:AW9*$B$22:$C$22)/($B$9:$C$9*$B$22:$C$22)*(AV9:AW9*AV22:AW22)/($B$9:$C$9*AV22:AW22))</f>
        <v>0.98502282058379598</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f t="array" ref="AV67">SQRT((AV4:AW4*$B$19:$C$19)/($B$4:$C$4*$B$19:$C$19)*(AV4:AW4*AV19:AW19)/($B$4:$C$4*AV19:AW19))</f>
        <v>1</v>
      </c>
      <c r="XFD67" s="191"/>
    </row>
    <row r="68" spans="1:48 16384:16384" x14ac:dyDescent="0.2">
      <c r="A68" t="s">
        <v>181</v>
      </c>
      <c r="B68" s="191">
        <f>B66/B67</f>
        <v>1</v>
      </c>
      <c r="C68" s="191"/>
      <c r="D68" s="191">
        <f>D66/D67</f>
        <v>0.99792385845071863</v>
      </c>
      <c r="E68" s="191"/>
      <c r="F68" s="191">
        <f>F66/F67</f>
        <v>0.99572989125308109</v>
      </c>
      <c r="G68" s="191"/>
      <c r="H68" s="191">
        <f>H66/H67</f>
        <v>0.99339695259674499</v>
      </c>
      <c r="I68" s="191"/>
      <c r="J68" s="191">
        <f>J66/J67</f>
        <v>0.99090064231053143</v>
      </c>
      <c r="K68" s="191"/>
      <c r="L68" s="191">
        <f>L66/L67</f>
        <v>0.98821379593618808</v>
      </c>
      <c r="M68" s="191"/>
      <c r="N68" s="191">
        <f>N66/N67</f>
        <v>0.98530743974029866</v>
      </c>
      <c r="O68" s="191"/>
      <c r="P68" s="191">
        <f>P66/P67</f>
        <v>0.98215383575964499</v>
      </c>
      <c r="Q68" s="191"/>
      <c r="R68" s="191">
        <f>R66/R67</f>
        <v>0.97873218788341776</v>
      </c>
      <c r="S68" s="191"/>
      <c r="T68" s="191">
        <f>T66/T67</f>
        <v>0.97504030609678372</v>
      </c>
      <c r="U68" s="191"/>
      <c r="V68" s="191">
        <f>V66/V67</f>
        <v>0.9711179869813451</v>
      </c>
      <c r="W68" s="191"/>
      <c r="X68" s="191">
        <f>X66/X67</f>
        <v>0.9670942994651992</v>
      </c>
      <c r="Y68" s="191"/>
      <c r="Z68" s="191">
        <f>Z66/Z67</f>
        <v>0.9632814588661639</v>
      </c>
      <c r="AA68" s="191"/>
      <c r="AB68" s="191">
        <f>AB66/AB67</f>
        <v>0.96033745875287779</v>
      </c>
      <c r="AC68" s="191"/>
      <c r="AD68" s="191">
        <f>AD66/AD67</f>
        <v>0.95939353751458745</v>
      </c>
      <c r="AE68" s="191"/>
      <c r="AF68" s="191">
        <f>AF66/AF67</f>
        <v>0.96158763421743154</v>
      </c>
      <c r="AG68" s="191"/>
      <c r="AH68" s="191">
        <f>AH66/AH67</f>
        <v>0.96676652810401564</v>
      </c>
      <c r="AI68" s="191"/>
      <c r="AJ68" s="191">
        <f>AJ66/AJ67</f>
        <v>0.97347412379396803</v>
      </c>
      <c r="AK68" s="191"/>
      <c r="AL68" s="191">
        <f>AL66/AL67</f>
        <v>0.98008099053753461</v>
      </c>
      <c r="AM68" s="191"/>
      <c r="AN68" s="191">
        <f>AN66/AN67</f>
        <v>0.9842591107823051</v>
      </c>
      <c r="AO68" s="191"/>
      <c r="AP68" s="191">
        <f>AP66/AP67</f>
        <v>0.98462750334509763</v>
      </c>
      <c r="AQ68" s="191"/>
      <c r="AR68" s="191">
        <f>AR66/AR67</f>
        <v>0.9848577713525839</v>
      </c>
      <c r="AS68" s="191"/>
      <c r="AT68" s="191">
        <f>AT66/AT67</f>
        <v>0.98497811514376588</v>
      </c>
      <c r="AU68" s="191"/>
      <c r="AV68" s="191">
        <f>AV66/AV67</f>
        <v>0.98502282058379598</v>
      </c>
      <c r="XFD68" s="191"/>
    </row>
    <row r="69" spans="1:48 16384:16384" x14ac:dyDescent="0.2">
      <c r="A69" t="s">
        <v>177</v>
      </c>
      <c r="B69" s="191">
        <f>B32/B65/($B$32)</f>
        <v>1</v>
      </c>
      <c r="C69" s="191"/>
      <c r="D69" s="191">
        <f>D32/D65/($B$32)</f>
        <v>1.0019688394320367</v>
      </c>
      <c r="E69" s="191"/>
      <c r="F69" s="191">
        <f>F32/F65/($B$32)</f>
        <v>1.0037795171514119</v>
      </c>
      <c r="G69" s="191"/>
      <c r="H69" s="191">
        <f>H32/H65/($B$32)</f>
        <v>1.0053976348841418</v>
      </c>
      <c r="I69" s="191"/>
      <c r="J69" s="191">
        <f>J32/J65/($B$32)</f>
        <v>1.0067796187446423</v>
      </c>
      <c r="K69" s="191"/>
      <c r="L69" s="191">
        <f>L32/L65/($B$32)</f>
        <v>1.0078696565602847</v>
      </c>
      <c r="M69" s="191"/>
      <c r="N69" s="191">
        <f>N32/N65/($B$32)</f>
        <v>1.0085958360456455</v>
      </c>
      <c r="O69" s="191"/>
      <c r="P69" s="191">
        <f>P32/P65/($B$32)</f>
        <v>1.0088642503883734</v>
      </c>
      <c r="Q69" s="191"/>
      <c r="R69" s="191">
        <f>R32/R65/($B$32)</f>
        <v>1.0085507173795807</v>
      </c>
      <c r="S69" s="191"/>
      <c r="T69" s="191">
        <f>T32/T65/($B$32)</f>
        <v>1.0074870926109576</v>
      </c>
      <c r="U69" s="191"/>
      <c r="V69" s="191">
        <f>V32/V65/($B$32)</f>
        <v>1.0054380308846966</v>
      </c>
      <c r="W69" s="191"/>
      <c r="X69" s="191">
        <f>X32/X65/($B$32)</f>
        <v>1.0020561243088837</v>
      </c>
      <c r="Y69" s="191"/>
      <c r="Z69" s="191">
        <f>Z32/Z65/($B$32)</f>
        <v>0.99678164419034998</v>
      </c>
      <c r="AA69" s="191"/>
      <c r="AB69" s="191">
        <f>AB32/AB65/($B$32)</f>
        <v>0.98858013389000665</v>
      </c>
      <c r="AC69" s="191"/>
      <c r="AD69" s="191">
        <f>AD32/AD65/($B$32)</f>
        <v>0.97516871783550974</v>
      </c>
      <c r="AE69" s="191"/>
      <c r="AF69" s="191">
        <f>AF32/AF65/($B$32)</f>
        <v>0.95089269715428659</v>
      </c>
      <c r="AG69" s="191"/>
      <c r="AH69" s="191">
        <f>AH32/AH65/($B$32)</f>
        <v>0.90253382027545148</v>
      </c>
      <c r="AI69" s="191"/>
      <c r="AJ69" s="191">
        <f>AJ32/AJ65/($B$32)</f>
        <v>0.80402540051227589</v>
      </c>
      <c r="AK69" s="191"/>
      <c r="AL69" s="191">
        <f>AL32/AL65/($B$32)</f>
        <v>0.61785405255228798</v>
      </c>
      <c r="AM69" s="191"/>
      <c r="AN69" s="191">
        <f>AN32/AN65/($B$32)</f>
        <v>0.33233207537630122</v>
      </c>
      <c r="AO69" s="191"/>
      <c r="AP69" s="191">
        <f>AP32/AP65/($B$32)</f>
        <v>0.26739787958732897</v>
      </c>
      <c r="AQ69" s="191"/>
      <c r="AR69" s="191">
        <f>AR32/AR65/($B$32)</f>
        <v>0.20125844545674926</v>
      </c>
      <c r="AS69" s="191"/>
      <c r="AT69" s="191">
        <f>AT32/AT65/($B$32)</f>
        <v>0.13441797611772735</v>
      </c>
      <c r="AU69" s="191"/>
      <c r="AV69" s="191">
        <f>AV32/AV65/($B$32)</f>
        <v>6.7254470270731295E-2</v>
      </c>
    </row>
    <row r="70" spans="1:48 16384:16384" x14ac:dyDescent="0.2">
      <c r="A70" t="s">
        <v>178</v>
      </c>
      <c r="B70" s="138">
        <f>B18/$B$18</f>
        <v>1</v>
      </c>
      <c r="C70" s="138"/>
      <c r="D70" s="138">
        <f>D18/$B$18</f>
        <v>1.0011643634045766</v>
      </c>
      <c r="E70" s="138"/>
      <c r="F70" s="138">
        <f>F18/$B$18</f>
        <v>1.0022136098432606</v>
      </c>
      <c r="G70" s="138"/>
      <c r="H70" s="138">
        <f>H18/$B$18</f>
        <v>1.0031250005531693</v>
      </c>
      <c r="I70" s="138"/>
      <c r="J70" s="138">
        <f>J18/$B$18</f>
        <v>1.0038690424968912</v>
      </c>
      <c r="K70" s="138"/>
      <c r="L70" s="138">
        <f>L18/$B$18</f>
        <v>1.0044063760095154</v>
      </c>
      <c r="M70" s="138"/>
      <c r="N70" s="138">
        <f>N18/$B$18</f>
        <v>1.0046830694992852</v>
      </c>
      <c r="O70" s="138"/>
      <c r="P70" s="138">
        <f>P18/$B$18</f>
        <v>1.0046227096558418</v>
      </c>
      <c r="Q70" s="138"/>
      <c r="R70" s="138">
        <f>R18/$B$18</f>
        <v>1.0041132583171282</v>
      </c>
      <c r="S70" s="138"/>
      <c r="T70" s="138">
        <f>T18/$B$18</f>
        <v>1.0029834205987205</v>
      </c>
      <c r="U70" s="138"/>
      <c r="V70" s="138">
        <f>V18/$B$18</f>
        <v>1.0009588243175342</v>
      </c>
      <c r="W70" s="138"/>
      <c r="X70" s="138">
        <f>X18/$B$18</f>
        <v>0.99757568688296505</v>
      </c>
      <c r="Y70" s="138"/>
      <c r="Z70" s="138">
        <f>Z18/$B$18</f>
        <v>0.99200235603425402</v>
      </c>
      <c r="AA70" s="138"/>
      <c r="AB70" s="138">
        <f>AB18/$B$18</f>
        <v>0.98266466414010889</v>
      </c>
      <c r="AC70" s="138"/>
      <c r="AD70" s="138">
        <f>AD18/$B$18</f>
        <v>0.9665130842902534</v>
      </c>
      <c r="AE70" s="138"/>
      <c r="AF70" s="138">
        <f>AF18/$B$18</f>
        <v>0.93782181562528022</v>
      </c>
      <c r="AG70" s="138"/>
      <c r="AH70" s="138">
        <f>AH18/$B$18</f>
        <v>0.88601949195335117</v>
      </c>
      <c r="AI70" s="138"/>
      <c r="AJ70" s="138">
        <f>AJ18/$B$18</f>
        <v>0.79036918405111278</v>
      </c>
      <c r="AK70" s="138"/>
      <c r="AL70" s="138">
        <f>AL18/$B$18</f>
        <v>0.61483930417994803</v>
      </c>
      <c r="AM70" s="138"/>
      <c r="AN70" s="138">
        <f>AN18/$B$18</f>
        <v>0.33553564122218305</v>
      </c>
      <c r="AO70" s="138"/>
      <c r="AP70" s="138">
        <f>AP18/$B$18</f>
        <v>0.27038918863495531</v>
      </c>
      <c r="AQ70" s="138"/>
      <c r="AR70" s="138">
        <f>AR18/$B$18</f>
        <v>0.20370890035946779</v>
      </c>
      <c r="AS70" s="138"/>
      <c r="AT70" s="138">
        <f>AT18/$B$18</f>
        <v>0.13612497656064704</v>
      </c>
      <c r="AU70" s="138"/>
      <c r="AV70" s="138">
        <f>AV18/$B$18</f>
        <v>6.8121706706684881E-2</v>
      </c>
    </row>
    <row r="71" spans="1:48 16384:16384" x14ac:dyDescent="0.2">
      <c r="A71" t="s">
        <v>179</v>
      </c>
      <c r="B71" s="138">
        <f>C18/$C$18</f>
        <v>1</v>
      </c>
      <c r="D71" s="138">
        <f>E18/$C$18</f>
        <v>0.92439407012941188</v>
      </c>
      <c r="E71" s="138"/>
      <c r="F71" s="138">
        <f>G18/$C$18</f>
        <v>0.84840180620124939</v>
      </c>
      <c r="G71" s="138"/>
      <c r="H71" s="138">
        <f>I18/$C$18</f>
        <v>0.77201315750835409</v>
      </c>
      <c r="I71" s="138"/>
      <c r="J71" s="138">
        <f>K18/$C$18</f>
        <v>0.69523811279846714</v>
      </c>
      <c r="K71" s="138"/>
      <c r="L71" s="138">
        <f>M18/$C$18</f>
        <v>0.61813112297260753</v>
      </c>
      <c r="M71" s="138"/>
      <c r="N71" s="138">
        <f>O18/$C$18</f>
        <v>0.54081088156621959</v>
      </c>
      <c r="O71" s="138"/>
      <c r="P71" s="138">
        <f>Q18/$C$18</f>
        <v>0.46351571320654972</v>
      </c>
      <c r="Q71" s="138"/>
      <c r="R71" s="138">
        <f>S18/$C$18</f>
        <v>0.38666765405518982</v>
      </c>
      <c r="S71" s="138"/>
      <c r="T71" s="138">
        <f>U18/$C$18</f>
        <v>0.31098541691285864</v>
      </c>
      <c r="U71" s="138"/>
      <c r="V71" s="138">
        <f>W18/$C$18</f>
        <v>0.23765663345833615</v>
      </c>
      <c r="W71" s="138"/>
      <c r="X71" s="138">
        <f>Y18/$C$18</f>
        <v>0.16860117693012203</v>
      </c>
      <c r="Y71" s="138"/>
      <c r="Z71" s="138">
        <f>AA18/$C$18</f>
        <v>0.10683010056352682</v>
      </c>
      <c r="AA71" s="138"/>
      <c r="AB71" s="138">
        <f>AC18/$C$18</f>
        <v>5.6671963840293528E-2</v>
      </c>
      <c r="AC71" s="138"/>
      <c r="AD71" s="138">
        <f>AE18/$C$18</f>
        <v>2.2800516795342098E-2</v>
      </c>
      <c r="AE71" s="138"/>
      <c r="AF71" s="138">
        <f>AG18/$C$18</f>
        <v>6.2471484820616919E-3</v>
      </c>
      <c r="AG71" s="138"/>
      <c r="AH71" s="138">
        <f>AI18/$C$18</f>
        <v>1.1230896378463179E-3</v>
      </c>
      <c r="AI71" s="138"/>
      <c r="AJ71" s="138">
        <f>AK18/$C$18</f>
        <v>1.4541352197110436E-4</v>
      </c>
      <c r="AK71" s="138"/>
      <c r="AL71" s="138">
        <f>AM18/$C$18</f>
        <v>1.8201922476338047E-5</v>
      </c>
      <c r="AM71" s="138"/>
      <c r="AN71" s="138">
        <f>AO18/$C$18</f>
        <v>3.4025717712159684E-6</v>
      </c>
      <c r="AO71" s="138"/>
      <c r="AP71" s="138">
        <f>AQ18/$C$18</f>
        <v>2.5052774043783194E-6</v>
      </c>
      <c r="AQ71" s="138"/>
      <c r="AR71" s="138">
        <f>AS18/$C$18</f>
        <v>1.7844974921307531E-6</v>
      </c>
      <c r="AS71" s="138"/>
      <c r="AT71" s="138">
        <f>AU18/$C$18</f>
        <v>1.1581041599141499E-6</v>
      </c>
      <c r="AU71" s="138"/>
      <c r="AV71" s="138">
        <f>AW18/$C$18</f>
        <v>5.7329771005116093E-7</v>
      </c>
      <c r="XFD71" s="138"/>
    </row>
    <row r="72" spans="1:48 16384:16384" x14ac:dyDescent="0.2">
      <c r="A72" t="s">
        <v>180</v>
      </c>
      <c r="B72" s="138">
        <f>C19/$C$19</f>
        <v>1</v>
      </c>
      <c r="D72" s="138">
        <f>E19/$C$19</f>
        <v>1.0460529383831025</v>
      </c>
      <c r="E72" s="138"/>
      <c r="F72" s="138">
        <f>G19/$C$19</f>
        <v>1.0997968362420523</v>
      </c>
      <c r="G72" s="138"/>
      <c r="H72" s="138">
        <f>I19/$C$19</f>
        <v>1.1624617082526423</v>
      </c>
      <c r="I72" s="138"/>
      <c r="J72" s="138">
        <f>K19/$C$19</f>
        <v>1.2354341306799828</v>
      </c>
      <c r="K72" s="138"/>
      <c r="L72" s="138">
        <f>M19/$C$19</f>
        <v>1.3202185279684517</v>
      </c>
      <c r="M72" s="138"/>
      <c r="N72" s="138">
        <f>O19/$C$19</f>
        <v>1.4183881626848638</v>
      </c>
      <c r="O72" s="138"/>
      <c r="P72" s="138">
        <f>Q19/$C$19</f>
        <v>1.5313896751966294</v>
      </c>
      <c r="Q72" s="138"/>
      <c r="R72" s="138">
        <f>S19/$C$19</f>
        <v>1.6602144431464101</v>
      </c>
      <c r="S72" s="138"/>
      <c r="T72" s="138">
        <f>U19/$C$19</f>
        <v>1.8047338477862798</v>
      </c>
      <c r="U72" s="138"/>
      <c r="V72" s="138">
        <f>W19/$C$19</f>
        <v>1.9623676438607009</v>
      </c>
      <c r="W72" s="138"/>
      <c r="X72" s="138">
        <f>Y19/$C$19</f>
        <v>2.1254311051711192</v>
      </c>
      <c r="Y72" s="138"/>
      <c r="Z72" s="138">
        <f>AA19/$C$19</f>
        <v>2.2759246150155645</v>
      </c>
      <c r="AA72" s="138"/>
      <c r="AB72" s="138">
        <f>AC19/$C$19</f>
        <v>2.3767213405887642</v>
      </c>
      <c r="AC72" s="138"/>
      <c r="AD72" s="138">
        <f>AE19/$C$19</f>
        <v>2.3652940907851199</v>
      </c>
      <c r="AE72" s="138"/>
      <c r="AF72" s="138">
        <f>AG19/$C$19</f>
        <v>2.1805856191275441</v>
      </c>
      <c r="AG72" s="138"/>
      <c r="AH72" s="138">
        <f>AI19/$C$19</f>
        <v>1.8328449908542701</v>
      </c>
      <c r="AI72" s="138"/>
      <c r="AJ72" s="138">
        <f>AK19/$C$19</f>
        <v>1.3983549678351954</v>
      </c>
      <c r="AK72" s="138"/>
      <c r="AL72" s="138">
        <f>AM19/$C$19</f>
        <v>0.93638305304603087</v>
      </c>
      <c r="AM72" s="138"/>
      <c r="AN72" s="138">
        <f>AO19/$C$19</f>
        <v>0.46862359822502631</v>
      </c>
      <c r="AO72" s="138"/>
      <c r="AP72" s="138">
        <f>AQ19/$C$19</f>
        <v>0.37491799065714726</v>
      </c>
      <c r="AQ72" s="138"/>
      <c r="AR72" s="138">
        <f>AS19/$C$19</f>
        <v>0.28119696297634811</v>
      </c>
      <c r="AS72" s="138"/>
      <c r="AT72" s="138">
        <f>AU19/$C$19</f>
        <v>0.18746749995731851</v>
      </c>
      <c r="AU72" s="138"/>
      <c r="AV72" s="138">
        <f>AW19/$C$19</f>
        <v>9.373427347699248E-2</v>
      </c>
      <c r="XFD72" s="138"/>
    </row>
    <row r="73" spans="1:48 16384:16384" x14ac:dyDescent="0.2">
      <c r="A73" t="s">
        <v>184</v>
      </c>
      <c r="B73" s="193">
        <f t="array" ref="B73">SUM(B9:C9*B22:C22)/B32</f>
        <v>0.47641153352875065</v>
      </c>
      <c r="D73" s="193">
        <f t="array" ref="D73">SUM(D9:E9*D22:E22)/D32</f>
        <v>0.4733298256108539</v>
      </c>
      <c r="E73" s="138"/>
      <c r="F73" s="193">
        <f t="array" ref="F73">SUM(F9:G9*F22:G22)/F32</f>
        <v>0.4701117999408706</v>
      </c>
      <c r="G73" s="138"/>
      <c r="H73" s="193">
        <f t="array" ref="H73">SUM(H9:I9*H22:I22)/H32</f>
        <v>0.46673160274598857</v>
      </c>
      <c r="I73" s="138"/>
      <c r="J73" s="193">
        <f t="array" ref="J73">SUM(J9:K9*J22:K22)/J32</f>
        <v>0.46315656882919964</v>
      </c>
      <c r="K73" s="138"/>
      <c r="L73" s="193">
        <f t="array" ref="L73">SUM(L9:M9*L22:M22)/L32</f>
        <v>0.45934420404940796</v>
      </c>
      <c r="M73" s="138"/>
      <c r="N73" s="193">
        <f t="array" ref="N73">SUM(N9:O9*N22:O22)/N32</f>
        <v>0.45523755444404135</v>
      </c>
      <c r="O73" s="138"/>
      <c r="P73" s="193">
        <f t="array" ref="P73">SUM(P9:Q9*P22:Q22)/P32</f>
        <v>0.45075675274433613</v>
      </c>
      <c r="Q73" s="138"/>
      <c r="R73" s="193">
        <f t="array" ref="R73">SUM(R9:S9*R22:S22)/R32</f>
        <v>0.44578475037713927</v>
      </c>
      <c r="S73" s="138"/>
      <c r="T73" s="193">
        <f t="array" ref="T73">SUM(T9:U9*T22:U22)/T32</f>
        <v>0.44014080650752552</v>
      </c>
      <c r="U73" s="138"/>
      <c r="V73" s="193">
        <f t="array" ref="V73">SUM(V9:W9*V22:W22)/V32</f>
        <v>0.43352999590653313</v>
      </c>
      <c r="W73" s="138"/>
      <c r="X73" s="193">
        <f t="array" ref="X73">SUM(X9:Y9*X22:Y22)/X32</f>
        <v>0.42544258897885201</v>
      </c>
      <c r="Y73" s="138"/>
      <c r="Z73" s="193">
        <f t="array" ref="Z73">SUM(Z9:AA9*Z22:AA22)/Z32</f>
        <v>0.41494739522760338</v>
      </c>
      <c r="AA73" s="138"/>
      <c r="AB73" s="193">
        <f t="array" ref="AB73">SUM(AB9:AC9*AB22:AC22)/AB32</f>
        <v>0.40027827351417089</v>
      </c>
      <c r="AC73" s="138"/>
      <c r="AD73" s="193">
        <f t="array" ref="AD73">SUM(AD9:AE9*AD22:AE22)/AD32</f>
        <v>0.37815080649218191</v>
      </c>
      <c r="AE73" s="138"/>
      <c r="AF73" s="193">
        <f t="array" ref="AF73">SUM(AF9:AG9*AF22:AG22)/AF32</f>
        <v>0.34319381828396162</v>
      </c>
      <c r="AG73" s="138"/>
      <c r="AH73" s="193">
        <f t="array" ref="AH73">SUM(AH9:AI9*AH22:AI22)/AH32</f>
        <v>0.28812965550399572</v>
      </c>
      <c r="AI73" s="138"/>
      <c r="AJ73" s="193">
        <f t="array" ref="AJ73">SUM(AJ9:AK9*AJ22:AK22)/AJ32</f>
        <v>0.2049900834264767</v>
      </c>
      <c r="AK73" s="138"/>
      <c r="AL73" s="193">
        <f t="array" ref="AL73">SUM(AL9:AM9*AL22:AM22)/AL32</f>
        <v>9.7783350562399687E-2</v>
      </c>
      <c r="AM73" s="138"/>
      <c r="AN73" s="193">
        <f t="array" ref="AN73">SUM(AN9:AO9*AN22:AO22)/AN32</f>
        <v>1.6134097923066512E-2</v>
      </c>
      <c r="AO73" s="138"/>
      <c r="AP73" s="193">
        <f t="array" ref="AP73">SUM(AP9:AQ9*AP22:AQ22)/AP32</f>
        <v>8.4563708468375562E-3</v>
      </c>
      <c r="AQ73" s="138"/>
      <c r="AR73" s="193">
        <f t="array" ref="AR73">SUM(AR9:AS9*AR22:AS22)/AR32</f>
        <v>3.619800852681473E-3</v>
      </c>
      <c r="AS73" s="138"/>
      <c r="AT73" s="193">
        <f t="array" ref="AT73">SUM(AT9:AU9*AT22:AU22)/AT32</f>
        <v>1.0806872733550973E-3</v>
      </c>
      <c r="AU73" s="138"/>
      <c r="AV73" s="193">
        <f t="array" ref="AV73">SUM(AV9:AW9*AV22:AW22)/AV32</f>
        <v>1.3546563866633388E-4</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0.22604620456442487</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0.22604620456442487</v>
      </c>
      <c r="AG74" s="138"/>
      <c r="AH74" s="193">
        <f t="array" ref="AH74">SUM(AH10:AI10*AH23:AI23)/AH32</f>
        <v>0.22604620456442484</v>
      </c>
      <c r="AI74" s="138"/>
      <c r="AJ74" s="193">
        <f t="array" ref="AJ74">SUM(AJ10:AK10*AJ23:AK23)/AJ32</f>
        <v>0.22604620456442484</v>
      </c>
      <c r="AK74" s="138"/>
      <c r="AL74" s="193">
        <f t="array" ref="AL74">SUM(AL10:AM10*AL23:AM23)/AL32</f>
        <v>0.22604620456442484</v>
      </c>
      <c r="AM74" s="138"/>
      <c r="AN74" s="193">
        <f t="array" ref="AN74">SUM(AN10:AO10*AN23:AO23)/AN32</f>
        <v>0.22604620456442481</v>
      </c>
      <c r="AO74" s="138"/>
      <c r="AP74" s="193">
        <f t="array" ref="AP74">SUM(AP10:AQ10*AP23:AQ23)/AP32</f>
        <v>0.22604620456442484</v>
      </c>
      <c r="AQ74" s="138"/>
      <c r="AR74" s="193">
        <f t="array" ref="AR74">SUM(AR10:AS10*AR23:AS23)/AR32</f>
        <v>0.22604620456442481</v>
      </c>
      <c r="AS74" s="138"/>
      <c r="AT74" s="193">
        <f t="array" ref="AT74">SUM(AT10:AU10*AT23:AU23)/AT32</f>
        <v>0.22604620456442484</v>
      </c>
      <c r="AU74" s="138"/>
      <c r="AV74" s="193">
        <f t="array" ref="AV74">SUM(AV10:AW10*AV23:AW23)/AV32</f>
        <v>0.22604620456442484</v>
      </c>
      <c r="XFD74" s="193"/>
    </row>
    <row r="75" spans="1:48 16384:16384" x14ac:dyDescent="0.2">
      <c r="A75" t="s">
        <v>186</v>
      </c>
      <c r="B75" s="193">
        <f t="array" ref="B75">SUM(B11:C11*B24:C24)/B32</f>
        <v>0.22038438833194082</v>
      </c>
      <c r="D75" s="193">
        <f t="array" ref="D75">SUM(D11:E11*D24:E24)/D32</f>
        <v>0.22346611183754855</v>
      </c>
      <c r="E75" s="138"/>
      <c r="F75" s="193">
        <f t="array" ref="F75">SUM(F11:G11*F24:G24)/F32</f>
        <v>0.22668412272728747</v>
      </c>
      <c r="G75" s="138"/>
      <c r="H75" s="193">
        <f t="array" ref="H75">SUM(H11:I11*H24:I24)/H32</f>
        <v>0.23006432013692071</v>
      </c>
      <c r="I75" s="138"/>
      <c r="J75" s="193">
        <f t="array" ref="J75">SUM(J11:K11*J24:K24)/J32</f>
        <v>0.23363939523508095</v>
      </c>
      <c r="K75" s="138"/>
      <c r="L75" s="193">
        <f t="array" ref="L75">SUM(L11:M11*L24:M24)/L32</f>
        <v>0.23745171939027054</v>
      </c>
      <c r="M75" s="138"/>
      <c r="N75" s="193">
        <f t="array" ref="N75">SUM(N11:O11*N24:O24)/N32</f>
        <v>0.24155837135254821</v>
      </c>
      <c r="O75" s="138"/>
      <c r="P75" s="193">
        <f t="array" ref="P75">SUM(P11:Q11*P24:Q24)/P32</f>
        <v>0.24603918962622456</v>
      </c>
      <c r="Q75" s="138"/>
      <c r="R75" s="193">
        <f t="array" ref="R75">SUM(R11:S11*R24:S24)/R32</f>
        <v>0.25101118879622847</v>
      </c>
      <c r="S75" s="138"/>
      <c r="T75" s="193">
        <f t="array" ref="T75">SUM(T11:U11*T24:U24)/T32</f>
        <v>0.25665513125012368</v>
      </c>
      <c r="U75" s="138"/>
      <c r="V75" s="193">
        <f t="array" ref="V75">SUM(V11:W11*V24:W24)/V32</f>
        <v>0.26326592794267212</v>
      </c>
      <c r="W75" s="138"/>
      <c r="X75" s="193">
        <f t="array" ref="X75">SUM(X11:Y11*X24:Y24)/X32</f>
        <v>0.27135333413653212</v>
      </c>
      <c r="Y75" s="138"/>
      <c r="Z75" s="193">
        <f t="array" ref="Z75">SUM(Z11:AA11*Z24:AA24)/Z32</f>
        <v>0.28184852618857387</v>
      </c>
      <c r="AA75" s="138"/>
      <c r="AB75" s="193">
        <f t="array" ref="AB75">SUM(AB11:AC11*AB24:AC24)/AB32</f>
        <v>0.29651764822433363</v>
      </c>
      <c r="AC75" s="138"/>
      <c r="AD75" s="193">
        <f t="array" ref="AD75">SUM(AD11:AE11*AD24:AE24)/AD32</f>
        <v>0.31864511512377741</v>
      </c>
      <c r="AE75" s="138"/>
      <c r="AF75" s="193">
        <f t="array" ref="AF75">SUM(AF11:AG11*AF24:AG24)/AF32</f>
        <v>0.35360210356330679</v>
      </c>
      <c r="AG75" s="138"/>
      <c r="AH75" s="193">
        <f t="array" ref="AH75">SUM(AH11:AI11*AH24:AI24)/AH32</f>
        <v>0.40866626635735642</v>
      </c>
      <c r="AI75" s="138"/>
      <c r="AJ75" s="193">
        <f t="array" ref="AJ75">SUM(AJ11:AK11*AJ24:AK24)/AJ32</f>
        <v>0.49180583843428183</v>
      </c>
      <c r="AK75" s="138"/>
      <c r="AL75" s="193">
        <f t="array" ref="AL75">SUM(AL11:AM11*AL24:AM24)/AL32</f>
        <v>0.59901257130019414</v>
      </c>
      <c r="AM75" s="138"/>
      <c r="AN75" s="193">
        <f t="array" ref="AN75">SUM(AN11:AO11*AN24:AO24)/AN32</f>
        <v>0.68066182392133301</v>
      </c>
      <c r="AO75" s="138"/>
      <c r="AP75" s="193">
        <f t="array" ref="AP75">SUM(AP11:AQ11*AP24:AQ24)/AP32</f>
        <v>0.68833955101653466</v>
      </c>
      <c r="AQ75" s="138"/>
      <c r="AR75" s="193">
        <f t="array" ref="AR75">SUM(AR11:AS11*AR24:AS24)/AR32</f>
        <v>0.69317612102353809</v>
      </c>
      <c r="AS75" s="138"/>
      <c r="AT75" s="193">
        <f t="array" ref="AT75">SUM(AT11:AU11*AT24:AU24)/AT32</f>
        <v>0.69571523459467932</v>
      </c>
      <c r="AU75" s="138"/>
      <c r="AV75" s="193">
        <f t="array" ref="AV75">SUM(AV11:AW11*AV24:AW24)/AV32</f>
        <v>0.6966604562214358</v>
      </c>
      <c r="XFD75" s="193"/>
    </row>
    <row r="76" spans="1:48 16384:16384" x14ac:dyDescent="0.2">
      <c r="A76" t="s">
        <v>187</v>
      </c>
      <c r="B76" s="193">
        <f t="array" ref="B76">SUM(B12:C12*B25:C25)/B32</f>
        <v>0.22301874374724867</v>
      </c>
      <c r="D76" s="193">
        <f t="array" ref="D76">SUM(D12:E12*D25:E25)/D32</f>
        <v>0.22333996537737885</v>
      </c>
      <c r="E76" s="138"/>
      <c r="F76" s="193">
        <f t="array" ref="F76">SUM(F12:G12*F25:G25)/F32</f>
        <v>0.22378721461637682</v>
      </c>
      <c r="G76" s="138"/>
      <c r="H76" s="193">
        <f t="array" ref="H76">SUM(H12:I12*H25:I25)/H32</f>
        <v>0.22438163527811486</v>
      </c>
      <c r="I76" s="138"/>
      <c r="J76" s="193">
        <f t="array" ref="J76">SUM(J12:K12*J25:K25)/J32</f>
        <v>0.2251476527345318</v>
      </c>
      <c r="K76" s="138"/>
      <c r="L76" s="193">
        <f t="array" ref="L76">SUM(L12:M12*L25:M25)/L32</f>
        <v>0.22611282891131543</v>
      </c>
      <c r="M76" s="138"/>
      <c r="N76" s="193">
        <f t="array" ref="N76">SUM(N12:O12*N25:O25)/N32</f>
        <v>0.22730712207232986</v>
      </c>
      <c r="O76" s="138"/>
      <c r="P76" s="193">
        <f t="array" ref="P76">SUM(P12:Q12*P25:Q25)/P32</f>
        <v>0.2287607217782186</v>
      </c>
      <c r="Q76" s="138"/>
      <c r="R76" s="193">
        <f t="array" ref="R76">SUM(R12:S12*R25:S25)/R32</f>
        <v>0.23049923978941028</v>
      </c>
      <c r="S76" s="138"/>
      <c r="T76" s="193">
        <f t="array" ref="T76">SUM(T12:U12*T25:U25)/T32</f>
        <v>0.23253351566299874</v>
      </c>
      <c r="U76" s="138"/>
      <c r="V76" s="193">
        <f t="array" ref="V76">SUM(V12:W12*V25:W25)/V32</f>
        <v>0.23483817605980151</v>
      </c>
      <c r="W76" s="138"/>
      <c r="X76" s="193">
        <f t="array" ref="X76">SUM(X12:Y12*X25:Y25)/X32</f>
        <v>0.23730685169285567</v>
      </c>
      <c r="Y76" s="138"/>
      <c r="Z76" s="193">
        <f t="array" ref="Z76">SUM(Z12:AA12*Z25:AA25)/Z32</f>
        <v>0.23966200942245319</v>
      </c>
      <c r="AA76" s="138"/>
      <c r="AB76" s="193">
        <f t="array" ref="AB76">SUM(AB12:AC12*AB25:AC25)/AB32</f>
        <v>0.2413015499887653</v>
      </c>
      <c r="AC76" s="138"/>
      <c r="AD76" s="193">
        <f t="array" ref="AD76">SUM(AD12:AE12*AD25:AE25)/AD32</f>
        <v>0.24120602453524459</v>
      </c>
      <c r="AE76" s="138"/>
      <c r="AF76" s="193">
        <f t="array" ref="AF76">SUM(AF12:AG12*AF25:AG25)/AF32</f>
        <v>0.23850570349929892</v>
      </c>
      <c r="AG76" s="138"/>
      <c r="AH76" s="193">
        <f t="array" ref="AH76">SUM(AH12:AI12*AH25:AI25)/AH32</f>
        <v>0.23391527305435231</v>
      </c>
      <c r="AI76" s="138"/>
      <c r="AJ76" s="193">
        <f t="array" ref="AJ76">SUM(AJ12:AK12*AJ25:AK25)/AJ32</f>
        <v>0.22979102385876282</v>
      </c>
      <c r="AK76" s="138"/>
      <c r="AL76" s="193">
        <f t="array" ref="AL76">SUM(AL12:AM12*AL25:AM25)/AL32</f>
        <v>0.22829104251789406</v>
      </c>
      <c r="AM76" s="138"/>
      <c r="AN76" s="193">
        <f t="array" ref="AN76">SUM(AN12:AO12*AN25:AO25)/AN32</f>
        <v>0.22889192530836505</v>
      </c>
      <c r="AO76" s="138"/>
      <c r="AP76" s="193">
        <f t="array" ref="AP76">SUM(AP12:AQ12*AP25:AQ25)/AP32</f>
        <v>0.2290033556617754</v>
      </c>
      <c r="AQ76" s="138"/>
      <c r="AR76" s="193">
        <f t="array" ref="AR76">SUM(AR12:AS12*AR25:AS25)/AR32</f>
        <v>0.22907773762284209</v>
      </c>
      <c r="AS76" s="138"/>
      <c r="AT76" s="193">
        <f t="array" ref="AT76">SUM(AT12:AU12*AT25:AU25)/AT32</f>
        <v>0.2291180546508079</v>
      </c>
      <c r="AU76" s="138"/>
      <c r="AV76" s="193">
        <f t="array" ref="AV76">SUM(AV12:AW12*AV25:AW25)/AV32</f>
        <v>0.22913328371073866</v>
      </c>
      <c r="XFD76" s="193"/>
    </row>
    <row r="77" spans="1:48 16384:16384" x14ac:dyDescent="0.2">
      <c r="A77" t="s">
        <v>188</v>
      </c>
      <c r="B77" s="193">
        <f t="array" ref="B77">SUM(B4:C4*B19:C19)/B32</f>
        <v>0.14586087017236485</v>
      </c>
      <c r="D77" s="193">
        <f t="array" ref="D77">SUM(D4:E4*D19:E19)/D32</f>
        <v>0.14618210739020598</v>
      </c>
      <c r="E77" s="138"/>
      <c r="F77" s="193">
        <f t="array" ref="F77">SUM(F4:G4*F19:G19)/F32</f>
        <v>0.14662934184895959</v>
      </c>
      <c r="G77" s="138"/>
      <c r="H77" s="193">
        <f t="array" ref="H77">SUM(H4:I4*H19:I19)/H32</f>
        <v>0.14722376272544879</v>
      </c>
      <c r="I77" s="138"/>
      <c r="J77" s="193">
        <f t="array" ref="J77">SUM(J4:K4*J19:K19)/J32</f>
        <v>0.14798982136323702</v>
      </c>
      <c r="K77" s="138"/>
      <c r="L77" s="193">
        <f t="array" ref="L77">SUM(L4:M4*L19:M19)/L32</f>
        <v>0.14895495691541866</v>
      </c>
      <c r="M77" s="138"/>
      <c r="N77" s="193">
        <f t="array" ref="N77">SUM(N4:O4*N19:O19)/N32</f>
        <v>0.1501492524333442</v>
      </c>
      <c r="O77" s="138"/>
      <c r="P77" s="193">
        <f t="array" ref="P77">SUM(P4:Q4*P19:Q19)/P32</f>
        <v>0.15160286871320405</v>
      </c>
      <c r="Q77" s="138"/>
      <c r="R77" s="193">
        <f t="array" ref="R77">SUM(R4:S4*R19:S19)/R32</f>
        <v>0.15334138352720286</v>
      </c>
      <c r="S77" s="138"/>
      <c r="T77" s="193">
        <f t="array" ref="T77">SUM(T4:U4*T19:U19)/T32</f>
        <v>0.15537565798507261</v>
      </c>
      <c r="U77" s="138"/>
      <c r="V77" s="193">
        <f t="array" ref="V77">SUM(V4:W4*V19:W19)/V32</f>
        <v>0.15768030447343134</v>
      </c>
      <c r="W77" s="138"/>
      <c r="X77" s="193">
        <f t="array" ref="X77">SUM(X4:Y4*X19:Y19)/X32</f>
        <v>0.16014897937266448</v>
      </c>
      <c r="Y77" s="138"/>
      <c r="Z77" s="193">
        <f t="array" ref="Z77">SUM(Z4:AA4*Z19:AA19)/Z32</f>
        <v>0.16250413540305528</v>
      </c>
      <c r="AA77" s="138"/>
      <c r="AB77" s="193">
        <f t="array" ref="AB77">SUM(AB4:AC4*AB19:AC19)/AB32</f>
        <v>0.16414367629169463</v>
      </c>
      <c r="AC77" s="138"/>
      <c r="AD77" s="193">
        <f t="array" ref="AD77">SUM(AD4:AE4*AD19:AE19)/AD32</f>
        <v>0.16404815071562887</v>
      </c>
      <c r="AE77" s="138"/>
      <c r="AF77" s="193">
        <f t="array" ref="AF77">SUM(AF4:AG4*AF19:AG19)/AF32</f>
        <v>0.161347829910992</v>
      </c>
      <c r="AG77" s="138"/>
      <c r="AH77" s="193">
        <f t="array" ref="AH77">SUM(AH4:AI4*AH19:AI19)/AH32</f>
        <v>0.15675739948012915</v>
      </c>
      <c r="AI77" s="138"/>
      <c r="AJ77" s="193">
        <f t="array" ref="AJ77">SUM(AJ4:AK4*AJ19:AK19)/AJ32</f>
        <v>0.15263315028394614</v>
      </c>
      <c r="AK77" s="138"/>
      <c r="AL77" s="193">
        <f t="array" ref="AL77">SUM(AL4:AM4*AL19:AM19)/AL32</f>
        <v>0.15113316894491272</v>
      </c>
      <c r="AM77" s="138"/>
      <c r="AN77" s="193">
        <f t="array" ref="AN77">SUM(AN4:AO4*AN19:AO19)/AN32</f>
        <v>0.15173405171718921</v>
      </c>
      <c r="AO77" s="138"/>
      <c r="AP77" s="193">
        <f t="array" ref="AP77">SUM(AP4:AQ4*AP19:AQ19)/AP32</f>
        <v>0.15184548208957249</v>
      </c>
      <c r="AQ77" s="138"/>
      <c r="AR77" s="193">
        <f t="array" ref="AR77">SUM(AR4:AS4*AR19:AS19)/AR32</f>
        <v>0.15191986406348643</v>
      </c>
      <c r="AS77" s="138"/>
      <c r="AT77" s="193">
        <f t="array" ref="AT77">SUM(AT4:AU4*AT19:AU19)/AT32</f>
        <v>0.15196018108326714</v>
      </c>
      <c r="AU77" s="138"/>
      <c r="AV77" s="193">
        <f t="array" ref="AV77">SUM(AV4:AW4*AV19:AW19)/AV32</f>
        <v>0.15197541013526567</v>
      </c>
      <c r="XFD77" s="193"/>
    </row>
    <row r="78" spans="1:48 16384:16384" x14ac:dyDescent="0.2">
      <c r="A78" t="s">
        <v>189</v>
      </c>
      <c r="B78" s="193">
        <f t="array" ref="B78">SUM(B13:C13*B26:C26)/B32</f>
        <v>0.346887593115773</v>
      </c>
      <c r="D78" s="193">
        <f t="array" ref="D78">SUM(D13:E13*D26:E26)/D32</f>
        <v>0.34596229046176197</v>
      </c>
      <c r="E78" s="138"/>
      <c r="F78" s="193">
        <f t="array" ref="F78">SUM(F13:G13*F26:G26)/F32</f>
        <v>0.34492416834403206</v>
      </c>
      <c r="G78" s="138"/>
      <c r="H78" s="193">
        <f t="array" ref="H78">SUM(H13:I13*H26:I26)/H32</f>
        <v>0.34375328721517562</v>
      </c>
      <c r="I78" s="138"/>
      <c r="J78" s="193">
        <f t="array" ref="J78">SUM(J13:K13*J26:K26)/J32</f>
        <v>0.34242410083123237</v>
      </c>
      <c r="K78" s="138"/>
      <c r="L78" s="193">
        <f t="array" ref="L78">SUM(L13:M13*L26:M26)/L32</f>
        <v>0.34090294722098419</v>
      </c>
      <c r="M78" s="138"/>
      <c r="N78" s="193">
        <f t="array" ref="N78">SUM(N13:O13*N26:O26)/N32</f>
        <v>0.33914375149424725</v>
      </c>
      <c r="O78" s="138"/>
      <c r="P78" s="193">
        <f t="array" ref="P78">SUM(P13:Q13*P26:Q26)/P32</f>
        <v>0.33708115390934279</v>
      </c>
      <c r="Q78" s="138"/>
      <c r="R78" s="193">
        <f t="array" ref="R78">SUM(R13:S13*R26:S26)/R32</f>
        <v>0.3346182914973399</v>
      </c>
      <c r="S78" s="138"/>
      <c r="T78" s="193">
        <f t="array" ref="T78">SUM(T13:U13*T26:U26)/T32</f>
        <v>0.33160479941654486</v>
      </c>
      <c r="U78" s="138"/>
      <c r="V78" s="193">
        <f t="array" ref="V78">SUM(V13:W13*V26:W26)/V32</f>
        <v>0.3277954547122427</v>
      </c>
      <c r="W78" s="138"/>
      <c r="X78" s="193">
        <f t="array" ref="X78">SUM(X13:Y13*X26:Y26)/X32</f>
        <v>0.32276894428118458</v>
      </c>
      <c r="Y78" s="138"/>
      <c r="Z78" s="193">
        <f t="array" ref="Z78">SUM(Z13:AA13*Z26:AA26)/Z32</f>
        <v>0.31576422068865995</v>
      </c>
      <c r="AA78" s="138"/>
      <c r="AB78" s="193">
        <f t="array" ref="AB78">SUM(AB13:AC13*AB26:AC26)/AB32</f>
        <v>0.30536102454831138</v>
      </c>
      <c r="AC78" s="138"/>
      <c r="AD78" s="193">
        <f t="array" ref="AD78">SUM(AD13:AE13*AD26:AE26)/AD32</f>
        <v>0.28897451353757397</v>
      </c>
      <c r="AE78" s="138"/>
      <c r="AF78" s="193">
        <f t="array" ref="AF78">SUM(AF13:AG13*AF26:AG26)/AF32</f>
        <v>0.26248659108073796</v>
      </c>
      <c r="AG78" s="138"/>
      <c r="AH78" s="193">
        <f t="array" ref="AH78">SUM(AH13:AI13*AH26:AI26)/AH32</f>
        <v>0.22043276259398181</v>
      </c>
      <c r="AI78" s="138"/>
      <c r="AJ78" s="193">
        <f t="array" ref="AJ78">SUM(AJ13:AK13*AJ26:AK26)/AJ32</f>
        <v>0.15683592171920882</v>
      </c>
      <c r="AK78" s="138"/>
      <c r="AL78" s="193">
        <f t="array" ref="AL78">SUM(AL13:AM13*AL26:AM26)/AL32</f>
        <v>7.4813693821482563E-2</v>
      </c>
      <c r="AM78" s="138"/>
      <c r="AN78" s="193">
        <f t="array" ref="AN78">SUM(AN13:AO13*AN26:AO26)/AN32</f>
        <v>1.2344153034170826E-2</v>
      </c>
      <c r="AO78" s="138"/>
      <c r="AP78" s="193">
        <f t="array" ref="AP78">SUM(AP13:AQ13*AP26:AQ26)/AP32</f>
        <v>6.4699464811010373E-3</v>
      </c>
      <c r="AQ78" s="138"/>
      <c r="AR78" s="193">
        <f t="array" ref="AR78">SUM(AR13:AS13*AR26:AS26)/AR32</f>
        <v>2.7695005355453635E-3</v>
      </c>
      <c r="AS78" s="138"/>
      <c r="AT78" s="193">
        <f t="array" ref="AT78">SUM(AT13:AU13*AT26:AU26)/AT32</f>
        <v>8.268312529422458E-4</v>
      </c>
      <c r="AU78" s="138"/>
      <c r="AV78" s="193">
        <f t="array" ref="AV78">SUM(AV13:AW13*AV26:AW26)/AV32</f>
        <v>1.0364438819762971E-4</v>
      </c>
      <c r="XFD78" s="193"/>
    </row>
    <row r="79" spans="1:48 16384:16384" x14ac:dyDescent="0.2">
      <c r="A79" t="s">
        <v>190</v>
      </c>
      <c r="B79" s="193">
        <f t="array" ref="B79">SUM(B15:C15*B27:C27)/B32</f>
        <v>0.45460968782440642</v>
      </c>
      <c r="D79" s="193">
        <f t="array" ref="D79">SUM(D15:E15*D27:E27)/D32</f>
        <v>0.45033207146912496</v>
      </c>
      <c r="F79" s="193">
        <f t="array" ref="F79">SUM(F15:G15*F27:G27)/F32</f>
        <v>0.44593813984244468</v>
      </c>
      <c r="H79" s="193">
        <f t="array" ref="H79">SUM(H15:I15*H27:I27)/H32</f>
        <v>0.44140433424182313</v>
      </c>
      <c r="J79" s="193">
        <f t="array" ref="J79">SUM(J15:K15*J27:K27)/J32</f>
        <v>0.43670117898252309</v>
      </c>
      <c r="L79" s="193">
        <f t="array" ref="L79">SUM(L15:M15*L27:M27)/L32</f>
        <v>0.43179117429642933</v>
      </c>
      <c r="N79" s="193">
        <f t="array" ref="N79">SUM(N15:O15*N27:O27)/N32</f>
        <v>0.42662432469458472</v>
      </c>
      <c r="P79" s="193">
        <f t="array" ref="P79">SUM(P15:Q15*P27:Q27)/P32</f>
        <v>0.4211318839817994</v>
      </c>
      <c r="R79" s="193">
        <f t="array" ref="R79">SUM(R15:S15*R27:S27)/R32</f>
        <v>0.4152139295034884</v>
      </c>
      <c r="T79" s="193">
        <f t="array" ref="T79">SUM(T15:U15*T27:U27)/T32</f>
        <v>0.40871700449575998</v>
      </c>
      <c r="V79" s="193">
        <f t="array" ref="V79">SUM(V15:W15*V27:W27)/V32</f>
        <v>0.40139061915493113</v>
      </c>
      <c r="X79" s="193">
        <f t="array" ref="X79">SUM(X15:Y15*X27:Y27)/X32</f>
        <v>0.39279917071842785</v>
      </c>
      <c r="Z79" s="193">
        <f t="array" ref="Z79">SUM(Z15:AA15*Z27:AA27)/Z32</f>
        <v>0.38213830386950082</v>
      </c>
      <c r="AB79" s="193">
        <f t="array" ref="AB79">SUM(AB15:AC15*AB27:AC27)/AB32</f>
        <v>0.36785883987332529</v>
      </c>
      <c r="AD79" s="193">
        <f t="array" ref="AD79">SUM(AD15:AE15*AD27:AE27)/AD32</f>
        <v>0.34702274015552736</v>
      </c>
      <c r="AF79" s="193">
        <f t="array" ref="AF79">SUM(AF15:AG15*AF27:AG27)/AF32</f>
        <v>0.3147147136433498</v>
      </c>
      <c r="AH79" s="193">
        <f t="array" ref="AH79">SUM(AH15:AI15*AH27:AI27)/AH32</f>
        <v>0.26415790304921127</v>
      </c>
      <c r="AJ79" s="193">
        <f t="array" ref="AJ79">SUM(AJ15:AK15*AJ27:AK27)/AJ32</f>
        <v>0.18792638783947274</v>
      </c>
      <c r="AL79" s="193">
        <f t="array" ref="AL79">SUM(AL15:AM15*AL27:AM27)/AL32</f>
        <v>8.96431009828033E-2</v>
      </c>
      <c r="AN79" s="193">
        <f t="array" ref="AN79">SUM(AN15:AO15*AN27:AO27)/AN32</f>
        <v>1.479095722677006E-2</v>
      </c>
      <c r="AP79" s="193">
        <f t="array" ref="AP79">SUM(AP15:AQ15*AP27:AQ27)/AP32</f>
        <v>7.7523891832043564E-3</v>
      </c>
      <c r="AR79" s="193">
        <f t="array" ref="AR79">SUM(AR15:AS15*AR27:AS27)/AR32</f>
        <v>3.318456555787113E-3</v>
      </c>
      <c r="AT79" s="193">
        <f t="array" ref="AT79">SUM(AT15:AU15*AT27:AU27)/AT32</f>
        <v>9.9072114888658141E-4</v>
      </c>
      <c r="AV79" s="193">
        <f t="array" ref="AV79">SUM(AV15:AW15*AV27:AW27)/AV32</f>
        <v>1.2418831019498063E-4</v>
      </c>
      <c r="XFD79" s="193"/>
    </row>
    <row r="80" spans="1:48 16384:16384" x14ac:dyDescent="0.2">
      <c r="A80" t="s">
        <v>169</v>
      </c>
      <c r="B80" s="236">
        <f>B55</f>
        <v>0.19850271905982084</v>
      </c>
      <c r="D80" s="236">
        <f>D55</f>
        <v>0.20370567538068698</v>
      </c>
      <c r="F80" s="236">
        <f>F55</f>
        <v>0.20913769010306879</v>
      </c>
      <c r="H80" s="236">
        <f>H55</f>
        <v>0.21484237599060041</v>
      </c>
      <c r="J80" s="236">
        <f>J55</f>
        <v>0.22087474825313091</v>
      </c>
      <c r="L80" s="236">
        <f>L55</f>
        <v>0.22730587344671133</v>
      </c>
      <c r="N80" s="236">
        <f>N55</f>
        <v>0.23423191078116518</v>
      </c>
      <c r="P80" s="236">
        <f>P55</f>
        <v>0.24178697798938681</v>
      </c>
      <c r="R80" s="236">
        <f>R55</f>
        <v>0.25016779202665812</v>
      </c>
      <c r="T80" s="236">
        <f>T55</f>
        <v>0.25967820733677277</v>
      </c>
      <c r="V80" s="236">
        <f>V55</f>
        <v>0.27081394188199609</v>
      </c>
      <c r="X80" s="236">
        <f>X55</f>
        <v>0.28443188329763319</v>
      </c>
      <c r="Z80" s="236">
        <f>Z55</f>
        <v>0.30209747826730809</v>
      </c>
      <c r="AB80" s="236">
        <f>AB55</f>
        <v>0.32678013694802094</v>
      </c>
      <c r="AD80" s="236">
        <f>AD55</f>
        <v>0.36400275010412658</v>
      </c>
      <c r="AF80" s="236">
        <f>AF55</f>
        <v>0.42279869596031971</v>
      </c>
      <c r="AH80" s="236">
        <f>AH55</f>
        <v>0.51540933421763402</v>
      </c>
      <c r="AJ80" s="236">
        <f>AJ55</f>
        <v>0.65523769034815915</v>
      </c>
      <c r="AL80" s="236">
        <f>AL55</f>
        <v>0.83554320561234452</v>
      </c>
      <c r="AN80" s="236">
        <f>AN55</f>
        <v>0.9728648881238845</v>
      </c>
      <c r="AP80" s="236">
        <f>AP55</f>
        <v>0.98577766456655291</v>
      </c>
      <c r="AR80" s="236">
        <f>AR55</f>
        <v>0.99391204428603042</v>
      </c>
      <c r="AT80" s="236">
        <f>AT55</f>
        <v>0.99818244823809898</v>
      </c>
      <c r="AV80" s="236">
        <f>AV55</f>
        <v>0.99977216725123919</v>
      </c>
      <c r="XFD80" s="236"/>
    </row>
    <row r="81" spans="1:48 16384:16384" x14ac:dyDescent="0.2">
      <c r="A81" t="s">
        <v>191</v>
      </c>
      <c r="B81" s="236">
        <f>B51/B$32</f>
        <v>-2.7543485504603994E-2</v>
      </c>
      <c r="D81" s="236">
        <f>D51/D$32</f>
        <v>-2.2340529183737867E-2</v>
      </c>
      <c r="F81" s="236">
        <f>F51/F$32</f>
        <v>-1.6908514461356047E-2</v>
      </c>
      <c r="H81" s="236">
        <f>H51/H$32</f>
        <v>-1.1203828573824414E-2</v>
      </c>
      <c r="J81" s="236">
        <f>J51/J$32</f>
        <v>-5.1714563112939095E-3</v>
      </c>
      <c r="L81" s="236">
        <f>L51/L$32</f>
        <v>1.2596688822864969E-3</v>
      </c>
      <c r="N81" s="236">
        <f>N51/N$32</f>
        <v>8.1857062167403159E-3</v>
      </c>
      <c r="P81" s="236">
        <f>P51/P$32</f>
        <v>1.5740773424961971E-2</v>
      </c>
      <c r="R81" s="236">
        <f>R51/R$32</f>
        <v>2.41215874622333E-2</v>
      </c>
      <c r="T81" s="236">
        <f>T51/T$32</f>
        <v>3.3632002772347902E-2</v>
      </c>
      <c r="V81" s="236">
        <f>V51/V$32</f>
        <v>4.4767737317571249E-2</v>
      </c>
      <c r="X81" s="236">
        <f>X51/X$32</f>
        <v>5.8385678733208352E-2</v>
      </c>
      <c r="Z81" s="236">
        <f>Z51/Z$32</f>
        <v>7.6051273702883226E-2</v>
      </c>
      <c r="AB81" s="236">
        <f>AB51/AB$32</f>
        <v>0.10073393238359611</v>
      </c>
      <c r="AD81" s="236">
        <f>AD51/AD$32</f>
        <v>0.13795654553970171</v>
      </c>
      <c r="AF81" s="236">
        <f>AF51/AF$32</f>
        <v>0.19675249139589487</v>
      </c>
      <c r="AH81" s="236">
        <f>AH51/AH$32</f>
        <v>0.28936312965320915</v>
      </c>
      <c r="AJ81" s="236">
        <f>AJ51/AJ$32</f>
        <v>0.42919148578373428</v>
      </c>
      <c r="AL81" s="236">
        <f>AL51/AL$32</f>
        <v>0.60949700104791971</v>
      </c>
      <c r="AN81" s="236">
        <f>AN51/AN$32</f>
        <v>0.74681868355945968</v>
      </c>
      <c r="AP81" s="236">
        <f>AP51/AP$32</f>
        <v>0.75973146000212799</v>
      </c>
      <c r="AR81" s="236">
        <f>AR51/AR$32</f>
        <v>0.76786583972160549</v>
      </c>
      <c r="AT81" s="236">
        <f>AT51/AT$32</f>
        <v>0.77213624367367417</v>
      </c>
      <c r="AV81" s="236">
        <f>AV51/AV$32</f>
        <v>0.77372596268681437</v>
      </c>
      <c r="XFD81" s="236"/>
    </row>
    <row r="82" spans="1:48 16384:16384" x14ac:dyDescent="0.2">
      <c r="A82" t="s">
        <v>192</v>
      </c>
      <c r="B82" s="236">
        <f>B52/B$32</f>
        <v>0.13907860278212886</v>
      </c>
      <c r="D82" s="236">
        <f>D52/D$32</f>
        <v>0.13870761862811357</v>
      </c>
      <c r="F82" s="236">
        <f>F52/F$32</f>
        <v>0.13829140145426119</v>
      </c>
      <c r="H82" s="236">
        <f>H52/H$32</f>
        <v>0.13782195684264326</v>
      </c>
      <c r="J82" s="236">
        <f>J52/J$32</f>
        <v>0.13728904246696491</v>
      </c>
      <c r="L82" s="236">
        <f>L52/L$32</f>
        <v>0.13667916213994005</v>
      </c>
      <c r="N82" s="236">
        <f>N52/N$32</f>
        <v>0.13597384292832673</v>
      </c>
      <c r="P82" s="236">
        <f>P52/P$32</f>
        <v>0.13514687996999872</v>
      </c>
      <c r="R82" s="236">
        <f>R52/R$32</f>
        <v>0.13415943772673672</v>
      </c>
      <c r="T82" s="236">
        <f>T52/T$32</f>
        <v>0.13295123000639861</v>
      </c>
      <c r="V82" s="236">
        <f>V52/V$32</f>
        <v>0.13142393889105156</v>
      </c>
      <c r="X82" s="236">
        <f>X52/X$32</f>
        <v>0.1294086461521497</v>
      </c>
      <c r="Z82" s="236">
        <f>Z52/Z$32</f>
        <v>0.12660022293535797</v>
      </c>
      <c r="AB82" s="236">
        <f>AB52/AB$32</f>
        <v>0.12242924071407908</v>
      </c>
      <c r="AD82" s="236">
        <f>AD52/AD$32</f>
        <v>0.11585935150190796</v>
      </c>
      <c r="AF82" s="236">
        <f>AF52/AF$32</f>
        <v>0.10523947544116732</v>
      </c>
      <c r="AH82" s="236">
        <f>AH52/AH$32</f>
        <v>8.8378717594387535E-2</v>
      </c>
      <c r="AJ82" s="236">
        <f>AJ52/AJ$32</f>
        <v>6.2880660166692706E-2</v>
      </c>
      <c r="AL82" s="236">
        <f>AL52/AL$32</f>
        <v>2.9995261324290545E-2</v>
      </c>
      <c r="AN82" s="236">
        <f>AN52/AN$32</f>
        <v>4.9491754406686831E-3</v>
      </c>
      <c r="AP82" s="236">
        <f>AP52/AP$32</f>
        <v>2.594013549416184E-3</v>
      </c>
      <c r="AR82" s="236">
        <f>AR52/AR$32</f>
        <v>1.110383514810385E-3</v>
      </c>
      <c r="AT82" s="236">
        <f>AT52/AT$32</f>
        <v>3.3150374264733455E-4</v>
      </c>
      <c r="AV82" s="236">
        <f>AV52/AV$32</f>
        <v>4.1554431414686034E-5</v>
      </c>
    </row>
    <row r="83" spans="1:48 16384:16384" x14ac:dyDescent="0.2">
      <c r="A83" t="s">
        <v>193</v>
      </c>
      <c r="B83" s="236">
        <f>B53/B$32</f>
        <v>0.18600714462929935</v>
      </c>
      <c r="D83" s="236">
        <f>D53/D$32</f>
        <v>0.18425692410964156</v>
      </c>
      <c r="F83" s="236">
        <f>F53/F$32</f>
        <v>0.18245911227794376</v>
      </c>
      <c r="H83" s="236">
        <f>H53/H$32</f>
        <v>0.18060406990497596</v>
      </c>
      <c r="J83" s="236">
        <f>J53/J$32</f>
        <v>0.17867973678150637</v>
      </c>
      <c r="L83" s="236">
        <f>L53/L$32</f>
        <v>0.17667076958120873</v>
      </c>
      <c r="N83" s="236">
        <f>N53/N$32</f>
        <v>0.17455671225487351</v>
      </c>
      <c r="P83" s="236">
        <f>P53/P$32</f>
        <v>0.17230943675372867</v>
      </c>
      <c r="R83" s="236">
        <f>R53/R$32</f>
        <v>0.16988805893438488</v>
      </c>
      <c r="T83" s="236">
        <f>T53/T$32</f>
        <v>0.16722979074977679</v>
      </c>
      <c r="V83" s="236">
        <f>V53/V$32</f>
        <v>0.16423214231816682</v>
      </c>
      <c r="X83" s="236">
        <f>X53/X$32</f>
        <v>0.16071688332852316</v>
      </c>
      <c r="Z83" s="236">
        <f>Z53/Z$32</f>
        <v>0.15635490544958272</v>
      </c>
      <c r="AB83" s="236">
        <f>AB53/AB$32</f>
        <v>0.15051234996539031</v>
      </c>
      <c r="AD83" s="236">
        <f>AD53/AD$32</f>
        <v>0.14198709518635902</v>
      </c>
      <c r="AF83" s="236">
        <f>AF53/AF$32</f>
        <v>0.12876801094533194</v>
      </c>
      <c r="AH83" s="236">
        <f>AH53/AH$32</f>
        <v>0.1080822925542793</v>
      </c>
      <c r="AJ83" s="236">
        <f>AJ53/AJ$32</f>
        <v>7.6891565971247564E-2</v>
      </c>
      <c r="AL83" s="236">
        <f>AL53/AL$32</f>
        <v>3.6678182837070625E-2</v>
      </c>
      <c r="AN83" s="236">
        <f>AN53/AN$32</f>
        <v>6.0518369796559697E-3</v>
      </c>
      <c r="AP83" s="236">
        <f>AP53/AP$32</f>
        <v>3.1719512686229491E-3</v>
      </c>
      <c r="AR83" s="236">
        <f>AR53/AR$32</f>
        <v>1.3577727115150178E-3</v>
      </c>
      <c r="AT83" s="236">
        <f>AT53/AT$32</f>
        <v>4.0536138354233848E-4</v>
      </c>
      <c r="AV83" s="236">
        <f>AV53/AV$32</f>
        <v>5.081262805078722E-5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5"/>
  <dimension ref="A1:XFD83"/>
  <sheetViews>
    <sheetView showGridLines="0" workbookViewId="0">
      <pane ySplit="1" topLeftCell="A2" activePane="bottomLeft" state="frozen"/>
      <selection pane="bottomLef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row>
    <row r="2" spans="1:49" x14ac:dyDescent="0.2">
      <c r="A2" s="229" t="s">
        <v>155</v>
      </c>
      <c r="B2" s="226">
        <v>5.7716594496607888E-3</v>
      </c>
      <c r="C2" s="227"/>
      <c r="D2" s="226">
        <v>7.0980045687539906E-2</v>
      </c>
      <c r="E2" s="227"/>
      <c r="F2" s="226">
        <v>0.14317207272392832</v>
      </c>
      <c r="G2" s="227"/>
      <c r="H2" s="226">
        <v>0.22357690924973264</v>
      </c>
      <c r="I2" s="227"/>
      <c r="J2" s="226">
        <v>0.31379601219813796</v>
      </c>
      <c r="K2" s="227"/>
      <c r="L2" s="226">
        <v>0.4159742694465704</v>
      </c>
      <c r="M2" s="227"/>
      <c r="N2" s="226">
        <v>0.53311812008487125</v>
      </c>
      <c r="O2" s="227"/>
      <c r="P2" s="226">
        <v>0.66959016872402866</v>
      </c>
      <c r="Q2" s="227"/>
      <c r="R2" s="226">
        <v>0.83203735858566319</v>
      </c>
      <c r="S2" s="227"/>
      <c r="T2" s="226">
        <v>1.0311437378995718</v>
      </c>
      <c r="U2" s="227"/>
      <c r="V2" s="226">
        <v>1.2851488627100593</v>
      </c>
      <c r="W2" s="227"/>
      <c r="X2" s="226">
        <v>1.6274433095311918</v>
      </c>
      <c r="Y2" s="227"/>
      <c r="Z2" s="226">
        <v>2.1240217534245134</v>
      </c>
      <c r="AA2" s="227"/>
      <c r="AB2" s="226">
        <v>2.9146349246409176</v>
      </c>
      <c r="AC2" s="227"/>
      <c r="AD2" s="226">
        <v>4.3007280689112202</v>
      </c>
      <c r="AE2" s="227"/>
      <c r="AF2" s="226">
        <v>6.8768968251329499</v>
      </c>
      <c r="AG2" s="227"/>
      <c r="AH2" s="226">
        <v>11.61495928693788</v>
      </c>
      <c r="AI2" s="227"/>
      <c r="AJ2" s="226">
        <v>19.543976569538426</v>
      </c>
      <c r="AK2" s="227"/>
      <c r="AL2" s="226">
        <v>29.608023021201451</v>
      </c>
      <c r="AM2" s="227"/>
      <c r="AN2" s="226">
        <v>36.399181314819309</v>
      </c>
      <c r="AO2" s="227"/>
      <c r="AP2" s="226">
        <v>36.987726867694796</v>
      </c>
      <c r="AQ2" s="227"/>
      <c r="AR2" s="226">
        <v>37.353889025372986</v>
      </c>
      <c r="AS2" s="227"/>
      <c r="AT2" s="226">
        <v>37.54469346241067</v>
      </c>
      <c r="AU2" s="227"/>
      <c r="AV2" s="226">
        <v>37.615472559597038</v>
      </c>
      <c r="AW2" s="227"/>
    </row>
    <row r="3" spans="1:49" x14ac:dyDescent="0.2">
      <c r="A3" t="s">
        <v>12</v>
      </c>
      <c r="B3" s="84">
        <v>1000</v>
      </c>
      <c r="C3" s="85">
        <v>1000</v>
      </c>
      <c r="D3" s="84">
        <v>997.87611255257355</v>
      </c>
      <c r="E3" s="85">
        <v>1029.5751521215197</v>
      </c>
      <c r="F3" s="84">
        <v>995.62839494166326</v>
      </c>
      <c r="G3" s="85">
        <v>1063.4030706736082</v>
      </c>
      <c r="H3" s="84">
        <v>993.23437701293642</v>
      </c>
      <c r="I3" s="85">
        <v>1102.3363778047201</v>
      </c>
      <c r="J3" s="84">
        <v>990.66829730671975</v>
      </c>
      <c r="K3" s="85">
        <v>1147.4712484143231</v>
      </c>
      <c r="L3" s="84">
        <v>987.90180379136609</v>
      </c>
      <c r="M3" s="85">
        <v>1200.244428796555</v>
      </c>
      <c r="N3" s="84">
        <v>984.90497818759525</v>
      </c>
      <c r="O3" s="85">
        <v>1262.610369402588</v>
      </c>
      <c r="P3" s="84">
        <v>981.64987212613255</v>
      </c>
      <c r="Q3" s="85">
        <v>1337.304390339433</v>
      </c>
      <c r="R3" s="84">
        <v>978.11660306195722</v>
      </c>
      <c r="S3" s="85">
        <v>1428.3333783541689</v>
      </c>
      <c r="T3" s="84">
        <v>974.30588387436944</v>
      </c>
      <c r="U3" s="85">
        <v>1541.8772092661798</v>
      </c>
      <c r="V3" s="84">
        <v>970.26400828550948</v>
      </c>
      <c r="W3" s="85">
        <v>1688.0620393976437</v>
      </c>
      <c r="X3" s="84">
        <v>966.13357782503408</v>
      </c>
      <c r="Y3" s="85">
        <v>1884.6887170800953</v>
      </c>
      <c r="Z3" s="84">
        <v>962.25394727885146</v>
      </c>
      <c r="AA3" s="85">
        <v>2165.535921836055</v>
      </c>
      <c r="AB3" s="84">
        <v>959.32352280048747</v>
      </c>
      <c r="AC3" s="85">
        <v>2599.1974873253334</v>
      </c>
      <c r="AD3" s="84">
        <v>958.44189786974425</v>
      </c>
      <c r="AE3" s="85">
        <v>3327.5366188939483</v>
      </c>
      <c r="AF3" s="84">
        <v>960.35243166462635</v>
      </c>
      <c r="AG3" s="85">
        <v>4620.7875714871043</v>
      </c>
      <c r="AH3" s="84">
        <v>964.16721552025126</v>
      </c>
      <c r="AI3" s="85">
        <v>6913.7530712796452</v>
      </c>
      <c r="AJ3" s="84">
        <v>968.01484259671497</v>
      </c>
      <c r="AK3" s="85">
        <v>10663.012393702104</v>
      </c>
      <c r="AL3" s="84">
        <v>970.60254568857158</v>
      </c>
      <c r="AM3" s="85">
        <v>15366.015182506821</v>
      </c>
      <c r="AN3" s="84">
        <v>971.68101802738931</v>
      </c>
      <c r="AO3" s="85">
        <v>18528.963301146086</v>
      </c>
      <c r="AP3" s="84">
        <v>971.75875906696717</v>
      </c>
      <c r="AQ3" s="85">
        <v>18803.457719198086</v>
      </c>
      <c r="AR3" s="84">
        <v>971.80607033121726</v>
      </c>
      <c r="AS3" s="85">
        <v>18974.419494618032</v>
      </c>
      <c r="AT3" s="84">
        <v>971.83041077672817</v>
      </c>
      <c r="AU3" s="85">
        <v>19063.629805806053</v>
      </c>
      <c r="AV3" s="84">
        <v>971.83938595519135</v>
      </c>
      <c r="AW3" s="85">
        <v>19096.78034165526</v>
      </c>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row>
    <row r="5" spans="1:49" x14ac:dyDescent="0.2">
      <c r="A5" t="s">
        <v>128</v>
      </c>
      <c r="B5" s="41">
        <v>1000</v>
      </c>
      <c r="C5" s="42">
        <v>1000</v>
      </c>
      <c r="D5" s="41">
        <v>997.77042374587177</v>
      </c>
      <c r="E5" s="42">
        <v>1025.5996378289813</v>
      </c>
      <c r="F5" s="41">
        <v>995.40867695342342</v>
      </c>
      <c r="G5" s="42">
        <v>1053.9854757813719</v>
      </c>
      <c r="H5" s="41">
        <v>992.8907254845326</v>
      </c>
      <c r="I5" s="42">
        <v>1085.4897262072868</v>
      </c>
      <c r="J5" s="41">
        <v>990.18893835494453</v>
      </c>
      <c r="K5" s="42">
        <v>1120.4739245885439</v>
      </c>
      <c r="L5" s="41">
        <v>987.27278984818417</v>
      </c>
      <c r="M5" s="42">
        <v>1159.3294428084898</v>
      </c>
      <c r="N5" s="41">
        <v>984.10988936082038</v>
      </c>
      <c r="O5" s="42">
        <v>1202.4610066348446</v>
      </c>
      <c r="P5" s="41">
        <v>980.66968243828114</v>
      </c>
      <c r="Q5" s="42">
        <v>1250.276086182005</v>
      </c>
      <c r="R5" s="41">
        <v>976.92987854795717</v>
      </c>
      <c r="S5" s="42">
        <v>1303.1509857245328</v>
      </c>
      <c r="T5" s="41">
        <v>972.88977262247852</v>
      </c>
      <c r="U5" s="42">
        <v>1361.3548103884038</v>
      </c>
      <c r="V5" s="41">
        <v>968.59697218642918</v>
      </c>
      <c r="W5" s="42">
        <v>1424.8954774267122</v>
      </c>
      <c r="X5" s="41">
        <v>964.20189653492662</v>
      </c>
      <c r="Y5" s="42">
        <v>1493.1652272889612</v>
      </c>
      <c r="Z5" s="41">
        <v>960.06601089530909</v>
      </c>
      <c r="AA5" s="42">
        <v>1564.15509910692</v>
      </c>
      <c r="AB5" s="41">
        <v>956.93703119405075</v>
      </c>
      <c r="AC5" s="42">
        <v>1632.939413156482</v>
      </c>
      <c r="AD5" s="41">
        <v>955.99482115100636</v>
      </c>
      <c r="AE5" s="42">
        <v>1690.3141977017749</v>
      </c>
      <c r="AF5" s="41">
        <v>958.03614856864294</v>
      </c>
      <c r="AG5" s="42">
        <v>1726.8017384411066</v>
      </c>
      <c r="AH5" s="41">
        <v>962.10658966753158</v>
      </c>
      <c r="AI5" s="42">
        <v>1742.9953259243214</v>
      </c>
      <c r="AJ5" s="41">
        <v>966.204736221958</v>
      </c>
      <c r="AK5" s="42">
        <v>1748.1299279744474</v>
      </c>
      <c r="AL5" s="41">
        <v>968.95683020997058</v>
      </c>
      <c r="AM5" s="42">
        <v>1749.4202691184673</v>
      </c>
      <c r="AN5" s="41">
        <v>970.10285185259295</v>
      </c>
      <c r="AO5" s="42">
        <v>1749.698996084506</v>
      </c>
      <c r="AP5" s="41">
        <v>970.18544033450871</v>
      </c>
      <c r="AQ5" s="42">
        <v>1749.7149689846069</v>
      </c>
      <c r="AR5" s="41">
        <v>970.23570019817964</v>
      </c>
      <c r="AS5" s="42">
        <v>1749.7244555149973</v>
      </c>
      <c r="AT5" s="41">
        <v>970.2615572008192</v>
      </c>
      <c r="AU5" s="42">
        <v>1749.7292715087422</v>
      </c>
      <c r="AV5" s="41">
        <v>970.27109151481523</v>
      </c>
      <c r="AW5" s="42">
        <v>1749.7310382727094</v>
      </c>
    </row>
    <row r="6" spans="1:49" x14ac:dyDescent="0.2">
      <c r="A6" t="s">
        <v>77</v>
      </c>
      <c r="B6" s="41">
        <v>999.99999999999943</v>
      </c>
      <c r="C6" s="42">
        <v>999.99999999999909</v>
      </c>
      <c r="D6" s="41">
        <v>997.60029285801272</v>
      </c>
      <c r="E6" s="42">
        <v>1031.8525655801855</v>
      </c>
      <c r="F6" s="41">
        <v>995.05922176895774</v>
      </c>
      <c r="G6" s="42">
        <v>1068.1241673759725</v>
      </c>
      <c r="H6" s="41">
        <v>992.35109640484302</v>
      </c>
      <c r="I6" s="42">
        <v>1109.685024528201</v>
      </c>
      <c r="J6" s="41">
        <v>989.44641093705195</v>
      </c>
      <c r="K6" s="42">
        <v>1157.6539413854366</v>
      </c>
      <c r="L6" s="41">
        <v>986.31261018178009</v>
      </c>
      <c r="M6" s="42">
        <v>1213.4977242571254</v>
      </c>
      <c r="N6" s="41">
        <v>982.91522008058678</v>
      </c>
      <c r="O6" s="42">
        <v>1279.2135155223839</v>
      </c>
      <c r="P6" s="41">
        <v>979.22182855784285</v>
      </c>
      <c r="Q6" s="42">
        <v>1357.5986325972331</v>
      </c>
      <c r="R6" s="41">
        <v>975.20899189445856</v>
      </c>
      <c r="S6" s="42">
        <v>1452.7545402238088</v>
      </c>
      <c r="T6" s="41">
        <v>970.87650338254878</v>
      </c>
      <c r="U6" s="42">
        <v>1571.0118678096687</v>
      </c>
      <c r="V6" s="41">
        <v>966.27596003276904</v>
      </c>
      <c r="W6" s="42">
        <v>1722.7492249686347</v>
      </c>
      <c r="X6" s="41">
        <v>961.56893111431236</v>
      </c>
      <c r="Y6" s="42">
        <v>1926.2158694733978</v>
      </c>
      <c r="Z6" s="41">
        <v>957.14237052083081</v>
      </c>
      <c r="AA6" s="42">
        <v>2216.0421625458221</v>
      </c>
      <c r="AB6" s="41">
        <v>953.79533724356338</v>
      </c>
      <c r="AC6" s="42">
        <v>2662.5439379046561</v>
      </c>
      <c r="AD6" s="41">
        <v>952.78777890152787</v>
      </c>
      <c r="AE6" s="42">
        <v>3411.1347293968101</v>
      </c>
      <c r="AF6" s="41">
        <v>954.9708683872002</v>
      </c>
      <c r="AG6" s="42">
        <v>4738.8552756699946</v>
      </c>
      <c r="AH6" s="41">
        <v>959.32601458067472</v>
      </c>
      <c r="AI6" s="42">
        <v>7091.6465828370219</v>
      </c>
      <c r="AJ6" s="41">
        <v>963.71353669472774</v>
      </c>
      <c r="AK6" s="42">
        <v>10937.966417772188</v>
      </c>
      <c r="AL6" s="41">
        <v>966.66149988137306</v>
      </c>
      <c r="AM6" s="42">
        <v>15762.452126004113</v>
      </c>
      <c r="AN6" s="41">
        <v>967.88945018606148</v>
      </c>
      <c r="AO6" s="42">
        <v>19007.058235281565</v>
      </c>
      <c r="AP6" s="41">
        <v>967.97795118520185</v>
      </c>
      <c r="AQ6" s="42">
        <v>19288.638525699746</v>
      </c>
      <c r="AR6" s="41">
        <v>968.0318097033088</v>
      </c>
      <c r="AS6" s="42">
        <v>19464.013507804346</v>
      </c>
      <c r="AT6" s="41">
        <v>968.05951825308978</v>
      </c>
      <c r="AU6" s="42">
        <v>19555.526680063278</v>
      </c>
      <c r="AV6" s="41">
        <v>968.06973532005543</v>
      </c>
      <c r="AW6" s="42">
        <v>19589.532956351253</v>
      </c>
    </row>
    <row r="7" spans="1:49" x14ac:dyDescent="0.2">
      <c r="A7" t="s">
        <v>13</v>
      </c>
      <c r="B7" s="33">
        <v>1015.9116825427475</v>
      </c>
      <c r="C7" s="34">
        <v>1015.9116825427475</v>
      </c>
      <c r="D7" s="33">
        <v>1013.6466299790586</v>
      </c>
      <c r="E7" s="34">
        <v>1013.6466299790586</v>
      </c>
      <c r="F7" s="33">
        <v>1011.2473038214025</v>
      </c>
      <c r="G7" s="34">
        <v>1011.2473038214025</v>
      </c>
      <c r="H7" s="33">
        <v>1008.6892875080807</v>
      </c>
      <c r="I7" s="34">
        <v>1008.6892875080807</v>
      </c>
      <c r="J7" s="33">
        <v>1005.9445103993885</v>
      </c>
      <c r="K7" s="34">
        <v>1005.9445103993885</v>
      </c>
      <c r="L7" s="33">
        <v>1002.9819610633411</v>
      </c>
      <c r="M7" s="34">
        <v>1002.9819610633411</v>
      </c>
      <c r="N7" s="33">
        <v>999.76873350750805</v>
      </c>
      <c r="O7" s="34">
        <v>999.76873350750805</v>
      </c>
      <c r="P7" s="33">
        <v>996.27378710453604</v>
      </c>
      <c r="Q7" s="34">
        <v>996.27378710453604</v>
      </c>
      <c r="R7" s="33">
        <v>992.47447664193703</v>
      </c>
      <c r="S7" s="34">
        <v>992.47447664193703</v>
      </c>
      <c r="T7" s="33">
        <v>988.37008583353315</v>
      </c>
      <c r="U7" s="34">
        <v>988.37008583353315</v>
      </c>
      <c r="V7" s="33">
        <v>984.00897971972597</v>
      </c>
      <c r="W7" s="34">
        <v>984.00897971972597</v>
      </c>
      <c r="X7" s="33">
        <v>979.5439710197054</v>
      </c>
      <c r="Y7" s="34">
        <v>979.5439710197054</v>
      </c>
      <c r="Z7" s="33">
        <v>975.34227648075716</v>
      </c>
      <c r="AA7" s="34">
        <v>975.34227648075716</v>
      </c>
      <c r="AB7" s="33">
        <v>972.1635094478097</v>
      </c>
      <c r="AC7" s="34">
        <v>972.1635094478097</v>
      </c>
      <c r="AD7" s="33">
        <v>971.20630725767182</v>
      </c>
      <c r="AE7" s="34">
        <v>971.20630725767182</v>
      </c>
      <c r="AF7" s="33">
        <v>973.28011562914367</v>
      </c>
      <c r="AG7" s="34">
        <v>973.28011562914367</v>
      </c>
      <c r="AH7" s="33">
        <v>977.41532429460676</v>
      </c>
      <c r="AI7" s="34">
        <v>977.41532429460676</v>
      </c>
      <c r="AJ7" s="33">
        <v>981.57867925602079</v>
      </c>
      <c r="AK7" s="34">
        <v>981.57867925602079</v>
      </c>
      <c r="AL7" s="33">
        <v>984.37456368989842</v>
      </c>
      <c r="AM7" s="34">
        <v>984.37456368989842</v>
      </c>
      <c r="AN7" s="33">
        <v>985.53882046508534</v>
      </c>
      <c r="AO7" s="34">
        <v>985.53882046508534</v>
      </c>
      <c r="AP7" s="33">
        <v>985.62272306870705</v>
      </c>
      <c r="AQ7" s="34">
        <v>985.62272306870705</v>
      </c>
      <c r="AR7" s="33">
        <v>985.67378265137336</v>
      </c>
      <c r="AS7" s="34">
        <v>985.67378265137336</v>
      </c>
      <c r="AT7" s="33">
        <v>985.70005108243038</v>
      </c>
      <c r="AU7" s="34">
        <v>985.70005108243038</v>
      </c>
      <c r="AV7" s="33">
        <v>985.709737103404</v>
      </c>
      <c r="AW7" s="34">
        <v>985.709737103404</v>
      </c>
    </row>
    <row r="8" spans="1:49" x14ac:dyDescent="0.2">
      <c r="B8" s="35">
        <v>1005.7716594496609</v>
      </c>
      <c r="C8" s="36">
        <v>1005.7716594496609</v>
      </c>
      <c r="D8" s="35">
        <v>1098.3967469792069</v>
      </c>
      <c r="E8" s="36">
        <v>1098.3967469792069</v>
      </c>
      <c r="F8" s="35">
        <v>1204.8867609699066</v>
      </c>
      <c r="G8" s="36">
        <v>1204.8867609699066</v>
      </c>
      <c r="H8" s="35">
        <v>1328.1801642150506</v>
      </c>
      <c r="I8" s="36">
        <v>1328.1801642150506</v>
      </c>
      <c r="J8" s="35">
        <v>1472.0741738964261</v>
      </c>
      <c r="K8" s="36">
        <v>1472.0741738964261</v>
      </c>
      <c r="L8" s="35">
        <v>1641.5806608286509</v>
      </c>
      <c r="M8" s="36">
        <v>1641.5806608286509</v>
      </c>
      <c r="N8" s="35">
        <v>1843.5147579673749</v>
      </c>
      <c r="O8" s="36">
        <v>1843.5147579673749</v>
      </c>
      <c r="P8" s="35">
        <v>2087.4486616802319</v>
      </c>
      <c r="Q8" s="36">
        <v>2087.4486616802319</v>
      </c>
      <c r="R8" s="35">
        <v>2387.4212897250763</v>
      </c>
      <c r="S8" s="36">
        <v>2387.4212897250763</v>
      </c>
      <c r="T8" s="35">
        <v>2765.1072981798652</v>
      </c>
      <c r="U8" s="36">
        <v>2765.1072981798652</v>
      </c>
      <c r="V8" s="35">
        <v>3256.0982797223583</v>
      </c>
      <c r="W8" s="36">
        <v>3256.0982797223583</v>
      </c>
      <c r="X8" s="35">
        <v>3923.2069864650025</v>
      </c>
      <c r="Y8" s="36">
        <v>3923.2069864650025</v>
      </c>
      <c r="Z8" s="35">
        <v>4886.4545553398939</v>
      </c>
      <c r="AA8" s="36">
        <v>4886.4545553398939</v>
      </c>
      <c r="AB8" s="35">
        <v>6392.3616565650091</v>
      </c>
      <c r="AC8" s="36">
        <v>6392.3616565650091</v>
      </c>
      <c r="AD8" s="35">
        <v>8959.8959130369476</v>
      </c>
      <c r="AE8" s="36">
        <v>8959.8959130369476</v>
      </c>
      <c r="AF8" s="35">
        <v>13601.839131160812</v>
      </c>
      <c r="AG8" s="36">
        <v>13601.839131160812</v>
      </c>
      <c r="AH8" s="35">
        <v>21987.815073858335</v>
      </c>
      <c r="AI8" s="36">
        <v>21987.815073858335</v>
      </c>
      <c r="AJ8" s="35">
        <v>35913.540280815942</v>
      </c>
      <c r="AK8" s="36">
        <v>35913.540280815942</v>
      </c>
      <c r="AL8" s="35">
        <v>53546.295870934482</v>
      </c>
      <c r="AM8" s="36">
        <v>53546.295870934482</v>
      </c>
      <c r="AN8" s="35">
        <v>65437.31000092176</v>
      </c>
      <c r="AO8" s="36">
        <v>65437.31000092176</v>
      </c>
      <c r="AP8" s="35">
        <v>66467.694338104324</v>
      </c>
      <c r="AQ8" s="36">
        <v>66467.694338104324</v>
      </c>
      <c r="AR8" s="35">
        <v>67108.737591803379</v>
      </c>
      <c r="AS8" s="36">
        <v>67108.737591803379</v>
      </c>
      <c r="AT8" s="35">
        <v>67442.778412511601</v>
      </c>
      <c r="AU8" s="36">
        <v>67442.778412511601</v>
      </c>
      <c r="AV8" s="35">
        <v>67566.690895095046</v>
      </c>
      <c r="AW8" s="36">
        <v>67566.690895095046</v>
      </c>
    </row>
    <row r="9" spans="1:49" x14ac:dyDescent="0.2">
      <c r="A9" t="s">
        <v>14</v>
      </c>
      <c r="B9" s="41">
        <v>1015.9116825427475</v>
      </c>
      <c r="C9" s="42">
        <v>1005.7716594496609</v>
      </c>
      <c r="D9" s="41">
        <v>1013.6466299790586</v>
      </c>
      <c r="E9" s="42">
        <v>1098.3967469792069</v>
      </c>
      <c r="F9" s="41">
        <v>1011.2473038214025</v>
      </c>
      <c r="G9" s="42">
        <v>1204.8867609699066</v>
      </c>
      <c r="H9" s="41">
        <v>1008.6892875080807</v>
      </c>
      <c r="I9" s="42">
        <v>1328.1801642150506</v>
      </c>
      <c r="J9" s="41">
        <v>1005.9445103993885</v>
      </c>
      <c r="K9" s="42">
        <v>1472.0741738964261</v>
      </c>
      <c r="L9" s="41">
        <v>1002.9819610633411</v>
      </c>
      <c r="M9" s="42">
        <v>1641.5806608286509</v>
      </c>
      <c r="N9" s="41">
        <v>999.76873350750805</v>
      </c>
      <c r="O9" s="42">
        <v>1843.5147579673749</v>
      </c>
      <c r="P9" s="41">
        <v>996.27378710453604</v>
      </c>
      <c r="Q9" s="42">
        <v>2087.4486616802319</v>
      </c>
      <c r="R9" s="41">
        <v>992.47447664193703</v>
      </c>
      <c r="S9" s="42">
        <v>2387.4212897250763</v>
      </c>
      <c r="T9" s="41">
        <v>988.37008583353315</v>
      </c>
      <c r="U9" s="42">
        <v>2765.1072981798652</v>
      </c>
      <c r="V9" s="41">
        <v>984.00897971972597</v>
      </c>
      <c r="W9" s="42">
        <v>3256.0982797223583</v>
      </c>
      <c r="X9" s="41">
        <v>979.5439710197054</v>
      </c>
      <c r="Y9" s="42">
        <v>3923.2069864650025</v>
      </c>
      <c r="Z9" s="41">
        <v>975.34227648075716</v>
      </c>
      <c r="AA9" s="42">
        <v>4886.4545553398939</v>
      </c>
      <c r="AB9" s="41">
        <v>972.1635094478097</v>
      </c>
      <c r="AC9" s="42">
        <v>6392.3616565650091</v>
      </c>
      <c r="AD9" s="41">
        <v>971.20630725767182</v>
      </c>
      <c r="AE9" s="42">
        <v>8959.8959130369476</v>
      </c>
      <c r="AF9" s="41">
        <v>973.28011562914367</v>
      </c>
      <c r="AG9" s="42">
        <v>13601.839131160812</v>
      </c>
      <c r="AH9" s="41">
        <v>977.41532429460676</v>
      </c>
      <c r="AI9" s="42">
        <v>21987.815073858335</v>
      </c>
      <c r="AJ9" s="41">
        <v>981.57867925602079</v>
      </c>
      <c r="AK9" s="42">
        <v>35913.540280815942</v>
      </c>
      <c r="AL9" s="41">
        <v>984.37456368989842</v>
      </c>
      <c r="AM9" s="42">
        <v>53546.295870934482</v>
      </c>
      <c r="AN9" s="41">
        <v>985.53882046508534</v>
      </c>
      <c r="AO9" s="42">
        <v>65437.31000092176</v>
      </c>
      <c r="AP9" s="41">
        <v>985.62272306870705</v>
      </c>
      <c r="AQ9" s="42">
        <v>66467.694338104324</v>
      </c>
      <c r="AR9" s="41">
        <v>985.67378265137336</v>
      </c>
      <c r="AS9" s="42">
        <v>67108.737591803379</v>
      </c>
      <c r="AT9" s="41">
        <v>985.70005108243038</v>
      </c>
      <c r="AU9" s="42">
        <v>67442.778412511601</v>
      </c>
      <c r="AV9" s="41">
        <v>985.709737103404</v>
      </c>
      <c r="AW9" s="42">
        <v>67566.690895095046</v>
      </c>
    </row>
    <row r="10" spans="1:49" x14ac:dyDescent="0.2">
      <c r="A10" t="s">
        <v>15</v>
      </c>
      <c r="B10" s="41">
        <v>1015.9116825427475</v>
      </c>
      <c r="C10" s="42">
        <v>1005.7716594496609</v>
      </c>
      <c r="D10" s="41">
        <v>1013.6466299790586</v>
      </c>
      <c r="E10" s="42">
        <v>1098.3967469792069</v>
      </c>
      <c r="F10" s="41">
        <v>1011.2473038214025</v>
      </c>
      <c r="G10" s="42">
        <v>1204.8867609699066</v>
      </c>
      <c r="H10" s="41">
        <v>1008.6892875080807</v>
      </c>
      <c r="I10" s="42">
        <v>1328.1801642150506</v>
      </c>
      <c r="J10" s="41">
        <v>1005.9445103993885</v>
      </c>
      <c r="K10" s="42">
        <v>1472.0741738964261</v>
      </c>
      <c r="L10" s="41">
        <v>1002.9819610633411</v>
      </c>
      <c r="M10" s="42">
        <v>1641.5806608286509</v>
      </c>
      <c r="N10" s="41">
        <v>999.76873350750805</v>
      </c>
      <c r="O10" s="42">
        <v>1843.5147579673749</v>
      </c>
      <c r="P10" s="41">
        <v>996.27378710453604</v>
      </c>
      <c r="Q10" s="42">
        <v>2087.4486616802319</v>
      </c>
      <c r="R10" s="41">
        <v>992.47447664193703</v>
      </c>
      <c r="S10" s="42">
        <v>2387.4212897250763</v>
      </c>
      <c r="T10" s="41">
        <v>988.37008583353315</v>
      </c>
      <c r="U10" s="42">
        <v>2765.1072981798652</v>
      </c>
      <c r="V10" s="41">
        <v>984.00897971972597</v>
      </c>
      <c r="W10" s="42">
        <v>3256.0982797223583</v>
      </c>
      <c r="X10" s="41">
        <v>979.5439710197054</v>
      </c>
      <c r="Y10" s="42">
        <v>3923.2069864650025</v>
      </c>
      <c r="Z10" s="41">
        <v>975.34227648075716</v>
      </c>
      <c r="AA10" s="42">
        <v>4886.4545553398939</v>
      </c>
      <c r="AB10" s="41">
        <v>972.1635094478097</v>
      </c>
      <c r="AC10" s="42">
        <v>6392.3616565650091</v>
      </c>
      <c r="AD10" s="41">
        <v>971.20630725767182</v>
      </c>
      <c r="AE10" s="42">
        <v>8959.8959130369476</v>
      </c>
      <c r="AF10" s="41">
        <v>973.28011562914367</v>
      </c>
      <c r="AG10" s="42">
        <v>13601.839131160812</v>
      </c>
      <c r="AH10" s="41">
        <v>977.41532429460676</v>
      </c>
      <c r="AI10" s="42">
        <v>21987.815073858335</v>
      </c>
      <c r="AJ10" s="41">
        <v>981.57867925602079</v>
      </c>
      <c r="AK10" s="42">
        <v>35913.540280815942</v>
      </c>
      <c r="AL10" s="41">
        <v>984.37456368989842</v>
      </c>
      <c r="AM10" s="42">
        <v>53546.295870934482</v>
      </c>
      <c r="AN10" s="41">
        <v>985.53882046508534</v>
      </c>
      <c r="AO10" s="42">
        <v>65437.31000092176</v>
      </c>
      <c r="AP10" s="41">
        <v>985.62272306870705</v>
      </c>
      <c r="AQ10" s="42">
        <v>66467.694338104324</v>
      </c>
      <c r="AR10" s="41">
        <v>985.67378265137336</v>
      </c>
      <c r="AS10" s="42">
        <v>67108.737591803379</v>
      </c>
      <c r="AT10" s="41">
        <v>985.70005108243038</v>
      </c>
      <c r="AU10" s="42">
        <v>67442.778412511601</v>
      </c>
      <c r="AV10" s="41">
        <v>985.709737103404</v>
      </c>
      <c r="AW10" s="42">
        <v>67566.690895095046</v>
      </c>
    </row>
    <row r="11" spans="1:49" x14ac:dyDescent="0.2">
      <c r="A11" t="s">
        <v>29</v>
      </c>
      <c r="B11" s="41">
        <v>1015.9116825427475</v>
      </c>
      <c r="C11" s="42">
        <v>1005.7716594496609</v>
      </c>
      <c r="D11" s="41">
        <v>1013.6466299790586</v>
      </c>
      <c r="E11" s="42">
        <v>1098.3967469792069</v>
      </c>
      <c r="F11" s="41">
        <v>1011.2473038214025</v>
      </c>
      <c r="G11" s="42">
        <v>1204.8867609699066</v>
      </c>
      <c r="H11" s="41">
        <v>1008.6892875080807</v>
      </c>
      <c r="I11" s="42">
        <v>1328.1801642150506</v>
      </c>
      <c r="J11" s="41">
        <v>1005.9445103993885</v>
      </c>
      <c r="K11" s="42">
        <v>1472.0741738964261</v>
      </c>
      <c r="L11" s="41">
        <v>1002.9819610633411</v>
      </c>
      <c r="M11" s="42">
        <v>1641.5806608286509</v>
      </c>
      <c r="N11" s="41">
        <v>999.76873350750805</v>
      </c>
      <c r="O11" s="42">
        <v>1843.5147579673749</v>
      </c>
      <c r="P11" s="41">
        <v>996.27378710453604</v>
      </c>
      <c r="Q11" s="42">
        <v>2087.4486616802319</v>
      </c>
      <c r="R11" s="41">
        <v>992.47447664193703</v>
      </c>
      <c r="S11" s="42">
        <v>2387.4212897250763</v>
      </c>
      <c r="T11" s="41">
        <v>988.37008583353315</v>
      </c>
      <c r="U11" s="42">
        <v>2765.1072981798652</v>
      </c>
      <c r="V11" s="41">
        <v>984.00897971972597</v>
      </c>
      <c r="W11" s="42">
        <v>3256.0982797223583</v>
      </c>
      <c r="X11" s="41">
        <v>979.5439710197054</v>
      </c>
      <c r="Y11" s="42">
        <v>3923.2069864650025</v>
      </c>
      <c r="Z11" s="41">
        <v>975.34227648075716</v>
      </c>
      <c r="AA11" s="42">
        <v>4886.4545553398939</v>
      </c>
      <c r="AB11" s="41">
        <v>972.1635094478097</v>
      </c>
      <c r="AC11" s="42">
        <v>6392.3616565650091</v>
      </c>
      <c r="AD11" s="41">
        <v>971.20630725767182</v>
      </c>
      <c r="AE11" s="42">
        <v>8959.8959130369476</v>
      </c>
      <c r="AF11" s="41">
        <v>973.28011562914367</v>
      </c>
      <c r="AG11" s="42">
        <v>13601.839131160812</v>
      </c>
      <c r="AH11" s="41">
        <v>977.41532429460676</v>
      </c>
      <c r="AI11" s="42">
        <v>21987.815073858335</v>
      </c>
      <c r="AJ11" s="41">
        <v>981.57867925602079</v>
      </c>
      <c r="AK11" s="42">
        <v>35913.540280815942</v>
      </c>
      <c r="AL11" s="41">
        <v>984.37456368989842</v>
      </c>
      <c r="AM11" s="42">
        <v>53546.295870934482</v>
      </c>
      <c r="AN11" s="41">
        <v>985.53882046508534</v>
      </c>
      <c r="AO11" s="42">
        <v>65437.31000092176</v>
      </c>
      <c r="AP11" s="41">
        <v>985.62272306870705</v>
      </c>
      <c r="AQ11" s="42">
        <v>66467.694338104324</v>
      </c>
      <c r="AR11" s="41">
        <v>985.67378265137336</v>
      </c>
      <c r="AS11" s="42">
        <v>67108.737591803379</v>
      </c>
      <c r="AT11" s="41">
        <v>985.70005108243038</v>
      </c>
      <c r="AU11" s="42">
        <v>67442.778412511601</v>
      </c>
      <c r="AV11" s="41">
        <v>985.709737103404</v>
      </c>
      <c r="AW11" s="42">
        <v>67566.690895095046</v>
      </c>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row>
    <row r="13" spans="1:49" x14ac:dyDescent="0.2">
      <c r="A13" t="s">
        <v>17</v>
      </c>
      <c r="B13" s="97">
        <v>1000</v>
      </c>
      <c r="C13" s="98">
        <v>1000</v>
      </c>
      <c r="D13" s="97">
        <v>997.12325894524417</v>
      </c>
      <c r="E13" s="98">
        <v>997.12325894524417</v>
      </c>
      <c r="F13" s="97">
        <v>993.61146009206038</v>
      </c>
      <c r="G13" s="98">
        <v>993.61146009206038</v>
      </c>
      <c r="H13" s="97">
        <v>989.34955245532626</v>
      </c>
      <c r="I13" s="98">
        <v>989.34955245532626</v>
      </c>
      <c r="J13" s="97">
        <v>984.19421055579335</v>
      </c>
      <c r="K13" s="98">
        <v>984.19421055579335</v>
      </c>
      <c r="L13" s="97">
        <v>977.96426657735344</v>
      </c>
      <c r="M13" s="98">
        <v>977.96426657735344</v>
      </c>
      <c r="N13" s="97">
        <v>970.42508560661167</v>
      </c>
      <c r="O13" s="98">
        <v>970.42508560661167</v>
      </c>
      <c r="P13" s="97">
        <v>961.26569713989966</v>
      </c>
      <c r="Q13" s="98">
        <v>961.26569713989966</v>
      </c>
      <c r="R13" s="97">
        <v>950.05845475027343</v>
      </c>
      <c r="S13" s="98">
        <v>950.05845475027343</v>
      </c>
      <c r="T13" s="97">
        <v>936.18874012244055</v>
      </c>
      <c r="U13" s="98">
        <v>936.18874012244055</v>
      </c>
      <c r="V13" s="97">
        <v>918.7225436981438</v>
      </c>
      <c r="W13" s="98">
        <v>918.7225436981438</v>
      </c>
      <c r="X13" s="97">
        <v>896.14284216491797</v>
      </c>
      <c r="Y13" s="98">
        <v>896.14284216491797</v>
      </c>
      <c r="Z13" s="97">
        <v>865.79887649883858</v>
      </c>
      <c r="AA13" s="98">
        <v>865.79887649883858</v>
      </c>
      <c r="AB13" s="97">
        <v>822.76117202711089</v>
      </c>
      <c r="AC13" s="98">
        <v>822.76117202711089</v>
      </c>
      <c r="AD13" s="97">
        <v>757.82522210301352</v>
      </c>
      <c r="AE13" s="98">
        <v>757.82522210301352</v>
      </c>
      <c r="AF13" s="97">
        <v>655.92827063875154</v>
      </c>
      <c r="AG13" s="98">
        <v>655.92827063875154</v>
      </c>
      <c r="AH13" s="97">
        <v>499.82084043900784</v>
      </c>
      <c r="AI13" s="98">
        <v>499.82084043900784</v>
      </c>
      <c r="AJ13" s="97">
        <v>290.13444255402106</v>
      </c>
      <c r="AK13" s="98">
        <v>290.13444255402106</v>
      </c>
      <c r="AL13" s="97">
        <v>92.724915418563157</v>
      </c>
      <c r="AM13" s="98">
        <v>92.724915418563157</v>
      </c>
      <c r="AN13" s="97">
        <v>7.3521727590482824</v>
      </c>
      <c r="AO13" s="98">
        <v>7.3521727590482824</v>
      </c>
      <c r="AP13" s="97">
        <v>3.0674988056456773</v>
      </c>
      <c r="AQ13" s="98">
        <v>3.0674988056456773</v>
      </c>
      <c r="AR13" s="97">
        <v>0.98162700257521107</v>
      </c>
      <c r="AS13" s="98">
        <v>0.98162700257521107</v>
      </c>
      <c r="AT13" s="97">
        <v>0.19504074637565785</v>
      </c>
      <c r="AU13" s="98">
        <v>0.19504074637565785</v>
      </c>
      <c r="AV13" s="97">
        <v>1.2216458393084273E-2</v>
      </c>
      <c r="AW13" s="98">
        <v>1.2216458393084273E-2</v>
      </c>
    </row>
    <row r="14" spans="1:49" x14ac:dyDescent="0.2">
      <c r="A14" t="s">
        <v>36</v>
      </c>
      <c r="B14" s="41">
        <v>1457.0034251455234</v>
      </c>
      <c r="C14" s="42">
        <v>1457.0034251455236</v>
      </c>
      <c r="D14" s="41">
        <v>1452.8120035754873</v>
      </c>
      <c r="E14" s="42">
        <v>1452.8120035754876</v>
      </c>
      <c r="F14" s="41">
        <v>1447.6953006179765</v>
      </c>
      <c r="G14" s="42">
        <v>1447.6953006179765</v>
      </c>
      <c r="H14" s="41">
        <v>1441.4856865936008</v>
      </c>
      <c r="I14" s="42">
        <v>1441.485686593601</v>
      </c>
      <c r="J14" s="41">
        <v>1433.9743357881853</v>
      </c>
      <c r="K14" s="42">
        <v>1433.9743357881855</v>
      </c>
      <c r="L14" s="41">
        <v>1424.8972860731335</v>
      </c>
      <c r="M14" s="42">
        <v>1424.8972860731337</v>
      </c>
      <c r="N14" s="41">
        <v>1413.9126735759708</v>
      </c>
      <c r="O14" s="42">
        <v>1413.912673575971</v>
      </c>
      <c r="P14" s="41">
        <v>1400.5674132077331</v>
      </c>
      <c r="Q14" s="42">
        <v>1400.5674132077334</v>
      </c>
      <c r="R14" s="41">
        <v>1384.2384226596116</v>
      </c>
      <c r="S14" s="42">
        <v>1384.2384226596118</v>
      </c>
      <c r="T14" s="41">
        <v>1364.030200941068</v>
      </c>
      <c r="U14" s="42">
        <v>1364.0302009410682</v>
      </c>
      <c r="V14" s="41">
        <v>1338.5818929266031</v>
      </c>
      <c r="W14" s="42">
        <v>1338.5818929266034</v>
      </c>
      <c r="X14" s="41">
        <v>1305.6831904539295</v>
      </c>
      <c r="Y14" s="42">
        <v>1305.6831904539297</v>
      </c>
      <c r="Z14" s="41">
        <v>1261.4719285459537</v>
      </c>
      <c r="AA14" s="42">
        <v>1261.4719285459539</v>
      </c>
      <c r="AB14" s="41">
        <v>1198.7658457202456</v>
      </c>
      <c r="AC14" s="42">
        <v>1198.7658457202458</v>
      </c>
      <c r="AD14" s="41">
        <v>1104.1539442657577</v>
      </c>
      <c r="AE14" s="42">
        <v>1104.1539442657577</v>
      </c>
      <c r="AF14" s="41">
        <v>955.68973697044078</v>
      </c>
      <c r="AG14" s="42">
        <v>955.68973697044089</v>
      </c>
      <c r="AH14" s="41">
        <v>728.24067647874847</v>
      </c>
      <c r="AI14" s="42">
        <v>728.24067647874858</v>
      </c>
      <c r="AJ14" s="41">
        <v>422.72687655389575</v>
      </c>
      <c r="AK14" s="42">
        <v>422.72687655389581</v>
      </c>
      <c r="AL14" s="41">
        <v>135.10051936117546</v>
      </c>
      <c r="AM14" s="42">
        <v>135.10051936117549</v>
      </c>
      <c r="AN14" s="41">
        <v>10.712140892194959</v>
      </c>
      <c r="AO14" s="42">
        <v>10.712140892194961</v>
      </c>
      <c r="AP14" s="41">
        <v>4.4693562664555539</v>
      </c>
      <c r="AQ14" s="42">
        <v>4.4693562664555539</v>
      </c>
      <c r="AR14" s="41">
        <v>1.430233904967416</v>
      </c>
      <c r="AS14" s="42">
        <v>1.4302339049674162</v>
      </c>
      <c r="AT14" s="41">
        <v>0.2841750355122728</v>
      </c>
      <c r="AU14" s="42">
        <v>0.28417503551227286</v>
      </c>
      <c r="AV14" s="41">
        <v>1.7799421721871562E-2</v>
      </c>
      <c r="AW14" s="42">
        <v>1.7799421721871565E-2</v>
      </c>
    </row>
    <row r="15" spans="1:49" x14ac:dyDescent="0.2">
      <c r="A15" t="s">
        <v>18</v>
      </c>
      <c r="B15" s="154">
        <v>1000</v>
      </c>
      <c r="C15" s="155">
        <v>1000</v>
      </c>
      <c r="D15" s="154">
        <v>990.27009430047747</v>
      </c>
      <c r="E15" s="155">
        <v>990.27009430047747</v>
      </c>
      <c r="F15" s="154">
        <v>979.98091716012266</v>
      </c>
      <c r="G15" s="155">
        <v>979.98091716012266</v>
      </c>
      <c r="H15" s="154">
        <v>969.03045779194747</v>
      </c>
      <c r="I15" s="155">
        <v>969.03045779194747</v>
      </c>
      <c r="J15" s="154">
        <v>957.29375016057611</v>
      </c>
      <c r="K15" s="155">
        <v>957.29375016057611</v>
      </c>
      <c r="L15" s="154">
        <v>944.61677606379862</v>
      </c>
      <c r="M15" s="155">
        <v>944.61677606379862</v>
      </c>
      <c r="N15" s="154">
        <v>930.80398717682442</v>
      </c>
      <c r="O15" s="155">
        <v>930.80398717682442</v>
      </c>
      <c r="P15" s="154">
        <v>915.60259307674039</v>
      </c>
      <c r="Q15" s="155">
        <v>915.60259307674039</v>
      </c>
      <c r="R15" s="154">
        <v>898.67183150464587</v>
      </c>
      <c r="S15" s="155">
        <v>898.67183150464587</v>
      </c>
      <c r="T15" s="154">
        <v>879.5278459810894</v>
      </c>
      <c r="U15" s="155">
        <v>879.5278459810894</v>
      </c>
      <c r="V15" s="154">
        <v>857.43693949842702</v>
      </c>
      <c r="W15" s="155">
        <v>857.43693949842702</v>
      </c>
      <c r="X15" s="154">
        <v>831.1948730258764</v>
      </c>
      <c r="Y15" s="155">
        <v>831.1948730258764</v>
      </c>
      <c r="Z15" s="154">
        <v>798.64700695150668</v>
      </c>
      <c r="AA15" s="155">
        <v>798.64700695150668</v>
      </c>
      <c r="AB15" s="154">
        <v>755.63843390636498</v>
      </c>
      <c r="AC15" s="155">
        <v>755.63843390636498</v>
      </c>
      <c r="AD15" s="154">
        <v>694.04730178226146</v>
      </c>
      <c r="AE15" s="155">
        <v>694.04730178226146</v>
      </c>
      <c r="AF15" s="154">
        <v>599.9690966562149</v>
      </c>
      <c r="AG15" s="155">
        <v>599.9690966562149</v>
      </c>
      <c r="AH15" s="154">
        <v>457.01721647422107</v>
      </c>
      <c r="AI15" s="155">
        <v>457.01721647422107</v>
      </c>
      <c r="AJ15" s="154">
        <v>265.27055579540797</v>
      </c>
      <c r="AK15" s="155">
        <v>265.27055579540797</v>
      </c>
      <c r="AL15" s="154">
        <v>84.777794213509281</v>
      </c>
      <c r="AM15" s="155">
        <v>84.777794213509281</v>
      </c>
      <c r="AN15" s="154">
        <v>6.7220346174335939</v>
      </c>
      <c r="AO15" s="155">
        <v>6.7220346174335939</v>
      </c>
      <c r="AP15" s="154">
        <v>2.8045900882924806</v>
      </c>
      <c r="AQ15" s="155">
        <v>2.8045900882924806</v>
      </c>
      <c r="AR15" s="154">
        <v>0.89749377733517766</v>
      </c>
      <c r="AS15" s="155">
        <v>0.89749377733517766</v>
      </c>
      <c r="AT15" s="154">
        <v>0.17832418828976279</v>
      </c>
      <c r="AU15" s="155">
        <v>0.17832418828976279</v>
      </c>
      <c r="AV15" s="154">
        <v>1.1169408478623912E-2</v>
      </c>
      <c r="AW15" s="155">
        <v>1.1169408478623912E-2</v>
      </c>
    </row>
    <row r="16" spans="1:49" s="29" customFormat="1" x14ac:dyDescent="0.2">
      <c r="A16" t="s">
        <v>61</v>
      </c>
      <c r="B16" s="41">
        <v>1000</v>
      </c>
      <c r="C16" s="42">
        <v>1000</v>
      </c>
      <c r="D16" s="41">
        <v>993.92214602011848</v>
      </c>
      <c r="E16" s="42">
        <v>992.22544215968378</v>
      </c>
      <c r="F16" s="41">
        <v>987.24111515560492</v>
      </c>
      <c r="G16" s="42">
        <v>983.86854610853754</v>
      </c>
      <c r="H16" s="41">
        <v>979.84799580852825</v>
      </c>
      <c r="I16" s="42">
        <v>974.82359860983047</v>
      </c>
      <c r="J16" s="41">
        <v>971.60810523335397</v>
      </c>
      <c r="K16" s="42">
        <v>964.96042121448579</v>
      </c>
      <c r="L16" s="41">
        <v>962.35305583171873</v>
      </c>
      <c r="M16" s="42">
        <v>954.11728826422745</v>
      </c>
      <c r="N16" s="41">
        <v>951.866625786751</v>
      </c>
      <c r="O16" s="42">
        <v>942.0875616959263</v>
      </c>
      <c r="P16" s="41">
        <v>939.86527348756624</v>
      </c>
      <c r="Q16" s="42">
        <v>928.60195363807429</v>
      </c>
      <c r="R16" s="41">
        <v>925.96235235036193</v>
      </c>
      <c r="S16" s="42">
        <v>913.29508186204691</v>
      </c>
      <c r="T16" s="41">
        <v>909.605009126146</v>
      </c>
      <c r="U16" s="42">
        <v>895.64606224163026</v>
      </c>
      <c r="V16" s="41">
        <v>889.95392796389149</v>
      </c>
      <c r="W16" s="42">
        <v>874.86450800913235</v>
      </c>
      <c r="X16" s="41">
        <v>865.64002763072858</v>
      </c>
      <c r="Y16" s="42">
        <v>849.65769479691744</v>
      </c>
      <c r="Z16" s="41">
        <v>834.24723207535305</v>
      </c>
      <c r="AA16" s="42">
        <v>817.73064489688011</v>
      </c>
      <c r="AB16" s="41">
        <v>791.21227936852461</v>
      </c>
      <c r="AC16" s="42">
        <v>774.70927242407322</v>
      </c>
      <c r="AD16" s="41">
        <v>727.84177268017413</v>
      </c>
      <c r="AE16" s="42">
        <v>712.16505108712749</v>
      </c>
      <c r="AF16" s="41">
        <v>629.61796147478947</v>
      </c>
      <c r="AG16" s="42">
        <v>615.86464319393815</v>
      </c>
      <c r="AH16" s="41">
        <v>479.69530545969724</v>
      </c>
      <c r="AI16" s="42">
        <v>469.17561375904762</v>
      </c>
      <c r="AJ16" s="41">
        <v>278.44380576364131</v>
      </c>
      <c r="AK16" s="42">
        <v>272.33313392119385</v>
      </c>
      <c r="AL16" s="41">
        <v>88.98829218675867</v>
      </c>
      <c r="AM16" s="42">
        <v>87.035169990039492</v>
      </c>
      <c r="AN16" s="41">
        <v>7.0558907419797627</v>
      </c>
      <c r="AO16" s="42">
        <v>6.9010250251503686</v>
      </c>
      <c r="AP16" s="41">
        <v>2.9438828552015588</v>
      </c>
      <c r="AQ16" s="42">
        <v>2.8792691707724725</v>
      </c>
      <c r="AR16" s="41">
        <v>0.94206875368224241</v>
      </c>
      <c r="AS16" s="42">
        <v>0.921391775535776</v>
      </c>
      <c r="AT16" s="41">
        <v>0.18718085758374389</v>
      </c>
      <c r="AU16" s="42">
        <v>0.1830725177320667</v>
      </c>
      <c r="AV16" s="41">
        <v>1.1724150358145079E-2</v>
      </c>
      <c r="AW16" s="42">
        <v>1.146682244917783E-2</v>
      </c>
    </row>
    <row r="17" spans="1:49" x14ac:dyDescent="0.2">
      <c r="A17" t="s">
        <v>62</v>
      </c>
      <c r="B17" s="35">
        <v>999.99999999999977</v>
      </c>
      <c r="C17" s="36">
        <v>999.99999999999977</v>
      </c>
      <c r="D17" s="35">
        <v>997.97440474799919</v>
      </c>
      <c r="E17" s="36">
        <v>1045.2203707213578</v>
      </c>
      <c r="F17" s="35">
        <v>995.83274999361618</v>
      </c>
      <c r="G17" s="36">
        <v>1097.1477121934458</v>
      </c>
      <c r="H17" s="35">
        <v>993.554027111869</v>
      </c>
      <c r="I17" s="36">
        <v>1157.1788803301208</v>
      </c>
      <c r="J17" s="35">
        <v>991.11418248873281</v>
      </c>
      <c r="K17" s="36">
        <v>1227.117918303444</v>
      </c>
      <c r="L17" s="35">
        <v>988.48700059472446</v>
      </c>
      <c r="M17" s="36">
        <v>1309.3461029994446</v>
      </c>
      <c r="N17" s="35">
        <v>985.64476867566111</v>
      </c>
      <c r="O17" s="36">
        <v>1407.1030558615378</v>
      </c>
      <c r="P17" s="35">
        <v>982.56199823026293</v>
      </c>
      <c r="Q17" s="36">
        <v>1524.9432151151509</v>
      </c>
      <c r="R17" s="35">
        <v>979.22108749114136</v>
      </c>
      <c r="S17" s="36">
        <v>1669.5536457472035</v>
      </c>
      <c r="T17" s="35">
        <v>975.62407651250339</v>
      </c>
      <c r="U17" s="36">
        <v>1851.2689630275224</v>
      </c>
      <c r="V17" s="35">
        <v>971.81605687866534</v>
      </c>
      <c r="W17" s="36">
        <v>2087.0707108613628</v>
      </c>
      <c r="X17" s="35">
        <v>967.93235794236102</v>
      </c>
      <c r="Y17" s="36">
        <v>2406.9296958091313</v>
      </c>
      <c r="Z17" s="35">
        <v>964.29173052644137</v>
      </c>
      <c r="AA17" s="36">
        <v>2868.0686097003454</v>
      </c>
      <c r="AB17" s="35">
        <v>961.54655715543413</v>
      </c>
      <c r="AC17" s="36">
        <v>3587.8091237072526</v>
      </c>
      <c r="AD17" s="35">
        <v>960.72146653233324</v>
      </c>
      <c r="AE17" s="36">
        <v>4812.4177013410626</v>
      </c>
      <c r="AF17" s="35">
        <v>962.5099531590522</v>
      </c>
      <c r="AG17" s="36">
        <v>7020.9277257854283</v>
      </c>
      <c r="AH17" s="35">
        <v>966.08624615417614</v>
      </c>
      <c r="AI17" s="36">
        <v>11002.23159178799</v>
      </c>
      <c r="AJ17" s="35">
        <v>969.70026342131598</v>
      </c>
      <c r="AK17" s="36">
        <v>17608.819529926164</v>
      </c>
      <c r="AL17" s="35">
        <v>972.13471858451794</v>
      </c>
      <c r="AM17" s="36">
        <v>25983.937936102066</v>
      </c>
      <c r="AN17" s="35">
        <v>973.15023606286536</v>
      </c>
      <c r="AO17" s="36">
        <v>31648.845686895169</v>
      </c>
      <c r="AP17" s="35">
        <v>973.22345387967664</v>
      </c>
      <c r="AQ17" s="36">
        <v>32141.376586971623</v>
      </c>
      <c r="AR17" s="35">
        <v>973.26801595129996</v>
      </c>
      <c r="AS17" s="36">
        <v>32448.201986439526</v>
      </c>
      <c r="AT17" s="35">
        <v>973.29094492075808</v>
      </c>
      <c r="AU17" s="36">
        <v>32608.327486308248</v>
      </c>
      <c r="AV17" s="35">
        <v>973.2993986655116</v>
      </c>
      <c r="AW17" s="36">
        <v>32667.833506590068</v>
      </c>
    </row>
    <row r="18" spans="1:49" x14ac:dyDescent="0.2">
      <c r="A18" t="s">
        <v>19</v>
      </c>
      <c r="B18" s="33">
        <v>27857.010133999996</v>
      </c>
      <c r="C18" s="34">
        <v>1236.7674480000003</v>
      </c>
      <c r="D18" s="33">
        <v>27889.145488021513</v>
      </c>
      <c r="E18" s="34">
        <v>1141.652120636631</v>
      </c>
      <c r="F18" s="33">
        <v>27917.894373918076</v>
      </c>
      <c r="G18" s="34">
        <v>1046.0067169614765</v>
      </c>
      <c r="H18" s="33">
        <v>27942.581669913976</v>
      </c>
      <c r="I18" s="34">
        <v>949.81676756897821</v>
      </c>
      <c r="J18" s="33">
        <v>27962.326154711736</v>
      </c>
      <c r="K18" s="34">
        <v>853.09761935683889</v>
      </c>
      <c r="L18" s="33">
        <v>27975.942227733201</v>
      </c>
      <c r="M18" s="34">
        <v>755.93157326443884</v>
      </c>
      <c r="N18" s="33">
        <v>27981.790811709379</v>
      </c>
      <c r="O18" s="34">
        <v>658.49213326217159</v>
      </c>
      <c r="P18" s="33">
        <v>27977.526030858702</v>
      </c>
      <c r="Q18" s="34">
        <v>561.12326124001368</v>
      </c>
      <c r="R18" s="33">
        <v>27959.660746073423</v>
      </c>
      <c r="S18" s="34">
        <v>464.4348118295361</v>
      </c>
      <c r="T18" s="33">
        <v>27922.787707438983</v>
      </c>
      <c r="U18" s="34">
        <v>369.45306073543259</v>
      </c>
      <c r="V18" s="33">
        <v>27858.092311932694</v>
      </c>
      <c r="W18" s="34">
        <v>277.86545979270801</v>
      </c>
      <c r="X18" s="33">
        <v>27750.359904180699</v>
      </c>
      <c r="Y18" s="34">
        <v>192.38958775122677</v>
      </c>
      <c r="Z18" s="33">
        <v>27571.654910432102</v>
      </c>
      <c r="AA18" s="34">
        <v>117.25462905477944</v>
      </c>
      <c r="AB18" s="33">
        <v>27267.959667470986</v>
      </c>
      <c r="AC18" s="34">
        <v>58.362554159284578</v>
      </c>
      <c r="AD18" s="33">
        <v>26734.175612745141</v>
      </c>
      <c r="AE18" s="34">
        <v>21.287837061529324</v>
      </c>
      <c r="AF18" s="33">
        <v>25778.00236071067</v>
      </c>
      <c r="AG18" s="34">
        <v>5.1830963694307037</v>
      </c>
      <c r="AH18" s="33">
        <v>24059.537110342535</v>
      </c>
      <c r="AI18" s="34">
        <v>0.85792257954488116</v>
      </c>
      <c r="AJ18" s="33">
        <v>20977.696301983506</v>
      </c>
      <c r="AK18" s="34">
        <v>0.11503087176962112</v>
      </c>
      <c r="AL18" s="33">
        <v>15761.091355453209</v>
      </c>
      <c r="AM18" s="34">
        <v>1.783382245153569E-2</v>
      </c>
      <c r="AN18" s="33">
        <v>8360.9875110940648</v>
      </c>
      <c r="AO18" s="34">
        <v>4.2201146119710967E-3</v>
      </c>
      <c r="AP18" s="33">
        <v>6719.5508266795114</v>
      </c>
      <c r="AQ18" s="34">
        <v>3.1833416742967266E-3</v>
      </c>
      <c r="AR18" s="33">
        <v>5053.8812652805445</v>
      </c>
      <c r="AS18" s="34">
        <v>2.3026639251756725E-3</v>
      </c>
      <c r="AT18" s="33">
        <v>3374.1665742492792</v>
      </c>
      <c r="AU18" s="34">
        <v>1.5065916655542968E-3</v>
      </c>
      <c r="AV18" s="33">
        <v>1687.9920956209014</v>
      </c>
      <c r="AW18" s="34">
        <v>7.4808172133832603E-4</v>
      </c>
    </row>
    <row r="19" spans="1:49" x14ac:dyDescent="0.2">
      <c r="A19" t="s">
        <v>3</v>
      </c>
      <c r="B19" s="41">
        <v>1886.3937399999918</v>
      </c>
      <c r="C19" s="42">
        <v>262.78711299999759</v>
      </c>
      <c r="D19" s="41">
        <v>1878.4778172363162</v>
      </c>
      <c r="E19" s="42">
        <v>276.20999717725732</v>
      </c>
      <c r="F19" s="41">
        <v>1869.7419485198386</v>
      </c>
      <c r="G19" s="42">
        <v>291.86711357642486</v>
      </c>
      <c r="H19" s="41">
        <v>1860.0400848698214</v>
      </c>
      <c r="I19" s="42">
        <v>310.11730080957841</v>
      </c>
      <c r="J19" s="41">
        <v>1849.1993004011204</v>
      </c>
      <c r="K19" s="42">
        <v>331.36304550689329</v>
      </c>
      <c r="L19" s="41">
        <v>1837.017750584296</v>
      </c>
      <c r="M19" s="42">
        <v>356.0353190057134</v>
      </c>
      <c r="N19" s="41">
        <v>1823.2613457296775</v>
      </c>
      <c r="O19" s="42">
        <v>384.579441556142</v>
      </c>
      <c r="P19" s="41">
        <v>1807.6663284687143</v>
      </c>
      <c r="Q19" s="42">
        <v>417.39024123943523</v>
      </c>
      <c r="R19" s="41">
        <v>1789.9432757853185</v>
      </c>
      <c r="S19" s="42">
        <v>454.71075367989482</v>
      </c>
      <c r="T19" s="41">
        <v>1769.7907909216274</v>
      </c>
      <c r="U19" s="42">
        <v>496.42381134989324</v>
      </c>
      <c r="V19" s="41">
        <v>1746.9242507715826</v>
      </c>
      <c r="W19" s="42">
        <v>541.63421894792509</v>
      </c>
      <c r="X19" s="41">
        <v>1721.1305057282575</v>
      </c>
      <c r="Y19" s="42">
        <v>587.82492891190714</v>
      </c>
      <c r="Z19" s="41">
        <v>1692.3393141157987</v>
      </c>
      <c r="AA19" s="42">
        <v>629.19207177174542</v>
      </c>
      <c r="AB19" s="41">
        <v>1660.5084123443971</v>
      </c>
      <c r="AC19" s="42">
        <v>653.96220867487352</v>
      </c>
      <c r="AD19" s="41">
        <v>1624.1187187035821</v>
      </c>
      <c r="AE19" s="42">
        <v>643.56892321017585</v>
      </c>
      <c r="AF19" s="41">
        <v>1574.1507363671317</v>
      </c>
      <c r="AG19" s="42">
        <v>584.13601403080008</v>
      </c>
      <c r="AH19" s="41">
        <v>1484.3806289338729</v>
      </c>
      <c r="AI19" s="42">
        <v>485.08623513041385</v>
      </c>
      <c r="AJ19" s="41">
        <v>1307.6256846437084</v>
      </c>
      <c r="AK19" s="42">
        <v>368.12062872041707</v>
      </c>
      <c r="AL19" s="41">
        <v>989.23384398810822</v>
      </c>
      <c r="AM19" s="42">
        <v>246.13914065672489</v>
      </c>
      <c r="AN19" s="41">
        <v>526.27289900798928</v>
      </c>
      <c r="AO19" s="42">
        <v>123.14802143995121</v>
      </c>
      <c r="AP19" s="41">
        <v>423.04154516896256</v>
      </c>
      <c r="AQ19" s="42">
        <v>98.522014677027002</v>
      </c>
      <c r="AR19" s="41">
        <v>318.21612135985282</v>
      </c>
      <c r="AS19" s="42">
        <v>73.893113508239509</v>
      </c>
      <c r="AT19" s="41">
        <v>212.46707100815902</v>
      </c>
      <c r="AU19" s="42">
        <v>49.262618036018353</v>
      </c>
      <c r="AV19" s="41">
        <v>106.29328604246005</v>
      </c>
      <c r="AW19" s="42">
        <v>24.631408502599292</v>
      </c>
    </row>
    <row r="20" spans="1:49" x14ac:dyDescent="0.2">
      <c r="A20" t="s">
        <v>127</v>
      </c>
      <c r="B20" s="82">
        <v>26548.356269999993</v>
      </c>
      <c r="C20" s="83">
        <v>1408.5418709999938</v>
      </c>
      <c r="D20" s="82">
        <v>26555.232533910315</v>
      </c>
      <c r="E20" s="83">
        <v>1338.1147774499941</v>
      </c>
      <c r="F20" s="82">
        <v>26557.312133983021</v>
      </c>
      <c r="G20" s="83">
        <v>1267.6876838999945</v>
      </c>
      <c r="H20" s="82">
        <v>26553.678098038912</v>
      </c>
      <c r="I20" s="83">
        <v>1197.2605903499946</v>
      </c>
      <c r="J20" s="82">
        <v>26543.174944679282</v>
      </c>
      <c r="K20" s="83">
        <v>1126.8334967999949</v>
      </c>
      <c r="L20" s="82">
        <v>26524.323011381028</v>
      </c>
      <c r="M20" s="83">
        <v>1056.4064032499953</v>
      </c>
      <c r="N20" s="82">
        <v>26495.18908059876</v>
      </c>
      <c r="O20" s="83">
        <v>985.97930969999561</v>
      </c>
      <c r="P20" s="82">
        <v>26453.190557690039</v>
      </c>
      <c r="Q20" s="83">
        <v>915.55221614999596</v>
      </c>
      <c r="R20" s="82">
        <v>26394.763437788759</v>
      </c>
      <c r="S20" s="83">
        <v>845.12512259999642</v>
      </c>
      <c r="T20" s="82">
        <v>26314.792240962459</v>
      </c>
      <c r="U20" s="83">
        <v>774.69802904999653</v>
      </c>
      <c r="V20" s="82">
        <v>26205.542215593916</v>
      </c>
      <c r="W20" s="83">
        <v>704.27093549999688</v>
      </c>
      <c r="X20" s="82">
        <v>26054.523202902332</v>
      </c>
      <c r="Y20" s="83">
        <v>633.84384194999734</v>
      </c>
      <c r="Z20" s="82">
        <v>25839.883106125333</v>
      </c>
      <c r="AA20" s="83">
        <v>563.41674839999757</v>
      </c>
      <c r="AB20" s="82">
        <v>25519.93997384216</v>
      </c>
      <c r="AC20" s="83">
        <v>492.98965484999775</v>
      </c>
      <c r="AD20" s="82">
        <v>25009.901607419983</v>
      </c>
      <c r="AE20" s="83">
        <v>422.56256129999798</v>
      </c>
      <c r="AF20" s="82">
        <v>24137.251470160911</v>
      </c>
      <c r="AG20" s="83">
        <v>352.13546774999827</v>
      </c>
      <c r="AH20" s="82">
        <v>22568.577706619082</v>
      </c>
      <c r="AI20" s="83">
        <v>281.70837419999856</v>
      </c>
      <c r="AJ20" s="82">
        <v>19712.895015592276</v>
      </c>
      <c r="AK20" s="83">
        <v>211.28128064999879</v>
      </c>
      <c r="AL20" s="82">
        <v>14828.437801951848</v>
      </c>
      <c r="AM20" s="83">
        <v>140.85418709999902</v>
      </c>
      <c r="AN20" s="82">
        <v>7870.1087599069397</v>
      </c>
      <c r="AO20" s="83">
        <v>70.427093549999285</v>
      </c>
      <c r="AP20" s="82">
        <v>6325.2661565183416</v>
      </c>
      <c r="AQ20" s="83">
        <v>56.341674839999328</v>
      </c>
      <c r="AR20" s="82">
        <v>4757.4361387527897</v>
      </c>
      <c r="AS20" s="83">
        <v>42.256256129999379</v>
      </c>
      <c r="AT20" s="82">
        <v>3176.2836016018086</v>
      </c>
      <c r="AU20" s="83">
        <v>28.170837419999433</v>
      </c>
      <c r="AV20" s="82">
        <v>1589.0038145052331</v>
      </c>
      <c r="AW20" s="83">
        <v>14.08541870999948</v>
      </c>
    </row>
    <row r="21" spans="1:49" x14ac:dyDescent="0.2">
      <c r="A21" t="s">
        <v>76</v>
      </c>
      <c r="B21" s="82">
        <v>24661.962529999968</v>
      </c>
      <c r="C21" s="83">
        <v>1145.7547579999991</v>
      </c>
      <c r="D21" s="82">
        <v>24676.764813838206</v>
      </c>
      <c r="E21" s="83">
        <v>1062.3225632680337</v>
      </c>
      <c r="F21" s="82">
        <v>24687.613007225034</v>
      </c>
      <c r="G21" s="83">
        <v>977.65539854763017</v>
      </c>
      <c r="H21" s="82">
        <v>24693.740668135866</v>
      </c>
      <c r="I21" s="83">
        <v>891.69165104938065</v>
      </c>
      <c r="J21" s="82">
        <v>24694.171073508212</v>
      </c>
      <c r="K21" s="83">
        <v>804.40851641164056</v>
      </c>
      <c r="L21" s="82">
        <v>24687.633897034571</v>
      </c>
      <c r="M21" s="83">
        <v>715.85460543868794</v>
      </c>
      <c r="N21" s="82">
        <v>24672.439446842058</v>
      </c>
      <c r="O21" s="83">
        <v>626.18334605326766</v>
      </c>
      <c r="P21" s="82">
        <v>24646.280297023161</v>
      </c>
      <c r="Q21" s="83">
        <v>535.7279796671495</v>
      </c>
      <c r="R21" s="82">
        <v>24605.894701158362</v>
      </c>
      <c r="S21" s="83">
        <v>445.09617823942949</v>
      </c>
      <c r="T21" s="82">
        <v>24546.480800183443</v>
      </c>
      <c r="U21" s="83">
        <v>355.32220375800858</v>
      </c>
      <c r="V21" s="82">
        <v>24460.594665499877</v>
      </c>
      <c r="W21" s="83">
        <v>268.10532936660945</v>
      </c>
      <c r="X21" s="82">
        <v>24335.946620654333</v>
      </c>
      <c r="Y21" s="83">
        <v>186.17260666053329</v>
      </c>
      <c r="Z21" s="82">
        <v>24150.695751650532</v>
      </c>
      <c r="AA21" s="83">
        <v>113.75192924944511</v>
      </c>
      <c r="AB21" s="82">
        <v>23863.051425846665</v>
      </c>
      <c r="AC21" s="83">
        <v>56.735269778422001</v>
      </c>
      <c r="AD21" s="82">
        <v>23389.487343319153</v>
      </c>
      <c r="AE21" s="83">
        <v>20.724648722831688</v>
      </c>
      <c r="AF21" s="82">
        <v>22566.351930225563</v>
      </c>
      <c r="AG21" s="83">
        <v>5.050191030438663</v>
      </c>
      <c r="AH21" s="82">
        <v>21086.675848012157</v>
      </c>
      <c r="AI21" s="83">
        <v>0.83621551379986248</v>
      </c>
      <c r="AJ21" s="82">
        <v>18406.991464401253</v>
      </c>
      <c r="AK21" s="83">
        <v>0.11213247761397505</v>
      </c>
      <c r="AL21" s="82">
        <v>13840.296988344611</v>
      </c>
      <c r="AM21" s="83">
        <v>1.7384938694880246E-2</v>
      </c>
      <c r="AN21" s="82">
        <v>7344.3739385746749</v>
      </c>
      <c r="AO21" s="83">
        <v>4.1139160297121898E-3</v>
      </c>
      <c r="AP21" s="82">
        <v>5902.6546825058458</v>
      </c>
      <c r="AQ21" s="83">
        <v>3.1032344820674882E-3</v>
      </c>
      <c r="AR21" s="82">
        <v>4439.542398083242</v>
      </c>
      <c r="AS21" s="83">
        <v>2.2447189994740571E-3</v>
      </c>
      <c r="AT21" s="82">
        <v>2964.0313929987892</v>
      </c>
      <c r="AU21" s="83">
        <v>1.4686794755513724E-3</v>
      </c>
      <c r="AV21" s="82">
        <v>1482.8179490645412</v>
      </c>
      <c r="AW21" s="83">
        <v>7.29256863131927E-4</v>
      </c>
    </row>
    <row r="22" spans="1:49" x14ac:dyDescent="0.2">
      <c r="A22" t="s">
        <v>28</v>
      </c>
      <c r="B22" s="41">
        <v>6533.6044688320644</v>
      </c>
      <c r="C22" s="42">
        <v>379.90788307663382</v>
      </c>
      <c r="D22" s="41">
        <v>6535.7540190373384</v>
      </c>
      <c r="E22" s="42">
        <v>359.65933868976617</v>
      </c>
      <c r="F22" s="41">
        <v>6535.8901555078455</v>
      </c>
      <c r="G22" s="42">
        <v>339.43647313534376</v>
      </c>
      <c r="H22" s="41">
        <v>6533.6618668952506</v>
      </c>
      <c r="I22" s="42">
        <v>319.24924135405388</v>
      </c>
      <c r="J22" s="41">
        <v>6528.6321453825276</v>
      </c>
      <c r="K22" s="42">
        <v>299.10467761173408</v>
      </c>
      <c r="L22" s="41">
        <v>6520.244409282107</v>
      </c>
      <c r="M22" s="42">
        <v>279.00416406735212</v>
      </c>
      <c r="N22" s="41">
        <v>6507.7881562079365</v>
      </c>
      <c r="O22" s="42">
        <v>258.93792255022419</v>
      </c>
      <c r="P22" s="41">
        <v>6490.3267210700324</v>
      </c>
      <c r="Q22" s="42">
        <v>238.8800561808832</v>
      </c>
      <c r="R22" s="41">
        <v>6466.5957850259583</v>
      </c>
      <c r="S22" s="42">
        <v>218.77906001653812</v>
      </c>
      <c r="T22" s="41">
        <v>6434.834795273131</v>
      </c>
      <c r="U22" s="42">
        <v>198.54639391332654</v>
      </c>
      <c r="V22" s="41">
        <v>6392.482565956755</v>
      </c>
      <c r="W22" s="42">
        <v>178.04159060463334</v>
      </c>
      <c r="X22" s="41">
        <v>6335.6066633817336</v>
      </c>
      <c r="Y22" s="42">
        <v>157.0578420817358</v>
      </c>
      <c r="Z22" s="41">
        <v>6257.7438506831022</v>
      </c>
      <c r="AA22" s="42">
        <v>135.32726001002396</v>
      </c>
      <c r="AB22" s="41">
        <v>6147.4013676791683</v>
      </c>
      <c r="AC22" s="42">
        <v>112.62300202949788</v>
      </c>
      <c r="AD22" s="41">
        <v>5982.6261825832053</v>
      </c>
      <c r="AE22" s="42">
        <v>89.148704009524252</v>
      </c>
      <c r="AF22" s="41">
        <v>5720.5928789578638</v>
      </c>
      <c r="AG22" s="42">
        <v>66.16670940694955</v>
      </c>
      <c r="AH22" s="41">
        <v>5282.4909698878328</v>
      </c>
      <c r="AI22" s="42">
        <v>45.70081430649018</v>
      </c>
      <c r="AJ22" s="41">
        <v>4541.8727256989969</v>
      </c>
      <c r="AK22" s="42">
        <v>29.205841985849982</v>
      </c>
      <c r="AL22" s="41">
        <v>3363.5498213558371</v>
      </c>
      <c r="AM22" s="42">
        <v>16.981212934112456</v>
      </c>
      <c r="AN22" s="41">
        <v>1769.3871933461412</v>
      </c>
      <c r="AO22" s="42">
        <v>7.9100331736931206</v>
      </c>
      <c r="AP22" s="41">
        <v>1421.0414096942377</v>
      </c>
      <c r="AQ22" s="42">
        <v>6.2928264459791121</v>
      </c>
      <c r="AR22" s="41">
        <v>1068.3335651102545</v>
      </c>
      <c r="AS22" s="42">
        <v>4.7034535556879096</v>
      </c>
      <c r="AT22" s="41">
        <v>713.10341048382827</v>
      </c>
      <c r="AU22" s="42">
        <v>3.1300708338097309</v>
      </c>
      <c r="AV22" s="41">
        <v>356.71462454152817</v>
      </c>
      <c r="AW22" s="42">
        <v>1.5640076775629148</v>
      </c>
    </row>
    <row r="23" spans="1:49" x14ac:dyDescent="0.2">
      <c r="A23" t="s">
        <v>7</v>
      </c>
      <c r="B23" s="116">
        <v>3278.5018080150408</v>
      </c>
      <c r="C23" s="8">
        <v>0</v>
      </c>
      <c r="D23" s="116">
        <v>3285.9812557685677</v>
      </c>
      <c r="E23" s="8">
        <v>0</v>
      </c>
      <c r="F23" s="116">
        <v>3293.0224353660215</v>
      </c>
      <c r="G23" s="8">
        <v>0</v>
      </c>
      <c r="H23" s="116">
        <v>3299.5255177526492</v>
      </c>
      <c r="I23" s="8">
        <v>0</v>
      </c>
      <c r="J23" s="116">
        <v>3305.3634518143258</v>
      </c>
      <c r="K23" s="8">
        <v>0</v>
      </c>
      <c r="L23" s="116">
        <v>3310.3724639459188</v>
      </c>
      <c r="M23" s="8">
        <v>0</v>
      </c>
      <c r="N23" s="116">
        <v>3314.3409572508722</v>
      </c>
      <c r="O23" s="8">
        <v>0</v>
      </c>
      <c r="P23" s="116">
        <v>3316.9917730953762</v>
      </c>
      <c r="Q23" s="8">
        <v>0</v>
      </c>
      <c r="R23" s="116">
        <v>3317.9561632475434</v>
      </c>
      <c r="S23" s="8">
        <v>0</v>
      </c>
      <c r="T23" s="116">
        <v>3316.7333800793017</v>
      </c>
      <c r="U23" s="8">
        <v>0</v>
      </c>
      <c r="V23" s="116">
        <v>3312.6186041517094</v>
      </c>
      <c r="W23" s="8">
        <v>0</v>
      </c>
      <c r="X23" s="116">
        <v>3304.5621112885929</v>
      </c>
      <c r="Y23" s="8">
        <v>0</v>
      </c>
      <c r="Z23" s="116">
        <v>3290.8437056467819</v>
      </c>
      <c r="AA23" s="8">
        <v>0</v>
      </c>
      <c r="AB23" s="116">
        <v>3268.1686086656632</v>
      </c>
      <c r="AC23" s="8">
        <v>0</v>
      </c>
      <c r="AD23" s="116">
        <v>3228.8478556838309</v>
      </c>
      <c r="AE23" s="8">
        <v>0</v>
      </c>
      <c r="AF23" s="116">
        <v>3153.0355331274095</v>
      </c>
      <c r="AG23" s="8">
        <v>0</v>
      </c>
      <c r="AH23" s="116">
        <v>2994.2192715713099</v>
      </c>
      <c r="AI23" s="8">
        <v>0</v>
      </c>
      <c r="AJ23" s="116">
        <v>2662.02456274733</v>
      </c>
      <c r="AK23" s="8">
        <v>0</v>
      </c>
      <c r="AL23" s="116">
        <v>2034.2073149991731</v>
      </c>
      <c r="AM23" s="8">
        <v>0</v>
      </c>
      <c r="AN23" s="116">
        <v>1088.7313500556097</v>
      </c>
      <c r="AO23" s="8">
        <v>0</v>
      </c>
      <c r="AP23" s="116">
        <v>875.60529811378603</v>
      </c>
      <c r="AQ23" s="8">
        <v>0</v>
      </c>
      <c r="AR23" s="116">
        <v>658.84140016265485</v>
      </c>
      <c r="AS23" s="8">
        <v>0</v>
      </c>
      <c r="AT23" s="116">
        <v>439.96646252261644</v>
      </c>
      <c r="AU23" s="8">
        <v>0</v>
      </c>
      <c r="AV23" s="116">
        <v>220.1199556711251</v>
      </c>
      <c r="AW23" s="8">
        <v>0</v>
      </c>
    </row>
    <row r="24" spans="1:49" x14ac:dyDescent="0.2">
      <c r="A24" t="s">
        <v>8</v>
      </c>
      <c r="B24" s="97">
        <v>3196.3846373657216</v>
      </c>
      <c r="C24" s="8">
        <v>0</v>
      </c>
      <c r="D24" s="97">
        <v>3203.6767484307825</v>
      </c>
      <c r="E24" s="8">
        <v>0</v>
      </c>
      <c r="F24" s="97">
        <v>3210.541563820359</v>
      </c>
      <c r="G24" s="8">
        <v>0</v>
      </c>
      <c r="H24" s="97">
        <v>3216.8817622370875</v>
      </c>
      <c r="I24" s="8">
        <v>0</v>
      </c>
      <c r="J24" s="97">
        <v>3222.5734689878577</v>
      </c>
      <c r="K24" s="8">
        <v>0</v>
      </c>
      <c r="L24" s="97">
        <v>3227.4570226493593</v>
      </c>
      <c r="M24" s="8">
        <v>0</v>
      </c>
      <c r="N24" s="97">
        <v>3231.3261180079785</v>
      </c>
      <c r="O24" s="8">
        <v>0</v>
      </c>
      <c r="P24" s="97">
        <v>3233.9105358930678</v>
      </c>
      <c r="Q24" s="8">
        <v>0</v>
      </c>
      <c r="R24" s="97">
        <v>3234.8507713236399</v>
      </c>
      <c r="S24" s="8">
        <v>0</v>
      </c>
      <c r="T24" s="97">
        <v>3233.6586162649633</v>
      </c>
      <c r="U24" s="8">
        <v>0</v>
      </c>
      <c r="V24" s="97">
        <v>3229.6469047516111</v>
      </c>
      <c r="W24" s="8">
        <v>0</v>
      </c>
      <c r="X24" s="97">
        <v>3221.7922040837939</v>
      </c>
      <c r="Y24" s="8">
        <v>0</v>
      </c>
      <c r="Z24" s="97">
        <v>3208.4174055919048</v>
      </c>
      <c r="AA24" s="8">
        <v>0</v>
      </c>
      <c r="AB24" s="97">
        <v>3186.3102554056595</v>
      </c>
      <c r="AC24" s="8">
        <v>0</v>
      </c>
      <c r="AD24" s="97">
        <v>3147.9743756978687</v>
      </c>
      <c r="AE24" s="8">
        <v>0</v>
      </c>
      <c r="AF24" s="97">
        <v>3074.0609367726847</v>
      </c>
      <c r="AG24" s="8">
        <v>0</v>
      </c>
      <c r="AH24" s="97">
        <v>2919.2225720776523</v>
      </c>
      <c r="AI24" s="8">
        <v>0</v>
      </c>
      <c r="AJ24" s="97">
        <v>2595.3483984220702</v>
      </c>
      <c r="AK24" s="8">
        <v>0</v>
      </c>
      <c r="AL24" s="97">
        <v>1983.2561918924439</v>
      </c>
      <c r="AM24" s="8">
        <v>0</v>
      </c>
      <c r="AN24" s="97">
        <v>1061.4617180093528</v>
      </c>
      <c r="AO24" s="8">
        <v>0</v>
      </c>
      <c r="AP24" s="97">
        <v>853.67386909372533</v>
      </c>
      <c r="AQ24" s="8">
        <v>0</v>
      </c>
      <c r="AR24" s="97">
        <v>642.33929192082383</v>
      </c>
      <c r="AS24" s="8">
        <v>0</v>
      </c>
      <c r="AT24" s="97">
        <v>428.94655062512516</v>
      </c>
      <c r="AU24" s="8">
        <v>0</v>
      </c>
      <c r="AV24" s="97">
        <v>214.60657516336198</v>
      </c>
      <c r="AW24" s="8">
        <v>0</v>
      </c>
    </row>
    <row r="25" spans="1:49" x14ac:dyDescent="0.2">
      <c r="A25" t="s">
        <v>0</v>
      </c>
      <c r="B25" s="41">
        <v>3195.0476040000012</v>
      </c>
      <c r="C25" s="42">
        <v>91.012690000004397</v>
      </c>
      <c r="D25" s="41">
        <v>3212.364264013197</v>
      </c>
      <c r="E25" s="42">
        <v>79.255897256924612</v>
      </c>
      <c r="F25" s="41">
        <v>3230.2113797598245</v>
      </c>
      <c r="G25" s="42">
        <v>68.069499601418784</v>
      </c>
      <c r="H25" s="41">
        <v>3248.6720712096535</v>
      </c>
      <c r="I25" s="42">
        <v>57.520871514326991</v>
      </c>
      <c r="J25" s="41">
        <v>3267.8310700321031</v>
      </c>
      <c r="K25" s="42">
        <v>47.679205485445451</v>
      </c>
      <c r="L25" s="41">
        <v>3287.7591620638304</v>
      </c>
      <c r="M25" s="42">
        <v>38.615084739443013</v>
      </c>
      <c r="N25" s="41">
        <v>3308.4888198908761</v>
      </c>
      <c r="O25" s="42">
        <v>30.396654856487423</v>
      </c>
      <c r="P25" s="41">
        <v>3329.9591881500451</v>
      </c>
      <c r="Q25" s="42">
        <v>23.08934625425983</v>
      </c>
      <c r="R25" s="41">
        <v>3351.9186256174803</v>
      </c>
      <c r="S25" s="42">
        <v>16.752495085000454</v>
      </c>
      <c r="T25" s="41">
        <v>3373.734909141986</v>
      </c>
      <c r="U25" s="42">
        <v>11.435985481045597</v>
      </c>
      <c r="V25" s="41">
        <v>3394.0197169383796</v>
      </c>
      <c r="W25" s="42">
        <v>7.1758220819551086</v>
      </c>
      <c r="X25" s="41">
        <v>3409.8643205727676</v>
      </c>
      <c r="Y25" s="42">
        <v>3.985806467574653</v>
      </c>
      <c r="Z25" s="41">
        <v>3415.2795890825328</v>
      </c>
      <c r="AA25" s="42">
        <v>1.8399800636655832</v>
      </c>
      <c r="AB25" s="41">
        <v>3398.3279453538225</v>
      </c>
      <c r="AC25" s="42">
        <v>0.63572550821950724</v>
      </c>
      <c r="AD25" s="41">
        <v>3337.9363167572897</v>
      </c>
      <c r="AE25" s="42">
        <v>0.14148153243054459</v>
      </c>
      <c r="AF25" s="41">
        <v>3205.7585514256116</v>
      </c>
      <c r="AG25" s="42">
        <v>1.7863690331513624E-2</v>
      </c>
      <c r="AH25" s="41">
        <v>2968.4202003573782</v>
      </c>
      <c r="AI25" s="42">
        <v>1.320791526362011E-3</v>
      </c>
      <c r="AJ25" s="41">
        <v>2567.654539738568</v>
      </c>
      <c r="AK25" s="42">
        <v>7.4450648988111956E-5</v>
      </c>
      <c r="AL25" s="41">
        <v>1918.8731468800981</v>
      </c>
      <c r="AM25" s="42">
        <v>5.5582212133195315E-6</v>
      </c>
      <c r="AN25" s="41">
        <v>1015.6708030432341</v>
      </c>
      <c r="AO25" s="42">
        <v>9.0455693651401585E-7</v>
      </c>
      <c r="AP25" s="41">
        <v>816.14278670257181</v>
      </c>
      <c r="AQ25" s="42">
        <v>6.6255467652453969E-7</v>
      </c>
      <c r="AR25" s="41">
        <v>613.77423047788363</v>
      </c>
      <c r="AS25" s="42">
        <v>4.7066019020830966E-7</v>
      </c>
      <c r="AT25" s="41">
        <v>409.75888548591439</v>
      </c>
      <c r="AU25" s="42">
        <v>3.0506913698778627E-7</v>
      </c>
      <c r="AV25" s="41">
        <v>204.98602222653432</v>
      </c>
      <c r="AW25" s="42">
        <v>1.5095331077231638E-7</v>
      </c>
    </row>
    <row r="26" spans="1:49" x14ac:dyDescent="0.2">
      <c r="A26" t="s">
        <v>27</v>
      </c>
      <c r="B26" s="33">
        <v>5036.2953101960647</v>
      </c>
      <c r="C26" s="34">
        <v>74.905331803938267</v>
      </c>
      <c r="D26" s="33">
        <v>5042.0223335949404</v>
      </c>
      <c r="E26" s="34">
        <v>69.178308405062211</v>
      </c>
      <c r="F26" s="33">
        <v>5047.7721016621617</v>
      </c>
      <c r="G26" s="34">
        <v>63.428540337842648</v>
      </c>
      <c r="H26" s="33">
        <v>5053.5465626389978</v>
      </c>
      <c r="I26" s="34">
        <v>57.654079361000846</v>
      </c>
      <c r="J26" s="33">
        <v>5059.3464173507427</v>
      </c>
      <c r="K26" s="34">
        <v>51.854224649260821</v>
      </c>
      <c r="L26" s="33">
        <v>5065.1690583584959</v>
      </c>
      <c r="M26" s="34">
        <v>46.031583641508462</v>
      </c>
      <c r="N26" s="33">
        <v>5071.0072929063772</v>
      </c>
      <c r="O26" s="34">
        <v>40.193349093623205</v>
      </c>
      <c r="P26" s="33">
        <v>5076.8447929912081</v>
      </c>
      <c r="Q26" s="34">
        <v>34.355849008797421</v>
      </c>
      <c r="R26" s="33">
        <v>5082.6505544273359</v>
      </c>
      <c r="S26" s="34">
        <v>28.550087572664559</v>
      </c>
      <c r="T26" s="33">
        <v>5088.3699203244523</v>
      </c>
      <c r="U26" s="34">
        <v>22.830721675545959</v>
      </c>
      <c r="V26" s="33">
        <v>5093.909638882571</v>
      </c>
      <c r="W26" s="34">
        <v>17.291003117430662</v>
      </c>
      <c r="X26" s="33">
        <v>5099.1145649763203</v>
      </c>
      <c r="Y26" s="34">
        <v>12.086077023685178</v>
      </c>
      <c r="Z26" s="33">
        <v>5103.7353363371221</v>
      </c>
      <c r="AA26" s="34">
        <v>7.4653056628788992</v>
      </c>
      <c r="AB26" s="33">
        <v>5107.4105168685801</v>
      </c>
      <c r="AC26" s="34">
        <v>3.7901251314200355</v>
      </c>
      <c r="AD26" s="33">
        <v>5109.7752096125996</v>
      </c>
      <c r="AE26" s="34">
        <v>1.4254323874031258</v>
      </c>
      <c r="AF26" s="33">
        <v>5110.8365304208719</v>
      </c>
      <c r="AG26" s="34">
        <v>0.36411157913169462</v>
      </c>
      <c r="AH26" s="33">
        <v>5111.1357485722456</v>
      </c>
      <c r="AI26" s="34">
        <v>6.4893427761334568E-2</v>
      </c>
      <c r="AJ26" s="33">
        <v>5111.1908922069488</v>
      </c>
      <c r="AK26" s="34">
        <v>9.7497930538434467E-3</v>
      </c>
      <c r="AL26" s="33">
        <v>5111.198827028169</v>
      </c>
      <c r="AM26" s="34">
        <v>1.8149718358076116E-3</v>
      </c>
      <c r="AN26" s="33">
        <v>5111.200039819314</v>
      </c>
      <c r="AO26" s="34">
        <v>6.0218068638735885E-4</v>
      </c>
      <c r="AP26" s="33">
        <v>5111.2001344649743</v>
      </c>
      <c r="AQ26" s="34">
        <v>5.07535031630071E-4</v>
      </c>
      <c r="AR26" s="33">
        <v>5111.2002182444576</v>
      </c>
      <c r="AS26" s="34">
        <v>4.2375554618096883E-4</v>
      </c>
      <c r="AT26" s="33">
        <v>5111.2003024997402</v>
      </c>
      <c r="AU26" s="34">
        <v>3.3950026075770131E-4</v>
      </c>
      <c r="AV26" s="33">
        <v>5111.2004036160415</v>
      </c>
      <c r="AW26" s="34">
        <v>2.3838396383068526E-4</v>
      </c>
    </row>
    <row r="27" spans="1:49" x14ac:dyDescent="0.2">
      <c r="A27" t="s">
        <v>2</v>
      </c>
      <c r="B27" s="35">
        <v>6425.1981590000069</v>
      </c>
      <c r="C27" s="36">
        <v>273.22915400000028</v>
      </c>
      <c r="D27" s="35">
        <v>6445.8271964234536</v>
      </c>
      <c r="E27" s="36">
        <v>252.60010209791042</v>
      </c>
      <c r="F27" s="35">
        <v>6466.5817080976576</v>
      </c>
      <c r="G27" s="36">
        <v>231.84560469295687</v>
      </c>
      <c r="H27" s="35">
        <v>6487.4692187353921</v>
      </c>
      <c r="I27" s="36">
        <v>210.95809400047492</v>
      </c>
      <c r="J27" s="35">
        <v>6508.4927990886772</v>
      </c>
      <c r="K27" s="36">
        <v>189.93445483199463</v>
      </c>
      <c r="L27" s="35">
        <v>6529.6436899015471</v>
      </c>
      <c r="M27" s="36">
        <v>168.78362277788389</v>
      </c>
      <c r="N27" s="35">
        <v>6550.8960428479013</v>
      </c>
      <c r="O27" s="36">
        <v>147.53126883679167</v>
      </c>
      <c r="P27" s="35">
        <v>6572.1906510445224</v>
      </c>
      <c r="Q27" s="36">
        <v>126.23664187198611</v>
      </c>
      <c r="R27" s="35">
        <v>6593.4140444542481</v>
      </c>
      <c r="S27" s="36">
        <v>105.01325194563741</v>
      </c>
      <c r="T27" s="35">
        <v>6614.3650549627218</v>
      </c>
      <c r="U27" s="36">
        <v>84.062248481069446</v>
      </c>
      <c r="V27" s="35">
        <v>6634.6990843238</v>
      </c>
      <c r="W27" s="36">
        <v>63.728226352945157</v>
      </c>
      <c r="X27" s="35">
        <v>6653.8410731744352</v>
      </c>
      <c r="Y27" s="36">
        <v>44.586238798699753</v>
      </c>
      <c r="Z27" s="35">
        <v>6670.8646424080298</v>
      </c>
      <c r="AA27" s="36">
        <v>27.562669234333605</v>
      </c>
      <c r="AB27" s="35">
        <v>6684.4246020595328</v>
      </c>
      <c r="AC27" s="36">
        <v>14.002699899866558</v>
      </c>
      <c r="AD27" s="35">
        <v>6693.1588010639534</v>
      </c>
      <c r="AE27" s="36">
        <v>5.2685115687553399</v>
      </c>
      <c r="AF27" s="35">
        <v>6697.0812731726573</v>
      </c>
      <c r="AG27" s="36">
        <v>1.3460398321396232</v>
      </c>
      <c r="AH27" s="35">
        <v>6698.187403675377</v>
      </c>
      <c r="AI27" s="36">
        <v>0.23990939635607555</v>
      </c>
      <c r="AJ27" s="35">
        <v>6698.3912679104124</v>
      </c>
      <c r="AK27" s="36">
        <v>3.6045098442079225E-2</v>
      </c>
      <c r="AL27" s="35">
        <v>6698.4206109475663</v>
      </c>
      <c r="AM27" s="36">
        <v>6.7099809484409785E-3</v>
      </c>
      <c r="AN27" s="35">
        <v>6698.422196714002</v>
      </c>
      <c r="AO27" s="36">
        <v>2.2262724966671103E-3</v>
      </c>
      <c r="AP27" s="35">
        <v>6698.4260320158719</v>
      </c>
      <c r="AQ27" s="36">
        <v>1.8763661601004745E-3</v>
      </c>
      <c r="AR27" s="35">
        <v>6698.4301537955789</v>
      </c>
      <c r="AS27" s="36">
        <v>1.5666321974322395E-3</v>
      </c>
      <c r="AT27" s="35">
        <v>6698.4227216754625</v>
      </c>
      <c r="AU27" s="36">
        <v>1.255138387276462E-3</v>
      </c>
      <c r="AV27" s="35">
        <v>6698.4230104922999</v>
      </c>
      <c r="AW27" s="36">
        <v>8.8130968496628989E-4</v>
      </c>
    </row>
    <row r="28" spans="1:49" x14ac:dyDescent="0.2">
      <c r="A28" t="s">
        <v>35</v>
      </c>
      <c r="B28" s="41">
        <v>13763.097676000023</v>
      </c>
      <c r="C28" s="42">
        <v>382.36647899999997</v>
      </c>
      <c r="D28" s="41">
        <v>13792.046515638986</v>
      </c>
      <c r="E28" s="42">
        <v>353.3928770901494</v>
      </c>
      <c r="F28" s="41">
        <v>13821.104504881083</v>
      </c>
      <c r="G28" s="42">
        <v>324.26025749848475</v>
      </c>
      <c r="H28" s="41">
        <v>13850.281229938351</v>
      </c>
      <c r="I28" s="42">
        <v>294.95833809928359</v>
      </c>
      <c r="J28" s="41">
        <v>13879.57997695176</v>
      </c>
      <c r="K28" s="42">
        <v>265.48311030125541</v>
      </c>
      <c r="L28" s="41">
        <v>13908.9874931512</v>
      </c>
      <c r="M28" s="42">
        <v>235.84744033516523</v>
      </c>
      <c r="N28" s="41">
        <v>13938.46708721916</v>
      </c>
      <c r="O28" s="42">
        <v>206.08761524308747</v>
      </c>
      <c r="P28" s="41">
        <v>13967.936205864009</v>
      </c>
      <c r="Q28" s="42">
        <v>176.28681328783944</v>
      </c>
      <c r="R28" s="41">
        <v>13997.238256233499</v>
      </c>
      <c r="S28" s="42">
        <v>146.60385488627108</v>
      </c>
      <c r="T28" s="41">
        <v>14026.097444963245</v>
      </c>
      <c r="U28" s="42">
        <v>117.31964963303588</v>
      </c>
      <c r="V28" s="41">
        <v>14054.043575844777</v>
      </c>
      <c r="W28" s="42">
        <v>88.914750038367401</v>
      </c>
      <c r="X28" s="41">
        <v>14080.2947767563</v>
      </c>
      <c r="Y28" s="42">
        <v>62.190269127026852</v>
      </c>
      <c r="Z28" s="41">
        <v>14103.594816433604</v>
      </c>
      <c r="AA28" s="42">
        <v>38.435782021178476</v>
      </c>
      <c r="AB28" s="41">
        <v>14122.123375659821</v>
      </c>
      <c r="AC28" s="42">
        <v>19.522743980719678</v>
      </c>
      <c r="AD28" s="41">
        <v>14134.043475413306</v>
      </c>
      <c r="AE28" s="42">
        <v>7.3444955260776972</v>
      </c>
      <c r="AF28" s="41">
        <v>14139.393038125689</v>
      </c>
      <c r="AG28" s="42">
        <v>1.8763213868681148</v>
      </c>
      <c r="AH28" s="41">
        <v>14140.901194071184</v>
      </c>
      <c r="AI28" s="42">
        <v>0.33441797412169777</v>
      </c>
      <c r="AJ28" s="41">
        <v>14141.179133465128</v>
      </c>
      <c r="AK28" s="42">
        <v>5.0244355745917194E-2</v>
      </c>
      <c r="AL28" s="41">
        <v>14141.219134688839</v>
      </c>
      <c r="AM28" s="42">
        <v>9.353242163656449E-3</v>
      </c>
      <c r="AN28" s="41">
        <v>14141.222486663421</v>
      </c>
      <c r="AO28" s="42">
        <v>3.1032672780251461E-3</v>
      </c>
      <c r="AP28" s="41">
        <v>14141.226284184941</v>
      </c>
      <c r="AQ28" s="42">
        <v>2.615522329476685E-3</v>
      </c>
      <c r="AR28" s="41">
        <v>14141.230338128442</v>
      </c>
      <c r="AS28" s="42">
        <v>2.1837748629232336E-3</v>
      </c>
      <c r="AT28" s="41">
        <v>14141.22338558322</v>
      </c>
      <c r="AU28" s="42">
        <v>1.7495746314501481E-3</v>
      </c>
      <c r="AV28" s="41">
        <v>14141.223814247678</v>
      </c>
      <c r="AW28" s="42">
        <v>1.2284837088755878E-3</v>
      </c>
    </row>
    <row r="29" spans="1:49" x14ac:dyDescent="0.2">
      <c r="A29" t="s">
        <v>53</v>
      </c>
      <c r="B29" s="35">
        <v>14362.768558000025</v>
      </c>
      <c r="C29" s="36">
        <v>817.26650999999993</v>
      </c>
      <c r="D29" s="35">
        <v>14378.345811572626</v>
      </c>
      <c r="E29" s="36">
        <v>750.44176160015832</v>
      </c>
      <c r="F29" s="35">
        <v>14392.092059105706</v>
      </c>
      <c r="G29" s="36">
        <v>683.69375176880999</v>
      </c>
      <c r="H29" s="35">
        <v>14403.643616169678</v>
      </c>
      <c r="I29" s="36">
        <v>617.0711757594479</v>
      </c>
      <c r="J29" s="35">
        <v>14412.527651917326</v>
      </c>
      <c r="K29" s="36">
        <v>550.64752083696931</v>
      </c>
      <c r="L29" s="35">
        <v>14418.110635125662</v>
      </c>
      <c r="M29" s="36">
        <v>484.54428005999637</v>
      </c>
      <c r="N29" s="35">
        <v>14419.52332362495</v>
      </c>
      <c r="O29" s="36">
        <v>418.9444631785563</v>
      </c>
      <c r="P29" s="35">
        <v>14415.530295463077</v>
      </c>
      <c r="Q29" s="36">
        <v>354.14059133918158</v>
      </c>
      <c r="R29" s="35">
        <v>14404.310297262509</v>
      </c>
      <c r="S29" s="36">
        <v>290.58997224732997</v>
      </c>
      <c r="T29" s="35">
        <v>14383.06375525576</v>
      </c>
      <c r="U29" s="36">
        <v>229.00133321611688</v>
      </c>
      <c r="V29" s="35">
        <v>14347.265313385631</v>
      </c>
      <c r="W29" s="36">
        <v>170.47400218031373</v>
      </c>
      <c r="X29" s="35">
        <v>14289.163241385344</v>
      </c>
      <c r="Y29" s="36">
        <v>116.70216173534864</v>
      </c>
      <c r="Z29" s="35">
        <v>14194.607095588823</v>
      </c>
      <c r="AA29" s="36">
        <v>70.225882372847778</v>
      </c>
      <c r="AB29" s="35">
        <v>14036.300163843822</v>
      </c>
      <c r="AC29" s="36">
        <v>34.451919825603255</v>
      </c>
      <c r="AD29" s="35">
        <v>13760.94514721759</v>
      </c>
      <c r="AE29" s="36">
        <v>12.362976085625274</v>
      </c>
      <c r="AF29" s="35">
        <v>13269.993406503612</v>
      </c>
      <c r="AG29" s="36">
        <v>2.9585401393912081</v>
      </c>
      <c r="AH29" s="35">
        <v>12387.579373860432</v>
      </c>
      <c r="AI29" s="36">
        <v>0.48184275523885245</v>
      </c>
      <c r="AJ29" s="35">
        <v>10802.707221197448</v>
      </c>
      <c r="AK29" s="36">
        <v>6.3773823120883505E-2</v>
      </c>
      <c r="AL29" s="35">
        <v>8117.2781338945533</v>
      </c>
      <c r="AM29" s="36">
        <v>9.8055011749130679E-3</v>
      </c>
      <c r="AN29" s="35">
        <v>4306.2765230457289</v>
      </c>
      <c r="AO29" s="36">
        <v>2.3121847840215596E-3</v>
      </c>
      <c r="AP29" s="35">
        <v>3460.8759384878558</v>
      </c>
      <c r="AQ29" s="36">
        <v>1.7436910851021787E-3</v>
      </c>
      <c r="AR29" s="35">
        <v>2602.9852281225908</v>
      </c>
      <c r="AS29" s="36">
        <v>1.2610969207433307E-3</v>
      </c>
      <c r="AT29" s="35">
        <v>1737.8554110423113</v>
      </c>
      <c r="AU29" s="36">
        <v>8.2504605590250763E-4</v>
      </c>
      <c r="AV29" s="35">
        <v>869.39611925884856</v>
      </c>
      <c r="AW29" s="36">
        <v>4.0965535542051461E-4</v>
      </c>
    </row>
    <row r="30" spans="1:49" x14ac:dyDescent="0.2">
      <c r="A30" t="s">
        <v>48</v>
      </c>
      <c r="B30" s="119">
        <v>2924829.9599999995</v>
      </c>
      <c r="D30" s="119">
        <v>3005397.1904630763</v>
      </c>
      <c r="F30" s="119">
        <v>3088888.6865393179</v>
      </c>
      <c r="H30" s="119">
        <v>3175776.823910486</v>
      </c>
      <c r="J30" s="119">
        <v>3266660.1454820707</v>
      </c>
      <c r="L30" s="119">
        <v>3362323.1005917531</v>
      </c>
      <c r="N30" s="119">
        <v>3463876.9065311947</v>
      </c>
      <c r="P30" s="119">
        <v>3572957.4523532749</v>
      </c>
      <c r="R30" s="119">
        <v>3692132.6728226212</v>
      </c>
      <c r="T30" s="119">
        <v>3825666.3814873593</v>
      </c>
      <c r="V30" s="119">
        <v>3981012.0598839531</v>
      </c>
      <c r="X30" s="119">
        <v>4171857.1788402339</v>
      </c>
      <c r="Z30" s="119">
        <v>4424354.298710607</v>
      </c>
      <c r="AB30" s="119">
        <v>4788621.6703389101</v>
      </c>
      <c r="AD30" s="119">
        <v>5350305.362153939</v>
      </c>
      <c r="AF30" s="119">
        <v>6204496.6902555041</v>
      </c>
      <c r="AH30" s="119">
        <v>7330910.8050451865</v>
      </c>
      <c r="AJ30" s="119">
        <v>8299693.2368032839</v>
      </c>
      <c r="AL30" s="119">
        <v>7816649.4530467866</v>
      </c>
      <c r="AN30" s="119">
        <v>4664154.2373148156</v>
      </c>
      <c r="AP30" s="119">
        <v>3783411.4894215069</v>
      </c>
      <c r="AR30" s="119">
        <v>2861846.8093651189</v>
      </c>
      <c r="AT30" s="119">
        <v>1916332.1573094081</v>
      </c>
      <c r="AV30" s="119">
        <v>959730.14618151903</v>
      </c>
    </row>
    <row r="31" spans="1:49" x14ac:dyDescent="0.2">
      <c r="A31" t="s">
        <v>47</v>
      </c>
      <c r="B31" s="80">
        <v>1</v>
      </c>
      <c r="D31" s="80">
        <v>0.99728288686722866</v>
      </c>
      <c r="F31" s="80">
        <v>0.99400272759990993</v>
      </c>
      <c r="H31" s="80">
        <v>0.99007417471509285</v>
      </c>
      <c r="J31" s="80">
        <v>0.98539251988136634</v>
      </c>
      <c r="L31" s="80">
        <v>0.97982638349876372</v>
      </c>
      <c r="N31" s="80">
        <v>0.97320848724349651</v>
      </c>
      <c r="P31" s="80">
        <v>0.96531902715671614</v>
      </c>
      <c r="R31" s="80">
        <v>0.95586005836370003</v>
      </c>
      <c r="T31" s="80">
        <v>0.94441278182441601</v>
      </c>
      <c r="V31" s="80">
        <v>0.93036134572419349</v>
      </c>
      <c r="X31" s="80">
        <v>0.91275360684296447</v>
      </c>
      <c r="Z31" s="80">
        <v>0.89003901365195914</v>
      </c>
      <c r="AB31" s="80">
        <v>0.85959706714730533</v>
      </c>
      <c r="AD31" s="80">
        <v>0.81707434388034417</v>
      </c>
      <c r="AF31" s="80">
        <v>0.75600939288132607</v>
      </c>
      <c r="AH31" s="80">
        <v>0.66820557797007707</v>
      </c>
      <c r="AJ31" s="80">
        <v>0.54522573626500459</v>
      </c>
      <c r="AL31" s="80">
        <v>0.38444638979397172</v>
      </c>
      <c r="AN31" s="80">
        <v>0.19684720232320518</v>
      </c>
      <c r="AP31" s="80">
        <v>0.15774975694803883</v>
      </c>
      <c r="AR31" s="80">
        <v>0.11843673533432175</v>
      </c>
      <c r="AT31" s="80">
        <v>7.9000550261762365E-2</v>
      </c>
      <c r="AV31" s="80">
        <v>3.9508157272747882E-2</v>
      </c>
    </row>
    <row r="32" spans="1:49" x14ac:dyDescent="0.2">
      <c r="A32" t="s">
        <v>64</v>
      </c>
      <c r="B32" s="86">
        <v>14734457.915000005</v>
      </c>
      <c r="D32" s="86">
        <v>14735145.99593666</v>
      </c>
      <c r="F32" s="86">
        <v>14731767.187173391</v>
      </c>
      <c r="H32" s="86">
        <v>14723521.016554343</v>
      </c>
      <c r="J32" s="86">
        <v>14709436.177592363</v>
      </c>
      <c r="L32" s="86">
        <v>14688341.581034014</v>
      </c>
      <c r="N32" s="86">
        <v>14658836.973740796</v>
      </c>
      <c r="P32" s="86">
        <v>14619276.452547008</v>
      </c>
      <c r="R32" s="86">
        <v>14567759.777189575</v>
      </c>
      <c r="T32" s="86">
        <v>14502168.093787322</v>
      </c>
      <c r="V32" s="86">
        <v>14420266.242262356</v>
      </c>
      <c r="X32" s="86">
        <v>14319921.447963666</v>
      </c>
      <c r="Z32" s="86">
        <v>14199304.950033411</v>
      </c>
      <c r="AB32" s="86">
        <v>14055508.12140291</v>
      </c>
      <c r="AD32" s="86">
        <v>13872727.51895198</v>
      </c>
      <c r="AF32" s="86">
        <v>13575927.072867163</v>
      </c>
      <c r="AH32" s="86">
        <v>12946892.012504159</v>
      </c>
      <c r="AJ32" s="86">
        <v>11559524.122440597</v>
      </c>
      <c r="AL32" s="86">
        <v>8858462.9943937231</v>
      </c>
      <c r="AN32" s="86">
        <v>4746759.6839537118</v>
      </c>
      <c r="AP32" s="86">
        <v>3817876.4377984977</v>
      </c>
      <c r="AR32" s="86">
        <v>2872875.9074588516</v>
      </c>
      <c r="AT32" s="86">
        <v>1918523.5399937832</v>
      </c>
      <c r="AV32" s="86">
        <v>959867.40433838323</v>
      </c>
    </row>
    <row r="33" spans="1:49 16319:16321" x14ac:dyDescent="0.2">
      <c r="A33" t="s">
        <v>54</v>
      </c>
      <c r="B33" s="117">
        <v>7019665.6909999885</v>
      </c>
      <c r="D33" s="117">
        <v>7019993.6834068168</v>
      </c>
      <c r="F33" s="117">
        <v>7018383.8105012458</v>
      </c>
      <c r="H33" s="117">
        <v>7014455.2431444442</v>
      </c>
      <c r="J33" s="117">
        <v>7007745.938268384</v>
      </c>
      <c r="L33" s="117">
        <v>6997695.3642576803</v>
      </c>
      <c r="N33" s="117">
        <v>6983639.0044859163</v>
      </c>
      <c r="P33" s="117">
        <v>6964792.235523086</v>
      </c>
      <c r="R33" s="117">
        <v>6940249.0530281169</v>
      </c>
      <c r="T33" s="117">
        <v>6909000.3017657408</v>
      </c>
      <c r="V33" s="117">
        <v>6869981.164490018</v>
      </c>
      <c r="X33" s="117">
        <v>6822175.7332020309</v>
      </c>
      <c r="Z33" s="117">
        <v>6764712.6390963616</v>
      </c>
      <c r="AB33" s="117">
        <v>6696206.2474078499</v>
      </c>
      <c r="AD33" s="117">
        <v>6609127.3911971711</v>
      </c>
      <c r="AF33" s="117">
        <v>6467728.2358909547</v>
      </c>
      <c r="AH33" s="117">
        <v>6168048.6781120934</v>
      </c>
      <c r="AJ33" s="117">
        <v>5507090.6140345298</v>
      </c>
      <c r="AL33" s="117">
        <v>4220273.9398637116</v>
      </c>
      <c r="AN33" s="117">
        <v>2261411.0603809152</v>
      </c>
      <c r="AP33" s="117">
        <v>1818880.3685503076</v>
      </c>
      <c r="AR33" s="117">
        <v>1368671.216699546</v>
      </c>
      <c r="AT33" s="117">
        <v>914006.74180105969</v>
      </c>
      <c r="AV33" s="117">
        <v>457291.90208521788</v>
      </c>
    </row>
    <row r="34" spans="1:49 16319:16321" x14ac:dyDescent="0.2">
      <c r="A34" t="s">
        <v>75</v>
      </c>
      <c r="B34" s="117">
        <v>1136879.4410000162</v>
      </c>
      <c r="D34" s="117">
        <v>1136932.3468565485</v>
      </c>
      <c r="F34" s="117">
        <v>1136671.8172649797</v>
      </c>
      <c r="H34" s="117">
        <v>1136035.5570445806</v>
      </c>
      <c r="J34" s="117">
        <v>1134947.9296095348</v>
      </c>
      <c r="L34" s="117">
        <v>1133321.1772132642</v>
      </c>
      <c r="N34" s="117">
        <v>1131044.6874615443</v>
      </c>
      <c r="P34" s="117">
        <v>1127991.9646961554</v>
      </c>
      <c r="R34" s="117">
        <v>1124017.0912372675</v>
      </c>
      <c r="T34" s="117">
        <v>1118956.2923515113</v>
      </c>
      <c r="V34" s="117">
        <v>1112637.0693008271</v>
      </c>
      <c r="X34" s="117">
        <v>1104894.6924001775</v>
      </c>
      <c r="Z34" s="117">
        <v>1095588.1832586539</v>
      </c>
      <c r="AB34" s="117">
        <v>1084493.0498427711</v>
      </c>
      <c r="AD34" s="117">
        <v>1070390.1563759623</v>
      </c>
      <c r="AF34" s="117">
        <v>1047489.6647180114</v>
      </c>
      <c r="AH34" s="117">
        <v>998954.657084618</v>
      </c>
      <c r="AJ34" s="117">
        <v>891908.30082509154</v>
      </c>
      <c r="AL34" s="117">
        <v>683500.16779348627</v>
      </c>
      <c r="AN34" s="117">
        <v>366249.88349985046</v>
      </c>
      <c r="AP34" s="117">
        <v>294579.22751913691</v>
      </c>
      <c r="AR34" s="117">
        <v>221664.99608045144</v>
      </c>
      <c r="AT34" s="117">
        <v>148029.19674680618</v>
      </c>
      <c r="AV34" s="117">
        <v>74061.327832428287</v>
      </c>
    </row>
    <row r="35" spans="1:49 16319:16321" x14ac:dyDescent="0.2">
      <c r="A35" t="s">
        <v>78</v>
      </c>
      <c r="B35" s="233">
        <v>1</v>
      </c>
      <c r="D35" s="233">
        <v>1.0027741806789534</v>
      </c>
      <c r="F35" s="233">
        <v>1.0058744280781837</v>
      </c>
      <c r="H35" s="233">
        <v>1.0093674427002814</v>
      </c>
      <c r="J35" s="233">
        <v>1.013341850780729</v>
      </c>
      <c r="L35" s="233">
        <v>1.0179192608863179</v>
      </c>
      <c r="N35" s="233">
        <v>1.0232726172277755</v>
      </c>
      <c r="P35" s="233">
        <v>1.0296571893620221</v>
      </c>
      <c r="R35" s="233">
        <v>1.0374658250947744</v>
      </c>
      <c r="T35" s="233">
        <v>1.0473310898534121</v>
      </c>
      <c r="V35" s="233">
        <v>1.0603244237809277</v>
      </c>
      <c r="X35" s="233">
        <v>1.0783655429428736</v>
      </c>
      <c r="Z35" s="233">
        <v>1.1050974555140833</v>
      </c>
      <c r="AB35" s="233">
        <v>1.1477106400511714</v>
      </c>
      <c r="AD35" s="233">
        <v>1.2199698473985205</v>
      </c>
      <c r="AF35" s="233">
        <v>1.3441414571624251</v>
      </c>
      <c r="AH35" s="233">
        <v>1.5468781937587834</v>
      </c>
      <c r="AJ35" s="233">
        <v>1.8408284610821257</v>
      </c>
      <c r="AL35" s="233">
        <v>2.1650134234826628</v>
      </c>
      <c r="AN35" s="233">
        <v>2.3631989677757144</v>
      </c>
      <c r="AP35" s="233">
        <v>2.3797559008485369</v>
      </c>
      <c r="AR35" s="233">
        <v>2.3900112353168907</v>
      </c>
      <c r="AT35" s="233">
        <v>2.3953415490714569</v>
      </c>
      <c r="AV35" s="233">
        <v>2.397316470278203</v>
      </c>
    </row>
    <row r="36" spans="1:49 16319:16321" x14ac:dyDescent="0.2">
      <c r="A36" t="s">
        <v>21</v>
      </c>
      <c r="B36" s="37">
        <v>0.47195767671988198</v>
      </c>
      <c r="C36" s="38">
        <v>0.31738834428178964</v>
      </c>
      <c r="D36" s="37">
        <v>0.47199267077786161</v>
      </c>
      <c r="E36" s="38">
        <v>0.32089323183026403</v>
      </c>
      <c r="F36" s="37">
        <v>0.47203059740661457</v>
      </c>
      <c r="G36" s="38">
        <v>0.32481400201954086</v>
      </c>
      <c r="H36" s="37">
        <v>0.4720720159418661</v>
      </c>
      <c r="I36" s="38">
        <v>0.32921939383152327</v>
      </c>
      <c r="J36" s="37">
        <v>0.47211759400638775</v>
      </c>
      <c r="K36" s="38">
        <v>0.33419438962925935</v>
      </c>
      <c r="L36" s="37">
        <v>0.47216814296906801</v>
      </c>
      <c r="M36" s="38">
        <v>0.33984615089805542</v>
      </c>
      <c r="N36" s="37">
        <v>0.47222455974094346</v>
      </c>
      <c r="O36" s="38">
        <v>0.34631395302917783</v>
      </c>
      <c r="P36" s="37">
        <v>0.47228783458141621</v>
      </c>
      <c r="Q36" s="38">
        <v>0.35378431570579133</v>
      </c>
      <c r="R36" s="37">
        <v>0.47235891991322193</v>
      </c>
      <c r="S36" s="38">
        <v>0.36251762044091895</v>
      </c>
      <c r="T36" s="37">
        <v>0.47243844947095659</v>
      </c>
      <c r="U36" s="38">
        <v>0.37289462013492569</v>
      </c>
      <c r="V36" s="37">
        <v>0.4725261253789515</v>
      </c>
      <c r="W36" s="38">
        <v>0.38550217162915162</v>
      </c>
      <c r="X36" s="37">
        <v>0.47261934195639799</v>
      </c>
      <c r="Y36" s="38">
        <v>0.40129712843755216</v>
      </c>
      <c r="Z36" s="37">
        <v>0.47271031540769903</v>
      </c>
      <c r="AA36" s="38">
        <v>0.4219232708367861</v>
      </c>
      <c r="AB36" s="37">
        <v>0.47278127525501212</v>
      </c>
      <c r="AC36" s="38">
        <v>0.45027262485169484</v>
      </c>
      <c r="AD36" s="37">
        <v>0.4728030072961697</v>
      </c>
      <c r="AE36" s="38">
        <v>0.49110519740286918</v>
      </c>
      <c r="AF36" s="37">
        <v>0.47275613727496896</v>
      </c>
      <c r="AG36" s="38">
        <v>0.55050074529830051</v>
      </c>
      <c r="AH36" s="37">
        <v>0.47266503203331328</v>
      </c>
      <c r="AI36" s="38">
        <v>0.63294024384798031</v>
      </c>
      <c r="AJ36" s="37">
        <v>0.47257642508845049</v>
      </c>
      <c r="AK36" s="38">
        <v>0.73548655311170053</v>
      </c>
      <c r="AL36" s="37">
        <v>0.47251864826099238</v>
      </c>
      <c r="AM36" s="38">
        <v>0.83498921126983272</v>
      </c>
      <c r="AN36" s="37">
        <v>0.47249499401805967</v>
      </c>
      <c r="AO36" s="38">
        <v>0.89115375767832905</v>
      </c>
      <c r="AP36" s="37">
        <v>0.47249329748198349</v>
      </c>
      <c r="AQ36" s="38">
        <v>0.89572565138403359</v>
      </c>
      <c r="AR36" s="37">
        <v>0.47249226602449446</v>
      </c>
      <c r="AS36" s="38">
        <v>0.89855136922117251</v>
      </c>
      <c r="AT36" s="37">
        <v>0.47249173599416477</v>
      </c>
      <c r="AU36" s="38">
        <v>0.9000193439311861</v>
      </c>
      <c r="AV36" s="37">
        <v>0.4724915404016905</v>
      </c>
      <c r="AW36" s="38">
        <v>0.9005637156839581</v>
      </c>
    </row>
    <row r="37" spans="1:49 16319:16321" x14ac:dyDescent="0.2">
      <c r="B37" s="39">
        <v>2.1403217525954466E-2</v>
      </c>
      <c r="C37" s="40">
        <v>0.34962461301992515</v>
      </c>
      <c r="D37" s="39">
        <v>2.0924929895070134E-2</v>
      </c>
      <c r="E37" s="40">
        <v>0.3458820713575983</v>
      </c>
      <c r="F37" s="39">
        <v>2.043391419258345E-2</v>
      </c>
      <c r="G37" s="40">
        <v>0.34204304372017846</v>
      </c>
      <c r="H37" s="39">
        <v>1.9929193161039051E-2</v>
      </c>
      <c r="I37" s="40">
        <v>0.33810542021738044</v>
      </c>
      <c r="J37" s="39">
        <v>1.9409556386816715E-2</v>
      </c>
      <c r="K37" s="40">
        <v>0.33406678686180125</v>
      </c>
      <c r="L37" s="39">
        <v>1.8873440171784401E-2</v>
      </c>
      <c r="M37" s="40">
        <v>0.32992390306444747</v>
      </c>
      <c r="N37" s="39">
        <v>1.8318676896505886E-2</v>
      </c>
      <c r="O37" s="40">
        <v>0.32567134011042437</v>
      </c>
      <c r="P37" s="39">
        <v>1.7742205629899081E-2</v>
      </c>
      <c r="Q37" s="40">
        <v>0.32130015513380744</v>
      </c>
      <c r="R37" s="39">
        <v>1.7139523677636746E-2</v>
      </c>
      <c r="S37" s="40">
        <v>0.31679516102130822</v>
      </c>
      <c r="T37" s="39">
        <v>1.6503859394926663E-2</v>
      </c>
      <c r="U37" s="40">
        <v>0.31213121260930554</v>
      </c>
      <c r="V37" s="39">
        <v>1.582485179617096E-2</v>
      </c>
      <c r="W37" s="40">
        <v>0.30726798730928528</v>
      </c>
      <c r="X37" s="39">
        <v>1.5086530602953903E-2</v>
      </c>
      <c r="Y37" s="40">
        <v>0.30214393141522072</v>
      </c>
      <c r="Z37" s="39">
        <v>1.4264759038800633E-2</v>
      </c>
      <c r="AA37" s="40">
        <v>0.29667464600997778</v>
      </c>
      <c r="AB37" s="39">
        <v>1.3326849785405994E-2</v>
      </c>
      <c r="AC37" s="40">
        <v>0.29077957879901578</v>
      </c>
      <c r="AD37" s="39">
        <v>1.2244903121392989E-2</v>
      </c>
      <c r="AE37" s="40">
        <v>0.28450362334423679</v>
      </c>
      <c r="AF37" s="39">
        <v>1.1037573292296991E-2</v>
      </c>
      <c r="AG37" s="40">
        <v>0.27824447970563831</v>
      </c>
      <c r="AH37" s="39">
        <v>9.799589694513406E-3</v>
      </c>
      <c r="AI37" s="40">
        <v>0.27271456926435556</v>
      </c>
      <c r="AJ37" s="39">
        <v>8.6780048683557272E-3</v>
      </c>
      <c r="AK37" s="40">
        <v>0.26851948828358485</v>
      </c>
      <c r="AL37" s="39">
        <v>7.8591151054060587E-3</v>
      </c>
      <c r="AM37" s="40">
        <v>0.26595677971224241</v>
      </c>
      <c r="AN37" s="39">
        <v>7.477100304733004E-3</v>
      </c>
      <c r="AO37" s="40">
        <v>0.26491320917081557</v>
      </c>
      <c r="AP37" s="39">
        <v>7.4481176828252761E-3</v>
      </c>
      <c r="AQ37" s="40">
        <v>0.26483890949105482</v>
      </c>
      <c r="AR37" s="39">
        <v>7.4303670582083299E-3</v>
      </c>
      <c r="AS37" s="40">
        <v>0.2647939878835836</v>
      </c>
      <c r="AT37" s="39">
        <v>7.4212008000356751E-3</v>
      </c>
      <c r="AU37" s="40">
        <v>0.2647710708541714</v>
      </c>
      <c r="AV37" s="39">
        <v>7.4178149296510801E-3</v>
      </c>
      <c r="AW37" s="40">
        <v>0.26476271147815961</v>
      </c>
    </row>
    <row r="38" spans="1:49 16319:16321" x14ac:dyDescent="0.2">
      <c r="A38" t="s">
        <v>22</v>
      </c>
      <c r="B38" s="37">
        <v>0.18079094942242827</v>
      </c>
      <c r="C38" s="38">
        <v>6.0565413429233668E-2</v>
      </c>
      <c r="D38" s="37">
        <v>0.18078798203984081</v>
      </c>
      <c r="E38" s="38">
        <v>6.0594910791639062E-2</v>
      </c>
      <c r="F38" s="37">
        <v>0.18080776558772199</v>
      </c>
      <c r="G38" s="38">
        <v>6.0638750506397242E-2</v>
      </c>
      <c r="H38" s="37">
        <v>0.18085467629070925</v>
      </c>
      <c r="I38" s="38">
        <v>6.0700212219420367E-2</v>
      </c>
      <c r="J38" s="37">
        <v>0.18093438969841311</v>
      </c>
      <c r="K38" s="38">
        <v>6.0783459562757165E-2</v>
      </c>
      <c r="L38" s="37">
        <v>0.18105445804564452</v>
      </c>
      <c r="M38" s="38">
        <v>6.0893849747172504E-2</v>
      </c>
      <c r="N38" s="37">
        <v>0.18122525920622429</v>
      </c>
      <c r="O38" s="38">
        <v>6.1038465098292458E-2</v>
      </c>
      <c r="P38" s="37">
        <v>0.18146153406814958</v>
      </c>
      <c r="Q38" s="38">
        <v>6.1226919969197505E-2</v>
      </c>
      <c r="R38" s="37">
        <v>0.18178512967619356</v>
      </c>
      <c r="S38" s="38">
        <v>6.147275536947356E-2</v>
      </c>
      <c r="T38" s="37">
        <v>0.1822300113311697</v>
      </c>
      <c r="U38" s="38">
        <v>6.1796000904957092E-2</v>
      </c>
      <c r="V38" s="37">
        <v>0.18285206258364839</v>
      </c>
      <c r="W38" s="38">
        <v>6.2227968637519837E-2</v>
      </c>
      <c r="X38" s="37">
        <v>0.18374949307263286</v>
      </c>
      <c r="Y38" s="38">
        <v>6.2820847868925847E-2</v>
      </c>
      <c r="Z38" s="37">
        <v>0.18510805219769583</v>
      </c>
      <c r="AA38" s="38">
        <v>6.3667470726390091E-2</v>
      </c>
      <c r="AB38" s="37">
        <v>0.18730446205556808</v>
      </c>
      <c r="AC38" s="38">
        <v>6.4941042865874737E-2</v>
      </c>
      <c r="AD38" s="37">
        <v>0.19113270158877038</v>
      </c>
      <c r="AE38" s="38">
        <v>6.6959944464208637E-2</v>
      </c>
      <c r="AF38" s="37">
        <v>0.19826348290705842</v>
      </c>
      <c r="AG38" s="38">
        <v>7.0249818482863283E-2</v>
      </c>
      <c r="AH38" s="37">
        <v>0.2124369943250117</v>
      </c>
      <c r="AI38" s="38">
        <v>7.5640190978258026E-2</v>
      </c>
      <c r="AJ38" s="37">
        <v>0.24364881723088297</v>
      </c>
      <c r="AK38" s="38">
        <v>8.475805584930203E-2</v>
      </c>
      <c r="AL38" s="37">
        <v>0.32429218965599965</v>
      </c>
      <c r="AM38" s="38">
        <v>0.10177133033256829</v>
      </c>
      <c r="AN38" s="37">
        <v>0.61131535396235692</v>
      </c>
      <c r="AO38" s="38">
        <v>0.14269296968361178</v>
      </c>
      <c r="AP38" s="37">
        <v>0.7606461006547206</v>
      </c>
      <c r="AQ38" s="38">
        <v>0.15943467071978604</v>
      </c>
      <c r="AR38" s="37">
        <v>1.0113415709541271</v>
      </c>
      <c r="AS38" s="38">
        <v>0.18402839491596243</v>
      </c>
      <c r="AT38" s="37">
        <v>1.5148037863652108</v>
      </c>
      <c r="AU38" s="38">
        <v>0.22534324895046745</v>
      </c>
      <c r="AV38" s="37">
        <v>3.0279765034894708</v>
      </c>
      <c r="AW38" s="38">
        <v>0.31866032417449508</v>
      </c>
    </row>
    <row r="39" spans="1:49 16319:16321" x14ac:dyDescent="0.2">
      <c r="A39" t="s">
        <v>23</v>
      </c>
      <c r="B39" s="39">
        <v>0.23064923795098646</v>
      </c>
      <c r="C39" s="40">
        <v>0.22092201281804777</v>
      </c>
      <c r="D39" s="39">
        <v>0.23112315144943968</v>
      </c>
      <c r="E39" s="40">
        <v>0.22125838294510455</v>
      </c>
      <c r="F39" s="39">
        <v>0.23162856129074605</v>
      </c>
      <c r="G39" s="40">
        <v>0.22164829434981106</v>
      </c>
      <c r="H39" s="39">
        <v>0.23217143266760162</v>
      </c>
      <c r="I39" s="40">
        <v>0.22210399016266533</v>
      </c>
      <c r="J39" s="39">
        <v>0.23275934781241284</v>
      </c>
      <c r="K39" s="40">
        <v>0.22264093876523605</v>
      </c>
      <c r="L39" s="39">
        <v>0.23340210087467794</v>
      </c>
      <c r="M39" s="40">
        <v>0.22327896961493929</v>
      </c>
      <c r="N39" s="39">
        <v>0.23411282311876142</v>
      </c>
      <c r="O39" s="40">
        <v>0.22404408706588705</v>
      </c>
      <c r="P39" s="39">
        <v>0.23490964296827088</v>
      </c>
      <c r="Q39" s="40">
        <v>0.22497132197481637</v>
      </c>
      <c r="R39" s="39">
        <v>0.23581881426727286</v>
      </c>
      <c r="S39" s="40">
        <v>0.22610977745608993</v>
      </c>
      <c r="T39" s="39">
        <v>0.23688054087810764</v>
      </c>
      <c r="U39" s="40">
        <v>0.22753160662341054</v>
      </c>
      <c r="V39" s="39">
        <v>0.23816056785345285</v>
      </c>
      <c r="W39" s="40">
        <v>0.22934921958449753</v>
      </c>
      <c r="X39" s="39">
        <v>0.23977494692499496</v>
      </c>
      <c r="Y39" s="40">
        <v>0.23174974966084386</v>
      </c>
      <c r="Z39" s="39">
        <v>0.24194647234918132</v>
      </c>
      <c r="AA39" s="40">
        <v>0.23506678974232034</v>
      </c>
      <c r="AB39" s="39">
        <v>0.24513842192724247</v>
      </c>
      <c r="AC39" s="40">
        <v>0.23992609819046012</v>
      </c>
      <c r="AD39" s="39">
        <v>0.2503596481902769</v>
      </c>
      <c r="AE39" s="40">
        <v>0.24748928477456358</v>
      </c>
      <c r="AF39" s="39">
        <v>0.2597983031990081</v>
      </c>
      <c r="AG39" s="40">
        <v>0.25969801373526619</v>
      </c>
      <c r="AH39" s="39">
        <v>0.27840051007448557</v>
      </c>
      <c r="AI39" s="40">
        <v>0.27963991399240823</v>
      </c>
      <c r="AJ39" s="39">
        <v>0.31931014595139595</v>
      </c>
      <c r="AK39" s="40">
        <v>0.3133515193579407</v>
      </c>
      <c r="AL39" s="39">
        <v>0.42499725811372618</v>
      </c>
      <c r="AM39" s="40">
        <v>0.376250294443364</v>
      </c>
      <c r="AN39" s="39">
        <v>0.80115203949604874</v>
      </c>
      <c r="AO39" s="40">
        <v>0.52753839678948455</v>
      </c>
      <c r="AP39" s="39">
        <v>0.99685621923123713</v>
      </c>
      <c r="AQ39" s="40">
        <v>0.58943285141234703</v>
      </c>
      <c r="AR39" s="39">
        <v>1.3254031510025481</v>
      </c>
      <c r="AS39" s="40">
        <v>0.68035642557466114</v>
      </c>
      <c r="AT39" s="39">
        <v>1.9852080726529631</v>
      </c>
      <c r="AU39" s="40">
        <v>0.83309792292968676</v>
      </c>
      <c r="AV39" s="39">
        <v>3.9682786595208492</v>
      </c>
      <c r="AW39" s="40">
        <v>1.1780927936450816</v>
      </c>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0.10800000000000021</v>
      </c>
      <c r="E42" s="135"/>
      <c r="F42" s="177">
        <f>10.8%+(1-10.8%)*(1-SUM(F26:G26)/SUM($B$26:$C$26))</f>
        <v>0.10799999999999982</v>
      </c>
      <c r="G42" s="135"/>
      <c r="H42" s="177">
        <f>10.8%+(1-10.8%)*(1-SUM(H26:I26)/SUM($B$26:$C$26))</f>
        <v>0.1080000000000008</v>
      </c>
      <c r="I42" s="135"/>
      <c r="J42" s="177">
        <f>10.8%+(1-10.8%)*(1-SUM(J26:K26)/SUM($B$26:$C$26))</f>
        <v>0.10800000000000001</v>
      </c>
      <c r="K42" s="135"/>
      <c r="L42" s="177">
        <f>10.8%+(1-10.8%)*(1-SUM(L26:M26)/SUM($B$26:$C$26))</f>
        <v>0.10799999999999982</v>
      </c>
      <c r="M42" s="135"/>
      <c r="N42" s="177">
        <f>10.8%+(1-10.8%)*(1-SUM(N26:O26)/SUM($B$26:$C$26))</f>
        <v>0.10800000000000051</v>
      </c>
      <c r="O42" s="135"/>
      <c r="P42" s="177">
        <f>10.8%+(1-10.8%)*(1-SUM(P26:Q26)/SUM($B$26:$C$26))</f>
        <v>0.10799999999999961</v>
      </c>
      <c r="Q42" s="135"/>
      <c r="R42" s="177">
        <f>10.8%+(1-10.8%)*(1-SUM(R26:S26)/SUM($B$26:$C$26))</f>
        <v>0.10800000000000051</v>
      </c>
      <c r="S42" s="135"/>
      <c r="T42" s="177">
        <f>10.8%+(1-10.8%)*(1-SUM(T26:U26)/SUM($B$26:$C$26))</f>
        <v>0.108000000000001</v>
      </c>
      <c r="U42" s="135"/>
      <c r="V42" s="177">
        <f>10.8%+(1-10.8%)*(1-SUM(V26:W26)/SUM($B$26:$C$26))</f>
        <v>0.1080000000000003</v>
      </c>
      <c r="W42" s="135"/>
      <c r="X42" s="177">
        <f>10.8%+(1-10.8%)*(1-SUM(X26:Y26)/SUM($B$26:$C$26))</f>
        <v>0.10799999999999961</v>
      </c>
      <c r="Y42" s="162"/>
      <c r="Z42" s="177">
        <f>10.8%+(1-10.8%)*(1-SUM(Z26:AA26)/SUM($B$26:$C$26))</f>
        <v>0.10800000000000051</v>
      </c>
      <c r="AA42" s="135"/>
      <c r="AB42" s="177">
        <f>10.8%+(1-10.8%)*(1-SUM(AB26:AC26)/SUM($B$26:$C$26))</f>
        <v>0.10800000000000061</v>
      </c>
      <c r="AC42" s="135"/>
      <c r="AD42" s="177">
        <f>10.8%+(1-10.8%)*(1-SUM(AD26:AE26)/SUM($B$26:$C$26))</f>
        <v>0.10800000000000021</v>
      </c>
      <c r="AE42" s="135"/>
      <c r="AF42" s="177">
        <f>10.8%+(1-10.8%)*(1-SUM(AF26:AG26)/SUM($B$26:$C$26))</f>
        <v>0.10800000000000001</v>
      </c>
      <c r="AG42" s="135"/>
      <c r="AH42" s="177">
        <f>10.8%+(1-10.8%)*(1-SUM(AH26:AI26)/SUM($B$26:$C$26))</f>
        <v>0.10799999999999942</v>
      </c>
      <c r="AI42" s="135"/>
      <c r="AJ42" s="177">
        <f>10.8%+(1-10.8%)*(1-SUM(AJ26:AK26)/SUM($B$26:$C$26))</f>
        <v>0.10800000000000021</v>
      </c>
      <c r="AK42" s="135"/>
      <c r="AL42" s="177">
        <f>10.8%+(1-10.8%)*(1-SUM(AL26:AM26)/SUM($B$26:$C$26))</f>
        <v>0.10799999999999961</v>
      </c>
      <c r="AM42" s="135"/>
      <c r="AN42" s="177">
        <f>10.8%+(1-10.8%)*(1-SUM(AN26:AO26)/SUM($B$26:$C$26))</f>
        <v>0.10800000000000051</v>
      </c>
      <c r="AO42" s="135"/>
      <c r="AP42" s="177">
        <f>10.8%+(1-10.8%)*(1-SUM(AP26:AQ26)/SUM($B$26:$C$26))</f>
        <v>0.10799999999999961</v>
      </c>
      <c r="AQ42" s="135"/>
      <c r="AR42" s="177">
        <f>10.8%+(1-10.8%)*(1-SUM(AR26:AS26)/SUM($B$26:$C$26))</f>
        <v>0.10800000000000001</v>
      </c>
      <c r="AS42" s="135"/>
      <c r="AT42" s="177">
        <f>10.8%+(1-10.8%)*(1-SUM(AT26:AU26)/SUM($B$26:$C$26))</f>
        <v>0.10800000000000051</v>
      </c>
      <c r="AU42" s="135"/>
      <c r="AV42" s="177">
        <f>10.8%+(1-10.8%)*(1-SUM(AV26:AW26)/SUM($B$26:$C$26))</f>
        <v>0.10799999999999961</v>
      </c>
    </row>
    <row r="43" spans="1:49 16319:16321" x14ac:dyDescent="0.2">
      <c r="A43" t="s">
        <v>108</v>
      </c>
      <c r="B43" s="162">
        <f>SUM(B15:C15*B27:C27)/SUM(B15:C15*B27:C27,B13:C13*B26:C26)</f>
        <v>0.56058995943839085</v>
      </c>
      <c r="C43" s="135"/>
      <c r="D43" s="162">
        <f t="array" ref="D43">SUM(D15:E15*D27:E27)/SUM(D15:E15*D27:E27,D13:E13*D26:E26)</f>
        <v>0.56550673656444395</v>
      </c>
      <c r="E43" s="135"/>
      <c r="F43" s="162">
        <f t="array" ref="F43">SUM(F15:G15*F27:G27)/SUM(F15:G15*F27:G27,F13:G13*F26:G26)</f>
        <v>0.56380653255486457</v>
      </c>
      <c r="G43" s="135"/>
      <c r="H43" s="162">
        <f t="array" ref="H43">SUM(H15:I15*H27:I27)/SUM(H15:I15*H27:I27,H13:I13*H26:I26)</f>
        <v>0.56209940221526034</v>
      </c>
      <c r="I43" s="135"/>
      <c r="J43" s="162">
        <f t="array" ref="J43">SUM(J15:K15*J27:K27)/SUM(J15:K15*J27:K27,J13:K13*J26:K26)</f>
        <v>0.56038518928989001</v>
      </c>
      <c r="K43" s="135"/>
      <c r="L43" s="162">
        <f t="array" ref="L43">SUM(L15:M15*L27:M27)/SUM(L15:M15*L27:M27,L13:M13*L26:M26)</f>
        <v>0.55866471246504257</v>
      </c>
      <c r="M43" s="135"/>
      <c r="N43" s="162">
        <f t="array" ref="N43">SUM(N15:O15*N27:O27)/SUM(N15:O15*N27:O27,N13:O13*N26:O26)</f>
        <v>0.55694015474795278</v>
      </c>
      <c r="O43" s="135"/>
      <c r="P43" s="162">
        <f t="array" ref="P43">SUM(P15:Q15*P27:Q27)/SUM(P15:Q15*P27:Q27,P13:Q13*P26:Q26)</f>
        <v>0.55521638127904993</v>
      </c>
      <c r="Q43" s="135"/>
      <c r="R43" s="162">
        <f t="array" ref="R43">SUM(R15:S15*R27:S27)/SUM(R15:S15*R27:S27,R13:S13*R26:S26)</f>
        <v>0.55350259389976841</v>
      </c>
      <c r="S43" s="135"/>
      <c r="T43" s="162">
        <f t="array" ref="T43">SUM(T15:U15*T27:U27)/SUM(T15:U15*T27:U27,T13:U13*T26:U26)</f>
        <v>0.55181495147092607</v>
      </c>
      <c r="U43" s="135"/>
      <c r="V43" s="162">
        <f t="array" ref="V43">SUM(V15:W15*V27:W27)/SUM(V15:W15*V27:W27,V13:W13*V26:W26)</f>
        <v>0.55018096746489953</v>
      </c>
      <c r="W43" s="135"/>
      <c r="X43" s="162">
        <f t="array" ref="X43">SUM(X15:Y15*X27:Y27)/SUM(X15:Y15*X27:Y27,X13:Y13*X26:Y26)</f>
        <v>0.54864634962709113</v>
      </c>
      <c r="Y43" s="135"/>
      <c r="Z43" s="162">
        <f t="array" ref="Z43">SUM(Z15:AA15*Z27:AA27)/SUM(Z15:AA15*Z27:AA27,Z13:AA13*Z26:AA26)</f>
        <v>0.54728449170557714</v>
      </c>
      <c r="AA43" s="135"/>
      <c r="AB43" s="162">
        <f t="array" ref="AB43">SUM(AB15:AC15*AB27:AC27)/SUM(AB15:AC15*AB27:AC27,AB13:AC13*AB26:AC26)</f>
        <v>0.54620169250423378</v>
      </c>
      <c r="AC43" s="135"/>
      <c r="AD43" s="162">
        <f t="array" ref="AD43">SUM(AD15:AE15*AD27:AE27)/SUM(AD15:AE15*AD27:AE27,AD13:AE13*AD26:AE26)</f>
        <v>0.54550517598352921</v>
      </c>
      <c r="AE43" s="135"/>
      <c r="AF43" s="162">
        <f t="array" ref="AF43">SUM(AF15:AG15*AF27:AG27)/SUM(AF15:AG15*AF27:AG27,AF13:AG13*AF26:AG26)</f>
        <v>0.54519261198161784</v>
      </c>
      <c r="AG43" s="135"/>
      <c r="AH43" s="162">
        <f t="array" ref="AH43">SUM(AH15:AI15*AH27:AI27)/SUM(AH15:AI15*AH27:AI27,AH13:AI13*AH26:AI26)</f>
        <v>0.54510449610344169</v>
      </c>
      <c r="AI43" s="135"/>
      <c r="AJ43" s="162">
        <f t="array" ref="AJ43">SUM(AJ15:AK15*AJ27:AK27)/SUM(AJ15:AK15*AJ27:AK27,AJ13:AK13*AJ26:AK26)</f>
        <v>0.54508825727001309</v>
      </c>
      <c r="AK43" s="135"/>
      <c r="AL43" s="162">
        <f t="array" ref="AL43">SUM(AL15:AM15*AL27:AM27)/SUM(AL15:AM15*AL27:AM27,AL13:AM13*AL26:AM26)</f>
        <v>0.54508592090981345</v>
      </c>
      <c r="AM43" s="135"/>
      <c r="AN43" s="162">
        <f t="array" ref="AN43">SUM(AN15:AO15*AN27:AO27)/SUM(AN15:AO15*AN27:AO27,AN13:AO13*AN26:AO26)</f>
        <v>0.54508545644188644</v>
      </c>
      <c r="AO43" s="135"/>
      <c r="AP43" s="162">
        <f t="array" ref="AP43">SUM(AP15:AQ15*AP27:AQ27)/SUM(AP15:AQ15*AP27:AQ27,AP13:AQ13*AP26:AQ26)</f>
        <v>0.54508555765091349</v>
      </c>
      <c r="AQ43" s="135"/>
      <c r="AR43" s="162">
        <f t="array" ref="AR43">SUM(AR15:AS15*AR27:AS27)/SUM(AR15:AS15*AR27:AS27,AR13:AS13*AR26:AS26)</f>
        <v>0.54508567428949517</v>
      </c>
      <c r="AS43" s="135"/>
      <c r="AT43" s="162">
        <f t="array" ref="AT43">SUM(AT15:AU15*AT27:AU27)/SUM(AT15:AU15*AT27:AU27,AT13:AU13*AT26:AU26)</f>
        <v>0.54508536247046058</v>
      </c>
      <c r="AU43" s="135"/>
      <c r="AV43" s="162">
        <f t="array" ref="AV43">SUM(AV15:AW15*AV27:AW27)/SUM(AV15:AW15*AV27:AW27,AV13:AW13*AV26:AW26)</f>
        <v>0.54508532967454837</v>
      </c>
    </row>
    <row r="44" spans="1:49 16319:16321" x14ac:dyDescent="0.2">
      <c r="A44" t="s">
        <v>142</v>
      </c>
      <c r="B44" s="193">
        <f>(SUM(B11:C11*B24:C24)+B34)/B32</f>
        <v>0.29754226190682465</v>
      </c>
      <c r="D44" s="193">
        <f>(SUM(D11:E11*D24:E24)+D34)/D32</f>
        <v>0.29754224950704217</v>
      </c>
      <c r="F44" s="193">
        <f>(SUM(F11:G11*F24:G24)+F34)/F32</f>
        <v>0.29754226100595216</v>
      </c>
      <c r="H44" s="193">
        <f>(SUM(H11:I11*H24:I24)+H34)/H32</f>
        <v>0.29754226077224533</v>
      </c>
      <c r="J44" s="193">
        <f>(SUM(J11:K11*J24:K24)+J34)/J32</f>
        <v>0.2975422012955059</v>
      </c>
      <c r="L44" s="193">
        <f>(SUM(L11:M11*L24:M24)+L34)/L32</f>
        <v>0.29754226009292656</v>
      </c>
      <c r="N44" s="193">
        <f>(SUM(N11:O11*N24:O24)+N34)/N32</f>
        <v>0.29754226176505932</v>
      </c>
      <c r="P44" s="193">
        <f>(SUM(P11:Q11*P24:Q24)+P34)/P32</f>
        <v>0.29754223990269774</v>
      </c>
      <c r="R44" s="193">
        <f>(SUM(R11:S11*R24:S24)+R34)/R32</f>
        <v>0.29754224285799447</v>
      </c>
      <c r="T44" s="193">
        <f>(SUM(T11:U11*T24:U24)+T34)/T32</f>
        <v>0.29754225082483987</v>
      </c>
      <c r="V44" s="193">
        <f>(SUM(V11:W11*V24:W24)+V34)/V32</f>
        <v>0.29754226120496952</v>
      </c>
      <c r="X44" s="193">
        <f>(SUM(X11:Y11*X24:Y24)+X34)/X32</f>
        <v>0.29754226217453456</v>
      </c>
      <c r="Z44" s="193">
        <f>(SUM(Z11:AA11*Z24:AA24)+Z34)/Z32</f>
        <v>0.29754226241328846</v>
      </c>
      <c r="AB44" s="193">
        <f>(SUM(AB11:AC11*AB24:AC24)+AB34)/AB32</f>
        <v>0.29754225701447345</v>
      </c>
      <c r="AD44" s="193">
        <f>(SUM(AD11:AE11*AD24:AE24)+AD34)/AD32</f>
        <v>0.29754226193084587</v>
      </c>
      <c r="AF44" s="193">
        <f>(SUM(AF11:AG11*AF24:AG24)+AF34)/AF32</f>
        <v>0.29754226190448013</v>
      </c>
      <c r="AH44" s="193">
        <f>(SUM(AH11:AI11*AH24:AI24)+AH34)/AH32</f>
        <v>0.29754226190652688</v>
      </c>
      <c r="AJ44" s="193">
        <f>(SUM(AJ11:AK11*AJ24:AK24)+AJ34)/AJ32</f>
        <v>0.29754226190682281</v>
      </c>
      <c r="AL44" s="193">
        <f>(SUM(AL11:AM11*AL24:AM24)+AL34)/AL32</f>
        <v>0.29754226190717331</v>
      </c>
      <c r="AN44" s="193">
        <f>(SUM(AN11:AO11*AN24:AO24)+AN34)/AN32</f>
        <v>0.29754226189501021</v>
      </c>
      <c r="AP44" s="193">
        <f>(SUM(AP11:AQ11*AP24:AQ24)+AP34)/AP32</f>
        <v>0.29754226190801858</v>
      </c>
      <c r="AR44" s="193">
        <f>(SUM(AR11:AS11*AR24:AS24)+AR34)/AR32</f>
        <v>0.29754226191055833</v>
      </c>
      <c r="AT44" s="193">
        <f>(SUM(AT11:AU11*AT24:AU24)+AT34)/AT32</f>
        <v>0.29754226190598321</v>
      </c>
      <c r="AV44" s="193">
        <f>(SUM(AV11:AW11*AV24:AW24)+AV34)/AV32</f>
        <v>0.29754226190671273</v>
      </c>
    </row>
    <row r="45" spans="1:49 16319:16321" x14ac:dyDescent="0.2">
      <c r="A45" t="s">
        <v>82</v>
      </c>
      <c r="B45" s="193">
        <f>SUM(B11:C11*B24:C24)/B32</f>
        <v>0.22038438833194082</v>
      </c>
      <c r="D45" s="193">
        <f>SUM(D11:E11*D24:E24)/D32</f>
        <v>0.22038438848754044</v>
      </c>
      <c r="F45" s="193">
        <f>SUM(F11:G11*F24:G24)/F32</f>
        <v>0.22038438830656187</v>
      </c>
      <c r="H45" s="193">
        <f>SUM(H11:I11*H24:I24)/H32</f>
        <v>0.22038438829274248</v>
      </c>
      <c r="J45" s="193">
        <f>SUM(J11:K11*J24:K24)/J32</f>
        <v>0.2203843880450933</v>
      </c>
      <c r="L45" s="193">
        <f>SUM(L11:M11*L24:M24)/L32</f>
        <v>0.22038438825553416</v>
      </c>
      <c r="N45" s="193">
        <f>SUM(N11:O11*N24:O24)/N32</f>
        <v>0.22038438836162022</v>
      </c>
      <c r="P45" s="193">
        <f>SUM(P11:Q11*P24:Q24)/P32</f>
        <v>0.22038438818838574</v>
      </c>
      <c r="R45" s="193">
        <f>SUM(R11:S11*R24:S24)/R32</f>
        <v>0.22038438822359341</v>
      </c>
      <c r="T45" s="193">
        <f>SUM(T11:U11*T24:U24)/T32</f>
        <v>0.22038438828214404</v>
      </c>
      <c r="V45" s="193">
        <f>SUM(V11:W11*V24:W24)/V32</f>
        <v>0.22038438834684204</v>
      </c>
      <c r="X45" s="193">
        <f>SUM(X11:Y11*X24:Y24)/X32</f>
        <v>0.22038438834015703</v>
      </c>
      <c r="Z45" s="193">
        <f>SUM(Z11:AA11*Z24:AA24)/Z32</f>
        <v>0.220384388340299</v>
      </c>
      <c r="AB45" s="193">
        <f>SUM(AB11:AC11*AB24:AC24)/AB32</f>
        <v>0.22038438833583293</v>
      </c>
      <c r="AD45" s="193">
        <f>SUM(AD11:AE11*AD24:AE24)/AD32</f>
        <v>0.22038438833218493</v>
      </c>
      <c r="AF45" s="193">
        <f>SUM(AF11:AG11*AF24:AG24)/AF32</f>
        <v>0.22038438833196194</v>
      </c>
      <c r="AH45" s="193">
        <f>SUM(AH11:AI11*AH24:AI24)/AH32</f>
        <v>0.22038438833194046</v>
      </c>
      <c r="AJ45" s="193">
        <f>SUM(AJ11:AK11*AJ24:AK24)/AJ32</f>
        <v>0.22038438833193896</v>
      </c>
      <c r="AL45" s="193">
        <f>SUM(AL11:AM11*AL24:AM24)/AL32</f>
        <v>0.22038438833180765</v>
      </c>
      <c r="AN45" s="193">
        <f>SUM(AN11:AO11*AN24:AO24)/AN32</f>
        <v>0.22038438833803448</v>
      </c>
      <c r="AP45" s="193">
        <f>SUM(AP11:AQ11*AP24:AQ24)/AP32</f>
        <v>0.22038438833131366</v>
      </c>
      <c r="AR45" s="193">
        <f>SUM(AR11:AS11*AR24:AS24)/AR32</f>
        <v>0.22038438832996185</v>
      </c>
      <c r="AT45" s="193">
        <f>SUM(AT11:AU11*AT24:AU24)/AT32</f>
        <v>0.22038438833238827</v>
      </c>
      <c r="AV45" s="193">
        <f>SUM(AV11:AW11*AV24:AW24)/AV32</f>
        <v>0.22038438833200036</v>
      </c>
      <c r="XCQ45" s="193"/>
    </row>
    <row r="46" spans="1:49 16319:16321" x14ac:dyDescent="0.2">
      <c r="A46" t="s">
        <v>139</v>
      </c>
      <c r="B46" s="193">
        <f>B34/B32</f>
        <v>7.7157873574883795E-2</v>
      </c>
      <c r="D46" s="193">
        <f>D34/D32</f>
        <v>7.7157861019501742E-2</v>
      </c>
      <c r="F46" s="193">
        <f>F34/F32</f>
        <v>7.7157872699390312E-2</v>
      </c>
      <c r="H46" s="193">
        <f>H34/H32</f>
        <v>7.7157872479502884E-2</v>
      </c>
      <c r="J46" s="193">
        <f>J34/J32</f>
        <v>7.7157813250412613E-2</v>
      </c>
      <c r="L46" s="193">
        <f>L34/L32</f>
        <v>7.7157871837392408E-2</v>
      </c>
      <c r="N46" s="193">
        <f>N34/N32</f>
        <v>7.7157873403439076E-2</v>
      </c>
      <c r="P46" s="193">
        <f>P34/P32</f>
        <v>7.7157851714312012E-2</v>
      </c>
      <c r="R46" s="193">
        <f>R34/R32</f>
        <v>7.715785463440103E-2</v>
      </c>
      <c r="T46" s="193">
        <f>T34/T32</f>
        <v>7.7157862542695826E-2</v>
      </c>
      <c r="V46" s="193">
        <f>V34/V32</f>
        <v>7.7157872858127516E-2</v>
      </c>
      <c r="X46" s="193">
        <f>X34/X32</f>
        <v>7.7157873834377541E-2</v>
      </c>
      <c r="Z46" s="193">
        <f>Z34/Z32</f>
        <v>7.7157874072989463E-2</v>
      </c>
      <c r="AB46" s="193">
        <f>AB34/AB32</f>
        <v>7.7157868678640523E-2</v>
      </c>
      <c r="AD46" s="193">
        <f>AD34/AD32</f>
        <v>7.7157873598660956E-2</v>
      </c>
      <c r="AF46" s="193">
        <f>AF34/AF32</f>
        <v>7.7157873572518187E-2</v>
      </c>
      <c r="AH46" s="193">
        <f>AH34/AH32</f>
        <v>7.7157873574586366E-2</v>
      </c>
      <c r="AJ46" s="193">
        <f>AJ34/AJ32</f>
        <v>7.7157873574883837E-2</v>
      </c>
      <c r="AL46" s="193">
        <f>AL34/AL32</f>
        <v>7.7157873575365687E-2</v>
      </c>
      <c r="AN46" s="193">
        <f>AN34/AN32</f>
        <v>7.7157873556975703E-2</v>
      </c>
      <c r="AP46" s="193">
        <f>AP34/AP32</f>
        <v>7.7157873576704894E-2</v>
      </c>
      <c r="AR46" s="193">
        <f>AR34/AR32</f>
        <v>7.7157873580596475E-2</v>
      </c>
      <c r="AT46" s="193">
        <f>AT34/AT32</f>
        <v>7.7157873573594965E-2</v>
      </c>
      <c r="AV46" s="193">
        <f>AV34/AV32</f>
        <v>7.7157873574712363E-2</v>
      </c>
      <c r="XCS46" s="193"/>
    </row>
    <row r="48" spans="1:49 16319:16321" x14ac:dyDescent="0.2">
      <c r="A48" t="s">
        <v>159</v>
      </c>
      <c r="B48" s="191">
        <f>B24/$B$24</f>
        <v>1</v>
      </c>
      <c r="C48" s="191"/>
      <c r="D48" s="191">
        <f>D24/$B$24</f>
        <v>1.0022813621927149</v>
      </c>
      <c r="E48" s="191"/>
      <c r="F48" s="191">
        <f>F24/$B$24</f>
        <v>1.0044290434540146</v>
      </c>
      <c r="G48" s="191"/>
      <c r="H48" s="191">
        <f>H24/$B$24</f>
        <v>1.0064125964790829</v>
      </c>
      <c r="I48" s="191"/>
      <c r="J48" s="191">
        <f>J24/$B$24</f>
        <v>1.0081932666413136</v>
      </c>
      <c r="K48" s="191"/>
      <c r="L48" s="191">
        <f>L24/$B$24</f>
        <v>1.0097211033116609</v>
      </c>
      <c r="M48" s="191"/>
      <c r="N48" s="191">
        <f>N24/$B$24</f>
        <v>1.0109315631897962</v>
      </c>
      <c r="O48" s="191"/>
      <c r="P48" s="191">
        <f>P24/$B$24</f>
        <v>1.0117401072726571</v>
      </c>
      <c r="Q48" s="191"/>
      <c r="R48" s="191">
        <f>R24/$B$24</f>
        <v>1.0120342631822996</v>
      </c>
      <c r="S48" s="191"/>
      <c r="T48" s="191">
        <f>T24/$B$24</f>
        <v>1.0116612933448337</v>
      </c>
      <c r="U48" s="191"/>
      <c r="V48" s="191">
        <f>V24/$B$24</f>
        <v>1.0104062155089391</v>
      </c>
      <c r="W48" s="191"/>
      <c r="X48" s="191">
        <f>X24/$B$24</f>
        <v>1.0079488452112608</v>
      </c>
      <c r="Y48" s="191"/>
      <c r="Z48" s="191">
        <f>Z24/$B$24</f>
        <v>1.0037644931981966</v>
      </c>
      <c r="AA48" s="191"/>
      <c r="AB48" s="191">
        <f>AB24/$B$24</f>
        <v>0.99684819472528663</v>
      </c>
      <c r="AC48" s="191"/>
      <c r="AD48" s="191">
        <f>AD24/$B$24</f>
        <v>0.9848546820360925</v>
      </c>
      <c r="AE48" s="191"/>
      <c r="AF48" s="191">
        <f>AF24/$B$24</f>
        <v>0.96173060677270394</v>
      </c>
      <c r="AG48" s="191"/>
      <c r="AH48" s="191">
        <f>AH24/$B$24</f>
        <v>0.91328888831211175</v>
      </c>
      <c r="AI48" s="191"/>
      <c r="AJ48" s="191">
        <f>AJ24/$B$24</f>
        <v>0.81196373179950232</v>
      </c>
      <c r="AK48" s="191"/>
      <c r="AL48" s="191">
        <f>AL24/$B$24</f>
        <v>0.6204685658628778</v>
      </c>
      <c r="AM48" s="191"/>
      <c r="AN48" s="191">
        <f>AN24/$B$24</f>
        <v>0.33208197336480416</v>
      </c>
      <c r="AO48" s="191"/>
      <c r="AP48" s="191">
        <f>AP24/$B$24</f>
        <v>0.26707482544944117</v>
      </c>
      <c r="AQ48" s="191"/>
      <c r="AR48" s="191">
        <f>AR24/$B$24</f>
        <v>0.2009580713196655</v>
      </c>
      <c r="AS48" s="191"/>
      <c r="AT48" s="191">
        <f>AT24/$B$24</f>
        <v>0.13419741341850475</v>
      </c>
      <c r="AU48" s="191"/>
      <c r="AV48" s="191">
        <f>AV24/$B$24</f>
        <v>6.7140410029072256E-2</v>
      </c>
    </row>
    <row r="49" spans="1:48 16321:16384" x14ac:dyDescent="0.2">
      <c r="A49" t="s">
        <v>160</v>
      </c>
      <c r="B49" s="191">
        <f>B13/B35/$B$13*$B$35</f>
        <v>1</v>
      </c>
      <c r="C49" s="191"/>
      <c r="D49" s="191">
        <f>D13/D35/$B$13*$B$35</f>
        <v>0.99436471157456097</v>
      </c>
      <c r="E49" s="191"/>
      <c r="F49" s="191">
        <f>F13/F35/$B$13*$B$35</f>
        <v>0.9878086492271676</v>
      </c>
      <c r="G49" s="191"/>
      <c r="H49" s="191">
        <f>H13/H35/$B$13*$B$35</f>
        <v>0.98016788594706106</v>
      </c>
      <c r="I49" s="191"/>
      <c r="J49" s="191">
        <f>J13/J35/$B$13*$B$35</f>
        <v>0.97123612312816365</v>
      </c>
      <c r="K49" s="191"/>
      <c r="L49" s="191">
        <f>L13/L35/$B$13*$B$35</f>
        <v>0.96074836596158419</v>
      </c>
      <c r="M49" s="191"/>
      <c r="N49" s="191">
        <f>N13/N35/$B$13*$B$35</f>
        <v>0.94835439673511734</v>
      </c>
      <c r="O49" s="191"/>
      <c r="P49" s="191">
        <f>P13/P35/$B$13*$B$35</f>
        <v>0.93357838615734046</v>
      </c>
      <c r="Q49" s="191"/>
      <c r="R49" s="191">
        <f>R13/R35/$B$13*$B$35</f>
        <v>0.91574915700330073</v>
      </c>
      <c r="S49" s="191"/>
      <c r="T49" s="191">
        <f>T13/T35/$B$13*$B$35</f>
        <v>0.89388040629393761</v>
      </c>
      <c r="U49" s="191"/>
      <c r="V49" s="191">
        <f>V13/V35/$B$13*$B$35</f>
        <v>0.86645419372888077</v>
      </c>
      <c r="W49" s="191"/>
      <c r="X49" s="191">
        <f>X13/X35/$B$13*$B$35</f>
        <v>0.83101954437391656</v>
      </c>
      <c r="Y49" s="191"/>
      <c r="Z49" s="191">
        <f>Z13/Z35/$B$13*$B$35</f>
        <v>0.78345929780109325</v>
      </c>
      <c r="AA49" s="191"/>
      <c r="AB49" s="191">
        <f>AB13/AB35/$B$13*$B$35</f>
        <v>0.71687160797814642</v>
      </c>
      <c r="AC49" s="191"/>
      <c r="AD49" s="191">
        <f>AD13/AD35/$B$13*$B$35</f>
        <v>0.6211835675439108</v>
      </c>
      <c r="AE49" s="191"/>
      <c r="AF49" s="191">
        <f>AF13/AF35/$B$13*$B$35</f>
        <v>0.48799050661190163</v>
      </c>
      <c r="AG49" s="191"/>
      <c r="AH49" s="191">
        <f>AH13/AH35/$B$13*$B$35</f>
        <v>0.32311583578826292</v>
      </c>
      <c r="AI49" s="191"/>
      <c r="AJ49" s="191">
        <f>AJ13/AJ35/$B$13*$B$35</f>
        <v>0.15761079790317145</v>
      </c>
      <c r="AK49" s="191"/>
      <c r="AL49" s="191">
        <f>AL13/AL35/$B$13*$B$35</f>
        <v>4.2828794691445793E-2</v>
      </c>
      <c r="AM49" s="191"/>
      <c r="AN49" s="191">
        <f>AN13/AN35/$B$13*$B$35</f>
        <v>3.1111103463151392E-3</v>
      </c>
      <c r="AO49" s="191"/>
      <c r="AP49" s="191">
        <f>AP13/AP35/$B$13*$B$35</f>
        <v>1.2889972473865555E-3</v>
      </c>
      <c r="AQ49" s="191"/>
      <c r="AR49" s="191">
        <f>AR13/AR35/$B$13*$B$35</f>
        <v>4.1072066443447386E-4</v>
      </c>
      <c r="AS49" s="191"/>
      <c r="AT49" s="191">
        <f>AT13/AT35/$B$13*$B$35</f>
        <v>8.1425025358602615E-5</v>
      </c>
      <c r="AU49" s="191"/>
      <c r="AV49" s="191">
        <f>AV13/AV35/$B$13*$B$35</f>
        <v>5.095888901003788E-6</v>
      </c>
    </row>
    <row r="51" spans="1:48 16321:16384" x14ac:dyDescent="0.2">
      <c r="A51" t="s">
        <v>166</v>
      </c>
      <c r="B51" s="29">
        <f>B30-B10*B23</f>
        <v>-405838.32800000021</v>
      </c>
      <c r="D51" s="29">
        <f>D30-D10*D23</f>
        <v>-325426.63562108763</v>
      </c>
      <c r="F51" s="29">
        <f>F30-F10*F23</f>
        <v>-241171.37264795974</v>
      </c>
      <c r="H51" s="29">
        <f>H30-H10*H23</f>
        <v>-152419.21970616514</v>
      </c>
      <c r="J51" s="29">
        <f>J30-J10*J23</f>
        <v>-58352.073745323811</v>
      </c>
      <c r="L51" s="29">
        <f>L30-L10*L23</f>
        <v>42079.234853190836</v>
      </c>
      <c r="N51" s="29">
        <f>N30-N10*N23</f>
        <v>150302.44528842857</v>
      </c>
      <c r="P51" s="29">
        <f>P30-P10*P23</f>
        <v>268325.49677695474</v>
      </c>
      <c r="R51" s="29">
        <f>R30-R10*R23</f>
        <v>399145.86618262623</v>
      </c>
      <c r="T51" s="29">
        <f>T30-T10*T23</f>
        <v>547506.32593143545</v>
      </c>
      <c r="V51" s="29">
        <f>V30-V10*V23</f>
        <v>721365.6070120465</v>
      </c>
      <c r="X51" s="29">
        <f>X30-X10*X23</f>
        <v>934893.28586734412</v>
      </c>
      <c r="Z51" s="29">
        <f>Z30-Z10*Z23</f>
        <v>1214655.3073027041</v>
      </c>
      <c r="AB51" s="29">
        <f>AB30-AB10*AB23</f>
        <v>1611427.4062713333</v>
      </c>
      <c r="AD51" s="29">
        <f>AD30-AD10*AD23</f>
        <v>2214427.9595383937</v>
      </c>
      <c r="AF51" s="29">
        <f>AF30-AF10*AF23</f>
        <v>3135709.9019904602</v>
      </c>
      <c r="AH51" s="29">
        <f>AH30-AH10*AH23</f>
        <v>4404315.0047131535</v>
      </c>
      <c r="AJ51" s="29">
        <f>AJ30-AJ10*AJ23</f>
        <v>5686706.6823546737</v>
      </c>
      <c r="AL51" s="29">
        <f>AL30-AL10*AL23</f>
        <v>5814227.5148896761</v>
      </c>
      <c r="AN51" s="29">
        <f>AN30-AN10*AN23</f>
        <v>3591167.2267776504</v>
      </c>
      <c r="AP51" s="29">
        <f>AP30-AP10*AP23</f>
        <v>2920395.01116121</v>
      </c>
      <c r="AQ51" s="29"/>
      <c r="AR51" s="29">
        <f>AR30-AR10*AR23</f>
        <v>2212444.1142994678</v>
      </c>
      <c r="AT51" s="29">
        <f>AT30-AT10*AT23</f>
        <v>1482657.1927263089</v>
      </c>
      <c r="AV51" s="29">
        <f>AV30-AV10*AV23</f>
        <v>742755.76254572137</v>
      </c>
      <c r="XFD51" s="29"/>
    </row>
    <row r="52" spans="1:48 16321:16384" x14ac:dyDescent="0.2">
      <c r="A52" t="s">
        <v>167</v>
      </c>
      <c r="B52" s="29">
        <f t="array" ref="B52">Calibration!sL*SUM(B13:C13*B26:C26)</f>
        <v>2049247.8195702801</v>
      </c>
      <c r="D52" s="29">
        <f t="array" ref="D52">Calibration!sL*SUM(D13:E13*D26:E26)</f>
        <v>2043352.6642363535</v>
      </c>
      <c r="F52" s="29">
        <f t="array" ref="F52">Calibration!sL*SUM(F13:G13*F26:G26)</f>
        <v>2036156.1180936981</v>
      </c>
      <c r="H52" s="29">
        <f t="array" ref="H52">Calibration!sL*SUM(H13:I13*H26:I26)</f>
        <v>2027422.413161908</v>
      </c>
      <c r="J52" s="29">
        <f t="array" ref="J52">Calibration!sL*SUM(J13:K13*J26:K26)</f>
        <v>2016857.8400151529</v>
      </c>
      <c r="L52" s="29">
        <f t="array" ref="L52">Calibration!sL*SUM(L13:M13*L26:M26)</f>
        <v>2004091.1409012899</v>
      </c>
      <c r="N52" s="29">
        <f t="array" ref="N52">Calibration!sL*SUM(N13:O13*N26:O26)</f>
        <v>1988641.4907356503</v>
      </c>
      <c r="P52" s="29">
        <f t="array" ref="P52">Calibration!sL*SUM(P13:Q13*P26:Q26)</f>
        <v>1969871.6338916456</v>
      </c>
      <c r="R52" s="29">
        <f t="array" ref="R52">Calibration!sL*SUM(R13:S13*R26:S26)</f>
        <v>1946905.2168613065</v>
      </c>
      <c r="T52" s="29">
        <f t="array" ref="T52">Calibration!sL*SUM(T13:U13*T26:U26)</f>
        <v>1918482.7344021574</v>
      </c>
      <c r="V52" s="29">
        <f t="array" ref="V52">Calibration!sL*SUM(V13:W13*V26:W26)</f>
        <v>1882690.169463482</v>
      </c>
      <c r="X52" s="29">
        <f t="array" ref="X52">Calibration!sL*SUM(X13:Y13*X26:Y26)</f>
        <v>1836418.7653299728</v>
      </c>
      <c r="Z52" s="29">
        <f t="array" ref="Z52">Calibration!sL*SUM(Z13:AA13*Z26:AA26)</f>
        <v>1774236.4598516426</v>
      </c>
      <c r="AB52" s="29">
        <f t="array" ref="AB52">Calibration!sL*SUM(AB13:AC13*AB26:AC26)</f>
        <v>1686041.5378036443</v>
      </c>
      <c r="AD52" s="29">
        <f t="array" ref="AD52">Calibration!sL*SUM(AD13:AE13*AD26:AE26)</f>
        <v>1552971.6840099636</v>
      </c>
      <c r="AF52" s="29">
        <f t="array" ref="AF52">Calibration!sL*SUM(AF13:AG13*AF26:AG26)</f>
        <v>1344159.5784009665</v>
      </c>
      <c r="AH52" s="29">
        <f t="array" ref="AH52">Calibration!sL*SUM(AH13:AI13*AH26:AI26)</f>
        <v>1024256.7674454226</v>
      </c>
      <c r="AJ52" s="29">
        <f t="array" ref="AJ52">Calibration!sL*SUM(AJ13:AK13*AJ26:AK26)</f>
        <v>594557.37378606631</v>
      </c>
      <c r="AL52" s="29">
        <f t="array" ref="AL52">Calibration!sL*SUM(AL13:AM13*AL26:AM26)</f>
        <v>190016.33074132929</v>
      </c>
      <c r="AN52" s="29">
        <f t="array" ref="AN52">Calibration!sL*SUM(AN13:AO13*AN26:AO26)</f>
        <v>15066.423995583698</v>
      </c>
      <c r="AP52" s="29">
        <f t="array" ref="AP52">Calibration!sL*SUM(AP13:AQ13*AP26:AQ26)</f>
        <v>6286.0652390038467</v>
      </c>
      <c r="AQ52" s="29"/>
      <c r="AR52" s="29">
        <f t="array" ref="AR52">Calibration!sL*SUM(AR13:AS13*AR26:AS26)</f>
        <v>2011.5969946585615</v>
      </c>
      <c r="AT52" s="29">
        <f t="array" ref="AT52">Calibration!sL*SUM(AT13:AU13*AT26:AU26)</f>
        <v>399.68682423767672</v>
      </c>
      <c r="AV52" s="29">
        <f t="array" ref="AV52">Calibration!sL*SUM(AV13:AW13*AV26:AW26)</f>
        <v>25.03455072489901</v>
      </c>
    </row>
    <row r="53" spans="1:48 16321:16384" x14ac:dyDescent="0.2">
      <c r="A53" t="s">
        <v>168</v>
      </c>
      <c r="B53" s="29">
        <f t="array" ref="B53">Calibration!sK*SUM(B15:C15*B27:C27)</f>
        <v>2740714.4444297305</v>
      </c>
      <c r="D53" s="29">
        <f t="array" ref="D53">Calibration!sK*SUM(D15:E15*D27:E27)</f>
        <v>2714047.5454696999</v>
      </c>
      <c r="F53" s="29">
        <f t="array" ref="F53">Calibration!sK*SUM(F15:G15*F27:G27)</f>
        <v>2685847.8548422842</v>
      </c>
      <c r="H53" s="29">
        <f t="array" ref="H53">Calibration!sK*SUM(H15:I15*H27:I27)</f>
        <v>2655835.7726580175</v>
      </c>
      <c r="J53" s="29">
        <f t="array" ref="J53">Calibration!sK*SUM(J15:K15*J27:K27)</f>
        <v>2623668.7854869491</v>
      </c>
      <c r="L53" s="29">
        <f t="array" ref="L53">Calibration!sK*SUM(L15:M15*L27:M27)</f>
        <v>2588924.8424847955</v>
      </c>
      <c r="N53" s="29">
        <f t="array" ref="N53">Calibration!sK*SUM(N15:O15*N27:O27)</f>
        <v>2551067.9320873772</v>
      </c>
      <c r="P53" s="29">
        <f t="array" ref="P53">Calibration!sK*SUM(P15:Q15*P27:Q27)</f>
        <v>2509405.2446789383</v>
      </c>
      <c r="R53" s="29">
        <f t="array" ref="R53">Calibration!sK*SUM(R15:S15*R27:S27)</f>
        <v>2463002.8633030611</v>
      </c>
      <c r="T53" s="29">
        <f t="array" ref="T53">Calibration!sK*SUM(T15:U15*T27:U27)</f>
        <v>2410534.6683195843</v>
      </c>
      <c r="V53" s="29">
        <f t="array" ref="V53">Calibration!sK*SUM(V15:W15*V27:W27)</f>
        <v>2349989.8044558968</v>
      </c>
      <c r="X53" s="29">
        <f t="array" ref="X53">Calibration!sK*SUM(X15:Y15*X27:Y27)</f>
        <v>2278067.7942887265</v>
      </c>
      <c r="Z53" s="29">
        <f t="array" ref="Z53">Calibration!sK*SUM(Z15:AA15*Z27:AA27)</f>
        <v>2188863.3875089251</v>
      </c>
      <c r="AB53" s="29">
        <f t="array" ref="AB53">Calibration!sK*SUM(AB15:AC15*AB27:AC27)</f>
        <v>2070989.1671599506</v>
      </c>
      <c r="AD53" s="29">
        <f t="array" ref="AD53">Calibration!sK*SUM(AD15:AE15*AD27:AE27)</f>
        <v>1902185.4650078211</v>
      </c>
      <c r="AF53" s="29">
        <f t="array" ref="AF53">Calibration!sK*SUM(AF15:AG15*AF27:AG27)</f>
        <v>1644343.9694183215</v>
      </c>
      <c r="AH53" s="29">
        <f t="array" ref="AH53">Calibration!sK*SUM(AH15:AI15*AH27:AI27)</f>
        <v>1252553.6865573789</v>
      </c>
      <c r="AJ53" s="29">
        <f t="array" ref="AJ53">Calibration!sK*SUM(AJ15:AK15*AJ27:AK27)</f>
        <v>727030.84395133785</v>
      </c>
      <c r="AL53" s="29">
        <f t="array" ref="AL53">Calibration!sK*SUM(AL15:AM15*AL27:AM27)</f>
        <v>232351.72544287628</v>
      </c>
      <c r="AN53" s="29">
        <f t="array" ref="AN53">Calibration!sK*SUM(AN15:AO15*AN27:AO27)</f>
        <v>18423.16942334019</v>
      </c>
      <c r="AP53" s="29">
        <f t="array" ref="AP53">Calibration!sK*SUM(AP15:AQ15*AP27:AQ27)</f>
        <v>7686.5812489005493</v>
      </c>
      <c r="AQ53" s="29"/>
      <c r="AR53" s="29">
        <f t="array" ref="AR53">Calibration!sK*SUM(AR15:AS15*AR27:AS27)</f>
        <v>2459.7757778092623</v>
      </c>
      <c r="AT53" s="29">
        <f t="array" ref="AT53">Calibration!sK*SUM(AT15:AU15*AT27:AU27)</f>
        <v>488.7354352196428</v>
      </c>
      <c r="AV53" s="29">
        <f t="array" ref="AV53">Calibration!sK*SUM(AV15:AW15*AV27:AW27)</f>
        <v>30.612143518048612</v>
      </c>
      <c r="XFD53" s="29"/>
    </row>
    <row r="55" spans="1:48 16321:16384" x14ac:dyDescent="0.2">
      <c r="A55" t="s">
        <v>169</v>
      </c>
      <c r="B55" s="193">
        <f>B30/B32</f>
        <v>0.19850271905982084</v>
      </c>
      <c r="D55" s="193">
        <f>D30/D32</f>
        <v>0.20396114102241267</v>
      </c>
      <c r="F55" s="193">
        <f>F30/F32</f>
        <v>0.20967536666128839</v>
      </c>
      <c r="H55" s="193">
        <f>H30/H32</f>
        <v>0.21569411422307283</v>
      </c>
      <c r="J55" s="193">
        <f>J30/J32</f>
        <v>0.22207922221100093</v>
      </c>
      <c r="L55" s="193">
        <f>L30/L32</f>
        <v>0.22891100959507071</v>
      </c>
      <c r="N55" s="193">
        <f>N30/N32</f>
        <v>0.23629957224684561</v>
      </c>
      <c r="P55" s="193">
        <f>P30/P32</f>
        <v>0.24440043007263776</v>
      </c>
      <c r="R55" s="193">
        <f>R30/R32</f>
        <v>0.25344546651598554</v>
      </c>
      <c r="T55" s="193">
        <f>T30/T32</f>
        <v>0.26379961649501643</v>
      </c>
      <c r="V55" s="193">
        <f>V30/V32</f>
        <v>0.27607063510495788</v>
      </c>
      <c r="X55" s="193">
        <f>X30/X32</f>
        <v>0.29133240667556065</v>
      </c>
      <c r="Z55" s="193">
        <f>Z30/Z32</f>
        <v>0.31158949781553896</v>
      </c>
      <c r="AB55" s="193">
        <f>AB30/AB32</f>
        <v>0.34069360061391701</v>
      </c>
      <c r="AD55" s="193">
        <f>AD30/AD32</f>
        <v>0.38567075975828935</v>
      </c>
      <c r="AF55" s="193">
        <f>AF30/AF32</f>
        <v>0.45702195194137468</v>
      </c>
      <c r="AH55" s="193">
        <f>AH30/AH32</f>
        <v>0.56622939296666441</v>
      </c>
      <c r="AJ55" s="193">
        <f>AJ30/AJ32</f>
        <v>0.71799609991652014</v>
      </c>
      <c r="AL55" s="193">
        <f>AL30/AL32</f>
        <v>0.88239341948978378</v>
      </c>
      <c r="AN55" s="193">
        <f>AN30/AN32</f>
        <v>0.98259750816580382</v>
      </c>
      <c r="AP55" s="193">
        <f>AP30/AP32</f>
        <v>0.99097274389611612</v>
      </c>
      <c r="AR55" s="193">
        <f>AR30/AR32</f>
        <v>0.99616095562460671</v>
      </c>
      <c r="AT55" s="193">
        <f>AT30/AT32</f>
        <v>0.99885777649390617</v>
      </c>
      <c r="AV55" s="193">
        <f>AV30/AV32</f>
        <v>0.99985700300245239</v>
      </c>
      <c r="XCS55" s="193"/>
      <c r="XFD55" s="193"/>
    </row>
    <row r="56" spans="1:48 16321:16384" x14ac:dyDescent="0.2">
      <c r="A56" t="s">
        <v>170</v>
      </c>
      <c r="B56" s="193">
        <f>(Model!$C$52*B5*B20+B2*C5*C20)/B32</f>
        <v>2.9221206744340551E-2</v>
      </c>
      <c r="D56" s="193">
        <f>(Model!$C$52*D5*D20+D2*E5*E20)/D32</f>
        <v>3.5222401999360831E-2</v>
      </c>
      <c r="F56" s="193">
        <f>(Model!$C$52*F5*F20+F2*G5*G20)/F32</f>
        <v>4.153792620057082E-2</v>
      </c>
      <c r="H56" s="193">
        <f>(Model!$C$52*H5*H20+H2*I5*I20)/H32</f>
        <v>4.8227161605454601E-2</v>
      </c>
      <c r="J56" s="193">
        <f>(Model!$C$52*J5*J20+J2*K5*K20)/J32</f>
        <v>5.5365673687285281E-2</v>
      </c>
      <c r="L56" s="193">
        <f>(Model!$C$52*L5*L20+L2*M5*M20)/L32</f>
        <v>6.3051938241915781E-2</v>
      </c>
      <c r="N56" s="193">
        <f>(Model!$C$52*N5*N20+N2*O5*O20)/N32</f>
        <v>7.1421066592460253E-2</v>
      </c>
      <c r="P56" s="193">
        <f>(Model!$C$52*P5*P20+P2*Q5*Q20)/P32</f>
        <v>8.0664290386993187E-2</v>
      </c>
      <c r="R56" s="193">
        <f>(Model!$C$52*R5*R20+R2*S5*S20)/R32</f>
        <v>9.1066854706333897E-2</v>
      </c>
      <c r="T56" s="193">
        <f>(Model!$C$52*T5*T20+T2*U5*U20)/T32</f>
        <v>0.10307738138688322</v>
      </c>
      <c r="V56" s="193">
        <f>(Model!$C$52*V5*V20+V2*W5*W20)/V32</f>
        <v>0.11744186246301501</v>
      </c>
      <c r="X56" s="193">
        <f>(Model!$C$52*X5*X20+X2*Y5*Y20)/X32</f>
        <v>0.13547542473812041</v>
      </c>
      <c r="Z56" s="193">
        <f>(Model!$C$52*Z5*Z20+Z2*AA5*AA20)/Z32</f>
        <v>0.15962584660614909</v>
      </c>
      <c r="AB56" s="193">
        <f>(Model!$C$52*AB5*AB20+AB2*AC5*AC20)/AB32</f>
        <v>0.19458028244085532</v>
      </c>
      <c r="AD56" s="193">
        <f>(Model!$C$52*AD5*AD20+AD2*AE5*AE20)/AD32</f>
        <v>0.24885451223097388</v>
      </c>
      <c r="AF56" s="193">
        <f>(Model!$C$52*AF5*AF20+AF2*AG5*AG20)/AF32</f>
        <v>0.3351203412302497</v>
      </c>
      <c r="AH56" s="193">
        <f>(Model!$C$52*AH5*AH20+AH2*AI5*AI20)/AH32</f>
        <v>0.46718792574633977</v>
      </c>
      <c r="AJ56" s="193">
        <f>(Model!$C$52*AJ5*AJ20+AJ2*AK5*AK20)/AJ32</f>
        <v>0.65068219925122683</v>
      </c>
      <c r="AL56" s="193">
        <f>(Model!$C$52*AL5*AL20+AL2*AM5*AM20)/AL32</f>
        <v>0.84940555872161494</v>
      </c>
      <c r="AN56" s="193">
        <f>(Model!$C$52*AN5*AN20+AN2*AO5*AO20)/AN32</f>
        <v>0.97051807901328468</v>
      </c>
      <c r="AP56" s="193">
        <f>(Model!$C$52*AP5*AP20+AP2*AQ5*AQ20)/AP32</f>
        <v>0.98064050341630238</v>
      </c>
      <c r="AR56" s="193">
        <f>(Model!$C$52*AR5*AR20+AR2*AS5*AS20)/AR32</f>
        <v>0.98691101954861415</v>
      </c>
      <c r="AT56" s="193">
        <f>(Model!$C$52*AT5*AT20+AT2*AU5*AU20)/AT32</f>
        <v>0.99017041090409175</v>
      </c>
      <c r="AV56" s="193">
        <f>(Model!$C$52*AV5*AV20+AV2*AW5*AW20)/AV32</f>
        <v>0.99137808017300511</v>
      </c>
      <c r="XFD56" s="193"/>
    </row>
    <row r="57" spans="1:48 16321:16384" x14ac:dyDescent="0.2">
      <c r="A57" t="s">
        <v>171</v>
      </c>
      <c r="B57" s="193">
        <f t="array" ref="B57">SUM(Model!tauL*B13:C13*B26:C26)/B32</f>
        <v>0.15852881819439493</v>
      </c>
      <c r="D57" s="193">
        <f t="array" ref="D57">SUM(Model!tauL*D13:E13*D26:E26)/D32</f>
        <v>0.15806539037675957</v>
      </c>
      <c r="F57" s="193">
        <f t="array" ref="F57">SUM(Model!tauL*F13:G13*F26:G26)/F32</f>
        <v>0.15754482050453902</v>
      </c>
      <c r="H57" s="193">
        <f t="array" ref="H57">SUM(Model!tauL*H13:I13*H26:I26)/H32</f>
        <v>0.1569569192369562</v>
      </c>
      <c r="J57" s="193">
        <f t="array" ref="J57">SUM(Model!tauL*J13:K13*J26:K26)/J32</f>
        <v>0.15628855090643792</v>
      </c>
      <c r="L57" s="193">
        <f t="array" ref="L57">SUM(Model!tauL*L13:M13*L26:M26)/L32</f>
        <v>0.15552227755429282</v>
      </c>
      <c r="N57" s="193">
        <f t="array" ref="N57">SUM(Model!tauL*N13:O13*N26:O26)/N32</f>
        <v>0.15463396232651921</v>
      </c>
      <c r="P57" s="193">
        <f t="array" ref="P57">SUM(Model!tauL*P13:Q13*P26:Q26)/P32</f>
        <v>0.15358894268713427</v>
      </c>
      <c r="R57" s="193">
        <f t="array" ref="R57">SUM(Model!tauL*R13:S13*R26:S26)/R32</f>
        <v>0.15233508546705835</v>
      </c>
      <c r="T57" s="193">
        <f t="array" ref="T57">SUM(Model!tauL*T13:U13*T26:U26)/T32</f>
        <v>0.15079011186935537</v>
      </c>
      <c r="V57" s="193">
        <f t="array" ref="V57">SUM(Model!tauL*V13:W13*V26:W26)/V32</f>
        <v>0.14881731996298611</v>
      </c>
      <c r="X57" s="193">
        <f t="array" ref="X57">SUM(Model!tauL*X13:Y13*X26:Y26)/X32</f>
        <v>0.14617698139659607</v>
      </c>
      <c r="Y57" s="193"/>
      <c r="Z57" s="193">
        <f t="array" ref="Z57">SUM(Model!tauL*Z13:AA13*Z26:AA26)/Z32</f>
        <v>0.14242699658623476</v>
      </c>
      <c r="AB57" s="193">
        <f t="array" ref="AB57">SUM(Model!tauL*AB13:AC13*AB26:AC26)/AB32</f>
        <v>0.13673182875892564</v>
      </c>
      <c r="AD57" s="193">
        <f t="array" ref="AD57">SUM(Model!tauL*AD13:AE13*AD26:AE26)/AD32</f>
        <v>0.12759967963351057</v>
      </c>
      <c r="AF57" s="193">
        <f t="array" ref="AF57">SUM(Model!tauL*AF13:AG13*AF26:AG26)/AF32</f>
        <v>0.11285719133122984</v>
      </c>
      <c r="AH57" s="193">
        <f t="array" ref="AH57">SUM(Model!tauL*AH13:AI13*AH26:AI26)/AH32</f>
        <v>9.0176052405803897E-2</v>
      </c>
      <c r="AJ57" s="193">
        <f t="array" ref="AJ57">SUM(Model!tauL*AJ13:AK13*AJ26:AK26)/AJ32</f>
        <v>5.8627546134781224E-2</v>
      </c>
      <c r="AL57" s="193">
        <f t="array" ref="AL57">SUM(Model!tauL*AL13:AM13*AL26:AM26)/AL32</f>
        <v>2.445008961641449E-2</v>
      </c>
      <c r="AN57" s="193">
        <f t="array" ref="AN57">SUM(Model!tauL*AN13:AO13*AN26:AO26)/AN32</f>
        <v>3.6179356914345759E-3</v>
      </c>
      <c r="AP57" s="193">
        <f t="array" ref="AP57">SUM(Model!tauL*AP13:AQ13*AP26:AQ26)/AP32</f>
        <v>1.8767434908961052E-3</v>
      </c>
      <c r="AR57" s="193">
        <f t="array" ref="AR57">SUM(Model!tauL*AR13:AS13*AR26:AS26)/AR32</f>
        <v>7.9812702023068934E-4</v>
      </c>
      <c r="AT57" s="193">
        <f t="array" ref="AT57">SUM(Model!tauL*AT13:AU13*AT26:AU26)/AT32</f>
        <v>2.3746554387378348E-4</v>
      </c>
      <c r="AV57" s="193">
        <f t="array" ref="AV57">SUM(Model!tauL*AV13:AW13*AV26:AW26)/AV32</f>
        <v>2.9728737137426925E-5</v>
      </c>
      <c r="XFD57" s="193"/>
    </row>
    <row r="58" spans="1:48 16321:16384" x14ac:dyDescent="0.2">
      <c r="A58" t="s">
        <v>172</v>
      </c>
      <c r="B58" s="193">
        <f t="array" ref="B58">SUM(Model!tauY/(1+Model!tauY)*B3:C3*B18:C18)/B32</f>
        <v>1.075269412108535E-2</v>
      </c>
      <c r="D58" s="193">
        <f t="array" ref="D58">SUM(Model!tauY/(1+Model!tauY)*D3:E3*D18:E18)/D32</f>
        <v>1.0673348646292267E-2</v>
      </c>
      <c r="F58" s="193">
        <f t="array" ref="F58">SUM(Model!tauY/(1+Model!tauY)*F3:G3*F18:G18)/F32</f>
        <v>1.0592619956178585E-2</v>
      </c>
      <c r="H58" s="193">
        <f t="array" ref="H58">SUM(Model!tauY/(1+Model!tauY)*H3:I3*H18:I18)/H32</f>
        <v>1.0510033380662061E-2</v>
      </c>
      <c r="J58" s="193">
        <f t="array" ref="J58">SUM(Model!tauY/(1+Model!tauY)*J3:K3*J18:K18)/J32</f>
        <v>1.0424997617277741E-2</v>
      </c>
      <c r="L58" s="193">
        <f t="array" ref="L58">SUM(Model!tauY/(1+Model!tauY)*L3:M3*L18:M18)/L32</f>
        <v>1.0336793798862112E-2</v>
      </c>
      <c r="N58" s="193">
        <f t="array" ref="N58">SUM(Model!tauY/(1+Model!tauY)*N3:O3*N18:O18)/N32</f>
        <v>1.0244543327866184E-2</v>
      </c>
      <c r="P58" s="193">
        <f t="array" ref="P58">SUM(Model!tauY/(1+Model!tauY)*P3:Q3*P18:Q18)/P32</f>
        <v>1.0147196998510298E-2</v>
      </c>
      <c r="R58" s="193">
        <f t="array" ref="R58">SUM(Model!tauY/(1+Model!tauY)*R3:S3*R18:S18)/R32</f>
        <v>1.0043526342593251E-2</v>
      </c>
      <c r="T58" s="193">
        <f t="array" ref="T58">SUM(Model!tauY/(1+Model!tauY)*T3:U3*T18:U18)/T32</f>
        <v>9.93212323877787E-3</v>
      </c>
      <c r="V58" s="193">
        <f t="array" ref="V58">SUM(Model!tauY/(1+Model!tauY)*V3:W3*V18:W18)/V32</f>
        <v>9.8114526789567589E-3</v>
      </c>
      <c r="X58" s="193">
        <f t="array" ref="X58">SUM(Model!tauY/(1+Model!tauY)*X3:Y3*X18:Y18)/X32</f>
        <v>9.6800005408441414E-3</v>
      </c>
      <c r="Y58" s="193"/>
      <c r="Z58" s="193">
        <f t="array" ref="Z58">SUM(Model!tauY/(1+Model!tauY)*Z3:AA3*Z18:AA18)/Z32</f>
        <v>9.5366546231550851E-3</v>
      </c>
      <c r="AB58" s="193">
        <f t="array" ref="AB58">SUM(Model!tauY/(1+Model!tauY)*AB3:AC3*AB18:AC18)/AB32</f>
        <v>9.3814894141360169E-3</v>
      </c>
      <c r="AD58" s="193">
        <f t="array" ref="AD58">SUM(Model!tauY/(1+Model!tauY)*AD3:AE3*AD18:AE18)/AD32</f>
        <v>9.2165678938049556E-3</v>
      </c>
      <c r="AF58" s="193">
        <f t="array" ref="AF58">SUM(Model!tauY/(1+Model!tauY)*AF3:AG3*AF18:AG18)/AF32</f>
        <v>9.0444193798951689E-3</v>
      </c>
      <c r="AH58" s="193">
        <f t="array" ref="AH58">SUM(Model!tauY/(1+Model!tauY)*AH3:AI3*AH18:AI18)/AH32</f>
        <v>8.8654148145207168E-3</v>
      </c>
      <c r="AJ58" s="193">
        <f t="array" ref="AJ58">SUM(Model!tauY/(1+Model!tauY)*AJ3:AK3*AJ18:AK18)/AJ32</f>
        <v>8.6863545305121484E-3</v>
      </c>
      <c r="AL58" s="193">
        <f t="array" ref="AL58">SUM(Model!tauY/(1+Model!tauY)*AL3:AM3*AL18:AM18)/AL32</f>
        <v>8.5377711517543881E-3</v>
      </c>
      <c r="AN58" s="193">
        <f t="array" ref="AN58">SUM(Model!tauY/(1+Model!tauY)*AN3:AO3*AN18:AO18)/AN32</f>
        <v>8.4614934610845599E-3</v>
      </c>
      <c r="AP58" s="193">
        <f t="array" ref="AP58">SUM(Model!tauY/(1+Model!tauY)*AP3:AQ3*AP18:AQ18)/AP32</f>
        <v>8.4554969889177305E-3</v>
      </c>
      <c r="AR58" s="193">
        <f t="array" ref="AR58">SUM(Model!tauY/(1+Model!tauY)*AR3:AS3*AR18:AS18)/AR32</f>
        <v>8.4518090557618129E-3</v>
      </c>
      <c r="AT58" s="193">
        <f t="array" ref="AT58">SUM(Model!tauY/(1+Model!tauY)*AT3:AU3*AT18:AU18)/AT32</f>
        <v>8.4499000459406903E-3</v>
      </c>
      <c r="AV58" s="193">
        <f t="array" ref="AV58">SUM(Model!tauY/(1+Model!tauY)*AV3:AW3*AV18:AW18)/AV32</f>
        <v>8.4491940923098908E-3</v>
      </c>
      <c r="XFD58" s="193"/>
    </row>
    <row r="59" spans="1:48 16321:16384" x14ac:dyDescent="0.2">
      <c r="A59" t="s">
        <v>173</v>
      </c>
      <c r="B59" s="193">
        <f>(B2*C5*C20)/B32</f>
        <v>5.5174232040962052E-4</v>
      </c>
      <c r="D59" s="193">
        <f>(D2*E5*E20)/D32</f>
        <v>6.6107853655755257E-3</v>
      </c>
      <c r="F59" s="193">
        <f>(F2*G5*G20)/F32</f>
        <v>1.2985251415372821E-2</v>
      </c>
      <c r="H59" s="193">
        <f>(H2*I5*I20)/H32</f>
        <v>1.9734661074262035E-2</v>
      </c>
      <c r="J59" s="193">
        <f>(J2*K5*K20)/J32</f>
        <v>2.6934746758471611E-2</v>
      </c>
      <c r="L59" s="193">
        <f>(L2*M5*M20)/L32</f>
        <v>3.4684193030302866E-2</v>
      </c>
      <c r="N59" s="193">
        <f>(N2*O5*O20)/N32</f>
        <v>4.3118409485806822E-2</v>
      </c>
      <c r="P59" s="193">
        <f>(P2*Q5*Q20)/P32</f>
        <v>5.2429079461307003E-2</v>
      </c>
      <c r="R59" s="193">
        <f>(R2*S5*S20)/R32</f>
        <v>6.2902195506739519E-2</v>
      </c>
      <c r="T59" s="193">
        <f>(T2*U5*U20)/T32</f>
        <v>7.4987703806298378E-2</v>
      </c>
      <c r="V59" s="193">
        <f>(V2*W5*W20)/V32</f>
        <v>8.9434056833380571E-2</v>
      </c>
      <c r="X59" s="193">
        <f>(X2*Y5*Y20)/X32</f>
        <v>0.10756113504757406</v>
      </c>
      <c r="Z59" s="193">
        <f>(Z2*AA5*AA20)/Z32</f>
        <v>0.13182611144902959</v>
      </c>
      <c r="AB59" s="193">
        <f>(AB2*AC5*AC20)/AB32</f>
        <v>0.16693426582639814</v>
      </c>
      <c r="AD59" s="193">
        <f>(AD2*AE5*AE20)/AD32</f>
        <v>0.22143108231709344</v>
      </c>
      <c r="AF59" s="193">
        <f>(AF2*AG5*AG20)/AF32</f>
        <v>0.30801740642754771</v>
      </c>
      <c r="AH59" s="193">
        <f>(AH2*AI5*AI20)/AH32</f>
        <v>0.44050226507291523</v>
      </c>
      <c r="AJ59" s="193">
        <f>(AJ2*AK5*AK20)/AJ32</f>
        <v>0.62446443095937865</v>
      </c>
      <c r="AL59" s="193">
        <f>(AL2*AM5*AM20)/AL32</f>
        <v>0.82359736805706396</v>
      </c>
      <c r="AN59" s="193">
        <f>(AN2*AO5*AO20)/AN32</f>
        <v>0.94492530417669585</v>
      </c>
      <c r="AP59" s="193">
        <f>(AP2*AQ5*AQ20)/AP32</f>
        <v>0.95506478780107018</v>
      </c>
      <c r="AR59" s="193">
        <f>(AR2*AS5*AS20)/AR32</f>
        <v>0.96134580415410931</v>
      </c>
      <c r="AT59" s="193">
        <f>(AT2*AU5*AU20)/AT32</f>
        <v>0.96461063333172437</v>
      </c>
      <c r="AV59" s="193">
        <f>(AV2*AW5*AW20)/AV32</f>
        <v>0.96582031394385437</v>
      </c>
      <c r="XFD59" s="193"/>
    </row>
    <row r="60" spans="1:48 16321:16384" x14ac:dyDescent="0.2">
      <c r="A60" t="s">
        <v>174</v>
      </c>
      <c r="B60" s="193">
        <f>Model!$C$52*B5*B20/B32</f>
        <v>2.8669464423930927E-2</v>
      </c>
      <c r="D60" s="193">
        <f>Model!$C$52*D5*D20/D32</f>
        <v>2.8611616633785305E-2</v>
      </c>
      <c r="F60" s="193">
        <f>Model!$C$52*F5*F20/F32</f>
        <v>2.8552674785197997E-2</v>
      </c>
      <c r="H60" s="193">
        <f>Model!$C$52*H5*H20/H32</f>
        <v>2.849250053119257E-2</v>
      </c>
      <c r="J60" s="193">
        <f>Model!$C$52*J5*J20/J32</f>
        <v>2.8430926928813671E-2</v>
      </c>
      <c r="L60" s="193">
        <f>Model!$C$52*L5*L20/L32</f>
        <v>2.8367745211612921E-2</v>
      </c>
      <c r="N60" s="193">
        <f>Model!$C$52*N5*N20/N32</f>
        <v>2.8302657106653428E-2</v>
      </c>
      <c r="P60" s="193">
        <f>Model!$C$52*P5*P20/P32</f>
        <v>2.8235210925686191E-2</v>
      </c>
      <c r="R60" s="193">
        <f>Model!$C$52*R5*R20/R32</f>
        <v>2.8164659199594377E-2</v>
      </c>
      <c r="T60" s="193">
        <f>Model!$C$52*T5*T20/T32</f>
        <v>2.8089677580584827E-2</v>
      </c>
      <c r="V60" s="193">
        <f>Model!$C$52*V5*V20/V32</f>
        <v>2.8007805629634449E-2</v>
      </c>
      <c r="X60" s="193">
        <f>Model!$C$52*X5*X20/X32</f>
        <v>2.7914289690546351E-2</v>
      </c>
      <c r="Z60" s="193">
        <f>Model!$C$52*Z5*Z20/Z32</f>
        <v>2.7799735157119504E-2</v>
      </c>
      <c r="AB60" s="193">
        <f>Model!$C$52*AB5*AB20/AB32</f>
        <v>2.7646016614457179E-2</v>
      </c>
      <c r="AD60" s="193">
        <f>Model!$C$52*AD5*AD20/AD32</f>
        <v>2.7423429913880429E-2</v>
      </c>
      <c r="AF60" s="193">
        <f>Model!$C$52*AF5*AF20/AF32</f>
        <v>2.7102934802702001E-2</v>
      </c>
      <c r="AH60" s="193">
        <f>Model!$C$52*AH5*AH20/AH32</f>
        <v>2.668566067342457E-2</v>
      </c>
      <c r="AJ60" s="193">
        <f>Model!$C$52*AJ5*AJ20/AJ32</f>
        <v>2.6217768291848229E-2</v>
      </c>
      <c r="AL60" s="193">
        <f>Model!$C$52*AL5*AL20/AL32</f>
        <v>2.5808190664550954E-2</v>
      </c>
      <c r="AN60" s="193">
        <f>Model!$C$52*AN5*AN20/AN32</f>
        <v>2.5592774836588967E-2</v>
      </c>
      <c r="AP60" s="193">
        <f>Model!$C$52*AP5*AP20/AP32</f>
        <v>2.5575715615232187E-2</v>
      </c>
      <c r="AR60" s="193">
        <f>Model!$C$52*AR5*AR20/AR32</f>
        <v>2.5565215394504941E-2</v>
      </c>
      <c r="AT60" s="193">
        <f>Model!$C$52*AT5*AT20/AT32</f>
        <v>2.5559777572367274E-2</v>
      </c>
      <c r="AV60" s="193">
        <f>Model!$C$52*AV5*AV20/AV32</f>
        <v>2.5557766229150698E-2</v>
      </c>
      <c r="XFD60" s="193"/>
    </row>
    <row r="62" spans="1:48 16321:16384" x14ac:dyDescent="0.2">
      <c r="A62" t="s">
        <v>175</v>
      </c>
      <c r="B62">
        <f>B13/B15</f>
        <v>1</v>
      </c>
      <c r="D62">
        <f>D13/D15</f>
        <v>1.0069205004616522</v>
      </c>
      <c r="F62">
        <f>F13/F15</f>
        <v>1.0139089881172763</v>
      </c>
      <c r="H62">
        <f>H13/H15</f>
        <v>1.0209684788542956</v>
      </c>
      <c r="J62">
        <f>J13/J15</f>
        <v>1.0281005285897928</v>
      </c>
      <c r="L62">
        <f>L13/L15</f>
        <v>1.0353026659684292</v>
      </c>
      <c r="N62">
        <f>N13/N15</f>
        <v>1.0425665327777118</v>
      </c>
      <c r="P62">
        <f>P13/P15</f>
        <v>1.0498721873533752</v>
      </c>
      <c r="R62">
        <f>R13/R15</f>
        <v>1.0571806319550385</v>
      </c>
      <c r="T62">
        <f>T13/T15</f>
        <v>1.0644219445697567</v>
      </c>
      <c r="V62">
        <f>V13/V15</f>
        <v>1.0714753486542892</v>
      </c>
      <c r="X62">
        <f>X13/X15</f>
        <v>1.078138077178707</v>
      </c>
      <c r="Z62">
        <f>Z13/Z15</f>
        <v>1.0840820399536153</v>
      </c>
      <c r="AB62">
        <f>AB13/AB15</f>
        <v>1.0888291742569878</v>
      </c>
      <c r="AD62">
        <f>AD13/AD15</f>
        <v>1.0918927573912831</v>
      </c>
      <c r="AF62">
        <f>AF13/AF15</f>
        <v>1.0932700939005222</v>
      </c>
      <c r="AH62">
        <f>AH13/AH15</f>
        <v>1.0936586684742569</v>
      </c>
      <c r="AJ62">
        <f>AJ13/AJ15</f>
        <v>1.0937302923954726</v>
      </c>
      <c r="AL62">
        <f>AL13/AL15</f>
        <v>1.0937405989242819</v>
      </c>
      <c r="AN62">
        <f>AN13/AN15</f>
        <v>1.0937421744274309</v>
      </c>
      <c r="AP62">
        <f>AP13/AP15</f>
        <v>1.0937422971188149</v>
      </c>
      <c r="AR62">
        <f>AR13/AR15</f>
        <v>1.0937424050892479</v>
      </c>
      <c r="AT62">
        <f>AT13/AT15</f>
        <v>1.0937425160670406</v>
      </c>
      <c r="AV62">
        <f>AV13/AV15</f>
        <v>1.0937426468433142</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0.9979729516438488</v>
      </c>
      <c r="E65" s="191"/>
      <c r="F65" s="191">
        <f t="array" ref="F65">SQRT((F9:G9*$B$22:$C$22+F10:G10*$B$23:$C$23+F11:G11*$B$24:$C$24+F4:G4*($B$25:$C$25-$B$19:$C$19))/($B$9:$C$9*$B$22:$C$22+$B$10:$C$10*$B$23:$C$23+$B$11:$C$11*$B$24:$C$24+$B$4:$C$4*($B$25:$C$25-$B$19:$C$19))*(F9:G9*F22:G22+F10:G10*F23:G23+F11:G11*F24:G24+F4:G4*(F25:G25-F19:G19))/($B$9:$C$9*F22:G22+$B$10:$C$10*F23:G23+$B$11:$C$11*F24:G24+$B$4:$C$4*(F25:G25-F19:G19)))</f>
        <v>0.99582932854915884</v>
      </c>
      <c r="G65" s="191"/>
      <c r="H65" s="191">
        <f t="array" ref="H65">SQRT((H9:I9*$B$22:$C$22+H10:I10*$B$23:$C$23+H11:I11*$B$24:$C$24+H4:I4*($B$25:$C$25-$B$19:$C$19))/($B$9:$C$9*$B$22:$C$22+$B$10:$C$10*$B$23:$C$23+$B$11:$C$11*$B$24:$C$24+$B$4:$C$4*($B$25:$C$25-$B$19:$C$19))*(H9:I9*H22:I22+H10:I10*H23:I23+H11:I11*H24:I24+H4:I4*(H25:I25-H19:I19))/($B$9:$C$9*H22:I22+$B$10:$C$10*H23:I23+$B$11:$C$11*H24:I24+$B$4:$C$4*(H25:I25-H19:I19)))</f>
        <v>0.99354802336995263</v>
      </c>
      <c r="I65" s="191"/>
      <c r="J65" s="191">
        <f t="array" ref="J65">SQRT((J9:K9*$B$22:$C$22+J10:K10*$B$23:$C$23+J11:K11*$B$24:$C$24+J4:K4*($B$25:$C$25-$B$19:$C$19))/($B$9:$C$9*$B$22:$C$22+$B$10:$C$10*$B$23:$C$23+$B$11:$C$11*$B$24:$C$24+$B$4:$C$4*($B$25:$C$25-$B$19:$C$19))*(J9:K9*J22:K22+J10:K10*J23:K23+J11:K11*J24:K24+J4:K4*(J25:K25-J19:K19))/($B$9:$C$9*J22:K22+$B$10:$C$10*J23:K23+$B$11:$C$11*J24:K24+$B$4:$C$4*(J25:K25-J19:K19)))</f>
        <v>0.9911048968123467</v>
      </c>
      <c r="K65" s="191"/>
      <c r="L65" s="191">
        <f t="array" ref="L65">SQRT((L9:M9*$B$22:$C$22+L10:M10*$B$23:$C$23+L11:M11*$B$24:$C$24+L4:M4*($B$25:$C$25-$B$19:$C$19))/($B$9:$C$9*$B$22:$C$22+$B$10:$C$10*$B$23:$C$23+$B$11:$C$11*$B$24:$C$24+$B$4:$C$4*($B$25:$C$25-$B$19:$C$19))*(L9:M9*L22:M22+L10:M10*L23:M23+L11:M11*L24:M24+L4:M4*(L25:M25-L19:M19))/($B$9:$C$9*L22:M22+$B$10:$C$10*L23:M23+$B$11:$C$11*L24:M24+$B$4:$C$4*(L25:M25-L19:M19)))</f>
        <v>0.98847347763379245</v>
      </c>
      <c r="M65" s="191"/>
      <c r="N65" s="191">
        <f t="array" ref="N65">SQRT((N9:O9*$B$22:$C$22+N10:O10*$B$23:$C$23+N11:O11*$B$24:$C$24+N4:O4*($B$25:$C$25-$B$19:$C$19))/($B$9:$C$9*$B$22:$C$22+$B$10:$C$10*$B$23:$C$23+$B$11:$C$11*$B$24:$C$24+$B$4:$C$4*($B$25:$C$25-$B$19:$C$19))*(N9:O9*N22:O22+N10:O10*N23:O23+N11:O11*N24:O24+N4:O4*(N25:O25-N19:O19))/($B$9:$C$9*N22:O22+$B$10:$C$10*N23:O23+$B$11:$C$11*N24:O24+$B$4:$C$4*(N25:O25-N19:O19)))</f>
        <v>0.98562596207453723</v>
      </c>
      <c r="O65" s="191"/>
      <c r="P65" s="191">
        <f t="array" ref="P65">SQRT((P9:Q9*$B$22:$C$22+P10:Q10*$B$23:$C$23+P11:Q11*$B$24:$C$24+P4:Q4*($B$25:$C$25-$B$19:$C$19))/($B$9:$C$9*$B$22:$C$22+$B$10:$C$10*$B$23:$C$23+$B$11:$C$11*$B$24:$C$24+$B$4:$C$4*($B$25:$C$25-$B$19:$C$19))*(P9:Q9*P22:Q22+P10:Q10*P23:Q23+P11:Q11*P24:Q24+P4:Q4*(P25:Q25-P19:Q19))/($B$9:$C$9*P22:Q22+$B$10:$C$10*P23:Q23+$B$11:$C$11*P24:Q24+$B$4:$C$4*(P25:Q25-P19:Q19)))</f>
        <v>0.98253661002326698</v>
      </c>
      <c r="Q65" s="191"/>
      <c r="R65" s="191">
        <f t="array" ref="R65">SQRT((R9:S9*$B$22:$C$22+R10:S10*$B$23:$C$23+R11:S11*$B$24:$C$24+R4:S4*($B$25:$C$25-$B$19:$C$19))/($B$9:$C$9*$B$22:$C$22+$B$10:$C$10*$B$23:$C$23+$B$11:$C$11*$B$24:$C$24+$B$4:$C$4*($B$25:$C$25-$B$19:$C$19))*(R9:S9*R22:S22+R10:S10*R23:S23+R11:S11*R24:S24+R4:S4*(R25:S25-R19:S19))/($B$9:$C$9*R22:S22+$B$10:$C$10*R23:S23+$B$11:$C$11*R24:S24+$B$4:$C$4*(R25:S25-R19:S19)))</f>
        <v>0.97918753549159088</v>
      </c>
      <c r="S65" s="191"/>
      <c r="T65" s="191">
        <f t="array" ref="T65">SQRT((T9:U9*$B$22:$C$22+T10:U10*$B$23:$C$23+T11:U11*$B$24:$C$24+T4:U4*($B$25:$C$25-$B$19:$C$19))/($B$9:$C$9*$B$22:$C$22+$B$10:$C$10*$B$23:$C$23+$B$11:$C$11*$B$24:$C$24+$B$4:$C$4*($B$25:$C$25-$B$19:$C$19))*(T9:U9*T22:U22+T10:U10*T23:U23+T11:U11*T24:U24+T4:U4*(T25:U25-T19:U19))/($B$9:$C$9*T22:U22+$B$10:$C$10*T23:U23+$B$11:$C$11*T24:U24+$B$4:$C$4*(T25:U25-T19:U19)))</f>
        <v>0.9755805327200201</v>
      </c>
      <c r="U65" s="191"/>
      <c r="V65" s="191">
        <f t="array" ref="V65">SQRT((V9:W9*$B$22:$C$22+V10:W10*$B$23:$C$23+V11:W11*$B$24:$C$24+V4:W4*($B$25:$C$25-$B$19:$C$19))/($B$9:$C$9*$B$22:$C$22+$B$10:$C$10*$B$23:$C$23+$B$11:$C$11*$B$24:$C$24+$B$4:$C$4*($B$25:$C$25-$B$19:$C$19))*(V9:W9*V22:W22+V10:W10*V23:W23+V11:W11*V24:W24+V4:W4*(V25:W25-V19:W19))/($B$9:$C$9*V22:W22+$B$10:$C$10*V23:W23+$B$11:$C$11*V24:W24+$B$4:$C$4*(V25:W25-V19:W19)))</f>
        <v>0.97176053682033647</v>
      </c>
      <c r="W65" s="191"/>
      <c r="X65" s="191">
        <f t="array" ref="X65">SQRT((X9:Y9*$B$22:$C$22+X10:Y10*$B$23:$C$23+X11:Y11*$B$24:$C$24+X4:Y4*($B$25:$C$25-$B$19:$C$19))/($B$9:$C$9*$B$22:$C$22+$B$10:$C$10*$B$23:$C$23+$B$11:$C$11*$B$24:$C$24+$B$4:$C$4*($B$25:$C$25-$B$19:$C$19))*(X9:Y9*X22:Y22+X10:Y10*X23:Y23+X11:Y11*X24:Y24+X4:Y4*(X25:Y25-X19:Y19))/($B$9:$C$9*X22:Y22+$B$10:$C$10*X23:Y23+$B$11:$C$11*X24:Y24+$B$4:$C$4*(X25:Y25-X19:Y19)))</f>
        <v>0.96786306649597631</v>
      </c>
      <c r="Y65" s="191"/>
      <c r="Z65" s="191">
        <f t="array" ref="Z65">SQRT((Z9:AA9*$B$22:$C$22+Z10:AA10*$B$23:$C$23+Z11:AA11*$B$24:$C$24+Z4:AA4*($B$25:$C$25-$B$19:$C$19))/($B$9:$C$9*$B$22:$C$22+$B$10:$C$10*$B$23:$C$23+$B$11:$C$11*$B$24:$C$24+$B$4:$C$4*($B$25:$C$25-$B$19:$C$19))*(Z9:AA9*Z22:AA22+Z10:AA10*Z23:AA23+Z11:AA11*Z24:AA24+Z4:AA4*(Z25:AA25-Z19:AA19))/($B$9:$C$9*Z22:AA22+$B$10:$C$10*Z23:AA23+$B$11:$C$11*Z24:AA24+$B$4:$C$4*(Z25:AA25-Z19:AA19)))</f>
        <v>0.96420791296759434</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0.96145025594058309</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0.96061958280224347</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0.96241273503412383</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0.96600037052429844</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0.96962562556074439</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0.97206737409533239</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0.97308585790857793</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0.97315929370668675</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0.97320398615630355</v>
      </c>
      <c r="AS65" s="191"/>
      <c r="AT65" s="191">
        <f t="array" ref="AT65">SQRT((AT9:AU9*$B$22:$C$22+AT10:AU10*$B$23:$C$23+AT11:AU11*$B$24:$C$24+AT4:AU4*($B$25:$C$25-$B$19:$C$19))/($B$9:$C$9*$B$22:$C$22+$B$10:$C$10*$B$23:$C$23+$B$11:$C$11*$B$24:$C$24+$B$4:$C$4*($B$25:$C$25-$B$19:$C$19))*(AT9:AU9*AT22:AU22+AT10:AU10*AT23:AU23+AT11:AU11*AT24:AU24+AT4:AU4*(AT25:AU25-AT19:AU19))/($B$9:$C$9*AT22:AU22+$B$10:$C$10*AT23:AU23+$B$11:$C$11*AT24:AU24+$B$4:$C$4*(AT25:AU25-AT19:AU19)))</f>
        <v>0.9732269796561327</v>
      </c>
      <c r="AU65" s="191"/>
      <c r="AV65" s="191">
        <f t="array" ref="AV65">SQRT((AV9:AW9*$B$22:$C$22+AV10:AW10*$B$23:$C$23+AV11:AW11*$B$24:$C$24+AV4:AW4*($B$25:$C$25-$B$19:$C$19))/($B$9:$C$9*$B$22:$C$22+$B$10:$C$10*$B$23:$C$23+$B$11:$C$11*$B$24:$C$24+$B$4:$C$4*($B$25:$C$25-$B$19:$C$19))*(AV9:AW9*AV22:AW22+AV10:AW10*AV23:AW23+AV11:AW11*AV24:AW24+AV4:AW4*(AV25:AW25-AV19:AW19))/($B$9:$C$9*AV22:AW22+$B$10:$C$10*AV23:AW23+$B$11:$C$11*AV24:AW24+$B$4:$C$4*(AV25:AW25-AV19:AW19)))</f>
        <v>0.97323545823131619</v>
      </c>
    </row>
    <row r="66" spans="1:48 16384:16384" x14ac:dyDescent="0.2">
      <c r="A66" t="s">
        <v>182</v>
      </c>
      <c r="B66" s="191">
        <f t="array" ref="B66">SQRT((B9:C9*$B$22:$C$22)/($B$9:$C$9*$B$22:$C$22)*(B9:C9*B22:C22)/($B$9:$C$9*B22:C22))</f>
        <v>1</v>
      </c>
      <c r="C66" s="191"/>
      <c r="D66" s="191">
        <f t="array" ref="D66">SQRT((D9:E9*$B$22:$C$22)/($B$9:$C$9*$B$22:$C$22)*(D9:E9*D22:E22)/($B$9:$C$9*D22:E22))</f>
        <v>0.99777042374587166</v>
      </c>
      <c r="E66" s="191"/>
      <c r="F66" s="191">
        <f t="array" ref="F66">SQRT((F9:G9*$B$22:$C$22)/($B$9:$C$9*$B$22:$C$22)*(F9:G9*F22:G22)/($B$9:$C$9*F22:G22))</f>
        <v>0.99540867695342339</v>
      </c>
      <c r="G66" s="191"/>
      <c r="H66" s="191">
        <f t="array" ref="H66">SQRT((H9:I9*$B$22:$C$22)/($B$9:$C$9*$B$22:$C$22)*(H9:I9*H22:I22)/($B$9:$C$9*H22:I22))</f>
        <v>0.99289072548453261</v>
      </c>
      <c r="I66" s="191"/>
      <c r="J66" s="191">
        <f t="array" ref="J66">SQRT((J9:K9*$B$22:$C$22)/($B$9:$C$9*$B$22:$C$22)*(J9:K9*J22:K22)/($B$9:$C$9*J22:K22))</f>
        <v>0.99018893835494448</v>
      </c>
      <c r="K66" s="191"/>
      <c r="L66" s="191">
        <f t="array" ref="L66">SQRT((L9:M9*$B$22:$C$22)/($B$9:$C$9*$B$22:$C$22)*(L9:M9*L22:M22)/($B$9:$C$9*L22:M22))</f>
        <v>0.98727278984818412</v>
      </c>
      <c r="M66" s="191"/>
      <c r="N66" s="191">
        <f t="array" ref="N66">SQRT((N9:O9*$B$22:$C$22)/($B$9:$C$9*$B$22:$C$22)*(N9:O9*N22:O22)/($B$9:$C$9*N22:O22))</f>
        <v>0.98410988936082033</v>
      </c>
      <c r="O66" s="191"/>
      <c r="P66" s="191">
        <f t="array" ref="P66">SQRT((P9:Q9*$B$22:$C$22)/($B$9:$C$9*$B$22:$C$22)*(P9:Q9*P22:Q22)/($B$9:$C$9*P22:Q22))</f>
        <v>0.98066968243828112</v>
      </c>
      <c r="Q66" s="191"/>
      <c r="R66" s="191">
        <f t="array" ref="R66">SQRT((R9:S9*$B$22:$C$22)/($B$9:$C$9*$B$22:$C$22)*(R9:S9*R22:S22)/($B$9:$C$9*R22:S22))</f>
        <v>0.9769298785479571</v>
      </c>
      <c r="S66" s="191"/>
      <c r="T66" s="191">
        <f t="array" ref="T66">SQRT((T9:U9*$B$22:$C$22)/($B$9:$C$9*$B$22:$C$22)*(T9:U9*T22:U22)/($B$9:$C$9*T22:U22))</f>
        <v>0.97288977262247844</v>
      </c>
      <c r="U66" s="191"/>
      <c r="V66" s="191">
        <f t="array" ref="V66">SQRT((V9:W9*$B$22:$C$22)/($B$9:$C$9*$B$22:$C$22)*(V9:W9*V22:W22)/($B$9:$C$9*V22:W22))</f>
        <v>0.96859697218642904</v>
      </c>
      <c r="W66" s="191"/>
      <c r="X66" s="191">
        <f t="array" ref="X66">SQRT((X9:Y9*$B$22:$C$22)/($B$9:$C$9*$B$22:$C$22)*(X9:Y9*X22:Y22)/($B$9:$C$9*X22:Y22))</f>
        <v>0.96420189653492661</v>
      </c>
      <c r="Y66" s="191"/>
      <c r="Z66" s="191">
        <f t="array" ref="Z66">SQRT((Z9:AA9*$B$22:$C$22)/($B$9:$C$9*$B$22:$C$22)*(Z9:AA9*Z22:AA22)/($B$9:$C$9*Z22:AA22))</f>
        <v>0.96006601089530919</v>
      </c>
      <c r="AA66" s="191"/>
      <c r="AB66" s="191">
        <f t="array" ref="AB66">SQRT((AB9:AC9*$B$22:$C$22)/($B$9:$C$9*$B$22:$C$22)*(AB9:AC9*AB22:AC22)/($B$9:$C$9*AB22:AC22))</f>
        <v>0.95693703119405071</v>
      </c>
      <c r="AC66" s="191"/>
      <c r="AD66" s="191">
        <f t="array" ref="AD66">SQRT((AD9:AE9*$B$22:$C$22)/($B$9:$C$9*$B$22:$C$22)*(AD9:AE9*AD22:AE22)/($B$9:$C$9*AD22:AE22))</f>
        <v>0.95599482115100642</v>
      </c>
      <c r="AE66" s="191"/>
      <c r="AF66" s="191">
        <f t="array" ref="AF66">SQRT((AF9:AG9*$B$22:$C$22)/($B$9:$C$9*$B$22:$C$22)*(AF9:AG9*AF22:AG22)/($B$9:$C$9*AF22:AG22))</f>
        <v>0.95803614856864305</v>
      </c>
      <c r="AG66" s="191"/>
      <c r="AH66" s="191">
        <f t="array" ref="AH66">SQRT((AH9:AI9*$B$22:$C$22)/($B$9:$C$9*$B$22:$C$22)*(AH9:AI9*AH22:AI22)/($B$9:$C$9*AH22:AI22))</f>
        <v>0.9621065896675316</v>
      </c>
      <c r="AI66" s="191"/>
      <c r="AJ66" s="191">
        <f t="array" ref="AJ66">SQRT((AJ9:AK9*$B$22:$C$22)/($B$9:$C$9*$B$22:$C$22)*(AJ9:AK9*AJ22:AK22)/($B$9:$C$9*AJ22:AK22))</f>
        <v>0.9662047362219579</v>
      </c>
      <c r="AK66" s="191"/>
      <c r="AL66" s="191">
        <f t="array" ref="AL66">SQRT((AL9:AM9*$B$22:$C$22)/($B$9:$C$9*$B$22:$C$22)*(AL9:AM9*AL22:AM22)/($B$9:$C$9*AL22:AM22))</f>
        <v>0.96895683020997048</v>
      </c>
      <c r="AM66" s="191"/>
      <c r="AN66" s="191">
        <f t="array" ref="AN66">SQRT((AN9:AO9*$B$22:$C$22)/($B$9:$C$9*$B$22:$C$22)*(AN9:AO9*AN22:AO22)/($B$9:$C$9*AN22:AO22))</f>
        <v>0.97010285185259282</v>
      </c>
      <c r="AO66" s="191"/>
      <c r="AP66" s="191">
        <f t="array" ref="AP66">SQRT((AP9:AQ9*$B$22:$C$22)/($B$9:$C$9*$B$22:$C$22)*(AP9:AQ9*AP22:AQ22)/($B$9:$C$9*AP22:AQ22))</f>
        <v>0.9701854403345086</v>
      </c>
      <c r="AQ66" s="191"/>
      <c r="AR66" s="191">
        <f t="array" ref="AR66">SQRT((AR9:AS9*$B$22:$C$22)/($B$9:$C$9*$B$22:$C$22)*(AR9:AS9*AR22:AS22)/($B$9:$C$9*AR22:AS22))</f>
        <v>0.97023570019817973</v>
      </c>
      <c r="AS66" s="191"/>
      <c r="AT66" s="191">
        <f t="array" ref="AT66">SQRT((AT9:AU9*$B$22:$C$22)/($B$9:$C$9*$B$22:$C$22)*(AT9:AU9*AT22:AU22)/($B$9:$C$9*AT22:AU22))</f>
        <v>0.97026155720081919</v>
      </c>
      <c r="AU66" s="191"/>
      <c r="AV66" s="191">
        <f t="array" ref="AV66">SQRT((AV9:AW9*$B$22:$C$22)/($B$9:$C$9*$B$22:$C$22)*(AV9:AW9*AV22:AW22)/($B$9:$C$9*AV22:AW22))</f>
        <v>0.97027109151481516</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f t="array" ref="AV67">SQRT((AV4:AW4*$B$19:$C$19)/($B$4:$C$4*$B$19:$C$19)*(AV4:AW4*AV19:AW19)/($B$4:$C$4*AV19:AW19))</f>
        <v>1</v>
      </c>
      <c r="XFD67" s="191"/>
    </row>
    <row r="68" spans="1:48 16384:16384" x14ac:dyDescent="0.2">
      <c r="A68" t="s">
        <v>181</v>
      </c>
      <c r="B68" s="191">
        <f>B66/B67</f>
        <v>1</v>
      </c>
      <c r="C68" s="191"/>
      <c r="D68" s="191">
        <f>D66/D67</f>
        <v>0.99777042374587166</v>
      </c>
      <c r="E68" s="191"/>
      <c r="F68" s="191">
        <f>F66/F67</f>
        <v>0.99540867695342339</v>
      </c>
      <c r="G68" s="191"/>
      <c r="H68" s="191">
        <f>H66/H67</f>
        <v>0.99289072548453261</v>
      </c>
      <c r="I68" s="191"/>
      <c r="J68" s="191">
        <f>J66/J67</f>
        <v>0.99018893835494448</v>
      </c>
      <c r="K68" s="191"/>
      <c r="L68" s="191">
        <f>L66/L67</f>
        <v>0.98727278984818412</v>
      </c>
      <c r="M68" s="191"/>
      <c r="N68" s="191">
        <f>N66/N67</f>
        <v>0.98410988936082033</v>
      </c>
      <c r="O68" s="191"/>
      <c r="P68" s="191">
        <f>P66/P67</f>
        <v>0.98066968243828112</v>
      </c>
      <c r="Q68" s="191"/>
      <c r="R68" s="191">
        <f>R66/R67</f>
        <v>0.9769298785479571</v>
      </c>
      <c r="S68" s="191"/>
      <c r="T68" s="191">
        <f>T66/T67</f>
        <v>0.97288977262247844</v>
      </c>
      <c r="U68" s="191"/>
      <c r="V68" s="191">
        <f>V66/V67</f>
        <v>0.96859697218642904</v>
      </c>
      <c r="W68" s="191"/>
      <c r="X68" s="191">
        <f>X66/X67</f>
        <v>0.96420189653492661</v>
      </c>
      <c r="Y68" s="191"/>
      <c r="Z68" s="191">
        <f>Z66/Z67</f>
        <v>0.96006601089530919</v>
      </c>
      <c r="AA68" s="191"/>
      <c r="AB68" s="191">
        <f>AB66/AB67</f>
        <v>0.95693703119405071</v>
      </c>
      <c r="AC68" s="191"/>
      <c r="AD68" s="191">
        <f>AD66/AD67</f>
        <v>0.95599482115100642</v>
      </c>
      <c r="AE68" s="191"/>
      <c r="AF68" s="191">
        <f>AF66/AF67</f>
        <v>0.95803614856864305</v>
      </c>
      <c r="AG68" s="191"/>
      <c r="AH68" s="191">
        <f>AH66/AH67</f>
        <v>0.9621065896675316</v>
      </c>
      <c r="AI68" s="191"/>
      <c r="AJ68" s="191">
        <f>AJ66/AJ67</f>
        <v>0.9662047362219579</v>
      </c>
      <c r="AK68" s="191"/>
      <c r="AL68" s="191">
        <f>AL66/AL67</f>
        <v>0.96895683020997048</v>
      </c>
      <c r="AM68" s="191"/>
      <c r="AN68" s="191">
        <f>AN66/AN67</f>
        <v>0.97010285185259282</v>
      </c>
      <c r="AO68" s="191"/>
      <c r="AP68" s="191">
        <f>AP66/AP67</f>
        <v>0.9701854403345086</v>
      </c>
      <c r="AQ68" s="191"/>
      <c r="AR68" s="191">
        <f>AR66/AR67</f>
        <v>0.97023570019817973</v>
      </c>
      <c r="AS68" s="191"/>
      <c r="AT68" s="191">
        <f>AT66/AT67</f>
        <v>0.97026155720081919</v>
      </c>
      <c r="AU68" s="191"/>
      <c r="AV68" s="191">
        <f>AV66/AV67</f>
        <v>0.97027109151481516</v>
      </c>
      <c r="XFD68" s="191"/>
    </row>
    <row r="69" spans="1:48 16384:16384" x14ac:dyDescent="0.2">
      <c r="A69" t="s">
        <v>177</v>
      </c>
      <c r="B69" s="191">
        <f>B32/B65/($B$32)</f>
        <v>1</v>
      </c>
      <c r="C69" s="191"/>
      <c r="D69" s="191">
        <f>D32/D65/($B$32)</f>
        <v>1.0020779592415601</v>
      </c>
      <c r="E69" s="191"/>
      <c r="F69" s="191">
        <f>F32/F65/($B$32)</f>
        <v>1.004004759339576</v>
      </c>
      <c r="G69" s="191"/>
      <c r="H69" s="191">
        <f>H32/H65/($B$32)</f>
        <v>1.005746788004571</v>
      </c>
      <c r="I69" s="191"/>
      <c r="J69" s="191">
        <f>J32/J65/($B$32)</f>
        <v>1.0072615167802461</v>
      </c>
      <c r="K69" s="191"/>
      <c r="L69" s="191">
        <f>L32/L65/($B$32)</f>
        <v>1.0084946066201086</v>
      </c>
      <c r="M69" s="191"/>
      <c r="N69" s="191">
        <f>N32/N65/($B$32)</f>
        <v>1.0093765657046028</v>
      </c>
      <c r="O69" s="191"/>
      <c r="P69" s="191">
        <f>P32/P65/($B$32)</f>
        <v>1.0098176904898706</v>
      </c>
      <c r="Q69" s="191"/>
      <c r="R69" s="191">
        <f>R32/R65/($B$32)</f>
        <v>1.0097008739053879</v>
      </c>
      <c r="S69" s="191"/>
      <c r="T69" s="191">
        <f>T32/T65/($B$32)</f>
        <v>1.0088710187066365</v>
      </c>
      <c r="U69" s="191"/>
      <c r="V69" s="191">
        <f>V32/V65/($B$32)</f>
        <v>1.0071168398712984</v>
      </c>
      <c r="W69" s="191"/>
      <c r="X69" s="191">
        <f>X32/X65/($B$32)</f>
        <v>1.004136041315401</v>
      </c>
      <c r="Y69" s="191"/>
      <c r="Z69" s="191">
        <f>Z32/Z65/($B$32)</f>
        <v>0.99945266976769143</v>
      </c>
      <c r="AA69" s="191"/>
      <c r="AB69" s="191">
        <f>AB32/AB65/($B$32)</f>
        <v>0.99216880551090036</v>
      </c>
      <c r="AC69" s="191"/>
      <c r="AD69" s="191">
        <f>AD32/AD65/($B$32)</f>
        <v>0.98011324406407219</v>
      </c>
      <c r="AE69" s="191"/>
      <c r="AF69" s="191">
        <f>AF32/AF65/($B$32)</f>
        <v>0.95735712229571468</v>
      </c>
      <c r="AG69" s="191"/>
      <c r="AH69" s="191">
        <f>AH32/AH65/($B$32)</f>
        <v>0.90960757834731731</v>
      </c>
      <c r="AI69" s="191"/>
      <c r="AJ69" s="191">
        <f>AJ32/AJ65/($B$32)</f>
        <v>0.80909908177338397</v>
      </c>
      <c r="AK69" s="191"/>
      <c r="AL69" s="191">
        <f>AL32/AL65/($B$32)</f>
        <v>0.61848311222594554</v>
      </c>
      <c r="AM69" s="191"/>
      <c r="AN69" s="191">
        <f>AN32/AN65/($B$32)</f>
        <v>0.33106397218999795</v>
      </c>
      <c r="AO69" s="191"/>
      <c r="AP69" s="191">
        <f>AP32/AP65/($B$32)</f>
        <v>0.26625867810883047</v>
      </c>
      <c r="AQ69" s="191"/>
      <c r="AR69" s="191">
        <f>AR32/AR65/($B$32)</f>
        <v>0.20034514635428907</v>
      </c>
      <c r="AS69" s="191"/>
      <c r="AT69" s="191">
        <f>AT32/AT65/($B$32)</f>
        <v>0.13378851392046454</v>
      </c>
      <c r="AU69" s="191"/>
      <c r="AV69" s="191">
        <f>AV32/AV65/($B$32)</f>
        <v>6.6935907824434426E-2</v>
      </c>
    </row>
    <row r="70" spans="1:48 16384:16384" x14ac:dyDescent="0.2">
      <c r="A70" t="s">
        <v>178</v>
      </c>
      <c r="B70" s="138">
        <f>B18/$B$18</f>
        <v>1</v>
      </c>
      <c r="C70" s="138"/>
      <c r="D70" s="138">
        <f>D18/$B$18</f>
        <v>1.00115358230718</v>
      </c>
      <c r="E70" s="138"/>
      <c r="F70" s="138">
        <f>F18/$B$18</f>
        <v>1.0021855985127337</v>
      </c>
      <c r="G70" s="138"/>
      <c r="H70" s="138">
        <f>H18/$B$18</f>
        <v>1.0030718133605279</v>
      </c>
      <c r="I70" s="138"/>
      <c r="J70" s="138">
        <f>J18/$B$18</f>
        <v>1.0037805931148081</v>
      </c>
      <c r="K70" s="138"/>
      <c r="L70" s="138">
        <f>L18/$B$18</f>
        <v>1.0042693775520455</v>
      </c>
      <c r="M70" s="138"/>
      <c r="N70" s="138">
        <f>N18/$B$18</f>
        <v>1.004479327720712</v>
      </c>
      <c r="O70" s="138"/>
      <c r="P70" s="138">
        <f>P18/$B$18</f>
        <v>1.0043262322940973</v>
      </c>
      <c r="Q70" s="138"/>
      <c r="R70" s="138">
        <f>R18/$B$18</f>
        <v>1.0036849113232056</v>
      </c>
      <c r="S70" s="138"/>
      <c r="T70" s="138">
        <f>T18/$B$18</f>
        <v>1.0023612574760385</v>
      </c>
      <c r="U70" s="138"/>
      <c r="V70" s="138">
        <f>V18/$B$18</f>
        <v>1.0000388475980548</v>
      </c>
      <c r="W70" s="138"/>
      <c r="X70" s="138">
        <f>X18/$B$18</f>
        <v>0.99617151197108811</v>
      </c>
      <c r="Y70" s="138"/>
      <c r="Z70" s="138">
        <f>Z18/$B$18</f>
        <v>0.98975643034929961</v>
      </c>
      <c r="AA70" s="138"/>
      <c r="AB70" s="138">
        <f>AB18/$B$18</f>
        <v>0.97885449789135615</v>
      </c>
      <c r="AC70" s="138"/>
      <c r="AD70" s="138">
        <f>AD18/$B$18</f>
        <v>0.95969292770998371</v>
      </c>
      <c r="AE70" s="138"/>
      <c r="AF70" s="138">
        <f>AF18/$B$18</f>
        <v>0.92536859615268408</v>
      </c>
      <c r="AG70" s="138"/>
      <c r="AH70" s="138">
        <f>AH18/$B$18</f>
        <v>0.86367980607428596</v>
      </c>
      <c r="AI70" s="138"/>
      <c r="AJ70" s="138">
        <f>AJ18/$B$18</f>
        <v>0.75304909611889181</v>
      </c>
      <c r="AK70" s="138"/>
      <c r="AL70" s="138">
        <f>AL18/$B$18</f>
        <v>0.56578546224587489</v>
      </c>
      <c r="AM70" s="138"/>
      <c r="AN70" s="138">
        <f>AN18/$B$18</f>
        <v>0.30013944320928126</v>
      </c>
      <c r="AO70" s="138"/>
      <c r="AP70" s="138">
        <f>AP18/$B$18</f>
        <v>0.24121579431376863</v>
      </c>
      <c r="AQ70" s="138"/>
      <c r="AR70" s="138">
        <f>AR18/$B$18</f>
        <v>0.18142224312551722</v>
      </c>
      <c r="AS70" s="138"/>
      <c r="AT70" s="138">
        <f>AT18/$B$18</f>
        <v>0.1211245053944625</v>
      </c>
      <c r="AU70" s="138"/>
      <c r="AV70" s="138">
        <f>AV18/$B$18</f>
        <v>6.0594876747403548E-2</v>
      </c>
    </row>
    <row r="71" spans="1:48 16384:16384" x14ac:dyDescent="0.2">
      <c r="A71" t="s">
        <v>179</v>
      </c>
      <c r="B71" s="138">
        <f>C18/$C$18</f>
        <v>1</v>
      </c>
      <c r="D71" s="138">
        <f>E18/$C$18</f>
        <v>0.92309360379982341</v>
      </c>
      <c r="E71" s="138"/>
      <c r="F71" s="138">
        <f>G18/$C$18</f>
        <v>0.8457586093917604</v>
      </c>
      <c r="G71" s="138"/>
      <c r="H71" s="138">
        <f>I18/$C$18</f>
        <v>0.76798331740129855</v>
      </c>
      <c r="I71" s="138"/>
      <c r="J71" s="138">
        <f>K18/$C$18</f>
        <v>0.68978013670751037</v>
      </c>
      <c r="K71" s="138"/>
      <c r="L71" s="138">
        <f>M18/$C$18</f>
        <v>0.61121561251217427</v>
      </c>
      <c r="M71" s="138"/>
      <c r="N71" s="138">
        <f>O18/$C$18</f>
        <v>0.53243003308910786</v>
      </c>
      <c r="O71" s="138"/>
      <c r="P71" s="138">
        <f>Q18/$C$18</f>
        <v>0.45370151207279635</v>
      </c>
      <c r="Q71" s="138"/>
      <c r="R71" s="138">
        <f>S18/$C$18</f>
        <v>0.37552315318500845</v>
      </c>
      <c r="S71" s="138"/>
      <c r="T71" s="138">
        <f>U18/$C$18</f>
        <v>0.29872476133882891</v>
      </c>
      <c r="U71" s="138"/>
      <c r="V71" s="138">
        <f>W18/$C$18</f>
        <v>0.22467074165159298</v>
      </c>
      <c r="W71" s="138"/>
      <c r="X71" s="138">
        <f>Y18/$C$18</f>
        <v>0.15555841808607071</v>
      </c>
      <c r="Y71" s="138"/>
      <c r="Z71" s="138">
        <f>AA18/$C$18</f>
        <v>9.480733766432331E-2</v>
      </c>
      <c r="AA71" s="138"/>
      <c r="AB71" s="138">
        <f>AC18/$C$18</f>
        <v>4.7189594336157339E-2</v>
      </c>
      <c r="AC71" s="138"/>
      <c r="AD71" s="138">
        <f>AE18/$C$18</f>
        <v>1.7212481696501861E-2</v>
      </c>
      <c r="AE71" s="138"/>
      <c r="AF71" s="138">
        <f>AG18/$C$18</f>
        <v>4.1908415181951836E-3</v>
      </c>
      <c r="AG71" s="138"/>
      <c r="AH71" s="138">
        <f>AI18/$C$18</f>
        <v>6.9368140383403829E-4</v>
      </c>
      <c r="AI71" s="138"/>
      <c r="AJ71" s="138">
        <f>AK18/$C$18</f>
        <v>9.3009297710446454E-5</v>
      </c>
      <c r="AK71" s="138"/>
      <c r="AL71" s="138">
        <f>AM18/$C$18</f>
        <v>1.4419705564190823E-5</v>
      </c>
      <c r="AM71" s="138"/>
      <c r="AN71" s="138">
        <f>AO18/$C$18</f>
        <v>3.4122135238888465E-6</v>
      </c>
      <c r="AO71" s="138"/>
      <c r="AP71" s="138">
        <f>AQ18/$C$18</f>
        <v>2.57392097394265E-6</v>
      </c>
      <c r="AQ71" s="138"/>
      <c r="AR71" s="138">
        <f>AS18/$C$18</f>
        <v>1.8618406628500397E-6</v>
      </c>
      <c r="AS71" s="138"/>
      <c r="AT71" s="138">
        <f>AU18/$C$18</f>
        <v>1.2181689192989631E-6</v>
      </c>
      <c r="AU71" s="138"/>
      <c r="AV71" s="138">
        <f>AW18/$C$18</f>
        <v>6.0486854060402622E-7</v>
      </c>
      <c r="XFD71" s="138"/>
    </row>
    <row r="72" spans="1:48 16384:16384" x14ac:dyDescent="0.2">
      <c r="A72" t="s">
        <v>180</v>
      </c>
      <c r="B72" s="138">
        <f>C19/$C$19</f>
        <v>1</v>
      </c>
      <c r="D72" s="138">
        <f>E19/$C$19</f>
        <v>1.0510789285822393</v>
      </c>
      <c r="E72" s="138"/>
      <c r="F72" s="138">
        <f>G19/$C$19</f>
        <v>1.1106599187625594</v>
      </c>
      <c r="G72" s="138"/>
      <c r="H72" s="138">
        <f>I19/$C$19</f>
        <v>1.1801084812312743</v>
      </c>
      <c r="I72" s="138"/>
      <c r="J72" s="138">
        <f>K19/$C$19</f>
        <v>1.2609562231725433</v>
      </c>
      <c r="K72" s="138"/>
      <c r="L72" s="138">
        <f>M19/$C$19</f>
        <v>1.3548431463825878</v>
      </c>
      <c r="M72" s="138"/>
      <c r="N72" s="138">
        <f>O19/$C$19</f>
        <v>1.4634638554598587</v>
      </c>
      <c r="O72" s="138"/>
      <c r="P72" s="138">
        <f>Q19/$C$19</f>
        <v>1.5883208140402192</v>
      </c>
      <c r="Q72" s="138"/>
      <c r="R72" s="138">
        <f>S19/$C$19</f>
        <v>1.7303388605661914</v>
      </c>
      <c r="S72" s="138"/>
      <c r="T72" s="138">
        <f>U19/$C$19</f>
        <v>1.8890721302223743</v>
      </c>
      <c r="U72" s="138"/>
      <c r="V72" s="138">
        <f>W19/$C$19</f>
        <v>2.0611140811457145</v>
      </c>
      <c r="W72" s="138"/>
      <c r="X72" s="138">
        <f>Y19/$C$19</f>
        <v>2.2368864370906669</v>
      </c>
      <c r="Y72" s="138"/>
      <c r="Z72" s="138">
        <f>AA19/$C$19</f>
        <v>2.3943033757966328</v>
      </c>
      <c r="AA72" s="138"/>
      <c r="AB72" s="138">
        <f>AC19/$C$19</f>
        <v>2.488562704651653</v>
      </c>
      <c r="AC72" s="138"/>
      <c r="AD72" s="138">
        <f>AE19/$C$19</f>
        <v>2.4490124948029006</v>
      </c>
      <c r="AE72" s="138"/>
      <c r="AF72" s="138">
        <f>AG19/$C$19</f>
        <v>2.2228487818990024</v>
      </c>
      <c r="AG72" s="138"/>
      <c r="AH72" s="138">
        <f>AI19/$C$19</f>
        <v>1.8459285525558413</v>
      </c>
      <c r="AI72" s="138"/>
      <c r="AJ72" s="138">
        <f>AK19/$C$19</f>
        <v>1.4008321204107921</v>
      </c>
      <c r="AK72" s="138"/>
      <c r="AL72" s="138">
        <f>AM19/$C$19</f>
        <v>0.9366484446165636</v>
      </c>
      <c r="AM72" s="138"/>
      <c r="AN72" s="138">
        <f>AO19/$C$19</f>
        <v>0.46862275715914709</v>
      </c>
      <c r="AO72" s="138"/>
      <c r="AP72" s="138">
        <f>AQ19/$C$19</f>
        <v>0.37491189561121252</v>
      </c>
      <c r="AQ72" s="138"/>
      <c r="AR72" s="138">
        <f>AS19/$C$19</f>
        <v>0.28119001980222746</v>
      </c>
      <c r="AS72" s="138"/>
      <c r="AT72" s="138">
        <f>AU19/$C$19</f>
        <v>0.18746207709210919</v>
      </c>
      <c r="AU72" s="138"/>
      <c r="AV72" s="138">
        <f>AW19/$C$19</f>
        <v>9.3731417120897845E-2</v>
      </c>
      <c r="XFD72" s="138"/>
    </row>
    <row r="73" spans="1:48 16384:16384" x14ac:dyDescent="0.2">
      <c r="A73" t="s">
        <v>184</v>
      </c>
      <c r="B73" s="193">
        <f t="array" ref="B73">SUM(B9:C9*B22:C22)/B32</f>
        <v>0.47641153352875065</v>
      </c>
      <c r="D73" s="193">
        <f t="array" ref="D73">SUM(D9:E9*D22:E22)/D32</f>
        <v>0.47641154592853308</v>
      </c>
      <c r="E73" s="138"/>
      <c r="F73" s="193">
        <f t="array" ref="F73">SUM(F9:G9*F22:G22)/F32</f>
        <v>0.4764115344296232</v>
      </c>
      <c r="G73" s="138"/>
      <c r="H73" s="193">
        <f t="array" ref="H73">SUM(H9:I9*H22:I22)/H32</f>
        <v>0.47641153466332981</v>
      </c>
      <c r="I73" s="138"/>
      <c r="J73" s="193">
        <f t="array" ref="J73">SUM(J9:K9*J22:K22)/J32</f>
        <v>0.47641159414006939</v>
      </c>
      <c r="K73" s="138"/>
      <c r="L73" s="193">
        <f t="array" ref="L73">SUM(L9:M9*L22:M22)/L32</f>
        <v>0.47641153534264874</v>
      </c>
      <c r="M73" s="138"/>
      <c r="N73" s="193">
        <f t="array" ref="N73">SUM(N9:O9*N22:O22)/N32</f>
        <v>0.4764115336705162</v>
      </c>
      <c r="O73" s="138"/>
      <c r="P73" s="193">
        <f t="array" ref="P73">SUM(P9:Q9*P22:Q22)/P32</f>
        <v>0.47641155553287773</v>
      </c>
      <c r="Q73" s="138"/>
      <c r="R73" s="193">
        <f t="array" ref="R73">SUM(R9:S9*R22:S22)/R32</f>
        <v>0.47641155257758072</v>
      </c>
      <c r="S73" s="138"/>
      <c r="T73" s="193">
        <f t="array" ref="T73">SUM(T9:U9*T22:U22)/T32</f>
        <v>0.47641154461073548</v>
      </c>
      <c r="U73" s="138"/>
      <c r="V73" s="193">
        <f t="array" ref="V73">SUM(V9:W9*V22:W22)/V32</f>
        <v>0.47641153423060578</v>
      </c>
      <c r="W73" s="138"/>
      <c r="X73" s="193">
        <f t="array" ref="X73">SUM(X9:Y9*X22:Y22)/X32</f>
        <v>0.47641153326104074</v>
      </c>
      <c r="Y73" s="138"/>
      <c r="Z73" s="193">
        <f t="array" ref="Z73">SUM(Z9:AA9*Z22:AA22)/Z32</f>
        <v>0.47641153302228689</v>
      </c>
      <c r="AA73" s="138"/>
      <c r="AB73" s="193">
        <f t="array" ref="AB73">SUM(AB9:AC9*AB22:AC22)/AB32</f>
        <v>0.47641153842110179</v>
      </c>
      <c r="AC73" s="138"/>
      <c r="AD73" s="193">
        <f t="array" ref="AD73">SUM(AD9:AE9*AD22:AE22)/AD32</f>
        <v>0.47641153350472942</v>
      </c>
      <c r="AE73" s="138"/>
      <c r="AF73" s="193">
        <f t="array" ref="AF73">SUM(AF9:AG9*AF22:AG22)/AF32</f>
        <v>0.47641153353109528</v>
      </c>
      <c r="AG73" s="138"/>
      <c r="AH73" s="193">
        <f t="array" ref="AH73">SUM(AH9:AI9*AH22:AI22)/AH32</f>
        <v>0.47641153352904836</v>
      </c>
      <c r="AI73" s="138"/>
      <c r="AJ73" s="193">
        <f t="array" ref="AJ73">SUM(AJ9:AK9*AJ22:AK22)/AJ32</f>
        <v>0.47641153352875265</v>
      </c>
      <c r="AK73" s="138"/>
      <c r="AL73" s="193">
        <f t="array" ref="AL73">SUM(AL9:AM9*AL22:AM22)/AL32</f>
        <v>0.47641153352840199</v>
      </c>
      <c r="AM73" s="138"/>
      <c r="AN73" s="193">
        <f t="array" ref="AN73">SUM(AN9:AO9*AN22:AO22)/AN32</f>
        <v>0.47641153354056504</v>
      </c>
      <c r="AO73" s="138"/>
      <c r="AP73" s="193">
        <f t="array" ref="AP73">SUM(AP9:AQ9*AP22:AQ22)/AP32</f>
        <v>0.47641153352755672</v>
      </c>
      <c r="AQ73" s="138"/>
      <c r="AR73" s="193">
        <f t="array" ref="AR73">SUM(AR9:AS9*AR22:AS22)/AR32</f>
        <v>0.47641153352501703</v>
      </c>
      <c r="AS73" s="138"/>
      <c r="AT73" s="193">
        <f t="array" ref="AT73">SUM(AT9:AU9*AT22:AU22)/AT32</f>
        <v>0.47641153352959209</v>
      </c>
      <c r="AU73" s="138"/>
      <c r="AV73" s="193">
        <f t="array" ref="AV73">SUM(AV9:AW9*AV22:AW22)/AV32</f>
        <v>0.47641153352886273</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0.22604620456442481</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0.22604620456442487</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0.22604620456442484</v>
      </c>
      <c r="AI74" s="138"/>
      <c r="AJ74" s="193">
        <f t="array" ref="AJ74">SUM(AJ10:AK10*AJ23:AK23)/AJ32</f>
        <v>0.22604620456442484</v>
      </c>
      <c r="AK74" s="138"/>
      <c r="AL74" s="193">
        <f t="array" ref="AL74">SUM(AL10:AM10*AL23:AM23)/AL32</f>
        <v>0.22604620456442484</v>
      </c>
      <c r="AM74" s="138"/>
      <c r="AN74" s="193">
        <f t="array" ref="AN74">SUM(AN10:AO10*AN23:AO23)/AN32</f>
        <v>0.22604620456442487</v>
      </c>
      <c r="AO74" s="138"/>
      <c r="AP74" s="193">
        <f t="array" ref="AP74">SUM(AP10:AQ10*AP23:AQ23)/AP32</f>
        <v>0.22604620456442484</v>
      </c>
      <c r="AQ74" s="138"/>
      <c r="AR74" s="193">
        <f t="array" ref="AR74">SUM(AR10:AS10*AR23:AS23)/AR32</f>
        <v>0.22604620456442484</v>
      </c>
      <c r="AS74" s="138"/>
      <c r="AT74" s="193">
        <f t="array" ref="AT74">SUM(AT10:AU10*AT23:AU23)/AT32</f>
        <v>0.22604620456442484</v>
      </c>
      <c r="AU74" s="138"/>
      <c r="AV74" s="193">
        <f t="array" ref="AV74">SUM(AV10:AW10*AV23:AW23)/AV32</f>
        <v>0.22604620456442481</v>
      </c>
      <c r="XFD74" s="193"/>
    </row>
    <row r="75" spans="1:48 16384:16384" x14ac:dyDescent="0.2">
      <c r="A75" t="s">
        <v>186</v>
      </c>
      <c r="B75" s="193">
        <f t="array" ref="B75">SUM(B11:C11*B24:C24)/B32</f>
        <v>0.22038438833194082</v>
      </c>
      <c r="D75" s="193">
        <f t="array" ref="D75">SUM(D11:E11*D24:E24)/D32</f>
        <v>0.22038438848754044</v>
      </c>
      <c r="E75" s="138"/>
      <c r="F75" s="193">
        <f t="array" ref="F75">SUM(F11:G11*F24:G24)/F32</f>
        <v>0.22038438830656187</v>
      </c>
      <c r="G75" s="138"/>
      <c r="H75" s="193">
        <f t="array" ref="H75">SUM(H11:I11*H24:I24)/H32</f>
        <v>0.22038438829274248</v>
      </c>
      <c r="I75" s="138"/>
      <c r="J75" s="193">
        <f t="array" ref="J75">SUM(J11:K11*J24:K24)/J32</f>
        <v>0.2203843880450933</v>
      </c>
      <c r="K75" s="138"/>
      <c r="L75" s="193">
        <f t="array" ref="L75">SUM(L11:M11*L24:M24)/L32</f>
        <v>0.22038438825553416</v>
      </c>
      <c r="M75" s="138"/>
      <c r="N75" s="193">
        <f t="array" ref="N75">SUM(N11:O11*N24:O24)/N32</f>
        <v>0.22038438836162022</v>
      </c>
      <c r="O75" s="138"/>
      <c r="P75" s="193">
        <f t="array" ref="P75">SUM(P11:Q11*P24:Q24)/P32</f>
        <v>0.22038438818838574</v>
      </c>
      <c r="Q75" s="138"/>
      <c r="R75" s="193">
        <f t="array" ref="R75">SUM(R11:S11*R24:S24)/R32</f>
        <v>0.22038438822359341</v>
      </c>
      <c r="S75" s="138"/>
      <c r="T75" s="193">
        <f t="array" ref="T75">SUM(T11:U11*T24:U24)/T32</f>
        <v>0.22038438828214404</v>
      </c>
      <c r="U75" s="138"/>
      <c r="V75" s="193">
        <f t="array" ref="V75">SUM(V11:W11*V24:W24)/V32</f>
        <v>0.22038438834684204</v>
      </c>
      <c r="W75" s="138"/>
      <c r="X75" s="193">
        <f t="array" ref="X75">SUM(X11:Y11*X24:Y24)/X32</f>
        <v>0.22038438834015703</v>
      </c>
      <c r="Y75" s="138"/>
      <c r="Z75" s="193">
        <f t="array" ref="Z75">SUM(Z11:AA11*Z24:AA24)/Z32</f>
        <v>0.220384388340299</v>
      </c>
      <c r="AA75" s="138"/>
      <c r="AB75" s="193">
        <f t="array" ref="AB75">SUM(AB11:AC11*AB24:AC24)/AB32</f>
        <v>0.22038438833583293</v>
      </c>
      <c r="AC75" s="138"/>
      <c r="AD75" s="193">
        <f t="array" ref="AD75">SUM(AD11:AE11*AD24:AE24)/AD32</f>
        <v>0.22038438833218493</v>
      </c>
      <c r="AE75" s="138"/>
      <c r="AF75" s="193">
        <f t="array" ref="AF75">SUM(AF11:AG11*AF24:AG24)/AF32</f>
        <v>0.22038438833196194</v>
      </c>
      <c r="AG75" s="138"/>
      <c r="AH75" s="193">
        <f t="array" ref="AH75">SUM(AH11:AI11*AH24:AI24)/AH32</f>
        <v>0.22038438833194046</v>
      </c>
      <c r="AI75" s="138"/>
      <c r="AJ75" s="193">
        <f t="array" ref="AJ75">SUM(AJ11:AK11*AJ24:AK24)/AJ32</f>
        <v>0.22038438833193896</v>
      </c>
      <c r="AK75" s="138"/>
      <c r="AL75" s="193">
        <f t="array" ref="AL75">SUM(AL11:AM11*AL24:AM24)/AL32</f>
        <v>0.22038438833180765</v>
      </c>
      <c r="AM75" s="138"/>
      <c r="AN75" s="193">
        <f t="array" ref="AN75">SUM(AN11:AO11*AN24:AO24)/AN32</f>
        <v>0.22038438833803448</v>
      </c>
      <c r="AO75" s="138"/>
      <c r="AP75" s="193">
        <f t="array" ref="AP75">SUM(AP11:AQ11*AP24:AQ24)/AP32</f>
        <v>0.22038438833131366</v>
      </c>
      <c r="AQ75" s="138"/>
      <c r="AR75" s="193">
        <f t="array" ref="AR75">SUM(AR11:AS11*AR24:AS24)/AR32</f>
        <v>0.22038438832996185</v>
      </c>
      <c r="AS75" s="138"/>
      <c r="AT75" s="193">
        <f t="array" ref="AT75">SUM(AT11:AU11*AT24:AU24)/AT32</f>
        <v>0.22038438833238827</v>
      </c>
      <c r="AU75" s="138"/>
      <c r="AV75" s="193">
        <f t="array" ref="AV75">SUM(AV11:AW11*AV24:AW24)/AV32</f>
        <v>0.22038438833200036</v>
      </c>
      <c r="XFD75" s="193"/>
    </row>
    <row r="76" spans="1:48 16384:16384" x14ac:dyDescent="0.2">
      <c r="A76" t="s">
        <v>187</v>
      </c>
      <c r="B76" s="193">
        <f t="array" ref="B76">SUM(B12:C12*B25:C25)/B32</f>
        <v>0.22301874374724867</v>
      </c>
      <c r="D76" s="193">
        <f t="array" ref="D76">SUM(D12:E12*D25:E25)/D32</f>
        <v>0.22338564966901678</v>
      </c>
      <c r="E76" s="138"/>
      <c r="F76" s="193">
        <f t="array" ref="F76">SUM(F12:G12*F25:G25)/F32</f>
        <v>0.22388901734972977</v>
      </c>
      <c r="G76" s="138"/>
      <c r="H76" s="193">
        <f t="array" ref="H76">SUM(H12:I12*H25:I25)/H32</f>
        <v>0.22455178615269222</v>
      </c>
      <c r="I76" s="138"/>
      <c r="J76" s="193">
        <f t="array" ref="J76">SUM(J12:K12*J25:K25)/J32</f>
        <v>0.22540022849878058</v>
      </c>
      <c r="K76" s="138"/>
      <c r="L76" s="193">
        <f t="array" ref="L76">SUM(L12:M12*L25:M25)/L32</f>
        <v>0.22646356829680339</v>
      </c>
      <c r="M76" s="138"/>
      <c r="N76" s="193">
        <f t="array" ref="N76">SUM(N12:O12*N25:O25)/N32</f>
        <v>0.22777287725680409</v>
      </c>
      <c r="O76" s="138"/>
      <c r="P76" s="193">
        <f t="array" ref="P76">SUM(P12:Q12*P25:Q25)/P32</f>
        <v>0.2293580359662826</v>
      </c>
      <c r="Q76" s="138"/>
      <c r="R76" s="193">
        <f t="array" ref="R76">SUM(R12:S12*R25:S25)/R32</f>
        <v>0.23124153419781115</v>
      </c>
      <c r="S76" s="138"/>
      <c r="T76" s="193">
        <f t="array" ref="T76">SUM(T12:U12*T25:U25)/T32</f>
        <v>0.23342515910246739</v>
      </c>
      <c r="U76" s="138"/>
      <c r="V76" s="193">
        <f t="array" ref="V76">SUM(V12:W12*V25:W25)/V32</f>
        <v>0.23586218741594681</v>
      </c>
      <c r="W76" s="138"/>
      <c r="X76" s="193">
        <f t="array" ref="X76">SUM(X12:Y12*X25:Y25)/X32</f>
        <v>0.23839866297072468</v>
      </c>
      <c r="Y76" s="138"/>
      <c r="Z76" s="193">
        <f t="array" ref="Z76">SUM(Z12:AA12*Z25:AA25)/Z32</f>
        <v>0.24065400251426797</v>
      </c>
      <c r="AA76" s="138"/>
      <c r="AB76" s="193">
        <f t="array" ref="AB76">SUM(AB12:AC12*AB25:AC25)/AB32</f>
        <v>0.24182431837425342</v>
      </c>
      <c r="AC76" s="138"/>
      <c r="AD76" s="193">
        <f t="array" ref="AD76">SUM(AD12:AE12*AD25:AE25)/AD32</f>
        <v>0.24062159324685536</v>
      </c>
      <c r="AE76" s="138"/>
      <c r="AF76" s="193">
        <f t="array" ref="AF76">SUM(AF12:AG12*AF25:AG25)/AF32</f>
        <v>0.23613683234370089</v>
      </c>
      <c r="AG76" s="138"/>
      <c r="AH76" s="193">
        <f t="array" ref="AH76">SUM(AH12:AI12*AH25:AI25)/AH32</f>
        <v>0.22927676528714316</v>
      </c>
      <c r="AI76" s="138"/>
      <c r="AJ76" s="193">
        <f t="array" ref="AJ76">SUM(AJ12:AK12*AJ25:AK25)/AJ32</f>
        <v>0.22212459500859627</v>
      </c>
      <c r="AK76" s="138"/>
      <c r="AL76" s="193">
        <f t="array" ref="AL76">SUM(AL12:AM12*AL25:AM25)/AL32</f>
        <v>0.21661468289168462</v>
      </c>
      <c r="AM76" s="138"/>
      <c r="AN76" s="193">
        <f t="array" ref="AN76">SUM(AN12:AO12*AN25:AO25)/AN32</f>
        <v>0.2139713976633866</v>
      </c>
      <c r="AO76" s="138"/>
      <c r="AP76" s="193">
        <f t="array" ref="AP76">SUM(AP12:AQ12*AP25:AQ25)/AP32</f>
        <v>0.21376877975541264</v>
      </c>
      <c r="AQ76" s="138"/>
      <c r="AR76" s="193">
        <f t="array" ref="AR76">SUM(AR12:AS12*AR25:AS25)/AR32</f>
        <v>0.21364453276767051</v>
      </c>
      <c r="AS76" s="138"/>
      <c r="AT76" s="193">
        <f t="array" ref="AT76">SUM(AT12:AU12*AT25:AU25)/AT32</f>
        <v>0.21358032739713548</v>
      </c>
      <c r="AU76" s="138"/>
      <c r="AV76" s="193">
        <f t="array" ref="AV76">SUM(AV12:AW12*AV25:AW25)/AV32</f>
        <v>0.2135566031839369</v>
      </c>
      <c r="XFD76" s="193"/>
    </row>
    <row r="77" spans="1:48 16384:16384" x14ac:dyDescent="0.2">
      <c r="A77" t="s">
        <v>188</v>
      </c>
      <c r="B77" s="193">
        <f t="array" ref="B77">SUM(B4:C4*B19:C19)/B32</f>
        <v>0.14586087017236485</v>
      </c>
      <c r="D77" s="193">
        <f t="array" ref="D77">SUM(D4:E4*D19:E19)/D32</f>
        <v>0.14622778864951502</v>
      </c>
      <c r="E77" s="138"/>
      <c r="F77" s="193">
        <f t="array" ref="F77">SUM(F4:G4*F19:G19)/F32</f>
        <v>0.14673114465033946</v>
      </c>
      <c r="G77" s="138"/>
      <c r="H77" s="193">
        <f t="array" ref="H77">SUM(H4:I4*H19:I19)/H32</f>
        <v>0.14739391367318933</v>
      </c>
      <c r="I77" s="138"/>
      <c r="J77" s="193">
        <f t="array" ref="J77">SUM(J4:K4*J19:K19)/J32</f>
        <v>0.14824241524836798</v>
      </c>
      <c r="K77" s="138"/>
      <c r="L77" s="193">
        <f t="array" ref="L77">SUM(L4:M4*L19:M19)/L32</f>
        <v>0.14930569645941097</v>
      </c>
      <c r="M77" s="138"/>
      <c r="N77" s="193">
        <f t="array" ref="N77">SUM(N4:O4*N19:O19)/N32</f>
        <v>0.15061500385336501</v>
      </c>
      <c r="O77" s="138"/>
      <c r="P77" s="193">
        <f t="array" ref="P77">SUM(P4:Q4*P19:Q19)/P32</f>
        <v>0.15220018425197057</v>
      </c>
      <c r="Q77" s="138"/>
      <c r="R77" s="193">
        <f t="array" ref="R77">SUM(R4:S4*R19:S19)/R32</f>
        <v>0.15408367956341013</v>
      </c>
      <c r="S77" s="138"/>
      <c r="T77" s="193">
        <f t="array" ref="T77">SUM(T4:U4*T19:U19)/T32</f>
        <v>0.15626729655977156</v>
      </c>
      <c r="U77" s="138"/>
      <c r="V77" s="193">
        <f t="array" ref="V77">SUM(V4:W4*V19:W19)/V32</f>
        <v>0.1587043145578193</v>
      </c>
      <c r="W77" s="138"/>
      <c r="X77" s="193">
        <f t="array" ref="X77">SUM(X4:Y4*X19:Y19)/X32</f>
        <v>0.16124078913634715</v>
      </c>
      <c r="Y77" s="138"/>
      <c r="Z77" s="193">
        <f t="array" ref="Z77">SUM(Z4:AA4*Z19:AA19)/Z32</f>
        <v>0.1634961284412785</v>
      </c>
      <c r="AA77" s="138"/>
      <c r="AB77" s="193">
        <f t="array" ref="AB77">SUM(AB4:AC4*AB19:AC19)/AB32</f>
        <v>0.16466644969561289</v>
      </c>
      <c r="AC77" s="138"/>
      <c r="AD77" s="193">
        <f t="array" ref="AD77">SUM(AD4:AE4*AD19:AE19)/AD32</f>
        <v>0.16346371964819442</v>
      </c>
      <c r="AE77" s="138"/>
      <c r="AF77" s="193">
        <f t="array" ref="AF77">SUM(AF4:AG4*AF19:AG19)/AF32</f>
        <v>0.1589789587711827</v>
      </c>
      <c r="AG77" s="138"/>
      <c r="AH77" s="193">
        <f t="array" ref="AH77">SUM(AH4:AI4*AH19:AI19)/AH32</f>
        <v>0.15211889171255683</v>
      </c>
      <c r="AI77" s="138"/>
      <c r="AJ77" s="193">
        <f t="array" ref="AJ77">SUM(AJ4:AK4*AJ19:AK19)/AJ32</f>
        <v>0.14496672143371248</v>
      </c>
      <c r="AK77" s="138"/>
      <c r="AL77" s="193">
        <f t="array" ref="AL77">SUM(AL4:AM4*AL19:AM19)/AL32</f>
        <v>0.13945680931631893</v>
      </c>
      <c r="AM77" s="138"/>
      <c r="AN77" s="193">
        <f t="array" ref="AN77">SUM(AN4:AO4*AN19:AO19)/AN32</f>
        <v>0.1368135241064109</v>
      </c>
      <c r="AO77" s="138"/>
      <c r="AP77" s="193">
        <f t="array" ref="AP77">SUM(AP4:AQ4*AP19:AQ19)/AP32</f>
        <v>0.13661090617870775</v>
      </c>
      <c r="AQ77" s="138"/>
      <c r="AR77" s="193">
        <f t="array" ref="AR77">SUM(AR4:AS4*AR19:AS19)/AR32</f>
        <v>0.13648665918707403</v>
      </c>
      <c r="AS77" s="138"/>
      <c r="AT77" s="193">
        <f t="array" ref="AT77">SUM(AT4:AU4*AT19:AU19)/AT32</f>
        <v>0.13642245382354051</v>
      </c>
      <c r="AU77" s="138"/>
      <c r="AV77" s="193">
        <f t="array" ref="AV77">SUM(AV4:AW4*AV19:AW19)/AV32</f>
        <v>0.13639872960922456</v>
      </c>
      <c r="XFD77" s="193"/>
    </row>
    <row r="78" spans="1:48 16384:16384" x14ac:dyDescent="0.2">
      <c r="A78" t="s">
        <v>189</v>
      </c>
      <c r="B78" s="193">
        <f t="array" ref="B78">SUM(B13:C13*B26:C26)/B32</f>
        <v>0.346887593115773</v>
      </c>
      <c r="D78" s="193">
        <f t="array" ref="D78">SUM(D13:E13*D26:E26)/D32</f>
        <v>0.3458735354695141</v>
      </c>
      <c r="E78" s="138"/>
      <c r="F78" s="193">
        <f t="array" ref="F78">SUM(F13:G13*F26:G26)/F32</f>
        <v>0.34473444144181664</v>
      </c>
      <c r="G78" s="138"/>
      <c r="H78" s="193">
        <f t="array" ref="H78">SUM(H13:I13*H26:I26)/H32</f>
        <v>0.34344801504928874</v>
      </c>
      <c r="I78" s="138"/>
      <c r="J78" s="193">
        <f t="array" ref="J78">SUM(J13:K13*J26:K26)/J32</f>
        <v>0.34198551325227167</v>
      </c>
      <c r="K78" s="138"/>
      <c r="L78" s="193">
        <f t="array" ref="L78">SUM(L13:M13*L26:M26)/L32</f>
        <v>0.34030877887790428</v>
      </c>
      <c r="M78" s="138"/>
      <c r="N78" s="193">
        <f t="array" ref="N78">SUM(N13:O13*N26:O26)/N32</f>
        <v>0.33836499644894164</v>
      </c>
      <c r="O78" s="138"/>
      <c r="P78" s="193">
        <f t="array" ref="P78">SUM(P13:Q13*P26:Q26)/P32</f>
        <v>0.33607831853388637</v>
      </c>
      <c r="Q78" s="138"/>
      <c r="R78" s="193">
        <f t="array" ref="R78">SUM(R13:S13*R26:S26)/R32</f>
        <v>0.33333466903131054</v>
      </c>
      <c r="S78" s="138"/>
      <c r="T78" s="193">
        <f t="array" ref="T78">SUM(T13:U13*T26:U26)/T32</f>
        <v>0.32995400815943421</v>
      </c>
      <c r="U78" s="138"/>
      <c r="V78" s="193">
        <f t="array" ref="V78">SUM(V13:W13*V26:W26)/V32</f>
        <v>0.32563720920822048</v>
      </c>
      <c r="W78" s="138"/>
      <c r="X78" s="193">
        <f t="array" ref="X78">SUM(X13:Y13*X26:Y26)/X32</f>
        <v>0.31985970641259204</v>
      </c>
      <c r="Y78" s="138"/>
      <c r="Z78" s="193">
        <f t="array" ref="Z78">SUM(Z13:AA13*Z26:AA26)/Z32</f>
        <v>0.31165411187209768</v>
      </c>
      <c r="AA78" s="138"/>
      <c r="AB78" s="193">
        <f t="array" ref="AB78">SUM(AB13:AC13*AB26:AC26)/AB32</f>
        <v>0.29919213125237781</v>
      </c>
      <c r="AC78" s="138"/>
      <c r="AD78" s="193">
        <f t="array" ref="AD78">SUM(AD13:AE13*AD26:AE26)/AD32</f>
        <v>0.27920946017610054</v>
      </c>
      <c r="AE78" s="138"/>
      <c r="AF78" s="193">
        <f t="array" ref="AF78">SUM(AF13:AG13*AF26:AG26)/AF32</f>
        <v>0.24695042776822254</v>
      </c>
      <c r="AG78" s="138"/>
      <c r="AH78" s="193">
        <f t="array" ref="AH78">SUM(AH13:AI13*AH26:AI26)/AH32</f>
        <v>0.19732029880758375</v>
      </c>
      <c r="AI78" s="138"/>
      <c r="AJ78" s="193">
        <f t="array" ref="AJ78">SUM(AJ13:AK13*AJ26:AK26)/AJ32</f>
        <v>0.12828688563135493</v>
      </c>
      <c r="AK78" s="138"/>
      <c r="AL78" s="193">
        <f t="array" ref="AL78">SUM(AL13:AM13*AL26:AM26)/AL32</f>
        <v>5.3500889208059794E-2</v>
      </c>
      <c r="AM78" s="138"/>
      <c r="AN78" s="193">
        <f t="array" ref="AN78">SUM(AN13:AO13*AN26:AO26)/AN32</f>
        <v>7.9166489622753237E-3</v>
      </c>
      <c r="AO78" s="138"/>
      <c r="AP78" s="193">
        <f t="array" ref="AP78">SUM(AP13:AQ13*AP26:AQ26)/AP32</f>
        <v>4.1066289389373716E-3</v>
      </c>
      <c r="AQ78" s="138"/>
      <c r="AR78" s="193">
        <f t="array" ref="AR78">SUM(AR13:AS13*AR26:AS26)/AR32</f>
        <v>1.7464355326801812E-3</v>
      </c>
      <c r="AS78" s="138"/>
      <c r="AT78" s="193">
        <f t="array" ref="AT78">SUM(AT13:AU13*AT26:AU26)/AT32</f>
        <v>5.1961436349884556E-4</v>
      </c>
      <c r="AU78" s="138"/>
      <c r="AV78" s="193">
        <f t="array" ref="AV78">SUM(AV13:AW13*AV26:AW26)/AV32</f>
        <v>6.5051453668996939E-5</v>
      </c>
      <c r="XFD78" s="193"/>
    </row>
    <row r="79" spans="1:48 16384:16384" x14ac:dyDescent="0.2">
      <c r="A79" t="s">
        <v>190</v>
      </c>
      <c r="B79" s="193">
        <f t="array" ref="B79">SUM(B15:C15*B27:C27)/B32</f>
        <v>0.45460968782440642</v>
      </c>
      <c r="D79" s="193">
        <f t="array" ref="D79">SUM(D15:E15*D27:E27)/D32</f>
        <v>0.45016535529412594</v>
      </c>
      <c r="F79" s="193">
        <f t="array" ref="F79">SUM(F15:G15*F27:G27)/F32</f>
        <v>0.44559019010525591</v>
      </c>
      <c r="H79" s="193">
        <f t="array" ref="H79">SUM(H15:I15*H27:I27)/H32</f>
        <v>0.44085786803634874</v>
      </c>
      <c r="J79" s="193">
        <f t="array" ref="J79">SUM(J15:K15*J27:K27)/J32</f>
        <v>0.4359353049746264</v>
      </c>
      <c r="L79" s="193">
        <f t="array" ref="L79">SUM(L15:M15*L27:M27)/L32</f>
        <v>0.4307802060493412</v>
      </c>
      <c r="N79" s="193">
        <f t="array" ref="N79">SUM(N15:O15*N27:O27)/N32</f>
        <v>0.42533543832291881</v>
      </c>
      <c r="P79" s="193">
        <f t="array" ref="P79">SUM(P15:Q15*P27:Q27)/P32</f>
        <v>0.419521268295179</v>
      </c>
      <c r="R79" s="193">
        <f t="array" ref="R79">SUM(R15:S15*R27:S27)/R32</f>
        <v>0.41321987860358039</v>
      </c>
      <c r="T79" s="193">
        <f t="array" ref="T79">SUM(T15:U15*T27:U27)/T32</f>
        <v>0.40624638326890672</v>
      </c>
      <c r="V79" s="193">
        <f t="array" ref="V79">SUM(V15:W15*V27:W27)/V32</f>
        <v>0.39829216161672398</v>
      </c>
      <c r="X79" s="193">
        <f t="array" ref="X79">SUM(X15:Y15*X27:Y27)/X32</f>
        <v>0.38880788971369079</v>
      </c>
      <c r="Z79" s="193">
        <f t="array" ref="Z79">SUM(Z15:AA15*Z27:AA27)/Z32</f>
        <v>0.3767563935383198</v>
      </c>
      <c r="AB79" s="193">
        <f t="array" ref="AB79">SUM(AB15:AC15*AB27:AC27)/AB32</f>
        <v>0.3601142749425576</v>
      </c>
      <c r="AD79" s="193">
        <f t="array" ref="AD79">SUM(AD15:AE15*AD27:AE27)/AD32</f>
        <v>0.33511978060306835</v>
      </c>
      <c r="AF79" s="193">
        <f t="array" ref="AF79">SUM(AF15:AG15*AF27:AG27)/AF32</f>
        <v>0.29602762024501994</v>
      </c>
      <c r="AH79" s="193">
        <f t="array" ref="AH79">SUM(AH15:AI15*AH27:AI27)/AH32</f>
        <v>0.23645030810624873</v>
      </c>
      <c r="AJ79" s="193">
        <f t="array" ref="AJ79">SUM(AJ15:AK15*AJ27:AK27)/AJ32</f>
        <v>0.15371701442514391</v>
      </c>
      <c r="AL79" s="193">
        <f t="array" ref="AL79">SUM(AL15:AM15*AL27:AM27)/AL32</f>
        <v>6.4105691170942419E-2</v>
      </c>
      <c r="AN79" s="193">
        <f t="array" ref="AN79">SUM(AN15:AO15*AN27:AO27)/AN32</f>
        <v>9.4858479998030099E-3</v>
      </c>
      <c r="AP79" s="193">
        <f t="array" ref="AP79">SUM(AP15:AQ15*AP27:AQ27)/AP32</f>
        <v>4.9206266428629495E-3</v>
      </c>
      <c r="AR79" s="193">
        <f t="array" ref="AR79">SUM(AR15:AS15*AR27:AS27)/AR32</f>
        <v>2.0926071924582787E-3</v>
      </c>
      <c r="AT79" s="193">
        <f t="array" ref="AT79">SUM(AT15:AU15*AT27:AU27)/AT32</f>
        <v>6.2260951903143457E-4</v>
      </c>
      <c r="AV79" s="193">
        <f t="array" ref="AV79">SUM(AV15:AW15*AV27:AW27)/AV32</f>
        <v>7.7945591518528725E-5</v>
      </c>
      <c r="XFD79" s="193"/>
    </row>
    <row r="80" spans="1:48 16384:16384" x14ac:dyDescent="0.2">
      <c r="A80" t="s">
        <v>169</v>
      </c>
      <c r="B80" s="236">
        <f>B55</f>
        <v>0.19850271905982084</v>
      </c>
      <c r="D80" s="236">
        <f>D55</f>
        <v>0.20396114102241267</v>
      </c>
      <c r="F80" s="236">
        <f>F55</f>
        <v>0.20967536666128839</v>
      </c>
      <c r="H80" s="236">
        <f>H55</f>
        <v>0.21569411422307283</v>
      </c>
      <c r="J80" s="236">
        <f>J55</f>
        <v>0.22207922221100093</v>
      </c>
      <c r="L80" s="236">
        <f>L55</f>
        <v>0.22891100959507071</v>
      </c>
      <c r="N80" s="236">
        <f>N55</f>
        <v>0.23629957224684561</v>
      </c>
      <c r="P80" s="236">
        <f>P55</f>
        <v>0.24440043007263776</v>
      </c>
      <c r="R80" s="236">
        <f>R55</f>
        <v>0.25344546651598554</v>
      </c>
      <c r="T80" s="236">
        <f>T55</f>
        <v>0.26379961649501643</v>
      </c>
      <c r="V80" s="236">
        <f>V55</f>
        <v>0.27607063510495788</v>
      </c>
      <c r="X80" s="236">
        <f>X55</f>
        <v>0.29133240667556065</v>
      </c>
      <c r="Z80" s="236">
        <f>Z55</f>
        <v>0.31158949781553896</v>
      </c>
      <c r="AB80" s="236">
        <f>AB55</f>
        <v>0.34069360061391701</v>
      </c>
      <c r="AD80" s="236">
        <f>AD55</f>
        <v>0.38567075975828935</v>
      </c>
      <c r="AF80" s="236">
        <f>AF55</f>
        <v>0.45702195194137468</v>
      </c>
      <c r="AH80" s="236">
        <f>AH55</f>
        <v>0.56622939296666441</v>
      </c>
      <c r="AJ80" s="236">
        <f>AJ55</f>
        <v>0.71799609991652014</v>
      </c>
      <c r="AL80" s="236">
        <f>AL55</f>
        <v>0.88239341948978378</v>
      </c>
      <c r="AN80" s="236">
        <f>AN55</f>
        <v>0.98259750816580382</v>
      </c>
      <c r="AP80" s="236">
        <f>AP55</f>
        <v>0.99097274389611612</v>
      </c>
      <c r="AR80" s="236">
        <f>AR55</f>
        <v>0.99616095562460671</v>
      </c>
      <c r="AT80" s="236">
        <f>AT55</f>
        <v>0.99885777649390617</v>
      </c>
      <c r="AV80" s="236">
        <f>AV55</f>
        <v>0.99985700300245239</v>
      </c>
      <c r="XFD80" s="236"/>
    </row>
    <row r="81" spans="1:48 16384:16384" x14ac:dyDescent="0.2">
      <c r="A81" t="s">
        <v>191</v>
      </c>
      <c r="B81" s="236">
        <f>B51/B$32</f>
        <v>-2.7543485504603994E-2</v>
      </c>
      <c r="D81" s="236">
        <f>D51/D$32</f>
        <v>-2.2085063542012191E-2</v>
      </c>
      <c r="F81" s="236">
        <f>F51/F$32</f>
        <v>-1.6370837903136433E-2</v>
      </c>
      <c r="H81" s="236">
        <f>H51/H$32</f>
        <v>-1.0352090341351983E-2</v>
      </c>
      <c r="J81" s="236">
        <f>J51/J$32</f>
        <v>-3.9669823534238865E-3</v>
      </c>
      <c r="L81" s="236">
        <f>L51/L$32</f>
        <v>2.8648050306458481E-3</v>
      </c>
      <c r="N81" s="236">
        <f>N51/N$32</f>
        <v>1.025336768242077E-2</v>
      </c>
      <c r="P81" s="236">
        <f>P51/P$32</f>
        <v>1.8354225508212918E-2</v>
      </c>
      <c r="R81" s="236">
        <f>R51/R$32</f>
        <v>2.7399261951560668E-2</v>
      </c>
      <c r="T81" s="236">
        <f>T51/T$32</f>
        <v>3.7753411930591625E-2</v>
      </c>
      <c r="V81" s="236">
        <f>V51/V$32</f>
        <v>5.002443054053303E-2</v>
      </c>
      <c r="X81" s="236">
        <f>X51/X$32</f>
        <v>6.5286202111135783E-2</v>
      </c>
      <c r="Z81" s="236">
        <f>Z51/Z$32</f>
        <v>8.5543293251114094E-2</v>
      </c>
      <c r="AB81" s="236">
        <f>AB51/AB$32</f>
        <v>0.11464739604949219</v>
      </c>
      <c r="AD81" s="236">
        <f>AD51/AD$32</f>
        <v>0.15962455519386454</v>
      </c>
      <c r="AF81" s="236">
        <f>AF51/AF$32</f>
        <v>0.23097574737694987</v>
      </c>
      <c r="AH81" s="236">
        <f>AH51/AH$32</f>
        <v>0.3401831884022396</v>
      </c>
      <c r="AJ81" s="236">
        <f>AJ51/AJ$32</f>
        <v>0.49194989535209538</v>
      </c>
      <c r="AL81" s="236">
        <f>AL51/AL$32</f>
        <v>0.65634721492535897</v>
      </c>
      <c r="AN81" s="236">
        <f>AN51/AN$32</f>
        <v>0.75655130360137901</v>
      </c>
      <c r="AP81" s="236">
        <f>AP51/AP$32</f>
        <v>0.7649265393316913</v>
      </c>
      <c r="AR81" s="236">
        <f>AR51/AR$32</f>
        <v>0.7701147510601819</v>
      </c>
      <c r="AT81" s="236">
        <f>AT51/AT$32</f>
        <v>0.77281157192948147</v>
      </c>
      <c r="AV81" s="236">
        <f>AV51/AV$32</f>
        <v>0.77381079843802758</v>
      </c>
      <c r="XFD81" s="236"/>
    </row>
    <row r="82" spans="1:48 16384:16384" x14ac:dyDescent="0.2">
      <c r="A82" t="s">
        <v>192</v>
      </c>
      <c r="B82" s="236">
        <f>B52/B$32</f>
        <v>0.13907860278212886</v>
      </c>
      <c r="D82" s="236">
        <f>D52/D$32</f>
        <v>0.13867203384342613</v>
      </c>
      <c r="F82" s="236">
        <f>F52/F$32</f>
        <v>0.13821533372225242</v>
      </c>
      <c r="H82" s="236">
        <f>H52/H$32</f>
        <v>0.13769956322827823</v>
      </c>
      <c r="J82" s="236">
        <f>J52/J$32</f>
        <v>0.13711319833506166</v>
      </c>
      <c r="L82" s="236">
        <f>L52/L$32</f>
        <v>0.13644094058168058</v>
      </c>
      <c r="N82" s="236">
        <f>N52/N$32</f>
        <v>0.13566161451266676</v>
      </c>
      <c r="P82" s="236">
        <f>P52/P$32</f>
        <v>0.13474481040738848</v>
      </c>
      <c r="R82" s="236">
        <f>R52/R$32</f>
        <v>0.133644791418774</v>
      </c>
      <c r="T82" s="236">
        <f>T52/T$32</f>
        <v>0.13228937369882154</v>
      </c>
      <c r="V82" s="236">
        <f>V52/V$32</f>
        <v>0.13055862754778874</v>
      </c>
      <c r="X82" s="236">
        <f>X52/X$32</f>
        <v>0.12824223736165236</v>
      </c>
      <c r="Z82" s="236">
        <f>Z52/Z$32</f>
        <v>0.12495234563206334</v>
      </c>
      <c r="AB82" s="236">
        <f>AB52/AB$32</f>
        <v>0.1199559292514113</v>
      </c>
      <c r="AD82" s="236">
        <f>AD52/AD$32</f>
        <v>0.11194422163113915</v>
      </c>
      <c r="AF82" s="236">
        <f>AF52/AF$32</f>
        <v>9.9010518485135562E-2</v>
      </c>
      <c r="AH82" s="236">
        <f>AH52/AH$32</f>
        <v>7.9112173520578644E-2</v>
      </c>
      <c r="AJ82" s="236">
        <f>AJ52/AJ$32</f>
        <v>5.1434416113362948E-2</v>
      </c>
      <c r="AL82" s="236">
        <f>AL52/AL$32</f>
        <v>2.1450259583585256E-2</v>
      </c>
      <c r="AN82" s="236">
        <f>AN52/AN$32</f>
        <v>3.1740439792044503E-3</v>
      </c>
      <c r="AP82" s="236">
        <f>AP52/AP$32</f>
        <v>1.6464821063273019E-3</v>
      </c>
      <c r="AR82" s="236">
        <f>AR52/AR$32</f>
        <v>7.0020323169401417E-4</v>
      </c>
      <c r="AT82" s="236">
        <f>AT52/AT$32</f>
        <v>2.0833042488442536E-4</v>
      </c>
      <c r="AV82" s="236">
        <f>AV52/AV$32</f>
        <v>2.6081259361187295E-5</v>
      </c>
    </row>
    <row r="83" spans="1:48 16384:16384" x14ac:dyDescent="0.2">
      <c r="A83" t="s">
        <v>193</v>
      </c>
      <c r="B83" s="236">
        <f>B53/B$32</f>
        <v>0.18600714462929935</v>
      </c>
      <c r="D83" s="236">
        <f>D53/D$32</f>
        <v>0.18418871086978855</v>
      </c>
      <c r="F83" s="236">
        <f>F53/F$32</f>
        <v>0.18231674589459912</v>
      </c>
      <c r="H83" s="236">
        <f>H53/H$32</f>
        <v>0.18038047894059697</v>
      </c>
      <c r="J83" s="236">
        <f>J53/J$32</f>
        <v>0.17836637338171521</v>
      </c>
      <c r="L83" s="236">
        <f>L53/L$32</f>
        <v>0.17625712393751011</v>
      </c>
      <c r="N83" s="236">
        <f>N53/N$32</f>
        <v>0.17402935421529345</v>
      </c>
      <c r="P83" s="236">
        <f>P53/P$32</f>
        <v>0.17165044062367008</v>
      </c>
      <c r="R83" s="236">
        <f>R53/R$32</f>
        <v>0.16907217725814433</v>
      </c>
      <c r="T83" s="236">
        <f>T53/T$32</f>
        <v>0.16621891655994864</v>
      </c>
      <c r="V83" s="236">
        <f>V53/V$32</f>
        <v>0.16296438394241558</v>
      </c>
      <c r="X83" s="236">
        <f>X53/X$32</f>
        <v>0.15908381917923678</v>
      </c>
      <c r="Z83" s="236">
        <f>Z53/Z$32</f>
        <v>0.15415285432712497</v>
      </c>
      <c r="AB83" s="236">
        <f>AB53/AB$32</f>
        <v>0.14734360005145378</v>
      </c>
      <c r="AD83" s="236">
        <f>AD53/AD$32</f>
        <v>0.13711690526676779</v>
      </c>
      <c r="AF83" s="236">
        <f>AF53/AF$32</f>
        <v>0.12112203907641093</v>
      </c>
      <c r="AH83" s="236">
        <f>AH53/AH$32</f>
        <v>9.674551122753304E-2</v>
      </c>
      <c r="AJ83" s="236">
        <f>AJ53/AJ$32</f>
        <v>6.2894530626909376E-2</v>
      </c>
      <c r="AL83" s="236">
        <f>AL53/AL$32</f>
        <v>2.6229349898501047E-2</v>
      </c>
      <c r="AN83" s="236">
        <f>AN53/AN$32</f>
        <v>3.881209635621369E-3</v>
      </c>
      <c r="AP83" s="236">
        <f>AP53/AP$32</f>
        <v>2.0133132578101093E-3</v>
      </c>
      <c r="AR83" s="236">
        <f>AR53/AR$32</f>
        <v>8.5620676181068006E-4</v>
      </c>
      <c r="AT83" s="236">
        <f>AT53/AT$32</f>
        <v>2.5474560255915677E-4</v>
      </c>
      <c r="AV83" s="236">
        <f>AV53/AV$32</f>
        <v>3.1892054443862408E-5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4"/>
  <dimension ref="A1:XFD83"/>
  <sheetViews>
    <sheetView showGridLines="0" workbookViewId="0">
      <pane ySplit="1" topLeftCell="A2" activePane="bottomLeft" state="frozen"/>
      <selection pane="bottomLef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c r="AH1" s="94"/>
      <c r="AJ1" s="94"/>
      <c r="AL1" s="94"/>
      <c r="AN1" s="94"/>
      <c r="AP1" s="94"/>
      <c r="AR1" s="94"/>
      <c r="AT1" s="94"/>
      <c r="AV1" s="94"/>
    </row>
    <row r="2" spans="1:49" x14ac:dyDescent="0.2">
      <c r="A2" s="229" t="s">
        <v>155</v>
      </c>
      <c r="B2" s="226">
        <v>5.7716594496607888E-3</v>
      </c>
      <c r="C2" s="227"/>
      <c r="D2" s="226">
        <v>7.3600213743676146E-2</v>
      </c>
      <c r="E2" s="227"/>
      <c r="F2" s="226">
        <v>0.14864451853442823</v>
      </c>
      <c r="G2" s="227"/>
      <c r="H2" s="226">
        <v>0.23214699681366854</v>
      </c>
      <c r="I2" s="227"/>
      <c r="J2" s="226">
        <v>0.3257190318496011</v>
      </c>
      <c r="K2" s="227"/>
      <c r="L2" s="226">
        <v>0.43151039069575825</v>
      </c>
      <c r="M2" s="227"/>
      <c r="N2" s="226">
        <v>0.55252188468163022</v>
      </c>
      <c r="O2" s="227"/>
      <c r="P2" s="226">
        <v>0.6930963077758876</v>
      </c>
      <c r="Q2" s="227"/>
      <c r="R2" s="226">
        <v>0.85983486001359366</v>
      </c>
      <c r="S2" s="227"/>
      <c r="T2" s="226">
        <v>1.0633273070617546</v>
      </c>
      <c r="U2" s="227"/>
      <c r="V2" s="226">
        <v>1.3216123183882953</v>
      </c>
      <c r="W2" s="227"/>
      <c r="X2" s="226">
        <v>1.6676312031242602</v>
      </c>
      <c r="Y2" s="227"/>
      <c r="Z2" s="226">
        <v>2.16633442146169</v>
      </c>
      <c r="AA2" s="227"/>
      <c r="AB2" s="226">
        <v>2.9552532886389864</v>
      </c>
      <c r="AC2" s="227"/>
      <c r="AD2" s="226">
        <v>4.3329450165283712</v>
      </c>
      <c r="AE2" s="227"/>
      <c r="AF2" s="226"/>
      <c r="AG2" s="227"/>
      <c r="AH2" s="226"/>
      <c r="AI2" s="227"/>
      <c r="AJ2" s="226"/>
      <c r="AK2" s="227"/>
      <c r="AL2" s="226"/>
      <c r="AM2" s="227"/>
      <c r="AN2" s="226"/>
      <c r="AO2" s="227"/>
      <c r="AP2" s="226"/>
      <c r="AQ2" s="227"/>
      <c r="AR2" s="226"/>
      <c r="AS2" s="227"/>
      <c r="AT2" s="226"/>
      <c r="AU2" s="227"/>
      <c r="AV2" s="226"/>
      <c r="AW2" s="227"/>
    </row>
    <row r="3" spans="1:49" x14ac:dyDescent="0.2">
      <c r="A3" t="s">
        <v>12</v>
      </c>
      <c r="B3" s="84">
        <v>1000</v>
      </c>
      <c r="C3" s="85">
        <v>1000</v>
      </c>
      <c r="D3" s="84">
        <v>997.99512003660243</v>
      </c>
      <c r="E3" s="85">
        <v>1028.1890882116497</v>
      </c>
      <c r="F3" s="84">
        <v>995.86182805020394</v>
      </c>
      <c r="G3" s="85">
        <v>1060.5680569334074</v>
      </c>
      <c r="H3" s="84">
        <v>993.57801208973603</v>
      </c>
      <c r="I3" s="85">
        <v>1097.9800290129067</v>
      </c>
      <c r="J3" s="84">
        <v>991.11798163465289</v>
      </c>
      <c r="K3" s="85">
        <v>1141.5071534243718</v>
      </c>
      <c r="L3" s="84">
        <v>988.45298502039907</v>
      </c>
      <c r="M3" s="85">
        <v>1192.5642902563677</v>
      </c>
      <c r="N3" s="84">
        <v>985.55208872545018</v>
      </c>
      <c r="O3" s="85">
        <v>1253.0677877671069</v>
      </c>
      <c r="P3" s="84">
        <v>982.38538224168894</v>
      </c>
      <c r="Q3" s="85">
        <v>1325.6879468296229</v>
      </c>
      <c r="R3" s="84">
        <v>978.92972512575318</v>
      </c>
      <c r="S3" s="85">
        <v>1414.3158138307601</v>
      </c>
      <c r="T3" s="84">
        <v>975.18063066071454</v>
      </c>
      <c r="U3" s="85">
        <v>1524.9203902620513</v>
      </c>
      <c r="V3" s="84">
        <v>971.17606033655352</v>
      </c>
      <c r="W3" s="85">
        <v>1667.2300599763551</v>
      </c>
      <c r="X3" s="84">
        <v>967.04489207564905</v>
      </c>
      <c r="Y3" s="85">
        <v>1858.2630372785254</v>
      </c>
      <c r="Z3" s="84">
        <v>963.10374348135781</v>
      </c>
      <c r="AA3" s="85">
        <v>2130.1964387482972</v>
      </c>
      <c r="AB3" s="84">
        <v>960.02002259114397</v>
      </c>
      <c r="AC3" s="85">
        <v>2548.3657539577539</v>
      </c>
      <c r="AD3" s="84">
        <v>958.8879862096835</v>
      </c>
      <c r="AE3" s="85">
        <v>3248.8995140688639</v>
      </c>
      <c r="AF3" s="84"/>
      <c r="AG3" s="85"/>
      <c r="AH3" s="84"/>
      <c r="AI3" s="85"/>
      <c r="AJ3" s="84"/>
      <c r="AK3" s="85"/>
      <c r="AL3" s="84"/>
      <c r="AM3" s="85"/>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c r="AG4" s="102"/>
      <c r="AH4" s="101"/>
      <c r="AI4" s="102"/>
      <c r="AJ4" s="101"/>
      <c r="AK4" s="102"/>
      <c r="AL4" s="101"/>
      <c r="AM4" s="102"/>
      <c r="AN4" s="101"/>
      <c r="AO4" s="102"/>
      <c r="AP4" s="101"/>
      <c r="AQ4" s="102"/>
      <c r="AR4" s="101"/>
      <c r="AS4" s="102"/>
      <c r="AT4" s="101"/>
      <c r="AU4" s="102"/>
      <c r="AV4" s="101"/>
      <c r="AW4" s="102"/>
    </row>
    <row r="5" spans="1:49" x14ac:dyDescent="0.2">
      <c r="A5" t="s">
        <v>128</v>
      </c>
      <c r="B5" s="41">
        <v>1000</v>
      </c>
      <c r="C5" s="42">
        <v>1000</v>
      </c>
      <c r="D5" s="41">
        <v>997.89540609009214</v>
      </c>
      <c r="E5" s="42">
        <v>1024.4163299920549</v>
      </c>
      <c r="F5" s="41">
        <v>995.65405712301197</v>
      </c>
      <c r="G5" s="42">
        <v>1051.6429162434463</v>
      </c>
      <c r="H5" s="41">
        <v>993.25230799611768</v>
      </c>
      <c r="I5" s="42">
        <v>1082.0260374207573</v>
      </c>
      <c r="J5" s="41">
        <v>990.66261961932207</v>
      </c>
      <c r="K5" s="42">
        <v>1115.9448402729802</v>
      </c>
      <c r="L5" s="41">
        <v>987.85406646617332</v>
      </c>
      <c r="M5" s="42">
        <v>1153.8108420007691</v>
      </c>
      <c r="N5" s="41">
        <v>984.7932113400193</v>
      </c>
      <c r="O5" s="42">
        <v>1196.0536101057216</v>
      </c>
      <c r="P5" s="41">
        <v>981.44744896011457</v>
      </c>
      <c r="Q5" s="42">
        <v>1243.1079878770918</v>
      </c>
      <c r="R5" s="41">
        <v>977.791052605088</v>
      </c>
      <c r="S5" s="42">
        <v>1295.3814496973459</v>
      </c>
      <c r="T5" s="41">
        <v>973.81778824203889</v>
      </c>
      <c r="U5" s="42">
        <v>1353.1801984570659</v>
      </c>
      <c r="V5" s="41">
        <v>969.56633687727333</v>
      </c>
      <c r="W5" s="42">
        <v>1416.5626978447001</v>
      </c>
      <c r="X5" s="41">
        <v>965.17232133670973</v>
      </c>
      <c r="Y5" s="42">
        <v>1484.9999823982023</v>
      </c>
      <c r="Z5" s="41">
        <v>960.9725790523263</v>
      </c>
      <c r="AA5" s="42">
        <v>1556.6240691257967</v>
      </c>
      <c r="AB5" s="41">
        <v>957.68111579801814</v>
      </c>
      <c r="AC5" s="42">
        <v>1626.7247157189497</v>
      </c>
      <c r="AD5" s="41">
        <v>956.47161390239194</v>
      </c>
      <c r="AE5" s="42">
        <v>1686.1773871509695</v>
      </c>
      <c r="AF5" s="41"/>
      <c r="AG5" s="42"/>
      <c r="AH5" s="41"/>
      <c r="AI5" s="42"/>
      <c r="AJ5" s="41"/>
      <c r="AK5" s="42"/>
      <c r="AL5" s="41"/>
      <c r="AM5" s="42"/>
      <c r="AN5" s="41"/>
      <c r="AO5" s="42"/>
      <c r="AP5" s="41"/>
      <c r="AQ5" s="42"/>
      <c r="AR5" s="41"/>
      <c r="AS5" s="42"/>
      <c r="AT5" s="41"/>
      <c r="AU5" s="42"/>
      <c r="AV5" s="41"/>
      <c r="AW5" s="42"/>
    </row>
    <row r="6" spans="1:49" x14ac:dyDescent="0.2">
      <c r="A6" t="s">
        <v>77</v>
      </c>
      <c r="B6" s="41">
        <v>999.99999999999943</v>
      </c>
      <c r="C6" s="42">
        <v>999.99999999999909</v>
      </c>
      <c r="D6" s="41">
        <v>997.73479044783494</v>
      </c>
      <c r="E6" s="42">
        <v>1030.3628519371885</v>
      </c>
      <c r="F6" s="41">
        <v>995.32319058698567</v>
      </c>
      <c r="G6" s="42">
        <v>1065.0904184300487</v>
      </c>
      <c r="H6" s="41">
        <v>992.73992413036842</v>
      </c>
      <c r="I6" s="42">
        <v>1105.0436333101745</v>
      </c>
      <c r="J6" s="41">
        <v>989.95557793694661</v>
      </c>
      <c r="K6" s="42">
        <v>1151.3271507841273</v>
      </c>
      <c r="L6" s="41">
        <v>986.93715985186748</v>
      </c>
      <c r="M6" s="42">
        <v>1205.3852836264211</v>
      </c>
      <c r="N6" s="41">
        <v>983.64906280922457</v>
      </c>
      <c r="O6" s="42">
        <v>1269.1756643918507</v>
      </c>
      <c r="P6" s="41">
        <v>980.05666563283955</v>
      </c>
      <c r="Q6" s="42">
        <v>1345.4281297157763</v>
      </c>
      <c r="R6" s="41">
        <v>976.13283476726383</v>
      </c>
      <c r="S6" s="42">
        <v>1438.124162186956</v>
      </c>
      <c r="T6" s="41">
        <v>971.87144310209874</v>
      </c>
      <c r="U6" s="42">
        <v>1553.3766536983865</v>
      </c>
      <c r="V6" s="41">
        <v>967.31455316654228</v>
      </c>
      <c r="W6" s="42">
        <v>1701.1546692742133</v>
      </c>
      <c r="X6" s="41">
        <v>962.60796312829245</v>
      </c>
      <c r="Y6" s="42">
        <v>1898.9034059259152</v>
      </c>
      <c r="Z6" s="41">
        <v>958.11241440473896</v>
      </c>
      <c r="AA6" s="42">
        <v>2179.6100626781263</v>
      </c>
      <c r="AB6" s="41">
        <v>954.59113118566324</v>
      </c>
      <c r="AC6" s="42">
        <v>2610.2498022544983</v>
      </c>
      <c r="AD6" s="41">
        <v>953.2976221942622</v>
      </c>
      <c r="AE6" s="42">
        <v>3330.3567395810837</v>
      </c>
      <c r="AF6" s="41"/>
      <c r="AG6" s="42"/>
      <c r="AH6" s="41"/>
      <c r="AI6" s="42"/>
      <c r="AJ6" s="41"/>
      <c r="AK6" s="42"/>
      <c r="AL6" s="41"/>
      <c r="AM6" s="42"/>
      <c r="AN6" s="41"/>
      <c r="AO6" s="42"/>
      <c r="AP6" s="41"/>
      <c r="AQ6" s="42"/>
      <c r="AR6" s="41"/>
      <c r="AS6" s="42"/>
      <c r="AT6" s="41"/>
      <c r="AU6" s="42"/>
      <c r="AV6" s="41"/>
      <c r="AW6" s="42"/>
    </row>
    <row r="7" spans="1:49" x14ac:dyDescent="0.2">
      <c r="A7" t="s">
        <v>13</v>
      </c>
      <c r="B7" s="33">
        <v>1015.9116825427475</v>
      </c>
      <c r="C7" s="34">
        <v>1015.9116825427475</v>
      </c>
      <c r="D7" s="33">
        <v>1013.7736010026638</v>
      </c>
      <c r="E7" s="34">
        <v>1013.7736010026638</v>
      </c>
      <c r="F7" s="33">
        <v>1011.4965884023519</v>
      </c>
      <c r="G7" s="34">
        <v>1011.4965884023519</v>
      </c>
      <c r="H7" s="33">
        <v>1009.0566234058031</v>
      </c>
      <c r="I7" s="34">
        <v>1009.0566234058031</v>
      </c>
      <c r="J7" s="33">
        <v>1006.4257287296713</v>
      </c>
      <c r="K7" s="34">
        <v>1006.4257287296713</v>
      </c>
      <c r="L7" s="33">
        <v>1003.5724867703452</v>
      </c>
      <c r="M7" s="34">
        <v>1003.5724867703452</v>
      </c>
      <c r="N7" s="33">
        <v>1000.4629282891145</v>
      </c>
      <c r="O7" s="34">
        <v>1000.4629282891145</v>
      </c>
      <c r="P7" s="33">
        <v>997.06392920035728</v>
      </c>
      <c r="Q7" s="34">
        <v>997.06392920035728</v>
      </c>
      <c r="R7" s="33">
        <v>993.34935342727897</v>
      </c>
      <c r="S7" s="34">
        <v>993.34935342727897</v>
      </c>
      <c r="T7" s="33">
        <v>989.31286774302669</v>
      </c>
      <c r="U7" s="34">
        <v>989.31286774302669</v>
      </c>
      <c r="V7" s="33">
        <v>984.99376863379905</v>
      </c>
      <c r="W7" s="34">
        <v>984.99376863379905</v>
      </c>
      <c r="X7" s="33">
        <v>980.52983691286613</v>
      </c>
      <c r="Y7" s="34">
        <v>980.52983691286613</v>
      </c>
      <c r="Z7" s="33">
        <v>976.26326966249223</v>
      </c>
      <c r="AA7" s="34">
        <v>976.26326966249223</v>
      </c>
      <c r="AB7" s="33">
        <v>972.91943368978036</v>
      </c>
      <c r="AC7" s="34">
        <v>972.91943368978036</v>
      </c>
      <c r="AD7" s="33">
        <v>971.69068658395611</v>
      </c>
      <c r="AE7" s="34">
        <v>971.69068658395611</v>
      </c>
      <c r="AF7" s="33"/>
      <c r="AG7" s="34"/>
      <c r="AH7" s="33"/>
      <c r="AI7" s="34"/>
      <c r="AJ7" s="33"/>
      <c r="AK7" s="34"/>
      <c r="AL7" s="33"/>
      <c r="AM7" s="34"/>
      <c r="AN7" s="33"/>
      <c r="AO7" s="34"/>
      <c r="AP7" s="33"/>
      <c r="AQ7" s="34"/>
      <c r="AR7" s="33"/>
      <c r="AS7" s="34"/>
      <c r="AT7" s="33"/>
      <c r="AU7" s="34"/>
      <c r="AV7" s="33"/>
      <c r="AW7" s="34"/>
    </row>
    <row r="8" spans="1:49" x14ac:dyDescent="0.2">
      <c r="B8" s="35">
        <v>1005.7716594496609</v>
      </c>
      <c r="C8" s="36">
        <v>1005.7716594496609</v>
      </c>
      <c r="D8" s="35">
        <v>1099.8135908419824</v>
      </c>
      <c r="E8" s="36">
        <v>1099.8135908419824</v>
      </c>
      <c r="F8" s="35">
        <v>1207.9638711985954</v>
      </c>
      <c r="G8" s="36">
        <v>1207.9638711985954</v>
      </c>
      <c r="H8" s="35">
        <v>1333.2151324821803</v>
      </c>
      <c r="I8" s="36">
        <v>1333.2151324821803</v>
      </c>
      <c r="J8" s="35">
        <v>1479.4293132442529</v>
      </c>
      <c r="K8" s="36">
        <v>1479.4293132442529</v>
      </c>
      <c r="L8" s="35">
        <v>1651.6922092215227</v>
      </c>
      <c r="M8" s="36">
        <v>1651.6922092215227</v>
      </c>
      <c r="N8" s="35">
        <v>1856.8994049416026</v>
      </c>
      <c r="O8" s="36">
        <v>1856.8994049416026</v>
      </c>
      <c r="P8" s="35">
        <v>2104.7015444414169</v>
      </c>
      <c r="Q8" s="36">
        <v>2104.7015444414169</v>
      </c>
      <c r="R8" s="35">
        <v>2409.1955771620692</v>
      </c>
      <c r="S8" s="36">
        <v>2409.1955771620692</v>
      </c>
      <c r="T8" s="35">
        <v>2792.0536548517089</v>
      </c>
      <c r="U8" s="36">
        <v>2792.0536548517089</v>
      </c>
      <c r="V8" s="35">
        <v>3288.7094090856126</v>
      </c>
      <c r="W8" s="36">
        <v>3288.7094090856126</v>
      </c>
      <c r="X8" s="35">
        <v>3961.4322896844214</v>
      </c>
      <c r="Y8" s="36">
        <v>3961.4322896844214</v>
      </c>
      <c r="Z8" s="35">
        <v>4928.7923713487717</v>
      </c>
      <c r="AA8" s="36">
        <v>4928.7923713487717</v>
      </c>
      <c r="AB8" s="35">
        <v>6434.1082815576965</v>
      </c>
      <c r="AC8" s="36">
        <v>6434.1082815576965</v>
      </c>
      <c r="AD8" s="35">
        <v>8992.2912937895926</v>
      </c>
      <c r="AE8" s="36">
        <v>8992.2912937895926</v>
      </c>
      <c r="AF8" s="35"/>
      <c r="AG8" s="36"/>
      <c r="AH8" s="35"/>
      <c r="AI8" s="36"/>
      <c r="AJ8" s="35"/>
      <c r="AK8" s="36"/>
      <c r="AL8" s="35"/>
      <c r="AM8" s="36"/>
      <c r="AN8" s="35"/>
      <c r="AO8" s="36"/>
      <c r="AP8" s="35"/>
      <c r="AQ8" s="36"/>
      <c r="AR8" s="35"/>
      <c r="AS8" s="36"/>
      <c r="AT8" s="35"/>
      <c r="AU8" s="36"/>
      <c r="AV8" s="35"/>
      <c r="AW8" s="36"/>
    </row>
    <row r="9" spans="1:49" x14ac:dyDescent="0.2">
      <c r="A9" t="s">
        <v>14</v>
      </c>
      <c r="B9" s="41">
        <v>1015.9116825427475</v>
      </c>
      <c r="C9" s="42">
        <v>1005.7716594496609</v>
      </c>
      <c r="D9" s="41">
        <v>1013.7736010026638</v>
      </c>
      <c r="E9" s="42">
        <v>1099.8135908419824</v>
      </c>
      <c r="F9" s="41">
        <v>1011.4965884023519</v>
      </c>
      <c r="G9" s="42">
        <v>1207.9638711985954</v>
      </c>
      <c r="H9" s="41">
        <v>1009.0566234058031</v>
      </c>
      <c r="I9" s="42">
        <v>1333.2151324821803</v>
      </c>
      <c r="J9" s="41">
        <v>1006.4257287296713</v>
      </c>
      <c r="K9" s="42">
        <v>1479.4293132442529</v>
      </c>
      <c r="L9" s="41">
        <v>1003.5724867703452</v>
      </c>
      <c r="M9" s="42">
        <v>1651.6922092215227</v>
      </c>
      <c r="N9" s="41">
        <v>1000.4629282891145</v>
      </c>
      <c r="O9" s="42">
        <v>1856.8994049416026</v>
      </c>
      <c r="P9" s="41">
        <v>997.06392920035728</v>
      </c>
      <c r="Q9" s="42">
        <v>2104.7015444414169</v>
      </c>
      <c r="R9" s="41">
        <v>993.34935342727897</v>
      </c>
      <c r="S9" s="42">
        <v>2409.1955771620692</v>
      </c>
      <c r="T9" s="41">
        <v>989.31286774302669</v>
      </c>
      <c r="U9" s="42">
        <v>2792.0536548517089</v>
      </c>
      <c r="V9" s="41">
        <v>984.99376863379905</v>
      </c>
      <c r="W9" s="42">
        <v>3288.7094090856126</v>
      </c>
      <c r="X9" s="41">
        <v>980.52983691286613</v>
      </c>
      <c r="Y9" s="42">
        <v>3961.4322896844214</v>
      </c>
      <c r="Z9" s="41">
        <v>976.26326966249223</v>
      </c>
      <c r="AA9" s="42">
        <v>4928.7923713487717</v>
      </c>
      <c r="AB9" s="41">
        <v>972.91943368978036</v>
      </c>
      <c r="AC9" s="42">
        <v>6434.1082815576965</v>
      </c>
      <c r="AD9" s="41">
        <v>971.69068658395611</v>
      </c>
      <c r="AE9" s="42">
        <v>8992.2912937895926</v>
      </c>
      <c r="AF9" s="41"/>
      <c r="AG9" s="42"/>
      <c r="AH9" s="41"/>
      <c r="AI9" s="42"/>
      <c r="AJ9" s="41"/>
      <c r="AK9" s="42"/>
      <c r="AL9" s="41"/>
      <c r="AM9" s="42"/>
      <c r="AN9" s="41"/>
      <c r="AO9" s="42"/>
      <c r="AP9" s="41"/>
      <c r="AQ9" s="42"/>
      <c r="AR9" s="41"/>
      <c r="AS9" s="42"/>
      <c r="AT9" s="41"/>
      <c r="AU9" s="42"/>
      <c r="AV9" s="41"/>
      <c r="AW9" s="42"/>
    </row>
    <row r="10" spans="1:49" x14ac:dyDescent="0.2">
      <c r="A10" t="s">
        <v>15</v>
      </c>
      <c r="B10" s="41">
        <v>1015.9116825427475</v>
      </c>
      <c r="C10" s="42">
        <v>1005.7716594496609</v>
      </c>
      <c r="D10" s="41">
        <v>1013.7736010026638</v>
      </c>
      <c r="E10" s="42">
        <v>1099.8135908419824</v>
      </c>
      <c r="F10" s="41">
        <v>1011.4965884023519</v>
      </c>
      <c r="G10" s="42">
        <v>1207.9638711985954</v>
      </c>
      <c r="H10" s="41">
        <v>1009.0566234058031</v>
      </c>
      <c r="I10" s="42">
        <v>1333.2151324821803</v>
      </c>
      <c r="J10" s="41">
        <v>1006.4257287296713</v>
      </c>
      <c r="K10" s="42">
        <v>1479.4293132442529</v>
      </c>
      <c r="L10" s="41">
        <v>1003.5724867703452</v>
      </c>
      <c r="M10" s="42">
        <v>1651.6922092215227</v>
      </c>
      <c r="N10" s="41">
        <v>1000.4629282891145</v>
      </c>
      <c r="O10" s="42">
        <v>1856.8994049416026</v>
      </c>
      <c r="P10" s="41">
        <v>997.06392920035728</v>
      </c>
      <c r="Q10" s="42">
        <v>2104.7015444414169</v>
      </c>
      <c r="R10" s="41">
        <v>993.34935342727897</v>
      </c>
      <c r="S10" s="42">
        <v>2409.1955771620692</v>
      </c>
      <c r="T10" s="41">
        <v>989.31286774302669</v>
      </c>
      <c r="U10" s="42">
        <v>2792.0536548517089</v>
      </c>
      <c r="V10" s="41">
        <v>984.99376863379905</v>
      </c>
      <c r="W10" s="42">
        <v>3288.7094090856126</v>
      </c>
      <c r="X10" s="41">
        <v>980.52983691286613</v>
      </c>
      <c r="Y10" s="42">
        <v>3961.4322896844214</v>
      </c>
      <c r="Z10" s="41">
        <v>976.26326966249223</v>
      </c>
      <c r="AA10" s="42">
        <v>4928.7923713487717</v>
      </c>
      <c r="AB10" s="41">
        <v>972.91943368978036</v>
      </c>
      <c r="AC10" s="42">
        <v>6434.1082815576965</v>
      </c>
      <c r="AD10" s="41">
        <v>971.69068658395611</v>
      </c>
      <c r="AE10" s="42">
        <v>8992.2912937895926</v>
      </c>
      <c r="AF10" s="41"/>
      <c r="AG10" s="42"/>
      <c r="AH10" s="41"/>
      <c r="AI10" s="42"/>
      <c r="AJ10" s="41"/>
      <c r="AK10" s="42"/>
      <c r="AL10" s="41"/>
      <c r="AM10" s="42"/>
      <c r="AN10" s="41"/>
      <c r="AO10" s="42"/>
      <c r="AP10" s="41"/>
      <c r="AQ10" s="42"/>
      <c r="AR10" s="41"/>
      <c r="AS10" s="42"/>
      <c r="AT10" s="41"/>
      <c r="AU10" s="42"/>
      <c r="AV10" s="41"/>
      <c r="AW10" s="42"/>
    </row>
    <row r="11" spans="1:49" x14ac:dyDescent="0.2">
      <c r="A11" t="s">
        <v>29</v>
      </c>
      <c r="B11" s="41">
        <v>1015.9116825427475</v>
      </c>
      <c r="C11" s="42">
        <v>1005.7716594496609</v>
      </c>
      <c r="D11" s="41">
        <v>1013.7736010026638</v>
      </c>
      <c r="E11" s="42">
        <v>1099.8135908419824</v>
      </c>
      <c r="F11" s="41">
        <v>1011.4965884023519</v>
      </c>
      <c r="G11" s="42">
        <v>1207.9638711985954</v>
      </c>
      <c r="H11" s="41">
        <v>1009.0566234058031</v>
      </c>
      <c r="I11" s="42">
        <v>1333.2151324821803</v>
      </c>
      <c r="J11" s="41">
        <v>1006.4257287296713</v>
      </c>
      <c r="K11" s="42">
        <v>1479.4293132442529</v>
      </c>
      <c r="L11" s="41">
        <v>1003.5724867703452</v>
      </c>
      <c r="M11" s="42">
        <v>1651.6922092215227</v>
      </c>
      <c r="N11" s="41">
        <v>1000.4629282891145</v>
      </c>
      <c r="O11" s="42">
        <v>1856.8994049416026</v>
      </c>
      <c r="P11" s="41">
        <v>997.06392920035728</v>
      </c>
      <c r="Q11" s="42">
        <v>2104.7015444414169</v>
      </c>
      <c r="R11" s="41">
        <v>993.34935342727897</v>
      </c>
      <c r="S11" s="42">
        <v>2409.1955771620692</v>
      </c>
      <c r="T11" s="41">
        <v>989.31286774302669</v>
      </c>
      <c r="U11" s="42">
        <v>2792.0536548517089</v>
      </c>
      <c r="V11" s="41">
        <v>984.99376863379905</v>
      </c>
      <c r="W11" s="42">
        <v>3288.7094090856126</v>
      </c>
      <c r="X11" s="41">
        <v>980.52983691286613</v>
      </c>
      <c r="Y11" s="42">
        <v>3961.4322896844214</v>
      </c>
      <c r="Z11" s="41">
        <v>976.26326966249223</v>
      </c>
      <c r="AA11" s="42">
        <v>4928.7923713487717</v>
      </c>
      <c r="AB11" s="41">
        <v>972.91943368978036</v>
      </c>
      <c r="AC11" s="42">
        <v>6434.1082815576965</v>
      </c>
      <c r="AD11" s="41">
        <v>971.69068658395611</v>
      </c>
      <c r="AE11" s="42">
        <v>8992.2912937895926</v>
      </c>
      <c r="AF11" s="41"/>
      <c r="AG11" s="42"/>
      <c r="AH11" s="41"/>
      <c r="AI11" s="42"/>
      <c r="AJ11" s="41"/>
      <c r="AK11" s="42"/>
      <c r="AL11" s="41"/>
      <c r="AM11" s="42"/>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c r="AG12" s="42"/>
      <c r="AH12" s="41"/>
      <c r="AI12" s="42"/>
      <c r="AJ12" s="41"/>
      <c r="AK12" s="42"/>
      <c r="AL12" s="41"/>
      <c r="AM12" s="42"/>
      <c r="AN12" s="41"/>
      <c r="AO12" s="42"/>
      <c r="AP12" s="41"/>
      <c r="AQ12" s="42"/>
      <c r="AR12" s="41"/>
      <c r="AS12" s="42"/>
      <c r="AT12" s="41"/>
      <c r="AU12" s="42"/>
      <c r="AV12" s="41"/>
      <c r="AW12" s="42"/>
    </row>
    <row r="13" spans="1:49" x14ac:dyDescent="0.2">
      <c r="A13" t="s">
        <v>17</v>
      </c>
      <c r="B13" s="97">
        <v>1000</v>
      </c>
      <c r="C13" s="98">
        <v>1000</v>
      </c>
      <c r="D13" s="97">
        <v>1008.8383860810715</v>
      </c>
      <c r="E13" s="98">
        <v>1008.8383860810715</v>
      </c>
      <c r="F13" s="97">
        <v>1017.8256629552121</v>
      </c>
      <c r="G13" s="98">
        <v>1017.8256629552121</v>
      </c>
      <c r="H13" s="97">
        <v>1026.9819174485733</v>
      </c>
      <c r="I13" s="98">
        <v>1026.9819174485733</v>
      </c>
      <c r="J13" s="97">
        <v>1036.33385266137</v>
      </c>
      <c r="K13" s="98">
        <v>1036.33385266137</v>
      </c>
      <c r="L13" s="97">
        <v>1045.92001542054</v>
      </c>
      <c r="M13" s="98">
        <v>1045.92001542054</v>
      </c>
      <c r="N13" s="97">
        <v>1055.805658842796</v>
      </c>
      <c r="O13" s="98">
        <v>1055.805658842796</v>
      </c>
      <c r="P13" s="97">
        <v>1066.1035225705582</v>
      </c>
      <c r="Q13" s="98">
        <v>1066.1035225705582</v>
      </c>
      <c r="R13" s="97">
        <v>1077.0197186021587</v>
      </c>
      <c r="S13" s="98">
        <v>1077.0197186021587</v>
      </c>
      <c r="T13" s="97">
        <v>1088.9408014451458</v>
      </c>
      <c r="U13" s="98">
        <v>1088.9408014451458</v>
      </c>
      <c r="V13" s="97">
        <v>1102.6055976197258</v>
      </c>
      <c r="W13" s="98">
        <v>1102.6055976197258</v>
      </c>
      <c r="X13" s="97">
        <v>1119.455572613987</v>
      </c>
      <c r="Y13" s="98">
        <v>1119.455572613987</v>
      </c>
      <c r="Z13" s="97">
        <v>1142.3428521884834</v>
      </c>
      <c r="AA13" s="98">
        <v>1142.3428521884834</v>
      </c>
      <c r="AB13" s="97">
        <v>1176.7879946104399</v>
      </c>
      <c r="AC13" s="98">
        <v>1176.7879946104399</v>
      </c>
      <c r="AD13" s="97">
        <v>1231.9293160362317</v>
      </c>
      <c r="AE13" s="98">
        <v>1231.9293160362317</v>
      </c>
      <c r="AF13" s="97"/>
      <c r="AG13" s="98"/>
      <c r="AH13" s="97"/>
      <c r="AI13" s="98"/>
      <c r="AJ13" s="97"/>
      <c r="AK13" s="98"/>
      <c r="AL13" s="97"/>
      <c r="AM13" s="98"/>
      <c r="AN13" s="97"/>
      <c r="AO13" s="98"/>
      <c r="AP13" s="97"/>
      <c r="AQ13" s="98"/>
      <c r="AR13" s="97"/>
      <c r="AS13" s="98"/>
      <c r="AT13" s="97"/>
      <c r="AU13" s="98"/>
      <c r="AV13" s="97"/>
      <c r="AW13" s="98"/>
    </row>
    <row r="14" spans="1:49" x14ac:dyDescent="0.2">
      <c r="A14" t="s">
        <v>36</v>
      </c>
      <c r="B14" s="41">
        <v>1457.0034251455234</v>
      </c>
      <c r="C14" s="42">
        <v>1457.0034251455236</v>
      </c>
      <c r="D14" s="41">
        <v>1469.880983938403</v>
      </c>
      <c r="E14" s="42">
        <v>1469.8809839384032</v>
      </c>
      <c r="F14" s="41">
        <v>1482.9754771267569</v>
      </c>
      <c r="G14" s="42">
        <v>1482.9754771267571</v>
      </c>
      <c r="H14" s="41">
        <v>1496.3161712850883</v>
      </c>
      <c r="I14" s="42">
        <v>1496.3161712850886</v>
      </c>
      <c r="J14" s="41">
        <v>1509.9419729218721</v>
      </c>
      <c r="K14" s="42">
        <v>1509.9419729218723</v>
      </c>
      <c r="L14" s="41">
        <v>1523.9090448959853</v>
      </c>
      <c r="M14" s="42">
        <v>1523.9090448959855</v>
      </c>
      <c r="N14" s="41">
        <v>1538.3124612219797</v>
      </c>
      <c r="O14" s="42">
        <v>1538.3124612219799</v>
      </c>
      <c r="P14" s="41">
        <v>1553.316483945011</v>
      </c>
      <c r="Q14" s="42">
        <v>1553.3164839450112</v>
      </c>
      <c r="R14" s="41">
        <v>1569.2214189526128</v>
      </c>
      <c r="S14" s="42">
        <v>1569.2214189526132</v>
      </c>
      <c r="T14" s="41">
        <v>1586.5904774862886</v>
      </c>
      <c r="U14" s="42">
        <v>1586.5904774862888</v>
      </c>
      <c r="V14" s="41">
        <v>1606.500132316567</v>
      </c>
      <c r="W14" s="42">
        <v>1606.5001323165675</v>
      </c>
      <c r="X14" s="41">
        <v>1631.0506035968222</v>
      </c>
      <c r="Y14" s="42">
        <v>1631.0506035968224</v>
      </c>
      <c r="Z14" s="41">
        <v>1664.3974483291265</v>
      </c>
      <c r="AA14" s="42">
        <v>1664.397448329127</v>
      </c>
      <c r="AB14" s="41">
        <v>1714.5841388175425</v>
      </c>
      <c r="AC14" s="42">
        <v>1714.5841388175429</v>
      </c>
      <c r="AD14" s="41">
        <v>1794.9252330019715</v>
      </c>
      <c r="AE14" s="42">
        <v>1794.9252330019717</v>
      </c>
      <c r="AF14" s="41"/>
      <c r="AG14" s="42"/>
      <c r="AH14" s="41"/>
      <c r="AI14" s="42"/>
      <c r="AJ14" s="41"/>
      <c r="AK14" s="42"/>
      <c r="AL14" s="41"/>
      <c r="AM14" s="42"/>
      <c r="AN14" s="41"/>
      <c r="AO14" s="42"/>
      <c r="AP14" s="41"/>
      <c r="AQ14" s="42"/>
      <c r="AR14" s="41"/>
      <c r="AS14" s="42"/>
      <c r="AT14" s="41"/>
      <c r="AU14" s="42"/>
      <c r="AV14" s="41"/>
      <c r="AW14" s="42"/>
    </row>
    <row r="15" spans="1:49" x14ac:dyDescent="0.2">
      <c r="A15" t="s">
        <v>18</v>
      </c>
      <c r="B15" s="154">
        <v>1000</v>
      </c>
      <c r="C15" s="155">
        <v>1000</v>
      </c>
      <c r="D15" s="154">
        <v>977.04249723541102</v>
      </c>
      <c r="E15" s="155">
        <v>977.04249723541102</v>
      </c>
      <c r="F15" s="154">
        <v>952.66172234431667</v>
      </c>
      <c r="G15" s="155">
        <v>952.66172234431667</v>
      </c>
      <c r="H15" s="154">
        <v>926.60609282797714</v>
      </c>
      <c r="I15" s="155">
        <v>926.60609282797714</v>
      </c>
      <c r="J15" s="154">
        <v>898.56202397519257</v>
      </c>
      <c r="K15" s="155">
        <v>898.56202397519257</v>
      </c>
      <c r="L15" s="154">
        <v>868.13131792575462</v>
      </c>
      <c r="M15" s="155">
        <v>868.13131792575462</v>
      </c>
      <c r="N15" s="154">
        <v>834.78506521813097</v>
      </c>
      <c r="O15" s="155">
        <v>834.78506521813097</v>
      </c>
      <c r="P15" s="154">
        <v>797.79948931339675</v>
      </c>
      <c r="Q15" s="155">
        <v>797.79948931339675</v>
      </c>
      <c r="R15" s="154">
        <v>756.13013614765475</v>
      </c>
      <c r="S15" s="155">
        <v>756.13013614765475</v>
      </c>
      <c r="T15" s="154">
        <v>708.18309971807355</v>
      </c>
      <c r="U15" s="155">
        <v>708.18309971807355</v>
      </c>
      <c r="V15" s="154">
        <v>651.37301558504373</v>
      </c>
      <c r="W15" s="155">
        <v>651.37301558504373</v>
      </c>
      <c r="X15" s="154">
        <v>581.22646861947351</v>
      </c>
      <c r="Y15" s="155">
        <v>581.22646861947351</v>
      </c>
      <c r="Z15" s="154">
        <v>489.51655443994468</v>
      </c>
      <c r="AA15" s="155">
        <v>489.51655443994468</v>
      </c>
      <c r="AB15" s="154">
        <v>360.55939023401635</v>
      </c>
      <c r="AC15" s="155">
        <v>360.55939023401635</v>
      </c>
      <c r="AD15" s="154">
        <v>165.92411458401355</v>
      </c>
      <c r="AE15" s="155">
        <v>165.92411458401355</v>
      </c>
      <c r="AF15" s="154"/>
      <c r="AG15" s="155"/>
      <c r="AH15" s="154"/>
      <c r="AI15" s="155"/>
      <c r="AJ15" s="154"/>
      <c r="AK15" s="155"/>
      <c r="AL15" s="154"/>
      <c r="AM15" s="155"/>
      <c r="AN15" s="154"/>
      <c r="AO15" s="155"/>
      <c r="AP15" s="154"/>
      <c r="AQ15" s="155"/>
      <c r="AR15" s="154"/>
      <c r="AS15" s="155"/>
      <c r="AT15" s="154"/>
      <c r="AU15" s="155"/>
      <c r="AV15" s="154"/>
      <c r="AW15" s="155"/>
    </row>
    <row r="16" spans="1:49" s="29" customFormat="1" x14ac:dyDescent="0.2">
      <c r="A16" t="s">
        <v>61</v>
      </c>
      <c r="B16" s="41">
        <v>1000</v>
      </c>
      <c r="C16" s="42">
        <v>1000</v>
      </c>
      <c r="D16" s="41">
        <v>993.98047669589027</v>
      </c>
      <c r="E16" s="42">
        <v>986.11051681691038</v>
      </c>
      <c r="F16" s="41">
        <v>987.34564605807304</v>
      </c>
      <c r="G16" s="42">
        <v>971.23082398383019</v>
      </c>
      <c r="H16" s="41">
        <v>979.98564055949009</v>
      </c>
      <c r="I16" s="42">
        <v>955.18517684241328</v>
      </c>
      <c r="J16" s="41">
        <v>971.76442262941919</v>
      </c>
      <c r="K16" s="42">
        <v>937.75499255090881</v>
      </c>
      <c r="L16" s="41">
        <v>962.51179210076509</v>
      </c>
      <c r="M16" s="42">
        <v>918.66410202335965</v>
      </c>
      <c r="N16" s="41">
        <v>952.00937187391105</v>
      </c>
      <c r="O16" s="42">
        <v>897.54975557182115</v>
      </c>
      <c r="P16" s="41">
        <v>939.97119079320464</v>
      </c>
      <c r="Q16" s="42">
        <v>873.92244438491196</v>
      </c>
      <c r="R16" s="41">
        <v>926.00835771151344</v>
      </c>
      <c r="S16" s="42">
        <v>847.08855401165431</v>
      </c>
      <c r="T16" s="41">
        <v>909.56677080273801</v>
      </c>
      <c r="U16" s="42">
        <v>816.01061930775677</v>
      </c>
      <c r="V16" s="41">
        <v>889.80870766629175</v>
      </c>
      <c r="W16" s="42">
        <v>779.03856709078354</v>
      </c>
      <c r="X16" s="41">
        <v>865.37364250335906</v>
      </c>
      <c r="Y16" s="42">
        <v>733.36493267073934</v>
      </c>
      <c r="Z16" s="41">
        <v>833.8697633867763</v>
      </c>
      <c r="AA16" s="42">
        <v>673.88588399384696</v>
      </c>
      <c r="AB16" s="41">
        <v>790.78702186004091</v>
      </c>
      <c r="AC16" s="42">
        <v>590.89812581503736</v>
      </c>
      <c r="AD16" s="41">
        <v>727.49821679037223</v>
      </c>
      <c r="AE16" s="42">
        <v>466.57091538414039</v>
      </c>
      <c r="AF16" s="41"/>
      <c r="AG16" s="42"/>
      <c r="AH16" s="41"/>
      <c r="AI16" s="42"/>
      <c r="AJ16" s="41"/>
      <c r="AK16" s="42"/>
      <c r="AL16" s="41"/>
      <c r="AM16" s="42"/>
      <c r="AN16" s="41"/>
      <c r="AO16" s="42"/>
      <c r="AP16" s="41"/>
      <c r="AQ16" s="42"/>
      <c r="AR16" s="41"/>
      <c r="AS16" s="42"/>
      <c r="AT16" s="41"/>
      <c r="AU16" s="42"/>
      <c r="AV16" s="41"/>
      <c r="AW16" s="42"/>
    </row>
    <row r="17" spans="1:49" x14ac:dyDescent="0.2">
      <c r="A17" t="s">
        <v>62</v>
      </c>
      <c r="B17" s="35">
        <v>999.99999999999977</v>
      </c>
      <c r="C17" s="36">
        <v>999.99999999999977</v>
      </c>
      <c r="D17" s="35">
        <v>998.08785471912483</v>
      </c>
      <c r="E17" s="36">
        <v>1043.0854060044633</v>
      </c>
      <c r="F17" s="35">
        <v>996.0550698397152</v>
      </c>
      <c r="G17" s="36">
        <v>1092.7601993754231</v>
      </c>
      <c r="H17" s="35">
        <v>993.88096456776714</v>
      </c>
      <c r="I17" s="36">
        <v>1150.4020393566309</v>
      </c>
      <c r="J17" s="35">
        <v>991.54154136056479</v>
      </c>
      <c r="K17" s="36">
        <v>1217.7879980181172</v>
      </c>
      <c r="L17" s="35">
        <v>989.01017139633325</v>
      </c>
      <c r="M17" s="36">
        <v>1297.2584640814807</v>
      </c>
      <c r="N17" s="35">
        <v>986.25816845359805</v>
      </c>
      <c r="O17" s="36">
        <v>1391.9865675850547</v>
      </c>
      <c r="P17" s="35">
        <v>983.2581595399904</v>
      </c>
      <c r="Q17" s="36">
        <v>1506.4148355844584</v>
      </c>
      <c r="R17" s="35">
        <v>979.98945119442419</v>
      </c>
      <c r="S17" s="36">
        <v>1647.034076903994</v>
      </c>
      <c r="T17" s="35">
        <v>976.44918877389387</v>
      </c>
      <c r="U17" s="36">
        <v>1823.822952620844</v>
      </c>
      <c r="V17" s="35">
        <v>972.67469330237543</v>
      </c>
      <c r="W17" s="36">
        <v>2053.0907019490264</v>
      </c>
      <c r="X17" s="35">
        <v>968.78855169614144</v>
      </c>
      <c r="Y17" s="36">
        <v>2363.4759234994526</v>
      </c>
      <c r="Z17" s="35">
        <v>965.08856994116707</v>
      </c>
      <c r="AA17" s="36">
        <v>2809.4475778933124</v>
      </c>
      <c r="AB17" s="35">
        <v>962.1986548546621</v>
      </c>
      <c r="AC17" s="36">
        <v>3502.6302037919709</v>
      </c>
      <c r="AD17" s="35">
        <v>961.13889956948833</v>
      </c>
      <c r="AE17" s="36">
        <v>4678.9703629501219</v>
      </c>
      <c r="AF17" s="35"/>
      <c r="AG17" s="36"/>
      <c r="AH17" s="35"/>
      <c r="AI17" s="36"/>
      <c r="AJ17" s="35"/>
      <c r="AK17" s="36"/>
      <c r="AL17" s="35"/>
      <c r="AM17" s="36"/>
      <c r="AN17" s="35"/>
      <c r="AO17" s="36"/>
      <c r="AP17" s="35"/>
      <c r="AQ17" s="36"/>
      <c r="AR17" s="35"/>
      <c r="AS17" s="36"/>
      <c r="AT17" s="35"/>
      <c r="AU17" s="36"/>
      <c r="AV17" s="35"/>
      <c r="AW17" s="36"/>
    </row>
    <row r="18" spans="1:49" x14ac:dyDescent="0.2">
      <c r="A18" t="s">
        <v>19</v>
      </c>
      <c r="B18" s="33">
        <v>27857.010133999996</v>
      </c>
      <c r="C18" s="34">
        <v>1236.7674480000003</v>
      </c>
      <c r="D18" s="33">
        <v>27887.140959202152</v>
      </c>
      <c r="E18" s="34">
        <v>1143.2014590477368</v>
      </c>
      <c r="F18" s="33">
        <v>27913.971347551931</v>
      </c>
      <c r="G18" s="34">
        <v>1048.9674632826313</v>
      </c>
      <c r="H18" s="33">
        <v>27936.819916988388</v>
      </c>
      <c r="I18" s="34">
        <v>954.04794264458133</v>
      </c>
      <c r="J18" s="33">
        <v>27954.801088039563</v>
      </c>
      <c r="K18" s="34">
        <v>858.45176380968053</v>
      </c>
      <c r="L18" s="33">
        <v>27966.729966707189</v>
      </c>
      <c r="M18" s="34">
        <v>762.24778830403284</v>
      </c>
      <c r="N18" s="33">
        <v>27970.974299794198</v>
      </c>
      <c r="O18" s="34">
        <v>665.59095997787608</v>
      </c>
      <c r="P18" s="33">
        <v>27965.206712497868</v>
      </c>
      <c r="Q18" s="34">
        <v>568.79715434773016</v>
      </c>
      <c r="R18" s="33">
        <v>27945.976446401368</v>
      </c>
      <c r="S18" s="34">
        <v>472.43850374220534</v>
      </c>
      <c r="T18" s="33">
        <v>27907.942713510125</v>
      </c>
      <c r="U18" s="34">
        <v>377.49185862547085</v>
      </c>
      <c r="V18" s="33">
        <v>27842.412119047018</v>
      </c>
      <c r="W18" s="34">
        <v>285.5812464588426</v>
      </c>
      <c r="X18" s="33">
        <v>27734.397054356628</v>
      </c>
      <c r="Y18" s="34">
        <v>199.34415585547828</v>
      </c>
      <c r="Z18" s="33">
        <v>27556.383711658349</v>
      </c>
      <c r="AA18" s="34">
        <v>122.92763336265037</v>
      </c>
      <c r="AB18" s="33">
        <v>27255.018684525156</v>
      </c>
      <c r="AC18" s="34">
        <v>62.236260692133335</v>
      </c>
      <c r="AD18" s="33">
        <v>26725.54379420336</v>
      </c>
      <c r="AE18" s="34">
        <v>23.20332615490884</v>
      </c>
      <c r="AF18" s="33"/>
      <c r="AG18" s="34"/>
      <c r="AH18" s="33"/>
      <c r="AI18" s="34"/>
      <c r="AJ18" s="33"/>
      <c r="AK18" s="34"/>
      <c r="AL18" s="33"/>
      <c r="AM18" s="34"/>
      <c r="AN18" s="33"/>
      <c r="AO18" s="34"/>
      <c r="AP18" s="33"/>
      <c r="AQ18" s="34"/>
      <c r="AR18" s="33"/>
      <c r="AS18" s="34"/>
      <c r="AT18" s="33"/>
      <c r="AU18" s="34"/>
      <c r="AV18" s="33"/>
      <c r="AW18" s="34"/>
    </row>
    <row r="19" spans="1:49" x14ac:dyDescent="0.2">
      <c r="A19" t="s">
        <v>3</v>
      </c>
      <c r="B19" s="41">
        <v>1886.3937399999918</v>
      </c>
      <c r="C19" s="42">
        <v>262.78711299999759</v>
      </c>
      <c r="D19" s="41">
        <v>1878.9077815163344</v>
      </c>
      <c r="E19" s="42">
        <v>274.93740922458323</v>
      </c>
      <c r="F19" s="41">
        <v>1870.5864886970105</v>
      </c>
      <c r="G19" s="42">
        <v>289.28096270339711</v>
      </c>
      <c r="H19" s="41">
        <v>1861.2847546352186</v>
      </c>
      <c r="I19" s="42">
        <v>306.17798474048425</v>
      </c>
      <c r="J19" s="41">
        <v>1850.8293054789833</v>
      </c>
      <c r="K19" s="42">
        <v>326.03741150734925</v>
      </c>
      <c r="L19" s="41">
        <v>1839.0159830263017</v>
      </c>
      <c r="M19" s="42">
        <v>349.3044036269784</v>
      </c>
      <c r="N19" s="41">
        <v>1825.6057846860599</v>
      </c>
      <c r="O19" s="42">
        <v>376.44770134430672</v>
      </c>
      <c r="P19" s="41">
        <v>1810.3262220069685</v>
      </c>
      <c r="Q19" s="42">
        <v>407.90029472542739</v>
      </c>
      <c r="R19" s="41">
        <v>1792.8740758577997</v>
      </c>
      <c r="S19" s="42">
        <v>443.96319092904827</v>
      </c>
      <c r="T19" s="41">
        <v>1772.9268575074275</v>
      </c>
      <c r="U19" s="42">
        <v>484.60740400984093</v>
      </c>
      <c r="V19" s="41">
        <v>1750.1676498654308</v>
      </c>
      <c r="W19" s="42">
        <v>529.07502636397737</v>
      </c>
      <c r="X19" s="41">
        <v>1724.3328525755774</v>
      </c>
      <c r="Y19" s="42">
        <v>575.07237394452784</v>
      </c>
      <c r="Z19" s="41">
        <v>1695.27358741948</v>
      </c>
      <c r="AA19" s="42">
        <v>617.1616311317166</v>
      </c>
      <c r="AB19" s="41">
        <v>1662.8509662441645</v>
      </c>
      <c r="AC19" s="42">
        <v>644.06294835355015</v>
      </c>
      <c r="AD19" s="41">
        <v>1625.5587841691281</v>
      </c>
      <c r="AE19" s="42">
        <v>637.29191948230812</v>
      </c>
      <c r="AF19" s="41"/>
      <c r="AG19" s="42"/>
      <c r="AH19" s="41"/>
      <c r="AI19" s="42"/>
      <c r="AJ19" s="41"/>
      <c r="AK19" s="42"/>
      <c r="AL19" s="41"/>
      <c r="AM19" s="42"/>
      <c r="AN19" s="41"/>
      <c r="AO19" s="42"/>
      <c r="AP19" s="41"/>
      <c r="AQ19" s="42"/>
      <c r="AR19" s="41"/>
      <c r="AS19" s="42"/>
      <c r="AT19" s="41"/>
      <c r="AU19" s="42"/>
      <c r="AV19" s="41"/>
      <c r="AW19" s="42"/>
    </row>
    <row r="20" spans="1:49" x14ac:dyDescent="0.2">
      <c r="A20" t="s">
        <v>127</v>
      </c>
      <c r="B20" s="82">
        <v>26548.356269999993</v>
      </c>
      <c r="C20" s="83">
        <v>1408.5418709999938</v>
      </c>
      <c r="D20" s="82">
        <v>26554.657781205784</v>
      </c>
      <c r="E20" s="83">
        <v>1338.1147774499941</v>
      </c>
      <c r="F20" s="82">
        <v>26556.21329216917</v>
      </c>
      <c r="G20" s="83">
        <v>1267.6876838999945</v>
      </c>
      <c r="H20" s="82">
        <v>26552.104272556247</v>
      </c>
      <c r="I20" s="83">
        <v>1197.2605903499946</v>
      </c>
      <c r="J20" s="82">
        <v>26541.172518316613</v>
      </c>
      <c r="K20" s="83">
        <v>1126.8334967999949</v>
      </c>
      <c r="L20" s="82">
        <v>26521.935245986268</v>
      </c>
      <c r="M20" s="83">
        <v>1056.4064032499953</v>
      </c>
      <c r="N20" s="82">
        <v>26492.454766587471</v>
      </c>
      <c r="O20" s="83">
        <v>985.97930969999561</v>
      </c>
      <c r="P20" s="82">
        <v>26450.14343278643</v>
      </c>
      <c r="Q20" s="83">
        <v>915.55221614999596</v>
      </c>
      <c r="R20" s="82">
        <v>26391.43227772315</v>
      </c>
      <c r="S20" s="83">
        <v>845.12512259999642</v>
      </c>
      <c r="T20" s="82">
        <v>26311.202853503797</v>
      </c>
      <c r="U20" s="83">
        <v>774.69802904999653</v>
      </c>
      <c r="V20" s="82">
        <v>26201.725091055447</v>
      </c>
      <c r="W20" s="83">
        <v>704.27093549999688</v>
      </c>
      <c r="X20" s="82">
        <v>26050.536702389119</v>
      </c>
      <c r="Y20" s="83">
        <v>633.84384194999734</v>
      </c>
      <c r="Z20" s="82">
        <v>25835.870284454912</v>
      </c>
      <c r="AA20" s="83">
        <v>563.41674839999757</v>
      </c>
      <c r="AB20" s="82">
        <v>25516.245388726013</v>
      </c>
      <c r="AC20" s="83">
        <v>492.98965484999775</v>
      </c>
      <c r="AD20" s="82">
        <v>25007.1269381807</v>
      </c>
      <c r="AE20" s="83">
        <v>422.56256129999798</v>
      </c>
      <c r="AF20" s="82"/>
      <c r="AG20" s="83"/>
      <c r="AH20" s="82"/>
      <c r="AI20" s="83"/>
      <c r="AJ20" s="82"/>
      <c r="AK20" s="83"/>
      <c r="AL20" s="82"/>
      <c r="AM20" s="83"/>
      <c r="AN20" s="82"/>
      <c r="AO20" s="83"/>
      <c r="AP20" s="82"/>
      <c r="AQ20" s="83"/>
      <c r="AR20" s="82"/>
      <c r="AS20" s="83"/>
      <c r="AT20" s="82"/>
      <c r="AU20" s="83"/>
      <c r="AV20" s="82"/>
      <c r="AW20" s="83"/>
    </row>
    <row r="21" spans="1:49" x14ac:dyDescent="0.2">
      <c r="A21" t="s">
        <v>76</v>
      </c>
      <c r="B21" s="82">
        <v>24661.962529999968</v>
      </c>
      <c r="C21" s="83">
        <v>1145.7547579999991</v>
      </c>
      <c r="D21" s="82">
        <v>24675.758996363733</v>
      </c>
      <c r="E21" s="83">
        <v>1063.5567581154467</v>
      </c>
      <c r="F21" s="82">
        <v>24685.665168797688</v>
      </c>
      <c r="G21" s="83">
        <v>980.08004917617245</v>
      </c>
      <c r="H21" s="82">
        <v>24690.911990753255</v>
      </c>
      <c r="I21" s="83">
        <v>895.24902960958366</v>
      </c>
      <c r="J21" s="82">
        <v>24690.520213485655</v>
      </c>
      <c r="K21" s="83">
        <v>809.02148764713115</v>
      </c>
      <c r="L21" s="82">
        <v>24683.218538844121</v>
      </c>
      <c r="M21" s="83">
        <v>721.41991461107955</v>
      </c>
      <c r="N21" s="82">
        <v>24667.317581524781</v>
      </c>
      <c r="O21" s="83">
        <v>632.56522123700688</v>
      </c>
      <c r="P21" s="82">
        <v>24640.51358070421</v>
      </c>
      <c r="Q21" s="83">
        <v>542.74972334486336</v>
      </c>
      <c r="R21" s="82">
        <v>24599.55389066134</v>
      </c>
      <c r="S21" s="83">
        <v>452.53173204502673</v>
      </c>
      <c r="T21" s="82">
        <v>24539.655611533013</v>
      </c>
      <c r="U21" s="83">
        <v>362.88628617323241</v>
      </c>
      <c r="V21" s="82">
        <v>24453.413719362648</v>
      </c>
      <c r="W21" s="83">
        <v>275.44168202728179</v>
      </c>
      <c r="X21" s="82">
        <v>24328.620815281927</v>
      </c>
      <c r="Y21" s="83">
        <v>192.84066336224944</v>
      </c>
      <c r="Z21" s="82">
        <v>24143.606704093469</v>
      </c>
      <c r="AA21" s="83">
        <v>119.2260914466966</v>
      </c>
      <c r="AB21" s="82">
        <v>23856.889766287615</v>
      </c>
      <c r="AC21" s="83">
        <v>60.490564215716702</v>
      </c>
      <c r="AD21" s="82">
        <v>23385.192366410589</v>
      </c>
      <c r="AE21" s="83">
        <v>22.587230893954978</v>
      </c>
      <c r="AF21" s="82"/>
      <c r="AG21" s="83"/>
      <c r="AH21" s="82"/>
      <c r="AI21" s="83"/>
      <c r="AJ21" s="82"/>
      <c r="AK21" s="83"/>
      <c r="AL21" s="82"/>
      <c r="AM21" s="83"/>
      <c r="AN21" s="82"/>
      <c r="AO21" s="83"/>
      <c r="AP21" s="82"/>
      <c r="AQ21" s="83"/>
      <c r="AR21" s="82"/>
      <c r="AS21" s="83"/>
      <c r="AT21" s="82"/>
      <c r="AU21" s="83"/>
      <c r="AV21" s="82"/>
      <c r="AW21" s="83"/>
    </row>
    <row r="22" spans="1:49" x14ac:dyDescent="0.2">
      <c r="A22" t="s">
        <v>28</v>
      </c>
      <c r="B22" s="41">
        <v>6533.6044688320644</v>
      </c>
      <c r="C22" s="42">
        <v>379.90788307663382</v>
      </c>
      <c r="D22" s="41">
        <v>6535.730221708739</v>
      </c>
      <c r="E22" s="42">
        <v>359.40278437830449</v>
      </c>
      <c r="F22" s="41">
        <v>6535.8446750798084</v>
      </c>
      <c r="G22" s="42">
        <v>338.95736686852536</v>
      </c>
      <c r="H22" s="41">
        <v>6533.5969586476003</v>
      </c>
      <c r="I22" s="42">
        <v>318.58082963854224</v>
      </c>
      <c r="J22" s="41">
        <v>6528.550090085273</v>
      </c>
      <c r="K22" s="42">
        <v>298.27996679437922</v>
      </c>
      <c r="L22" s="41">
        <v>6520.1482256428135</v>
      </c>
      <c r="M22" s="42">
        <v>278.05672579364011</v>
      </c>
      <c r="N22" s="41">
        <v>6507.6806812967225</v>
      </c>
      <c r="O22" s="42">
        <v>257.90270598597374</v>
      </c>
      <c r="P22" s="41">
        <v>6490.2111943899799</v>
      </c>
      <c r="Q22" s="42">
        <v>237.79439232424352</v>
      </c>
      <c r="R22" s="41">
        <v>6466.4757131093229</v>
      </c>
      <c r="S22" s="42">
        <v>217.68368853397865</v>
      </c>
      <c r="T22" s="41">
        <v>6434.7137837050896</v>
      </c>
      <c r="U22" s="42">
        <v>197.4864193646834</v>
      </c>
      <c r="V22" s="41">
        <v>6392.3635676479571</v>
      </c>
      <c r="W22" s="42">
        <v>177.06727365973535</v>
      </c>
      <c r="X22" s="41">
        <v>6335.4921786827963</v>
      </c>
      <c r="Y22" s="42">
        <v>156.22464782135614</v>
      </c>
      <c r="Z22" s="41">
        <v>6257.6348612514876</v>
      </c>
      <c r="AA22" s="42">
        <v>134.69215511408123</v>
      </c>
      <c r="AB22" s="41">
        <v>6147.2996038915426</v>
      </c>
      <c r="AC22" s="42">
        <v>112.22802921445233</v>
      </c>
      <c r="AD22" s="41">
        <v>5982.5399048489653</v>
      </c>
      <c r="AE22" s="42">
        <v>88.978432050248585</v>
      </c>
      <c r="AF22" s="41"/>
      <c r="AG22" s="42"/>
      <c r="AH22" s="41"/>
      <c r="AI22" s="42"/>
      <c r="AJ22" s="41"/>
      <c r="AK22" s="42"/>
      <c r="AL22" s="41"/>
      <c r="AM22" s="42"/>
      <c r="AN22" s="41"/>
      <c r="AO22" s="42"/>
      <c r="AP22" s="41"/>
      <c r="AQ22" s="42"/>
      <c r="AR22" s="41"/>
      <c r="AS22" s="42"/>
      <c r="AT22" s="41"/>
      <c r="AU22" s="42"/>
      <c r="AV22" s="41"/>
      <c r="AW22" s="42"/>
    </row>
    <row r="23" spans="1:49" x14ac:dyDescent="0.2">
      <c r="A23" t="s">
        <v>7</v>
      </c>
      <c r="B23" s="116">
        <v>3278.5018080150408</v>
      </c>
      <c r="C23" s="8">
        <v>0</v>
      </c>
      <c r="D23" s="116">
        <v>3286.0532677393267</v>
      </c>
      <c r="E23" s="8">
        <v>0</v>
      </c>
      <c r="F23" s="116">
        <v>3293.1720340760453</v>
      </c>
      <c r="G23" s="8">
        <v>0</v>
      </c>
      <c r="H23" s="116">
        <v>3299.7589150554863</v>
      </c>
      <c r="I23" s="8">
        <v>0</v>
      </c>
      <c r="J23" s="116">
        <v>3305.6872170521315</v>
      </c>
      <c r="K23" s="8">
        <v>0</v>
      </c>
      <c r="L23" s="116">
        <v>3310.7932916525428</v>
      </c>
      <c r="M23" s="8">
        <v>0</v>
      </c>
      <c r="N23" s="116">
        <v>3314.8647837002359</v>
      </c>
      <c r="O23" s="8">
        <v>0</v>
      </c>
      <c r="P23" s="116">
        <v>3317.622641219883</v>
      </c>
      <c r="Q23" s="8">
        <v>0</v>
      </c>
      <c r="R23" s="116">
        <v>3318.6941835685379</v>
      </c>
      <c r="S23" s="8">
        <v>0</v>
      </c>
      <c r="T23" s="116">
        <v>3317.5713088840866</v>
      </c>
      <c r="U23" s="8">
        <v>0</v>
      </c>
      <c r="V23" s="116">
        <v>3313.5360006087571</v>
      </c>
      <c r="W23" s="8">
        <v>0</v>
      </c>
      <c r="X23" s="116">
        <v>3305.5156401023105</v>
      </c>
      <c r="Y23" s="8">
        <v>0</v>
      </c>
      <c r="Z23" s="116">
        <v>3291.7517432876057</v>
      </c>
      <c r="AA23" s="8">
        <v>0</v>
      </c>
      <c r="AB23" s="116">
        <v>3268.9009162315856</v>
      </c>
      <c r="AC23" s="8">
        <v>0</v>
      </c>
      <c r="AD23" s="116">
        <v>3229.2749511909069</v>
      </c>
      <c r="AE23" s="8">
        <v>0</v>
      </c>
      <c r="AF23" s="116"/>
      <c r="AG23" s="8"/>
      <c r="AH23" s="116"/>
      <c r="AI23" s="8"/>
      <c r="AJ23" s="116"/>
      <c r="AK23" s="8"/>
      <c r="AL23" s="116"/>
      <c r="AM23" s="8"/>
      <c r="AN23" s="116"/>
      <c r="AO23" s="8"/>
      <c r="AP23" s="116"/>
      <c r="AQ23" s="8"/>
      <c r="AR23" s="116"/>
      <c r="AS23" s="8"/>
      <c r="AT23" s="116"/>
      <c r="AU23" s="8"/>
      <c r="AV23" s="116"/>
      <c r="AW23" s="8"/>
    </row>
    <row r="24" spans="1:49" x14ac:dyDescent="0.2">
      <c r="A24" t="s">
        <v>8</v>
      </c>
      <c r="B24" s="97">
        <v>3196.3846373657216</v>
      </c>
      <c r="C24" s="8">
        <v>0</v>
      </c>
      <c r="D24" s="97">
        <v>3203.746955856267</v>
      </c>
      <c r="E24" s="8">
        <v>0</v>
      </c>
      <c r="F24" s="97">
        <v>3210.6874155663108</v>
      </c>
      <c r="G24" s="8">
        <v>0</v>
      </c>
      <c r="H24" s="97">
        <v>3217.1093136846125</v>
      </c>
      <c r="I24" s="8">
        <v>0</v>
      </c>
      <c r="J24" s="97">
        <v>3222.8891259141269</v>
      </c>
      <c r="K24" s="8">
        <v>0</v>
      </c>
      <c r="L24" s="97">
        <v>3227.8673099423927</v>
      </c>
      <c r="M24" s="8">
        <v>0</v>
      </c>
      <c r="N24" s="97">
        <v>3231.8368240348782</v>
      </c>
      <c r="O24" s="8">
        <v>0</v>
      </c>
      <c r="P24" s="97">
        <v>3234.5256025393596</v>
      </c>
      <c r="Q24" s="8">
        <v>0</v>
      </c>
      <c r="R24" s="97">
        <v>3235.5703062916032</v>
      </c>
      <c r="S24" s="8">
        <v>0</v>
      </c>
      <c r="T24" s="97">
        <v>3234.4755569533768</v>
      </c>
      <c r="U24" s="8">
        <v>0</v>
      </c>
      <c r="V24" s="97">
        <v>3230.5413234954817</v>
      </c>
      <c r="W24" s="8">
        <v>0</v>
      </c>
      <c r="X24" s="97">
        <v>3222.721849378946</v>
      </c>
      <c r="Y24" s="8">
        <v>0</v>
      </c>
      <c r="Z24" s="97">
        <v>3209.3026995312484</v>
      </c>
      <c r="AA24" s="8">
        <v>0</v>
      </c>
      <c r="AB24" s="97">
        <v>3187.0242207415931</v>
      </c>
      <c r="AC24" s="8">
        <v>0</v>
      </c>
      <c r="AD24" s="97">
        <v>3148.3907736480428</v>
      </c>
      <c r="AE24" s="8">
        <v>0</v>
      </c>
      <c r="AF24" s="97"/>
      <c r="AG24" s="8"/>
      <c r="AH24" s="97"/>
      <c r="AI24" s="8"/>
      <c r="AJ24" s="97"/>
      <c r="AK24" s="8"/>
      <c r="AL24" s="97"/>
      <c r="AM24" s="8"/>
      <c r="AN24" s="97"/>
      <c r="AO24" s="8"/>
      <c r="AP24" s="97"/>
      <c r="AQ24" s="8"/>
      <c r="AR24" s="97"/>
      <c r="AS24" s="8"/>
      <c r="AT24" s="97"/>
      <c r="AU24" s="8"/>
      <c r="AV24" s="97"/>
      <c r="AW24" s="8"/>
    </row>
    <row r="25" spans="1:49" x14ac:dyDescent="0.2">
      <c r="A25" t="s">
        <v>0</v>
      </c>
      <c r="B25" s="41">
        <v>3195.0476040000012</v>
      </c>
      <c r="C25" s="42">
        <v>91.012690000004397</v>
      </c>
      <c r="D25" s="41">
        <v>3211.3673497073805</v>
      </c>
      <c r="E25" s="42">
        <v>79.57757373481202</v>
      </c>
      <c r="F25" s="41">
        <v>3228.2435170858612</v>
      </c>
      <c r="G25" s="42">
        <v>68.627604086371662</v>
      </c>
      <c r="H25" s="41">
        <v>3245.7559012652055</v>
      </c>
      <c r="I25" s="42">
        <v>58.236494128281663</v>
      </c>
      <c r="J25" s="41">
        <v>3263.9877970406856</v>
      </c>
      <c r="K25" s="42">
        <v>48.481106931461369</v>
      </c>
      <c r="L25" s="41">
        <v>3283.0121167702268</v>
      </c>
      <c r="M25" s="42">
        <v>39.440869070029912</v>
      </c>
      <c r="N25" s="41">
        <v>3302.8683233666566</v>
      </c>
      <c r="O25" s="42">
        <v>31.194080442128307</v>
      </c>
      <c r="P25" s="41">
        <v>3323.5107031098551</v>
      </c>
      <c r="Q25" s="42">
        <v>23.817090358239454</v>
      </c>
      <c r="R25" s="41">
        <v>3344.7147675749602</v>
      </c>
      <c r="S25" s="42">
        <v>17.380665257899352</v>
      </c>
      <c r="T25" s="41">
        <v>3365.894664840157</v>
      </c>
      <c r="U25" s="42">
        <v>11.946127653285654</v>
      </c>
      <c r="V25" s="41">
        <v>3385.741148451878</v>
      </c>
      <c r="W25" s="42">
        <v>7.5605349538589675</v>
      </c>
      <c r="X25" s="41">
        <v>3401.4828775425754</v>
      </c>
      <c r="Y25" s="42">
        <v>4.248181231496341</v>
      </c>
      <c r="Z25" s="41">
        <v>3407.3669977926015</v>
      </c>
      <c r="AA25" s="42">
        <v>1.9935361557775899</v>
      </c>
      <c r="AB25" s="41">
        <v>3391.7882645622931</v>
      </c>
      <c r="AC25" s="42">
        <v>0.70523502901869373</v>
      </c>
      <c r="AD25" s="41">
        <v>3333.7545918363462</v>
      </c>
      <c r="AE25" s="42">
        <v>0.16176761816225263</v>
      </c>
      <c r="AF25" s="41"/>
      <c r="AG25" s="42"/>
      <c r="AH25" s="41"/>
      <c r="AI25" s="42"/>
      <c r="AJ25" s="41"/>
      <c r="AK25" s="42"/>
      <c r="AL25" s="41"/>
      <c r="AM25" s="42"/>
      <c r="AN25" s="41"/>
      <c r="AO25" s="42"/>
      <c r="AP25" s="41"/>
      <c r="AQ25" s="42"/>
      <c r="AR25" s="41"/>
      <c r="AS25" s="42"/>
      <c r="AT25" s="41"/>
      <c r="AU25" s="42"/>
      <c r="AV25" s="41"/>
      <c r="AW25" s="42"/>
    </row>
    <row r="26" spans="1:49" x14ac:dyDescent="0.2">
      <c r="A26" t="s">
        <v>27</v>
      </c>
      <c r="B26" s="33">
        <v>5036.2953101960647</v>
      </c>
      <c r="C26" s="34">
        <v>74.905331803938267</v>
      </c>
      <c r="D26" s="33">
        <v>5041.8894328877213</v>
      </c>
      <c r="E26" s="34">
        <v>69.311209112282057</v>
      </c>
      <c r="F26" s="33">
        <v>5047.5171698831509</v>
      </c>
      <c r="G26" s="34">
        <v>63.683472116851249</v>
      </c>
      <c r="H26" s="33">
        <v>5053.1808682972678</v>
      </c>
      <c r="I26" s="34">
        <v>58.019773702737041</v>
      </c>
      <c r="J26" s="33">
        <v>5058.8819244846472</v>
      </c>
      <c r="K26" s="34">
        <v>52.318717515353683</v>
      </c>
      <c r="L26" s="33">
        <v>5064.618978710987</v>
      </c>
      <c r="M26" s="34">
        <v>46.581663289020256</v>
      </c>
      <c r="N26" s="33">
        <v>5070.3865486870582</v>
      </c>
      <c r="O26" s="34">
        <v>40.814093312944202</v>
      </c>
      <c r="P26" s="33">
        <v>5076.1708041355259</v>
      </c>
      <c r="Q26" s="34">
        <v>35.029837864475702</v>
      </c>
      <c r="R26" s="33">
        <v>5081.944083951973</v>
      </c>
      <c r="S26" s="34">
        <v>29.256558048026339</v>
      </c>
      <c r="T26" s="33">
        <v>5087.6560919951244</v>
      </c>
      <c r="U26" s="34">
        <v>23.544550004883259</v>
      </c>
      <c r="V26" s="33">
        <v>5093.2191421976404</v>
      </c>
      <c r="W26" s="34">
        <v>17.981499802369555</v>
      </c>
      <c r="X26" s="33">
        <v>5098.4849864484013</v>
      </c>
      <c r="Y26" s="34">
        <v>12.71565555160044</v>
      </c>
      <c r="Z26" s="33">
        <v>5103.2112949999464</v>
      </c>
      <c r="AA26" s="34">
        <v>7.9893470000560702</v>
      </c>
      <c r="AB26" s="33">
        <v>5107.037074375422</v>
      </c>
      <c r="AC26" s="34">
        <v>4.1635676245824422</v>
      </c>
      <c r="AD26" s="33">
        <v>5109.5704469128741</v>
      </c>
      <c r="AE26" s="34">
        <v>1.6301950871323192</v>
      </c>
      <c r="AF26" s="33"/>
      <c r="AG26" s="34"/>
      <c r="AH26" s="33"/>
      <c r="AI26" s="34"/>
      <c r="AJ26" s="33"/>
      <c r="AK26" s="34"/>
      <c r="AL26" s="33"/>
      <c r="AM26" s="34"/>
      <c r="AN26" s="33"/>
      <c r="AO26" s="34"/>
      <c r="AP26" s="33"/>
      <c r="AQ26" s="34"/>
      <c r="AR26" s="33"/>
      <c r="AS26" s="34"/>
      <c r="AT26" s="33"/>
      <c r="AU26" s="34"/>
      <c r="AV26" s="33"/>
      <c r="AW26" s="34"/>
    </row>
    <row r="27" spans="1:49" x14ac:dyDescent="0.2">
      <c r="A27" t="s">
        <v>2</v>
      </c>
      <c r="B27" s="35">
        <v>6425.1981590000069</v>
      </c>
      <c r="C27" s="36">
        <v>273.22915400000028</v>
      </c>
      <c r="D27" s="35">
        <v>6445.2715868720052</v>
      </c>
      <c r="E27" s="36">
        <v>253.15571854865328</v>
      </c>
      <c r="F27" s="35">
        <v>6465.5194800310292</v>
      </c>
      <c r="G27" s="36">
        <v>232.90783264013976</v>
      </c>
      <c r="H27" s="35">
        <v>6485.9513165266144</v>
      </c>
      <c r="I27" s="36">
        <v>212.47599594825033</v>
      </c>
      <c r="J27" s="35">
        <v>6506.5732461659891</v>
      </c>
      <c r="K27" s="36">
        <v>191.85401868488253</v>
      </c>
      <c r="L27" s="35">
        <v>6527.3815934695549</v>
      </c>
      <c r="M27" s="36">
        <v>171.04571846746299</v>
      </c>
      <c r="N27" s="35">
        <v>6548.3574075999049</v>
      </c>
      <c r="O27" s="36">
        <v>150.06990436731442</v>
      </c>
      <c r="P27" s="35">
        <v>6569.4512223830279</v>
      </c>
      <c r="Q27" s="36">
        <v>128.97607040654665</v>
      </c>
      <c r="R27" s="35">
        <v>6590.5623208852085</v>
      </c>
      <c r="S27" s="36">
        <v>107.8649754394964</v>
      </c>
      <c r="T27" s="35">
        <v>6611.5057794021914</v>
      </c>
      <c r="U27" s="36">
        <v>86.921519978668371</v>
      </c>
      <c r="V27" s="35">
        <v>6631.9570711656679</v>
      </c>
      <c r="W27" s="36">
        <v>66.470234805453202</v>
      </c>
      <c r="X27" s="35">
        <v>6651.3649320858849</v>
      </c>
      <c r="Y27" s="36">
        <v>47.062380774475614</v>
      </c>
      <c r="Z27" s="35">
        <v>6668.8250027152881</v>
      </c>
      <c r="AA27" s="36">
        <v>29.60230859527687</v>
      </c>
      <c r="AB27" s="35">
        <v>6682.9865942783263</v>
      </c>
      <c r="AC27" s="36">
        <v>15.440717282949306</v>
      </c>
      <c r="AD27" s="35">
        <v>6692.3781154763483</v>
      </c>
      <c r="AE27" s="36">
        <v>6.0491987709815591</v>
      </c>
      <c r="AF27" s="35"/>
      <c r="AG27" s="36"/>
      <c r="AH27" s="35"/>
      <c r="AI27" s="36"/>
      <c r="AJ27" s="35"/>
      <c r="AK27" s="36"/>
      <c r="AL27" s="35"/>
      <c r="AM27" s="36"/>
      <c r="AN27" s="35"/>
      <c r="AO27" s="36"/>
      <c r="AP27" s="35"/>
      <c r="AQ27" s="36"/>
      <c r="AR27" s="35"/>
      <c r="AS27" s="36"/>
      <c r="AT27" s="35"/>
      <c r="AU27" s="36"/>
      <c r="AV27" s="35"/>
      <c r="AW27" s="36"/>
    </row>
    <row r="28" spans="1:49" x14ac:dyDescent="0.2">
      <c r="A28" t="s">
        <v>35</v>
      </c>
      <c r="B28" s="41">
        <v>13763.097676000023</v>
      </c>
      <c r="C28" s="42">
        <v>382.36647899999997</v>
      </c>
      <c r="D28" s="41">
        <v>13791.29866670063</v>
      </c>
      <c r="E28" s="42">
        <v>354.14197257668883</v>
      </c>
      <c r="F28" s="41">
        <v>13819.676181076054</v>
      </c>
      <c r="G28" s="42">
        <v>325.69333305731328</v>
      </c>
      <c r="H28" s="41">
        <v>13848.241950831534</v>
      </c>
      <c r="I28" s="42">
        <v>297.00783110229725</v>
      </c>
      <c r="J28" s="41">
        <v>13877.002932359195</v>
      </c>
      <c r="K28" s="42">
        <v>268.07744174935755</v>
      </c>
      <c r="L28" s="41">
        <v>13905.952292259914</v>
      </c>
      <c r="M28" s="42">
        <v>238.90817255195645</v>
      </c>
      <c r="N28" s="41">
        <v>13935.062160562995</v>
      </c>
      <c r="O28" s="42">
        <v>209.52704032862192</v>
      </c>
      <c r="P28" s="41">
        <v>13964.262665223177</v>
      </c>
      <c r="Q28" s="42">
        <v>180.00391997884992</v>
      </c>
      <c r="R28" s="41">
        <v>13993.413965544569</v>
      </c>
      <c r="S28" s="42">
        <v>150.48010492784852</v>
      </c>
      <c r="T28" s="41">
        <v>14022.261773747308</v>
      </c>
      <c r="U28" s="42">
        <v>121.21399729254313</v>
      </c>
      <c r="V28" s="41">
        <v>14050.362724008695</v>
      </c>
      <c r="W28" s="42">
        <v>92.658057373439732</v>
      </c>
      <c r="X28" s="41">
        <v>14076.967184198069</v>
      </c>
      <c r="Y28" s="42">
        <v>65.579598817365039</v>
      </c>
      <c r="Z28" s="41">
        <v>14100.849567899282</v>
      </c>
      <c r="AA28" s="42">
        <v>41.235870075563597</v>
      </c>
      <c r="AB28" s="41">
        <v>14120.184102044263</v>
      </c>
      <c r="AC28" s="42">
        <v>21.503001389063439</v>
      </c>
      <c r="AD28" s="41">
        <v>14132.988373615017</v>
      </c>
      <c r="AE28" s="42">
        <v>8.4226971113159532</v>
      </c>
      <c r="AF28" s="41"/>
      <c r="AG28" s="42"/>
      <c r="AH28" s="41"/>
      <c r="AI28" s="42"/>
      <c r="AJ28" s="41"/>
      <c r="AK28" s="42"/>
      <c r="AL28" s="41"/>
      <c r="AM28" s="42"/>
      <c r="AN28" s="41"/>
      <c r="AO28" s="42"/>
      <c r="AP28" s="41"/>
      <c r="AQ28" s="42"/>
      <c r="AR28" s="41"/>
      <c r="AS28" s="42"/>
      <c r="AT28" s="41"/>
      <c r="AU28" s="42"/>
      <c r="AV28" s="41"/>
      <c r="AW28" s="42"/>
    </row>
    <row r="29" spans="1:49" x14ac:dyDescent="0.2">
      <c r="A29" t="s">
        <v>53</v>
      </c>
      <c r="B29" s="35">
        <v>14362.768558000025</v>
      </c>
      <c r="C29" s="36">
        <v>817.26650999999993</v>
      </c>
      <c r="D29" s="35">
        <v>14377.368524086189</v>
      </c>
      <c r="E29" s="36">
        <v>751.64367627114314</v>
      </c>
      <c r="F29" s="35">
        <v>14390.18255263553</v>
      </c>
      <c r="G29" s="36">
        <v>685.94999623264573</v>
      </c>
      <c r="H29" s="35">
        <v>14400.844066404841</v>
      </c>
      <c r="I29" s="36">
        <v>620.23537515258556</v>
      </c>
      <c r="J29" s="35">
        <v>14408.878210946146</v>
      </c>
      <c r="K29" s="36">
        <v>554.57319348916769</v>
      </c>
      <c r="L29" s="35">
        <v>14413.651940739661</v>
      </c>
      <c r="M29" s="36">
        <v>489.08143332700519</v>
      </c>
      <c r="N29" s="35">
        <v>14414.299222296275</v>
      </c>
      <c r="O29" s="36">
        <v>423.93756922764794</v>
      </c>
      <c r="P29" s="35">
        <v>14409.59337038012</v>
      </c>
      <c r="Q29" s="36">
        <v>359.42385044998247</v>
      </c>
      <c r="R29" s="35">
        <v>14397.730120733793</v>
      </c>
      <c r="S29" s="36">
        <v>295.98265041748692</v>
      </c>
      <c r="T29" s="35">
        <v>14375.940775235022</v>
      </c>
      <c r="U29" s="36">
        <v>234.30189752820633</v>
      </c>
      <c r="V29" s="35">
        <v>14339.756114162139</v>
      </c>
      <c r="W29" s="36">
        <v>175.45305491356595</v>
      </c>
      <c r="X29" s="35">
        <v>14281.529943142634</v>
      </c>
      <c r="Y29" s="36">
        <v>121.09431811066416</v>
      </c>
      <c r="Z29" s="35">
        <v>14187.308525094517</v>
      </c>
      <c r="AA29" s="36">
        <v>73.731782233582805</v>
      </c>
      <c r="AB29" s="35">
        <v>14030.108395612278</v>
      </c>
      <c r="AC29" s="36">
        <v>36.793640810547409</v>
      </c>
      <c r="AD29" s="35">
        <v>13756.799783027427</v>
      </c>
      <c r="AE29" s="36">
        <v>13.495251892646754</v>
      </c>
      <c r="AF29" s="35"/>
      <c r="AG29" s="36"/>
      <c r="AH29" s="35"/>
      <c r="AI29" s="36"/>
      <c r="AJ29" s="35"/>
      <c r="AK29" s="36"/>
      <c r="AL29" s="35"/>
      <c r="AM29" s="36"/>
      <c r="AN29" s="35"/>
      <c r="AO29" s="36"/>
      <c r="AP29" s="35"/>
      <c r="AQ29" s="36"/>
      <c r="AR29" s="35"/>
      <c r="AS29" s="36"/>
      <c r="AT29" s="35"/>
      <c r="AU29" s="36"/>
      <c r="AV29" s="35"/>
      <c r="AW29" s="36"/>
    </row>
    <row r="30" spans="1:49" x14ac:dyDescent="0.2">
      <c r="A30" t="s">
        <v>48</v>
      </c>
      <c r="B30" s="119">
        <v>2924829.9599999995</v>
      </c>
      <c r="D30" s="119">
        <v>3036291.4897386185</v>
      </c>
      <c r="F30" s="119">
        <v>3152421.6583380606</v>
      </c>
      <c r="H30" s="119">
        <v>3274010.5506006759</v>
      </c>
      <c r="J30" s="119">
        <v>3402052.287491085</v>
      </c>
      <c r="L30" s="119">
        <v>3537836.3257840439</v>
      </c>
      <c r="N30" s="119">
        <v>3683152.2843789039</v>
      </c>
      <c r="P30" s="119">
        <v>3840583.0419598753</v>
      </c>
      <c r="R30" s="119">
        <v>4014098.2097745272</v>
      </c>
      <c r="T30" s="119">
        <v>4210160.8719871501</v>
      </c>
      <c r="V30" s="119">
        <v>4439882.5314065106</v>
      </c>
      <c r="X30" s="119">
        <v>4723404.6294627199</v>
      </c>
      <c r="Z30" s="119">
        <v>5098900.2076736446</v>
      </c>
      <c r="AB30" s="119">
        <v>5639608.7723369533</v>
      </c>
      <c r="AD30" s="119">
        <v>6473413.7666469002</v>
      </c>
      <c r="AF30" s="119"/>
      <c r="AH30" s="119"/>
      <c r="AJ30" s="119"/>
      <c r="AL30" s="119"/>
      <c r="AN30" s="119"/>
      <c r="AP30" s="119"/>
      <c r="AR30" s="119"/>
      <c r="AT30" s="119"/>
      <c r="AV30" s="119"/>
    </row>
    <row r="31" spans="1:49" x14ac:dyDescent="0.2">
      <c r="A31" t="s">
        <v>47</v>
      </c>
      <c r="B31" s="80">
        <v>1</v>
      </c>
      <c r="D31" s="80">
        <v>0.9972394049383293</v>
      </c>
      <c r="F31" s="80">
        <v>0.99391436784762088</v>
      </c>
      <c r="H31" s="80">
        <v>0.98993942612019314</v>
      </c>
      <c r="J31" s="80">
        <v>0.98520984268433986</v>
      </c>
      <c r="L31" s="80">
        <v>0.97959453780355854</v>
      </c>
      <c r="N31" s="80">
        <v>0.97292675436650533</v>
      </c>
      <c r="P31" s="80">
        <v>0.96498788862883267</v>
      </c>
      <c r="R31" s="80">
        <v>0.95548211146365036</v>
      </c>
      <c r="T31" s="80">
        <v>0.9439941833984673</v>
      </c>
      <c r="V31" s="80">
        <v>0.92991409849954254</v>
      </c>
      <c r="X31" s="80">
        <v>0.91229953845671186</v>
      </c>
      <c r="Z31" s="80">
        <v>0.88961529692206509</v>
      </c>
      <c r="AB31" s="80">
        <v>0.85925942962936142</v>
      </c>
      <c r="AD31" s="80">
        <v>0.81687511907933752</v>
      </c>
      <c r="AF31" s="80"/>
      <c r="AH31" s="80"/>
      <c r="AJ31" s="80"/>
      <c r="AL31" s="80"/>
      <c r="AN31" s="80"/>
      <c r="AP31" s="80"/>
      <c r="AR31" s="80"/>
      <c r="AT31" s="80"/>
      <c r="AV31" s="80"/>
    </row>
    <row r="32" spans="1:49" x14ac:dyDescent="0.2">
      <c r="A32" t="s">
        <v>64</v>
      </c>
      <c r="B32" s="86">
        <v>14734457.915000005</v>
      </c>
      <c r="D32" s="86">
        <v>14737314.704052987</v>
      </c>
      <c r="F32" s="86">
        <v>14736068.158758156</v>
      </c>
      <c r="H32" s="86">
        <v>14729924.774871025</v>
      </c>
      <c r="J32" s="86">
        <v>14717914.29891428</v>
      </c>
      <c r="L32" s="86">
        <v>14698857.975911502</v>
      </c>
      <c r="N32" s="86">
        <v>14671333.830946947</v>
      </c>
      <c r="P32" s="86">
        <v>14633653.648964467</v>
      </c>
      <c r="R32" s="86">
        <v>14583844.607446691</v>
      </c>
      <c r="T32" s="86">
        <v>14519668.630838148</v>
      </c>
      <c r="V32" s="86">
        <v>14438695.482777616</v>
      </c>
      <c r="X32" s="86">
        <v>14338469.950194158</v>
      </c>
      <c r="Z32" s="86">
        <v>14216634.71860357</v>
      </c>
      <c r="AB32" s="86">
        <v>14069589.154732335</v>
      </c>
      <c r="AD32" s="86">
        <v>13881482.330293901</v>
      </c>
      <c r="AF32" s="86"/>
      <c r="AH32" s="86"/>
      <c r="AJ32" s="86"/>
      <c r="AL32" s="86"/>
      <c r="AN32" s="86"/>
      <c r="AP32" s="86"/>
      <c r="AR32" s="86"/>
      <c r="AT32" s="86"/>
      <c r="AV32" s="86"/>
    </row>
    <row r="33" spans="1:49 16319:16321" x14ac:dyDescent="0.2">
      <c r="A33" t="s">
        <v>54</v>
      </c>
      <c r="B33" s="117">
        <v>7019665.6909999885</v>
      </c>
      <c r="D33" s="117">
        <v>7021026.8288893141</v>
      </c>
      <c r="F33" s="117">
        <v>7020432.8442246895</v>
      </c>
      <c r="H33" s="117">
        <v>7017506.0687802006</v>
      </c>
      <c r="J33" s="117">
        <v>7011784.9083913565</v>
      </c>
      <c r="L33" s="117">
        <v>7002705.4966346137</v>
      </c>
      <c r="N33" s="117">
        <v>6989592.6520588016</v>
      </c>
      <c r="P33" s="117">
        <v>6971641.6996029578</v>
      </c>
      <c r="R33" s="117">
        <v>6947912.0482067335</v>
      </c>
      <c r="T33" s="117">
        <v>6917337.8254336026</v>
      </c>
      <c r="V33" s="117">
        <v>6878761.0899008662</v>
      </c>
      <c r="X33" s="117">
        <v>6831012.477050676</v>
      </c>
      <c r="Z33" s="117">
        <v>6772968.7366061807</v>
      </c>
      <c r="AB33" s="117">
        <v>6702914.5415311754</v>
      </c>
      <c r="AD33" s="117">
        <v>6613298.2875191057</v>
      </c>
      <c r="AF33" s="117"/>
      <c r="AH33" s="117"/>
      <c r="AJ33" s="117"/>
      <c r="AL33" s="117"/>
      <c r="AN33" s="117"/>
      <c r="AP33" s="117"/>
      <c r="AR33" s="117"/>
      <c r="AT33" s="117"/>
      <c r="AV33" s="117"/>
    </row>
    <row r="34" spans="1:49 16319:16321" x14ac:dyDescent="0.2">
      <c r="A34" t="s">
        <v>75</v>
      </c>
      <c r="B34" s="117">
        <v>1136879.4410000162</v>
      </c>
      <c r="D34" s="117">
        <v>1137099.732701275</v>
      </c>
      <c r="F34" s="117">
        <v>1137003.6697718254</v>
      </c>
      <c r="H34" s="117">
        <v>1136529.6560177843</v>
      </c>
      <c r="J34" s="117">
        <v>1135602.1869858145</v>
      </c>
      <c r="L34" s="117">
        <v>1134132.5991869769</v>
      </c>
      <c r="N34" s="117">
        <v>1132008.9177784182</v>
      </c>
      <c r="P34" s="117">
        <v>1129101.2767356983</v>
      </c>
      <c r="R34" s="117">
        <v>1125258.1660460117</v>
      </c>
      <c r="T34" s="117">
        <v>1120306.5309761744</v>
      </c>
      <c r="V34" s="117">
        <v>1114059.0071763287</v>
      </c>
      <c r="X34" s="117">
        <v>1106325.8322539665</v>
      </c>
      <c r="Z34" s="117">
        <v>1096925.3153971825</v>
      </c>
      <c r="AB34" s="117">
        <v>1085579.5849935969</v>
      </c>
      <c r="AD34" s="117">
        <v>1071065.6558030723</v>
      </c>
      <c r="AF34" s="117"/>
      <c r="AH34" s="117"/>
      <c r="AJ34" s="117"/>
      <c r="AL34" s="117"/>
      <c r="AN34" s="117"/>
      <c r="AP34" s="117"/>
      <c r="AR34" s="117"/>
      <c r="AT34" s="117"/>
      <c r="AV34" s="117"/>
    </row>
    <row r="35" spans="1:49 16319:16321" x14ac:dyDescent="0.2">
      <c r="A35" t="s">
        <v>78</v>
      </c>
      <c r="B35" s="233">
        <v>1</v>
      </c>
      <c r="D35" s="233">
        <v>1.0029656011721098</v>
      </c>
      <c r="F35" s="233">
        <v>1.0062584867993849</v>
      </c>
      <c r="H35" s="233">
        <v>1.0099472989756886</v>
      </c>
      <c r="J35" s="233">
        <v>1.0141225180882709</v>
      </c>
      <c r="L35" s="233">
        <v>1.0189072149512353</v>
      </c>
      <c r="N35" s="233">
        <v>1.0244750925370656</v>
      </c>
      <c r="P35" s="233">
        <v>1.0310807496180623</v>
      </c>
      <c r="R35" s="233">
        <v>1.0391138455259541</v>
      </c>
      <c r="T35" s="233">
        <v>1.0491991276237376</v>
      </c>
      <c r="V35" s="233">
        <v>1.0623911852774581</v>
      </c>
      <c r="X35" s="233">
        <v>1.0805743945019104</v>
      </c>
      <c r="Z35" s="233">
        <v>1.1073195147617598</v>
      </c>
      <c r="AB35" s="233">
        <v>1.1496898831103626</v>
      </c>
      <c r="AD35" s="233">
        <v>1.2213483204373452</v>
      </c>
      <c r="AF35" s="233"/>
      <c r="AH35" s="233"/>
      <c r="AJ35" s="233"/>
      <c r="AL35" s="233"/>
      <c r="AN35" s="233"/>
      <c r="AP35" s="233"/>
      <c r="AR35" s="233"/>
      <c r="AT35" s="233"/>
      <c r="AV35" s="233"/>
    </row>
    <row r="36" spans="1:49 16319:16321" x14ac:dyDescent="0.2">
      <c r="A36" t="s">
        <v>21</v>
      </c>
      <c r="B36" s="37">
        <v>0.47195767671988198</v>
      </c>
      <c r="C36" s="38">
        <v>0.31738834428178964</v>
      </c>
      <c r="D36" s="37">
        <v>0.47199068829521457</v>
      </c>
      <c r="E36" s="38">
        <v>0.32072790761396452</v>
      </c>
      <c r="F36" s="37">
        <v>0.47202661551269309</v>
      </c>
      <c r="G36" s="38">
        <v>0.3244826632427954</v>
      </c>
      <c r="H36" s="37">
        <v>0.47206600535144971</v>
      </c>
      <c r="I36" s="38">
        <v>0.32872154639524692</v>
      </c>
      <c r="J36" s="37">
        <v>0.4721095168686677</v>
      </c>
      <c r="K36" s="38">
        <v>0.33352958459906568</v>
      </c>
      <c r="L36" s="37">
        <v>0.47215795616658135</v>
      </c>
      <c r="M36" s="38">
        <v>0.33901360146705212</v>
      </c>
      <c r="N36" s="37">
        <v>0.47221222951858211</v>
      </c>
      <c r="O36" s="38">
        <v>0.34531171068268307</v>
      </c>
      <c r="P36" s="37">
        <v>0.47227335290078598</v>
      </c>
      <c r="Q36" s="38">
        <v>0.35260781309546152</v>
      </c>
      <c r="R36" s="37">
        <v>0.47234233679379056</v>
      </c>
      <c r="S36" s="38">
        <v>0.36115702798439764</v>
      </c>
      <c r="T36" s="37">
        <v>0.47241992736429012</v>
      </c>
      <c r="U36" s="38">
        <v>0.37133020210681011</v>
      </c>
      <c r="V36" s="37">
        <v>0.47250603925676532</v>
      </c>
      <c r="W36" s="38">
        <v>0.3836960066508775</v>
      </c>
      <c r="X36" s="37">
        <v>0.47259845534609202</v>
      </c>
      <c r="Y36" s="38">
        <v>0.39917817495457392</v>
      </c>
      <c r="Z36" s="37">
        <v>0.47269010142021295</v>
      </c>
      <c r="AA36" s="38">
        <v>0.41936193384789877</v>
      </c>
      <c r="AB36" s="37">
        <v>0.47276423228315545</v>
      </c>
      <c r="AC36" s="38">
        <v>0.44704914402235546</v>
      </c>
      <c r="AD36" s="37">
        <v>0.47279198830144686</v>
      </c>
      <c r="AE36" s="38">
        <v>0.48692653339704817</v>
      </c>
      <c r="AF36" s="37"/>
      <c r="AG36" s="38"/>
      <c r="AH36" s="37"/>
      <c r="AI36" s="38"/>
      <c r="AJ36" s="37"/>
      <c r="AK36" s="38"/>
      <c r="AL36" s="37"/>
      <c r="AM36" s="38"/>
      <c r="AN36" s="37"/>
      <c r="AO36" s="38"/>
      <c r="AP36" s="37"/>
      <c r="AQ36" s="38"/>
      <c r="AR36" s="37"/>
      <c r="AS36" s="38"/>
      <c r="AT36" s="37"/>
      <c r="AU36" s="38"/>
      <c r="AV36" s="37"/>
      <c r="AW36" s="38"/>
    </row>
    <row r="37" spans="1:49 16319:16321" x14ac:dyDescent="0.2">
      <c r="B37" s="39">
        <v>2.1403217525954466E-2</v>
      </c>
      <c r="C37" s="40">
        <v>0.34962461301992515</v>
      </c>
      <c r="D37" s="39">
        <v>2.0918863633397334E-2</v>
      </c>
      <c r="E37" s="40">
        <v>0.345822385700221</v>
      </c>
      <c r="F37" s="39">
        <v>2.0422188477684903E-2</v>
      </c>
      <c r="G37" s="40">
        <v>0.3419228085703529</v>
      </c>
      <c r="H37" s="39">
        <v>1.9912223938825482E-2</v>
      </c>
      <c r="I37" s="40">
        <v>0.3379237963237694</v>
      </c>
      <c r="J37" s="39">
        <v>1.9387784844655684E-2</v>
      </c>
      <c r="K37" s="40">
        <v>0.3338231307401503</v>
      </c>
      <c r="L37" s="39">
        <v>1.8847359071667749E-2</v>
      </c>
      <c r="M37" s="40">
        <v>0.32961801801961549</v>
      </c>
      <c r="N37" s="39">
        <v>1.8288864898235911E-2</v>
      </c>
      <c r="O37" s="40">
        <v>0.32530376532322625</v>
      </c>
      <c r="P37" s="39">
        <v>1.770937380981679E-2</v>
      </c>
      <c r="Q37" s="40">
        <v>0.32087250270062767</v>
      </c>
      <c r="R37" s="39">
        <v>1.7104576650802394E-2</v>
      </c>
      <c r="S37" s="40">
        <v>0.31631045840692967</v>
      </c>
      <c r="T37" s="39">
        <v>1.6467974206054486E-2</v>
      </c>
      <c r="U37" s="40">
        <v>0.31159418698827396</v>
      </c>
      <c r="V37" s="39">
        <v>1.5789584078842171E-2</v>
      </c>
      <c r="W37" s="40">
        <v>0.30668521895307327</v>
      </c>
      <c r="X37" s="39">
        <v>1.5053949330951642E-2</v>
      </c>
      <c r="Y37" s="40">
        <v>0.30152365738569753</v>
      </c>
      <c r="Z37" s="39">
        <v>1.4237531750174027E-2</v>
      </c>
      <c r="AA37" s="40">
        <v>0.29602543538752807</v>
      </c>
      <c r="AB37" s="39">
        <v>1.3307880456100443E-2</v>
      </c>
      <c r="AC37" s="40">
        <v>0.29010571181533118</v>
      </c>
      <c r="AD37" s="39">
        <v>1.2235453377218986E-2</v>
      </c>
      <c r="AE37" s="40">
        <v>0.28379484839423547</v>
      </c>
      <c r="AF37" s="39"/>
      <c r="AG37" s="40"/>
      <c r="AH37" s="39"/>
      <c r="AI37" s="40"/>
      <c r="AJ37" s="39"/>
      <c r="AK37" s="40"/>
      <c r="AL37" s="39"/>
      <c r="AM37" s="40"/>
      <c r="AN37" s="39"/>
      <c r="AO37" s="40"/>
      <c r="AP37" s="39"/>
      <c r="AQ37" s="40"/>
      <c r="AR37" s="39"/>
      <c r="AS37" s="40"/>
      <c r="AT37" s="39"/>
      <c r="AU37" s="40"/>
      <c r="AV37" s="39"/>
      <c r="AW37" s="40"/>
    </row>
    <row r="38" spans="1:49 16319:16321" x14ac:dyDescent="0.2">
      <c r="A38" t="s">
        <v>22</v>
      </c>
      <c r="B38" s="37">
        <v>0.18079094942242827</v>
      </c>
      <c r="C38" s="38">
        <v>6.0565413429233668E-2</v>
      </c>
      <c r="D38" s="37">
        <v>0.1807962114246067</v>
      </c>
      <c r="E38" s="38">
        <v>6.0629041857606501E-2</v>
      </c>
      <c r="F38" s="37">
        <v>0.18082404352420534</v>
      </c>
      <c r="G38" s="38">
        <v>6.0710626731510474E-2</v>
      </c>
      <c r="H38" s="37">
        <v>0.18087888611919023</v>
      </c>
      <c r="I38" s="38">
        <v>6.0814316670406141E-2</v>
      </c>
      <c r="J38" s="37">
        <v>0.18096647901562374</v>
      </c>
      <c r="K38" s="38">
        <v>6.0945436564974878E-2</v>
      </c>
      <c r="L38" s="37">
        <v>0.1810944284419426</v>
      </c>
      <c r="M38" s="38">
        <v>6.1110919577296995E-2</v>
      </c>
      <c r="N38" s="37">
        <v>0.18127314745430104</v>
      </c>
      <c r="O38" s="38">
        <v>6.1320083605553841E-2</v>
      </c>
      <c r="P38" s="37">
        <v>0.18151737107907542</v>
      </c>
      <c r="Q38" s="38">
        <v>6.1585817715009976E-2</v>
      </c>
      <c r="R38" s="37">
        <v>0.18184886449392182</v>
      </c>
      <c r="S38" s="38">
        <v>6.1926701181812885E-2</v>
      </c>
      <c r="T38" s="37">
        <v>0.18230136646841438</v>
      </c>
      <c r="U38" s="38">
        <v>6.2371014015014881E-2</v>
      </c>
      <c r="V38" s="37">
        <v>0.18293024039800648</v>
      </c>
      <c r="W38" s="38">
        <v>6.2964567965638499E-2</v>
      </c>
      <c r="X38" s="37">
        <v>0.18383255191940476</v>
      </c>
      <c r="Y38" s="38">
        <v>6.3787450888799127E-2</v>
      </c>
      <c r="Z38" s="37">
        <v>0.18519161833419084</v>
      </c>
      <c r="AA38" s="38">
        <v>6.4992278639958823E-2</v>
      </c>
      <c r="AB38" s="37">
        <v>0.18737969448816022</v>
      </c>
      <c r="AC38" s="38">
        <v>6.6899385957304422E-2</v>
      </c>
      <c r="AD38" s="37">
        <v>0.19118677196088016</v>
      </c>
      <c r="AE38" s="38">
        <v>7.0256956965949427E-2</v>
      </c>
      <c r="AF38" s="37"/>
      <c r="AG38" s="38"/>
      <c r="AH38" s="37"/>
      <c r="AI38" s="38"/>
      <c r="AJ38" s="37"/>
      <c r="AK38" s="38"/>
      <c r="AL38" s="37"/>
      <c r="AM38" s="38"/>
      <c r="AN38" s="37"/>
      <c r="AO38" s="38"/>
      <c r="AP38" s="37"/>
      <c r="AQ38" s="38"/>
      <c r="AR38" s="37"/>
      <c r="AS38" s="38"/>
      <c r="AT38" s="37"/>
      <c r="AU38" s="38"/>
      <c r="AV38" s="37"/>
      <c r="AW38" s="38"/>
    </row>
    <row r="39" spans="1:49 16319:16321" x14ac:dyDescent="0.2">
      <c r="A39" t="s">
        <v>23</v>
      </c>
      <c r="B39" s="39">
        <v>0.23064923795098646</v>
      </c>
      <c r="C39" s="40">
        <v>0.22092201281804777</v>
      </c>
      <c r="D39" s="39">
        <v>0.23111984108737418</v>
      </c>
      <c r="E39" s="40">
        <v>0.22144453765789171</v>
      </c>
      <c r="F39" s="39">
        <v>0.23162306070784364</v>
      </c>
      <c r="G39" s="40">
        <v>0.22203532596833808</v>
      </c>
      <c r="H39" s="39">
        <v>0.2321649828362356</v>
      </c>
      <c r="I39" s="40">
        <v>0.222709977613154</v>
      </c>
      <c r="J39" s="39">
        <v>0.23275333727736022</v>
      </c>
      <c r="K39" s="40">
        <v>0.22348840875282625</v>
      </c>
      <c r="L39" s="39">
        <v>0.23339809842766865</v>
      </c>
      <c r="M39" s="40">
        <v>0.22439647722433154</v>
      </c>
      <c r="N39" s="39">
        <v>0.23411259605812465</v>
      </c>
      <c r="O39" s="40">
        <v>0.22546866377557573</v>
      </c>
      <c r="P39" s="39">
        <v>0.23491516761959386</v>
      </c>
      <c r="Q39" s="40">
        <v>0.22675231305341242</v>
      </c>
      <c r="R39" s="39">
        <v>0.23583224345463449</v>
      </c>
      <c r="S39" s="40">
        <v>0.2283153777371941</v>
      </c>
      <c r="T39" s="39">
        <v>0.23690409025390421</v>
      </c>
      <c r="U39" s="40">
        <v>0.23026064799163706</v>
      </c>
      <c r="V39" s="39">
        <v>0.23819621097515256</v>
      </c>
      <c r="W39" s="40">
        <v>0.23275420087863774</v>
      </c>
      <c r="X39" s="39">
        <v>0.23982367163237328</v>
      </c>
      <c r="Y39" s="40">
        <v>0.23608608224559732</v>
      </c>
      <c r="Z39" s="39">
        <v>0.2420065373053247</v>
      </c>
      <c r="AA39" s="40">
        <v>0.24081085583049278</v>
      </c>
      <c r="AB39" s="39">
        <v>0.24520205513829971</v>
      </c>
      <c r="AC39" s="40">
        <v>0.24809840937151631</v>
      </c>
      <c r="AD39" s="39">
        <v>0.25041129815767837</v>
      </c>
      <c r="AE39" s="40">
        <v>0.26070394953707121</v>
      </c>
      <c r="AF39" s="39"/>
      <c r="AG39" s="40"/>
      <c r="AH39" s="39"/>
      <c r="AI39" s="40"/>
      <c r="AJ39" s="39"/>
      <c r="AK39" s="40"/>
      <c r="AL39" s="39"/>
      <c r="AM39" s="40"/>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0.10800000000000001</v>
      </c>
      <c r="E42" s="135"/>
      <c r="F42" s="177">
        <f>10.8%+(1-10.8%)*(1-SUM(F26:G26)/SUM($B$26:$C$26))</f>
        <v>0.10800000000000021</v>
      </c>
      <c r="G42" s="135"/>
      <c r="H42" s="177">
        <f>10.8%+(1-10.8%)*(1-SUM(H26:I26)/SUM($B$26:$C$26))</f>
        <v>0.10799999999999961</v>
      </c>
      <c r="I42" s="135"/>
      <c r="J42" s="177">
        <f>10.8%+(1-10.8%)*(1-SUM(J26:K26)/SUM($B$26:$C$26))</f>
        <v>0.10800000000000051</v>
      </c>
      <c r="K42" s="135"/>
      <c r="L42" s="177">
        <f>10.8%+(1-10.8%)*(1-SUM(L26:M26)/SUM($B$26:$C$26))</f>
        <v>0.10799999999999942</v>
      </c>
      <c r="M42" s="135"/>
      <c r="N42" s="177">
        <f>10.8%+(1-10.8%)*(1-SUM(N26:O26)/SUM($B$26:$C$26))</f>
        <v>0.10800000000000021</v>
      </c>
      <c r="O42" s="135"/>
      <c r="P42" s="177">
        <f>10.8%+(1-10.8%)*(1-SUM(P26:Q26)/SUM($B$26:$C$26))</f>
        <v>0.1080000000000003</v>
      </c>
      <c r="Q42" s="135"/>
      <c r="R42" s="177">
        <f>10.8%+(1-10.8%)*(1-SUM(R26:S26)/SUM($B$26:$C$26))</f>
        <v>0.1080000000000008</v>
      </c>
      <c r="S42" s="135"/>
      <c r="T42" s="177">
        <f>10.8%+(1-10.8%)*(1-SUM(T26:U26)/SUM($B$26:$C$26))</f>
        <v>0.10799999999999922</v>
      </c>
      <c r="U42" s="135"/>
      <c r="V42" s="177">
        <f>10.8%+(1-10.8%)*(1-SUM(V26:W26)/SUM($B$26:$C$26))</f>
        <v>0.10799999999999882</v>
      </c>
      <c r="W42" s="135"/>
      <c r="X42" s="177">
        <f>10.8%+(1-10.8%)*(1-SUM(X26:Y26)/SUM($B$26:$C$26))</f>
        <v>0.1080000000000003</v>
      </c>
      <c r="Y42" s="162"/>
      <c r="Z42" s="177">
        <f>10.8%+(1-10.8%)*(1-SUM(Z26:AA26)/SUM($B$26:$C$26))</f>
        <v>0.10800000000000021</v>
      </c>
      <c r="AA42" s="135"/>
      <c r="AB42" s="177">
        <f>10.8%+(1-10.8%)*(1-SUM(AB26:AC26)/SUM($B$26:$C$26))</f>
        <v>0.10799999999999982</v>
      </c>
      <c r="AC42" s="135"/>
      <c r="AD42" s="177">
        <f>10.8%+(1-10.8%)*(1-SUM(AD26:AE26)/SUM($B$26:$C$26))</f>
        <v>0.10799999999999961</v>
      </c>
      <c r="AE42" s="135"/>
      <c r="AF42" s="177">
        <f>10.8%+(1-10.8%)*(1-SUM(AF26:AG26)/SUM($B$26:$C$26))</f>
        <v>1</v>
      </c>
      <c r="AG42" s="135"/>
      <c r="AH42" s="177">
        <f>10.8%+(1-10.8%)*(1-SUM(AH26:AI26)/SUM($B$26:$C$26))</f>
        <v>1</v>
      </c>
      <c r="AI42" s="135"/>
      <c r="AJ42" s="177">
        <f>10.8%+(1-10.8%)*(1-SUM(AJ26:AK26)/SUM($B$26:$C$26))</f>
        <v>1</v>
      </c>
      <c r="AK42" s="135"/>
      <c r="AL42" s="177">
        <f>10.8%+(1-10.8%)*(1-SUM(AL26:AM26)/SUM($B$26:$C$26))</f>
        <v>1</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0.56058995943839085</v>
      </c>
      <c r="C43" s="135"/>
      <c r="D43" s="162">
        <f t="array" ref="D43">SUM(D15:E15*D27:E27)/SUM(D15:E15*D27:E27,D13:E13*D26:E26)</f>
        <v>0.55932270496056014</v>
      </c>
      <c r="E43" s="135"/>
      <c r="F43" s="162">
        <f t="array" ref="F43">SUM(F15:G15*F27:G27)/SUM(F15:G15*F27:G27,F13:G13*F26:G26)</f>
        <v>0.55089175159630965</v>
      </c>
      <c r="G43" s="135"/>
      <c r="H43" s="162">
        <f t="array" ref="H43">SUM(H15:I15*H27:I27)/SUM(H15:I15*H27:I27,H13:I13*H26:I26)</f>
        <v>0.54179906151281143</v>
      </c>
      <c r="I43" s="135"/>
      <c r="J43" s="162">
        <f t="array" ref="J43">SUM(J15:K15*J27:K27)/SUM(J15:K15*J27:K27,J13:K13*J26:K26)</f>
        <v>0.53190397993334737</v>
      </c>
      <c r="K43" s="135"/>
      <c r="L43" s="162">
        <f t="array" ref="L43">SUM(L15:M15*L27:M27)/SUM(L15:M15*L27:M27,L13:M13*L26:M26)</f>
        <v>0.52101991616472498</v>
      </c>
      <c r="M43" s="135"/>
      <c r="N43" s="162">
        <f t="array" ref="N43">SUM(N15:O15*N27:O27)/SUM(N15:O15*N27:O27,N13:O13*N26:O26)</f>
        <v>0.50888739035912134</v>
      </c>
      <c r="O43" s="135"/>
      <c r="P43" s="162">
        <f t="array" ref="P43">SUM(P15:Q15*P27:Q27)/SUM(P15:Q15*P27:Q27,P13:Q13*P26:Q26)</f>
        <v>0.4951326579452901</v>
      </c>
      <c r="Q43" s="135"/>
      <c r="R43" s="162">
        <f t="array" ref="R43">SUM(R15:S15*R27:S27)/SUM(R15:S15*R27:S27,R13:S13*R26:S26)</f>
        <v>0.47918677006132226</v>
      </c>
      <c r="S43" s="135"/>
      <c r="T43" s="162">
        <f t="array" ref="T43">SUM(T15:U15*T27:U27)/SUM(T15:U15*T27:U27,T13:U13*T26:U26)</f>
        <v>0.46012991498758732</v>
      </c>
      <c r="U43" s="135"/>
      <c r="V43" s="162">
        <f t="array" ref="V43">SUM(V15:W15*V27:W27)/SUM(V15:W15*V27:W27,V13:W13*V26:W26)</f>
        <v>0.43636926628769379</v>
      </c>
      <c r="W43" s="135"/>
      <c r="X43" s="162">
        <f t="array" ref="X43">SUM(X15:Y15*X27:Y27)/SUM(X15:Y15*X27:Y27,X13:Y13*X26:Y26)</f>
        <v>0.40491698531379883</v>
      </c>
      <c r="Y43" s="135"/>
      <c r="Z43" s="162">
        <f t="array" ref="Z43">SUM(Z15:AA15*Z27:AA27)/SUM(Z15:AA15*Z27:AA27,Z13:AA13*Z26:AA26)</f>
        <v>0.35962782529758885</v>
      </c>
      <c r="AA43" s="135"/>
      <c r="AB43" s="162">
        <f t="array" ref="AB43">SUM(AB15:AC15*AB27:AC27)/SUM(AB15:AC15*AB27:AC27,AB13:AC13*AB26:AC26)</f>
        <v>0.28649898890635495</v>
      </c>
      <c r="AC43" s="135"/>
      <c r="AD43" s="162">
        <f t="array" ref="AD43">SUM(AD15:AE15*AD27:AE27)/SUM(AD15:AE15*AD27:AE27,AD13:AE13*AD26:AE26)</f>
        <v>0.15002974343233594</v>
      </c>
      <c r="AE43" s="135"/>
      <c r="AF43" s="162" t="e">
        <f t="array" ref="AF43">SUM(AF15:AG15*AF27:AG27)/SUM(AF15:AG15*AF27:AG27,AF13:AG13*AF26:AG26)</f>
        <v>#DIV/0!</v>
      </c>
      <c r="AG43" s="135"/>
      <c r="AH43" s="162" t="e">
        <f t="array" ref="AH43">SUM(AH15:AI15*AH27:AI27)/SUM(AH15:AI15*AH27:AI27,AH13:AI13*AH26:AI26)</f>
        <v>#DIV/0!</v>
      </c>
      <c r="AI43" s="135"/>
      <c r="AJ43" s="162" t="e">
        <f t="array" ref="AJ43">SUM(AJ15:AK15*AJ27:AK27)/SUM(AJ15:AK15*AJ27:AK27,AJ13:AK13*AJ26:AK26)</f>
        <v>#DIV/0!</v>
      </c>
      <c r="AK43" s="135"/>
      <c r="AL43" s="162" t="e">
        <f t="array" ref="AL43">SUM(AL15:AM15*AL27:AM27)/SUM(AL15:AM15*AL27:AM27,AL13:AM13*AL26:AM26)</f>
        <v>#DIV/0!</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0.29754226190682465</v>
      </c>
      <c r="D44" s="193">
        <f>(SUM(D11:E11*D24:E24)+D34)/D32</f>
        <v>0.29754225304254855</v>
      </c>
      <c r="F44" s="193">
        <f>(SUM(F11:G11*F24:G24)+F34)/F32</f>
        <v>0.29754226092104441</v>
      </c>
      <c r="H44" s="193">
        <f>(SUM(H11:I11*H24:I24)+H34)/H32</f>
        <v>0.29754226068341311</v>
      </c>
      <c r="J44" s="193">
        <f>(SUM(J11:K11*J24:K24)+J34)/J32</f>
        <v>0.29754220844130891</v>
      </c>
      <c r="L44" s="193">
        <f>(SUM(L11:M11*L24:M24)+L34)/L32</f>
        <v>0.29754226005570739</v>
      </c>
      <c r="N44" s="193">
        <f>(SUM(N11:O11*N24:O24)+N34)/N32</f>
        <v>0.29754226171971626</v>
      </c>
      <c r="P44" s="193">
        <f>(SUM(P11:Q11*P24:Q24)+P34)/P32</f>
        <v>0.29754223979538158</v>
      </c>
      <c r="R44" s="193">
        <f>(SUM(R11:S11*R24:S24)+R34)/R32</f>
        <v>0.29754224311698813</v>
      </c>
      <c r="T44" s="193">
        <f>(SUM(T11:U11*T24:U24)+T34)/T32</f>
        <v>0.29754224629443615</v>
      </c>
      <c r="V44" s="193">
        <f>(SUM(V11:W11*V24:W24)+V34)/V32</f>
        <v>0.29754225963541869</v>
      </c>
      <c r="X44" s="193">
        <f>(SUM(X11:Y11*X24:Y24)+X34)/X32</f>
        <v>0.29754226053828459</v>
      </c>
      <c r="Z44" s="193">
        <f>(SUM(Z11:AA11*Z24:AA24)+Z34)/Z32</f>
        <v>0.29754226270179635</v>
      </c>
      <c r="AB44" s="193">
        <f>(SUM(AB11:AC11*AB24:AC24)+AB34)/AB32</f>
        <v>0.29754226217650792</v>
      </c>
      <c r="AD44" s="193">
        <f>(SUM(AD11:AE11*AD24:AE24)+AD34)/AD32</f>
        <v>0.29754226169852305</v>
      </c>
      <c r="AF44" s="193" t="e">
        <f>(SUM(AF11:AG11*AF24:AG24)+AF34)/AF32</f>
        <v>#DIV/0!</v>
      </c>
      <c r="AH44" s="193" t="e">
        <f>(SUM(AH11:AI11*AH24:AI24)+AH34)/AH32</f>
        <v>#DIV/0!</v>
      </c>
      <c r="AJ44" s="193" t="e">
        <f>(SUM(AJ11:AK11*AJ24:AK24)+AJ34)/AJ32</f>
        <v>#DIV/0!</v>
      </c>
      <c r="AL44" s="193" t="e">
        <f>(SUM(AL11:AM11*AL24:AM24)+AL34)/AL32</f>
        <v>#DIV/0!</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0.22038438842908845</v>
      </c>
      <c r="F45" s="193">
        <f>SUM(F11:G11*F24:G24)/F32</f>
        <v>0.22038438831063134</v>
      </c>
      <c r="H45" s="193">
        <f>SUM(H11:I11*H24:I24)/H32</f>
        <v>0.22038438829857362</v>
      </c>
      <c r="J45" s="193">
        <f>SUM(J11:K11*J24:K24)/J32</f>
        <v>0.22038438811960837</v>
      </c>
      <c r="L45" s="193">
        <f>SUM(L11:M11*L24:M24)/L32</f>
        <v>0.22038438826419851</v>
      </c>
      <c r="N45" s="193">
        <f>SUM(N11:O11*N24:O24)/N32</f>
        <v>0.2203843883578126</v>
      </c>
      <c r="P45" s="193">
        <f>SUM(P11:Q11*P24:Q24)/P32</f>
        <v>0.22038438818696945</v>
      </c>
      <c r="R45" s="193">
        <f>SUM(R11:S11*R24:S24)/R32</f>
        <v>0.22038438822106846</v>
      </c>
      <c r="T45" s="193">
        <f>SUM(T11:U11*T24:U24)/T32</f>
        <v>0.22038438825649384</v>
      </c>
      <c r="V45" s="193">
        <f>SUM(V11:W11*V24:W24)/V32</f>
        <v>0.22038438837861635</v>
      </c>
      <c r="X45" s="193">
        <f>SUM(X11:Y11*X24:Y24)/X32</f>
        <v>0.220384388317826</v>
      </c>
      <c r="Z45" s="193">
        <f>SUM(Z11:AA11*Z24:AA24)/Z32</f>
        <v>0.22038438834481014</v>
      </c>
      <c r="AB45" s="193">
        <f>SUM(AB11:AC11*AB24:AC24)/AB32</f>
        <v>0.220384388335646</v>
      </c>
      <c r="AD45" s="193">
        <f>SUM(AD11:AE11*AD24:AE24)/AD32</f>
        <v>0.22038438833036991</v>
      </c>
      <c r="AF45" s="193" t="e">
        <f>SUM(AF11:AG11*AF24:AG24)/AF32</f>
        <v>#DIV/0!</v>
      </c>
      <c r="AH45" s="193" t="e">
        <f>SUM(AH11:AI11*AH24:AI24)/AH32</f>
        <v>#DIV/0!</v>
      </c>
      <c r="AJ45" s="193" t="e">
        <f>SUM(AJ11:AK11*AJ24:AK24)/AJ32</f>
        <v>#DIV/0!</v>
      </c>
      <c r="AL45" s="193" t="e">
        <f>SUM(AL11:AM11*AL24:AM24)/AL32</f>
        <v>#DIV/0!</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7.7157873574883795E-2</v>
      </c>
      <c r="D46" s="193">
        <f>D34/D32</f>
        <v>7.7157864613460095E-2</v>
      </c>
      <c r="F46" s="193">
        <f>F34/F32</f>
        <v>7.7157872610413028E-2</v>
      </c>
      <c r="H46" s="193">
        <f>H34/H32</f>
        <v>7.7157872384839496E-2</v>
      </c>
      <c r="J46" s="193">
        <f>J34/J32</f>
        <v>7.7157820321700488E-2</v>
      </c>
      <c r="L46" s="193">
        <f>L34/L32</f>
        <v>7.7157871791508847E-2</v>
      </c>
      <c r="N46" s="193">
        <f>N34/N32</f>
        <v>7.7157873361903717E-2</v>
      </c>
      <c r="P46" s="193">
        <f>P34/P32</f>
        <v>7.7157851608412084E-2</v>
      </c>
      <c r="R46" s="193">
        <f>R34/R32</f>
        <v>7.7157854895919628E-2</v>
      </c>
      <c r="T46" s="193">
        <f>T34/T32</f>
        <v>7.715785803794234E-2</v>
      </c>
      <c r="V46" s="193">
        <f>V34/V32</f>
        <v>7.7157871256802332E-2</v>
      </c>
      <c r="X46" s="193">
        <f>X34/X32</f>
        <v>7.7157872220458626E-2</v>
      </c>
      <c r="Z46" s="193">
        <f>Z34/Z32</f>
        <v>7.715787435698622E-2</v>
      </c>
      <c r="AB46" s="193">
        <f>AB34/AB32</f>
        <v>7.7157873840861937E-2</v>
      </c>
      <c r="AD46" s="193">
        <f>AD34/AD32</f>
        <v>7.7157873368153149E-2</v>
      </c>
      <c r="AF46" s="193" t="e">
        <f>AF34/AF32</f>
        <v>#DIV/0!</v>
      </c>
      <c r="AH46" s="193" t="e">
        <f>AH34/AH32</f>
        <v>#DIV/0!</v>
      </c>
      <c r="AJ46" s="193" t="e">
        <f>AJ34/AJ32</f>
        <v>#DIV/0!</v>
      </c>
      <c r="AL46" s="193" t="e">
        <f>AL34/AL32</f>
        <v>#DIV/0!</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1.0023033268288428</v>
      </c>
      <c r="E48" s="191"/>
      <c r="F48" s="191">
        <f>F24/$B$24</f>
        <v>1.0044746736776888</v>
      </c>
      <c r="G48" s="191"/>
      <c r="H48" s="191">
        <f>H24/$B$24</f>
        <v>1.0064837867372467</v>
      </c>
      <c r="I48" s="191"/>
      <c r="J48" s="191">
        <f>J24/$B$24</f>
        <v>1.0082920210035327</v>
      </c>
      <c r="K48" s="191"/>
      <c r="L48" s="191">
        <f>L24/$B$24</f>
        <v>1.0098494631117416</v>
      </c>
      <c r="M48" s="191"/>
      <c r="N48" s="191">
        <f>N24/$B$24</f>
        <v>1.0110913393384264</v>
      </c>
      <c r="O48" s="191"/>
      <c r="P48" s="191">
        <f>P24/$B$24</f>
        <v>1.011932533002371</v>
      </c>
      <c r="Q48" s="191"/>
      <c r="R48" s="191">
        <f>R24/$B$24</f>
        <v>1.0122593721881281</v>
      </c>
      <c r="S48" s="191"/>
      <c r="T48" s="191">
        <f>T24/$B$24</f>
        <v>1.0119168760675334</v>
      </c>
      <c r="U48" s="191"/>
      <c r="V48" s="191">
        <f>V24/$B$24</f>
        <v>1.0106860375095252</v>
      </c>
      <c r="W48" s="191"/>
      <c r="X48" s="191">
        <f>X24/$B$24</f>
        <v>1.0082396879603732</v>
      </c>
      <c r="Y48" s="191"/>
      <c r="Z48" s="191">
        <f>Z24/$B$24</f>
        <v>1.0040414604720955</v>
      </c>
      <c r="AA48" s="191"/>
      <c r="AB48" s="191">
        <f>AB24/$B$24</f>
        <v>0.99707156125245211</v>
      </c>
      <c r="AC48" s="191"/>
      <c r="AD48" s="191">
        <f>AD24/$B$24</f>
        <v>0.98498495357641547</v>
      </c>
      <c r="AE48" s="191"/>
      <c r="AF48" s="191">
        <f>AF24/$B$24</f>
        <v>0</v>
      </c>
      <c r="AG48" s="191"/>
      <c r="AH48" s="191">
        <f>AH24/$B$24</f>
        <v>0</v>
      </c>
      <c r="AI48" s="191"/>
      <c r="AJ48" s="191">
        <f>AJ24/$B$24</f>
        <v>0</v>
      </c>
      <c r="AK48" s="191"/>
      <c r="AL48" s="191">
        <f>AL24/$B$24</f>
        <v>0</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1.0058554200683438</v>
      </c>
      <c r="E49" s="191"/>
      <c r="F49" s="191">
        <f>F13/F35/$B$13*$B$35</f>
        <v>1.0114952333894038</v>
      </c>
      <c r="G49" s="191"/>
      <c r="H49" s="191">
        <f>H13/H35/$B$13*$B$35</f>
        <v>1.0168668389827484</v>
      </c>
      <c r="I49" s="191"/>
      <c r="J49" s="191">
        <f>J13/J35/$B$13*$B$35</f>
        <v>1.0219020228591016</v>
      </c>
      <c r="K49" s="191"/>
      <c r="L49" s="191">
        <f>L13/L35/$B$13*$B$35</f>
        <v>1.0265115410637244</v>
      </c>
      <c r="M49" s="191"/>
      <c r="N49" s="191">
        <f>N13/N35/$B$13*$B$35</f>
        <v>1.0305820673767108</v>
      </c>
      <c r="O49" s="191"/>
      <c r="P49" s="191">
        <f>P13/P35/$B$13*$B$35</f>
        <v>1.0339670515286696</v>
      </c>
      <c r="Q49" s="191"/>
      <c r="R49" s="191">
        <f>R13/R35/$B$13*$B$35</f>
        <v>1.0364790376332811</v>
      </c>
      <c r="S49" s="191"/>
      <c r="T49" s="191">
        <f>T13/T35/$B$13*$B$35</f>
        <v>1.0378781041416005</v>
      </c>
      <c r="U49" s="191"/>
      <c r="V49" s="191">
        <f>V13/V35/$B$13*$B$35</f>
        <v>1.0378527353196789</v>
      </c>
      <c r="W49" s="191"/>
      <c r="X49" s="191">
        <f>X13/X35/$B$13*$B$35</f>
        <v>1.0359819539588468</v>
      </c>
      <c r="Y49" s="191"/>
      <c r="Z49" s="191">
        <f>Z13/Z35/$B$13*$B$35</f>
        <v>1.0316289354245318</v>
      </c>
      <c r="AA49" s="191"/>
      <c r="AB49" s="191">
        <f>AB13/AB35/$B$13*$B$35</f>
        <v>1.0235699312468214</v>
      </c>
      <c r="AC49" s="191"/>
      <c r="AD49" s="191">
        <f>AD13/AD35/$B$13*$B$35</f>
        <v>1.0086633726201037</v>
      </c>
      <c r="AE49" s="191"/>
      <c r="AF49" s="191" t="e">
        <f>AF13/AF35/$B$13*$B$35</f>
        <v>#DIV/0!</v>
      </c>
      <c r="AG49" s="191"/>
      <c r="AH49" s="191" t="e">
        <f>AH13/AH35/$B$13*$B$35</f>
        <v>#DIV/0!</v>
      </c>
      <c r="AI49" s="191"/>
      <c r="AJ49" s="191" t="e">
        <f>AJ13/AJ35/$B$13*$B$35</f>
        <v>#DIV/0!</v>
      </c>
      <c r="AK49" s="191"/>
      <c r="AL49" s="191" t="e">
        <f>AL13/AL35/$B$13*$B$35</f>
        <v>#DIV/0!</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-295022.56458404893</v>
      </c>
      <c r="F51" s="29">
        <f>F30-F10*F23</f>
        <v>-178610.61915189307</v>
      </c>
      <c r="H51" s="29">
        <f>H30-H10*H23</f>
        <v>-55633.03827840928</v>
      </c>
      <c r="J51" s="29">
        <f>J30-J10*J23</f>
        <v>75123.621117034461</v>
      </c>
      <c r="L51" s="29">
        <f>L30-L10*L23</f>
        <v>215215.2688977248</v>
      </c>
      <c r="N51" s="29">
        <f>N30-N10*N23</f>
        <v>366752.95599570358</v>
      </c>
      <c r="P51" s="29">
        <f>P30-P10*P23</f>
        <v>532701.17570111156</v>
      </c>
      <c r="R51" s="29">
        <f>R30-R10*R23</f>
        <v>717475.48830384854</v>
      </c>
      <c r="T51" s="29">
        <f>T30-T10*T23</f>
        <v>928044.88645304786</v>
      </c>
      <c r="V51" s="29">
        <f>V30-V10*V23</f>
        <v>1176070.2186631248</v>
      </c>
      <c r="X51" s="29">
        <f>X30-X10*X23</f>
        <v>1482247.9179602731</v>
      </c>
      <c r="Z51" s="29">
        <f>Z30-Z10*Z23</f>
        <v>1885283.8878544779</v>
      </c>
      <c r="AB51" s="29">
        <f>AB30-AB10*AB23</f>
        <v>2459231.5441289148</v>
      </c>
      <c r="AD51" s="29">
        <f>AD30-AD10*AD23</f>
        <v>3335557.3721558363</v>
      </c>
      <c r="AF51" s="29">
        <f>AF30-AF10*AF23</f>
        <v>0</v>
      </c>
      <c r="AH51" s="29">
        <f>AH30-AH10*AH23</f>
        <v>0</v>
      </c>
      <c r="AJ51" s="29">
        <f>AJ30-AJ10*AJ23</f>
        <v>0</v>
      </c>
      <c r="AL51" s="29">
        <f>AL30-AL10*AL23</f>
        <v>0</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2067359.8629754363</v>
      </c>
      <c r="F52" s="29">
        <f t="array" ref="F52">Calibration!sL*SUM(F13:G13*F26:G26)</f>
        <v>2085777.0205136428</v>
      </c>
      <c r="H52" s="29">
        <f t="array" ref="H52">Calibration!sL*SUM(H13:I13*H26:I26)</f>
        <v>2104540.4550695955</v>
      </c>
      <c r="J52" s="29">
        <f t="array" ref="J52">Calibration!sL*SUM(J13:K13*J26:K26)</f>
        <v>2123704.8879131796</v>
      </c>
      <c r="L52" s="29">
        <f t="array" ref="L52">Calibration!sL*SUM(L13:M13*L26:M26)</f>
        <v>2143349.3110454571</v>
      </c>
      <c r="N52" s="29">
        <f t="array" ref="N52">Calibration!sL*SUM(N13:O13*N26:O26)</f>
        <v>2163607.4442735622</v>
      </c>
      <c r="P52" s="29">
        <f t="array" ref="P52">Calibration!sL*SUM(P13:Q13*P26:Q26)</f>
        <v>2184710.3190639107</v>
      </c>
      <c r="R52" s="29">
        <f t="array" ref="R52">Calibration!sL*SUM(R13:S13*R26:S26)</f>
        <v>2207080.3099796688</v>
      </c>
      <c r="T52" s="29">
        <f t="array" ref="T52">Calibration!sL*SUM(T13:U13*T26:U26)</f>
        <v>2231509.5630025803</v>
      </c>
      <c r="V52" s="29">
        <f t="array" ref="V52">Calibration!sL*SUM(V13:W13*V26:W26)</f>
        <v>2259512.1167682121</v>
      </c>
      <c r="X52" s="29">
        <f t="array" ref="X52">Calibration!sL*SUM(X13:Y13*X26:Y26)</f>
        <v>2294041.8912850115</v>
      </c>
      <c r="Z52" s="29">
        <f t="array" ref="Z52">Calibration!sL*SUM(Z13:AA13*Z26:AA26)</f>
        <v>2340943.5990489447</v>
      </c>
      <c r="AB52" s="29">
        <f t="array" ref="AB52">Calibration!sL*SUM(AB13:AC13*AB26:AC26)</f>
        <v>2411530.2320519276</v>
      </c>
      <c r="AD52" s="29">
        <f t="array" ref="AD52">Calibration!sL*SUM(AD13:AE13*AD26:AE26)</f>
        <v>2524528.4647519561</v>
      </c>
      <c r="AF52" s="29">
        <f t="array" ref="AF52">Calibration!sL*SUM(AF13:AG13*AF26:AG26)</f>
        <v>0</v>
      </c>
      <c r="AH52" s="29">
        <f t="array" ref="AH52">Calibration!sL*SUM(AH13:AI13*AH26:AI26)</f>
        <v>0</v>
      </c>
      <c r="AJ52" s="29">
        <f t="array" ref="AJ52">Calibration!sL*SUM(AJ13:AK13*AJ26:AK26)</f>
        <v>0</v>
      </c>
      <c r="AL52" s="29">
        <f t="array" ref="AL52">Calibration!sL*SUM(AL13:AM13*AL26:AM26)</f>
        <v>0</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2740714.4444297305</v>
      </c>
      <c r="D53" s="29">
        <f t="array" ref="D53">Calibration!sK*SUM(D15:E15*D27:E27)</f>
        <v>2677794.4819648308</v>
      </c>
      <c r="F53" s="29">
        <f t="array" ref="F53">Calibration!sK*SUM(F15:G15*F27:G27)</f>
        <v>2610973.7429561969</v>
      </c>
      <c r="H53" s="29">
        <f t="array" ref="H53">Calibration!sK*SUM(H15:I15*H27:I27)</f>
        <v>2539562.702711137</v>
      </c>
      <c r="J53" s="29">
        <f t="array" ref="J53">Calibration!sK*SUM(J15:K15*J27:K27)</f>
        <v>2462701.9006226142</v>
      </c>
      <c r="L53" s="29">
        <f t="array" ref="L53">Calibration!sK*SUM(L15:M15*L27:M27)</f>
        <v>2379300.0423233579</v>
      </c>
      <c r="N53" s="29">
        <f t="array" ref="N53">Calibration!sK*SUM(N15:O15*N27:O27)</f>
        <v>2287907.4858847884</v>
      </c>
      <c r="P53" s="29">
        <f t="array" ref="P53">Calibration!sK*SUM(P15:Q15*P27:Q27)</f>
        <v>2186540.5775226797</v>
      </c>
      <c r="R53" s="29">
        <f t="array" ref="R53">Calibration!sK*SUM(R15:S15*R27:S27)</f>
        <v>2072336.7808495478</v>
      </c>
      <c r="T53" s="29">
        <f t="array" ref="T53">Calibration!sK*SUM(T15:U15*T27:U27)</f>
        <v>1940927.6467520781</v>
      </c>
      <c r="V53" s="29">
        <f t="array" ref="V53">Calibration!sK*SUM(V15:W15*V27:W27)</f>
        <v>1785227.4306523821</v>
      </c>
      <c r="X53" s="29">
        <f t="array" ref="X53">Calibration!sK*SUM(X15:Y15*X27:Y27)</f>
        <v>1592975.7779970649</v>
      </c>
      <c r="Z53" s="29">
        <f t="array" ref="Z53">Calibration!sK*SUM(Z15:AA15*Z27:AA27)</f>
        <v>1341625.0912026516</v>
      </c>
      <c r="AB53" s="29">
        <f t="array" ref="AB53">Calibration!sK*SUM(AB15:AC15*AB27:AC27)</f>
        <v>988190.32867689477</v>
      </c>
      <c r="AD53" s="29">
        <f t="array" ref="AD53">Calibration!sK*SUM(AD15:AE15*AD27:AE27)</f>
        <v>454750.61760429945</v>
      </c>
      <c r="AF53" s="29">
        <f t="array" ref="AF53">Calibration!sK*SUM(AF15:AG15*AF27:AG27)</f>
        <v>0</v>
      </c>
      <c r="AH53" s="29">
        <f t="array" ref="AH53">Calibration!sK*SUM(AH15:AI15*AH27:AI27)</f>
        <v>0</v>
      </c>
      <c r="AJ53" s="29">
        <f t="array" ref="AJ53">Calibration!sK*SUM(AJ15:AK15*AJ27:AK27)</f>
        <v>0</v>
      </c>
      <c r="AL53" s="29">
        <f t="array" ref="AL53">Calibration!sK*SUM(AL15:AM15*AL27:AM27)</f>
        <v>0</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0.20602745823861601</v>
      </c>
      <c r="F55" s="193">
        <f>F30/F32</f>
        <v>0.21392556171535262</v>
      </c>
      <c r="H55" s="193">
        <f>H30/H32</f>
        <v>0.22226933271146615</v>
      </c>
      <c r="J55" s="193">
        <f>J30/J32</f>
        <v>0.23115043466057208</v>
      </c>
      <c r="L55" s="193">
        <f>L30/L32</f>
        <v>0.2406878365368148</v>
      </c>
      <c r="N55" s="193">
        <f>N30/N32</f>
        <v>0.25104413319325164</v>
      </c>
      <c r="P55" s="193">
        <f>P30/P32</f>
        <v>0.2624486771443883</v>
      </c>
      <c r="R55" s="193">
        <f>R30/R32</f>
        <v>0.27524279898901827</v>
      </c>
      <c r="T55" s="193">
        <f>T30/T32</f>
        <v>0.2899626003203159</v>
      </c>
      <c r="V55" s="193">
        <f>V30/V32</f>
        <v>0.30749886904273133</v>
      </c>
      <c r="X55" s="193">
        <f>X30/X32</f>
        <v>0.32942180343299182</v>
      </c>
      <c r="Z55" s="193">
        <f>Z30/Z32</f>
        <v>0.35865732703966419</v>
      </c>
      <c r="AB55" s="193">
        <f>AB30/AB32</f>
        <v>0.40083677713077071</v>
      </c>
      <c r="AD55" s="193">
        <f>AD30/AD32</f>
        <v>0.46633447441847115</v>
      </c>
      <c r="AF55" s="193" t="e">
        <f>AF30/AF32</f>
        <v>#DIV/0!</v>
      </c>
      <c r="AH55" s="193" t="e">
        <f>AH30/AH32</f>
        <v>#DIV/0!</v>
      </c>
      <c r="AJ55" s="193" t="e">
        <f>AJ30/AJ32</f>
        <v>#DIV/0!</v>
      </c>
      <c r="AL55" s="193" t="e">
        <f>AL30/AL32</f>
        <v>#DIV/0!</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3.5456270799826169E-2</v>
      </c>
      <c r="F56" s="193">
        <f>(Model!$C$52*F5*F20+F2*G5*G20)/F32</f>
        <v>4.1997891323970145E-2</v>
      </c>
      <c r="H56" s="193">
        <f>(Model!$C$52*H5*H20+H2*I5*I20)/H32</f>
        <v>4.8905656068658668E-2</v>
      </c>
      <c r="J56" s="193">
        <f>(Model!$C$52*J5*J20+J2*K5*K20)/J32</f>
        <v>5.6255109332619804E-2</v>
      </c>
      <c r="L56" s="193">
        <f>(Model!$C$52*L5*L20+L2*M5*M20)/L32</f>
        <v>6.4144302326918895E-2</v>
      </c>
      <c r="N56" s="193">
        <f>(Model!$C$52*N5*N20+N2*O5*O20)/N32</f>
        <v>7.2707059929309217E-2</v>
      </c>
      <c r="P56" s="193">
        <f>(Model!$C$52*P5*P20+P2*Q5*Q20)/P32</f>
        <v>8.2132054047060921E-2</v>
      </c>
      <c r="R56" s="193">
        <f>(Model!$C$52*R5*R20+R2*S5*S20)/R32</f>
        <v>9.2699708473458819E-2</v>
      </c>
      <c r="T56" s="193">
        <f>(Model!$C$52*T5*T20+T2*U5*U20)/T32</f>
        <v>0.10484995556093935</v>
      </c>
      <c r="V56" s="193">
        <f>(Model!$C$52*V5*V20+V2*W5*W20)/V32</f>
        <v>0.11931298388550686</v>
      </c>
      <c r="X56" s="193">
        <f>(Model!$C$52*X5*X20+X2*Y5*Y20)/X32</f>
        <v>0.13737469186012391</v>
      </c>
      <c r="Z56" s="193">
        <f>(Model!$C$52*Z5*Z20+Z2*AA5*AA20)/Z32</f>
        <v>0.1614295115887604</v>
      </c>
      <c r="AB56" s="193">
        <f>(Model!$C$52*AB5*AB20+AB2*AC5*AC20)/AB32</f>
        <v>0.19608355248696668</v>
      </c>
      <c r="AD56" s="193">
        <f>(Model!$C$52*AD5*AD20+AD2*AE5*AE20)/AD32</f>
        <v>0.24982025733663871</v>
      </c>
      <c r="AF56" s="193" t="e">
        <f>(Model!$C$52*AF5*AF20+AF2*AG5*AG20)/AF32</f>
        <v>#DIV/0!</v>
      </c>
      <c r="AH56" s="193" t="e">
        <f>(Model!$C$52*AH5*AH20+AH2*AI5*AI20)/AH32</f>
        <v>#DIV/0!</v>
      </c>
      <c r="AJ56" s="193" t="e">
        <f>(Model!$C$52*AJ5*AJ20+AJ2*AK5*AK20)/AJ32</f>
        <v>#DIV/0!</v>
      </c>
      <c r="AL56" s="193" t="e">
        <f>(Model!$C$52*AL5*AL20+AL2*AM5*AM20)/AL32</f>
        <v>#DIV/0!</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0.15989895509998669</v>
      </c>
      <c r="F57" s="193">
        <f t="array" ref="F57">SUM(Model!tauL*F13:G13*F26:G26)/F32</f>
        <v>0.16133706788040111</v>
      </c>
      <c r="H57" s="193">
        <f t="array" ref="H57">SUM(Model!tauL*H13:I13*H26:I26)/H32</f>
        <v>0.16285633336119962</v>
      </c>
      <c r="J57" s="193">
        <f t="array" ref="J57">SUM(Model!tauL*J13:K13*J26:K26)/J32</f>
        <v>0.16447344910212344</v>
      </c>
      <c r="L57" s="193">
        <f t="array" ref="L57">SUM(Model!tauL*L13:M13*L26:M26)/L32</f>
        <v>0.16621004423116456</v>
      </c>
      <c r="N57" s="193">
        <f t="array" ref="N57">SUM(Model!tauL*N13:O13*N26:O26)/N32</f>
        <v>0.1680957646051105</v>
      </c>
      <c r="P57" s="193">
        <f t="array" ref="P57">SUM(Model!tauL*P13:Q13*P26:Q26)/P32</f>
        <v>0.17017234797982556</v>
      </c>
      <c r="R57" s="193">
        <f t="array" ref="R57">SUM(Model!tauL*R13:S13*R26:S26)/R32</f>
        <v>0.17250195092864362</v>
      </c>
      <c r="T57" s="193">
        <f t="array" ref="T57">SUM(Model!tauL*T13:U13*T26:U26)/T32</f>
        <v>0.17518218964517487</v>
      </c>
      <c r="V57" s="193">
        <f t="array" ref="V57">SUM(Model!tauL*V13:W13*V26:W26)/V32</f>
        <v>0.1783752605846449</v>
      </c>
      <c r="X57" s="193">
        <f t="array" ref="X57">SUM(Model!tauL*X13:Y13*X26:Y26)/X32</f>
        <v>0.18236707681408296</v>
      </c>
      <c r="Y57" s="193"/>
      <c r="Z57" s="193">
        <f t="array" ref="Z57">SUM(Model!tauL*Z13:AA13*Z26:AA26)/Z32</f>
        <v>0.18769039507369462</v>
      </c>
      <c r="AB57" s="193">
        <f t="array" ref="AB57">SUM(Model!tauL*AB13:AC13*AB26:AC26)/AB32</f>
        <v>0.19537059450040234</v>
      </c>
      <c r="AD57" s="193">
        <f t="array" ref="AD57">SUM(Model!tauL*AD13:AE13*AD26:AE26)/AD32</f>
        <v>0.20729667219752507</v>
      </c>
      <c r="AF57" s="193" t="e">
        <f t="array" ref="AF57">SUM(Model!tauL*AF13:AG13*AF26:AG26)/AF32</f>
        <v>#DIV/0!</v>
      </c>
      <c r="AH57" s="193" t="e">
        <f t="array" ref="AH57">SUM(Model!tauL*AH13:AI13*AH26:AI26)/AH32</f>
        <v>#DIV/0!</v>
      </c>
      <c r="AJ57" s="193" t="e">
        <f t="array" ref="AJ57">SUM(Model!tauL*AJ13:AK13*AJ26:AK26)/AJ32</f>
        <v>#DIV/0!</v>
      </c>
      <c r="AL57" s="193" t="e">
        <f t="array" ref="AL57">SUM(Model!tauL*AL13:AM13*AL26:AM26)/AL32</f>
        <v>#DIV/0!</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1.0672232338803158E-2</v>
      </c>
      <c r="F58" s="193">
        <f t="array" ref="F58">SUM(Model!tauY/(1+Model!tauY)*F3:G3*F18:G18)/F32</f>
        <v>1.0590602510981368E-2</v>
      </c>
      <c r="H58" s="193">
        <f t="array" ref="H58">SUM(Model!tauY/(1+Model!tauY)*H3:I3*H18:I18)/H32</f>
        <v>1.0507343281607854E-2</v>
      </c>
      <c r="J58" s="193">
        <f t="array" ref="J58">SUM(Model!tauY/(1+Model!tauY)*J3:K3*J18:K18)/J32</f>
        <v>1.0421876225828837E-2</v>
      </c>
      <c r="L58" s="193">
        <f t="array" ref="L58">SUM(Model!tauY/(1+Model!tauY)*L3:M3*L18:M18)/L32</f>
        <v>1.0333489978731354E-2</v>
      </c>
      <c r="N58" s="193">
        <f t="array" ref="N58">SUM(Model!tauY/(1+Model!tauY)*N3:O3*N18:O18)/N32</f>
        <v>1.0241308658831879E-2</v>
      </c>
      <c r="P58" s="193">
        <f t="array" ref="P58">SUM(Model!tauY/(1+Model!tauY)*P3:Q3*P18:Q18)/P32</f>
        <v>1.0144275117501812E-2</v>
      </c>
      <c r="R58" s="193">
        <f t="array" ref="R58">SUM(Model!tauY/(1+Model!tauY)*R3:S3*R18:S18)/R32</f>
        <v>1.0041139586915812E-2</v>
      </c>
      <c r="T58" s="193">
        <f t="array" ref="T58">SUM(Model!tauY/(1+Model!tauY)*T3:U3*T18:U18)/T32</f>
        <v>9.9304551142016736E-3</v>
      </c>
      <c r="V58" s="193">
        <f t="array" ref="V58">SUM(Model!tauY/(1+Model!tauY)*V3:W3*V18:W18)/V32</f>
        <v>9.8106245725796196E-3</v>
      </c>
      <c r="X58" s="193">
        <f t="array" ref="X58">SUM(Model!tauY/(1+Model!tauY)*X3:Y3*X18:Y18)/X32</f>
        <v>9.6800347587849417E-3</v>
      </c>
      <c r="Y58" s="193"/>
      <c r="Z58" s="193">
        <f t="array" ref="Z58">SUM(Model!tauY/(1+Model!tauY)*Z3:AA3*Z18:AA18)/Z32</f>
        <v>9.537420377209194E-3</v>
      </c>
      <c r="AB58" s="193">
        <f t="array" ref="AB58">SUM(Model!tauY/(1+Model!tauY)*AB3:AC3*AB18:AC18)/AB32</f>
        <v>9.3826301434016407E-3</v>
      </c>
      <c r="AD58" s="193">
        <f t="array" ref="AD58">SUM(Model!tauY/(1+Model!tauY)*AD3:AE3*AD18:AE18)/AD32</f>
        <v>9.2175448843073472E-3</v>
      </c>
      <c r="AF58" s="193" t="e">
        <f t="array" ref="AF58">SUM(Model!tauY/(1+Model!tauY)*AF3:AG3*AF18:AG18)/AF32</f>
        <v>#DIV/0!</v>
      </c>
      <c r="AH58" s="193" t="e">
        <f t="array" ref="AH58">SUM(Model!tauY/(1+Model!tauY)*AH3:AI3*AH18:AI18)/AH32</f>
        <v>#DIV/0!</v>
      </c>
      <c r="AJ58" s="193" t="e">
        <f t="array" ref="AJ58">SUM(Model!tauY/(1+Model!tauY)*AJ3:AK3*AJ18:AK18)/AJ32</f>
        <v>#DIV/0!</v>
      </c>
      <c r="AL58" s="193" t="e">
        <f t="array" ref="AL58">SUM(Model!tauY/(1+Model!tauY)*AL3:AM3*AL18:AM18)/AL32</f>
        <v>#DIV/0!</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6.8459004200265589E-3</v>
      </c>
      <c r="F59" s="193">
        <f>(F2*G5*G20)/F32</f>
        <v>1.3447694948014427E-2</v>
      </c>
      <c r="H59" s="193">
        <f>(H2*I5*I20)/H32</f>
        <v>2.0416859477502217E-2</v>
      </c>
      <c r="J59" s="193">
        <f>(J2*K5*K20)/J32</f>
        <v>2.782911161134681E-2</v>
      </c>
      <c r="L59" s="193">
        <f>(L2*M5*M20)/L32</f>
        <v>3.5782716266312548E-2</v>
      </c>
      <c r="N59" s="193">
        <f>(N2*O5*O20)/N32</f>
        <v>4.441179569072428E-2</v>
      </c>
      <c r="P59" s="193">
        <f>(P2*Q5*Q20)/P32</f>
        <v>5.3905464011637698E-2</v>
      </c>
      <c r="R59" s="193">
        <f>(R2*S5*S20)/R32</f>
        <v>6.4544866347971561E-2</v>
      </c>
      <c r="T59" s="193">
        <f>(T2*U5*U20)/T32</f>
        <v>7.6771203190808643E-2</v>
      </c>
      <c r="V59" s="193">
        <f>(V2*W5*W20)/V32</f>
        <v>9.1317011103362933E-2</v>
      </c>
      <c r="X59" s="193">
        <f>(X2*Y5*Y20)/X32</f>
        <v>0.10947272431659548</v>
      </c>
      <c r="Z59" s="193">
        <f>(Z2*AA5*AA20)/Z32</f>
        <v>0.13364176104277301</v>
      </c>
      <c r="AB59" s="193">
        <f>(AB2*AC5*AC20)/AB32</f>
        <v>0.16844773068993588</v>
      </c>
      <c r="AD59" s="193">
        <f>(AD2*AE5*AE20)/AD32</f>
        <v>0.22240349640479545</v>
      </c>
      <c r="AF59" s="193" t="e">
        <f>(AF2*AG5*AG20)/AF32</f>
        <v>#DIV/0!</v>
      </c>
      <c r="AH59" s="193" t="e">
        <f>(AH2*AI5*AI20)/AH32</f>
        <v>#DIV/0!</v>
      </c>
      <c r="AJ59" s="193" t="e">
        <f>(AJ2*AK5*AK20)/AJ32</f>
        <v>#DIV/0!</v>
      </c>
      <c r="AL59" s="193" t="e">
        <f>(AL2*AM5*AM20)/AL32</f>
        <v>#DIV/0!</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2.8610370379799611E-2</v>
      </c>
      <c r="F60" s="193">
        <f>Model!$C$52*F5*F20/F32</f>
        <v>2.8550196375955718E-2</v>
      </c>
      <c r="H60" s="193">
        <f>Model!$C$52*H5*H20/H32</f>
        <v>2.8488796591156454E-2</v>
      </c>
      <c r="J60" s="193">
        <f>Model!$C$52*J5*J20/J32</f>
        <v>2.8425997721272991E-2</v>
      </c>
      <c r="L60" s="193">
        <f>Model!$C$52*L5*L20/L32</f>
        <v>2.8361586060606344E-2</v>
      </c>
      <c r="N60" s="193">
        <f>Model!$C$52*N5*N20/N32</f>
        <v>2.8295264238584944E-2</v>
      </c>
      <c r="P60" s="193">
        <f>Model!$C$52*P5*P20/P32</f>
        <v>2.822659003542323E-2</v>
      </c>
      <c r="R60" s="193">
        <f>Model!$C$52*R5*R20/R32</f>
        <v>2.8154842125487266E-2</v>
      </c>
      <c r="T60" s="193">
        <f>Model!$C$52*T5*T20/T32</f>
        <v>2.8078752370130716E-2</v>
      </c>
      <c r="V60" s="193">
        <f>Model!$C$52*V5*V20/V32</f>
        <v>2.7995972782143917E-2</v>
      </c>
      <c r="X60" s="193">
        <f>Model!$C$52*X5*X20/X32</f>
        <v>2.7901967543528427E-2</v>
      </c>
      <c r="Z60" s="193">
        <f>Model!$C$52*Z5*Z20/Z32</f>
        <v>2.7787750545987425E-2</v>
      </c>
      <c r="AB60" s="193">
        <f>Model!$C$52*AB5*AB20/AB32</f>
        <v>2.7635821797030814E-2</v>
      </c>
      <c r="AD60" s="193">
        <f>Model!$C$52*AD5*AD20/AD32</f>
        <v>2.7416760931843275E-2</v>
      </c>
      <c r="AF60" s="193" t="e">
        <f>Model!$C$52*AF5*AF20/AF32</f>
        <v>#DIV/0!</v>
      </c>
      <c r="AH60" s="193" t="e">
        <f>Model!$C$52*AH5*AH20/AH32</f>
        <v>#DIV/0!</v>
      </c>
      <c r="AJ60" s="193" t="e">
        <f>Model!$C$52*AJ5*AJ20/AJ32</f>
        <v>#DIV/0!</v>
      </c>
      <c r="AL60" s="193" t="e">
        <f>Model!$C$52*AL5*AL20/AL32</f>
        <v>#DIV/0!</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1.0325429947373101</v>
      </c>
      <c r="F62">
        <f>F13/F15</f>
        <v>1.0684019721612616</v>
      </c>
      <c r="H62">
        <f>H13/H15</f>
        <v>1.1083263162173387</v>
      </c>
      <c r="J62">
        <f>J13/J15</f>
        <v>1.1533247845003307</v>
      </c>
      <c r="L62">
        <f>L13/L15</f>
        <v>1.2047947053904009</v>
      </c>
      <c r="N62">
        <f>N13/N15</f>
        <v>1.2647634736576319</v>
      </c>
      <c r="P62">
        <f>P13/P15</f>
        <v>1.3363050952665683</v>
      </c>
      <c r="R62">
        <f>R13/R15</f>
        <v>1.4243840671255055</v>
      </c>
      <c r="T62">
        <f>T13/T15</f>
        <v>1.5376543183233986</v>
      </c>
      <c r="V62">
        <f>V13/V15</f>
        <v>1.6927406742961228</v>
      </c>
      <c r="X62">
        <f>X13/X15</f>
        <v>1.9260230444647726</v>
      </c>
      <c r="Z62">
        <f>Z13/Z15</f>
        <v>2.3336143422063356</v>
      </c>
      <c r="AB62">
        <f>AB13/AB15</f>
        <v>3.2637840713194604</v>
      </c>
      <c r="AD62">
        <f>AD13/AD15</f>
        <v>7.4246550546603043</v>
      </c>
      <c r="AF62" t="e">
        <f>AF13/AF15</f>
        <v>#DIV/0!</v>
      </c>
      <c r="AH62" t="e">
        <f>AH13/AH15</f>
        <v>#DIV/0!</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0.99808648652999998</v>
      </c>
      <c r="E65" s="191"/>
      <c r="F65" s="191">
        <f t="array" ref="F65">SQRT((F9:G9*$B$22:$C$22+F10:G10*$B$23:$C$23+F11:G11*$B$24:$C$24+F4:G4*($B$25:$C$25-$B$19:$C$19))/($B$9:$C$9*$B$22:$C$22+$B$10:$C$10*$B$23:$C$23+$B$11:$C$11*$B$24:$C$24+$B$4:$C$4*($B$25:$C$25-$B$19:$C$19))*(F9:G9*F22:G22+F10:G10*F23:G23+F11:G11*F24:G24+F4:G4*(F25:G25-F19:G19))/($B$9:$C$9*F22:G22+$B$10:$C$10*F23:G23+$B$11:$C$11*F24:G24+$B$4:$C$4*(F25:G25-F19:G19)))</f>
        <v>0.99605184429252658</v>
      </c>
      <c r="G65" s="191"/>
      <c r="H65" s="191">
        <f t="array" ref="H65">SQRT((H9:I9*$B$22:$C$22+H10:I10*$B$23:$C$23+H11:I11*$B$24:$C$24+H4:I4*($B$25:$C$25-$B$19:$C$19))/($B$9:$C$9*$B$22:$C$22+$B$10:$C$10*$B$23:$C$23+$B$11:$C$11*$B$24:$C$24+$B$4:$C$4*($B$25:$C$25-$B$19:$C$19))*(H9:I9*H22:I22+H10:I10*H23:I23+H11:I11*H24:I24+H4:I4*(H25:I25-H19:I19))/($B$9:$C$9*H22:I22+$B$10:$C$10*H23:I23+$B$11:$C$11*H24:I24+$B$4:$C$4*(H25:I25-H19:I19)))</f>
        <v>0.9938752986814019</v>
      </c>
      <c r="I65" s="191"/>
      <c r="J65" s="191">
        <f t="array" ref="J65">SQRT((J9:K9*$B$22:$C$22+J10:K10*$B$23:$C$23+J11:K11*$B$24:$C$24+J4:K4*($B$25:$C$25-$B$19:$C$19))/($B$9:$C$9*$B$22:$C$22+$B$10:$C$10*$B$23:$C$23+$B$11:$C$11*$B$24:$C$24+$B$4:$C$4*($B$25:$C$25-$B$19:$C$19))*(J9:K9*J22:K22+J10:K10*J23:K23+J11:K11*J24:K24+J4:K4*(J25:K25-J19:K19))/($B$9:$C$9*J22:K22+$B$10:$C$10*J23:K23+$B$11:$C$11*J24:K24+$B$4:$C$4*(J25:K25-J19:K19)))</f>
        <v>0.99153276527280088</v>
      </c>
      <c r="K65" s="191"/>
      <c r="L65" s="191">
        <f t="array" ref="L65">SQRT((L9:M9*$B$22:$C$22+L10:M10*$B$23:$C$23+L11:M11*$B$24:$C$24+L4:M4*($B$25:$C$25-$B$19:$C$19))/($B$9:$C$9*$B$22:$C$22+$B$10:$C$10*$B$23:$C$23+$B$11:$C$11*$B$24:$C$24+$B$4:$C$4*($B$25:$C$25-$B$19:$C$19))*(L9:M9*L22:M22+L10:M10*L23:M23+L11:M11*L24:M24+L4:M4*(L25:M25-L19:M19))/($B$9:$C$9*L22:M22+$B$10:$C$10*L23:M23+$B$11:$C$11*L24:M24+$B$4:$C$4*(L25:M25-L19:M19)))</f>
        <v>0.98899737615495653</v>
      </c>
      <c r="M65" s="191"/>
      <c r="N65" s="191">
        <f t="array" ref="N65">SQRT((N9:O9*$B$22:$C$22+N10:O10*$B$23:$C$23+N11:O11*$B$24:$C$24+N4:O4*($B$25:$C$25-$B$19:$C$19))/($B$9:$C$9*$B$22:$C$22+$B$10:$C$10*$B$23:$C$23+$B$11:$C$11*$B$24:$C$24+$B$4:$C$4*($B$25:$C$25-$B$19:$C$19))*(N9:O9*N22:O22+N10:O10*N23:O23+N11:O11*N24:O24+N4:O4*(N25:O25-N19:O19))/($B$9:$C$9*N22:O22+$B$10:$C$10*N23:O23+$B$11:$C$11*N24:O24+$B$4:$C$4*(N25:O25-N19:O19)))</f>
        <v>0.9862403450025371</v>
      </c>
      <c r="O65" s="191"/>
      <c r="P65" s="191">
        <f t="array" ref="P65">SQRT((P9:Q9*$B$22:$C$22+P10:Q10*$B$23:$C$23+P11:Q11*$B$24:$C$24+P4:Q4*($B$25:$C$25-$B$19:$C$19))/($B$9:$C$9*$B$22:$C$22+$B$10:$C$10*$B$23:$C$23+$B$11:$C$11*$B$24:$C$24+$B$4:$C$4*($B$25:$C$25-$B$19:$C$19))*(P9:Q9*P22:Q22+P10:Q10*P23:Q23+P11:Q11*P24:Q24+P4:Q4*(P25:Q25-P19:Q19))/($B$9:$C$9*P22:Q22+$B$10:$C$10*P23:Q23+$B$11:$C$11*P24:Q24+$B$4:$C$4*(P25:Q25-P19:Q19)))</f>
        <v>0.98323405284233933</v>
      </c>
      <c r="Q65" s="191"/>
      <c r="R65" s="191">
        <f t="array" ref="R65">SQRT((R9:S9*$B$22:$C$22+R10:S10*$B$23:$C$23+R11:S11*$B$24:$C$24+R4:S4*($B$25:$C$25-$B$19:$C$19))/($B$9:$C$9*$B$22:$C$22+$B$10:$C$10*$B$23:$C$23+$B$11:$C$11*$B$24:$C$24+$B$4:$C$4*($B$25:$C$25-$B$19:$C$19))*(R9:S9*R22:S22+R10:S10*R23:S23+R11:S11*R24:S24+R4:S4*(R25:S25-R19:S19))/($B$9:$C$9*R22:S22+$B$10:$C$10*R23:S23+$B$11:$C$11*R24:S24+$B$4:$C$4*(R25:S25-R19:S19)))</f>
        <v>0.97995751824318378</v>
      </c>
      <c r="S65" s="191"/>
      <c r="T65" s="191">
        <f t="array" ref="T65">SQRT((T9:U9*$B$22:$C$22+T10:U10*$B$23:$C$23+T11:U11*$B$24:$C$24+T4:U4*($B$25:$C$25-$B$19:$C$19))/($B$9:$C$9*$B$22:$C$22+$B$10:$C$10*$B$23:$C$23+$B$11:$C$11*$B$24:$C$24+$B$4:$C$4*($B$25:$C$25-$B$19:$C$19))*(T9:U9*T22:U22+T10:U10*T23:U23+T11:U11*T24:U24+T4:U4*(T25:U25-T19:U19))/($B$9:$C$9*T22:U22+$B$10:$C$10*T23:U23+$B$11:$C$11*T24:U24+$B$4:$C$4*(T25:U25-T19:U19)))</f>
        <v>0.97640762962443983</v>
      </c>
      <c r="U65" s="191"/>
      <c r="V65" s="191">
        <f t="array" ref="V65">SQRT((V9:W9*$B$22:$C$22+V10:W10*$B$23:$C$23+V11:W11*$B$24:$C$24+V4:W4*($B$25:$C$25-$B$19:$C$19))/($B$9:$C$9*$B$22:$C$22+$B$10:$C$10*$B$23:$C$23+$B$11:$C$11*$B$24:$C$24+$B$4:$C$4*($B$25:$C$25-$B$19:$C$19))*(V9:W9*V22:W22+V10:W10*V23:W23+V11:W11*V24:W24+V4:W4*(V25:W25-V19:W19))/($B$9:$C$9*V22:W22+$B$10:$C$10*V23:W23+$B$11:$C$11*V24:W24+$B$4:$C$4*(V25:W25-V19:W19)))</f>
        <v>0.97262151227165372</v>
      </c>
      <c r="W65" s="191"/>
      <c r="X65" s="191">
        <f t="array" ref="X65">SQRT((X9:Y9*$B$22:$C$22+X10:Y10*$B$23:$C$23+X11:Y11*$B$24:$C$24+X4:Y4*($B$25:$C$25-$B$19:$C$19))/($B$9:$C$9*$B$22:$C$22+$B$10:$C$10*$B$23:$C$23+$B$11:$C$11*$B$24:$C$24+$B$4:$C$4*($B$25:$C$25-$B$19:$C$19))*(X9:Y9*X22:Y22+X10:Y10*X23:Y23+X11:Y11*X24:Y24+X4:Y4*(X25:Y25-X19:Y19))/($B$9:$C$9*X22:Y22+$B$10:$C$10*X23:Y23+$B$11:$C$11*X24:Y24+$B$4:$C$4*(X25:Y25-X19:Y19)))</f>
        <v>0.96872189416425614</v>
      </c>
      <c r="Y65" s="191"/>
      <c r="Z65" s="191">
        <f t="array" ref="Z65">SQRT((Z9:AA9*$B$22:$C$22+Z10:AA10*$B$23:$C$23+Z11:AA11*$B$24:$C$24+Z4:AA4*($B$25:$C$25-$B$19:$C$19))/($B$9:$C$9*$B$22:$C$22+$B$10:$C$10*$B$23:$C$23+$B$11:$C$11*$B$24:$C$24+$B$4:$C$4*($B$25:$C$25-$B$19:$C$19))*(Z9:AA9*Z22:AA22+Z10:AA10*Z23:AA23+Z11:AA11*Z24:AA24+Z4:AA4*(Z25:AA25-Z19:AA19))/($B$9:$C$9*Z22:AA22+$B$10:$C$10*Z23:AA23+$B$11:$C$11*Z24:AA24+$B$4:$C$4*(Z25:AA25-Z19:AA19)))</f>
        <v>0.96500746470907095</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0.96210474324905648</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0.96103858633806893</v>
      </c>
      <c r="AE65" s="191"/>
      <c r="AF65" s="191" t="e">
        <f t="array" ref="AF65">SQRT((AF9:AG9*$B$22:$C$22+AF10:AG10*$B$23:$C$23+AF11:AG11*$B$24:$C$24+AF4:AG4*($B$25:$C$25-$B$19:$C$19))/($B$9:$C$9*$B$22:$C$22+$B$10:$C$10*$B$23:$C$23+$B$11:$C$11*$B$24:$C$24+$B$4:$C$4*($B$25:$C$25-$B$19:$C$19))*(AF9:AG9*AF22:AG22+AF10:AG10*AF23:AG23+AF11:AG11*AF24:AG24+AF4:AG4*(AF25:AG25-AF19:AG19))/($B$9:$C$9*AF22:AG22+$B$10:$C$10*AF23:AG23+$B$11:$C$11*AF24:AG24+$B$4:$C$4*(AF25:AG25-AF19:AG19)))</f>
        <v>#DIV/0!</v>
      </c>
      <c r="AG65" s="191"/>
      <c r="AH65" s="191" t="e">
        <f t="array" ref="AH65">SQRT((AH9:AI9*$B$22:$C$22+AH10:AI10*$B$23:$C$23+AH11:AI11*$B$24:$C$24+AH4:AI4*($B$25:$C$25-$B$19:$C$19))/($B$9:$C$9*$B$22:$C$22+$B$10:$C$10*$B$23:$C$23+$B$11:$C$11*$B$24:$C$24+$B$4:$C$4*($B$25:$C$25-$B$19:$C$19))*(AH9:AI9*AH22:AI22+AH10:AI10*AH23:AI23+AH11:AI11*AH24:AI24+AH4:AI4*(AH25:AI25-AH19:AI19))/($B$9:$C$9*AH22:AI22+$B$10:$C$10*AH23:AI23+$B$11:$C$11*AH24:AI24+$B$4:$C$4*(AH25:AI25-AH19:AI19)))</f>
        <v>#DIV/0!</v>
      </c>
      <c r="AI65" s="191"/>
      <c r="AJ65" s="19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91"/>
      <c r="AL65" s="19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0.99789540609009209</v>
      </c>
      <c r="E66" s="191"/>
      <c r="F66" s="191">
        <f t="array" ref="F66">SQRT((F9:G9*$B$22:$C$22)/($B$9:$C$9*$B$22:$C$22)*(F9:G9*F22:G22)/($B$9:$C$9*F22:G22))</f>
        <v>0.99565405712301203</v>
      </c>
      <c r="G66" s="191"/>
      <c r="H66" s="191">
        <f t="array" ref="H66">SQRT((H9:I9*$B$22:$C$22)/($B$9:$C$9*$B$22:$C$22)*(H9:I9*H22:I22)/($B$9:$C$9*H22:I22))</f>
        <v>0.99325230799611763</v>
      </c>
      <c r="I66" s="191"/>
      <c r="J66" s="191">
        <f t="array" ref="J66">SQRT((J9:K9*$B$22:$C$22)/($B$9:$C$9*$B$22:$C$22)*(J9:K9*J22:K22)/($B$9:$C$9*J22:K22))</f>
        <v>0.990662619619322</v>
      </c>
      <c r="K66" s="191"/>
      <c r="L66" s="191">
        <f t="array" ref="L66">SQRT((L9:M9*$B$22:$C$22)/($B$9:$C$9*$B$22:$C$22)*(L9:M9*L22:M22)/($B$9:$C$9*L22:M22))</f>
        <v>0.98785406646617324</v>
      </c>
      <c r="M66" s="191"/>
      <c r="N66" s="191">
        <f t="array" ref="N66">SQRT((N9:O9*$B$22:$C$22)/($B$9:$C$9*$B$22:$C$22)*(N9:O9*N22:O22)/($B$9:$C$9*N22:O22))</f>
        <v>0.98479321134001929</v>
      </c>
      <c r="O66" s="191"/>
      <c r="P66" s="191">
        <f t="array" ref="P66">SQRT((P9:Q9*$B$22:$C$22)/($B$9:$C$9*$B$22:$C$22)*(P9:Q9*P22:Q22)/($B$9:$C$9*P22:Q22))</f>
        <v>0.9814474489601146</v>
      </c>
      <c r="Q66" s="191"/>
      <c r="R66" s="191">
        <f t="array" ref="R66">SQRT((R9:S9*$B$22:$C$22)/($B$9:$C$9*$B$22:$C$22)*(R9:S9*R22:S22)/($B$9:$C$9*R22:S22))</f>
        <v>0.97779105260508792</v>
      </c>
      <c r="S66" s="191"/>
      <c r="T66" s="191">
        <f t="array" ref="T66">SQRT((T9:U9*$B$22:$C$22)/($B$9:$C$9*$B$22:$C$22)*(T9:U9*T22:U22)/($B$9:$C$9*T22:U22))</f>
        <v>0.97381778824203891</v>
      </c>
      <c r="U66" s="191"/>
      <c r="V66" s="191">
        <f t="array" ref="V66">SQRT((V9:W9*$B$22:$C$22)/($B$9:$C$9*$B$22:$C$22)*(V9:W9*V22:W22)/($B$9:$C$9*V22:W22))</f>
        <v>0.96956633687727334</v>
      </c>
      <c r="W66" s="191"/>
      <c r="X66" s="191">
        <f t="array" ref="X66">SQRT((X9:Y9*$B$22:$C$22)/($B$9:$C$9*$B$22:$C$22)*(X9:Y9*X22:Y22)/($B$9:$C$9*X22:Y22))</f>
        <v>0.96517232133670983</v>
      </c>
      <c r="Y66" s="191"/>
      <c r="Z66" s="191">
        <f t="array" ref="Z66">SQRT((Z9:AA9*$B$22:$C$22)/($B$9:$C$9*$B$22:$C$22)*(Z9:AA9*Z22:AA22)/($B$9:$C$9*Z22:AA22))</f>
        <v>0.96097257905232625</v>
      </c>
      <c r="AA66" s="191"/>
      <c r="AB66" s="191">
        <f t="array" ref="AB66">SQRT((AB9:AC9*$B$22:$C$22)/($B$9:$C$9*$B$22:$C$22)*(AB9:AC9*AB22:AC22)/($B$9:$C$9*AB22:AC22))</f>
        <v>0.95768111579801807</v>
      </c>
      <c r="AC66" s="191"/>
      <c r="AD66" s="191">
        <f t="array" ref="AD66">SQRT((AD9:AE9*$B$22:$C$22)/($B$9:$C$9*$B$22:$C$22)*(AD9:AE9*AD22:AE22)/($B$9:$C$9*AD22:AE22))</f>
        <v>0.95647161390239188</v>
      </c>
      <c r="AE66" s="191"/>
      <c r="AF66" s="191" t="e">
        <f t="array" ref="AF66">SQRT((AF9:AG9*$B$22:$C$22)/($B$9:$C$9*$B$22:$C$22)*(AF9:AG9*AF22:AG22)/($B$9:$C$9*AF22:AG22))</f>
        <v>#DIV/0!</v>
      </c>
      <c r="AG66" s="191"/>
      <c r="AH66" s="191" t="e">
        <f t="array" ref="AH66">SQRT((AH9:AI9*$B$22:$C$22)/($B$9:$C$9*$B$22:$C$22)*(AH9:AI9*AH22:AI22)/($B$9:$C$9*AH22:AI22))</f>
        <v>#DIV/0!</v>
      </c>
      <c r="AI66" s="191"/>
      <c r="AJ66" s="191" t="e">
        <f t="array" ref="AJ66">SQRT((AJ9:AK9*$B$22:$C$22)/($B$9:$C$9*$B$22:$C$22)*(AJ9:AK9*AJ22:AK22)/($B$9:$C$9*AJ22:AK22))</f>
        <v>#DIV/0!</v>
      </c>
      <c r="AK66" s="191"/>
      <c r="AL66" s="191" t="e">
        <f t="array" ref="AL66">SQRT((AL9:AM9*$B$22:$C$22)/($B$9:$C$9*$B$22:$C$22)*(AL9:AM9*AL22:AM22)/($B$9:$C$9*AL22:AM22))</f>
        <v>#DIV/0!</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t="e">
        <f t="array" ref="AF67">SQRT((AF4:AG4*$B$19:$C$19)/($B$4:$C$4*$B$19:$C$19)*(AF4:AG4*AF19:AG19)/($B$4:$C$4*AF19:AG19))</f>
        <v>#DIV/0!</v>
      </c>
      <c r="AG67" s="191"/>
      <c r="AH67" s="191" t="e">
        <f t="array" ref="AH67">SQRT((AH4:AI4*$B$19:$C$19)/($B$4:$C$4*$B$19:$C$19)*(AH4:AI4*AH19:AI19)/($B$4:$C$4*AH19:AI19))</f>
        <v>#DIV/0!</v>
      </c>
      <c r="AI67" s="191"/>
      <c r="AJ67" s="191" t="e">
        <f t="array" ref="AJ67">SQRT((AJ4:AK4*$B$19:$C$19)/($B$4:$C$4*$B$19:$C$19)*(AJ4:AK4*AJ19:AK19)/($B$4:$C$4*AJ19:AK19))</f>
        <v>#DIV/0!</v>
      </c>
      <c r="AK67" s="191"/>
      <c r="AL67" s="191" t="e">
        <f t="array" ref="AL67">SQRT((AL4:AM4*$B$19:$C$19)/($B$4:$C$4*$B$19:$C$19)*(AL4:AM4*AL19:AM19)/($B$4:$C$4*AL19:AM19))</f>
        <v>#DIV/0!</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0.99789540609009209</v>
      </c>
      <c r="E68" s="191"/>
      <c r="F68" s="191">
        <f>F66/F67</f>
        <v>0.99565405712301203</v>
      </c>
      <c r="G68" s="191"/>
      <c r="H68" s="191">
        <f>H66/H67</f>
        <v>0.99325230799611763</v>
      </c>
      <c r="I68" s="191"/>
      <c r="J68" s="191">
        <f>J66/J67</f>
        <v>0.990662619619322</v>
      </c>
      <c r="K68" s="191"/>
      <c r="L68" s="191">
        <f>L66/L67</f>
        <v>0.98785406646617324</v>
      </c>
      <c r="M68" s="191"/>
      <c r="N68" s="191">
        <f>N66/N67</f>
        <v>0.98479321134001929</v>
      </c>
      <c r="O68" s="191"/>
      <c r="P68" s="191">
        <f>P66/P67</f>
        <v>0.9814474489601146</v>
      </c>
      <c r="Q68" s="191"/>
      <c r="R68" s="191">
        <f>R66/R67</f>
        <v>0.97779105260508792</v>
      </c>
      <c r="S68" s="191"/>
      <c r="T68" s="191">
        <f>T66/T67</f>
        <v>0.97381778824203891</v>
      </c>
      <c r="U68" s="191"/>
      <c r="V68" s="191">
        <f>V66/V67</f>
        <v>0.96956633687727334</v>
      </c>
      <c r="W68" s="191"/>
      <c r="X68" s="191">
        <f>X66/X67</f>
        <v>0.96517232133670983</v>
      </c>
      <c r="Y68" s="191"/>
      <c r="Z68" s="191">
        <f>Z66/Z67</f>
        <v>0.96097257905232625</v>
      </c>
      <c r="AA68" s="191"/>
      <c r="AB68" s="191">
        <f>AB66/AB67</f>
        <v>0.95768111579801807</v>
      </c>
      <c r="AC68" s="191"/>
      <c r="AD68" s="191">
        <f>AD66/AD67</f>
        <v>0.95647161390239188</v>
      </c>
      <c r="AE68" s="191"/>
      <c r="AF68" s="191" t="e">
        <f>AF66/AF67</f>
        <v>#DIV/0!</v>
      </c>
      <c r="AG68" s="191"/>
      <c r="AH68" s="191" t="e">
        <f>AH66/AH67</f>
        <v>#DIV/0!</v>
      </c>
      <c r="AI68" s="191"/>
      <c r="AJ68" s="191" t="e">
        <f>AJ66/AJ67</f>
        <v>#DIV/0!</v>
      </c>
      <c r="AK68" s="191"/>
      <c r="AL68" s="191" t="e">
        <f>AL66/AL67</f>
        <v>#DIV/0!</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1.0021114386467147</v>
      </c>
      <c r="E69" s="191"/>
      <c r="F69" s="191">
        <f>F32/F65/($B$32)</f>
        <v>1.0040735228310957</v>
      </c>
      <c r="G69" s="191"/>
      <c r="H69" s="191">
        <f>H32/H65/($B$32)</f>
        <v>1.0058528928278188</v>
      </c>
      <c r="I69" s="191"/>
      <c r="J69" s="191">
        <f>J32/J65/($B$32)</f>
        <v>1.007407168795053</v>
      </c>
      <c r="K69" s="191"/>
      <c r="L69" s="191">
        <f>L32/L65/($B$32)</f>
        <v>1.0086820481149119</v>
      </c>
      <c r="M69" s="191"/>
      <c r="N69" s="191">
        <f>N32/N65/($B$32)</f>
        <v>1.009607741108703</v>
      </c>
      <c r="O69" s="191"/>
      <c r="P69" s="191">
        <f>P32/P65/($B$32)</f>
        <v>1.0100937826728087</v>
      </c>
      <c r="Q69" s="191"/>
      <c r="R69" s="191">
        <f>R32/R65/($B$32)</f>
        <v>1.0100214949251691</v>
      </c>
      <c r="S69" s="191"/>
      <c r="T69" s="191">
        <f>T32/T65/($B$32)</f>
        <v>1.0092328496585579</v>
      </c>
      <c r="U69" s="191"/>
      <c r="V69" s="191">
        <f>V32/V65/($B$32)</f>
        <v>1.0075112945269531</v>
      </c>
      <c r="W69" s="191"/>
      <c r="X69" s="191">
        <f>X32/X65/($B$32)</f>
        <v>1.0045453148288561</v>
      </c>
      <c r="Y69" s="191"/>
      <c r="Z69" s="191">
        <f>Z32/Z65/($B$32)</f>
        <v>0.99984336595766632</v>
      </c>
      <c r="AA69" s="191"/>
      <c r="AB69" s="191">
        <f>AB32/AB65/($B$32)</f>
        <v>0.99248716108603696</v>
      </c>
      <c r="AC69" s="191"/>
      <c r="AD69" s="191">
        <f>AD32/AD65/($B$32)</f>
        <v>0.98030418509347095</v>
      </c>
      <c r="AE69" s="191"/>
      <c r="AF69" s="191" t="e">
        <f>AF32/AF65/($B$32)</f>
        <v>#DIV/0!</v>
      </c>
      <c r="AG69" s="191"/>
      <c r="AH69" s="191" t="e">
        <f>AH32/AH65/($B$32)</f>
        <v>#DIV/0!</v>
      </c>
      <c r="AI69" s="191"/>
      <c r="AJ69" s="191" t="e">
        <f>AJ32/AJ65/($B$32)</f>
        <v>#DIV/0!</v>
      </c>
      <c r="AK69" s="191"/>
      <c r="AL69" s="191" t="e">
        <f>AL32/AL65/($B$32)</f>
        <v>#DIV/0!</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1.0010816245195453</v>
      </c>
      <c r="E70" s="138"/>
      <c r="F70" s="138">
        <f>F18/$B$18</f>
        <v>1.0020447712542708</v>
      </c>
      <c r="G70" s="138"/>
      <c r="H70" s="138">
        <f>H18/$B$18</f>
        <v>1.0028649802187846</v>
      </c>
      <c r="I70" s="138"/>
      <c r="J70" s="138">
        <f>J18/$B$18</f>
        <v>1.003510461229298</v>
      </c>
      <c r="K70" s="138"/>
      <c r="L70" s="138">
        <f>L18/$B$18</f>
        <v>1.0039386794268088</v>
      </c>
      <c r="M70" s="138"/>
      <c r="N70" s="138">
        <f>N18/$B$18</f>
        <v>1.0040910408276409</v>
      </c>
      <c r="O70" s="138"/>
      <c r="P70" s="138">
        <f>P18/$B$18</f>
        <v>1.0038839982459502</v>
      </c>
      <c r="Q70" s="138"/>
      <c r="R70" s="138">
        <f>R18/$B$18</f>
        <v>1.003193677712483</v>
      </c>
      <c r="S70" s="138"/>
      <c r="T70" s="138">
        <f>T18/$B$18</f>
        <v>1.0018283577191209</v>
      </c>
      <c r="U70" s="138"/>
      <c r="V70" s="138">
        <f>V18/$B$18</f>
        <v>0.99947596619727819</v>
      </c>
      <c r="W70" s="138"/>
      <c r="X70" s="138">
        <f>X18/$B$18</f>
        <v>0.99559848386264127</v>
      </c>
      <c r="Y70" s="138"/>
      <c r="Z70" s="138">
        <f>Z18/$B$18</f>
        <v>0.98920823085838894</v>
      </c>
      <c r="AA70" s="138"/>
      <c r="AB70" s="138">
        <f>AB18/$B$18</f>
        <v>0.97838994757229536</v>
      </c>
      <c r="AC70" s="138"/>
      <c r="AD70" s="138">
        <f>AD18/$B$18</f>
        <v>0.95938306608089075</v>
      </c>
      <c r="AE70" s="138"/>
      <c r="AF70" s="138">
        <f>AF18/$B$18</f>
        <v>0</v>
      </c>
      <c r="AG70" s="138"/>
      <c r="AH70" s="138">
        <f>AH18/$B$18</f>
        <v>0</v>
      </c>
      <c r="AI70" s="138"/>
      <c r="AJ70" s="138">
        <f>AJ18/$B$18</f>
        <v>0</v>
      </c>
      <c r="AK70" s="138"/>
      <c r="AL70" s="138">
        <f>AL18/$B$18</f>
        <v>0</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0.92434633600393445</v>
      </c>
      <c r="E71" s="138"/>
      <c r="F71" s="138">
        <f>G18/$C$18</f>
        <v>0.84815254879074975</v>
      </c>
      <c r="G71" s="138"/>
      <c r="H71" s="138">
        <f>I18/$C$18</f>
        <v>0.77140447396751111</v>
      </c>
      <c r="I71" s="138"/>
      <c r="J71" s="138">
        <f>K18/$C$18</f>
        <v>0.69410928076890999</v>
      </c>
      <c r="K71" s="138"/>
      <c r="L71" s="138">
        <f>M18/$C$18</f>
        <v>0.61632264783219992</v>
      </c>
      <c r="M71" s="138"/>
      <c r="N71" s="138">
        <f>O18/$C$18</f>
        <v>0.53816985647076632</v>
      </c>
      <c r="O71" s="138"/>
      <c r="P71" s="138">
        <f>Q18/$C$18</f>
        <v>0.459906310816591</v>
      </c>
      <c r="Q71" s="138"/>
      <c r="R71" s="138">
        <f>S18/$C$18</f>
        <v>0.38199461386713762</v>
      </c>
      <c r="S71" s="138"/>
      <c r="T71" s="138">
        <f>U18/$C$18</f>
        <v>0.3052246072904975</v>
      </c>
      <c r="U71" s="138"/>
      <c r="V71" s="138">
        <f>W18/$C$18</f>
        <v>0.23090941382768551</v>
      </c>
      <c r="W71" s="138"/>
      <c r="X71" s="138">
        <f>Y18/$C$18</f>
        <v>0.16118159980507366</v>
      </c>
      <c r="Y71" s="138"/>
      <c r="Z71" s="138">
        <f>AA18/$C$18</f>
        <v>9.9394298872790471E-2</v>
      </c>
      <c r="AA71" s="138"/>
      <c r="AB71" s="138">
        <f>AC18/$C$18</f>
        <v>5.0321716336225335E-2</v>
      </c>
      <c r="AC71" s="138"/>
      <c r="AD71" s="138">
        <f>AE18/$C$18</f>
        <v>1.8761268492659126E-2</v>
      </c>
      <c r="AE71" s="138"/>
      <c r="AF71" s="138">
        <f>AG18/$C$18</f>
        <v>0</v>
      </c>
      <c r="AG71" s="138"/>
      <c r="AH71" s="138">
        <f>AI18/$C$18</f>
        <v>0</v>
      </c>
      <c r="AI71" s="138"/>
      <c r="AJ71" s="138">
        <f>AK18/$C$18</f>
        <v>0</v>
      </c>
      <c r="AK71" s="138"/>
      <c r="AL71" s="138">
        <f>AM18/$C$18</f>
        <v>0</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1.0462362712002007</v>
      </c>
      <c r="E72" s="138"/>
      <c r="F72" s="138">
        <f>G19/$C$19</f>
        <v>1.1008186794281642</v>
      </c>
      <c r="G72" s="138"/>
      <c r="H72" s="138">
        <f>I19/$C$19</f>
        <v>1.1651179589635625</v>
      </c>
      <c r="I72" s="138"/>
      <c r="J72" s="138">
        <f>K19/$C$19</f>
        <v>1.2406902598277421</v>
      </c>
      <c r="K72" s="138"/>
      <c r="L72" s="138">
        <f>M19/$C$19</f>
        <v>1.3292295791802455</v>
      </c>
      <c r="M72" s="138"/>
      <c r="N72" s="138">
        <f>O19/$C$19</f>
        <v>1.4325196431695271</v>
      </c>
      <c r="O72" s="138"/>
      <c r="P72" s="138">
        <f>Q19/$C$19</f>
        <v>1.5522081355847581</v>
      </c>
      <c r="Q72" s="138"/>
      <c r="R72" s="138">
        <f>S19/$C$19</f>
        <v>1.6894404975218567</v>
      </c>
      <c r="S72" s="138"/>
      <c r="T72" s="138">
        <f>U19/$C$19</f>
        <v>1.844106426976293</v>
      </c>
      <c r="U72" s="138"/>
      <c r="V72" s="138">
        <f>W19/$C$19</f>
        <v>2.0133218114237672</v>
      </c>
      <c r="W72" s="138"/>
      <c r="X72" s="138">
        <f>Y19/$C$19</f>
        <v>2.1883583535716729</v>
      </c>
      <c r="Y72" s="138"/>
      <c r="Z72" s="138">
        <f>AA19/$C$19</f>
        <v>2.3485231984405655</v>
      </c>
      <c r="AA72" s="138"/>
      <c r="AB72" s="138">
        <f>AC19/$C$19</f>
        <v>2.450892439134015</v>
      </c>
      <c r="AC72" s="138"/>
      <c r="AD72" s="138">
        <f>AE19/$C$19</f>
        <v>2.4251262255859327</v>
      </c>
      <c r="AE72" s="138"/>
      <c r="AF72" s="138">
        <f>AG19/$C$19</f>
        <v>0</v>
      </c>
      <c r="AG72" s="138"/>
      <c r="AH72" s="138">
        <f>AI19/$C$19</f>
        <v>0</v>
      </c>
      <c r="AI72" s="138"/>
      <c r="AJ72" s="138">
        <f>AK19/$C$19</f>
        <v>0</v>
      </c>
      <c r="AK72" s="138"/>
      <c r="AL72" s="138">
        <f>AM19/$C$19</f>
        <v>0</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0.47641153352875065</v>
      </c>
      <c r="D73" s="193">
        <f t="array" ref="D73">SUM(D9:E9*D22:E22)/D32</f>
        <v>0.47641154239302674</v>
      </c>
      <c r="E73" s="138"/>
      <c r="F73" s="193">
        <f t="array" ref="F73">SUM(F9:G9*F22:G22)/F32</f>
        <v>0.47641153451453089</v>
      </c>
      <c r="G73" s="138"/>
      <c r="H73" s="193">
        <f t="array" ref="H73">SUM(H9:I9*H22:I22)/H32</f>
        <v>0.4764115347521623</v>
      </c>
      <c r="I73" s="138"/>
      <c r="J73" s="193">
        <f t="array" ref="J73">SUM(J9:K9*J22:K22)/J32</f>
        <v>0.47641158699426644</v>
      </c>
      <c r="K73" s="138"/>
      <c r="L73" s="193">
        <f t="array" ref="L73">SUM(L9:M9*L22:M22)/L32</f>
        <v>0.47641153537986769</v>
      </c>
      <c r="M73" s="138"/>
      <c r="N73" s="193">
        <f t="array" ref="N73">SUM(N9:O9*N22:O22)/N32</f>
        <v>0.47641153371585893</v>
      </c>
      <c r="O73" s="138"/>
      <c r="P73" s="193">
        <f t="array" ref="P73">SUM(P9:Q9*P22:Q22)/P32</f>
        <v>0.47641155564019383</v>
      </c>
      <c r="Q73" s="138"/>
      <c r="R73" s="193">
        <f t="array" ref="R73">SUM(R9:S9*R22:S22)/R32</f>
        <v>0.47641155231858723</v>
      </c>
      <c r="S73" s="138"/>
      <c r="T73" s="193">
        <f t="array" ref="T73">SUM(T9:U9*T22:U22)/T32</f>
        <v>0.47641154914113926</v>
      </c>
      <c r="U73" s="138"/>
      <c r="V73" s="193">
        <f t="array" ref="V73">SUM(V9:W9*V22:W22)/V32</f>
        <v>0.47641153580015655</v>
      </c>
      <c r="W73" s="138"/>
      <c r="X73" s="193">
        <f t="array" ref="X73">SUM(X9:Y9*X22:Y22)/X32</f>
        <v>0.47641153489729077</v>
      </c>
      <c r="Y73" s="138"/>
      <c r="Z73" s="193">
        <f t="array" ref="Z73">SUM(Z9:AA9*Z22:AA22)/Z32</f>
        <v>0.4764115327337789</v>
      </c>
      <c r="AA73" s="138"/>
      <c r="AB73" s="193">
        <f t="array" ref="AB73">SUM(AB9:AC9*AB22:AC22)/AB32</f>
        <v>0.47641153325906732</v>
      </c>
      <c r="AC73" s="138"/>
      <c r="AD73" s="193">
        <f t="array" ref="AD73">SUM(AD9:AE9*AD22:AE22)/AD32</f>
        <v>0.47641153373705208</v>
      </c>
      <c r="AE73" s="138"/>
      <c r="AF73" s="193" t="e">
        <f t="array" ref="AF73">SUM(AF9:AG9*AF22:AG22)/AF32</f>
        <v>#DIV/0!</v>
      </c>
      <c r="AG73" s="138"/>
      <c r="AH73" s="193" t="e">
        <f t="array" ref="AH73">SUM(AH9:AI9*AH22:AI22)/AH32</f>
        <v>#DIV/0!</v>
      </c>
      <c r="AI73" s="138"/>
      <c r="AJ73" s="193" t="e">
        <f t="array" ref="AJ73">SUM(AJ9:AK9*AJ22:AK22)/AJ32</f>
        <v>#DIV/0!</v>
      </c>
      <c r="AK73" s="138"/>
      <c r="AL73" s="193" t="e">
        <f t="array" ref="AL73">SUM(AL9:AM9*AL22:AM22)/AL32</f>
        <v>#DIV/0!</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0.22604620456442487</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0.22604620456442481</v>
      </c>
      <c r="U74" s="138"/>
      <c r="V74" s="193">
        <f t="array" ref="V74">SUM(V10:W10*V23:W23)/V32</f>
        <v>0.22604620456442484</v>
      </c>
      <c r="W74" s="138"/>
      <c r="X74" s="193">
        <f t="array" ref="X74">SUM(X10:Y10*X23:Y23)/X32</f>
        <v>0.22604620456442481</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t="e">
        <f t="array" ref="AF74">SUM(AF10:AG10*AF23:AG23)/AF32</f>
        <v>#DIV/0!</v>
      </c>
      <c r="AG74" s="138"/>
      <c r="AH74" s="193" t="e">
        <f t="array" ref="AH74">SUM(AH10:AI10*AH23:AI23)/AH32</f>
        <v>#DIV/0!</v>
      </c>
      <c r="AI74" s="138"/>
      <c r="AJ74" s="193" t="e">
        <f t="array" ref="AJ74">SUM(AJ10:AK10*AJ23:AK23)/AJ32</f>
        <v>#DIV/0!</v>
      </c>
      <c r="AK74" s="138"/>
      <c r="AL74" s="193" t="e">
        <f t="array" ref="AL74">SUM(AL10:AM10*AL23:AM23)/AL32</f>
        <v>#DIV/0!</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0.22038438842908845</v>
      </c>
      <c r="E75" s="138"/>
      <c r="F75" s="193">
        <f t="array" ref="F75">SUM(F11:G11*F24:G24)/F32</f>
        <v>0.22038438831063134</v>
      </c>
      <c r="G75" s="138"/>
      <c r="H75" s="193">
        <f t="array" ref="H75">SUM(H11:I11*H24:I24)/H32</f>
        <v>0.22038438829857362</v>
      </c>
      <c r="I75" s="138"/>
      <c r="J75" s="193">
        <f t="array" ref="J75">SUM(J11:K11*J24:K24)/J32</f>
        <v>0.22038438811960837</v>
      </c>
      <c r="K75" s="138"/>
      <c r="L75" s="193">
        <f t="array" ref="L75">SUM(L11:M11*L24:M24)/L32</f>
        <v>0.22038438826419851</v>
      </c>
      <c r="M75" s="138"/>
      <c r="N75" s="193">
        <f t="array" ref="N75">SUM(N11:O11*N24:O24)/N32</f>
        <v>0.2203843883578126</v>
      </c>
      <c r="O75" s="138"/>
      <c r="P75" s="193">
        <f t="array" ref="P75">SUM(P11:Q11*P24:Q24)/P32</f>
        <v>0.22038438818696945</v>
      </c>
      <c r="Q75" s="138"/>
      <c r="R75" s="193">
        <f t="array" ref="R75">SUM(R11:S11*R24:S24)/R32</f>
        <v>0.22038438822106846</v>
      </c>
      <c r="S75" s="138"/>
      <c r="T75" s="193">
        <f t="array" ref="T75">SUM(T11:U11*T24:U24)/T32</f>
        <v>0.22038438825649384</v>
      </c>
      <c r="U75" s="138"/>
      <c r="V75" s="193">
        <f t="array" ref="V75">SUM(V11:W11*V24:W24)/V32</f>
        <v>0.22038438837861635</v>
      </c>
      <c r="W75" s="138"/>
      <c r="X75" s="193">
        <f t="array" ref="X75">SUM(X11:Y11*X24:Y24)/X32</f>
        <v>0.220384388317826</v>
      </c>
      <c r="Y75" s="138"/>
      <c r="Z75" s="193">
        <f t="array" ref="Z75">SUM(Z11:AA11*Z24:AA24)/Z32</f>
        <v>0.22038438834481014</v>
      </c>
      <c r="AA75" s="138"/>
      <c r="AB75" s="193">
        <f t="array" ref="AB75">SUM(AB11:AC11*AB24:AC24)/AB32</f>
        <v>0.220384388335646</v>
      </c>
      <c r="AC75" s="138"/>
      <c r="AD75" s="193">
        <f t="array" ref="AD75">SUM(AD11:AE11*AD24:AE24)/AD32</f>
        <v>0.22038438833036991</v>
      </c>
      <c r="AE75" s="138"/>
      <c r="AF75" s="193" t="e">
        <f t="array" ref="AF75">SUM(AF11:AG11*AF24:AG24)/AF32</f>
        <v>#DIV/0!</v>
      </c>
      <c r="AG75" s="138"/>
      <c r="AH75" s="193" t="e">
        <f t="array" ref="AH75">SUM(AH11:AI11*AH24:AI24)/AH32</f>
        <v>#DIV/0!</v>
      </c>
      <c r="AI75" s="138"/>
      <c r="AJ75" s="193" t="e">
        <f t="array" ref="AJ75">SUM(AJ11:AK11*AJ24:AK24)/AJ32</f>
        <v>#DIV/0!</v>
      </c>
      <c r="AK75" s="138"/>
      <c r="AL75" s="193" t="e">
        <f t="array" ref="AL75">SUM(AL11:AM11*AL24:AM24)/AL32</f>
        <v>#DIV/0!</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0.22330695852868856</v>
      </c>
      <c r="E76" s="138"/>
      <c r="F76" s="193">
        <f t="array" ref="F76">SUM(F12:G12*F25:G25)/F32</f>
        <v>0.22372800435323639</v>
      </c>
      <c r="G76" s="138"/>
      <c r="H76" s="193">
        <f t="array" ref="H76">SUM(H12:I12*H25:I25)/H32</f>
        <v>0.22430477045137637</v>
      </c>
      <c r="I76" s="138"/>
      <c r="J76" s="193">
        <f t="array" ref="J76">SUM(J12:K12*J25:K25)/J32</f>
        <v>0.22506374454269673</v>
      </c>
      <c r="K76" s="138"/>
      <c r="L76" s="193">
        <f t="array" ref="L76">SUM(L12:M12*L25:M25)/L32</f>
        <v>0.22603477027161531</v>
      </c>
      <c r="M76" s="138"/>
      <c r="N76" s="193">
        <f t="array" ref="N76">SUM(N12:O12*N25:O25)/N32</f>
        <v>0.22725012205612058</v>
      </c>
      <c r="O76" s="138"/>
      <c r="P76" s="193">
        <f t="array" ref="P76">SUM(P12:Q12*P25:Q25)/P32</f>
        <v>0.22874176700942789</v>
      </c>
      <c r="Q76" s="138"/>
      <c r="R76" s="193">
        <f t="array" ref="R76">SUM(R12:S12*R25:S25)/R32</f>
        <v>0.23053560452201557</v>
      </c>
      <c r="S76" s="138"/>
      <c r="T76" s="193">
        <f t="array" ref="T76">SUM(T12:U12*T25:U25)/T32</f>
        <v>0.23263897258090918</v>
      </c>
      <c r="U76" s="138"/>
      <c r="V76" s="193">
        <f t="array" ref="V76">SUM(V12:W12*V25:W25)/V32</f>
        <v>0.23501442269859113</v>
      </c>
      <c r="W76" s="138"/>
      <c r="X76" s="193">
        <f t="array" ref="X76">SUM(X12:Y12*X25:Y25)/X32</f>
        <v>0.23752402247967572</v>
      </c>
      <c r="Y76" s="138"/>
      <c r="Z76" s="193">
        <f t="array" ref="Z76">SUM(Z12:AA12*Z25:AA25)/Z32</f>
        <v>0.23981487893804898</v>
      </c>
      <c r="AA76" s="138"/>
      <c r="AB76" s="193">
        <f t="array" ref="AB76">SUM(AB12:AC12*AB25:AC25)/AB32</f>
        <v>0.24112242811654805</v>
      </c>
      <c r="AC76" s="138"/>
      <c r="AD76" s="193">
        <f t="array" ref="AD76">SUM(AD12:AE12*AD25:AE25)/AD32</f>
        <v>0.24017005389826565</v>
      </c>
      <c r="AE76" s="138"/>
      <c r="AF76" s="193" t="e">
        <f t="array" ref="AF76">SUM(AF12:AG12*AF25:AG25)/AF32</f>
        <v>#DIV/0!</v>
      </c>
      <c r="AG76" s="138"/>
      <c r="AH76" s="193" t="e">
        <f t="array" ref="AH76">SUM(AH12:AI12*AH25:AI25)/AH32</f>
        <v>#DIV/0!</v>
      </c>
      <c r="AI76" s="138"/>
      <c r="AJ76" s="193" t="e">
        <f t="array" ref="AJ76">SUM(AJ12:AK12*AJ25:AK25)/AJ32</f>
        <v>#DIV/0!</v>
      </c>
      <c r="AK76" s="138"/>
      <c r="AL76" s="193" t="e">
        <f t="array" ref="AL76">SUM(AL12:AM12*AL25:AM25)/AL32</f>
        <v>#DIV/0!</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0.14586087017236485</v>
      </c>
      <c r="D77" s="193">
        <f t="array" ref="D77">SUM(D4:E4*D19:E19)/D32</f>
        <v>0.14614909391522846</v>
      </c>
      <c r="E77" s="138"/>
      <c r="F77" s="193">
        <f t="array" ref="F77">SUM(F4:G4*F19:G19)/F32</f>
        <v>0.14657013174282338</v>
      </c>
      <c r="G77" s="138"/>
      <c r="H77" s="193">
        <f t="array" ref="H77">SUM(H4:I4*H19:I19)/H32</f>
        <v>0.14714689806653689</v>
      </c>
      <c r="I77" s="138"/>
      <c r="J77" s="193">
        <f t="array" ref="J77">SUM(J4:K4*J19:K19)/J32</f>
        <v>0.14790592422099624</v>
      </c>
      <c r="K77" s="138"/>
      <c r="L77" s="193">
        <f t="array" ref="L77">SUM(L4:M4*L19:M19)/L32</f>
        <v>0.14887689848010646</v>
      </c>
      <c r="M77" s="138"/>
      <c r="N77" s="193">
        <f t="array" ref="N77">SUM(N4:O4*N19:O19)/N32</f>
        <v>0.15009224869421689</v>
      </c>
      <c r="O77" s="138"/>
      <c r="P77" s="193">
        <f t="array" ref="P77">SUM(P4:Q4*P19:Q19)/P32</f>
        <v>0.15158391540101579</v>
      </c>
      <c r="Q77" s="138"/>
      <c r="R77" s="193">
        <f t="array" ref="R77">SUM(R4:S4*R19:S19)/R32</f>
        <v>0.15337774962609596</v>
      </c>
      <c r="S77" s="138"/>
      <c r="T77" s="193">
        <f t="array" ref="T77">SUM(T4:U4*T19:U19)/T32</f>
        <v>0.15548111454296684</v>
      </c>
      <c r="U77" s="138"/>
      <c r="V77" s="193">
        <f t="array" ref="V77">SUM(V4:W4*V19:W19)/V32</f>
        <v>0.15785655144178878</v>
      </c>
      <c r="W77" s="138"/>
      <c r="X77" s="193">
        <f t="array" ref="X77">SUM(X4:Y4*X19:Y19)/X32</f>
        <v>0.16036615025921708</v>
      </c>
      <c r="Y77" s="138"/>
      <c r="Z77" s="193">
        <f t="array" ref="Z77">SUM(Z4:AA4*Z19:AA19)/Z32</f>
        <v>0.16265700458106275</v>
      </c>
      <c r="AA77" s="138"/>
      <c r="AB77" s="193">
        <f t="array" ref="AB77">SUM(AB4:AC4*AB19:AC19)/AB32</f>
        <v>0.16396455427568613</v>
      </c>
      <c r="AC77" s="138"/>
      <c r="AD77" s="193">
        <f t="array" ref="AD77">SUM(AD4:AE4*AD19:AE19)/AD32</f>
        <v>0.16301218053011249</v>
      </c>
      <c r="AE77" s="138"/>
      <c r="AF77" s="193" t="e">
        <f t="array" ref="AF77">SUM(AF4:AG4*AF19:AG19)/AF32</f>
        <v>#DIV/0!</v>
      </c>
      <c r="AG77" s="138"/>
      <c r="AH77" s="193" t="e">
        <f t="array" ref="AH77">SUM(AH4:AI4*AH19:AI19)/AH32</f>
        <v>#DIV/0!</v>
      </c>
      <c r="AI77" s="138"/>
      <c r="AJ77" s="193" t="e">
        <f t="array" ref="AJ77">SUM(AJ4:AK4*AJ19:AK19)/AJ32</f>
        <v>#DIV/0!</v>
      </c>
      <c r="AK77" s="138"/>
      <c r="AL77" s="193" t="e">
        <f t="array" ref="AL77">SUM(AL4:AM4*AL19:AM19)/AL32</f>
        <v>#DIV/0!</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0.34988568203634396</v>
      </c>
      <c r="E78" s="138"/>
      <c r="F78" s="193">
        <f t="array" ref="F78">SUM(F13:G13*F26:G26)/F32</f>
        <v>0.35303251355069526</v>
      </c>
      <c r="G78" s="138"/>
      <c r="H78" s="193">
        <f t="array" ref="H78">SUM(H13:I13*H26:I26)/H32</f>
        <v>0.35635692075905429</v>
      </c>
      <c r="I78" s="138"/>
      <c r="J78" s="193">
        <f t="array" ref="J78">SUM(J13:K13*J26:K26)/J32</f>
        <v>0.35989544071743063</v>
      </c>
      <c r="K78" s="138"/>
      <c r="L78" s="193">
        <f t="array" ref="L78">SUM(L13:M13*L26:M26)/L32</f>
        <v>0.36369540157874836</v>
      </c>
      <c r="M78" s="138"/>
      <c r="N78" s="193">
        <f t="array" ref="N78">SUM(N13:O13*N26:O26)/N32</f>
        <v>0.36782167344059585</v>
      </c>
      <c r="O78" s="138"/>
      <c r="P78" s="193">
        <f t="array" ref="P78">SUM(P13:Q13*P26:Q26)/P32</f>
        <v>0.37236558550001608</v>
      </c>
      <c r="Q78" s="138"/>
      <c r="R78" s="193">
        <f t="array" ref="R78">SUM(R13:S13*R26:S26)/R32</f>
        <v>0.37746314674493725</v>
      </c>
      <c r="S78" s="138"/>
      <c r="T78" s="193">
        <f t="array" ref="T78">SUM(T13:U13*T26:U26)/T32</f>
        <v>0.38332795774865741</v>
      </c>
      <c r="U78" s="138"/>
      <c r="V78" s="193">
        <f t="array" ref="V78">SUM(V13:W13*V26:W26)/V32</f>
        <v>0.39031493150810614</v>
      </c>
      <c r="W78" s="138"/>
      <c r="X78" s="193">
        <f t="array" ref="X78">SUM(X13:Y13*X26:Y26)/X32</f>
        <v>0.39904969367792353</v>
      </c>
      <c r="Y78" s="138"/>
      <c r="Z78" s="193">
        <f t="array" ref="Z78">SUM(Z13:AA13*Z26:AA26)/Z32</f>
        <v>0.41069800519313066</v>
      </c>
      <c r="AA78" s="138"/>
      <c r="AB78" s="193">
        <f t="array" ref="AB78">SUM(AB13:AC13*AB26:AC26)/AB32</f>
        <v>0.42750356726142841</v>
      </c>
      <c r="AC78" s="138"/>
      <c r="AD78" s="193">
        <f t="array" ref="AD78">SUM(AD13:AE13*AD26:AE26)/AD32</f>
        <v>0.45359982177708125</v>
      </c>
      <c r="AE78" s="138"/>
      <c r="AF78" s="193" t="e">
        <f t="array" ref="AF78">SUM(AF13:AG13*AF26:AG26)/AF32</f>
        <v>#DIV/0!</v>
      </c>
      <c r="AG78" s="138"/>
      <c r="AH78" s="193" t="e">
        <f t="array" ref="AH78">SUM(AH13:AI13*AH26:AI26)/AH32</f>
        <v>#DIV/0!</v>
      </c>
      <c r="AI78" s="138"/>
      <c r="AJ78" s="193" t="e">
        <f t="array" ref="AJ78">SUM(AJ13:AK13*AJ26:AK26)/AJ32</f>
        <v>#DIV/0!</v>
      </c>
      <c r="AK78" s="138"/>
      <c r="AL78" s="193" t="e">
        <f t="array" ref="AL78">SUM(AL13:AM13*AL26:AM26)/AL32</f>
        <v>#DIV/0!</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0.45460968782440642</v>
      </c>
      <c r="D79" s="193">
        <f t="array" ref="D79">SUM(D15:E15*D27:E27)/D32</f>
        <v>0.44408688241136546</v>
      </c>
      <c r="F79" s="193">
        <f t="array" ref="F79">SUM(F15:G15*F27:G27)/F32</f>
        <v>0.43304192352658732</v>
      </c>
      <c r="H79" s="193">
        <f t="array" ref="H79">SUM(H15:I15*H27:I27)/H32</f>
        <v>0.42137374460277166</v>
      </c>
      <c r="J79" s="193">
        <f t="array" ref="J79">SUM(J15:K15*J27:K27)/J32</f>
        <v>0.40895416553682623</v>
      </c>
      <c r="L79" s="193">
        <f t="array" ref="L79">SUM(L15:M15*L27:M27)/L32</f>
        <v>0.39561675742915309</v>
      </c>
      <c r="N79" s="193">
        <f t="array" ref="N79">SUM(N15:O15*N27:O27)/N32</f>
        <v>0.38113419985608432</v>
      </c>
      <c r="P79" s="193">
        <f t="array" ref="P79">SUM(P15:Q15*P27:Q27)/P32</f>
        <v>0.36518575617433752</v>
      </c>
      <c r="R79" s="193">
        <f t="array" ref="R79">SUM(R15:S15*R27:S27)/R32</f>
        <v>0.34729406955961217</v>
      </c>
      <c r="T79" s="193">
        <f t="array" ref="T79">SUM(T15:U15*T27:U27)/T32</f>
        <v>0.32670945382572897</v>
      </c>
      <c r="V79" s="193">
        <f t="array" ref="V79">SUM(V15:W15*V27:W27)/V32</f>
        <v>0.3021862189123648</v>
      </c>
      <c r="X79" s="193">
        <f t="array" ref="X79">SUM(X15:Y15*X27:Y27)/X32</f>
        <v>0.27152850101034226</v>
      </c>
      <c r="Z79" s="193">
        <f t="array" ref="Z79">SUM(Z15:AA15*Z27:AA27)/Z32</f>
        <v>0.23064467242084769</v>
      </c>
      <c r="AB79" s="193">
        <f t="array" ref="AB79">SUM(AB15:AC15*AB27:AC27)/AB32</f>
        <v>0.17165965831852767</v>
      </c>
      <c r="AD79" s="193">
        <f t="array" ref="AD79">SUM(AD15:AE15*AD27:AE27)/AD32</f>
        <v>8.0065701542288301E-2</v>
      </c>
      <c r="AF79" s="193" t="e">
        <f t="array" ref="AF79">SUM(AF15:AG15*AF27:AG27)/AF32</f>
        <v>#DIV/0!</v>
      </c>
      <c r="AH79" s="193" t="e">
        <f t="array" ref="AH79">SUM(AH15:AI15*AH27:AI27)/AH32</f>
        <v>#DIV/0!</v>
      </c>
      <c r="AJ79" s="193" t="e">
        <f t="array" ref="AJ79">SUM(AJ15:AK15*AJ27:AK27)/AJ32</f>
        <v>#DIV/0!</v>
      </c>
      <c r="AL79" s="193" t="e">
        <f t="array" ref="AL79">SUM(AL15:AM15*AL27:AM27)/AL32</f>
        <v>#DIV/0!</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0.20602745823861601</v>
      </c>
      <c r="F80" s="236">
        <f>F55</f>
        <v>0.21392556171535262</v>
      </c>
      <c r="H80" s="236">
        <f>H55</f>
        <v>0.22226933271146615</v>
      </c>
      <c r="J80" s="236">
        <f>J55</f>
        <v>0.23115043466057208</v>
      </c>
      <c r="L80" s="236">
        <f>L55</f>
        <v>0.2406878365368148</v>
      </c>
      <c r="N80" s="236">
        <f>N55</f>
        <v>0.25104413319325164</v>
      </c>
      <c r="P80" s="236">
        <f>P55</f>
        <v>0.2624486771443883</v>
      </c>
      <c r="R80" s="236">
        <f>R55</f>
        <v>0.27524279898901827</v>
      </c>
      <c r="T80" s="236">
        <f>T55</f>
        <v>0.2899626003203159</v>
      </c>
      <c r="V80" s="236">
        <f>V55</f>
        <v>0.30749886904273133</v>
      </c>
      <c r="X80" s="236">
        <f>X55</f>
        <v>0.32942180343299182</v>
      </c>
      <c r="Z80" s="236">
        <f>Z55</f>
        <v>0.35865732703966419</v>
      </c>
      <c r="AB80" s="236">
        <f>AB55</f>
        <v>0.40083677713077071</v>
      </c>
      <c r="AD80" s="236">
        <f>AD55</f>
        <v>0.46633447441847115</v>
      </c>
      <c r="AF80" s="236" t="e">
        <f>AF55</f>
        <v>#DIV/0!</v>
      </c>
      <c r="AH80" s="236" t="e">
        <f>AH55</f>
        <v>#DIV/0!</v>
      </c>
      <c r="AJ80" s="236" t="e">
        <f>AJ55</f>
        <v>#DIV/0!</v>
      </c>
      <c r="AL80" s="236" t="e">
        <f>AL55</f>
        <v>#DIV/0!</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-2.0018746325808814E-2</v>
      </c>
      <c r="F81" s="236">
        <f>F51/F$32</f>
        <v>-1.2120642849072234E-2</v>
      </c>
      <c r="H81" s="236">
        <f>H51/H$32</f>
        <v>-3.7768718529586926E-3</v>
      </c>
      <c r="J81" s="236">
        <f>J51/J$32</f>
        <v>5.1042300961472668E-3</v>
      </c>
      <c r="L81" s="236">
        <f>L51/L$32</f>
        <v>1.4641631972389945E-2</v>
      </c>
      <c r="N81" s="236">
        <f>N51/N$32</f>
        <v>2.4997928628826781E-2</v>
      </c>
      <c r="P81" s="236">
        <f>P51/P$32</f>
        <v>3.6402472579963485E-2</v>
      </c>
      <c r="R81" s="236">
        <f>R51/R$32</f>
        <v>4.9196594424593412E-2</v>
      </c>
      <c r="T81" s="236">
        <f>T51/T$32</f>
        <v>6.3916395755891045E-2</v>
      </c>
      <c r="V81" s="236">
        <f>V51/V$32</f>
        <v>8.14526644783065E-2</v>
      </c>
      <c r="X81" s="236">
        <f>X51/X$32</f>
        <v>0.103375598868567</v>
      </c>
      <c r="Z81" s="236">
        <f>Z51/Z$32</f>
        <v>0.13261112247523935</v>
      </c>
      <c r="AB81" s="236">
        <f>AB51/AB$32</f>
        <v>0.17479057256634584</v>
      </c>
      <c r="AD81" s="236">
        <f>AD51/AD$32</f>
        <v>0.2402882698540463</v>
      </c>
      <c r="AF81" s="236" t="e">
        <f>AF51/AF$32</f>
        <v>#DIV/0!</v>
      </c>
      <c r="AH81" s="236" t="e">
        <f>AH51/AH$32</f>
        <v>#DIV/0!</v>
      </c>
      <c r="AJ81" s="236" t="e">
        <f>AJ51/AJ$32</f>
        <v>#DIV/0!</v>
      </c>
      <c r="AL81" s="236" t="e">
        <f>AL51/AL$32</f>
        <v>#DIV/0!</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0.14028063487080727</v>
      </c>
      <c r="F82" s="236">
        <f>F52/F$32</f>
        <v>0.14154230273928214</v>
      </c>
      <c r="H82" s="236">
        <f>H52/H$32</f>
        <v>0.1428751665222284</v>
      </c>
      <c r="J82" s="236">
        <f>J52/J$32</f>
        <v>0.14429387512263489</v>
      </c>
      <c r="L82" s="236">
        <f>L52/L$32</f>
        <v>0.14581740394784271</v>
      </c>
      <c r="N82" s="236">
        <f>N52/N$32</f>
        <v>0.14747176154561772</v>
      </c>
      <c r="P82" s="236">
        <f>P52/P$32</f>
        <v>0.14929356478370043</v>
      </c>
      <c r="R82" s="236">
        <f>R52/R$32</f>
        <v>0.15133734412205038</v>
      </c>
      <c r="T82" s="236">
        <f>T52/T$32</f>
        <v>0.15368873902969826</v>
      </c>
      <c r="V82" s="236">
        <f>V52/V$32</f>
        <v>0.15649004575678901</v>
      </c>
      <c r="X82" s="236">
        <f>X52/X$32</f>
        <v>0.15999209812856971</v>
      </c>
      <c r="Z82" s="236">
        <f>Z52/Z$32</f>
        <v>0.16466228790317292</v>
      </c>
      <c r="AB82" s="236">
        <f>AB52/AB$32</f>
        <v>0.17140018841565138</v>
      </c>
      <c r="AD82" s="236">
        <f>AD52/AD$32</f>
        <v>0.18186303196472148</v>
      </c>
      <c r="AF82" s="236" t="e">
        <f>AF52/AF$32</f>
        <v>#DIV/0!</v>
      </c>
      <c r="AH82" s="236" t="e">
        <f>AH52/AH$32</f>
        <v>#DIV/0!</v>
      </c>
      <c r="AJ82" s="236" t="e">
        <f>AJ52/AJ$32</f>
        <v>#DIV/0!</v>
      </c>
      <c r="AL82" s="236" t="e">
        <f>AL52/AL$32</f>
        <v>#DIV/0!</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0.18600714462929935</v>
      </c>
      <c r="D83" s="236">
        <f>D53/D$32</f>
        <v>0.18170165567736682</v>
      </c>
      <c r="F83" s="236">
        <f>F53/F$32</f>
        <v>0.17718252350810448</v>
      </c>
      <c r="H83" s="236">
        <f>H53/H$32</f>
        <v>0.17240839593720012</v>
      </c>
      <c r="J83" s="236">
        <f>J53/J$32</f>
        <v>0.1673268270630088</v>
      </c>
      <c r="L83" s="236">
        <f>L53/L$32</f>
        <v>0.16186972118667697</v>
      </c>
      <c r="N83" s="236">
        <f>N53/N$32</f>
        <v>0.15594406836130983</v>
      </c>
      <c r="P83" s="236">
        <f>P53/P$32</f>
        <v>0.14941863665588448</v>
      </c>
      <c r="R83" s="236">
        <f>R53/R$32</f>
        <v>0.14209811175520803</v>
      </c>
      <c r="T83" s="236">
        <f>T53/T$32</f>
        <v>0.13367575363460882</v>
      </c>
      <c r="V83" s="236">
        <f>V53/V$32</f>
        <v>0.12364187836649024</v>
      </c>
      <c r="X83" s="236">
        <f>X53/X$32</f>
        <v>0.11109803092871108</v>
      </c>
      <c r="Z83" s="236">
        <f>Z53/Z$32</f>
        <v>9.4370089529488374E-2</v>
      </c>
      <c r="AB83" s="236">
        <f>AB53/AB$32</f>
        <v>7.0235905100648574E-2</v>
      </c>
      <c r="AD83" s="236">
        <f>AD53/AD$32</f>
        <v>3.2759514206338464E-2</v>
      </c>
      <c r="AF83" s="236" t="e">
        <f>AF53/AF$32</f>
        <v>#DIV/0!</v>
      </c>
      <c r="AH83" s="236" t="e">
        <f>AH53/AH$32</f>
        <v>#DIV/0!</v>
      </c>
      <c r="AJ83" s="236" t="e">
        <f>AJ53/AJ$32</f>
        <v>#DIV/0!</v>
      </c>
      <c r="AL83" s="236" t="e">
        <f>AL53/AL$32</f>
        <v>#DIV/0!</v>
      </c>
      <c r="AN83" s="236" t="e">
        <f>AN53/AN$32</f>
        <v>#DIV/0!</v>
      </c>
      <c r="AP83" s="236" t="e">
        <f>AP53/AP$32</f>
        <v>#DIV/0!</v>
      </c>
      <c r="AR83" s="236" t="e">
        <f>AR53/AR$32</f>
        <v>#DIV/0!</v>
      </c>
      <c r="AT83" s="236" t="e">
        <f>AT53/AT$32</f>
        <v>#DIV/0!</v>
      </c>
      <c r="AV83" s="236" t="e">
        <f>AV53/AV$32</f>
        <v>#DIV/0!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10"/>
  <dimension ref="A1:XFD83"/>
  <sheetViews>
    <sheetView showGridLines="0" workbookViewId="0">
      <pane ySplit="1" topLeftCell="A2" activePane="bottomLeft" state="frozen"/>
      <selection pane="bottomLef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c r="X1" s="94"/>
      <c r="Z1" s="94"/>
      <c r="AB1" s="94"/>
      <c r="AD1" s="94"/>
      <c r="AF1" s="94"/>
      <c r="AH1" s="94"/>
      <c r="AJ1" s="94"/>
      <c r="AL1" s="94"/>
      <c r="AN1" s="94"/>
      <c r="AP1" s="94"/>
      <c r="AR1" s="94"/>
      <c r="AT1" s="94"/>
      <c r="AV1" s="94"/>
    </row>
    <row r="2" spans="1:49" x14ac:dyDescent="0.2">
      <c r="A2" s="229" t="s">
        <v>155</v>
      </c>
      <c r="B2" s="226">
        <v>5.7716594496607888E-3</v>
      </c>
      <c r="C2" s="227"/>
      <c r="D2" s="226">
        <v>8.3642603999469656E-2</v>
      </c>
      <c r="E2" s="227"/>
      <c r="F2" s="226">
        <v>0.17168625979625596</v>
      </c>
      <c r="G2" s="227"/>
      <c r="H2" s="226">
        <v>0.27237305740096379</v>
      </c>
      <c r="I2" s="227"/>
      <c r="J2" s="226">
        <v>0.38934106343918035</v>
      </c>
      <c r="K2" s="227"/>
      <c r="L2" s="226">
        <v>0.52826787362461036</v>
      </c>
      <c r="M2" s="227"/>
      <c r="N2" s="226">
        <v>0.69864129302906675</v>
      </c>
      <c r="O2" s="227"/>
      <c r="P2" s="226">
        <v>0.91774334927422718</v>
      </c>
      <c r="Q2" s="227"/>
      <c r="R2" s="226">
        <v>1.2210703738440372</v>
      </c>
      <c r="S2" s="227"/>
      <c r="T2" s="226">
        <v>1.6961772441386833</v>
      </c>
      <c r="U2" s="227"/>
      <c r="V2" s="226"/>
      <c r="W2" s="227"/>
      <c r="X2" s="226"/>
      <c r="Y2" s="227"/>
      <c r="Z2" s="226"/>
      <c r="AA2" s="227"/>
      <c r="AB2" s="226"/>
      <c r="AC2" s="227"/>
      <c r="AD2" s="226"/>
      <c r="AE2" s="227"/>
      <c r="AF2" s="226"/>
      <c r="AG2" s="227"/>
      <c r="AH2" s="226"/>
      <c r="AI2" s="227"/>
      <c r="AJ2" s="226"/>
      <c r="AK2" s="227"/>
      <c r="AL2" s="226"/>
      <c r="AM2" s="227"/>
      <c r="AN2" s="226"/>
      <c r="AO2" s="227"/>
      <c r="AP2" s="226"/>
      <c r="AQ2" s="227"/>
      <c r="AR2" s="226"/>
      <c r="AS2" s="227"/>
      <c r="AT2" s="226"/>
      <c r="AU2" s="227"/>
      <c r="AV2" s="226"/>
      <c r="AW2" s="227"/>
    </row>
    <row r="3" spans="1:49" x14ac:dyDescent="0.2">
      <c r="A3" t="s">
        <v>12</v>
      </c>
      <c r="B3" s="84">
        <v>1000</v>
      </c>
      <c r="C3" s="85">
        <v>1000</v>
      </c>
      <c r="D3" s="84">
        <v>996.4370282559554</v>
      </c>
      <c r="E3" s="85">
        <v>1048.9511318466573</v>
      </c>
      <c r="F3" s="84">
        <v>992.74215404349309</v>
      </c>
      <c r="G3" s="85">
        <v>1105.5500612318549</v>
      </c>
      <c r="H3" s="84">
        <v>988.86825182528651</v>
      </c>
      <c r="I3" s="85">
        <v>1171.6533751478089</v>
      </c>
      <c r="J3" s="84">
        <v>984.77011653309171</v>
      </c>
      <c r="K3" s="85">
        <v>1249.8901731936353</v>
      </c>
      <c r="L3" s="84">
        <v>980.40895873681745</v>
      </c>
      <c r="M3" s="85">
        <v>1344.2098403754885</v>
      </c>
      <c r="N3" s="84">
        <v>975.76088924286739</v>
      </c>
      <c r="O3" s="85">
        <v>1460.9897328766101</v>
      </c>
      <c r="P3" s="84">
        <v>970.8345423871142</v>
      </c>
      <c r="Q3" s="85">
        <v>1611.5120017227409</v>
      </c>
      <c r="R3" s="84">
        <v>965.71526631108964</v>
      </c>
      <c r="S3" s="85">
        <v>1818.3673952163463</v>
      </c>
      <c r="T3" s="84">
        <v>960.70018956271576</v>
      </c>
      <c r="U3" s="85">
        <v>2135.9900758770546</v>
      </c>
      <c r="V3" s="84"/>
      <c r="W3" s="85"/>
      <c r="X3" s="84"/>
      <c r="Y3" s="85"/>
      <c r="Z3" s="84"/>
      <c r="AA3" s="85"/>
      <c r="AB3" s="84"/>
      <c r="AC3" s="85"/>
      <c r="AD3" s="84"/>
      <c r="AE3" s="85"/>
      <c r="AF3" s="84"/>
      <c r="AG3" s="85"/>
      <c r="AH3" s="84"/>
      <c r="AI3" s="85"/>
      <c r="AJ3" s="84"/>
      <c r="AK3" s="85"/>
      <c r="AL3" s="84"/>
      <c r="AM3" s="85"/>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c r="W4" s="102"/>
      <c r="X4" s="101"/>
      <c r="Y4" s="102"/>
      <c r="Z4" s="101"/>
      <c r="AA4" s="102"/>
      <c r="AB4" s="101"/>
      <c r="AC4" s="102"/>
      <c r="AD4" s="101"/>
      <c r="AE4" s="102"/>
      <c r="AF4" s="101"/>
      <c r="AG4" s="102"/>
      <c r="AH4" s="101"/>
      <c r="AI4" s="102"/>
      <c r="AJ4" s="101"/>
      <c r="AK4" s="102"/>
      <c r="AL4" s="101"/>
      <c r="AM4" s="102"/>
      <c r="AN4" s="101"/>
      <c r="AO4" s="102"/>
      <c r="AP4" s="101"/>
      <c r="AQ4" s="102"/>
      <c r="AR4" s="101"/>
      <c r="AS4" s="102"/>
      <c r="AT4" s="101"/>
      <c r="AU4" s="102"/>
      <c r="AV4" s="101"/>
      <c r="AW4" s="102"/>
    </row>
    <row r="5" spans="1:49" x14ac:dyDescent="0.2">
      <c r="A5" t="s">
        <v>128</v>
      </c>
      <c r="B5" s="41">
        <v>1000</v>
      </c>
      <c r="C5" s="42">
        <v>1000</v>
      </c>
      <c r="D5" s="41">
        <v>996.2585921564762</v>
      </c>
      <c r="E5" s="42">
        <v>1041.9746615802389</v>
      </c>
      <c r="F5" s="41">
        <v>992.37270198011515</v>
      </c>
      <c r="G5" s="42">
        <v>1088.0351488289498</v>
      </c>
      <c r="H5" s="41">
        <v>988.29191571704212</v>
      </c>
      <c r="I5" s="42">
        <v>1138.5517843076198</v>
      </c>
      <c r="J5" s="41">
        <v>983.96745654270444</v>
      </c>
      <c r="K5" s="42">
        <v>1193.9043171846013</v>
      </c>
      <c r="L5" s="41">
        <v>979.35690200676379</v>
      </c>
      <c r="M5" s="42">
        <v>1254.4920252944801</v>
      </c>
      <c r="N5" s="41">
        <v>974.43318030408295</v>
      </c>
      <c r="O5" s="42">
        <v>1320.7428429911993</v>
      </c>
      <c r="P5" s="41">
        <v>969.20340569275527</v>
      </c>
      <c r="Q5" s="42">
        <v>1393.1258738842143</v>
      </c>
      <c r="R5" s="41">
        <v>963.75631481095536</v>
      </c>
      <c r="S5" s="42">
        <v>1472.1110620872798</v>
      </c>
      <c r="T5" s="41">
        <v>958.40751511551321</v>
      </c>
      <c r="U5" s="42">
        <v>1557.8831818592764</v>
      </c>
      <c r="V5" s="41"/>
      <c r="W5" s="42"/>
      <c r="X5" s="41"/>
      <c r="Y5" s="42"/>
      <c r="Z5" s="41"/>
      <c r="AA5" s="42"/>
      <c r="AB5" s="41"/>
      <c r="AC5" s="42"/>
      <c r="AD5" s="41"/>
      <c r="AE5" s="42"/>
      <c r="AF5" s="41"/>
      <c r="AG5" s="42"/>
      <c r="AH5" s="41"/>
      <c r="AI5" s="42"/>
      <c r="AJ5" s="41"/>
      <c r="AK5" s="42"/>
      <c r="AL5" s="41"/>
      <c r="AM5" s="42"/>
      <c r="AN5" s="41"/>
      <c r="AO5" s="42"/>
      <c r="AP5" s="41"/>
      <c r="AQ5" s="42"/>
      <c r="AR5" s="41"/>
      <c r="AS5" s="42"/>
      <c r="AT5" s="41"/>
      <c r="AU5" s="42"/>
      <c r="AV5" s="41"/>
      <c r="AW5" s="42"/>
    </row>
    <row r="6" spans="1:49" x14ac:dyDescent="0.2">
      <c r="A6" t="s">
        <v>77</v>
      </c>
      <c r="B6" s="41">
        <v>999.99999999999943</v>
      </c>
      <c r="C6" s="42">
        <v>999.99999999999909</v>
      </c>
      <c r="D6" s="41">
        <v>995.97356417690946</v>
      </c>
      <c r="E6" s="42">
        <v>1052.6478699595953</v>
      </c>
      <c r="F6" s="41">
        <v>991.79407731897857</v>
      </c>
      <c r="G6" s="42">
        <v>1113.1076154733378</v>
      </c>
      <c r="H6" s="41">
        <v>987.40764134397398</v>
      </c>
      <c r="I6" s="42">
        <v>1183.272916762651</v>
      </c>
      <c r="J6" s="41">
        <v>982.76226637192758</v>
      </c>
      <c r="K6" s="42">
        <v>1265.8318189457725</v>
      </c>
      <c r="L6" s="41">
        <v>977.8129443932379</v>
      </c>
      <c r="M6" s="42">
        <v>1364.830249771853</v>
      </c>
      <c r="N6" s="41">
        <v>972.53129199681609</v>
      </c>
      <c r="O6" s="42">
        <v>1486.8102005489136</v>
      </c>
      <c r="P6" s="41">
        <v>966.92568466418675</v>
      </c>
      <c r="Q6" s="42">
        <v>1643.3529107235568</v>
      </c>
      <c r="R6" s="41">
        <v>961.09189900496744</v>
      </c>
      <c r="S6" s="42">
        <v>1857.6517059876885</v>
      </c>
      <c r="T6" s="41">
        <v>955.36809791405608</v>
      </c>
      <c r="U6" s="42">
        <v>2185.5834453669154</v>
      </c>
      <c r="V6" s="41"/>
      <c r="W6" s="42"/>
      <c r="X6" s="41"/>
      <c r="Y6" s="42"/>
      <c r="Z6" s="41"/>
      <c r="AA6" s="42"/>
      <c r="AB6" s="41"/>
      <c r="AC6" s="42"/>
      <c r="AD6" s="41"/>
      <c r="AE6" s="42"/>
      <c r="AF6" s="41"/>
      <c r="AG6" s="42"/>
      <c r="AH6" s="41"/>
      <c r="AI6" s="42"/>
      <c r="AJ6" s="41"/>
      <c r="AK6" s="42"/>
      <c r="AL6" s="41"/>
      <c r="AM6" s="42"/>
      <c r="AN6" s="41"/>
      <c r="AO6" s="42"/>
      <c r="AP6" s="41"/>
      <c r="AQ6" s="42"/>
      <c r="AR6" s="41"/>
      <c r="AS6" s="42"/>
      <c r="AT6" s="41"/>
      <c r="AU6" s="42"/>
      <c r="AV6" s="41"/>
      <c r="AW6" s="42"/>
    </row>
    <row r="7" spans="1:49" x14ac:dyDescent="0.2">
      <c r="A7" t="s">
        <v>13</v>
      </c>
      <c r="B7" s="33">
        <v>1015.9116825427475</v>
      </c>
      <c r="C7" s="34">
        <v>1015.9116825427475</v>
      </c>
      <c r="D7" s="33">
        <v>1012.1107426053545</v>
      </c>
      <c r="E7" s="34">
        <v>1012.1107426053545</v>
      </c>
      <c r="F7" s="33">
        <v>1008.1630213781112</v>
      </c>
      <c r="G7" s="34">
        <v>1008.1630213781112</v>
      </c>
      <c r="H7" s="33">
        <v>1004.0173029394954</v>
      </c>
      <c r="I7" s="34">
        <v>1004.0173029394954</v>
      </c>
      <c r="J7" s="33">
        <v>999.62403434360658</v>
      </c>
      <c r="K7" s="34">
        <v>999.62403434360658</v>
      </c>
      <c r="L7" s="33">
        <v>994.940118127544</v>
      </c>
      <c r="M7" s="34">
        <v>994.940118127544</v>
      </c>
      <c r="N7" s="33">
        <v>989.93805172820134</v>
      </c>
      <c r="O7" s="34">
        <v>989.93805172820134</v>
      </c>
      <c r="P7" s="33">
        <v>984.625062603488</v>
      </c>
      <c r="Q7" s="34">
        <v>984.625062603488</v>
      </c>
      <c r="R7" s="33">
        <v>979.09129934079544</v>
      </c>
      <c r="S7" s="34">
        <v>979.09129934079544</v>
      </c>
      <c r="T7" s="33">
        <v>973.65739124261472</v>
      </c>
      <c r="U7" s="34">
        <v>973.65739124261472</v>
      </c>
      <c r="V7" s="33"/>
      <c r="W7" s="34"/>
      <c r="X7" s="33"/>
      <c r="Y7" s="34"/>
      <c r="Z7" s="33"/>
      <c r="AA7" s="34"/>
      <c r="AB7" s="33"/>
      <c r="AC7" s="34"/>
      <c r="AD7" s="33"/>
      <c r="AE7" s="34"/>
      <c r="AF7" s="33"/>
      <c r="AG7" s="34"/>
      <c r="AH7" s="33"/>
      <c r="AI7" s="34"/>
      <c r="AJ7" s="33"/>
      <c r="AK7" s="34"/>
      <c r="AL7" s="33"/>
      <c r="AM7" s="34"/>
      <c r="AN7" s="33"/>
      <c r="AO7" s="34"/>
      <c r="AP7" s="33"/>
      <c r="AQ7" s="34"/>
      <c r="AR7" s="33"/>
      <c r="AS7" s="34"/>
      <c r="AT7" s="33"/>
      <c r="AU7" s="34"/>
      <c r="AV7" s="33"/>
      <c r="AW7" s="34"/>
    </row>
    <row r="8" spans="1:49" x14ac:dyDescent="0.2">
      <c r="B8" s="35">
        <v>1005.7716594496609</v>
      </c>
      <c r="C8" s="36">
        <v>1005.7716594496609</v>
      </c>
      <c r="D8" s="35">
        <v>1129.1281355762765</v>
      </c>
      <c r="E8" s="36">
        <v>1129.1281355762765</v>
      </c>
      <c r="F8" s="35">
        <v>1274.8358340582547</v>
      </c>
      <c r="G8" s="36">
        <v>1274.8358340582547</v>
      </c>
      <c r="H8" s="35">
        <v>1448.6626148088087</v>
      </c>
      <c r="I8" s="36">
        <v>1448.6626148088087</v>
      </c>
      <c r="J8" s="35">
        <v>1658.7402936818823</v>
      </c>
      <c r="K8" s="36">
        <v>1658.7402936818823</v>
      </c>
      <c r="L8" s="35">
        <v>1917.199859975826</v>
      </c>
      <c r="M8" s="36">
        <v>1917.199859975826</v>
      </c>
      <c r="N8" s="35">
        <v>2243.4683305774561</v>
      </c>
      <c r="O8" s="36">
        <v>2243.4683305774561</v>
      </c>
      <c r="P8" s="35">
        <v>2671.6578793432977</v>
      </c>
      <c r="Q8" s="36">
        <v>2671.6578793432977</v>
      </c>
      <c r="R8" s="35">
        <v>3269.6622670101374</v>
      </c>
      <c r="S8" s="36">
        <v>3269.6622670101374</v>
      </c>
      <c r="T8" s="35">
        <v>4200.3291839553467</v>
      </c>
      <c r="U8" s="36">
        <v>4200.3291839553467</v>
      </c>
      <c r="V8" s="35"/>
      <c r="W8" s="36"/>
      <c r="X8" s="35"/>
      <c r="Y8" s="36"/>
      <c r="Z8" s="35"/>
      <c r="AA8" s="36"/>
      <c r="AB8" s="35"/>
      <c r="AC8" s="36"/>
      <c r="AD8" s="35"/>
      <c r="AE8" s="36"/>
      <c r="AF8" s="35"/>
      <c r="AG8" s="36"/>
      <c r="AH8" s="35"/>
      <c r="AI8" s="36"/>
      <c r="AJ8" s="35"/>
      <c r="AK8" s="36"/>
      <c r="AL8" s="35"/>
      <c r="AM8" s="36"/>
      <c r="AN8" s="35"/>
      <c r="AO8" s="36"/>
      <c r="AP8" s="35"/>
      <c r="AQ8" s="36"/>
      <c r="AR8" s="35"/>
      <c r="AS8" s="36"/>
      <c r="AT8" s="35"/>
      <c r="AU8" s="36"/>
      <c r="AV8" s="35"/>
      <c r="AW8" s="36"/>
    </row>
    <row r="9" spans="1:49" x14ac:dyDescent="0.2">
      <c r="A9" t="s">
        <v>14</v>
      </c>
      <c r="B9" s="41">
        <v>1015.9116825427475</v>
      </c>
      <c r="C9" s="42">
        <v>1005.7716594496609</v>
      </c>
      <c r="D9" s="41">
        <v>1012.1107426053545</v>
      </c>
      <c r="E9" s="42">
        <v>1129.1281355762765</v>
      </c>
      <c r="F9" s="41">
        <v>1008.1630213781112</v>
      </c>
      <c r="G9" s="42">
        <v>1274.8358340582547</v>
      </c>
      <c r="H9" s="41">
        <v>1004.0173029394954</v>
      </c>
      <c r="I9" s="42">
        <v>1448.6626148088087</v>
      </c>
      <c r="J9" s="41">
        <v>999.62403434360658</v>
      </c>
      <c r="K9" s="42">
        <v>1658.7402936818823</v>
      </c>
      <c r="L9" s="41">
        <v>994.940118127544</v>
      </c>
      <c r="M9" s="42">
        <v>1917.199859975826</v>
      </c>
      <c r="N9" s="41">
        <v>989.93805172820134</v>
      </c>
      <c r="O9" s="42">
        <v>2243.4683305774561</v>
      </c>
      <c r="P9" s="41">
        <v>984.625062603488</v>
      </c>
      <c r="Q9" s="42">
        <v>2671.6578793432977</v>
      </c>
      <c r="R9" s="41">
        <v>979.09129934079544</v>
      </c>
      <c r="S9" s="42">
        <v>3269.6622670101374</v>
      </c>
      <c r="T9" s="41">
        <v>973.65739124261472</v>
      </c>
      <c r="U9" s="42">
        <v>4200.3291839553467</v>
      </c>
      <c r="V9" s="41"/>
      <c r="W9" s="42"/>
      <c r="X9" s="41"/>
      <c r="Y9" s="42"/>
      <c r="Z9" s="41"/>
      <c r="AA9" s="42"/>
      <c r="AB9" s="41"/>
      <c r="AC9" s="42"/>
      <c r="AD9" s="41"/>
      <c r="AE9" s="42"/>
      <c r="AF9" s="41"/>
      <c r="AG9" s="42"/>
      <c r="AH9" s="41"/>
      <c r="AI9" s="42"/>
      <c r="AJ9" s="41"/>
      <c r="AK9" s="42"/>
      <c r="AL9" s="41"/>
      <c r="AM9" s="42"/>
      <c r="AN9" s="41"/>
      <c r="AO9" s="42"/>
      <c r="AP9" s="41"/>
      <c r="AQ9" s="42"/>
      <c r="AR9" s="41"/>
      <c r="AS9" s="42"/>
      <c r="AT9" s="41"/>
      <c r="AU9" s="42"/>
      <c r="AV9" s="41"/>
      <c r="AW9" s="42"/>
    </row>
    <row r="10" spans="1:49" x14ac:dyDescent="0.2">
      <c r="A10" t="s">
        <v>15</v>
      </c>
      <c r="B10" s="41">
        <v>1015.9116825427475</v>
      </c>
      <c r="C10" s="42">
        <v>1005.7716594496609</v>
      </c>
      <c r="D10" s="41">
        <v>1012.1107426053545</v>
      </c>
      <c r="E10" s="42">
        <v>1129.1281355762765</v>
      </c>
      <c r="F10" s="41">
        <v>1008.1630213781112</v>
      </c>
      <c r="G10" s="42">
        <v>1274.8358340582547</v>
      </c>
      <c r="H10" s="41">
        <v>1004.0173029394954</v>
      </c>
      <c r="I10" s="42">
        <v>1448.6626148088087</v>
      </c>
      <c r="J10" s="41">
        <v>999.62403434360658</v>
      </c>
      <c r="K10" s="42">
        <v>1658.7402936818823</v>
      </c>
      <c r="L10" s="41">
        <v>994.940118127544</v>
      </c>
      <c r="M10" s="42">
        <v>1917.199859975826</v>
      </c>
      <c r="N10" s="41">
        <v>989.93805172820134</v>
      </c>
      <c r="O10" s="42">
        <v>2243.4683305774561</v>
      </c>
      <c r="P10" s="41">
        <v>984.625062603488</v>
      </c>
      <c r="Q10" s="42">
        <v>2671.6578793432977</v>
      </c>
      <c r="R10" s="41">
        <v>979.09129934079544</v>
      </c>
      <c r="S10" s="42">
        <v>3269.6622670101374</v>
      </c>
      <c r="T10" s="41">
        <v>973.65739124261472</v>
      </c>
      <c r="U10" s="42">
        <v>4200.3291839553467</v>
      </c>
      <c r="V10" s="41"/>
      <c r="W10" s="42"/>
      <c r="X10" s="41"/>
      <c r="Y10" s="42"/>
      <c r="Z10" s="41"/>
      <c r="AA10" s="42"/>
      <c r="AB10" s="41"/>
      <c r="AC10" s="42"/>
      <c r="AD10" s="41"/>
      <c r="AE10" s="42"/>
      <c r="AF10" s="41"/>
      <c r="AG10" s="42"/>
      <c r="AH10" s="41"/>
      <c r="AI10" s="42"/>
      <c r="AJ10" s="41"/>
      <c r="AK10" s="42"/>
      <c r="AL10" s="41"/>
      <c r="AM10" s="42"/>
      <c r="AN10" s="41"/>
      <c r="AO10" s="42"/>
      <c r="AP10" s="41"/>
      <c r="AQ10" s="42"/>
      <c r="AR10" s="41"/>
      <c r="AS10" s="42"/>
      <c r="AT10" s="41"/>
      <c r="AU10" s="42"/>
      <c r="AV10" s="41"/>
      <c r="AW10" s="42"/>
    </row>
    <row r="11" spans="1:49" x14ac:dyDescent="0.2">
      <c r="A11" t="s">
        <v>29</v>
      </c>
      <c r="B11" s="41">
        <v>1015.9116825427475</v>
      </c>
      <c r="C11" s="42">
        <v>1005.7716594496609</v>
      </c>
      <c r="D11" s="41">
        <v>1012.1107426053545</v>
      </c>
      <c r="E11" s="42">
        <v>1129.1281355762765</v>
      </c>
      <c r="F11" s="41">
        <v>1008.1630213781112</v>
      </c>
      <c r="G11" s="42">
        <v>1274.8358340582547</v>
      </c>
      <c r="H11" s="41">
        <v>1004.0173029394954</v>
      </c>
      <c r="I11" s="42">
        <v>1448.6626148088087</v>
      </c>
      <c r="J11" s="41">
        <v>999.62403434360658</v>
      </c>
      <c r="K11" s="42">
        <v>1658.7402936818823</v>
      </c>
      <c r="L11" s="41">
        <v>994.940118127544</v>
      </c>
      <c r="M11" s="42">
        <v>1917.199859975826</v>
      </c>
      <c r="N11" s="41">
        <v>989.93805172820134</v>
      </c>
      <c r="O11" s="42">
        <v>2243.4683305774561</v>
      </c>
      <c r="P11" s="41">
        <v>984.625062603488</v>
      </c>
      <c r="Q11" s="42">
        <v>2671.6578793432977</v>
      </c>
      <c r="R11" s="41">
        <v>979.09129934079544</v>
      </c>
      <c r="S11" s="42">
        <v>3269.6622670101374</v>
      </c>
      <c r="T11" s="41">
        <v>973.65739124261472</v>
      </c>
      <c r="U11" s="42">
        <v>4200.3291839553467</v>
      </c>
      <c r="V11" s="41"/>
      <c r="W11" s="42"/>
      <c r="X11" s="41"/>
      <c r="Y11" s="42"/>
      <c r="Z11" s="41"/>
      <c r="AA11" s="42"/>
      <c r="AB11" s="41"/>
      <c r="AC11" s="42"/>
      <c r="AD11" s="41"/>
      <c r="AE11" s="42"/>
      <c r="AF11" s="41"/>
      <c r="AG11" s="42"/>
      <c r="AH11" s="41"/>
      <c r="AI11" s="42"/>
      <c r="AJ11" s="41"/>
      <c r="AK11" s="42"/>
      <c r="AL11" s="41"/>
      <c r="AM11" s="42"/>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c r="W12" s="42"/>
      <c r="X12" s="41"/>
      <c r="Y12" s="42"/>
      <c r="Z12" s="41"/>
      <c r="AA12" s="42"/>
      <c r="AB12" s="41"/>
      <c r="AC12" s="42"/>
      <c r="AD12" s="41"/>
      <c r="AE12" s="42"/>
      <c r="AF12" s="41"/>
      <c r="AG12" s="42"/>
      <c r="AH12" s="41"/>
      <c r="AI12" s="42"/>
      <c r="AJ12" s="41"/>
      <c r="AK12" s="42"/>
      <c r="AL12" s="41"/>
      <c r="AM12" s="42"/>
      <c r="AN12" s="41"/>
      <c r="AO12" s="42"/>
      <c r="AP12" s="41"/>
      <c r="AQ12" s="42"/>
      <c r="AR12" s="41"/>
      <c r="AS12" s="42"/>
      <c r="AT12" s="41"/>
      <c r="AU12" s="42"/>
      <c r="AV12" s="41"/>
      <c r="AW12" s="42"/>
    </row>
    <row r="13" spans="1:49" x14ac:dyDescent="0.2">
      <c r="A13" t="s">
        <v>17</v>
      </c>
      <c r="B13" s="97">
        <v>1000</v>
      </c>
      <c r="C13" s="98">
        <v>1000</v>
      </c>
      <c r="D13" s="97">
        <v>935.91470249206839</v>
      </c>
      <c r="E13" s="98">
        <v>935.91470249206839</v>
      </c>
      <c r="F13" s="97">
        <v>868.50981765597203</v>
      </c>
      <c r="G13" s="98">
        <v>868.50981765597203</v>
      </c>
      <c r="H13" s="97">
        <v>797.08208479922382</v>
      </c>
      <c r="I13" s="98">
        <v>797.08208479922382</v>
      </c>
      <c r="J13" s="97">
        <v>720.68602316112003</v>
      </c>
      <c r="K13" s="98">
        <v>720.68602316112003</v>
      </c>
      <c r="L13" s="97">
        <v>637.94602823283446</v>
      </c>
      <c r="M13" s="98">
        <v>637.94602823283446</v>
      </c>
      <c r="N13" s="97">
        <v>546.7113294418765</v>
      </c>
      <c r="O13" s="98">
        <v>546.7113294418765</v>
      </c>
      <c r="P13" s="97">
        <v>443.38913231620393</v>
      </c>
      <c r="Q13" s="98">
        <v>443.38913231620393</v>
      </c>
      <c r="R13" s="97">
        <v>321.6503890949287</v>
      </c>
      <c r="S13" s="98">
        <v>321.6503890949287</v>
      </c>
      <c r="T13" s="97">
        <v>170.63202667660516</v>
      </c>
      <c r="U13" s="98">
        <v>170.63202667660516</v>
      </c>
      <c r="V13" s="97"/>
      <c r="W13" s="98"/>
      <c r="X13" s="97"/>
      <c r="Y13" s="98"/>
      <c r="Z13" s="97"/>
      <c r="AA13" s="98"/>
      <c r="AB13" s="97"/>
      <c r="AC13" s="98"/>
      <c r="AD13" s="97"/>
      <c r="AE13" s="98"/>
      <c r="AF13" s="97"/>
      <c r="AG13" s="98"/>
      <c r="AH13" s="97"/>
      <c r="AI13" s="98"/>
      <c r="AJ13" s="97"/>
      <c r="AK13" s="98"/>
      <c r="AL13" s="97"/>
      <c r="AM13" s="98"/>
      <c r="AN13" s="97"/>
      <c r="AO13" s="98"/>
      <c r="AP13" s="97"/>
      <c r="AQ13" s="98"/>
      <c r="AR13" s="97"/>
      <c r="AS13" s="98"/>
      <c r="AT13" s="97"/>
      <c r="AU13" s="98"/>
      <c r="AV13" s="97"/>
      <c r="AW13" s="98"/>
    </row>
    <row r="14" spans="1:49" x14ac:dyDescent="0.2">
      <c r="A14" t="s">
        <v>36</v>
      </c>
      <c r="B14" s="41">
        <v>1457.0034251455234</v>
      </c>
      <c r="C14" s="42">
        <v>1457.0034251455236</v>
      </c>
      <c r="D14" s="41">
        <v>1363.6309271749969</v>
      </c>
      <c r="E14" s="42">
        <v>1363.6309271749972</v>
      </c>
      <c r="F14" s="41">
        <v>1265.421779097265</v>
      </c>
      <c r="G14" s="42">
        <v>1265.4217790972652</v>
      </c>
      <c r="H14" s="41">
        <v>1161.3513276746035</v>
      </c>
      <c r="I14" s="42">
        <v>1161.3513276746037</v>
      </c>
      <c r="J14" s="41">
        <v>1050.0420042002579</v>
      </c>
      <c r="K14" s="42">
        <v>1050.0420042002579</v>
      </c>
      <c r="L14" s="41">
        <v>929.4895481932225</v>
      </c>
      <c r="M14" s="42">
        <v>929.48954819322262</v>
      </c>
      <c r="N14" s="41">
        <v>796.56027956267667</v>
      </c>
      <c r="O14" s="42">
        <v>796.56027956267678</v>
      </c>
      <c r="P14" s="41">
        <v>646.01948445701078</v>
      </c>
      <c r="Q14" s="42">
        <v>646.01948445701089</v>
      </c>
      <c r="R14" s="41">
        <v>468.64571861070141</v>
      </c>
      <c r="S14" s="42">
        <v>468.64571861070146</v>
      </c>
      <c r="T14" s="41">
        <v>248.61144730733602</v>
      </c>
      <c r="U14" s="42">
        <v>248.61144730733605</v>
      </c>
      <c r="V14" s="41"/>
      <c r="W14" s="42"/>
      <c r="X14" s="41"/>
      <c r="Y14" s="42"/>
      <c r="Z14" s="41"/>
      <c r="AA14" s="42"/>
      <c r="AB14" s="41"/>
      <c r="AC14" s="42"/>
      <c r="AD14" s="41"/>
      <c r="AE14" s="42"/>
      <c r="AF14" s="41"/>
      <c r="AG14" s="42"/>
      <c r="AH14" s="41"/>
      <c r="AI14" s="42"/>
      <c r="AJ14" s="41"/>
      <c r="AK14" s="42"/>
      <c r="AL14" s="41"/>
      <c r="AM14" s="42"/>
      <c r="AN14" s="41"/>
      <c r="AO14" s="42"/>
      <c r="AP14" s="41"/>
      <c r="AQ14" s="42"/>
      <c r="AR14" s="41"/>
      <c r="AS14" s="42"/>
      <c r="AT14" s="41"/>
      <c r="AU14" s="42"/>
      <c r="AV14" s="41"/>
      <c r="AW14" s="42"/>
    </row>
    <row r="15" spans="1:49" x14ac:dyDescent="0.2">
      <c r="A15" t="s">
        <v>18</v>
      </c>
      <c r="B15" s="154">
        <v>1000</v>
      </c>
      <c r="C15" s="155">
        <v>1000</v>
      </c>
      <c r="D15" s="154">
        <v>1055.4826194970369</v>
      </c>
      <c r="E15" s="155">
        <v>1055.4826194970369</v>
      </c>
      <c r="F15" s="154">
        <v>1115.5188122135817</v>
      </c>
      <c r="G15" s="155">
        <v>1115.5188122135817</v>
      </c>
      <c r="H15" s="154">
        <v>1181.1373513246551</v>
      </c>
      <c r="I15" s="155">
        <v>1181.1373513246551</v>
      </c>
      <c r="J15" s="154">
        <v>1253.839323905042</v>
      </c>
      <c r="K15" s="155">
        <v>1253.839323905042</v>
      </c>
      <c r="L15" s="154">
        <v>1335.9844454801246</v>
      </c>
      <c r="M15" s="155">
        <v>1335.9844454801246</v>
      </c>
      <c r="N15" s="154">
        <v>1431.5844352959823</v>
      </c>
      <c r="O15" s="155">
        <v>1431.5844352959823</v>
      </c>
      <c r="P15" s="154">
        <v>1548.1013403032371</v>
      </c>
      <c r="Q15" s="155">
        <v>1548.1013403032371</v>
      </c>
      <c r="R15" s="154">
        <v>1701.1273883761039</v>
      </c>
      <c r="S15" s="155">
        <v>1701.1273883761039</v>
      </c>
      <c r="T15" s="154">
        <v>1929.3837101151084</v>
      </c>
      <c r="U15" s="155">
        <v>1929.3837101151084</v>
      </c>
      <c r="V15" s="154"/>
      <c r="W15" s="155"/>
      <c r="X15" s="154"/>
      <c r="Y15" s="155"/>
      <c r="Z15" s="154"/>
      <c r="AA15" s="155"/>
      <c r="AB15" s="154"/>
      <c r="AC15" s="155"/>
      <c r="AD15" s="154"/>
      <c r="AE15" s="155"/>
      <c r="AF15" s="154"/>
      <c r="AG15" s="155"/>
      <c r="AH15" s="154"/>
      <c r="AI15" s="155"/>
      <c r="AJ15" s="154"/>
      <c r="AK15" s="155"/>
      <c r="AL15" s="154"/>
      <c r="AM15" s="155"/>
      <c r="AN15" s="154"/>
      <c r="AO15" s="155"/>
      <c r="AP15" s="154"/>
      <c r="AQ15" s="155"/>
      <c r="AR15" s="154"/>
      <c r="AS15" s="155"/>
      <c r="AT15" s="154"/>
      <c r="AU15" s="155"/>
      <c r="AV15" s="154"/>
      <c r="AW15" s="155"/>
    </row>
    <row r="16" spans="1:49" s="29" customFormat="1" x14ac:dyDescent="0.2">
      <c r="A16" t="s">
        <v>61</v>
      </c>
      <c r="B16" s="41">
        <v>1000</v>
      </c>
      <c r="C16" s="42">
        <v>1000</v>
      </c>
      <c r="D16" s="41">
        <v>991.19728224849541</v>
      </c>
      <c r="E16" s="42">
        <v>1021.136342153287</v>
      </c>
      <c r="F16" s="41">
        <v>981.51714598395063</v>
      </c>
      <c r="G16" s="42">
        <v>1044.083823385409</v>
      </c>
      <c r="H16" s="41">
        <v>970.74970543248673</v>
      </c>
      <c r="I16" s="42">
        <v>1069.2629838884095</v>
      </c>
      <c r="J16" s="41">
        <v>958.6243877193898</v>
      </c>
      <c r="K16" s="42">
        <v>1097.3100658966689</v>
      </c>
      <c r="L16" s="41">
        <v>944.77075188614469</v>
      </c>
      <c r="M16" s="42">
        <v>1129.2594230988541</v>
      </c>
      <c r="N16" s="41">
        <v>928.64015301904453</v>
      </c>
      <c r="O16" s="42">
        <v>1166.9245281964299</v>
      </c>
      <c r="P16" s="41">
        <v>909.33290465517496</v>
      </c>
      <c r="Q16" s="42">
        <v>1213.7819520015616</v>
      </c>
      <c r="R16" s="41">
        <v>885.16369802623467</v>
      </c>
      <c r="S16" s="42">
        <v>1277.3543122413844</v>
      </c>
      <c r="T16" s="41">
        <v>852.32099737533702</v>
      </c>
      <c r="U16" s="42">
        <v>1377.3368557656418</v>
      </c>
      <c r="V16" s="41"/>
      <c r="W16" s="42"/>
      <c r="X16" s="41"/>
      <c r="Y16" s="42"/>
      <c r="Z16" s="41"/>
      <c r="AA16" s="42"/>
      <c r="AB16" s="41"/>
      <c r="AC16" s="42"/>
      <c r="AD16" s="41"/>
      <c r="AE16" s="42"/>
      <c r="AF16" s="41"/>
      <c r="AG16" s="42"/>
      <c r="AH16" s="41"/>
      <c r="AI16" s="42"/>
      <c r="AJ16" s="41"/>
      <c r="AK16" s="42"/>
      <c r="AL16" s="41"/>
      <c r="AM16" s="42"/>
      <c r="AN16" s="41"/>
      <c r="AO16" s="42"/>
      <c r="AP16" s="41"/>
      <c r="AQ16" s="42"/>
      <c r="AR16" s="41"/>
      <c r="AS16" s="42"/>
      <c r="AT16" s="41"/>
      <c r="AU16" s="42"/>
      <c r="AV16" s="41"/>
      <c r="AW16" s="42"/>
    </row>
    <row r="17" spans="1:49" x14ac:dyDescent="0.2">
      <c r="A17" t="s">
        <v>62</v>
      </c>
      <c r="B17" s="35">
        <v>999.99999999999977</v>
      </c>
      <c r="C17" s="36">
        <v>999.99999999999977</v>
      </c>
      <c r="D17" s="35">
        <v>996.6029828302652</v>
      </c>
      <c r="E17" s="36">
        <v>1075.0055052744808</v>
      </c>
      <c r="F17" s="35">
        <v>993.08580973696291</v>
      </c>
      <c r="G17" s="36">
        <v>1162.3108732003302</v>
      </c>
      <c r="H17" s="35">
        <v>989.40442270617814</v>
      </c>
      <c r="I17" s="36">
        <v>1265.021914595912</v>
      </c>
      <c r="J17" s="35">
        <v>985.51695020409443</v>
      </c>
      <c r="K17" s="36">
        <v>1387.5361956293891</v>
      </c>
      <c r="L17" s="35">
        <v>981.38801946413651</v>
      </c>
      <c r="M17" s="36">
        <v>1536.4550230295729</v>
      </c>
      <c r="N17" s="35">
        <v>976.99671637673657</v>
      </c>
      <c r="O17" s="36">
        <v>1722.4284753413308</v>
      </c>
      <c r="P17" s="35">
        <v>972.35313586234884</v>
      </c>
      <c r="Q17" s="36">
        <v>1964.3050759458197</v>
      </c>
      <c r="R17" s="35">
        <v>967.53948531553078</v>
      </c>
      <c r="S17" s="36">
        <v>2299.9040710811132</v>
      </c>
      <c r="T17" s="35">
        <v>962.83568479852192</v>
      </c>
      <c r="U17" s="36">
        <v>2820.7713194357129</v>
      </c>
      <c r="V17" s="35"/>
      <c r="W17" s="36"/>
      <c r="X17" s="35"/>
      <c r="Y17" s="36"/>
      <c r="Z17" s="35"/>
      <c r="AA17" s="36"/>
      <c r="AB17" s="35"/>
      <c r="AC17" s="36"/>
      <c r="AD17" s="35"/>
      <c r="AE17" s="36"/>
      <c r="AF17" s="35"/>
      <c r="AG17" s="36"/>
      <c r="AH17" s="35"/>
      <c r="AI17" s="36"/>
      <c r="AJ17" s="35"/>
      <c r="AK17" s="36"/>
      <c r="AL17" s="35"/>
      <c r="AM17" s="36"/>
      <c r="AN17" s="35"/>
      <c r="AO17" s="36"/>
      <c r="AP17" s="35"/>
      <c r="AQ17" s="36"/>
      <c r="AR17" s="35"/>
      <c r="AS17" s="36"/>
      <c r="AT17" s="35"/>
      <c r="AU17" s="36"/>
      <c r="AV17" s="35"/>
      <c r="AW17" s="36"/>
    </row>
    <row r="18" spans="1:49" x14ac:dyDescent="0.2">
      <c r="A18" t="s">
        <v>19</v>
      </c>
      <c r="B18" s="33">
        <v>27857.010133999996</v>
      </c>
      <c r="C18" s="34">
        <v>1236.7674480000003</v>
      </c>
      <c r="D18" s="33">
        <v>28473.377667502886</v>
      </c>
      <c r="E18" s="34">
        <v>1120.0878692660995</v>
      </c>
      <c r="F18" s="33">
        <v>29116.158153919063</v>
      </c>
      <c r="G18" s="34">
        <v>1002.3886485248638</v>
      </c>
      <c r="H18" s="33">
        <v>29792.132267594778</v>
      </c>
      <c r="I18" s="34">
        <v>883.50057255067475</v>
      </c>
      <c r="J18" s="33">
        <v>30510.703818575596</v>
      </c>
      <c r="K18" s="34">
        <v>763.3861418409216</v>
      </c>
      <c r="L18" s="33">
        <v>31286.005009840457</v>
      </c>
      <c r="M18" s="34">
        <v>642.21908420542479</v>
      </c>
      <c r="N18" s="33">
        <v>32141.001727696224</v>
      </c>
      <c r="O18" s="34">
        <v>520.49942294660877</v>
      </c>
      <c r="P18" s="33">
        <v>33116.559858668472</v>
      </c>
      <c r="Q18" s="34">
        <v>399.25001872034562</v>
      </c>
      <c r="R18" s="33">
        <v>34293.857344933705</v>
      </c>
      <c r="S18" s="34">
        <v>280.40063426349337</v>
      </c>
      <c r="T18" s="33">
        <v>35861.704738907909</v>
      </c>
      <c r="U18" s="34">
        <v>167.71978509168147</v>
      </c>
      <c r="V18" s="33"/>
      <c r="W18" s="34"/>
      <c r="X18" s="33"/>
      <c r="Y18" s="34"/>
      <c r="Z18" s="33"/>
      <c r="AA18" s="34"/>
      <c r="AB18" s="33"/>
      <c r="AC18" s="34"/>
      <c r="AD18" s="33"/>
      <c r="AE18" s="34"/>
      <c r="AF18" s="33"/>
      <c r="AG18" s="34"/>
      <c r="AH18" s="33"/>
      <c r="AI18" s="34"/>
      <c r="AJ18" s="33"/>
      <c r="AK18" s="34"/>
      <c r="AL18" s="33"/>
      <c r="AM18" s="34"/>
      <c r="AN18" s="33"/>
      <c r="AO18" s="34"/>
      <c r="AP18" s="33"/>
      <c r="AQ18" s="34"/>
      <c r="AR18" s="33"/>
      <c r="AS18" s="34"/>
      <c r="AT18" s="33"/>
      <c r="AU18" s="34"/>
      <c r="AV18" s="33"/>
      <c r="AW18" s="34"/>
    </row>
    <row r="19" spans="1:49" x14ac:dyDescent="0.2">
      <c r="A19" t="s">
        <v>3</v>
      </c>
      <c r="B19" s="41">
        <v>1886.3937399999918</v>
      </c>
      <c r="C19" s="42">
        <v>262.78711299999759</v>
      </c>
      <c r="D19" s="41">
        <v>1910.857767136725</v>
      </c>
      <c r="E19" s="42">
        <v>294.27696030867554</v>
      </c>
      <c r="F19" s="41">
        <v>1935.7311080717752</v>
      </c>
      <c r="G19" s="42">
        <v>331.45016124569287</v>
      </c>
      <c r="H19" s="41">
        <v>1961.1395564559309</v>
      </c>
      <c r="I19" s="42">
        <v>375.34795984653579</v>
      </c>
      <c r="J19" s="41">
        <v>1987.3494546616914</v>
      </c>
      <c r="K19" s="42">
        <v>427.14240776007972</v>
      </c>
      <c r="L19" s="41">
        <v>2014.9141267929831</v>
      </c>
      <c r="M19" s="42">
        <v>488.13163452390836</v>
      </c>
      <c r="N19" s="41">
        <v>2044.9598023703938</v>
      </c>
      <c r="O19" s="42">
        <v>559.72559638515384</v>
      </c>
      <c r="P19" s="41">
        <v>2079.8164440703063</v>
      </c>
      <c r="Q19" s="42">
        <v>643.39672723349838</v>
      </c>
      <c r="R19" s="41">
        <v>2124.5925535368024</v>
      </c>
      <c r="S19" s="42">
        <v>740.48719060248743</v>
      </c>
      <c r="T19" s="41">
        <v>2191.9768460790369</v>
      </c>
      <c r="U19" s="42">
        <v>851.34635749437257</v>
      </c>
      <c r="V19" s="41"/>
      <c r="W19" s="42"/>
      <c r="X19" s="41"/>
      <c r="Y19" s="42"/>
      <c r="Z19" s="41"/>
      <c r="AA19" s="42"/>
      <c r="AB19" s="41"/>
      <c r="AC19" s="42"/>
      <c r="AD19" s="41"/>
      <c r="AE19" s="42"/>
      <c r="AF19" s="41"/>
      <c r="AG19" s="42"/>
      <c r="AH19" s="41"/>
      <c r="AI19" s="42"/>
      <c r="AJ19" s="41"/>
      <c r="AK19" s="42"/>
      <c r="AL19" s="41"/>
      <c r="AM19" s="42"/>
      <c r="AN19" s="41"/>
      <c r="AO19" s="42"/>
      <c r="AP19" s="41"/>
      <c r="AQ19" s="42"/>
      <c r="AR19" s="41"/>
      <c r="AS19" s="42"/>
      <c r="AT19" s="41"/>
      <c r="AU19" s="42"/>
      <c r="AV19" s="41"/>
      <c r="AW19" s="42"/>
    </row>
    <row r="20" spans="1:49" x14ac:dyDescent="0.2">
      <c r="A20" t="s">
        <v>127</v>
      </c>
      <c r="B20" s="82">
        <v>26548.356269999993</v>
      </c>
      <c r="C20" s="83">
        <v>1408.5418709999938</v>
      </c>
      <c r="D20" s="82">
        <v>27095.021037497256</v>
      </c>
      <c r="E20" s="83">
        <v>1338.1147070229006</v>
      </c>
      <c r="F20" s="82">
        <v>27663.090748326151</v>
      </c>
      <c r="G20" s="83">
        <v>1267.6876838999942</v>
      </c>
      <c r="H20" s="82">
        <v>28258.122563323148</v>
      </c>
      <c r="I20" s="83">
        <v>1197.2605903499946</v>
      </c>
      <c r="J20" s="82">
        <v>28888.038923188928</v>
      </c>
      <c r="K20" s="83">
        <v>1126.8334967999949</v>
      </c>
      <c r="L20" s="82">
        <v>29565.134264912893</v>
      </c>
      <c r="M20" s="83">
        <v>1056.4064032499953</v>
      </c>
      <c r="N20" s="82">
        <v>30310.000169253301</v>
      </c>
      <c r="O20" s="83">
        <v>985.97930969999561</v>
      </c>
      <c r="P20" s="82">
        <v>31160.214258572647</v>
      </c>
      <c r="Q20" s="83">
        <v>915.55221614999607</v>
      </c>
      <c r="R20" s="82">
        <v>32191.889793593848</v>
      </c>
      <c r="S20" s="83">
        <v>845.12512259999642</v>
      </c>
      <c r="T20" s="82">
        <v>33584.650409473375</v>
      </c>
      <c r="U20" s="83">
        <v>774.69802904999653</v>
      </c>
      <c r="V20" s="82"/>
      <c r="W20" s="83"/>
      <c r="X20" s="82"/>
      <c r="Y20" s="83"/>
      <c r="Z20" s="82"/>
      <c r="AA20" s="83"/>
      <c r="AB20" s="82"/>
      <c r="AC20" s="83"/>
      <c r="AD20" s="82"/>
      <c r="AE20" s="83"/>
      <c r="AF20" s="82"/>
      <c r="AG20" s="83"/>
      <c r="AH20" s="82"/>
      <c r="AI20" s="83"/>
      <c r="AJ20" s="82"/>
      <c r="AK20" s="83"/>
      <c r="AL20" s="82"/>
      <c r="AM20" s="83"/>
      <c r="AN20" s="82"/>
      <c r="AO20" s="83"/>
      <c r="AP20" s="82"/>
      <c r="AQ20" s="83"/>
      <c r="AR20" s="82"/>
      <c r="AS20" s="83"/>
      <c r="AT20" s="82"/>
      <c r="AU20" s="83"/>
      <c r="AV20" s="82"/>
      <c r="AW20" s="83"/>
    </row>
    <row r="21" spans="1:49" x14ac:dyDescent="0.2">
      <c r="A21" t="s">
        <v>76</v>
      </c>
      <c r="B21" s="82">
        <v>24661.962529999968</v>
      </c>
      <c r="C21" s="83">
        <v>1145.7547579999991</v>
      </c>
      <c r="D21" s="82">
        <v>25184.192281467367</v>
      </c>
      <c r="E21" s="83">
        <v>1044.988240103331</v>
      </c>
      <c r="F21" s="82">
        <v>25727.482737077837</v>
      </c>
      <c r="G21" s="83">
        <v>941.363215998898</v>
      </c>
      <c r="H21" s="82">
        <v>26297.279298711965</v>
      </c>
      <c r="I21" s="83">
        <v>834.79909209790947</v>
      </c>
      <c r="J21" s="82">
        <v>26901.257441435468</v>
      </c>
      <c r="K21" s="83">
        <v>725.36444507405633</v>
      </c>
      <c r="L21" s="82">
        <v>27551.183821385472</v>
      </c>
      <c r="M21" s="83">
        <v>613.35230486940134</v>
      </c>
      <c r="N21" s="82">
        <v>28266.555825458185</v>
      </c>
      <c r="O21" s="83">
        <v>499.39092433951043</v>
      </c>
      <c r="P21" s="82">
        <v>29082.658345862023</v>
      </c>
      <c r="Q21" s="83">
        <v>384.62995105478689</v>
      </c>
      <c r="R21" s="82">
        <v>30070.531805089518</v>
      </c>
      <c r="S21" s="83">
        <v>271.11153314134901</v>
      </c>
      <c r="T21" s="82">
        <v>31397.117575978558</v>
      </c>
      <c r="U21" s="83">
        <v>162.6763120043409</v>
      </c>
      <c r="V21" s="82"/>
      <c r="W21" s="83"/>
      <c r="X21" s="82"/>
      <c r="Y21" s="83"/>
      <c r="Z21" s="82"/>
      <c r="AA21" s="83"/>
      <c r="AB21" s="82"/>
      <c r="AC21" s="83"/>
      <c r="AD21" s="82"/>
      <c r="AE21" s="83"/>
      <c r="AF21" s="82"/>
      <c r="AG21" s="83"/>
      <c r="AH21" s="82"/>
      <c r="AI21" s="83"/>
      <c r="AJ21" s="82"/>
      <c r="AK21" s="83"/>
      <c r="AL21" s="82"/>
      <c r="AM21" s="83"/>
      <c r="AN21" s="82"/>
      <c r="AO21" s="83"/>
      <c r="AP21" s="82"/>
      <c r="AQ21" s="83"/>
      <c r="AR21" s="82"/>
      <c r="AS21" s="83"/>
      <c r="AT21" s="82"/>
      <c r="AU21" s="83"/>
      <c r="AV21" s="82"/>
      <c r="AW21" s="83"/>
    </row>
    <row r="22" spans="1:49" x14ac:dyDescent="0.2">
      <c r="A22" t="s">
        <v>28</v>
      </c>
      <c r="B22" s="41">
        <v>6533.6044688320644</v>
      </c>
      <c r="C22" s="42">
        <v>379.90788307663382</v>
      </c>
      <c r="D22" s="41">
        <v>6667.9537015953065</v>
      </c>
      <c r="E22" s="42">
        <v>360.47592964278203</v>
      </c>
      <c r="F22" s="41">
        <v>6805.9560915504262</v>
      </c>
      <c r="G22" s="42">
        <v>340.86606917070037</v>
      </c>
      <c r="H22" s="41">
        <v>6948.6346695425764</v>
      </c>
      <c r="I22" s="42">
        <v>321.09944052045131</v>
      </c>
      <c r="J22" s="41">
        <v>7097.480300031646</v>
      </c>
      <c r="K22" s="42">
        <v>301.16723332216617</v>
      </c>
      <c r="L22" s="41">
        <v>7254.8859129575703</v>
      </c>
      <c r="M22" s="42">
        <v>281.01375558649482</v>
      </c>
      <c r="N22" s="41">
        <v>7425.005631479984</v>
      </c>
      <c r="O22" s="42">
        <v>260.51004668686079</v>
      </c>
      <c r="P22" s="41">
        <v>7615.666889735171</v>
      </c>
      <c r="Q22" s="42">
        <v>239.40588908246795</v>
      </c>
      <c r="R22" s="41">
        <v>7843.13953606429</v>
      </c>
      <c r="S22" s="42">
        <v>217.22674050121503</v>
      </c>
      <c r="T22" s="41">
        <v>8146.5477616507196</v>
      </c>
      <c r="U22" s="42">
        <v>193.00408556853841</v>
      </c>
      <c r="V22" s="41"/>
      <c r="W22" s="42"/>
      <c r="X22" s="41"/>
      <c r="Y22" s="42"/>
      <c r="Z22" s="41"/>
      <c r="AA22" s="42"/>
      <c r="AB22" s="41"/>
      <c r="AC22" s="42"/>
      <c r="AD22" s="41"/>
      <c r="AE22" s="42"/>
      <c r="AF22" s="41"/>
      <c r="AG22" s="42"/>
      <c r="AH22" s="41"/>
      <c r="AI22" s="42"/>
      <c r="AJ22" s="41"/>
      <c r="AK22" s="42"/>
      <c r="AL22" s="41"/>
      <c r="AM22" s="42"/>
      <c r="AN22" s="41"/>
      <c r="AO22" s="42"/>
      <c r="AP22" s="41"/>
      <c r="AQ22" s="42"/>
      <c r="AR22" s="41"/>
      <c r="AS22" s="42"/>
      <c r="AT22" s="41"/>
      <c r="AU22" s="42"/>
      <c r="AV22" s="41"/>
      <c r="AW22" s="42"/>
    </row>
    <row r="23" spans="1:49" x14ac:dyDescent="0.2">
      <c r="A23" t="s">
        <v>7</v>
      </c>
      <c r="B23" s="116">
        <v>3278.5018080150408</v>
      </c>
      <c r="C23" s="8">
        <v>0</v>
      </c>
      <c r="D23" s="116">
        <v>3354.6014236627325</v>
      </c>
      <c r="E23" s="8">
        <v>0</v>
      </c>
      <c r="F23" s="116">
        <v>3433.7816654714006</v>
      </c>
      <c r="G23" s="8">
        <v>0</v>
      </c>
      <c r="H23" s="116">
        <v>3516.7924835850977</v>
      </c>
      <c r="I23" s="8">
        <v>0</v>
      </c>
      <c r="J23" s="116">
        <v>3604.7073595235938</v>
      </c>
      <c r="K23" s="8">
        <v>0</v>
      </c>
      <c r="L23" s="116">
        <v>3699.2037393743099</v>
      </c>
      <c r="M23" s="8">
        <v>0</v>
      </c>
      <c r="N23" s="116">
        <v>3803.1173509139344</v>
      </c>
      <c r="O23" s="8">
        <v>0</v>
      </c>
      <c r="P23" s="116">
        <v>3921.6762681373566</v>
      </c>
      <c r="Q23" s="8">
        <v>0</v>
      </c>
      <c r="R23" s="116">
        <v>4065.5852405055448</v>
      </c>
      <c r="S23" s="8">
        <v>0</v>
      </c>
      <c r="T23" s="116">
        <v>4260.4036343822427</v>
      </c>
      <c r="U23" s="8">
        <v>0</v>
      </c>
      <c r="V23" s="116"/>
      <c r="W23" s="8"/>
      <c r="X23" s="116"/>
      <c r="Y23" s="8"/>
      <c r="Z23" s="116"/>
      <c r="AA23" s="8"/>
      <c r="AB23" s="116"/>
      <c r="AC23" s="8"/>
      <c r="AD23" s="116"/>
      <c r="AE23" s="8"/>
      <c r="AF23" s="116"/>
      <c r="AG23" s="8"/>
      <c r="AH23" s="116"/>
      <c r="AI23" s="8"/>
      <c r="AJ23" s="116"/>
      <c r="AK23" s="8"/>
      <c r="AL23" s="116"/>
      <c r="AM23" s="8"/>
      <c r="AN23" s="116"/>
      <c r="AO23" s="8"/>
      <c r="AP23" s="116"/>
      <c r="AQ23" s="8"/>
      <c r="AR23" s="116"/>
      <c r="AS23" s="8"/>
      <c r="AT23" s="116"/>
      <c r="AU23" s="8"/>
      <c r="AV23" s="116"/>
      <c r="AW23" s="8"/>
    </row>
    <row r="24" spans="1:49" x14ac:dyDescent="0.2">
      <c r="A24" t="s">
        <v>8</v>
      </c>
      <c r="B24" s="97">
        <v>3196.3846373657216</v>
      </c>
      <c r="C24" s="8">
        <v>0</v>
      </c>
      <c r="D24" s="97">
        <v>3270.5781775134865</v>
      </c>
      <c r="E24" s="8">
        <v>0</v>
      </c>
      <c r="F24" s="97">
        <v>3347.7751727986583</v>
      </c>
      <c r="G24" s="8">
        <v>0</v>
      </c>
      <c r="H24" s="97">
        <v>3428.7068041978105</v>
      </c>
      <c r="I24" s="8">
        <v>0</v>
      </c>
      <c r="J24" s="97">
        <v>3514.4196777670327</v>
      </c>
      <c r="K24" s="8">
        <v>0</v>
      </c>
      <c r="L24" s="97">
        <v>3606.549174427591</v>
      </c>
      <c r="M24" s="8">
        <v>0</v>
      </c>
      <c r="N24" s="97">
        <v>3707.8600454334819</v>
      </c>
      <c r="O24" s="8">
        <v>0</v>
      </c>
      <c r="P24" s="97">
        <v>3823.4493843487858</v>
      </c>
      <c r="Q24" s="8">
        <v>0</v>
      </c>
      <c r="R24" s="97">
        <v>3963.7538435256761</v>
      </c>
      <c r="S24" s="8">
        <v>0</v>
      </c>
      <c r="T24" s="97">
        <v>4153.6926054695314</v>
      </c>
      <c r="U24" s="8">
        <v>0</v>
      </c>
      <c r="V24" s="97"/>
      <c r="W24" s="8"/>
      <c r="X24" s="97"/>
      <c r="Y24" s="8"/>
      <c r="Z24" s="97"/>
      <c r="AA24" s="8"/>
      <c r="AB24" s="97"/>
      <c r="AC24" s="8"/>
      <c r="AD24" s="97"/>
      <c r="AE24" s="8"/>
      <c r="AF24" s="97"/>
      <c r="AG24" s="8"/>
      <c r="AH24" s="97"/>
      <c r="AI24" s="8"/>
      <c r="AJ24" s="97"/>
      <c r="AK24" s="8"/>
      <c r="AL24" s="97"/>
      <c r="AM24" s="8"/>
      <c r="AN24" s="97"/>
      <c r="AO24" s="8"/>
      <c r="AP24" s="97"/>
      <c r="AQ24" s="8"/>
      <c r="AR24" s="97"/>
      <c r="AS24" s="8"/>
      <c r="AT24" s="97"/>
      <c r="AU24" s="8"/>
      <c r="AV24" s="97"/>
      <c r="AW24" s="8"/>
    </row>
    <row r="25" spans="1:49" x14ac:dyDescent="0.2">
      <c r="A25" t="s">
        <v>0</v>
      </c>
      <c r="B25" s="41">
        <v>3195.0476040000012</v>
      </c>
      <c r="C25" s="42">
        <v>91.012690000004397</v>
      </c>
      <c r="D25" s="41">
        <v>3289.1380660464674</v>
      </c>
      <c r="E25" s="42">
        <v>74.912706293864289</v>
      </c>
      <c r="F25" s="41">
        <v>3388.4725674585111</v>
      </c>
      <c r="G25" s="42">
        <v>60.352215664493151</v>
      </c>
      <c r="H25" s="41">
        <v>3494.359239263189</v>
      </c>
      <c r="I25" s="42">
        <v>47.361172353952547</v>
      </c>
      <c r="J25" s="41">
        <v>3608.4885759318272</v>
      </c>
      <c r="K25" s="42">
        <v>35.959568292297469</v>
      </c>
      <c r="L25" s="41">
        <v>3733.1754348630288</v>
      </c>
      <c r="M25" s="42">
        <v>26.155496646601385</v>
      </c>
      <c r="N25" s="41">
        <v>3871.8223816568684</v>
      </c>
      <c r="O25" s="42">
        <v>17.94484986616304</v>
      </c>
      <c r="P25" s="41">
        <v>4029.9309672319355</v>
      </c>
      <c r="Q25" s="42">
        <v>11.313364022502947</v>
      </c>
      <c r="R25" s="41">
        <v>4217.5571301995669</v>
      </c>
      <c r="S25" s="42">
        <v>6.2406471111383359</v>
      </c>
      <c r="T25" s="41">
        <v>4456.5420511112561</v>
      </c>
      <c r="U25" s="42">
        <v>2.7052022553220594</v>
      </c>
      <c r="V25" s="41"/>
      <c r="W25" s="42"/>
      <c r="X25" s="41"/>
      <c r="Y25" s="42"/>
      <c r="Z25" s="41"/>
      <c r="AA25" s="42"/>
      <c r="AB25" s="41"/>
      <c r="AC25" s="42"/>
      <c r="AD25" s="41"/>
      <c r="AE25" s="42"/>
      <c r="AF25" s="41"/>
      <c r="AG25" s="42"/>
      <c r="AH25" s="41"/>
      <c r="AI25" s="42"/>
      <c r="AJ25" s="41"/>
      <c r="AK25" s="42"/>
      <c r="AL25" s="41"/>
      <c r="AM25" s="42"/>
      <c r="AN25" s="41"/>
      <c r="AO25" s="42"/>
      <c r="AP25" s="41"/>
      <c r="AQ25" s="42"/>
      <c r="AR25" s="41"/>
      <c r="AS25" s="42"/>
      <c r="AT25" s="41"/>
      <c r="AU25" s="42"/>
      <c r="AV25" s="41"/>
      <c r="AW25" s="42"/>
    </row>
    <row r="26" spans="1:49" x14ac:dyDescent="0.2">
      <c r="A26" t="s">
        <v>27</v>
      </c>
      <c r="B26" s="33">
        <v>5036.2953101960647</v>
      </c>
      <c r="C26" s="34">
        <v>74.905331803938267</v>
      </c>
      <c r="D26" s="33">
        <v>5243.6382458908956</v>
      </c>
      <c r="E26" s="34">
        <v>68.582823155442256</v>
      </c>
      <c r="F26" s="33">
        <v>5475.3854684305752</v>
      </c>
      <c r="G26" s="34">
        <v>62.153833122239874</v>
      </c>
      <c r="H26" s="33">
        <v>5739.3324667732149</v>
      </c>
      <c r="I26" s="34">
        <v>55.59564801733719</v>
      </c>
      <c r="J26" s="33">
        <v>6047.4616906334913</v>
      </c>
      <c r="K26" s="34">
        <v>48.889485834397391</v>
      </c>
      <c r="L26" s="33">
        <v>6419.6991508970759</v>
      </c>
      <c r="M26" s="34">
        <v>42.024898086742667</v>
      </c>
      <c r="N26" s="33">
        <v>6892.7022485169427</v>
      </c>
      <c r="O26" s="34">
        <v>35.006770745442928</v>
      </c>
      <c r="P26" s="33">
        <v>7544.0288495882396</v>
      </c>
      <c r="Q26" s="34">
        <v>27.868594698672553</v>
      </c>
      <c r="R26" s="33">
        <v>8577.7287537601023</v>
      </c>
      <c r="S26" s="34">
        <v>20.704163599199209</v>
      </c>
      <c r="T26" s="33">
        <v>10812.659658569088</v>
      </c>
      <c r="U26" s="34">
        <v>13.7880501819219</v>
      </c>
      <c r="V26" s="33"/>
      <c r="W26" s="34"/>
      <c r="X26" s="33"/>
      <c r="Y26" s="34"/>
      <c r="Z26" s="33"/>
      <c r="AA26" s="34"/>
      <c r="AB26" s="33"/>
      <c r="AC26" s="34"/>
      <c r="AD26" s="33"/>
      <c r="AE26" s="34"/>
      <c r="AF26" s="33"/>
      <c r="AG26" s="34"/>
      <c r="AH26" s="33"/>
      <c r="AI26" s="34"/>
      <c r="AJ26" s="33"/>
      <c r="AK26" s="34"/>
      <c r="AL26" s="33"/>
      <c r="AM26" s="34"/>
      <c r="AN26" s="33"/>
      <c r="AO26" s="34"/>
      <c r="AP26" s="33"/>
      <c r="AQ26" s="34"/>
      <c r="AR26" s="33"/>
      <c r="AS26" s="34"/>
      <c r="AT26" s="33"/>
      <c r="AU26" s="34"/>
      <c r="AV26" s="33"/>
      <c r="AW26" s="34"/>
    </row>
    <row r="27" spans="1:49" x14ac:dyDescent="0.2">
      <c r="A27" t="s">
        <v>2</v>
      </c>
      <c r="B27" s="35">
        <v>6425.1981590000069</v>
      </c>
      <c r="C27" s="36">
        <v>273.22915400000028</v>
      </c>
      <c r="D27" s="35">
        <v>6452.731673595702</v>
      </c>
      <c r="E27" s="36">
        <v>245.69564197854436</v>
      </c>
      <c r="F27" s="35">
        <v>6480.065548097572</v>
      </c>
      <c r="G27" s="36">
        <v>218.36192428366923</v>
      </c>
      <c r="H27" s="35">
        <v>6507.2506397181405</v>
      </c>
      <c r="I27" s="36">
        <v>191.17695053894829</v>
      </c>
      <c r="J27" s="35">
        <v>6534.3083457239536</v>
      </c>
      <c r="K27" s="36">
        <v>164.11767981943095</v>
      </c>
      <c r="L27" s="35">
        <v>6561.2229298602833</v>
      </c>
      <c r="M27" s="36">
        <v>137.20449415252344</v>
      </c>
      <c r="N27" s="35">
        <v>6587.9031970214573</v>
      </c>
      <c r="O27" s="36">
        <v>110.52423159378037</v>
      </c>
      <c r="P27" s="35">
        <v>6614.1558915680398</v>
      </c>
      <c r="Q27" s="36">
        <v>84.270833403568375</v>
      </c>
      <c r="R27" s="35">
        <v>6639.6008783853231</v>
      </c>
      <c r="S27" s="36">
        <v>58.825975851923538</v>
      </c>
      <c r="T27" s="35">
        <v>6663.4720757029399</v>
      </c>
      <c r="U27" s="36">
        <v>34.955334393783176</v>
      </c>
      <c r="V27" s="35"/>
      <c r="W27" s="36"/>
      <c r="X27" s="35"/>
      <c r="Y27" s="36"/>
      <c r="Z27" s="35"/>
      <c r="AA27" s="36"/>
      <c r="AB27" s="35"/>
      <c r="AC27" s="36"/>
      <c r="AD27" s="35"/>
      <c r="AE27" s="36"/>
      <c r="AF27" s="35"/>
      <c r="AG27" s="36"/>
      <c r="AH27" s="35"/>
      <c r="AI27" s="36"/>
      <c r="AJ27" s="35"/>
      <c r="AK27" s="36"/>
      <c r="AL27" s="35"/>
      <c r="AM27" s="36"/>
      <c r="AN27" s="35"/>
      <c r="AO27" s="36"/>
      <c r="AP27" s="35"/>
      <c r="AQ27" s="36"/>
      <c r="AR27" s="35"/>
      <c r="AS27" s="36"/>
      <c r="AT27" s="35"/>
      <c r="AU27" s="36"/>
      <c r="AV27" s="35"/>
      <c r="AW27" s="36"/>
    </row>
    <row r="28" spans="1:49" x14ac:dyDescent="0.2">
      <c r="A28" t="s">
        <v>35</v>
      </c>
      <c r="B28" s="41">
        <v>13763.097676000023</v>
      </c>
      <c r="C28" s="42">
        <v>382.36647899999997</v>
      </c>
      <c r="D28" s="41">
        <v>14085.120636941083</v>
      </c>
      <c r="E28" s="42">
        <v>345.5455682877697</v>
      </c>
      <c r="F28" s="41">
        <v>14423.901969806149</v>
      </c>
      <c r="G28" s="42">
        <v>308.63197178767678</v>
      </c>
      <c r="H28" s="41">
        <v>14783.767810580304</v>
      </c>
      <c r="I28" s="42">
        <v>271.56305035248397</v>
      </c>
      <c r="J28" s="41">
        <v>15170.760616410616</v>
      </c>
      <c r="K28" s="42">
        <v>234.31226827771428</v>
      </c>
      <c r="L28" s="41">
        <v>15593.978885837128</v>
      </c>
      <c r="M28" s="42">
        <v>196.91203774839448</v>
      </c>
      <c r="N28" s="41">
        <v>16068.218226588224</v>
      </c>
      <c r="O28" s="42">
        <v>159.48741219883041</v>
      </c>
      <c r="P28" s="41">
        <v>16619.847186351017</v>
      </c>
      <c r="Q28" s="42">
        <v>122.31475863078428</v>
      </c>
      <c r="R28" s="41">
        <v>17301.572771983829</v>
      </c>
      <c r="S28" s="42">
        <v>85.938096401332771</v>
      </c>
      <c r="T28" s="41">
        <v>18237.901134579512</v>
      </c>
      <c r="U28" s="42">
        <v>51.454457223032577</v>
      </c>
      <c r="V28" s="41"/>
      <c r="W28" s="42"/>
      <c r="X28" s="41"/>
      <c r="Y28" s="42"/>
      <c r="Z28" s="41"/>
      <c r="AA28" s="42"/>
      <c r="AB28" s="41"/>
      <c r="AC28" s="42"/>
      <c r="AD28" s="41"/>
      <c r="AE28" s="42"/>
      <c r="AF28" s="41"/>
      <c r="AG28" s="42"/>
      <c r="AH28" s="41"/>
      <c r="AI28" s="42"/>
      <c r="AJ28" s="41"/>
      <c r="AK28" s="42"/>
      <c r="AL28" s="41"/>
      <c r="AM28" s="42"/>
      <c r="AN28" s="41"/>
      <c r="AO28" s="42"/>
      <c r="AP28" s="41"/>
      <c r="AQ28" s="42"/>
      <c r="AR28" s="41"/>
      <c r="AS28" s="42"/>
      <c r="AT28" s="41"/>
      <c r="AU28" s="42"/>
      <c r="AV28" s="41"/>
      <c r="AW28" s="42"/>
    </row>
    <row r="29" spans="1:49" x14ac:dyDescent="0.2">
      <c r="A29" t="s">
        <v>53</v>
      </c>
      <c r="B29" s="35">
        <v>14362.768558000025</v>
      </c>
      <c r="C29" s="36">
        <v>817.26650999999993</v>
      </c>
      <c r="D29" s="35">
        <v>14678.849617629572</v>
      </c>
      <c r="E29" s="36">
        <v>733.83487730782281</v>
      </c>
      <c r="F29" s="35">
        <v>15008.334859483715</v>
      </c>
      <c r="G29" s="36">
        <v>650.88076541542068</v>
      </c>
      <c r="H29" s="35">
        <v>15354.668981827599</v>
      </c>
      <c r="I29" s="36">
        <v>568.36572422969596</v>
      </c>
      <c r="J29" s="35">
        <v>15722.63815576197</v>
      </c>
      <c r="K29" s="36">
        <v>486.33950606568635</v>
      </c>
      <c r="L29" s="35">
        <v>16119.454254869916</v>
      </c>
      <c r="M29" s="36">
        <v>404.98635528996363</v>
      </c>
      <c r="N29" s="35">
        <v>16556.871572552383</v>
      </c>
      <c r="O29" s="36">
        <v>324.69305446006757</v>
      </c>
      <c r="P29" s="35">
        <v>17055.863763960853</v>
      </c>
      <c r="Q29" s="36">
        <v>246.16665285947826</v>
      </c>
      <c r="R29" s="35">
        <v>17658.193772287897</v>
      </c>
      <c r="S29" s="36">
        <v>170.66514237621959</v>
      </c>
      <c r="T29" s="35">
        <v>18461.185230987576</v>
      </c>
      <c r="U29" s="36">
        <v>100.5520498116211</v>
      </c>
      <c r="V29" s="35"/>
      <c r="W29" s="36"/>
      <c r="X29" s="35"/>
      <c r="Y29" s="36"/>
      <c r="Z29" s="35"/>
      <c r="AA29" s="36"/>
      <c r="AB29" s="35"/>
      <c r="AC29" s="36"/>
      <c r="AD29" s="35"/>
      <c r="AE29" s="36"/>
      <c r="AF29" s="35"/>
      <c r="AG29" s="36"/>
      <c r="AH29" s="35"/>
      <c r="AI29" s="36"/>
      <c r="AJ29" s="35"/>
      <c r="AK29" s="36"/>
      <c r="AL29" s="35"/>
      <c r="AM29" s="36"/>
      <c r="AN29" s="35"/>
      <c r="AO29" s="36"/>
      <c r="AP29" s="35"/>
      <c r="AQ29" s="36"/>
      <c r="AR29" s="35"/>
      <c r="AS29" s="36"/>
      <c r="AT29" s="35"/>
      <c r="AU29" s="36"/>
      <c r="AV29" s="35"/>
      <c r="AW29" s="36"/>
    </row>
    <row r="30" spans="1:49" x14ac:dyDescent="0.2">
      <c r="A30" t="s">
        <v>48</v>
      </c>
      <c r="B30" s="119">
        <v>2924829.9599999995</v>
      </c>
      <c r="D30" s="119">
        <v>2978203.3656643028</v>
      </c>
      <c r="F30" s="119">
        <v>3032990.7427696721</v>
      </c>
      <c r="H30" s="119">
        <v>3089552.1001926195</v>
      </c>
      <c r="J30" s="119">
        <v>3148472.5048665856</v>
      </c>
      <c r="L30" s="119">
        <v>3210782.2156429058</v>
      </c>
      <c r="N30" s="119">
        <v>3278404.1891590981</v>
      </c>
      <c r="P30" s="119">
        <v>3355122.1635344652</v>
      </c>
      <c r="R30" s="119">
        <v>3449013.8430606341</v>
      </c>
      <c r="T30" s="119">
        <v>3579822.0560370823</v>
      </c>
      <c r="V30" s="119"/>
      <c r="X30" s="119"/>
      <c r="Z30" s="119"/>
      <c r="AB30" s="119"/>
      <c r="AD30" s="119"/>
      <c r="AF30" s="119"/>
      <c r="AH30" s="119"/>
      <c r="AJ30" s="119"/>
      <c r="AL30" s="119"/>
      <c r="AN30" s="119"/>
      <c r="AP30" s="119"/>
      <c r="AR30" s="119"/>
      <c r="AT30" s="119"/>
      <c r="AV30" s="119"/>
    </row>
    <row r="31" spans="1:49" x14ac:dyDescent="0.2">
      <c r="A31" t="s">
        <v>47</v>
      </c>
      <c r="B31" s="80">
        <v>1</v>
      </c>
      <c r="D31" s="80">
        <v>1.0164333889004658</v>
      </c>
      <c r="F31" s="80">
        <v>1.0328649531634537</v>
      </c>
      <c r="H31" s="80">
        <v>1.0493512048708131</v>
      </c>
      <c r="J31" s="80">
        <v>1.0659832818976842</v>
      </c>
      <c r="L31" s="80">
        <v>1.0829272865426618</v>
      </c>
      <c r="N31" s="80">
        <v>1.1005039494380469</v>
      </c>
      <c r="P31" s="80">
        <v>1.1193675031679922</v>
      </c>
      <c r="R31" s="80">
        <v>1.1409504337059968</v>
      </c>
      <c r="T31" s="80">
        <v>1.1687941081920104</v>
      </c>
      <c r="V31" s="80"/>
      <c r="X31" s="80"/>
      <c r="Z31" s="80"/>
      <c r="AB31" s="80"/>
      <c r="AD31" s="80"/>
      <c r="AF31" s="80"/>
      <c r="AH31" s="80"/>
      <c r="AJ31" s="80"/>
      <c r="AL31" s="80"/>
      <c r="AN31" s="80"/>
      <c r="AP31" s="80"/>
      <c r="AR31" s="80"/>
      <c r="AT31" s="80"/>
      <c r="AV31" s="80"/>
    </row>
    <row r="32" spans="1:49" x14ac:dyDescent="0.2">
      <c r="A32" t="s">
        <v>64</v>
      </c>
      <c r="B32" s="86">
        <v>14734457.915000005</v>
      </c>
      <c r="D32" s="86">
        <v>15020062.577872667</v>
      </c>
      <c r="F32" s="86">
        <v>15314619.881740894</v>
      </c>
      <c r="H32" s="86">
        <v>15620348.552946666</v>
      </c>
      <c r="J32" s="86">
        <v>15940776.88806353</v>
      </c>
      <c r="L32" s="86">
        <v>16282008.41736302</v>
      </c>
      <c r="N32" s="86">
        <v>16655225.811519645</v>
      </c>
      <c r="P32" s="86">
        <v>17082263.108402848</v>
      </c>
      <c r="R32" s="86">
        <v>17609581.825882148</v>
      </c>
      <c r="T32" s="86">
        <v>18350998.17882989</v>
      </c>
      <c r="V32" s="86"/>
      <c r="X32" s="86"/>
      <c r="Z32" s="86"/>
      <c r="AB32" s="86"/>
      <c r="AD32" s="86"/>
      <c r="AF32" s="86"/>
      <c r="AH32" s="86"/>
      <c r="AJ32" s="86"/>
      <c r="AL32" s="86"/>
      <c r="AN32" s="86"/>
      <c r="AP32" s="86"/>
      <c r="AR32" s="86"/>
      <c r="AT32" s="86"/>
      <c r="AV32" s="86"/>
    </row>
    <row r="33" spans="1:49 16319:16321" x14ac:dyDescent="0.2">
      <c r="A33" t="s">
        <v>54</v>
      </c>
      <c r="B33" s="117">
        <v>7019665.6909999885</v>
      </c>
      <c r="D33" s="117">
        <v>7155731.0869374275</v>
      </c>
      <c r="F33" s="117">
        <v>7296061.5362176243</v>
      </c>
      <c r="H33" s="117">
        <v>7441714.1951440098</v>
      </c>
      <c r="J33" s="117">
        <v>7594370.1162400721</v>
      </c>
      <c r="L33" s="117">
        <v>7756936.5801015683</v>
      </c>
      <c r="N33" s="117">
        <v>7934741.6484374404</v>
      </c>
      <c r="P33" s="117">
        <v>8138187.1180011667</v>
      </c>
      <c r="R33" s="117">
        <v>8389407.7560787722</v>
      </c>
      <c r="T33" s="117">
        <v>8742627.1344783492</v>
      </c>
      <c r="V33" s="117"/>
      <c r="X33" s="117"/>
      <c r="Z33" s="117"/>
      <c r="AB33" s="117"/>
      <c r="AD33" s="117"/>
      <c r="AF33" s="117"/>
      <c r="AH33" s="117"/>
      <c r="AJ33" s="117"/>
      <c r="AL33" s="117"/>
      <c r="AN33" s="117"/>
      <c r="AP33" s="117"/>
      <c r="AR33" s="117"/>
      <c r="AT33" s="117"/>
      <c r="AV33" s="117"/>
    </row>
    <row r="34" spans="1:49 16319:16321" x14ac:dyDescent="0.2">
      <c r="A34" t="s">
        <v>75</v>
      </c>
      <c r="B34" s="117">
        <v>1136879.4410000162</v>
      </c>
      <c r="D34" s="117">
        <v>1158916.0448949314</v>
      </c>
      <c r="F34" s="117">
        <v>1181643.5138055361</v>
      </c>
      <c r="H34" s="117">
        <v>1205232.8953146748</v>
      </c>
      <c r="J34" s="117">
        <v>1229956.2818023534</v>
      </c>
      <c r="L34" s="117">
        <v>1256285.170192739</v>
      </c>
      <c r="N34" s="117">
        <v>1285081.8327674838</v>
      </c>
      <c r="P34" s="117">
        <v>1318031.1599506335</v>
      </c>
      <c r="R34" s="117">
        <v>1358718.0331714149</v>
      </c>
      <c r="T34" s="117">
        <v>1415924.0497931682</v>
      </c>
      <c r="V34" s="117"/>
      <c r="X34" s="117"/>
      <c r="Z34" s="117"/>
      <c r="AB34" s="117"/>
      <c r="AD34" s="117"/>
      <c r="AF34" s="117"/>
      <c r="AH34" s="117"/>
      <c r="AJ34" s="117"/>
      <c r="AL34" s="117"/>
      <c r="AN34" s="117"/>
      <c r="AP34" s="117"/>
      <c r="AR34" s="117"/>
      <c r="AT34" s="117"/>
      <c r="AV34" s="117"/>
    </row>
    <row r="35" spans="1:49 16319:16321" x14ac:dyDescent="0.2">
      <c r="A35" t="s">
        <v>78</v>
      </c>
      <c r="B35" s="233">
        <v>1</v>
      </c>
      <c r="D35" s="233">
        <v>1.0029089057324334</v>
      </c>
      <c r="F35" s="233">
        <v>1.0063598978351938</v>
      </c>
      <c r="H35" s="233">
        <v>1.0104806786234262</v>
      </c>
      <c r="J35" s="233">
        <v>1.0154725721819502</v>
      </c>
      <c r="L35" s="233">
        <v>1.0216648608521515</v>
      </c>
      <c r="N35" s="233">
        <v>1.0296222217924367</v>
      </c>
      <c r="P35" s="233">
        <v>1.0403808811277304</v>
      </c>
      <c r="R35" s="233">
        <v>1.0560475097255853</v>
      </c>
      <c r="T35" s="233">
        <v>1.0816694498363573</v>
      </c>
      <c r="V35" s="233"/>
      <c r="X35" s="233"/>
      <c r="Z35" s="233"/>
      <c r="AB35" s="233"/>
      <c r="AD35" s="233"/>
      <c r="AF35" s="233"/>
      <c r="AH35" s="233"/>
      <c r="AJ35" s="233"/>
      <c r="AL35" s="233"/>
      <c r="AN35" s="233"/>
      <c r="AP35" s="233"/>
      <c r="AR35" s="233"/>
      <c r="AT35" s="233"/>
      <c r="AV35" s="233"/>
    </row>
    <row r="36" spans="1:49 16319:16321" x14ac:dyDescent="0.2">
      <c r="A36" t="s">
        <v>21</v>
      </c>
      <c r="B36" s="37">
        <v>0.47195767671988198</v>
      </c>
      <c r="C36" s="38">
        <v>0.31738834428178964</v>
      </c>
      <c r="D36" s="37">
        <v>0.47201684642496361</v>
      </c>
      <c r="E36" s="38">
        <v>0.32316557005917768</v>
      </c>
      <c r="F36" s="37">
        <v>0.47208066410581817</v>
      </c>
      <c r="G36" s="38">
        <v>0.32961520455690596</v>
      </c>
      <c r="H36" s="37">
        <v>0.47215032014807079</v>
      </c>
      <c r="I36" s="38">
        <v>0.33686884185427096</v>
      </c>
      <c r="J36" s="37">
        <v>0.47222713886677986</v>
      </c>
      <c r="K36" s="38">
        <v>0.3451062700487546</v>
      </c>
      <c r="L36" s="37">
        <v>0.47231251413932474</v>
      </c>
      <c r="M36" s="38">
        <v>0.35458887316311272</v>
      </c>
      <c r="N36" s="37">
        <v>0.4724077293024182</v>
      </c>
      <c r="O36" s="38">
        <v>0.36572467268089148</v>
      </c>
      <c r="P36" s="37">
        <v>0.47251354030999443</v>
      </c>
      <c r="Q36" s="38">
        <v>0.37920800356543116</v>
      </c>
      <c r="R36" s="37">
        <v>0.47262899179720586</v>
      </c>
      <c r="S36" s="38">
        <v>0.39636109778147699</v>
      </c>
      <c r="T36" s="37">
        <v>0.47274769595320115</v>
      </c>
      <c r="U36" s="38">
        <v>0.42015364173335634</v>
      </c>
      <c r="V36" s="37"/>
      <c r="W36" s="38"/>
      <c r="X36" s="37"/>
      <c r="Y36" s="38"/>
      <c r="Z36" s="37"/>
      <c r="AA36" s="38"/>
      <c r="AB36" s="37"/>
      <c r="AC36" s="38"/>
      <c r="AD36" s="37"/>
      <c r="AE36" s="38"/>
      <c r="AF36" s="37"/>
      <c r="AG36" s="38"/>
      <c r="AH36" s="37"/>
      <c r="AI36" s="38"/>
      <c r="AJ36" s="37"/>
      <c r="AK36" s="38"/>
      <c r="AL36" s="37"/>
      <c r="AM36" s="38"/>
      <c r="AN36" s="37"/>
      <c r="AO36" s="38"/>
      <c r="AP36" s="37"/>
      <c r="AQ36" s="38"/>
      <c r="AR36" s="37"/>
      <c r="AS36" s="38"/>
      <c r="AT36" s="37"/>
      <c r="AU36" s="38"/>
      <c r="AV36" s="37"/>
      <c r="AW36" s="38"/>
    </row>
    <row r="37" spans="1:49 16319:16321" x14ac:dyDescent="0.2">
      <c r="B37" s="39">
        <v>2.1403217525954466E-2</v>
      </c>
      <c r="C37" s="40">
        <v>0.34962461301992515</v>
      </c>
      <c r="D37" s="39">
        <v>2.0772942774385749E-2</v>
      </c>
      <c r="E37" s="40">
        <v>0.34476125552001713</v>
      </c>
      <c r="F37" s="39">
        <v>2.0131763664154742E-2</v>
      </c>
      <c r="G37" s="40">
        <v>0.33985023040646462</v>
      </c>
      <c r="H37" s="39">
        <v>1.9477839069782177E-2</v>
      </c>
      <c r="I37" s="40">
        <v>0.33488921389442144</v>
      </c>
      <c r="J37" s="39">
        <v>1.8808097747584972E-2</v>
      </c>
      <c r="K37" s="40">
        <v>0.32986959303446373</v>
      </c>
      <c r="L37" s="39">
        <v>1.811731428293728E-2</v>
      </c>
      <c r="M37" s="40">
        <v>0.32477119883549926</v>
      </c>
      <c r="N37" s="39">
        <v>1.7396521408093182E-2</v>
      </c>
      <c r="O37" s="40">
        <v>0.31955393451945602</v>
      </c>
      <c r="P37" s="39">
        <v>1.6629896640082641E-2</v>
      </c>
      <c r="Q37" s="40">
        <v>0.31414239721062154</v>
      </c>
      <c r="R37" s="39">
        <v>1.5787801070366436E-2</v>
      </c>
      <c r="S37" s="40">
        <v>0.30839366997106255</v>
      </c>
      <c r="T37" s="39">
        <v>1.4807990103459522E-2</v>
      </c>
      <c r="U37" s="40">
        <v>0.30201670578351525</v>
      </c>
      <c r="V37" s="39"/>
      <c r="W37" s="40"/>
      <c r="X37" s="39"/>
      <c r="Y37" s="40"/>
      <c r="Z37" s="39"/>
      <c r="AA37" s="40"/>
      <c r="AB37" s="39"/>
      <c r="AC37" s="40"/>
      <c r="AD37" s="39"/>
      <c r="AE37" s="40"/>
      <c r="AF37" s="39"/>
      <c r="AG37" s="40"/>
      <c r="AH37" s="39"/>
      <c r="AI37" s="40"/>
      <c r="AJ37" s="39"/>
      <c r="AK37" s="40"/>
      <c r="AL37" s="39"/>
      <c r="AM37" s="40"/>
      <c r="AN37" s="39"/>
      <c r="AO37" s="40"/>
      <c r="AP37" s="39"/>
      <c r="AQ37" s="40"/>
      <c r="AR37" s="39"/>
      <c r="AS37" s="40"/>
      <c r="AT37" s="39"/>
      <c r="AU37" s="40"/>
      <c r="AV37" s="39"/>
      <c r="AW37" s="40"/>
    </row>
    <row r="38" spans="1:49 16319:16321" x14ac:dyDescent="0.2">
      <c r="A38" t="s">
        <v>22</v>
      </c>
      <c r="B38" s="37">
        <v>0.18079094942242827</v>
      </c>
      <c r="C38" s="38">
        <v>6.0565413429233668E-2</v>
      </c>
      <c r="D38" s="37">
        <v>0.18415933322429612</v>
      </c>
      <c r="E38" s="38">
        <v>6.1229859761251483E-2</v>
      </c>
      <c r="F38" s="37">
        <v>0.18805315727046162</v>
      </c>
      <c r="G38" s="38">
        <v>6.200572324288265E-2</v>
      </c>
      <c r="H38" s="37">
        <v>0.19264591118293162</v>
      </c>
      <c r="I38" s="38">
        <v>6.2926555731403794E-2</v>
      </c>
      <c r="J38" s="37">
        <v>0.19820787244349514</v>
      </c>
      <c r="K38" s="38">
        <v>6.4042930772229348E-2</v>
      </c>
      <c r="L38" s="37">
        <v>0.20519395649517647</v>
      </c>
      <c r="M38" s="38">
        <v>6.543701225997868E-2</v>
      </c>
      <c r="N38" s="37">
        <v>0.21445200454276545</v>
      </c>
      <c r="O38" s="38">
        <v>6.7256118262851203E-2</v>
      </c>
      <c r="P38" s="37">
        <v>0.22780231043876201</v>
      </c>
      <c r="Q38" s="38">
        <v>6.9802362910327348E-2</v>
      </c>
      <c r="R38" s="37">
        <v>0.25012434931083383</v>
      </c>
      <c r="S38" s="38">
        <v>7.3837791606931394E-2</v>
      </c>
      <c r="T38" s="37">
        <v>0.30150991809482963</v>
      </c>
      <c r="U38" s="38">
        <v>8.2208847181534789E-2</v>
      </c>
      <c r="V38" s="37"/>
      <c r="W38" s="38"/>
      <c r="X38" s="37"/>
      <c r="Y38" s="38"/>
      <c r="Z38" s="37"/>
      <c r="AA38" s="38"/>
      <c r="AB38" s="37"/>
      <c r="AC38" s="38"/>
      <c r="AD38" s="37"/>
      <c r="AE38" s="38"/>
      <c r="AF38" s="37"/>
      <c r="AG38" s="38"/>
      <c r="AH38" s="37"/>
      <c r="AI38" s="38"/>
      <c r="AJ38" s="37"/>
      <c r="AK38" s="38"/>
      <c r="AL38" s="37"/>
      <c r="AM38" s="38"/>
      <c r="AN38" s="37"/>
      <c r="AO38" s="38"/>
      <c r="AP38" s="37"/>
      <c r="AQ38" s="38"/>
      <c r="AR38" s="37"/>
      <c r="AS38" s="38"/>
      <c r="AT38" s="37"/>
      <c r="AU38" s="38"/>
      <c r="AV38" s="37"/>
      <c r="AW38" s="38"/>
    </row>
    <row r="39" spans="1:49 16319:16321" x14ac:dyDescent="0.2">
      <c r="A39" t="s">
        <v>23</v>
      </c>
      <c r="B39" s="39">
        <v>0.23064923795098646</v>
      </c>
      <c r="C39" s="40">
        <v>0.22092201281804777</v>
      </c>
      <c r="D39" s="39">
        <v>0.22662333035958379</v>
      </c>
      <c r="E39" s="40">
        <v>0.21935389956461926</v>
      </c>
      <c r="F39" s="39">
        <v>0.22255908605254465</v>
      </c>
      <c r="G39" s="40">
        <v>0.2178415773213466</v>
      </c>
      <c r="H39" s="39">
        <v>0.2184217826797227</v>
      </c>
      <c r="I39" s="40">
        <v>0.21638576870077014</v>
      </c>
      <c r="J39" s="39">
        <v>0.21416445797444114</v>
      </c>
      <c r="K39" s="40">
        <v>0.21498645419951917</v>
      </c>
      <c r="L39" s="39">
        <v>0.20971750556827462</v>
      </c>
      <c r="M39" s="40">
        <v>0.21364125969921541</v>
      </c>
      <c r="N39" s="39">
        <v>0.20496881997752406</v>
      </c>
      <c r="O39" s="40">
        <v>0.21234265922542167</v>
      </c>
      <c r="P39" s="39">
        <v>0.19972351958643259</v>
      </c>
      <c r="Q39" s="40">
        <v>0.21107283519652334</v>
      </c>
      <c r="R39" s="39">
        <v>0.19360904233090606</v>
      </c>
      <c r="S39" s="40">
        <v>0.20979259196912009</v>
      </c>
      <c r="T39" s="39">
        <v>0.18581024310518768</v>
      </c>
      <c r="U39" s="40">
        <v>0.20841509172382597</v>
      </c>
      <c r="V39" s="39"/>
      <c r="W39" s="40"/>
      <c r="X39" s="39"/>
      <c r="Y39" s="40"/>
      <c r="Z39" s="39"/>
      <c r="AA39" s="40"/>
      <c r="AB39" s="39"/>
      <c r="AC39" s="40"/>
      <c r="AD39" s="39"/>
      <c r="AE39" s="40"/>
      <c r="AF39" s="39"/>
      <c r="AG39" s="40"/>
      <c r="AH39" s="39"/>
      <c r="AI39" s="40"/>
      <c r="AJ39" s="39"/>
      <c r="AK39" s="40"/>
      <c r="AL39" s="39"/>
      <c r="AM39" s="40"/>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7.2918179996321442E-2</v>
      </c>
      <c r="E42" s="135"/>
      <c r="F42" s="177">
        <f>10.8%+(1-10.8%)*(1-SUM(F26:G26)/SUM($B$26:$C$26))</f>
        <v>3.3595939005771527E-2</v>
      </c>
      <c r="G42" s="135"/>
      <c r="H42" s="177">
        <f>10.8%+(1-10.8%)*(1-SUM(H26:I26)/SUM($B$26:$C$26))</f>
        <v>-1.1323217468239027E-2</v>
      </c>
      <c r="I42" s="135"/>
      <c r="J42" s="177">
        <f>10.8%+(1-10.8%)*(1-SUM(J26:K26)/SUM($B$26:$C$26))</f>
        <v>-6.3927172947274319E-2</v>
      </c>
      <c r="K42" s="135"/>
      <c r="L42" s="177">
        <f>10.8%+(1-10.8%)*(1-SUM(L26:M26)/SUM($B$26:$C$26))</f>
        <v>-0.1276915651345237</v>
      </c>
      <c r="M42" s="135"/>
      <c r="N42" s="177">
        <f>10.8%+(1-10.8%)*(1-SUM(N26:O26)/SUM($B$26:$C$26))</f>
        <v>-0.20901464802681161</v>
      </c>
      <c r="O42" s="135"/>
      <c r="P42" s="177">
        <f>10.8%+(1-10.8%)*(1-SUM(P26:Q26)/SUM($B$26:$C$26))</f>
        <v>-0.32143756298736226</v>
      </c>
      <c r="Q42" s="135"/>
      <c r="R42" s="177">
        <f>10.8%+(1-10.8%)*(1-SUM(R26:S26)/SUM($B$26:$C$26))</f>
        <v>-0.50058718087876064</v>
      </c>
      <c r="S42" s="135"/>
      <c r="T42" s="177">
        <f>10.8%+(1-10.8%)*(1-SUM(T26:U26)/SUM($B$26:$C$26))</f>
        <v>-0.88941738597588271</v>
      </c>
      <c r="U42" s="135"/>
      <c r="V42" s="177">
        <f>10.8%+(1-10.8%)*(1-SUM(V26:W26)/SUM($B$26:$C$26))</f>
        <v>1</v>
      </c>
      <c r="W42" s="135"/>
      <c r="X42" s="177">
        <f>10.8%+(1-10.8%)*(1-SUM(X26:Y26)/SUM($B$26:$C$26))</f>
        <v>1</v>
      </c>
      <c r="Y42" s="162"/>
      <c r="Z42" s="177">
        <f>10.8%+(1-10.8%)*(1-SUM(Z26:AA26)/SUM($B$26:$C$26))</f>
        <v>1</v>
      </c>
      <c r="AA42" s="135"/>
      <c r="AB42" s="177">
        <f>10.8%+(1-10.8%)*(1-SUM(AB26:AC26)/SUM($B$26:$C$26))</f>
        <v>1</v>
      </c>
      <c r="AC42" s="135"/>
      <c r="AD42" s="177">
        <f>10.8%+(1-10.8%)*(1-SUM(AD26:AE26)/SUM($B$26:$C$26))</f>
        <v>1</v>
      </c>
      <c r="AE42" s="135"/>
      <c r="AF42" s="177">
        <f>10.8%+(1-10.8%)*(1-SUM(AF26:AG26)/SUM($B$26:$C$26))</f>
        <v>1</v>
      </c>
      <c r="AG42" s="135"/>
      <c r="AH42" s="177">
        <f>10.8%+(1-10.8%)*(1-SUM(AH26:AI26)/SUM($B$26:$C$26))</f>
        <v>1</v>
      </c>
      <c r="AI42" s="135"/>
      <c r="AJ42" s="177">
        <f>10.8%+(1-10.8%)*(1-SUM(AJ26:AK26)/SUM($B$26:$C$26))</f>
        <v>1</v>
      </c>
      <c r="AK42" s="135"/>
      <c r="AL42" s="177">
        <f>10.8%+(1-10.8%)*(1-SUM(AL26:AM26)/SUM($B$26:$C$26))</f>
        <v>1</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0.56058995943839085</v>
      </c>
      <c r="C43" s="135"/>
      <c r="D43" s="162">
        <f t="array" ref="D43">SUM(D15:E15*D27:E27)/SUM(D15:E15*D27:E27,D13:E13*D26:E26)</f>
        <v>0.58712474280484428</v>
      </c>
      <c r="E43" s="135"/>
      <c r="F43" s="162">
        <f t="array" ref="F43">SUM(F15:G15*F27:G27)/SUM(F15:G15*F27:G27,F13:G13*F26:G26)</f>
        <v>0.60840640868942031</v>
      </c>
      <c r="G43" s="135"/>
      <c r="H43" s="162">
        <f t="array" ref="H43">SUM(H15:I15*H27:I27)/SUM(H15:I15*H27:I27,H13:I13*H26:I26)</f>
        <v>0.6313854895002835</v>
      </c>
      <c r="I43" s="135"/>
      <c r="J43" s="162">
        <f t="array" ref="J43">SUM(J15:K15*J27:K27)/SUM(J15:K15*J27:K27,J13:K13*J26:K26)</f>
        <v>0.65654703589682362</v>
      </c>
      <c r="K43" s="135"/>
      <c r="L43" s="162">
        <f t="array" ref="L43">SUM(L15:M15*L27:M27)/SUM(L15:M15*L27:M27,L13:M13*L26:M26)</f>
        <v>0.68463316448709111</v>
      </c>
      <c r="M43" s="135"/>
      <c r="N43" s="162">
        <f t="array" ref="N43">SUM(N15:O15*N27:O27)/SUM(N15:O15*N27:O27,N13:O13*N26:O26)</f>
        <v>0.71686420272124685</v>
      </c>
      <c r="O43" s="135"/>
      <c r="P43" s="162">
        <f t="array" ref="P43">SUM(P15:Q15*P27:Q27)/SUM(P15:Q15*P27:Q27,P13:Q13*P26:Q26)</f>
        <v>0.75542633549520088</v>
      </c>
      <c r="Q43" s="135"/>
      <c r="R43" s="162">
        <f t="array" ref="R43">SUM(R15:S15*R27:S27)/SUM(R15:S15*R27:S27,R13:S13*R26:S26)</f>
        <v>0.80469077565207614</v>
      </c>
      <c r="S43" s="135"/>
      <c r="T43" s="162">
        <f t="array" ref="T43">SUM(T15:U15*T27:U27)/SUM(T15:U15*T27:U27,T13:U13*T26:U26)</f>
        <v>0.87493624177568496</v>
      </c>
      <c r="U43" s="135"/>
      <c r="V43" s="162" t="e">
        <f t="array" ref="V43">SUM(V15:W15*V27:W27)/SUM(V15:W15*V27:W27,V13:W13*V26:W26)</f>
        <v>#DIV/0!</v>
      </c>
      <c r="W43" s="135"/>
      <c r="X43" s="162" t="e">
        <f t="array" ref="X43">SUM(X15:Y15*X27:Y27)/SUM(X15:Y15*X27:Y27,X13:Y13*X26:Y26)</f>
        <v>#DIV/0!</v>
      </c>
      <c r="Y43" s="135"/>
      <c r="Z43" s="162" t="e">
        <f t="array" ref="Z43">SUM(Z15:AA15*Z27:AA27)/SUM(Z15:AA15*Z27:AA27,Z13:AA13*Z26:AA26)</f>
        <v>#DIV/0!</v>
      </c>
      <c r="AA43" s="135"/>
      <c r="AB43" s="162" t="e">
        <f t="array" ref="AB43">SUM(AB15:AC15*AB27:AC27)/SUM(AB15:AC15*AB27:AC27,AB13:AC13*AB26:AC26)</f>
        <v>#DIV/0!</v>
      </c>
      <c r="AC43" s="135"/>
      <c r="AD43" s="162" t="e">
        <f t="array" ref="AD43">SUM(AD15:AE15*AD27:AE27)/SUM(AD15:AE15*AD27:AE27,AD13:AE13*AD26:AE26)</f>
        <v>#DIV/0!</v>
      </c>
      <c r="AE43" s="135"/>
      <c r="AF43" s="162" t="e">
        <f t="array" ref="AF43">SUM(AF15:AG15*AF27:AG27)/SUM(AF15:AG15*AF27:AG27,AF13:AG13*AF26:AG26)</f>
        <v>#DIV/0!</v>
      </c>
      <c r="AG43" s="135"/>
      <c r="AH43" s="162" t="e">
        <f t="array" ref="AH43">SUM(AH15:AI15*AH27:AI27)/SUM(AH15:AI15*AH27:AI27,AH13:AI13*AH26:AI26)</f>
        <v>#DIV/0!</v>
      </c>
      <c r="AI43" s="135"/>
      <c r="AJ43" s="162" t="e">
        <f t="array" ref="AJ43">SUM(AJ15:AK15*AJ27:AK27)/SUM(AJ15:AK15*AJ27:AK27,AJ13:AK13*AJ26:AK26)</f>
        <v>#DIV/0!</v>
      </c>
      <c r="AK43" s="135"/>
      <c r="AL43" s="162" t="e">
        <f t="array" ref="AL43">SUM(AL15:AM15*AL27:AM27)/SUM(AL15:AM15*AL27:AM27,AL13:AM13*AL26:AM26)</f>
        <v>#DIV/0!</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0.29754226190682465</v>
      </c>
      <c r="D44" s="193">
        <f>(SUM(D11:E11*D24:E24)+D34)/D32</f>
        <v>0.29754225920941163</v>
      </c>
      <c r="F44" s="193">
        <f>(SUM(F11:G11*F24:G24)+F34)/F32</f>
        <v>0.29754226236732884</v>
      </c>
      <c r="H44" s="193">
        <f>(SUM(H11:I11*H24:I24)+H34)/H32</f>
        <v>0.29754226275308687</v>
      </c>
      <c r="J44" s="193">
        <f>(SUM(J11:K11*J24:K24)+J34)/J32</f>
        <v>0.29754225228633602</v>
      </c>
      <c r="L44" s="193">
        <f>(SUM(L11:M11*L24:M24)+L34)/L32</f>
        <v>0.29754226307021747</v>
      </c>
      <c r="N44" s="193">
        <f>(SUM(N11:O11*N24:O24)+N34)/N32</f>
        <v>0.29754226320949451</v>
      </c>
      <c r="P44" s="193">
        <f>(SUM(P11:Q11*P24:Q24)+P34)/P32</f>
        <v>0.29754226457711697</v>
      </c>
      <c r="R44" s="193">
        <f>(SUM(R11:S11*R24:S24)+R34)/R32</f>
        <v>0.29754226908415327</v>
      </c>
      <c r="T44" s="193">
        <f>(SUM(T11:U11*T24:U24)+T34)/T32</f>
        <v>0.29754226461410549</v>
      </c>
      <c r="V44" s="193" t="e">
        <f>(SUM(V11:W11*V24:W24)+V34)/V32</f>
        <v>#DIV/0!</v>
      </c>
      <c r="X44" s="193" t="e">
        <f>(SUM(X11:Y11*X24:Y24)+X34)/X32</f>
        <v>#DIV/0!</v>
      </c>
      <c r="Z44" s="193" t="e">
        <f>(SUM(Z11:AA11*Z24:AA24)+Z34)/Z32</f>
        <v>#DIV/0!</v>
      </c>
      <c r="AB44" s="193" t="e">
        <f>(SUM(AB11:AC11*AB24:AC24)+AB34)/AB32</f>
        <v>#DIV/0!</v>
      </c>
      <c r="AD44" s="193" t="e">
        <f>(SUM(AD11:AE11*AD24:AE24)+AD34)/AD32</f>
        <v>#DIV/0!</v>
      </c>
      <c r="AF44" s="193" t="e">
        <f>(SUM(AF11:AG11*AF24:AG24)+AF34)/AF32</f>
        <v>#DIV/0!</v>
      </c>
      <c r="AH44" s="193" t="e">
        <f>(SUM(AH11:AI11*AH24:AI24)+AH34)/AH32</f>
        <v>#DIV/0!</v>
      </c>
      <c r="AJ44" s="193" t="e">
        <f>(SUM(AJ11:AK11*AJ24:AK24)+AJ34)/AJ32</f>
        <v>#DIV/0!</v>
      </c>
      <c r="AL44" s="193" t="e">
        <f>(SUM(AL11:AM11*AL24:AM24)+AL34)/AL32</f>
        <v>#DIV/0!</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0.22038438860225257</v>
      </c>
      <c r="F45" s="193">
        <f>SUM(F11:G11*F24:G24)/F32</f>
        <v>0.22038438819675477</v>
      </c>
      <c r="H45" s="193">
        <f>SUM(H11:I11*H24:I24)/H32</f>
        <v>0.22038438812375816</v>
      </c>
      <c r="J45" s="193">
        <f>SUM(J11:K11*J24:K24)/J32</f>
        <v>0.22038438912576783</v>
      </c>
      <c r="L45" s="193">
        <f>SUM(L11:M11*L24:M24)/L32</f>
        <v>0.22038438807163649</v>
      </c>
      <c r="N45" s="193">
        <f>SUM(N11:O11*N24:O24)/N32</f>
        <v>0.2203843881191038</v>
      </c>
      <c r="P45" s="193">
        <f>SUM(P11:Q11*P24:Q24)/P32</f>
        <v>0.22038438733412521</v>
      </c>
      <c r="R45" s="193">
        <f>SUM(R11:S11*R24:S24)/R32</f>
        <v>0.22038438727832849</v>
      </c>
      <c r="T45" s="193">
        <f>SUM(T11:U11*T24:U24)/T32</f>
        <v>0.22038438818716494</v>
      </c>
      <c r="V45" s="193" t="e">
        <f>SUM(V11:W11*V24:W24)/V32</f>
        <v>#DIV/0!</v>
      </c>
      <c r="X45" s="193" t="e">
        <f>SUM(X11:Y11*X24:Y24)/X32</f>
        <v>#DIV/0!</v>
      </c>
      <c r="Z45" s="193" t="e">
        <f>SUM(Z11:AA11*Z24:AA24)/Z32</f>
        <v>#DIV/0!</v>
      </c>
      <c r="AB45" s="193" t="e">
        <f>SUM(AB11:AC11*AB24:AC24)/AB32</f>
        <v>#DIV/0!</v>
      </c>
      <c r="AD45" s="193" t="e">
        <f>SUM(AD11:AE11*AD24:AE24)/AD32</f>
        <v>#DIV/0!</v>
      </c>
      <c r="AF45" s="193" t="e">
        <f>SUM(AF11:AG11*AF24:AG24)/AF32</f>
        <v>#DIV/0!</v>
      </c>
      <c r="AH45" s="193" t="e">
        <f>SUM(AH11:AI11*AH24:AI24)/AH32</f>
        <v>#DIV/0!</v>
      </c>
      <c r="AJ45" s="193" t="e">
        <f>SUM(AJ11:AK11*AJ24:AK24)/AJ32</f>
        <v>#DIV/0!</v>
      </c>
      <c r="AL45" s="193" t="e">
        <f>SUM(AL11:AM11*AL24:AM24)/AL32</f>
        <v>#DIV/0!</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7.7157873574883795E-2</v>
      </c>
      <c r="D46" s="193">
        <f>D34/D32</f>
        <v>7.7157870607159076E-2</v>
      </c>
      <c r="F46" s="193">
        <f>F34/F32</f>
        <v>7.7157874170574084E-2</v>
      </c>
      <c r="H46" s="193">
        <f>H34/H32</f>
        <v>7.7157874629328702E-2</v>
      </c>
      <c r="J46" s="193">
        <f>J34/J32</f>
        <v>7.7157863160568163E-2</v>
      </c>
      <c r="L46" s="193">
        <f>L34/L32</f>
        <v>7.7157874998580969E-2</v>
      </c>
      <c r="N46" s="193">
        <f>N34/N32</f>
        <v>7.7157875090390696E-2</v>
      </c>
      <c r="P46" s="193">
        <f>P34/P32</f>
        <v>7.7157877242991738E-2</v>
      </c>
      <c r="R46" s="193">
        <f>R34/R32</f>
        <v>7.715788180582478E-2</v>
      </c>
      <c r="T46" s="193">
        <f>T34/T32</f>
        <v>7.715787642694058E-2</v>
      </c>
      <c r="V46" s="193" t="e">
        <f>V34/V32</f>
        <v>#DIV/0!</v>
      </c>
      <c r="X46" s="193" t="e">
        <f>X34/X32</f>
        <v>#DIV/0!</v>
      </c>
      <c r="Z46" s="193" t="e">
        <f>Z34/Z32</f>
        <v>#DIV/0!</v>
      </c>
      <c r="AB46" s="193" t="e">
        <f>AB34/AB32</f>
        <v>#DIV/0!</v>
      </c>
      <c r="AD46" s="193" t="e">
        <f>AD34/AD32</f>
        <v>#DIV/0!</v>
      </c>
      <c r="AF46" s="193" t="e">
        <f>AF34/AF32</f>
        <v>#DIV/0!</v>
      </c>
      <c r="AH46" s="193" t="e">
        <f>AH34/AH32</f>
        <v>#DIV/0!</v>
      </c>
      <c r="AJ46" s="193" t="e">
        <f>AJ34/AJ32</f>
        <v>#DIV/0!</v>
      </c>
      <c r="AL46" s="193" t="e">
        <f>AL34/AL32</f>
        <v>#DIV/0!</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1.0232117059006112</v>
      </c>
      <c r="E48" s="191"/>
      <c r="F48" s="191">
        <f>F24/$B$24</f>
        <v>1.0473630531392193</v>
      </c>
      <c r="G48" s="191"/>
      <c r="H48" s="191">
        <f>H24/$B$24</f>
        <v>1.0726827942157662</v>
      </c>
      <c r="I48" s="191"/>
      <c r="J48" s="191">
        <f>J24/$B$24</f>
        <v>1.0994983634583533</v>
      </c>
      <c r="K48" s="191"/>
      <c r="L48" s="191">
        <f>L24/$B$24</f>
        <v>1.1283213954500493</v>
      </c>
      <c r="M48" s="191"/>
      <c r="N48" s="191">
        <f>N24/$B$24</f>
        <v>1.1600168521925101</v>
      </c>
      <c r="O48" s="191"/>
      <c r="P48" s="191">
        <f>P24/$B$24</f>
        <v>1.1961793770539002</v>
      </c>
      <c r="Q48" s="191"/>
      <c r="R48" s="191">
        <f>R24/$B$24</f>
        <v>1.2400741128553217</v>
      </c>
      <c r="S48" s="191"/>
      <c r="T48" s="191">
        <f>T24/$B$24</f>
        <v>1.2994971121162591</v>
      </c>
      <c r="U48" s="191"/>
      <c r="V48" s="191">
        <f>V24/$B$24</f>
        <v>0</v>
      </c>
      <c r="W48" s="191"/>
      <c r="X48" s="191">
        <f>X24/$B$24</f>
        <v>0</v>
      </c>
      <c r="Y48" s="191"/>
      <c r="Z48" s="191">
        <f>Z24/$B$24</f>
        <v>0</v>
      </c>
      <c r="AA48" s="191"/>
      <c r="AB48" s="191">
        <f>AB24/$B$24</f>
        <v>0</v>
      </c>
      <c r="AC48" s="191"/>
      <c r="AD48" s="191">
        <f>AD24/$B$24</f>
        <v>0</v>
      </c>
      <c r="AE48" s="191"/>
      <c r="AF48" s="191">
        <f>AF24/$B$24</f>
        <v>0</v>
      </c>
      <c r="AG48" s="191"/>
      <c r="AH48" s="191">
        <f>AH24/$B$24</f>
        <v>0</v>
      </c>
      <c r="AI48" s="191"/>
      <c r="AJ48" s="191">
        <f>AJ24/$B$24</f>
        <v>0</v>
      </c>
      <c r="AK48" s="191"/>
      <c r="AL48" s="191">
        <f>AL24/$B$24</f>
        <v>0</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0.93320011133868774</v>
      </c>
      <c r="E49" s="191"/>
      <c r="F49" s="191">
        <f>F13/F35/$B$13*$B$35</f>
        <v>0.86302109168324925</v>
      </c>
      <c r="G49" s="191"/>
      <c r="H49" s="191">
        <f>H13/H35/$B$13*$B$35</f>
        <v>0.78881477069416672</v>
      </c>
      <c r="I49" s="191"/>
      <c r="J49" s="191">
        <f>J13/J35/$B$13*$B$35</f>
        <v>0.70970506038639625</v>
      </c>
      <c r="K49" s="191"/>
      <c r="L49" s="191">
        <f>L13/L35/$B$13*$B$35</f>
        <v>0.62441809704675144</v>
      </c>
      <c r="M49" s="191"/>
      <c r="N49" s="191">
        <f>N13/N35/$B$13*$B$35</f>
        <v>0.53098244955331686</v>
      </c>
      <c r="O49" s="191"/>
      <c r="P49" s="191">
        <f>P13/P35/$B$13*$B$35</f>
        <v>0.42617962359668532</v>
      </c>
      <c r="Q49" s="191"/>
      <c r="R49" s="191">
        <f>R13/R35/$B$13*$B$35</f>
        <v>0.30457946837875677</v>
      </c>
      <c r="S49" s="191"/>
      <c r="T49" s="191">
        <f>T13/T35/$B$13*$B$35</f>
        <v>0.15774877131125373</v>
      </c>
      <c r="U49" s="191"/>
      <c r="V49" s="191" t="e">
        <f>V13/V35/$B$13*$B$35</f>
        <v>#DIV/0!</v>
      </c>
      <c r="W49" s="191"/>
      <c r="X49" s="191" t="e">
        <f>X13/X35/$B$13*$B$35</f>
        <v>#DIV/0!</v>
      </c>
      <c r="Y49" s="191"/>
      <c r="Z49" s="191" t="e">
        <f>Z13/Z35/$B$13*$B$35</f>
        <v>#DIV/0!</v>
      </c>
      <c r="AA49" s="191"/>
      <c r="AB49" s="191" t="e">
        <f>AB13/AB35/$B$13*$B$35</f>
        <v>#DIV/0!</v>
      </c>
      <c r="AC49" s="191"/>
      <c r="AD49" s="191" t="e">
        <f>AD13/AD35/$B$13*$B$35</f>
        <v>#DIV/0!</v>
      </c>
      <c r="AE49" s="191"/>
      <c r="AF49" s="191" t="e">
        <f>AF13/AF35/$B$13*$B$35</f>
        <v>#DIV/0!</v>
      </c>
      <c r="AG49" s="191"/>
      <c r="AH49" s="191" t="e">
        <f>AH13/AH35/$B$13*$B$35</f>
        <v>#DIV/0!</v>
      </c>
      <c r="AI49" s="191"/>
      <c r="AJ49" s="191" t="e">
        <f>AJ13/AJ35/$B$13*$B$35</f>
        <v>#DIV/0!</v>
      </c>
      <c r="AK49" s="191"/>
      <c r="AL49" s="191" t="e">
        <f>AL13/AL35/$B$13*$B$35</f>
        <v>#DIV/0!</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-417024.77238396462</v>
      </c>
      <c r="F51" s="29">
        <f>F30-F10*F23</f>
        <v>-428820.95584473806</v>
      </c>
      <c r="H51" s="29">
        <f>H30-H10*H23</f>
        <v>-441368.40417438</v>
      </c>
      <c r="J51" s="29">
        <f>J30-J10*J23</f>
        <v>-454879.6084884787</v>
      </c>
      <c r="L51" s="29">
        <f>L30-L10*L23</f>
        <v>-469703.98978802236</v>
      </c>
      <c r="N51" s="29">
        <f>N30-N10*N23</f>
        <v>-486446.39169836044</v>
      </c>
      <c r="P51" s="29">
        <f>P30-P10*P23</f>
        <v>-506258.57749089273</v>
      </c>
      <c r="R51" s="29">
        <f>R30-R10*R23</f>
        <v>-531565.29264670005</v>
      </c>
      <c r="T51" s="29">
        <f>T30-T10*T23</f>
        <v>-568351.43225608673</v>
      </c>
      <c r="V51" s="29">
        <f>V30-V10*V23</f>
        <v>0</v>
      </c>
      <c r="X51" s="29">
        <f>X30-X10*X23</f>
        <v>0</v>
      </c>
      <c r="Z51" s="29">
        <f>Z30-Z10*Z23</f>
        <v>0</v>
      </c>
      <c r="AB51" s="29">
        <f>AB30-AB10*AB23</f>
        <v>0</v>
      </c>
      <c r="AD51" s="29">
        <f>AD30-AD10*AD23</f>
        <v>0</v>
      </c>
      <c r="AF51" s="29">
        <f>AF30-AF10*AF23</f>
        <v>0</v>
      </c>
      <c r="AH51" s="29">
        <f>AH30-AH10*AH23</f>
        <v>0</v>
      </c>
      <c r="AJ51" s="29">
        <f>AJ30-AJ10*AJ23</f>
        <v>0</v>
      </c>
      <c r="AL51" s="29">
        <f>AL30-AL10*AL23</f>
        <v>0</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1993351.8416761553</v>
      </c>
      <c r="F52" s="29">
        <f t="array" ref="F52">Calibration!sL*SUM(F13:G13*F26:G26)</f>
        <v>1928248.9592687471</v>
      </c>
      <c r="H52" s="29">
        <f t="array" ref="H52">Calibration!sL*SUM(H13:I13*H26:I26)</f>
        <v>1851921.8382569619</v>
      </c>
      <c r="J52" s="29">
        <f t="array" ref="J52">Calibration!sL*SUM(J13:K13*J26:K26)</f>
        <v>1761520.2002533067</v>
      </c>
      <c r="L52" s="29">
        <f t="array" ref="L52">Calibration!sL*SUM(L13:M13*L26:M26)</f>
        <v>1652737.5610646347</v>
      </c>
      <c r="N52" s="29">
        <f t="array" ref="N52">Calibration!sL*SUM(N13:O13*N26:O26)</f>
        <v>1518515.6206533534</v>
      </c>
      <c r="P52" s="29">
        <f t="array" ref="P52">Calibration!sL*SUM(P13:Q13*P26:Q26)</f>
        <v>1346050.3932964553</v>
      </c>
      <c r="R52" s="29">
        <f t="array" ref="R52">Calibration!sL*SUM(R13:S13*R26:S26)</f>
        <v>1108855.4629789167</v>
      </c>
      <c r="T52" s="29">
        <f t="array" ref="T52">Calibration!sL*SUM(T13:U13*T26:U26)</f>
        <v>740658.62354961783</v>
      </c>
      <c r="V52" s="29">
        <f t="array" ref="V52">Calibration!sL*SUM(V13:W13*V26:W26)</f>
        <v>0</v>
      </c>
      <c r="X52" s="29">
        <f t="array" ref="X52">Calibration!sL*SUM(X13:Y13*X26:Y26)</f>
        <v>0</v>
      </c>
      <c r="Z52" s="29">
        <f t="array" ref="Z52">Calibration!sL*SUM(Z13:AA13*Z26:AA26)</f>
        <v>0</v>
      </c>
      <c r="AB52" s="29">
        <f t="array" ref="AB52">Calibration!sL*SUM(AB13:AC13*AB26:AC26)</f>
        <v>0</v>
      </c>
      <c r="AD52" s="29">
        <f t="array" ref="AD52">Calibration!sL*SUM(AD13:AE13*AD26:AE26)</f>
        <v>0</v>
      </c>
      <c r="AF52" s="29">
        <f t="array" ref="AF52">Calibration!sL*SUM(AF13:AG13*AF26:AG26)</f>
        <v>0</v>
      </c>
      <c r="AH52" s="29">
        <f t="array" ref="AH52">Calibration!sL*SUM(AH13:AI13*AH26:AI26)</f>
        <v>0</v>
      </c>
      <c r="AJ52" s="29">
        <f t="array" ref="AJ52">Calibration!sL*SUM(AJ13:AK13*AJ26:AK26)</f>
        <v>0</v>
      </c>
      <c r="AL52" s="29">
        <f t="array" ref="AL52">Calibration!sL*SUM(AL13:AM13*AL26:AM26)</f>
        <v>0</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2740714.4444297305</v>
      </c>
      <c r="D53" s="29">
        <f t="array" ref="D53">Calibration!sK*SUM(D15:E15*D27:E27)</f>
        <v>2892776.4622117672</v>
      </c>
      <c r="F53" s="29">
        <f t="array" ref="F53">Calibration!sK*SUM(F15:G15*F27:G27)</f>
        <v>3057318.5944121741</v>
      </c>
      <c r="H53" s="29">
        <f t="array" ref="H53">Calibration!sK*SUM(H15:I15*H27:I27)</f>
        <v>3237160.3336214507</v>
      </c>
      <c r="J53" s="29">
        <f t="array" ref="J53">Calibration!sK*SUM(J15:K15*J27:K27)</f>
        <v>3436414.8855317961</v>
      </c>
      <c r="L53" s="29">
        <f t="array" ref="L53">Calibration!sK*SUM(L15:M15*L27:M27)</f>
        <v>3661551.9279435915</v>
      </c>
      <c r="N53" s="29">
        <f t="array" ref="N53">Calibration!sK*SUM(N15:O15*N27:O27)</f>
        <v>3923564.2079574154</v>
      </c>
      <c r="P53" s="29">
        <f t="array" ref="P53">Calibration!sK*SUM(P15:Q15*P27:Q27)</f>
        <v>4242903.3323424002</v>
      </c>
      <c r="R53" s="29">
        <f t="array" ref="R53">Calibration!sK*SUM(R15:S15*R27:S27)</f>
        <v>4662304.0858249022</v>
      </c>
      <c r="T53" s="29">
        <f t="array" ref="T53">Calibration!sK*SUM(T15:U15*T27:U27)</f>
        <v>5287889.8798102429</v>
      </c>
      <c r="V53" s="29">
        <f t="array" ref="V53">Calibration!sK*SUM(V15:W15*V27:W27)</f>
        <v>0</v>
      </c>
      <c r="X53" s="29">
        <f t="array" ref="X53">Calibration!sK*SUM(X15:Y15*X27:Y27)</f>
        <v>0</v>
      </c>
      <c r="Z53" s="29">
        <f t="array" ref="Z53">Calibration!sK*SUM(Z15:AA15*Z27:AA27)</f>
        <v>0</v>
      </c>
      <c r="AB53" s="29">
        <f t="array" ref="AB53">Calibration!sK*SUM(AB15:AC15*AB27:AC27)</f>
        <v>0</v>
      </c>
      <c r="AD53" s="29">
        <f t="array" ref="AD53">Calibration!sK*SUM(AD15:AE15*AD27:AE27)</f>
        <v>0</v>
      </c>
      <c r="AF53" s="29">
        <f t="array" ref="AF53">Calibration!sK*SUM(AF15:AG15*AF27:AG27)</f>
        <v>0</v>
      </c>
      <c r="AH53" s="29">
        <f t="array" ref="AH53">Calibration!sK*SUM(AH15:AI15*AH27:AI27)</f>
        <v>0</v>
      </c>
      <c r="AJ53" s="29">
        <f t="array" ref="AJ53">Calibration!sK*SUM(AJ15:AK15*AJ27:AK27)</f>
        <v>0</v>
      </c>
      <c r="AL53" s="29">
        <f t="array" ref="AL53">Calibration!sK*SUM(AL15:AM15*AL27:AM27)</f>
        <v>0</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0.19828168825686171</v>
      </c>
      <c r="F55" s="193">
        <f>F30/F32</f>
        <v>0.19804544717337744</v>
      </c>
      <c r="H55" s="193">
        <f>H30/H32</f>
        <v>0.19779021509797218</v>
      </c>
      <c r="J55" s="193">
        <f>J30/J32</f>
        <v>0.19751060610001794</v>
      </c>
      <c r="L55" s="193">
        <f>L30/L32</f>
        <v>0.19719816704055687</v>
      </c>
      <c r="N55" s="193">
        <f>N30/N32</f>
        <v>0.19683937199407878</v>
      </c>
      <c r="P55" s="193">
        <f>P30/P32</f>
        <v>0.1964096994785231</v>
      </c>
      <c r="R55" s="193">
        <f>R30/R32</f>
        <v>0.19586006511474083</v>
      </c>
      <c r="T55" s="193">
        <f>T30/T32</f>
        <v>0.19507505919579038</v>
      </c>
      <c r="V55" s="193" t="e">
        <f>V30/V32</f>
        <v>#DIV/0!</v>
      </c>
      <c r="X55" s="193" t="e">
        <f>X30/X32</f>
        <v>#DIV/0!</v>
      </c>
      <c r="Z55" s="193" t="e">
        <f>Z30/Z32</f>
        <v>#DIV/0!</v>
      </c>
      <c r="AB55" s="193" t="e">
        <f>AB30/AB32</f>
        <v>#DIV/0!</v>
      </c>
      <c r="AD55" s="193" t="e">
        <f>AD30/AD32</f>
        <v>#DIV/0!</v>
      </c>
      <c r="AF55" s="193" t="e">
        <f>AF30/AF32</f>
        <v>#DIV/0!</v>
      </c>
      <c r="AH55" s="193" t="e">
        <f>AH30/AH32</f>
        <v>#DIV/0!</v>
      </c>
      <c r="AJ55" s="193" t="e">
        <f>AJ30/AJ32</f>
        <v>#DIV/0!</v>
      </c>
      <c r="AL55" s="193" t="e">
        <f>AL30/AL32</f>
        <v>#DIV/0!</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3.6360414105646041E-2</v>
      </c>
      <c r="F56" s="193">
        <f>(Model!$C$52*F5*F20+F2*G5*G20)/F32</f>
        <v>4.3985026834666638E-2</v>
      </c>
      <c r="H56" s="193">
        <f>(Model!$C$52*H5*H20+H2*I5*I20)/H32</f>
        <v>5.2217362034070368E-2</v>
      </c>
      <c r="J56" s="193">
        <f>(Model!$C$52*J5*J20+J2*K5*K20)/J32</f>
        <v>6.1231681780965178E-2</v>
      </c>
      <c r="L56" s="193">
        <f>(Model!$C$52*L5*L20+L2*M5*M20)/L32</f>
        <v>7.1293948951252212E-2</v>
      </c>
      <c r="N56" s="193">
        <f>(Model!$C$52*N5*N20+N2*O5*O20)/N32</f>
        <v>8.2841320219619402E-2</v>
      </c>
      <c r="P56" s="193">
        <f>(Model!$C$52*P5*P20+P2*Q5*Q20)/P32</f>
        <v>9.6656100781237167E-2</v>
      </c>
      <c r="R56" s="193">
        <f>(Model!$C$52*R5*R20+R2*S5*S20)/R32</f>
        <v>0.11430241980266047</v>
      </c>
      <c r="T56" s="193">
        <f>(Model!$C$52*T5*T20+T2*U5*U20)/T32</f>
        <v>0.13946159458310908</v>
      </c>
      <c r="V56" s="193" t="e">
        <f>(Model!$C$52*V5*V20+V2*W5*W20)/V32</f>
        <v>#DIV/0!</v>
      </c>
      <c r="X56" s="193" t="e">
        <f>(Model!$C$52*X5*X20+X2*Y5*Y20)/X32</f>
        <v>#DIV/0!</v>
      </c>
      <c r="Z56" s="193" t="e">
        <f>(Model!$C$52*Z5*Z20+Z2*AA5*AA20)/Z32</f>
        <v>#DIV/0!</v>
      </c>
      <c r="AB56" s="193" t="e">
        <f>(Model!$C$52*AB5*AB20+AB2*AC5*AC20)/AB32</f>
        <v>#DIV/0!</v>
      </c>
      <c r="AD56" s="193" t="e">
        <f>(Model!$C$52*AD5*AD20+AD2*AE5*AE20)/AD32</f>
        <v>#DIV/0!</v>
      </c>
      <c r="AF56" s="193" t="e">
        <f>(Model!$C$52*AF5*AF20+AF2*AG5*AG20)/AF32</f>
        <v>#DIV/0!</v>
      </c>
      <c r="AH56" s="193" t="e">
        <f>(Model!$C$52*AH5*AH20+AH2*AI5*AI20)/AH32</f>
        <v>#DIV/0!</v>
      </c>
      <c r="AJ56" s="193" t="e">
        <f>(Model!$C$52*AJ5*AJ20+AJ2*AK5*AK20)/AJ32</f>
        <v>#DIV/0!</v>
      </c>
      <c r="AL56" s="193" t="e">
        <f>(Model!$C$52*AL5*AL20+AL2*AM5*AM20)/AL32</f>
        <v>#DIV/0!</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0.15127254820368519</v>
      </c>
      <c r="F57" s="193">
        <f t="array" ref="F57">SUM(Model!tauL*F13:G13*F26:G26)/F32</f>
        <v>0.14351747563503531</v>
      </c>
      <c r="H57" s="193">
        <f t="array" ref="H57">SUM(Model!tauL*H13:I13*H26:I26)/H32</f>
        <v>0.13513873072274032</v>
      </c>
      <c r="J57" s="193">
        <f t="array" ref="J57">SUM(Model!tauL*J13:K13*J26:K26)/J32</f>
        <v>0.12595808451394727</v>
      </c>
      <c r="L57" s="193">
        <f t="array" ref="L57">SUM(Model!tauL*L13:M13*L26:M26)/L32</f>
        <v>0.11570278837618607</v>
      </c>
      <c r="N57" s="193">
        <f t="array" ref="N57">SUM(Model!tauL*N13:O13*N26:O26)/N32</f>
        <v>0.10392418840745681</v>
      </c>
      <c r="P57" s="193">
        <f t="array" ref="P57">SUM(Model!tauL*P13:Q13*P26:Q26)/P32</f>
        <v>8.9818090013799451E-2</v>
      </c>
      <c r="R57" s="193">
        <f t="array" ref="R57">SUM(Model!tauL*R13:S13*R26:S26)/R32</f>
        <v>7.1775099062761596E-2</v>
      </c>
      <c r="T57" s="193">
        <f t="array" ref="T57">SUM(Model!tauL*T13:U13*T26:U26)/T32</f>
        <v>4.6005133431446861E-2</v>
      </c>
      <c r="V57" s="193" t="e">
        <f t="array" ref="V57">SUM(Model!tauL*V13:W13*V26:W26)/V32</f>
        <v>#DIV/0!</v>
      </c>
      <c r="X57" s="193" t="e">
        <f t="array" ref="X57">SUM(Model!tauL*X13:Y13*X26:Y26)/X32</f>
        <v>#DIV/0!</v>
      </c>
      <c r="Y57" s="193"/>
      <c r="Z57" s="193" t="e">
        <f t="array" ref="Z57">SUM(Model!tauL*Z13:AA13*Z26:AA26)/Z32</f>
        <v>#DIV/0!</v>
      </c>
      <c r="AB57" s="193" t="e">
        <f t="array" ref="AB57">SUM(Model!tauL*AB13:AC13*AB26:AC26)/AB32</f>
        <v>#DIV/0!</v>
      </c>
      <c r="AD57" s="193" t="e">
        <f t="array" ref="AD57">SUM(Model!tauL*AD13:AE13*AD26:AE26)/AD32</f>
        <v>#DIV/0!</v>
      </c>
      <c r="AF57" s="193" t="e">
        <f t="array" ref="AF57">SUM(Model!tauL*AF13:AG13*AF26:AG26)/AF32</f>
        <v>#DIV/0!</v>
      </c>
      <c r="AH57" s="193" t="e">
        <f t="array" ref="AH57">SUM(Model!tauL*AH13:AI13*AH26:AI26)/AH32</f>
        <v>#DIV/0!</v>
      </c>
      <c r="AJ57" s="193" t="e">
        <f t="array" ref="AJ57">SUM(Model!tauL*AJ13:AK13*AJ26:AK26)/AJ32</f>
        <v>#DIV/0!</v>
      </c>
      <c r="AL57" s="193" t="e">
        <f t="array" ref="AL57">SUM(Model!tauL*AL13:AM13*AL26:AM26)/AL32</f>
        <v>#DIV/0!</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1.06487259475305E-2</v>
      </c>
      <c r="F58" s="193">
        <f t="array" ref="F58">SUM(Model!tauY/(1+Model!tauY)*F3:G3*F18:G18)/F32</f>
        <v>1.0542944703675462E-2</v>
      </c>
      <c r="H58" s="193">
        <f t="array" ref="H58">SUM(Model!tauY/(1+Model!tauY)*H3:I3*H18:I18)/H32</f>
        <v>1.0434122341161494E-2</v>
      </c>
      <c r="J58" s="193">
        <f t="array" ref="J58">SUM(Model!tauY/(1+Model!tauY)*J3:K3*J18:K18)/J32</f>
        <v>1.0320839805105493E-2</v>
      </c>
      <c r="L58" s="193">
        <f t="array" ref="L58">SUM(Model!tauY/(1+Model!tauY)*L3:M3*L18:M18)/L32</f>
        <v>1.020142971311859E-2</v>
      </c>
      <c r="N58" s="193">
        <f t="array" ref="N58">SUM(Model!tauY/(1+Model!tauY)*N3:O3*N18:O18)/N32</f>
        <v>1.0073863367002596E-2</v>
      </c>
      <c r="P58" s="193">
        <f t="array" ref="P58">SUM(Model!tauY/(1+Model!tauY)*P3:Q3*P18:Q18)/P32</f>
        <v>9.935508683486494E-3</v>
      </c>
      <c r="R58" s="193">
        <f t="array" ref="R58">SUM(Model!tauY/(1+Model!tauY)*R3:S3*R18:S18)/R32</f>
        <v>9.7825462493187337E-3</v>
      </c>
      <c r="T58" s="193">
        <f t="array" ref="T58">SUM(Model!tauY/(1+Model!tauY)*T3:U3*T18:U18)/T32</f>
        <v>9.6083311812344419E-3</v>
      </c>
      <c r="V58" s="193" t="e">
        <f t="array" ref="V58">SUM(Model!tauY/(1+Model!tauY)*V3:W3*V18:W18)/V32</f>
        <v>#DIV/0!</v>
      </c>
      <c r="X58" s="193" t="e">
        <f t="array" ref="X58">SUM(Model!tauY/(1+Model!tauY)*X3:Y3*X18:Y18)/X32</f>
        <v>#DIV/0!</v>
      </c>
      <c r="Y58" s="193"/>
      <c r="Z58" s="193" t="e">
        <f t="array" ref="Z58">SUM(Model!tauY/(1+Model!tauY)*Z3:AA3*Z18:AA18)/Z32</f>
        <v>#DIV/0!</v>
      </c>
      <c r="AB58" s="193" t="e">
        <f t="array" ref="AB58">SUM(Model!tauY/(1+Model!tauY)*AB3:AC3*AB18:AC18)/AB32</f>
        <v>#DIV/0!</v>
      </c>
      <c r="AD58" s="193" t="e">
        <f t="array" ref="AD58">SUM(Model!tauY/(1+Model!tauY)*AD3:AE3*AD18:AE18)/AD32</f>
        <v>#DIV/0!</v>
      </c>
      <c r="AF58" s="193" t="e">
        <f t="array" ref="AF58">SUM(Model!tauY/(1+Model!tauY)*AF3:AG3*AF18:AG18)/AF32</f>
        <v>#DIV/0!</v>
      </c>
      <c r="AH58" s="193" t="e">
        <f t="array" ref="AH58">SUM(Model!tauY/(1+Model!tauY)*AH3:AI3*AH18:AI18)/AH32</f>
        <v>#DIV/0!</v>
      </c>
      <c r="AJ58" s="193" t="e">
        <f t="array" ref="AJ58">SUM(Model!tauY/(1+Model!tauY)*AJ3:AK3*AJ18:AK18)/AJ32</f>
        <v>#DIV/0!</v>
      </c>
      <c r="AL58" s="193" t="e">
        <f t="array" ref="AL58">SUM(Model!tauY/(1+Model!tauY)*AL3:AM3*AL18:AM18)/AL32</f>
        <v>#DIV/0!</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7.7643714676688706E-3</v>
      </c>
      <c r="F59" s="193">
        <f>(F2*G5*G20)/F32</f>
        <v>1.5462670953498767E-2</v>
      </c>
      <c r="H59" s="193">
        <f>(H2*I5*I20)/H32</f>
        <v>2.3769218384678159E-2</v>
      </c>
      <c r="J59" s="193">
        <f>(J2*K5*K20)/J32</f>
        <v>3.2858671350396239E-2</v>
      </c>
      <c r="L59" s="193">
        <f>(L2*M5*M20)/L32</f>
        <v>4.2997693042262732E-2</v>
      </c>
      <c r="N59" s="193">
        <f>(N2*O5*O20)/N32</f>
        <v>5.4624791617273148E-2</v>
      </c>
      <c r="P59" s="193">
        <f>(P2*Q5*Q20)/P32</f>
        <v>6.852504282298269E-2</v>
      </c>
      <c r="R59" s="193">
        <f>(R2*S5*S20)/R32</f>
        <v>8.6268697204801417E-2</v>
      </c>
      <c r="T59" s="193">
        <f>(T2*U5*U20)/T32</f>
        <v>0.1115523902158328</v>
      </c>
      <c r="V59" s="193" t="e">
        <f>(V2*W5*W20)/V32</f>
        <v>#DIV/0!</v>
      </c>
      <c r="X59" s="193" t="e">
        <f>(X2*Y5*Y20)/X32</f>
        <v>#DIV/0!</v>
      </c>
      <c r="Z59" s="193" t="e">
        <f>(Z2*AA5*AA20)/Z32</f>
        <v>#DIV/0!</v>
      </c>
      <c r="AB59" s="193" t="e">
        <f>(AB2*AC5*AC20)/AB32</f>
        <v>#DIV/0!</v>
      </c>
      <c r="AD59" s="193" t="e">
        <f>(AD2*AE5*AE20)/AD32</f>
        <v>#DIV/0!</v>
      </c>
      <c r="AF59" s="193" t="e">
        <f>(AF2*AG5*AG20)/AF32</f>
        <v>#DIV/0!</v>
      </c>
      <c r="AH59" s="193" t="e">
        <f>(AH2*AI5*AI20)/AH32</f>
        <v>#DIV/0!</v>
      </c>
      <c r="AJ59" s="193" t="e">
        <f>(AJ2*AK5*AK20)/AJ32</f>
        <v>#DIV/0!</v>
      </c>
      <c r="AL59" s="193" t="e">
        <f>(AL2*AM5*AM20)/AL32</f>
        <v>#DIV/0!</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2.8596042637977163E-2</v>
      </c>
      <c r="F60" s="193">
        <f>Model!$C$52*F5*F20/F32</f>
        <v>2.8522355881167871E-2</v>
      </c>
      <c r="H60" s="193">
        <f>Model!$C$52*H5*H20/H32</f>
        <v>2.8448143649392205E-2</v>
      </c>
      <c r="J60" s="193">
        <f>Model!$C$52*J5*J20/J32</f>
        <v>2.8373010430568939E-2</v>
      </c>
      <c r="L60" s="193">
        <f>Model!$C$52*L5*L20/L32</f>
        <v>2.829625590898947E-2</v>
      </c>
      <c r="N60" s="193">
        <f>Model!$C$52*N5*N20/N32</f>
        <v>2.821652860234625E-2</v>
      </c>
      <c r="P60" s="193">
        <f>Model!$C$52*P5*P20/P32</f>
        <v>2.813105795825448E-2</v>
      </c>
      <c r="R60" s="193">
        <f>Model!$C$52*R5*R20/R32</f>
        <v>2.8033722597859058E-2</v>
      </c>
      <c r="T60" s="193">
        <f>Model!$C$52*T5*T20/T32</f>
        <v>2.7909204367276293E-2</v>
      </c>
      <c r="V60" s="193" t="e">
        <f>Model!$C$52*V5*V20/V32</f>
        <v>#DIV/0!</v>
      </c>
      <c r="X60" s="193" t="e">
        <f>Model!$C$52*X5*X20/X32</f>
        <v>#DIV/0!</v>
      </c>
      <c r="Z60" s="193" t="e">
        <f>Model!$C$52*Z5*Z20/Z32</f>
        <v>#DIV/0!</v>
      </c>
      <c r="AB60" s="193" t="e">
        <f>Model!$C$52*AB5*AB20/AB32</f>
        <v>#DIV/0!</v>
      </c>
      <c r="AD60" s="193" t="e">
        <f>Model!$C$52*AD5*AD20/AD32</f>
        <v>#DIV/0!</v>
      </c>
      <c r="AF60" s="193" t="e">
        <f>Model!$C$52*AF5*AF20/AF32</f>
        <v>#DIV/0!</v>
      </c>
      <c r="AH60" s="193" t="e">
        <f>Model!$C$52*AH5*AH20/AH32</f>
        <v>#DIV/0!</v>
      </c>
      <c r="AJ60" s="193" t="e">
        <f>Model!$C$52*AJ5*AJ20/AJ32</f>
        <v>#DIV/0!</v>
      </c>
      <c r="AL60" s="193" t="e">
        <f>Model!$C$52*AL5*AL20/AL32</f>
        <v>#DIV/0!</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0.88671730372789503</v>
      </c>
      <c r="F62">
        <f>F13/F15</f>
        <v>0.7785703012327897</v>
      </c>
      <c r="H62">
        <f>H13/H15</f>
        <v>0.67484284017035767</v>
      </c>
      <c r="J62">
        <f>J13/J15</f>
        <v>0.57478339482651319</v>
      </c>
      <c r="L62">
        <f>L13/L15</f>
        <v>0.47751007161132791</v>
      </c>
      <c r="N62">
        <f>N13/N15</f>
        <v>0.38189247938340648</v>
      </c>
      <c r="P62">
        <f>P13/P15</f>
        <v>0.28640833824829215</v>
      </c>
      <c r="R62">
        <f>R13/R15</f>
        <v>0.18908071864152168</v>
      </c>
      <c r="T62">
        <f>T13/T15</f>
        <v>8.8438616840206E-2</v>
      </c>
      <c r="V62" t="e">
        <f>V13/V15</f>
        <v>#DIV/0!</v>
      </c>
      <c r="X62" t="e">
        <f>X13/X15</f>
        <v>#DIV/0!</v>
      </c>
      <c r="Z62" t="e">
        <f>Z13/Z15</f>
        <v>#DIV/0!</v>
      </c>
      <c r="AB62" t="e">
        <f>AB13/AB15</f>
        <v>#DIV/0!</v>
      </c>
      <c r="AD62" t="e">
        <f>AD13/AD15</f>
        <v>#DIV/0!</v>
      </c>
      <c r="AF62" t="e">
        <f>AF13/AF15</f>
        <v>#DIV/0!</v>
      </c>
      <c r="AH62" t="e">
        <f>AH13/AH15</f>
        <v>#DIV/0!</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0.99660038877341739</v>
      </c>
      <c r="E65" s="191"/>
      <c r="F65" s="191">
        <f t="array" ref="F65">SQRT((F9:G9*$B$22:$C$22+F10:G10*$B$23:$C$23+F11:G11*$B$24:$C$24+F4:G4*($B$25:$C$25-$B$19:$C$19))/($B$9:$C$9*$B$22:$C$22+$B$10:$C$10*$B$23:$C$23+$B$11:$C$11*$B$24:$C$24+$B$4:$C$4*($B$25:$C$25-$B$19:$C$19))*(F9:G9*F22:G22+F10:G10*F23:G23+F11:G11*F24:G24+F4:G4*(F25:G25-F19:G19))/($B$9:$C$9*F22:G22+$B$10:$C$10*F23:G23+$B$11:$C$11*F24:G24+$B$4:$C$4*(F25:G25-F19:G19)))</f>
        <v>0.9930794604558677</v>
      </c>
      <c r="G65" s="191"/>
      <c r="H65" s="191">
        <f t="array" ref="H65">SQRT((H9:I9*$B$22:$C$22+H10:I10*$B$23:$C$23+H11:I11*$B$24:$C$24+H4:I4*($B$25:$C$25-$B$19:$C$19))/($B$9:$C$9*$B$22:$C$22+$B$10:$C$10*$B$23:$C$23+$B$11:$C$11*$B$24:$C$24+$B$4:$C$4*($B$25:$C$25-$B$19:$C$19))*(H9:I9*H22:I22+H10:I10*H23:I23+H11:I11*H24:I24+H4:I4*(H25:I25-H19:I19))/($B$9:$C$9*H22:I22+$B$10:$C$10*H23:I23+$B$11:$C$11*H24:I24+$B$4:$C$4*(H25:I25-H19:I19)))</f>
        <v>0.98939294967136682</v>
      </c>
      <c r="I65" s="191"/>
      <c r="J65" s="191">
        <f t="array" ref="J65">SQRT((J9:K9*$B$22:$C$22+J10:K10*$B$23:$C$23+J11:K11*$B$24:$C$24+J4:K4*($B$25:$C$25-$B$19:$C$19))/($B$9:$C$9*$B$22:$C$22+$B$10:$C$10*$B$23:$C$23+$B$11:$C$11*$B$24:$C$24+$B$4:$C$4*($B$25:$C$25-$B$19:$C$19))*(J9:K9*J22:K22+J10:K10*J23:K23+J11:K11*J24:K24+J4:K4*(J25:K25-J19:K19))/($B$9:$C$9*J22:K22+$B$10:$C$10*J23:K23+$B$11:$C$11*J24:K24+$B$4:$C$4*(J25:K25-J19:K19)))</f>
        <v>0.98549871963258007</v>
      </c>
      <c r="K65" s="191"/>
      <c r="L65" s="191">
        <f t="array" ref="L65">SQRT((L9:M9*$B$22:$C$22+L10:M10*$B$23:$C$23+L11:M11*$B$24:$C$24+L4:M4*($B$25:$C$25-$B$19:$C$19))/($B$9:$C$9*$B$22:$C$22+$B$10:$C$10*$B$23:$C$23+$B$11:$C$11*$B$24:$C$24+$B$4:$C$4*($B$25:$C$25-$B$19:$C$19))*(L9:M9*L22:M22+L10:M10*L23:M23+L11:M11*L24:M24+L4:M4*(L25:M25-L19:M19))/($B$9:$C$9*L22:M22+$B$10:$C$10*L23:M23+$B$11:$C$11*L24:M24+$B$4:$C$4*(L25:M25-L19:M19)))</f>
        <v>0.98136105060937862</v>
      </c>
      <c r="M65" s="191"/>
      <c r="N65" s="191">
        <f t="array" ref="N65">SQRT((N9:O9*$B$22:$C$22+N10:O10*$B$23:$C$23+N11:O11*$B$24:$C$24+N4:O4*($B$25:$C$25-$B$19:$C$19))/($B$9:$C$9*$B$22:$C$22+$B$10:$C$10*$B$23:$C$23+$B$11:$C$11*$B$24:$C$24+$B$4:$C$4*($B$25:$C$25-$B$19:$C$19))*(N9:O9*N22:O22+N10:O10*N23:O23+N11:O11*N24:O24+N4:O4*(N25:O25-N19:O19))/($B$9:$C$9*N22:O22+$B$10:$C$10*N23:O23+$B$11:$C$11*N24:O24+$B$4:$C$4*(N25:O25-N19:O19)))</f>
        <v>0.97695866303789436</v>
      </c>
      <c r="O65" s="191"/>
      <c r="P65" s="191">
        <f t="array" ref="P65">SQRT((P9:Q9*$B$22:$C$22+P10:Q10*$B$23:$C$23+P11:Q11*$B$24:$C$24+P4:Q4*($B$25:$C$25-$B$19:$C$19))/($B$9:$C$9*$B$22:$C$22+$B$10:$C$10*$B$23:$C$23+$B$11:$C$11*$B$24:$C$24+$B$4:$C$4*($B$25:$C$25-$B$19:$C$19))*(P9:Q9*P22:Q22+P10:Q10*P23:Q23+P11:Q11*P24:Q24+P4:Q4*(P25:Q25-P19:Q19))/($B$9:$C$9*P22:Q22+$B$10:$C$10*P23:Q23+$B$11:$C$11*P24:Q24+$B$4:$C$4*(P25:Q25-P19:Q19)))</f>
        <v>0.97230127353358475</v>
      </c>
      <c r="Q65" s="191"/>
      <c r="R65" s="191">
        <f t="array" ref="R65">SQRT((R9:S9*$B$22:$C$22+R10:S10*$B$23:$C$23+R11:S11*$B$24:$C$24+R4:S4*($B$25:$C$25-$B$19:$C$19))/($B$9:$C$9*$B$22:$C$22+$B$10:$C$10*$B$23:$C$23+$B$11:$C$11*$B$24:$C$24+$B$4:$C$4*($B$25:$C$25-$B$19:$C$19))*(R9:S9*R22:S22+R10:S10*R23:S23+R11:S11*R24:S24+R4:S4*(R25:S25-R19:S19))/($B$9:$C$9*R22:S22+$B$10:$C$10*R23:S23+$B$11:$C$11*R24:S24+$B$4:$C$4*(R25:S25-R19:S19)))</f>
        <v>0.96747094298372494</v>
      </c>
      <c r="S65" s="191"/>
      <c r="T65" s="191">
        <f t="array" ref="T65">SQRT((T9:U9*$B$22:$C$22+T10:U10*$B$23:$C$23+T11:U11*$B$24:$C$24+T4:U4*($B$25:$C$25-$B$19:$C$19))/($B$9:$C$9*$B$22:$C$22+$B$10:$C$10*$B$23:$C$23+$B$11:$C$11*$B$24:$C$24+$B$4:$C$4*($B$25:$C$25-$B$19:$C$19))*(T9:U9*T22:U22+T10:U10*T23:U23+T11:U11*T24:U24+T4:U4*(T25:U25-T19:U19))/($B$9:$C$9*T22:U22+$B$10:$C$10*T23:U23+$B$11:$C$11*T24:U24+$B$4:$C$4*(T25:U25-T19:U19)))</f>
        <v>0.9627482513714215</v>
      </c>
      <c r="U65" s="191"/>
      <c r="V65" s="191" t="e">
        <f t="array" ref="V65">SQRT((V9:W9*$B$22:$C$22+V10:W10*$B$23:$C$23+V11:W11*$B$24:$C$24+V4:W4*($B$25:$C$25-$B$19:$C$19))/($B$9:$C$9*$B$22:$C$22+$B$10:$C$10*$B$23:$C$23+$B$11:$C$11*$B$24:$C$24+$B$4:$C$4*($B$25:$C$25-$B$19:$C$19))*(V9:W9*V22:W22+V10:W10*V23:W23+V11:W11*V24:W24+V4:W4*(V25:W25-V19:W19))/($B$9:$C$9*V22:W22+$B$10:$C$10*V23:W23+$B$11:$C$11*V24:W24+$B$4:$C$4*(V25:W25-V19:W19)))</f>
        <v>#DIV/0!</v>
      </c>
      <c r="W65" s="191"/>
      <c r="X65" s="191" t="e">
        <f t="array" ref="X65">SQRT((X9:Y9*$B$22:$C$22+X10:Y10*$B$23:$C$23+X11:Y11*$B$24:$C$24+X4:Y4*($B$25:$C$25-$B$19:$C$19))/($B$9:$C$9*$B$22:$C$22+$B$10:$C$10*$B$23:$C$23+$B$11:$C$11*$B$24:$C$24+$B$4:$C$4*($B$25:$C$25-$B$19:$C$19))*(X9:Y9*X22:Y22+X10:Y10*X23:Y23+X11:Y11*X24:Y24+X4:Y4*(X25:Y25-X19:Y19))/($B$9:$C$9*X22:Y22+$B$10:$C$10*X23:Y23+$B$11:$C$11*X24:Y24+$B$4:$C$4*(X25:Y25-X19:Y19)))</f>
        <v>#DIV/0!</v>
      </c>
      <c r="Y65" s="191"/>
      <c r="Z65" s="191" t="e">
        <f t="array" ref="Z65">SQRT((Z9:AA9*$B$22:$C$22+Z10:AA10*$B$23:$C$23+Z11:AA11*$B$24:$C$24+Z4:AA4*($B$25:$C$25-$B$19:$C$19))/($B$9:$C$9*$B$22:$C$22+$B$10:$C$10*$B$23:$C$23+$B$11:$C$11*$B$24:$C$24+$B$4:$C$4*($B$25:$C$25-$B$19:$C$19))*(Z9:AA9*Z22:AA22+Z10:AA10*Z23:AA23+Z11:AA11*Z24:AA24+Z4:AA4*(Z25:AA25-Z19:AA19))/($B$9:$C$9*Z22:AA22+$B$10:$C$10*Z23:AA23+$B$11:$C$11*Z24:AA24+$B$4:$C$4*(Z25:AA25-Z19:AA19)))</f>
        <v>#DIV/0!</v>
      </c>
      <c r="AA65" s="191"/>
      <c r="AB65" s="191" t="e">
        <f t="array" ref="AB65">SQRT((AB9:AC9*$B$22:$C$22+AB10:AC10*$B$23:$C$23+AB11:AC11*$B$24:$C$24+AB4:AC4*($B$25:$C$25-$B$19:$C$19))/($B$9:$C$9*$B$22:$C$22+$B$10:$C$10*$B$23:$C$23+$B$11:$C$11*$B$24:$C$24+$B$4:$C$4*($B$25:$C$25-$B$19:$C$19))*(AB9:AC9*AB22:AC22+AB10:AC10*AB23:AC23+AB11:AC11*AB24:AC24+AB4:AC4*(AB25:AC25-AB19:AC19))/($B$9:$C$9*AB22:AC22+$B$10:$C$10*AB23:AC23+$B$11:$C$11*AB24:AC24+$B$4:$C$4*(AB25:AC25-AB19:AC19)))</f>
        <v>#DIV/0!</v>
      </c>
      <c r="AC65" s="191"/>
      <c r="AD65" s="191" t="e">
        <f t="array" ref="AD65">SQRT((AD9:AE9*$B$22:$C$22+AD10:AE10*$B$23:$C$23+AD11:AE11*$B$24:$C$24+AD4:AE4*($B$25:$C$25-$B$19:$C$19))/($B$9:$C$9*$B$22:$C$22+$B$10:$C$10*$B$23:$C$23+$B$11:$C$11*$B$24:$C$24+$B$4:$C$4*($B$25:$C$25-$B$19:$C$19))*(AD9:AE9*AD22:AE22+AD10:AE10*AD23:AE23+AD11:AE11*AD24:AE24+AD4:AE4*(AD25:AE25-AD19:AE19))/($B$9:$C$9*AD22:AE22+$B$10:$C$10*AD23:AE23+$B$11:$C$11*AD24:AE24+$B$4:$C$4*(AD25:AE25-AD19:AE19)))</f>
        <v>#DIV/0!</v>
      </c>
      <c r="AE65" s="191"/>
      <c r="AF65" s="191" t="e">
        <f t="array" ref="AF65">SQRT((AF9:AG9*$B$22:$C$22+AF10:AG10*$B$23:$C$23+AF11:AG11*$B$24:$C$24+AF4:AG4*($B$25:$C$25-$B$19:$C$19))/($B$9:$C$9*$B$22:$C$22+$B$10:$C$10*$B$23:$C$23+$B$11:$C$11*$B$24:$C$24+$B$4:$C$4*($B$25:$C$25-$B$19:$C$19))*(AF9:AG9*AF22:AG22+AF10:AG10*AF23:AG23+AF11:AG11*AF24:AG24+AF4:AG4*(AF25:AG25-AF19:AG19))/($B$9:$C$9*AF22:AG22+$B$10:$C$10*AF23:AG23+$B$11:$C$11*AF24:AG24+$B$4:$C$4*(AF25:AG25-AF19:AG19)))</f>
        <v>#DIV/0!</v>
      </c>
      <c r="AG65" s="191"/>
      <c r="AH65" s="191" t="e">
        <f t="array" ref="AH65">SQRT((AH9:AI9*$B$22:$C$22+AH10:AI10*$B$23:$C$23+AH11:AI11*$B$24:$C$24+AH4:AI4*($B$25:$C$25-$B$19:$C$19))/($B$9:$C$9*$B$22:$C$22+$B$10:$C$10*$B$23:$C$23+$B$11:$C$11*$B$24:$C$24+$B$4:$C$4*($B$25:$C$25-$B$19:$C$19))*(AH9:AI9*AH22:AI22+AH10:AI10*AH23:AI23+AH11:AI11*AH24:AI24+AH4:AI4*(AH25:AI25-AH19:AI19))/($B$9:$C$9*AH22:AI22+$B$10:$C$10*AH23:AI23+$B$11:$C$11*AH24:AI24+$B$4:$C$4*(AH25:AI25-AH19:AI19)))</f>
        <v>#DIV/0!</v>
      </c>
      <c r="AI65" s="191"/>
      <c r="AJ65" s="19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91"/>
      <c r="AL65" s="19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0.99625859215647605</v>
      </c>
      <c r="E66" s="191"/>
      <c r="F66" s="191">
        <f t="array" ref="F66">SQRT((F9:G9*$B$22:$C$22)/($B$9:$C$9*$B$22:$C$22)*(F9:G9*F22:G22)/($B$9:$C$9*F22:G22))</f>
        <v>0.99237270198011507</v>
      </c>
      <c r="G66" s="191"/>
      <c r="H66" s="191">
        <f t="array" ref="H66">SQRT((H9:I9*$B$22:$C$22)/($B$9:$C$9*$B$22:$C$22)*(H9:I9*H22:I22)/($B$9:$C$9*H22:I22))</f>
        <v>0.98829191571704211</v>
      </c>
      <c r="I66" s="191"/>
      <c r="J66" s="191">
        <f t="array" ref="J66">SQRT((J9:K9*$B$22:$C$22)/($B$9:$C$9*$B$22:$C$22)*(J9:K9*J22:K22)/($B$9:$C$9*J22:K22))</f>
        <v>0.98396745654270434</v>
      </c>
      <c r="K66" s="191"/>
      <c r="L66" s="191">
        <f t="array" ref="L66">SQRT((L9:M9*$B$22:$C$22)/($B$9:$C$9*$B$22:$C$22)*(L9:M9*L22:M22)/($B$9:$C$9*L22:M22))</f>
        <v>0.97935690200676384</v>
      </c>
      <c r="M66" s="191"/>
      <c r="N66" s="191">
        <f t="array" ref="N66">SQRT((N9:O9*$B$22:$C$22)/($B$9:$C$9*$B$22:$C$22)*(N9:O9*N22:O22)/($B$9:$C$9*N22:O22))</f>
        <v>0.97443318030408299</v>
      </c>
      <c r="O66" s="191"/>
      <c r="P66" s="191">
        <f t="array" ref="P66">SQRT((P9:Q9*$B$22:$C$22)/($B$9:$C$9*$B$22:$C$22)*(P9:Q9*P22:Q22)/($B$9:$C$9*P22:Q22))</f>
        <v>0.9692034056927552</v>
      </c>
      <c r="Q66" s="191"/>
      <c r="R66" s="191">
        <f t="array" ref="R66">SQRT((R9:S9*$B$22:$C$22)/($B$9:$C$9*$B$22:$C$22)*(R9:S9*R22:S22)/($B$9:$C$9*R22:S22))</f>
        <v>0.96375631481095525</v>
      </c>
      <c r="S66" s="191"/>
      <c r="T66" s="191">
        <f t="array" ref="T66">SQRT((T9:U9*$B$22:$C$22)/($B$9:$C$9*$B$22:$C$22)*(T9:U9*T22:U22)/($B$9:$C$9*T22:U22))</f>
        <v>0.95840751511551314</v>
      </c>
      <c r="U66" s="191"/>
      <c r="V66" s="191" t="e">
        <f t="array" ref="V66">SQRT((V9:W9*$B$22:$C$22)/($B$9:$C$9*$B$22:$C$22)*(V9:W9*V22:W22)/($B$9:$C$9*V22:W22))</f>
        <v>#DIV/0!</v>
      </c>
      <c r="W66" s="191"/>
      <c r="X66" s="191" t="e">
        <f t="array" ref="X66">SQRT((X9:Y9*$B$22:$C$22)/($B$9:$C$9*$B$22:$C$22)*(X9:Y9*X22:Y22)/($B$9:$C$9*X22:Y22))</f>
        <v>#DIV/0!</v>
      </c>
      <c r="Y66" s="191"/>
      <c r="Z66" s="191" t="e">
        <f t="array" ref="Z66">SQRT((Z9:AA9*$B$22:$C$22)/($B$9:$C$9*$B$22:$C$22)*(Z9:AA9*Z22:AA22)/($B$9:$C$9*Z22:AA22))</f>
        <v>#DIV/0!</v>
      </c>
      <c r="AA66" s="191"/>
      <c r="AB66" s="191" t="e">
        <f t="array" ref="AB66">SQRT((AB9:AC9*$B$22:$C$22)/($B$9:$C$9*$B$22:$C$22)*(AB9:AC9*AB22:AC22)/($B$9:$C$9*AB22:AC22))</f>
        <v>#DIV/0!</v>
      </c>
      <c r="AC66" s="191"/>
      <c r="AD66" s="191" t="e">
        <f t="array" ref="AD66">SQRT((AD9:AE9*$B$22:$C$22)/($B$9:$C$9*$B$22:$C$22)*(AD9:AE9*AD22:AE22)/($B$9:$C$9*AD22:AE22))</f>
        <v>#DIV/0!</v>
      </c>
      <c r="AE66" s="191"/>
      <c r="AF66" s="191" t="e">
        <f t="array" ref="AF66">SQRT((AF9:AG9*$B$22:$C$22)/($B$9:$C$9*$B$22:$C$22)*(AF9:AG9*AF22:AG22)/($B$9:$C$9*AF22:AG22))</f>
        <v>#DIV/0!</v>
      </c>
      <c r="AG66" s="191"/>
      <c r="AH66" s="191" t="e">
        <f t="array" ref="AH66">SQRT((AH9:AI9*$B$22:$C$22)/($B$9:$C$9*$B$22:$C$22)*(AH9:AI9*AH22:AI22)/($B$9:$C$9*AH22:AI22))</f>
        <v>#DIV/0!</v>
      </c>
      <c r="AI66" s="191"/>
      <c r="AJ66" s="191" t="e">
        <f t="array" ref="AJ66">SQRT((AJ9:AK9*$B$22:$C$22)/($B$9:$C$9*$B$22:$C$22)*(AJ9:AK9*AJ22:AK22)/($B$9:$C$9*AJ22:AK22))</f>
        <v>#DIV/0!</v>
      </c>
      <c r="AK66" s="191"/>
      <c r="AL66" s="191" t="e">
        <f t="array" ref="AL66">SQRT((AL9:AM9*$B$22:$C$22)/($B$9:$C$9*$B$22:$C$22)*(AL9:AM9*AL22:AM22)/($B$9:$C$9*AL22:AM22))</f>
        <v>#DIV/0!</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t="e">
        <f t="array" ref="V67">SQRT((V4:W4*$B$19:$C$19)/($B$4:$C$4*$B$19:$C$19)*(V4:W4*V19:W19)/($B$4:$C$4*V19:W19))</f>
        <v>#DIV/0!</v>
      </c>
      <c r="W67" s="191"/>
      <c r="X67" s="191" t="e">
        <f t="array" ref="X67">SQRT((X4:Y4*$B$19:$C$19)/($B$4:$C$4*$B$19:$C$19)*(X4:Y4*X19:Y19)/($B$4:$C$4*X19:Y19))</f>
        <v>#DIV/0!</v>
      </c>
      <c r="Y67" s="191"/>
      <c r="Z67" s="191" t="e">
        <f t="array" ref="Z67">SQRT((Z4:AA4*$B$19:$C$19)/($B$4:$C$4*$B$19:$C$19)*(Z4:AA4*Z19:AA19)/($B$4:$C$4*Z19:AA19))</f>
        <v>#DIV/0!</v>
      </c>
      <c r="AA67" s="191"/>
      <c r="AB67" s="191" t="e">
        <f t="array" ref="AB67">SQRT((AB4:AC4*$B$19:$C$19)/($B$4:$C$4*$B$19:$C$19)*(AB4:AC4*AB19:AC19)/($B$4:$C$4*AB19:AC19))</f>
        <v>#DIV/0!</v>
      </c>
      <c r="AC67" s="191"/>
      <c r="AD67" s="191" t="e">
        <f t="array" ref="AD67">SQRT((AD4:AE4*$B$19:$C$19)/($B$4:$C$4*$B$19:$C$19)*(AD4:AE4*AD19:AE19)/($B$4:$C$4*AD19:AE19))</f>
        <v>#DIV/0!</v>
      </c>
      <c r="AE67" s="191"/>
      <c r="AF67" s="191" t="e">
        <f t="array" ref="AF67">SQRT((AF4:AG4*$B$19:$C$19)/($B$4:$C$4*$B$19:$C$19)*(AF4:AG4*AF19:AG19)/($B$4:$C$4*AF19:AG19))</f>
        <v>#DIV/0!</v>
      </c>
      <c r="AG67" s="191"/>
      <c r="AH67" s="191" t="e">
        <f t="array" ref="AH67">SQRT((AH4:AI4*$B$19:$C$19)/($B$4:$C$4*$B$19:$C$19)*(AH4:AI4*AH19:AI19)/($B$4:$C$4*AH19:AI19))</f>
        <v>#DIV/0!</v>
      </c>
      <c r="AI67" s="191"/>
      <c r="AJ67" s="191" t="e">
        <f t="array" ref="AJ67">SQRT((AJ4:AK4*$B$19:$C$19)/($B$4:$C$4*$B$19:$C$19)*(AJ4:AK4*AJ19:AK19)/($B$4:$C$4*AJ19:AK19))</f>
        <v>#DIV/0!</v>
      </c>
      <c r="AK67" s="191"/>
      <c r="AL67" s="191" t="e">
        <f t="array" ref="AL67">SQRT((AL4:AM4*$B$19:$C$19)/($B$4:$C$4*$B$19:$C$19)*(AL4:AM4*AL19:AM19)/($B$4:$C$4*AL19:AM19))</f>
        <v>#DIV/0!</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0.99625859215647605</v>
      </c>
      <c r="E68" s="191"/>
      <c r="F68" s="191">
        <f>F66/F67</f>
        <v>0.99237270198011507</v>
      </c>
      <c r="G68" s="191"/>
      <c r="H68" s="191">
        <f>H66/H67</f>
        <v>0.98829191571704211</v>
      </c>
      <c r="I68" s="191"/>
      <c r="J68" s="191">
        <f>J66/J67</f>
        <v>0.98396745654270434</v>
      </c>
      <c r="K68" s="191"/>
      <c r="L68" s="191">
        <f>L66/L67</f>
        <v>0.97935690200676384</v>
      </c>
      <c r="M68" s="191"/>
      <c r="N68" s="191">
        <f>N66/N67</f>
        <v>0.97443318030408299</v>
      </c>
      <c r="O68" s="191"/>
      <c r="P68" s="191">
        <f>P66/P67</f>
        <v>0.9692034056927552</v>
      </c>
      <c r="Q68" s="191"/>
      <c r="R68" s="191">
        <f>R66/R67</f>
        <v>0.96375631481095525</v>
      </c>
      <c r="S68" s="191"/>
      <c r="T68" s="191">
        <f>T66/T67</f>
        <v>0.95840751511551314</v>
      </c>
      <c r="U68" s="191"/>
      <c r="V68" s="191" t="e">
        <f>V66/V67</f>
        <v>#DIV/0!</v>
      </c>
      <c r="W68" s="191"/>
      <c r="X68" s="191" t="e">
        <f>X66/X67</f>
        <v>#DIV/0!</v>
      </c>
      <c r="Y68" s="191"/>
      <c r="Z68" s="191" t="e">
        <f>Z66/Z67</f>
        <v>#DIV/0!</v>
      </c>
      <c r="AA68" s="191"/>
      <c r="AB68" s="191" t="e">
        <f>AB66/AB67</f>
        <v>#DIV/0!</v>
      </c>
      <c r="AC68" s="191"/>
      <c r="AD68" s="191" t="e">
        <f>AD66/AD67</f>
        <v>#DIV/0!</v>
      </c>
      <c r="AE68" s="191"/>
      <c r="AF68" s="191" t="e">
        <f>AF66/AF67</f>
        <v>#DIV/0!</v>
      </c>
      <c r="AG68" s="191"/>
      <c r="AH68" s="191" t="e">
        <f>AH66/AH67</f>
        <v>#DIV/0!</v>
      </c>
      <c r="AI68" s="191"/>
      <c r="AJ68" s="191" t="e">
        <f>AJ66/AJ67</f>
        <v>#DIV/0!</v>
      </c>
      <c r="AK68" s="191"/>
      <c r="AL68" s="191" t="e">
        <f>AL66/AL67</f>
        <v>#DIV/0!</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1.0228607813437349</v>
      </c>
      <c r="E69" s="191"/>
      <c r="F69" s="191">
        <f>F32/F65/($B$32)</f>
        <v>1.0466176625567845</v>
      </c>
      <c r="G69" s="191"/>
      <c r="H69" s="191">
        <f>H32/H65/($B$32)</f>
        <v>1.0714890731794331</v>
      </c>
      <c r="I69" s="191"/>
      <c r="J69" s="191">
        <f>J32/J65/($B$32)</f>
        <v>1.0977899643252929</v>
      </c>
      <c r="K69" s="191"/>
      <c r="L69" s="191">
        <f>L32/L65/($B$32)</f>
        <v>1.126017123804669</v>
      </c>
      <c r="M69" s="191"/>
      <c r="N69" s="191">
        <f>N32/N65/($B$32)</f>
        <v>1.1570181568020779</v>
      </c>
      <c r="O69" s="191"/>
      <c r="P69" s="191">
        <f>P32/P65/($B$32)</f>
        <v>1.1923682122679882</v>
      </c>
      <c r="Q69" s="191"/>
      <c r="R69" s="191">
        <f>R32/R65/($B$32)</f>
        <v>1.2353128240996492</v>
      </c>
      <c r="S69" s="191"/>
      <c r="T69" s="191">
        <f>T32/T65/($B$32)</f>
        <v>1.2936380794949991</v>
      </c>
      <c r="U69" s="191"/>
      <c r="V69" s="191" t="e">
        <f>V32/V65/($B$32)</f>
        <v>#DIV/0!</v>
      </c>
      <c r="W69" s="191"/>
      <c r="X69" s="191" t="e">
        <f>X32/X65/($B$32)</f>
        <v>#DIV/0!</v>
      </c>
      <c r="Y69" s="191"/>
      <c r="Z69" s="191" t="e">
        <f>Z32/Z65/($B$32)</f>
        <v>#DIV/0!</v>
      </c>
      <c r="AA69" s="191"/>
      <c r="AB69" s="191" t="e">
        <f>AB32/AB65/($B$32)</f>
        <v>#DIV/0!</v>
      </c>
      <c r="AC69" s="191"/>
      <c r="AD69" s="191" t="e">
        <f>AD32/AD65/($B$32)</f>
        <v>#DIV/0!</v>
      </c>
      <c r="AE69" s="191"/>
      <c r="AF69" s="191" t="e">
        <f>AF32/AF65/($B$32)</f>
        <v>#DIV/0!</v>
      </c>
      <c r="AG69" s="191"/>
      <c r="AH69" s="191" t="e">
        <f>AH32/AH65/($B$32)</f>
        <v>#DIV/0!</v>
      </c>
      <c r="AI69" s="191"/>
      <c r="AJ69" s="191" t="e">
        <f>AJ32/AJ65/($B$32)</f>
        <v>#DIV/0!</v>
      </c>
      <c r="AK69" s="191"/>
      <c r="AL69" s="191" t="e">
        <f>AL32/AL65/($B$32)</f>
        <v>#DIV/0!</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1.022126119441318</v>
      </c>
      <c r="E70" s="138"/>
      <c r="F70" s="138">
        <f>F18/$B$18</f>
        <v>1.0452004006841442</v>
      </c>
      <c r="G70" s="138"/>
      <c r="H70" s="138">
        <f>H18/$B$18</f>
        <v>1.0694662537108721</v>
      </c>
      <c r="I70" s="138"/>
      <c r="J70" s="138">
        <f>J18/$B$18</f>
        <v>1.09526125279815</v>
      </c>
      <c r="K70" s="138"/>
      <c r="L70" s="138">
        <f>L18/$B$18</f>
        <v>1.1230927102135526</v>
      </c>
      <c r="M70" s="138"/>
      <c r="N70" s="138">
        <f>N18/$B$18</f>
        <v>1.1537850463164938</v>
      </c>
      <c r="O70" s="138"/>
      <c r="P70" s="138">
        <f>P18/$B$18</f>
        <v>1.1888052486382628</v>
      </c>
      <c r="Q70" s="138"/>
      <c r="R70" s="138">
        <f>R18/$B$18</f>
        <v>1.2310674110383948</v>
      </c>
      <c r="S70" s="138"/>
      <c r="T70" s="138">
        <f>T18/$B$18</f>
        <v>1.2873493805115157</v>
      </c>
      <c r="U70" s="138"/>
      <c r="V70" s="138">
        <f>V18/$B$18</f>
        <v>0</v>
      </c>
      <c r="W70" s="138"/>
      <c r="X70" s="138">
        <f>X18/$B$18</f>
        <v>0</v>
      </c>
      <c r="Y70" s="138"/>
      <c r="Z70" s="138">
        <f>Z18/$B$18</f>
        <v>0</v>
      </c>
      <c r="AA70" s="138"/>
      <c r="AB70" s="138">
        <f>AB18/$B$18</f>
        <v>0</v>
      </c>
      <c r="AC70" s="138"/>
      <c r="AD70" s="138">
        <f>AD18/$B$18</f>
        <v>0</v>
      </c>
      <c r="AE70" s="138"/>
      <c r="AF70" s="138">
        <f>AF18/$B$18</f>
        <v>0</v>
      </c>
      <c r="AG70" s="138"/>
      <c r="AH70" s="138">
        <f>AH18/$B$18</f>
        <v>0</v>
      </c>
      <c r="AI70" s="138"/>
      <c r="AJ70" s="138">
        <f>AJ18/$B$18</f>
        <v>0</v>
      </c>
      <c r="AK70" s="138"/>
      <c r="AL70" s="138">
        <f>AL18/$B$18</f>
        <v>0</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0.90565762470334621</v>
      </c>
      <c r="E71" s="138"/>
      <c r="F71" s="138">
        <f>G18/$C$18</f>
        <v>0.81049080823225517</v>
      </c>
      <c r="G71" s="138"/>
      <c r="H71" s="138">
        <f>I18/$C$18</f>
        <v>0.71436273163511865</v>
      </c>
      <c r="I71" s="138"/>
      <c r="J71" s="138">
        <f>K18/$C$18</f>
        <v>0.61724307433495895</v>
      </c>
      <c r="K71" s="138"/>
      <c r="L71" s="138">
        <f>M18/$C$18</f>
        <v>0.51927230559307591</v>
      </c>
      <c r="M71" s="138"/>
      <c r="N71" s="138">
        <f>O18/$C$18</f>
        <v>0.4208547239728197</v>
      </c>
      <c r="O71" s="138"/>
      <c r="P71" s="138">
        <f>Q18/$C$18</f>
        <v>0.32281737311729886</v>
      </c>
      <c r="Q71" s="138"/>
      <c r="R71" s="138">
        <f>S18/$C$18</f>
        <v>0.22672058091190422</v>
      </c>
      <c r="S71" s="138"/>
      <c r="T71" s="138">
        <f>U18/$C$18</f>
        <v>0.1356114161663167</v>
      </c>
      <c r="U71" s="138"/>
      <c r="V71" s="138">
        <f>W18/$C$18</f>
        <v>0</v>
      </c>
      <c r="W71" s="138"/>
      <c r="X71" s="138">
        <f>Y18/$C$18</f>
        <v>0</v>
      </c>
      <c r="Y71" s="138"/>
      <c r="Z71" s="138">
        <f>AA18/$C$18</f>
        <v>0</v>
      </c>
      <c r="AA71" s="138"/>
      <c r="AB71" s="138">
        <f>AC18/$C$18</f>
        <v>0</v>
      </c>
      <c r="AC71" s="138"/>
      <c r="AD71" s="138">
        <f>AE18/$C$18</f>
        <v>0</v>
      </c>
      <c r="AE71" s="138"/>
      <c r="AF71" s="138">
        <f>AG18/$C$18</f>
        <v>0</v>
      </c>
      <c r="AG71" s="138"/>
      <c r="AH71" s="138">
        <f>AI18/$C$18</f>
        <v>0</v>
      </c>
      <c r="AI71" s="138"/>
      <c r="AJ71" s="138">
        <f>AK18/$C$18</f>
        <v>0</v>
      </c>
      <c r="AK71" s="138"/>
      <c r="AL71" s="138">
        <f>AM18/$C$18</f>
        <v>0</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1.1198302570821965</v>
      </c>
      <c r="E72" s="138"/>
      <c r="F72" s="138">
        <f>G19/$C$19</f>
        <v>1.2612877300634446</v>
      </c>
      <c r="G72" s="138"/>
      <c r="H72" s="138">
        <f>I19/$C$19</f>
        <v>1.4283347290570494</v>
      </c>
      <c r="I72" s="138"/>
      <c r="J72" s="138">
        <f>K19/$C$19</f>
        <v>1.625431334450878</v>
      </c>
      <c r="K72" s="138"/>
      <c r="L72" s="138">
        <f>M19/$C$19</f>
        <v>1.8575173985944768</v>
      </c>
      <c r="M72" s="138"/>
      <c r="N72" s="138">
        <f>O19/$C$19</f>
        <v>2.1299583149085359</v>
      </c>
      <c r="O72" s="138"/>
      <c r="P72" s="138">
        <f>Q19/$C$19</f>
        <v>2.4483572268382288</v>
      </c>
      <c r="Q72" s="138"/>
      <c r="R72" s="138">
        <f>S19/$C$19</f>
        <v>2.8178215520123095</v>
      </c>
      <c r="S72" s="138"/>
      <c r="T72" s="138">
        <f>U19/$C$19</f>
        <v>3.23968077344181</v>
      </c>
      <c r="U72" s="138"/>
      <c r="V72" s="138">
        <f>W19/$C$19</f>
        <v>0</v>
      </c>
      <c r="W72" s="138"/>
      <c r="X72" s="138">
        <f>Y19/$C$19</f>
        <v>0</v>
      </c>
      <c r="Y72" s="138"/>
      <c r="Z72" s="138">
        <f>AA19/$C$19</f>
        <v>0</v>
      </c>
      <c r="AA72" s="138"/>
      <c r="AB72" s="138">
        <f>AC19/$C$19</f>
        <v>0</v>
      </c>
      <c r="AC72" s="138"/>
      <c r="AD72" s="138">
        <f>AE19/$C$19</f>
        <v>0</v>
      </c>
      <c r="AE72" s="138"/>
      <c r="AF72" s="138">
        <f>AG19/$C$19</f>
        <v>0</v>
      </c>
      <c r="AG72" s="138"/>
      <c r="AH72" s="138">
        <f>AI19/$C$19</f>
        <v>0</v>
      </c>
      <c r="AI72" s="138"/>
      <c r="AJ72" s="138">
        <f>AK19/$C$19</f>
        <v>0</v>
      </c>
      <c r="AK72" s="138"/>
      <c r="AL72" s="138">
        <f>AM19/$C$19</f>
        <v>0</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0.47641153352875065</v>
      </c>
      <c r="D73" s="193">
        <f t="array" ref="D73">SUM(D9:E9*D22:E22)/D32</f>
        <v>0.47641153622616356</v>
      </c>
      <c r="E73" s="138"/>
      <c r="F73" s="193">
        <f t="array" ref="F73">SUM(F9:G9*F22:G22)/F32</f>
        <v>0.47641153306824646</v>
      </c>
      <c r="G73" s="138"/>
      <c r="H73" s="193">
        <f t="array" ref="H73">SUM(H9:I9*H22:I22)/H32</f>
        <v>0.47641153268248843</v>
      </c>
      <c r="I73" s="138"/>
      <c r="J73" s="193">
        <f t="array" ref="J73">SUM(J9:K9*J22:K22)/J32</f>
        <v>0.47641154314923928</v>
      </c>
      <c r="K73" s="138"/>
      <c r="L73" s="193">
        <f t="array" ref="L73">SUM(L9:M9*L22:M22)/L32</f>
        <v>0.47641153236535766</v>
      </c>
      <c r="M73" s="138"/>
      <c r="N73" s="193">
        <f t="array" ref="N73">SUM(N9:O9*N22:O22)/N32</f>
        <v>0.47641153222608085</v>
      </c>
      <c r="O73" s="138"/>
      <c r="P73" s="193">
        <f t="array" ref="P73">SUM(P9:Q9*P22:Q22)/P32</f>
        <v>0.47641153085845828</v>
      </c>
      <c r="Q73" s="138"/>
      <c r="R73" s="193">
        <f t="array" ref="R73">SUM(R9:S9*R22:S22)/R32</f>
        <v>0.47641152635142198</v>
      </c>
      <c r="S73" s="138"/>
      <c r="T73" s="193">
        <f t="array" ref="T73">SUM(T9:U9*T22:U22)/T32</f>
        <v>0.47641153082146964</v>
      </c>
      <c r="U73" s="138"/>
      <c r="V73" s="193" t="e">
        <f t="array" ref="V73">SUM(V9:W9*V22:W22)/V32</f>
        <v>#DIV/0!</v>
      </c>
      <c r="W73" s="138"/>
      <c r="X73" s="193" t="e">
        <f t="array" ref="X73">SUM(X9:Y9*X22:Y22)/X32</f>
        <v>#DIV/0!</v>
      </c>
      <c r="Y73" s="138"/>
      <c r="Z73" s="193" t="e">
        <f t="array" ref="Z73">SUM(Z9:AA9*Z22:AA22)/Z32</f>
        <v>#DIV/0!</v>
      </c>
      <c r="AA73" s="138"/>
      <c r="AB73" s="193" t="e">
        <f t="array" ref="AB73">SUM(AB9:AC9*AB22:AC22)/AB32</f>
        <v>#DIV/0!</v>
      </c>
      <c r="AC73" s="138"/>
      <c r="AD73" s="193" t="e">
        <f t="array" ref="AD73">SUM(AD9:AE9*AD22:AE22)/AD32</f>
        <v>#DIV/0!</v>
      </c>
      <c r="AE73" s="138"/>
      <c r="AF73" s="193" t="e">
        <f t="array" ref="AF73">SUM(AF9:AG9*AF22:AG22)/AF32</f>
        <v>#DIV/0!</v>
      </c>
      <c r="AG73" s="138"/>
      <c r="AH73" s="193" t="e">
        <f t="array" ref="AH73">SUM(AH9:AI9*AH22:AI22)/AH32</f>
        <v>#DIV/0!</v>
      </c>
      <c r="AI73" s="138"/>
      <c r="AJ73" s="193" t="e">
        <f t="array" ref="AJ73">SUM(AJ9:AK9*AJ22:AK22)/AJ32</f>
        <v>#DIV/0!</v>
      </c>
      <c r="AK73" s="138"/>
      <c r="AL73" s="193" t="e">
        <f t="array" ref="AL73">SUM(AL9:AM9*AL22:AM22)/AL32</f>
        <v>#DIV/0!</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t="e">
        <f t="array" ref="V74">SUM(V10:W10*V23:W23)/V32</f>
        <v>#DIV/0!</v>
      </c>
      <c r="W74" s="138"/>
      <c r="X74" s="193" t="e">
        <f t="array" ref="X74">SUM(X10:Y10*X23:Y23)/X32</f>
        <v>#DIV/0!</v>
      </c>
      <c r="Y74" s="138"/>
      <c r="Z74" s="193" t="e">
        <f t="array" ref="Z74">SUM(Z10:AA10*Z23:AA23)/Z32</f>
        <v>#DIV/0!</v>
      </c>
      <c r="AA74" s="138"/>
      <c r="AB74" s="193" t="e">
        <f t="array" ref="AB74">SUM(AB10:AC10*AB23:AC23)/AB32</f>
        <v>#DIV/0!</v>
      </c>
      <c r="AC74" s="138"/>
      <c r="AD74" s="193" t="e">
        <f t="array" ref="AD74">SUM(AD10:AE10*AD23:AE23)/AD32</f>
        <v>#DIV/0!</v>
      </c>
      <c r="AE74" s="138"/>
      <c r="AF74" s="193" t="e">
        <f t="array" ref="AF74">SUM(AF10:AG10*AF23:AG23)/AF32</f>
        <v>#DIV/0!</v>
      </c>
      <c r="AG74" s="138"/>
      <c r="AH74" s="193" t="e">
        <f t="array" ref="AH74">SUM(AH10:AI10*AH23:AI23)/AH32</f>
        <v>#DIV/0!</v>
      </c>
      <c r="AI74" s="138"/>
      <c r="AJ74" s="193" t="e">
        <f t="array" ref="AJ74">SUM(AJ10:AK10*AJ23:AK23)/AJ32</f>
        <v>#DIV/0!</v>
      </c>
      <c r="AK74" s="138"/>
      <c r="AL74" s="193" t="e">
        <f t="array" ref="AL74">SUM(AL10:AM10*AL23:AM23)/AL32</f>
        <v>#DIV/0!</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0.22038438860225257</v>
      </c>
      <c r="E75" s="138"/>
      <c r="F75" s="193">
        <f t="array" ref="F75">SUM(F11:G11*F24:G24)/F32</f>
        <v>0.22038438819675477</v>
      </c>
      <c r="G75" s="138"/>
      <c r="H75" s="193">
        <f t="array" ref="H75">SUM(H11:I11*H24:I24)/H32</f>
        <v>0.22038438812375816</v>
      </c>
      <c r="I75" s="138"/>
      <c r="J75" s="193">
        <f t="array" ref="J75">SUM(J11:K11*J24:K24)/J32</f>
        <v>0.22038438912576783</v>
      </c>
      <c r="K75" s="138"/>
      <c r="L75" s="193">
        <f t="array" ref="L75">SUM(L11:M11*L24:M24)/L32</f>
        <v>0.22038438807163649</v>
      </c>
      <c r="M75" s="138"/>
      <c r="N75" s="193">
        <f t="array" ref="N75">SUM(N11:O11*N24:O24)/N32</f>
        <v>0.2203843881191038</v>
      </c>
      <c r="O75" s="138"/>
      <c r="P75" s="193">
        <f t="array" ref="P75">SUM(P11:Q11*P24:Q24)/P32</f>
        <v>0.22038438733412521</v>
      </c>
      <c r="Q75" s="138"/>
      <c r="R75" s="193">
        <f t="array" ref="R75">SUM(R11:S11*R24:S24)/R32</f>
        <v>0.22038438727832849</v>
      </c>
      <c r="S75" s="138"/>
      <c r="T75" s="193">
        <f t="array" ref="T75">SUM(T11:U11*T24:U24)/T32</f>
        <v>0.22038438818716494</v>
      </c>
      <c r="U75" s="138"/>
      <c r="V75" s="193" t="e">
        <f t="array" ref="V75">SUM(V11:W11*V24:W24)/V32</f>
        <v>#DIV/0!</v>
      </c>
      <c r="W75" s="138"/>
      <c r="X75" s="193" t="e">
        <f t="array" ref="X75">SUM(X11:Y11*X24:Y24)/X32</f>
        <v>#DIV/0!</v>
      </c>
      <c r="Y75" s="138"/>
      <c r="Z75" s="193" t="e">
        <f t="array" ref="Z75">SUM(Z11:AA11*Z24:AA24)/Z32</f>
        <v>#DIV/0!</v>
      </c>
      <c r="AA75" s="138"/>
      <c r="AB75" s="193" t="e">
        <f t="array" ref="AB75">SUM(AB11:AC11*AB24:AC24)/AB32</f>
        <v>#DIV/0!</v>
      </c>
      <c r="AC75" s="138"/>
      <c r="AD75" s="193" t="e">
        <f t="array" ref="AD75">SUM(AD11:AE11*AD24:AE24)/AD32</f>
        <v>#DIV/0!</v>
      </c>
      <c r="AE75" s="138"/>
      <c r="AF75" s="193" t="e">
        <f t="array" ref="AF75">SUM(AF11:AG11*AF24:AG24)/AF32</f>
        <v>#DIV/0!</v>
      </c>
      <c r="AG75" s="138"/>
      <c r="AH75" s="193" t="e">
        <f t="array" ref="AH75">SUM(AH11:AI11*AH24:AI24)/AH32</f>
        <v>#DIV/0!</v>
      </c>
      <c r="AI75" s="138"/>
      <c r="AJ75" s="193" t="e">
        <f t="array" ref="AJ75">SUM(AJ11:AK11*AJ24:AK24)/AJ32</f>
        <v>#DIV/0!</v>
      </c>
      <c r="AK75" s="138"/>
      <c r="AL75" s="193" t="e">
        <f t="array" ref="AL75">SUM(AL11:AM11*AL24:AM24)/AL32</f>
        <v>#DIV/0!</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0.22397048979650733</v>
      </c>
      <c r="E76" s="138"/>
      <c r="F76" s="193">
        <f t="array" ref="F76">SUM(F12:G12*F25:G25)/F32</f>
        <v>0.22519819687035927</v>
      </c>
      <c r="G76" s="138"/>
      <c r="H76" s="193">
        <f t="array" ref="H76">SUM(H12:I12*H25:I25)/H32</f>
        <v>0.22673760445307231</v>
      </c>
      <c r="I76" s="138"/>
      <c r="J76" s="193">
        <f t="array" ref="J76">SUM(J12:K12*J25:K25)/J32</f>
        <v>0.2286242489820613</v>
      </c>
      <c r="K76" s="138"/>
      <c r="L76" s="193">
        <f t="array" ref="L76">SUM(L12:M12*L25:M25)/L32</f>
        <v>0.23088864930819628</v>
      </c>
      <c r="M76" s="138"/>
      <c r="N76" s="193">
        <f t="array" ref="N76">SUM(N12:O12*N25:O25)/N32</f>
        <v>0.2335463520904448</v>
      </c>
      <c r="O76" s="138"/>
      <c r="P76" s="193">
        <f t="array" ref="P76">SUM(P12:Q12*P25:Q25)/P32</f>
        <v>0.23657546459792736</v>
      </c>
      <c r="Q76" s="138"/>
      <c r="R76" s="193">
        <f t="array" ref="R76">SUM(R12:S12*R25:S25)/R32</f>
        <v>0.23985792616055576</v>
      </c>
      <c r="S76" s="138"/>
      <c r="T76" s="193">
        <f t="array" ref="T76">SUM(T12:U12*T25:U25)/T32</f>
        <v>0.24299753124660337</v>
      </c>
      <c r="U76" s="138"/>
      <c r="V76" s="193" t="e">
        <f t="array" ref="V76">SUM(V12:W12*V25:W25)/V32</f>
        <v>#DIV/0!</v>
      </c>
      <c r="W76" s="138"/>
      <c r="X76" s="193" t="e">
        <f t="array" ref="X76">SUM(X12:Y12*X25:Y25)/X32</f>
        <v>#DIV/0!</v>
      </c>
      <c r="Y76" s="138"/>
      <c r="Z76" s="193" t="e">
        <f t="array" ref="Z76">SUM(Z12:AA12*Z25:AA25)/Z32</f>
        <v>#DIV/0!</v>
      </c>
      <c r="AA76" s="138"/>
      <c r="AB76" s="193" t="e">
        <f t="array" ref="AB76">SUM(AB12:AC12*AB25:AC25)/AB32</f>
        <v>#DIV/0!</v>
      </c>
      <c r="AC76" s="138"/>
      <c r="AD76" s="193" t="e">
        <f t="array" ref="AD76">SUM(AD12:AE12*AD25:AE25)/AD32</f>
        <v>#DIV/0!</v>
      </c>
      <c r="AE76" s="138"/>
      <c r="AF76" s="193" t="e">
        <f t="array" ref="AF76">SUM(AF12:AG12*AF25:AG25)/AF32</f>
        <v>#DIV/0!</v>
      </c>
      <c r="AG76" s="138"/>
      <c r="AH76" s="193" t="e">
        <f t="array" ref="AH76">SUM(AH12:AI12*AH25:AI25)/AH32</f>
        <v>#DIV/0!</v>
      </c>
      <c r="AI76" s="138"/>
      <c r="AJ76" s="193" t="e">
        <f t="array" ref="AJ76">SUM(AJ12:AK12*AJ25:AK25)/AJ32</f>
        <v>#DIV/0!</v>
      </c>
      <c r="AK76" s="138"/>
      <c r="AL76" s="193" t="e">
        <f t="array" ref="AL76">SUM(AL12:AM12*AL25:AM25)/AL32</f>
        <v>#DIV/0!</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0.14586087017236485</v>
      </c>
      <c r="D77" s="193">
        <f t="array" ref="D77">SUM(D4:E4*D19:E19)/D32</f>
        <v>0.14681261918934824</v>
      </c>
      <c r="E77" s="138"/>
      <c r="F77" s="193">
        <f t="array" ref="F77">SUM(F4:G4*F19:G19)/F32</f>
        <v>0.1480403226997852</v>
      </c>
      <c r="G77" s="138"/>
      <c r="H77" s="193">
        <f t="array" ref="H77">SUM(H4:I4*H19:I19)/H32</f>
        <v>0.14957972982374362</v>
      </c>
      <c r="I77" s="138"/>
      <c r="J77" s="193">
        <f t="array" ref="J77">SUM(J4:K4*J19:K19)/J32</f>
        <v>0.15146638582149313</v>
      </c>
      <c r="K77" s="138"/>
      <c r="L77" s="193">
        <f t="array" ref="L77">SUM(L4:M4*L19:M19)/L32</f>
        <v>0.15373077430961535</v>
      </c>
      <c r="M77" s="138"/>
      <c r="N77" s="193">
        <f t="array" ref="N77">SUM(N4:O4*N19:O19)/N32</f>
        <v>0.15638847700005412</v>
      </c>
      <c r="O77" s="138"/>
      <c r="P77" s="193">
        <f t="array" ref="P77">SUM(P4:Q4*P19:Q19)/P32</f>
        <v>0.15941758735493561</v>
      </c>
      <c r="Q77" s="138"/>
      <c r="R77" s="193">
        <f t="array" ref="R77">SUM(R4:S4*R19:S19)/R32</f>
        <v>0.16270004435473098</v>
      </c>
      <c r="S77" s="138"/>
      <c r="T77" s="193">
        <f t="array" ref="T77">SUM(T4:U4*T19:U19)/T32</f>
        <v>0.16583965481966279</v>
      </c>
      <c r="U77" s="138"/>
      <c r="V77" s="193" t="e">
        <f t="array" ref="V77">SUM(V4:W4*V19:W19)/V32</f>
        <v>#DIV/0!</v>
      </c>
      <c r="W77" s="138"/>
      <c r="X77" s="193" t="e">
        <f t="array" ref="X77">SUM(X4:Y4*X19:Y19)/X32</f>
        <v>#DIV/0!</v>
      </c>
      <c r="Y77" s="138"/>
      <c r="Z77" s="193" t="e">
        <f t="array" ref="Z77">SUM(Z4:AA4*Z19:AA19)/Z32</f>
        <v>#DIV/0!</v>
      </c>
      <c r="AA77" s="138"/>
      <c r="AB77" s="193" t="e">
        <f t="array" ref="AB77">SUM(AB4:AC4*AB19:AC19)/AB32</f>
        <v>#DIV/0!</v>
      </c>
      <c r="AC77" s="138"/>
      <c r="AD77" s="193" t="e">
        <f t="array" ref="AD77">SUM(AD4:AE4*AD19:AE19)/AD32</f>
        <v>#DIV/0!</v>
      </c>
      <c r="AE77" s="138"/>
      <c r="AF77" s="193" t="e">
        <f t="array" ref="AF77">SUM(AF4:AG4*AF19:AG19)/AF32</f>
        <v>#DIV/0!</v>
      </c>
      <c r="AG77" s="138"/>
      <c r="AH77" s="193" t="e">
        <f t="array" ref="AH77">SUM(AH4:AI4*AH19:AI19)/AH32</f>
        <v>#DIV/0!</v>
      </c>
      <c r="AI77" s="138"/>
      <c r="AJ77" s="193" t="e">
        <f t="array" ref="AJ77">SUM(AJ4:AK4*AJ19:AK19)/AJ32</f>
        <v>#DIV/0!</v>
      </c>
      <c r="AK77" s="138"/>
      <c r="AL77" s="193" t="e">
        <f t="array" ref="AL77">SUM(AL4:AM4*AL19:AM19)/AL32</f>
        <v>#DIV/0!</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0.3310096596223881</v>
      </c>
      <c r="E78" s="138"/>
      <c r="F78" s="193">
        <f t="array" ref="F78">SUM(F13:G13*F26:G26)/F32</f>
        <v>0.31404026258519863</v>
      </c>
      <c r="G78" s="138"/>
      <c r="H78" s="193">
        <f t="array" ref="H78">SUM(H13:I13*H26:I26)/H32</f>
        <v>0.29570616605271216</v>
      </c>
      <c r="I78" s="138"/>
      <c r="J78" s="193">
        <f t="array" ref="J78">SUM(J13:K13*J26:K26)/J32</f>
        <v>0.27561737523923047</v>
      </c>
      <c r="K78" s="138"/>
      <c r="L78" s="193">
        <f t="array" ref="L78">SUM(L13:M13*L26:M26)/L32</f>
        <v>0.25317707047675386</v>
      </c>
      <c r="M78" s="138"/>
      <c r="N78" s="193">
        <f t="array" ref="N78">SUM(N13:O13*N26:O26)/N32</f>
        <v>0.2274035219196974</v>
      </c>
      <c r="O78" s="138"/>
      <c r="P78" s="193">
        <f t="array" ref="P78">SUM(P13:Q13*P26:Q26)/P32</f>
        <v>0.19653701716830396</v>
      </c>
      <c r="Q78" s="138"/>
      <c r="R78" s="193">
        <f t="array" ref="R78">SUM(R13:S13*R26:S26)/R32</f>
        <v>0.15705593243618751</v>
      </c>
      <c r="S78" s="138"/>
      <c r="T78" s="193">
        <f t="array" ref="T78">SUM(T13:U13*T26:U26)/T32</f>
        <v>0.10066693355043778</v>
      </c>
      <c r="U78" s="138"/>
      <c r="V78" s="193" t="e">
        <f t="array" ref="V78">SUM(V13:W13*V26:W26)/V32</f>
        <v>#DIV/0!</v>
      </c>
      <c r="W78" s="138"/>
      <c r="X78" s="193" t="e">
        <f t="array" ref="X78">SUM(X13:Y13*X26:Y26)/X32</f>
        <v>#DIV/0!</v>
      </c>
      <c r="Y78" s="138"/>
      <c r="Z78" s="193" t="e">
        <f t="array" ref="Z78">SUM(Z13:AA13*Z26:AA26)/Z32</f>
        <v>#DIV/0!</v>
      </c>
      <c r="AA78" s="138"/>
      <c r="AB78" s="193" t="e">
        <f t="array" ref="AB78">SUM(AB13:AC13*AB26:AC26)/AB32</f>
        <v>#DIV/0!</v>
      </c>
      <c r="AC78" s="138"/>
      <c r="AD78" s="193" t="e">
        <f t="array" ref="AD78">SUM(AD13:AE13*AD26:AE26)/AD32</f>
        <v>#DIV/0!</v>
      </c>
      <c r="AE78" s="138"/>
      <c r="AF78" s="193" t="e">
        <f t="array" ref="AF78">SUM(AF13:AG13*AF26:AG26)/AF32</f>
        <v>#DIV/0!</v>
      </c>
      <c r="AG78" s="138"/>
      <c r="AH78" s="193" t="e">
        <f t="array" ref="AH78">SUM(AH13:AI13*AH26:AI26)/AH32</f>
        <v>#DIV/0!</v>
      </c>
      <c r="AI78" s="138"/>
      <c r="AJ78" s="193" t="e">
        <f t="array" ref="AJ78">SUM(AJ13:AK13*AJ26:AK26)/AJ32</f>
        <v>#DIV/0!</v>
      </c>
      <c r="AK78" s="138"/>
      <c r="AL78" s="193" t="e">
        <f t="array" ref="AL78">SUM(AL13:AM13*AL26:AM26)/AL32</f>
        <v>#DIV/0!</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0.45460968782440642</v>
      </c>
      <c r="D79" s="193">
        <f t="array" ref="D79">SUM(D15:E15*D27:E27)/D32</f>
        <v>0.47070866535325478</v>
      </c>
      <c r="F79" s="193">
        <f t="array" ref="F79">SUM(F15:G15*F27:G27)/F32</f>
        <v>0.48791428813707777</v>
      </c>
      <c r="H79" s="193">
        <f t="array" ref="H79">SUM(H15:I15*H27:I27)/H32</f>
        <v>0.50650361579183534</v>
      </c>
      <c r="J79" s="193">
        <f t="array" ref="J79">SUM(J15:K15*J27:K27)/J32</f>
        <v>0.52687206013053522</v>
      </c>
      <c r="L79" s="193">
        <f t="array" ref="L79">SUM(L15:M15*L27:M27)/L32</f>
        <v>0.54962475256525867</v>
      </c>
      <c r="N79" s="193">
        <f t="array" ref="N79">SUM(N15:O15*N27:O27)/N32</f>
        <v>0.57575709607808179</v>
      </c>
      <c r="P79" s="193">
        <f t="array" ref="P79">SUM(P15:Q15*P27:Q27)/P32</f>
        <v>0.60705325313427549</v>
      </c>
      <c r="R79" s="193">
        <f t="array" ref="R79">SUM(R15:S15*R27:S27)/R32</f>
        <v>0.64708392813900018</v>
      </c>
      <c r="T79" s="193">
        <f t="array" ref="T79">SUM(T15:U15*T27:U27)/T32</f>
        <v>0.70425797019250813</v>
      </c>
      <c r="V79" s="193" t="e">
        <f t="array" ref="V79">SUM(V15:W15*V27:W27)/V32</f>
        <v>#DIV/0!</v>
      </c>
      <c r="X79" s="193" t="e">
        <f t="array" ref="X79">SUM(X15:Y15*X27:Y27)/X32</f>
        <v>#DIV/0!</v>
      </c>
      <c r="Z79" s="193" t="e">
        <f t="array" ref="Z79">SUM(Z15:AA15*Z27:AA27)/Z32</f>
        <v>#DIV/0!</v>
      </c>
      <c r="AB79" s="193" t="e">
        <f t="array" ref="AB79">SUM(AB15:AC15*AB27:AC27)/AB32</f>
        <v>#DIV/0!</v>
      </c>
      <c r="AD79" s="193" t="e">
        <f t="array" ref="AD79">SUM(AD15:AE15*AD27:AE27)/AD32</f>
        <v>#DIV/0!</v>
      </c>
      <c r="AF79" s="193" t="e">
        <f t="array" ref="AF79">SUM(AF15:AG15*AF27:AG27)/AF32</f>
        <v>#DIV/0!</v>
      </c>
      <c r="AH79" s="193" t="e">
        <f t="array" ref="AH79">SUM(AH15:AI15*AH27:AI27)/AH32</f>
        <v>#DIV/0!</v>
      </c>
      <c r="AJ79" s="193" t="e">
        <f t="array" ref="AJ79">SUM(AJ15:AK15*AJ27:AK27)/AJ32</f>
        <v>#DIV/0!</v>
      </c>
      <c r="AL79" s="193" t="e">
        <f t="array" ref="AL79">SUM(AL15:AM15*AL27:AM27)/AL32</f>
        <v>#DIV/0!</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0.19828168825686171</v>
      </c>
      <c r="F80" s="236">
        <f>F55</f>
        <v>0.19804544717337744</v>
      </c>
      <c r="H80" s="236">
        <f>H55</f>
        <v>0.19779021509797218</v>
      </c>
      <c r="J80" s="236">
        <f>J55</f>
        <v>0.19751060610001794</v>
      </c>
      <c r="L80" s="236">
        <f>L55</f>
        <v>0.19719816704055687</v>
      </c>
      <c r="N80" s="236">
        <f>N55</f>
        <v>0.19683937199407878</v>
      </c>
      <c r="P80" s="236">
        <f>P55</f>
        <v>0.1964096994785231</v>
      </c>
      <c r="R80" s="236">
        <f>R55</f>
        <v>0.19586006511474083</v>
      </c>
      <c r="T80" s="236">
        <f>T55</f>
        <v>0.19507505919579038</v>
      </c>
      <c r="V80" s="236" t="e">
        <f>V55</f>
        <v>#DIV/0!</v>
      </c>
      <c r="X80" s="236" t="e">
        <f>X55</f>
        <v>#DIV/0!</v>
      </c>
      <c r="Z80" s="236" t="e">
        <f>Z55</f>
        <v>#DIV/0!</v>
      </c>
      <c r="AB80" s="236" t="e">
        <f>AB55</f>
        <v>#DIV/0!</v>
      </c>
      <c r="AD80" s="236" t="e">
        <f>AD55</f>
        <v>#DIV/0!</v>
      </c>
      <c r="AF80" s="236" t="e">
        <f>AF55</f>
        <v>#DIV/0!</v>
      </c>
      <c r="AH80" s="236" t="e">
        <f>AH55</f>
        <v>#DIV/0!</v>
      </c>
      <c r="AJ80" s="236" t="e">
        <f>AJ55</f>
        <v>#DIV/0!</v>
      </c>
      <c r="AL80" s="236" t="e">
        <f>AL55</f>
        <v>#DIV/0!</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-2.7764516307563145E-2</v>
      </c>
      <c r="F81" s="236">
        <f>F51/F$32</f>
        <v>-2.8000757391047418E-2</v>
      </c>
      <c r="H81" s="236">
        <f>H51/H$32</f>
        <v>-2.8255989466452656E-2</v>
      </c>
      <c r="J81" s="236">
        <f>J51/J$32</f>
        <v>-2.8535598464406904E-2</v>
      </c>
      <c r="L81" s="236">
        <f>L51/L$32</f>
        <v>-2.8848037523867959E-2</v>
      </c>
      <c r="N81" s="236">
        <f>N51/N$32</f>
        <v>-2.9206832570346064E-2</v>
      </c>
      <c r="P81" s="236">
        <f>P51/P$32</f>
        <v>-2.9636505085901745E-2</v>
      </c>
      <c r="R81" s="236">
        <f>R51/R$32</f>
        <v>-3.018613944968403E-2</v>
      </c>
      <c r="T81" s="236">
        <f>T51/T$32</f>
        <v>-3.0971145368634458E-2</v>
      </c>
      <c r="V81" s="236" t="e">
        <f>V51/V$32</f>
        <v>#DIV/0!</v>
      </c>
      <c r="X81" s="236" t="e">
        <f>X51/X$32</f>
        <v>#DIV/0!</v>
      </c>
      <c r="Z81" s="236" t="e">
        <f>Z51/Z$32</f>
        <v>#DIV/0!</v>
      </c>
      <c r="AB81" s="236" t="e">
        <f>AB51/AB$32</f>
        <v>#DIV/0!</v>
      </c>
      <c r="AD81" s="236" t="e">
        <f>AD51/AD$32</f>
        <v>#DIV/0!</v>
      </c>
      <c r="AF81" s="236" t="e">
        <f>AF51/AF$32</f>
        <v>#DIV/0!</v>
      </c>
      <c r="AH81" s="236" t="e">
        <f>AH51/AH$32</f>
        <v>#DIV/0!</v>
      </c>
      <c r="AJ81" s="236" t="e">
        <f>AJ51/AJ$32</f>
        <v>#DIV/0!</v>
      </c>
      <c r="AL81" s="236" t="e">
        <f>AL51/AL$32</f>
        <v>#DIV/0!</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0.13271261896157022</v>
      </c>
      <c r="F82" s="236">
        <f>F52/F$32</f>
        <v>0.12590903164157102</v>
      </c>
      <c r="H82" s="236">
        <f>H52/H$32</f>
        <v>0.11855829157586949</v>
      </c>
      <c r="J82" s="236">
        <f>J52/J$32</f>
        <v>0.11050403707565437</v>
      </c>
      <c r="L82" s="236">
        <f>L52/L$32</f>
        <v>0.1015069835796281</v>
      </c>
      <c r="N82" s="236">
        <f>N52/N$32</f>
        <v>9.1173523423685246E-2</v>
      </c>
      <c r="P82" s="236">
        <f>P52/P$32</f>
        <v>7.8798130245068432E-2</v>
      </c>
      <c r="R82" s="236">
        <f>R52/R$32</f>
        <v>6.2968869672370475E-2</v>
      </c>
      <c r="T82" s="236">
        <f>T52/T$32</f>
        <v>4.0360672282342532E-2</v>
      </c>
      <c r="V82" s="236" t="e">
        <f>V52/V$32</f>
        <v>#DIV/0!</v>
      </c>
      <c r="X82" s="236" t="e">
        <f>X52/X$32</f>
        <v>#DIV/0!</v>
      </c>
      <c r="Z82" s="236" t="e">
        <f>Z52/Z$32</f>
        <v>#DIV/0!</v>
      </c>
      <c r="AB82" s="236" t="e">
        <f>AB52/AB$32</f>
        <v>#DIV/0!</v>
      </c>
      <c r="AD82" s="236" t="e">
        <f>AD52/AD$32</f>
        <v>#DIV/0!</v>
      </c>
      <c r="AF82" s="236" t="e">
        <f>AF52/AF$32</f>
        <v>#DIV/0!</v>
      </c>
      <c r="AH82" s="236" t="e">
        <f>AH52/AH$32</f>
        <v>#DIV/0!</v>
      </c>
      <c r="AJ82" s="236" t="e">
        <f>AJ52/AJ$32</f>
        <v>#DIV/0!</v>
      </c>
      <c r="AL82" s="236" t="e">
        <f>AL52/AL$32</f>
        <v>#DIV/0!</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0.18600714462929935</v>
      </c>
      <c r="D83" s="236">
        <f>D53/D$32</f>
        <v>0.1925941684472981</v>
      </c>
      <c r="F83" s="236">
        <f>F53/F$32</f>
        <v>0.19963398491250262</v>
      </c>
      <c r="H83" s="236">
        <f>H53/H$32</f>
        <v>0.20723995515521218</v>
      </c>
      <c r="J83" s="236">
        <f>J53/J$32</f>
        <v>0.2155738650419847</v>
      </c>
      <c r="L83" s="236">
        <f>L53/L$32</f>
        <v>0.2248833088698651</v>
      </c>
      <c r="N83" s="236">
        <f>N53/N$32</f>
        <v>0.23557556363142604</v>
      </c>
      <c r="P83" s="236">
        <f>P53/P$32</f>
        <v>0.24838063349201636</v>
      </c>
      <c r="R83" s="236">
        <f>R53/R$32</f>
        <v>0.2647595003631692</v>
      </c>
      <c r="T83" s="236">
        <f>T53/T$32</f>
        <v>0.2881527112737915</v>
      </c>
      <c r="V83" s="236" t="e">
        <f>V53/V$32</f>
        <v>#DIV/0!</v>
      </c>
      <c r="X83" s="236" t="e">
        <f>X53/X$32</f>
        <v>#DIV/0!</v>
      </c>
      <c r="Z83" s="236" t="e">
        <f>Z53/Z$32</f>
        <v>#DIV/0!</v>
      </c>
      <c r="AB83" s="236" t="e">
        <f>AB53/AB$32</f>
        <v>#DIV/0!</v>
      </c>
      <c r="AD83" s="236" t="e">
        <f>AD53/AD$32</f>
        <v>#DIV/0!</v>
      </c>
      <c r="AF83" s="236" t="e">
        <f>AF53/AF$32</f>
        <v>#DIV/0!</v>
      </c>
      <c r="AH83" s="236" t="e">
        <f>AH53/AH$32</f>
        <v>#DIV/0!</v>
      </c>
      <c r="AJ83" s="236" t="e">
        <f>AJ53/AJ$32</f>
        <v>#DIV/0!</v>
      </c>
      <c r="AL83" s="236" t="e">
        <f>AL53/AL$32</f>
        <v>#DIV/0!</v>
      </c>
      <c r="AN83" s="236" t="e">
        <f>AN53/AN$32</f>
        <v>#DIV/0!</v>
      </c>
      <c r="AP83" s="236" t="e">
        <f>AP53/AP$32</f>
        <v>#DIV/0!</v>
      </c>
      <c r="AR83" s="236" t="e">
        <f>AR53/AR$32</f>
        <v>#DIV/0!</v>
      </c>
      <c r="AT83" s="236" t="e">
        <f>AT53/AT$32</f>
        <v>#DIV/0!</v>
      </c>
      <c r="AV83" s="236" t="e">
        <f>AV53/AV$32</f>
        <v>#DIV/0!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5"/>
  <dimension ref="A1:XFD83"/>
  <sheetViews>
    <sheetView showGridLines="0" workbookViewId="0">
      <pane ySplit="1" topLeftCell="A2" activePane="bottomLeft" state="frozen"/>
      <selection pane="bottomLef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c r="AF1" s="94"/>
      <c r="AH1" s="94"/>
      <c r="AJ1" s="94"/>
      <c r="AL1" s="94"/>
      <c r="AN1" s="94"/>
      <c r="AP1" s="94"/>
      <c r="AR1" s="94"/>
      <c r="AT1" s="94"/>
      <c r="AV1" s="94"/>
    </row>
    <row r="2" spans="1:49" x14ac:dyDescent="0.2">
      <c r="A2" s="229" t="s">
        <v>155</v>
      </c>
      <c r="B2" s="226">
        <v>5.7716594496607888E-3</v>
      </c>
      <c r="C2" s="227"/>
      <c r="D2" s="226">
        <v>3.919360798795811E-2</v>
      </c>
      <c r="E2" s="227"/>
      <c r="F2" s="226">
        <v>7.3002894329855877E-2</v>
      </c>
      <c r="G2" s="227"/>
      <c r="H2" s="226">
        <v>0.10691194530270838</v>
      </c>
      <c r="I2" s="227"/>
      <c r="J2" s="226">
        <v>0.14058182607327915</v>
      </c>
      <c r="K2" s="227"/>
      <c r="L2" s="226">
        <v>0.17362679193027042</v>
      </c>
      <c r="M2" s="227"/>
      <c r="N2" s="226">
        <v>0.20561904407557871</v>
      </c>
      <c r="O2" s="227"/>
      <c r="P2" s="226">
        <v>0.2360921404954619</v>
      </c>
      <c r="Q2" s="227"/>
      <c r="R2" s="226">
        <v>0.26452639735464928</v>
      </c>
      <c r="S2" s="227"/>
      <c r="T2" s="226">
        <v>0.29028280393705141</v>
      </c>
      <c r="U2" s="227"/>
      <c r="V2" s="226">
        <v>0.31233668358298378</v>
      </c>
      <c r="W2" s="227"/>
      <c r="X2" s="226">
        <v>0.32815126939168721</v>
      </c>
      <c r="Y2" s="227"/>
      <c r="Z2" s="226">
        <v>0.32920051845742365</v>
      </c>
      <c r="AA2" s="227"/>
      <c r="AB2" s="226">
        <v>0.3088088009722062</v>
      </c>
      <c r="AC2" s="227"/>
      <c r="AD2" s="226"/>
      <c r="AE2" s="227"/>
      <c r="AF2" s="226"/>
      <c r="AG2" s="227"/>
      <c r="AH2" s="226"/>
      <c r="AI2" s="227"/>
      <c r="AJ2" s="226"/>
      <c r="AK2" s="227"/>
      <c r="AL2" s="226"/>
      <c r="AM2" s="227"/>
      <c r="AN2" s="226"/>
      <c r="AO2" s="227"/>
      <c r="AP2" s="226"/>
      <c r="AQ2" s="227"/>
      <c r="AR2" s="226"/>
      <c r="AS2" s="227"/>
      <c r="AT2" s="226"/>
      <c r="AU2" s="227"/>
      <c r="AV2" s="226"/>
      <c r="AW2" s="227"/>
    </row>
    <row r="3" spans="1:49" x14ac:dyDescent="0.2">
      <c r="A3" t="s">
        <v>12</v>
      </c>
      <c r="B3" s="84">
        <v>1000</v>
      </c>
      <c r="C3" s="85">
        <v>1000</v>
      </c>
      <c r="D3" s="84">
        <v>998.97179132458541</v>
      </c>
      <c r="E3" s="85">
        <v>1014.1371319393446</v>
      </c>
      <c r="F3" s="84">
        <v>998.00091722584466</v>
      </c>
      <c r="G3" s="85">
        <v>1028.0835959319045</v>
      </c>
      <c r="H3" s="84">
        <v>997.09382975497454</v>
      </c>
      <c r="I3" s="85">
        <v>1041.6771103960339</v>
      </c>
      <c r="J3" s="84">
        <v>996.2557904055833</v>
      </c>
      <c r="K3" s="85">
        <v>1054.7576211435492</v>
      </c>
      <c r="L3" s="84">
        <v>995.48921512468371</v>
      </c>
      <c r="M3" s="85">
        <v>1067.1939618307831</v>
      </c>
      <c r="N3" s="84">
        <v>994.79080438231085</v>
      </c>
      <c r="O3" s="85">
        <v>1078.9304556936345</v>
      </c>
      <c r="P3" s="84">
        <v>994.14611609044528</v>
      </c>
      <c r="Q3" s="85">
        <v>1090.0740438114196</v>
      </c>
      <c r="R3" s="84">
        <v>993.51799539173521</v>
      </c>
      <c r="S3" s="85">
        <v>1101.0767149489218</v>
      </c>
      <c r="T3" s="84">
        <v>992.81741940467487</v>
      </c>
      <c r="U3" s="85">
        <v>1113.1897483487853</v>
      </c>
      <c r="V3" s="84">
        <v>991.81258542248088</v>
      </c>
      <c r="W3" s="85">
        <v>1129.8831494661465</v>
      </c>
      <c r="X3" s="84">
        <v>989.75453140216348</v>
      </c>
      <c r="Y3" s="85">
        <v>1162.8263988406384</v>
      </c>
      <c r="Z3" s="84">
        <v>983.74273172096366</v>
      </c>
      <c r="AA3" s="85">
        <v>1260.399869291412</v>
      </c>
      <c r="AB3" s="84">
        <v>969.93889327692102</v>
      </c>
      <c r="AC3" s="85">
        <v>1513.9358039368449</v>
      </c>
      <c r="AD3" s="84"/>
      <c r="AE3" s="85"/>
      <c r="AF3" s="84"/>
      <c r="AG3" s="85"/>
      <c r="AH3" s="84"/>
      <c r="AI3" s="85"/>
      <c r="AJ3" s="84"/>
      <c r="AK3" s="85"/>
      <c r="AL3" s="84"/>
      <c r="AM3" s="85"/>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c r="AE4" s="102"/>
      <c r="AF4" s="101"/>
      <c r="AG4" s="102"/>
      <c r="AH4" s="101"/>
      <c r="AI4" s="102"/>
      <c r="AJ4" s="101"/>
      <c r="AK4" s="102"/>
      <c r="AL4" s="101"/>
      <c r="AM4" s="102"/>
      <c r="AN4" s="101"/>
      <c r="AO4" s="102"/>
      <c r="AP4" s="101"/>
      <c r="AQ4" s="102"/>
      <c r="AR4" s="101"/>
      <c r="AS4" s="102"/>
      <c r="AT4" s="101"/>
      <c r="AU4" s="102"/>
      <c r="AV4" s="101"/>
      <c r="AW4" s="102"/>
    </row>
    <row r="5" spans="1:49" x14ac:dyDescent="0.2">
      <c r="A5" t="s">
        <v>128</v>
      </c>
      <c r="B5" s="41">
        <v>1000</v>
      </c>
      <c r="C5" s="42">
        <v>1000</v>
      </c>
      <c r="D5" s="41">
        <v>998.92087452023316</v>
      </c>
      <c r="E5" s="42">
        <v>1012.3286608234878</v>
      </c>
      <c r="F5" s="41">
        <v>997.90149427696031</v>
      </c>
      <c r="G5" s="42">
        <v>1024.3263115532891</v>
      </c>
      <c r="H5" s="41">
        <v>996.94870999018383</v>
      </c>
      <c r="I5" s="42">
        <v>1035.863889192163</v>
      </c>
      <c r="J5" s="41">
        <v>996.06812724736824</v>
      </c>
      <c r="K5" s="42">
        <v>1046.8211039866958</v>
      </c>
      <c r="L5" s="41">
        <v>995.2623623600324</v>
      </c>
      <c r="M5" s="42">
        <v>1057.1075916412992</v>
      </c>
      <c r="N5" s="41">
        <v>994.52801819184617</v>
      </c>
      <c r="O5" s="42">
        <v>1066.6985895652745</v>
      </c>
      <c r="P5" s="41">
        <v>993.84996660426054</v>
      </c>
      <c r="Q5" s="42">
        <v>1075.7007565512579</v>
      </c>
      <c r="R5" s="41">
        <v>993.18916057165393</v>
      </c>
      <c r="S5" s="42">
        <v>1084.4898461125513</v>
      </c>
      <c r="T5" s="41">
        <v>992.4519195466479</v>
      </c>
      <c r="U5" s="42">
        <v>1094.0523935257092</v>
      </c>
      <c r="V5" s="41">
        <v>991.39411059071972</v>
      </c>
      <c r="W5" s="42">
        <v>1107.036969681338</v>
      </c>
      <c r="X5" s="41">
        <v>989.22612828107287</v>
      </c>
      <c r="Y5" s="42">
        <v>1132.0072836830145</v>
      </c>
      <c r="Z5" s="41">
        <v>982.88211800936062</v>
      </c>
      <c r="AA5" s="42">
        <v>1200.982838210819</v>
      </c>
      <c r="AB5" s="41">
        <v>968.25132930143366</v>
      </c>
      <c r="AC5" s="42">
        <v>1347.7909096812034</v>
      </c>
      <c r="AD5" s="41"/>
      <c r="AE5" s="42"/>
      <c r="AF5" s="41"/>
      <c r="AG5" s="42"/>
      <c r="AH5" s="41"/>
      <c r="AI5" s="42"/>
      <c r="AJ5" s="41"/>
      <c r="AK5" s="42"/>
      <c r="AL5" s="41"/>
      <c r="AM5" s="42"/>
      <c r="AN5" s="41"/>
      <c r="AO5" s="42"/>
      <c r="AP5" s="41"/>
      <c r="AQ5" s="42"/>
      <c r="AR5" s="41"/>
      <c r="AS5" s="42"/>
      <c r="AT5" s="41"/>
      <c r="AU5" s="42"/>
      <c r="AV5" s="41"/>
      <c r="AW5" s="42"/>
    </row>
    <row r="6" spans="1:49" x14ac:dyDescent="0.2">
      <c r="A6" t="s">
        <v>77</v>
      </c>
      <c r="B6" s="41">
        <v>999.99999999999943</v>
      </c>
      <c r="C6" s="42">
        <v>999.99999999999909</v>
      </c>
      <c r="D6" s="41">
        <v>998.83842816637343</v>
      </c>
      <c r="E6" s="42">
        <v>1015.2433221405441</v>
      </c>
      <c r="F6" s="41">
        <v>997.7413420968054</v>
      </c>
      <c r="G6" s="42">
        <v>1030.2494590308759</v>
      </c>
      <c r="H6" s="41">
        <v>996.71608321867564</v>
      </c>
      <c r="I6" s="42">
        <v>1044.8473713846829</v>
      </c>
      <c r="J6" s="41">
        <v>995.76865084011786</v>
      </c>
      <c r="K6" s="42">
        <v>1058.8693231274799</v>
      </c>
      <c r="L6" s="41">
        <v>994.90182790235349</v>
      </c>
      <c r="M6" s="42">
        <v>1072.1791557606812</v>
      </c>
      <c r="N6" s="41">
        <v>994.11193071755577</v>
      </c>
      <c r="O6" s="42">
        <v>1084.7216420846353</v>
      </c>
      <c r="P6" s="41">
        <v>993.3826633939575</v>
      </c>
      <c r="Q6" s="42">
        <v>1096.6147825710304</v>
      </c>
      <c r="R6" s="41">
        <v>992.67201699526561</v>
      </c>
      <c r="S6" s="42">
        <v>1108.343160766733</v>
      </c>
      <c r="T6" s="41">
        <v>991.8792553413241</v>
      </c>
      <c r="U6" s="42">
        <v>1121.2393514609983</v>
      </c>
      <c r="V6" s="41">
        <v>990.74194028541956</v>
      </c>
      <c r="W6" s="42">
        <v>1138.9862913766963</v>
      </c>
      <c r="X6" s="41">
        <v>988.41158467434389</v>
      </c>
      <c r="Y6" s="42">
        <v>1173.927572213903</v>
      </c>
      <c r="Z6" s="41">
        <v>981.59686714738177</v>
      </c>
      <c r="AA6" s="42">
        <v>1276.8888072289526</v>
      </c>
      <c r="AB6" s="41">
        <v>965.90566977329217</v>
      </c>
      <c r="AC6" s="42">
        <v>1541.9481905759467</v>
      </c>
      <c r="AD6" s="41"/>
      <c r="AE6" s="42"/>
      <c r="AF6" s="41"/>
      <c r="AG6" s="42"/>
      <c r="AH6" s="41"/>
      <c r="AI6" s="42"/>
      <c r="AJ6" s="41"/>
      <c r="AK6" s="42"/>
      <c r="AL6" s="41"/>
      <c r="AM6" s="42"/>
      <c r="AN6" s="41"/>
      <c r="AO6" s="42"/>
      <c r="AP6" s="41"/>
      <c r="AQ6" s="42"/>
      <c r="AR6" s="41"/>
      <c r="AS6" s="42"/>
      <c r="AT6" s="41"/>
      <c r="AU6" s="42"/>
      <c r="AV6" s="41"/>
      <c r="AW6" s="42"/>
    </row>
    <row r="7" spans="1:49" x14ac:dyDescent="0.2">
      <c r="A7" t="s">
        <v>13</v>
      </c>
      <c r="B7" s="33">
        <v>1015.9116825427475</v>
      </c>
      <c r="C7" s="34">
        <v>1015.9116825427475</v>
      </c>
      <c r="D7" s="33">
        <v>1014.8153863609227</v>
      </c>
      <c r="E7" s="34">
        <v>1014.8153863609227</v>
      </c>
      <c r="F7" s="33">
        <v>1013.7797860628286</v>
      </c>
      <c r="G7" s="34">
        <v>1013.7797860628286</v>
      </c>
      <c r="H7" s="33">
        <v>1012.8118413749493</v>
      </c>
      <c r="I7" s="34">
        <v>1012.8118413749493</v>
      </c>
      <c r="J7" s="33">
        <v>1011.9172470790774</v>
      </c>
      <c r="K7" s="34">
        <v>1011.9172470790774</v>
      </c>
      <c r="L7" s="33">
        <v>1011.0986611166501</v>
      </c>
      <c r="M7" s="34">
        <v>1011.0986611166501</v>
      </c>
      <c r="N7" s="33">
        <v>1010.3526322971826</v>
      </c>
      <c r="O7" s="34">
        <v>1010.3526322971826</v>
      </c>
      <c r="P7" s="33">
        <v>1009.6637917679877</v>
      </c>
      <c r="Q7" s="34">
        <v>1009.6637917679877</v>
      </c>
      <c r="R7" s="33">
        <v>1008.9924711995679</v>
      </c>
      <c r="S7" s="34">
        <v>1008.9924711995679</v>
      </c>
      <c r="T7" s="33">
        <v>1008.2434994294144</v>
      </c>
      <c r="U7" s="34">
        <v>1008.2434994294144</v>
      </c>
      <c r="V7" s="33">
        <v>1007.1688589531886</v>
      </c>
      <c r="W7" s="34">
        <v>1007.1688589531886</v>
      </c>
      <c r="X7" s="33">
        <v>1004.9663803972725</v>
      </c>
      <c r="Y7" s="34">
        <v>1004.9663803972725</v>
      </c>
      <c r="Z7" s="33">
        <v>998.52142624806879</v>
      </c>
      <c r="AA7" s="34">
        <v>998.52142624806879</v>
      </c>
      <c r="AB7" s="33">
        <v>983.65783707487128</v>
      </c>
      <c r="AC7" s="34">
        <v>983.65783707487128</v>
      </c>
      <c r="AD7" s="33"/>
      <c r="AE7" s="34"/>
      <c r="AF7" s="33"/>
      <c r="AG7" s="34"/>
      <c r="AH7" s="33"/>
      <c r="AI7" s="34"/>
      <c r="AJ7" s="33"/>
      <c r="AK7" s="34"/>
      <c r="AL7" s="33"/>
      <c r="AM7" s="34"/>
      <c r="AN7" s="33"/>
      <c r="AO7" s="34"/>
      <c r="AP7" s="33"/>
      <c r="AQ7" s="34"/>
      <c r="AR7" s="33"/>
      <c r="AS7" s="34"/>
      <c r="AT7" s="33"/>
      <c r="AU7" s="34"/>
      <c r="AV7" s="33"/>
      <c r="AW7" s="34"/>
    </row>
    <row r="8" spans="1:49" x14ac:dyDescent="0.2">
      <c r="B8" s="35">
        <v>1005.7716594496609</v>
      </c>
      <c r="C8" s="36">
        <v>1005.7716594496609</v>
      </c>
      <c r="D8" s="35">
        <v>1052.0054735107781</v>
      </c>
      <c r="E8" s="36">
        <v>1052.0054735107781</v>
      </c>
      <c r="F8" s="35">
        <v>1099.1050970349049</v>
      </c>
      <c r="G8" s="36">
        <v>1099.1050970349049</v>
      </c>
      <c r="H8" s="35">
        <v>1146.6101126545263</v>
      </c>
      <c r="I8" s="36">
        <v>1146.6101126545263</v>
      </c>
      <c r="J8" s="35">
        <v>1193.9851263571916</v>
      </c>
      <c r="K8" s="36">
        <v>1193.9851263571916</v>
      </c>
      <c r="L8" s="35">
        <v>1240.6497915031123</v>
      </c>
      <c r="M8" s="36">
        <v>1240.6497915031123</v>
      </c>
      <c r="N8" s="35">
        <v>1286.0321338684544</v>
      </c>
      <c r="O8" s="36">
        <v>1286.0321338684544</v>
      </c>
      <c r="P8" s="35">
        <v>1329.6652506980322</v>
      </c>
      <c r="Q8" s="36">
        <v>1329.6652506980322</v>
      </c>
      <c r="R8" s="35">
        <v>1371.3660380724025</v>
      </c>
      <c r="S8" s="36">
        <v>1371.3660380724025</v>
      </c>
      <c r="T8" s="35">
        <v>1411.6369899723948</v>
      </c>
      <c r="U8" s="36">
        <v>1411.6369899723948</v>
      </c>
      <c r="V8" s="35">
        <v>1452.8052253953631</v>
      </c>
      <c r="W8" s="36">
        <v>1452.8052253953631</v>
      </c>
      <c r="X8" s="35">
        <v>1503.4769107842314</v>
      </c>
      <c r="Y8" s="36">
        <v>1503.4769107842314</v>
      </c>
      <c r="Z8" s="35">
        <v>1596.3470112082887</v>
      </c>
      <c r="AA8" s="36">
        <v>1596.3470112082887</v>
      </c>
      <c r="AB8" s="35">
        <v>1764.000604461095</v>
      </c>
      <c r="AC8" s="36">
        <v>1764.000604461095</v>
      </c>
      <c r="AD8" s="35"/>
      <c r="AE8" s="36"/>
      <c r="AF8" s="35"/>
      <c r="AG8" s="36"/>
      <c r="AH8" s="35"/>
      <c r="AI8" s="36"/>
      <c r="AJ8" s="35"/>
      <c r="AK8" s="36"/>
      <c r="AL8" s="35"/>
      <c r="AM8" s="36"/>
      <c r="AN8" s="35"/>
      <c r="AO8" s="36"/>
      <c r="AP8" s="35"/>
      <c r="AQ8" s="36"/>
      <c r="AR8" s="35"/>
      <c r="AS8" s="36"/>
      <c r="AT8" s="35"/>
      <c r="AU8" s="36"/>
      <c r="AV8" s="35"/>
      <c r="AW8" s="36"/>
    </row>
    <row r="9" spans="1:49" x14ac:dyDescent="0.2">
      <c r="A9" t="s">
        <v>14</v>
      </c>
      <c r="B9" s="41">
        <v>1015.9116825427475</v>
      </c>
      <c r="C9" s="42">
        <v>1005.7716594496609</v>
      </c>
      <c r="D9" s="41">
        <v>1014.8153863609227</v>
      </c>
      <c r="E9" s="42">
        <v>1052.0054735107781</v>
      </c>
      <c r="F9" s="41">
        <v>1013.7797860628286</v>
      </c>
      <c r="G9" s="42">
        <v>1099.1050970349049</v>
      </c>
      <c r="H9" s="41">
        <v>1012.8118413749493</v>
      </c>
      <c r="I9" s="42">
        <v>1146.6101126545263</v>
      </c>
      <c r="J9" s="41">
        <v>1011.9172470790774</v>
      </c>
      <c r="K9" s="42">
        <v>1193.9851263571916</v>
      </c>
      <c r="L9" s="41">
        <v>1011.0986611166501</v>
      </c>
      <c r="M9" s="42">
        <v>1240.6497915031123</v>
      </c>
      <c r="N9" s="41">
        <v>1010.3526322971826</v>
      </c>
      <c r="O9" s="42">
        <v>1286.0321338684544</v>
      </c>
      <c r="P9" s="41">
        <v>1009.6637917679877</v>
      </c>
      <c r="Q9" s="42">
        <v>1329.6652506980322</v>
      </c>
      <c r="R9" s="41">
        <v>1008.9924711995679</v>
      </c>
      <c r="S9" s="42">
        <v>1371.3660380724025</v>
      </c>
      <c r="T9" s="41">
        <v>1008.2434994294144</v>
      </c>
      <c r="U9" s="42">
        <v>1411.6369899723948</v>
      </c>
      <c r="V9" s="41">
        <v>1007.1688589531886</v>
      </c>
      <c r="W9" s="42">
        <v>1452.8052253953631</v>
      </c>
      <c r="X9" s="41">
        <v>1004.9663803972725</v>
      </c>
      <c r="Y9" s="42">
        <v>1503.4769107842314</v>
      </c>
      <c r="Z9" s="41">
        <v>998.52142624806879</v>
      </c>
      <c r="AA9" s="42">
        <v>1596.3470112082887</v>
      </c>
      <c r="AB9" s="41">
        <v>983.65783707487128</v>
      </c>
      <c r="AC9" s="42">
        <v>1764.000604461095</v>
      </c>
      <c r="AD9" s="41"/>
      <c r="AE9" s="42"/>
      <c r="AF9" s="41"/>
      <c r="AG9" s="42"/>
      <c r="AH9" s="41"/>
      <c r="AI9" s="42"/>
      <c r="AJ9" s="41"/>
      <c r="AK9" s="42"/>
      <c r="AL9" s="41"/>
      <c r="AM9" s="42"/>
      <c r="AN9" s="41"/>
      <c r="AO9" s="42"/>
      <c r="AP9" s="41"/>
      <c r="AQ9" s="42"/>
      <c r="AR9" s="41"/>
      <c r="AS9" s="42"/>
      <c r="AT9" s="41"/>
      <c r="AU9" s="42"/>
      <c r="AV9" s="41"/>
      <c r="AW9" s="42"/>
    </row>
    <row r="10" spans="1:49" x14ac:dyDescent="0.2">
      <c r="A10" t="s">
        <v>15</v>
      </c>
      <c r="B10" s="41">
        <v>1015.9116825427475</v>
      </c>
      <c r="C10" s="42">
        <v>1005.7716594496609</v>
      </c>
      <c r="D10" s="41">
        <v>1014.8153863609227</v>
      </c>
      <c r="E10" s="42">
        <v>1052.0054735107781</v>
      </c>
      <c r="F10" s="41">
        <v>1013.7797860628286</v>
      </c>
      <c r="G10" s="42">
        <v>1099.1050970349049</v>
      </c>
      <c r="H10" s="41">
        <v>1012.8118413749493</v>
      </c>
      <c r="I10" s="42">
        <v>1146.6101126545263</v>
      </c>
      <c r="J10" s="41">
        <v>1011.9172470790774</v>
      </c>
      <c r="K10" s="42">
        <v>1193.9851263571916</v>
      </c>
      <c r="L10" s="41">
        <v>1011.0986611166501</v>
      </c>
      <c r="M10" s="42">
        <v>1240.6497915031123</v>
      </c>
      <c r="N10" s="41">
        <v>1010.3526322971826</v>
      </c>
      <c r="O10" s="42">
        <v>1286.0321338684544</v>
      </c>
      <c r="P10" s="41">
        <v>1009.6637917679877</v>
      </c>
      <c r="Q10" s="42">
        <v>1329.6652506980322</v>
      </c>
      <c r="R10" s="41">
        <v>1008.9924711995679</v>
      </c>
      <c r="S10" s="42">
        <v>1371.3660380724025</v>
      </c>
      <c r="T10" s="41">
        <v>1008.2434994294144</v>
      </c>
      <c r="U10" s="42">
        <v>1411.6369899723948</v>
      </c>
      <c r="V10" s="41">
        <v>1007.1688589531886</v>
      </c>
      <c r="W10" s="42">
        <v>1452.8052253953631</v>
      </c>
      <c r="X10" s="41">
        <v>1004.9663803972725</v>
      </c>
      <c r="Y10" s="42">
        <v>1503.4769107842314</v>
      </c>
      <c r="Z10" s="41">
        <v>998.52142624806879</v>
      </c>
      <c r="AA10" s="42">
        <v>1596.3470112082887</v>
      </c>
      <c r="AB10" s="41">
        <v>983.65783707487128</v>
      </c>
      <c r="AC10" s="42">
        <v>1764.000604461095</v>
      </c>
      <c r="AD10" s="41"/>
      <c r="AE10" s="42"/>
      <c r="AF10" s="41"/>
      <c r="AG10" s="42"/>
      <c r="AH10" s="41"/>
      <c r="AI10" s="42"/>
      <c r="AJ10" s="41"/>
      <c r="AK10" s="42"/>
      <c r="AL10" s="41"/>
      <c r="AM10" s="42"/>
      <c r="AN10" s="41"/>
      <c r="AO10" s="42"/>
      <c r="AP10" s="41"/>
      <c r="AQ10" s="42"/>
      <c r="AR10" s="41"/>
      <c r="AS10" s="42"/>
      <c r="AT10" s="41"/>
      <c r="AU10" s="42"/>
      <c r="AV10" s="41"/>
      <c r="AW10" s="42"/>
    </row>
    <row r="11" spans="1:49" x14ac:dyDescent="0.2">
      <c r="A11" t="s">
        <v>29</v>
      </c>
      <c r="B11" s="41">
        <v>1015.9116825427475</v>
      </c>
      <c r="C11" s="42">
        <v>1005.7716594496609</v>
      </c>
      <c r="D11" s="41">
        <v>1014.8153863609227</v>
      </c>
      <c r="E11" s="42">
        <v>1052.0054735107781</v>
      </c>
      <c r="F11" s="41">
        <v>1013.7797860628286</v>
      </c>
      <c r="G11" s="42">
        <v>1099.1050970349049</v>
      </c>
      <c r="H11" s="41">
        <v>1012.8118413749493</v>
      </c>
      <c r="I11" s="42">
        <v>1146.6101126545263</v>
      </c>
      <c r="J11" s="41">
        <v>1011.9172470790774</v>
      </c>
      <c r="K11" s="42">
        <v>1193.9851263571916</v>
      </c>
      <c r="L11" s="41">
        <v>1011.0986611166501</v>
      </c>
      <c r="M11" s="42">
        <v>1240.6497915031123</v>
      </c>
      <c r="N11" s="41">
        <v>1010.3526322971826</v>
      </c>
      <c r="O11" s="42">
        <v>1286.0321338684544</v>
      </c>
      <c r="P11" s="41">
        <v>1009.6637917679877</v>
      </c>
      <c r="Q11" s="42">
        <v>1329.6652506980322</v>
      </c>
      <c r="R11" s="41">
        <v>1008.9924711995679</v>
      </c>
      <c r="S11" s="42">
        <v>1371.3660380724025</v>
      </c>
      <c r="T11" s="41">
        <v>1008.2434994294144</v>
      </c>
      <c r="U11" s="42">
        <v>1411.6369899723948</v>
      </c>
      <c r="V11" s="41">
        <v>1007.1688589531886</v>
      </c>
      <c r="W11" s="42">
        <v>1452.8052253953631</v>
      </c>
      <c r="X11" s="41">
        <v>1004.9663803972725</v>
      </c>
      <c r="Y11" s="42">
        <v>1503.4769107842314</v>
      </c>
      <c r="Z11" s="41">
        <v>998.52142624806879</v>
      </c>
      <c r="AA11" s="42">
        <v>1596.3470112082887</v>
      </c>
      <c r="AB11" s="41">
        <v>983.65783707487128</v>
      </c>
      <c r="AC11" s="42">
        <v>1764.000604461095</v>
      </c>
      <c r="AD11" s="41"/>
      <c r="AE11" s="42"/>
      <c r="AF11" s="41"/>
      <c r="AG11" s="42"/>
      <c r="AH11" s="41"/>
      <c r="AI11" s="42"/>
      <c r="AJ11" s="41"/>
      <c r="AK11" s="42"/>
      <c r="AL11" s="41"/>
      <c r="AM11" s="42"/>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c r="AE12" s="42"/>
      <c r="AF12" s="41"/>
      <c r="AG12" s="42"/>
      <c r="AH12" s="41"/>
      <c r="AI12" s="42"/>
      <c r="AJ12" s="41"/>
      <c r="AK12" s="42"/>
      <c r="AL12" s="41"/>
      <c r="AM12" s="42"/>
      <c r="AN12" s="41"/>
      <c r="AO12" s="42"/>
      <c r="AP12" s="41"/>
      <c r="AQ12" s="42"/>
      <c r="AR12" s="41"/>
      <c r="AS12" s="42"/>
      <c r="AT12" s="41"/>
      <c r="AU12" s="42"/>
      <c r="AV12" s="41"/>
      <c r="AW12" s="42"/>
    </row>
    <row r="13" spans="1:49" x14ac:dyDescent="0.2">
      <c r="A13" t="s">
        <v>17</v>
      </c>
      <c r="B13" s="97">
        <v>1000</v>
      </c>
      <c r="C13" s="98">
        <v>1000</v>
      </c>
      <c r="D13" s="97">
        <v>1001.4482407910197</v>
      </c>
      <c r="E13" s="98">
        <v>1001.4482407910197</v>
      </c>
      <c r="F13" s="97">
        <v>1002.9349320482994</v>
      </c>
      <c r="G13" s="98">
        <v>1002.9349320482994</v>
      </c>
      <c r="H13" s="97">
        <v>1004.4465266799309</v>
      </c>
      <c r="I13" s="98">
        <v>1004.4465266799309</v>
      </c>
      <c r="J13" s="97">
        <v>1005.9663129366822</v>
      </c>
      <c r="K13" s="98">
        <v>1005.9663129366822</v>
      </c>
      <c r="L13" s="97">
        <v>1007.4741565297563</v>
      </c>
      <c r="M13" s="98">
        <v>1007.4741565297563</v>
      </c>
      <c r="N13" s="97">
        <v>1008.9459097355121</v>
      </c>
      <c r="O13" s="98">
        <v>1008.9459097355121</v>
      </c>
      <c r="P13" s="97">
        <v>1010.3520270848755</v>
      </c>
      <c r="Q13" s="98">
        <v>1010.3520270848755</v>
      </c>
      <c r="R13" s="97">
        <v>1011.6534318617679</v>
      </c>
      <c r="S13" s="98">
        <v>1011.6534318617679</v>
      </c>
      <c r="T13" s="97">
        <v>1012.7892966026969</v>
      </c>
      <c r="U13" s="98">
        <v>1012.7892966026969</v>
      </c>
      <c r="V13" s="97">
        <v>1013.634390825565</v>
      </c>
      <c r="W13" s="98">
        <v>1013.634390825565</v>
      </c>
      <c r="X13" s="97">
        <v>1013.8119161869905</v>
      </c>
      <c r="Y13" s="98">
        <v>1013.8119161869905</v>
      </c>
      <c r="Z13" s="97">
        <v>1011.7710657274358</v>
      </c>
      <c r="AA13" s="98">
        <v>1011.7710657274358</v>
      </c>
      <c r="AB13" s="97">
        <v>1004.7462203434719</v>
      </c>
      <c r="AC13" s="98">
        <v>1004.7462203434719</v>
      </c>
      <c r="AD13" s="97"/>
      <c r="AE13" s="98"/>
      <c r="AF13" s="97"/>
      <c r="AG13" s="98"/>
      <c r="AH13" s="97"/>
      <c r="AI13" s="98"/>
      <c r="AJ13" s="97"/>
      <c r="AK13" s="98"/>
      <c r="AL13" s="97"/>
      <c r="AM13" s="98"/>
      <c r="AN13" s="97"/>
      <c r="AO13" s="98"/>
      <c r="AP13" s="97"/>
      <c r="AQ13" s="98"/>
      <c r="AR13" s="97"/>
      <c r="AS13" s="98"/>
      <c r="AT13" s="97"/>
      <c r="AU13" s="98"/>
      <c r="AV13" s="97"/>
      <c r="AW13" s="98"/>
    </row>
    <row r="14" spans="1:49" x14ac:dyDescent="0.2">
      <c r="A14" t="s">
        <v>36</v>
      </c>
      <c r="B14" s="41">
        <v>1457.0034251455234</v>
      </c>
      <c r="C14" s="42">
        <v>1457.0034251455236</v>
      </c>
      <c r="D14" s="41">
        <v>1459.1135169384743</v>
      </c>
      <c r="E14" s="42">
        <v>1459.1135169384745</v>
      </c>
      <c r="F14" s="41">
        <v>1461.2796311924649</v>
      </c>
      <c r="G14" s="42">
        <v>1461.2796311924651</v>
      </c>
      <c r="H14" s="41">
        <v>1463.4820297481835</v>
      </c>
      <c r="I14" s="42">
        <v>1463.4820297481838</v>
      </c>
      <c r="J14" s="41">
        <v>1465.6963635297593</v>
      </c>
      <c r="K14" s="42">
        <v>1465.6963635297595</v>
      </c>
      <c r="L14" s="41">
        <v>1467.8932968094521</v>
      </c>
      <c r="M14" s="42">
        <v>1467.8932968094523</v>
      </c>
      <c r="N14" s="41">
        <v>1470.0376462712072</v>
      </c>
      <c r="O14" s="42">
        <v>1470.0376462712074</v>
      </c>
      <c r="P14" s="41">
        <v>1472.0863640653861</v>
      </c>
      <c r="Q14" s="42">
        <v>1472.0863640653863</v>
      </c>
      <c r="R14" s="41">
        <v>1473.9825152828191</v>
      </c>
      <c r="S14" s="42">
        <v>1473.9825152828193</v>
      </c>
      <c r="T14" s="41">
        <v>1475.6374741008547</v>
      </c>
      <c r="U14" s="42">
        <v>1475.6374741008549</v>
      </c>
      <c r="V14" s="41">
        <v>1476.8687792781441</v>
      </c>
      <c r="W14" s="42">
        <v>1476.8687792781443</v>
      </c>
      <c r="X14" s="41">
        <v>1477.1274343377913</v>
      </c>
      <c r="Y14" s="42">
        <v>1477.1274343377916</v>
      </c>
      <c r="Z14" s="41">
        <v>1474.1539082280103</v>
      </c>
      <c r="AA14" s="42">
        <v>1474.1539082280106</v>
      </c>
      <c r="AB14" s="41">
        <v>1463.9186844424573</v>
      </c>
      <c r="AC14" s="42">
        <v>1463.9186844424576</v>
      </c>
      <c r="AD14" s="41"/>
      <c r="AE14" s="42"/>
      <c r="AF14" s="41"/>
      <c r="AG14" s="42"/>
      <c r="AH14" s="41"/>
      <c r="AI14" s="42"/>
      <c r="AJ14" s="41"/>
      <c r="AK14" s="42"/>
      <c r="AL14" s="41"/>
      <c r="AM14" s="42"/>
      <c r="AN14" s="41"/>
      <c r="AO14" s="42"/>
      <c r="AP14" s="41"/>
      <c r="AQ14" s="42"/>
      <c r="AR14" s="41"/>
      <c r="AS14" s="42"/>
      <c r="AT14" s="41"/>
      <c r="AU14" s="42"/>
      <c r="AV14" s="41"/>
      <c r="AW14" s="42"/>
    </row>
    <row r="15" spans="1:49" x14ac:dyDescent="0.2">
      <c r="A15" t="s">
        <v>18</v>
      </c>
      <c r="B15" s="154">
        <v>1000</v>
      </c>
      <c r="C15" s="155">
        <v>1000</v>
      </c>
      <c r="D15" s="154">
        <v>990.09324010001399</v>
      </c>
      <c r="E15" s="155">
        <v>990.09324010001399</v>
      </c>
      <c r="F15" s="154">
        <v>976.32735350497592</v>
      </c>
      <c r="G15" s="155">
        <v>976.32735350497592</v>
      </c>
      <c r="H15" s="154">
        <v>958.29404796897222</v>
      </c>
      <c r="I15" s="155">
        <v>958.29404796897222</v>
      </c>
      <c r="J15" s="154">
        <v>935.62453321314365</v>
      </c>
      <c r="K15" s="155">
        <v>935.62453321314365</v>
      </c>
      <c r="L15" s="154">
        <v>908.02266769811683</v>
      </c>
      <c r="M15" s="155">
        <v>908.02266769811683</v>
      </c>
      <c r="N15" s="154">
        <v>875.30187237159328</v>
      </c>
      <c r="O15" s="155">
        <v>875.30187237159328</v>
      </c>
      <c r="P15" s="154">
        <v>837.4342561153054</v>
      </c>
      <c r="Q15" s="155">
        <v>837.4342561153054</v>
      </c>
      <c r="R15" s="154">
        <v>794.6135888607339</v>
      </c>
      <c r="S15" s="155">
        <v>794.6135888607339</v>
      </c>
      <c r="T15" s="154">
        <v>747.37813129379595</v>
      </c>
      <c r="U15" s="155">
        <v>747.37813129379595</v>
      </c>
      <c r="V15" s="154">
        <v>696.93694269553907</v>
      </c>
      <c r="W15" s="155">
        <v>696.93694269553907</v>
      </c>
      <c r="X15" s="154">
        <v>646.47455217780919</v>
      </c>
      <c r="Y15" s="155">
        <v>646.47455217780919</v>
      </c>
      <c r="Z15" s="154">
        <v>606.01069674776056</v>
      </c>
      <c r="AA15" s="155">
        <v>606.01069674776056</v>
      </c>
      <c r="AB15" s="154">
        <v>581.17442420286989</v>
      </c>
      <c r="AC15" s="155">
        <v>581.17442420286989</v>
      </c>
      <c r="AD15" s="154"/>
      <c r="AE15" s="155"/>
      <c r="AF15" s="154"/>
      <c r="AG15" s="155"/>
      <c r="AH15" s="154"/>
      <c r="AI15" s="155"/>
      <c r="AJ15" s="154"/>
      <c r="AK15" s="155"/>
      <c r="AL15" s="154"/>
      <c r="AM15" s="155"/>
      <c r="AN15" s="154"/>
      <c r="AO15" s="155"/>
      <c r="AP15" s="154"/>
      <c r="AQ15" s="155"/>
      <c r="AR15" s="154"/>
      <c r="AS15" s="155"/>
      <c r="AT15" s="154"/>
      <c r="AU15" s="155"/>
      <c r="AV15" s="154"/>
      <c r="AW15" s="155"/>
    </row>
    <row r="16" spans="1:49" s="29" customFormat="1" x14ac:dyDescent="0.2">
      <c r="A16" t="s">
        <v>61</v>
      </c>
      <c r="B16" s="41">
        <v>1000</v>
      </c>
      <c r="C16" s="42">
        <v>1000</v>
      </c>
      <c r="D16" s="41">
        <v>996.98582053429823</v>
      </c>
      <c r="E16" s="42">
        <v>993.95246822445563</v>
      </c>
      <c r="F16" s="41">
        <v>994.01620936033135</v>
      </c>
      <c r="G16" s="42">
        <v>986.56049256428241</v>
      </c>
      <c r="H16" s="41">
        <v>991.11671665163624</v>
      </c>
      <c r="I16" s="42">
        <v>977.81694576353107</v>
      </c>
      <c r="J16" s="41">
        <v>988.31396035052171</v>
      </c>
      <c r="K16" s="42">
        <v>967.79658435597389</v>
      </c>
      <c r="L16" s="41">
        <v>985.63269827336399</v>
      </c>
      <c r="M16" s="42">
        <v>956.70779929541618</v>
      </c>
      <c r="N16" s="41">
        <v>983.09086638693009</v>
      </c>
      <c r="O16" s="42">
        <v>944.98387303799734</v>
      </c>
      <c r="P16" s="41">
        <v>980.69049306728141</v>
      </c>
      <c r="Q16" s="42">
        <v>933.45843911778968</v>
      </c>
      <c r="R16" s="41">
        <v>978.39947339651712</v>
      </c>
      <c r="S16" s="42">
        <v>923.75995319263711</v>
      </c>
      <c r="T16" s="41">
        <v>976.10745797733227</v>
      </c>
      <c r="U16" s="42">
        <v>919.34377992859902</v>
      </c>
      <c r="V16" s="41">
        <v>973.4925596167476</v>
      </c>
      <c r="W16" s="42">
        <v>928.86022565296184</v>
      </c>
      <c r="X16" s="41">
        <v>969.48246262070631</v>
      </c>
      <c r="Y16" s="42">
        <v>980.87481687446541</v>
      </c>
      <c r="Z16" s="41">
        <v>959.98702785076955</v>
      </c>
      <c r="AA16" s="42">
        <v>1200.0105684095529</v>
      </c>
      <c r="AB16" s="41">
        <v>940.17597537991912</v>
      </c>
      <c r="AC16" s="42">
        <v>1873.6805203093945</v>
      </c>
      <c r="AD16" s="41"/>
      <c r="AE16" s="42"/>
      <c r="AF16" s="41"/>
      <c r="AG16" s="42"/>
      <c r="AH16" s="41"/>
      <c r="AI16" s="42"/>
      <c r="AJ16" s="41"/>
      <c r="AK16" s="42"/>
      <c r="AL16" s="41"/>
      <c r="AM16" s="42"/>
      <c r="AN16" s="41"/>
      <c r="AO16" s="42"/>
      <c r="AP16" s="41"/>
      <c r="AQ16" s="42"/>
      <c r="AR16" s="41"/>
      <c r="AS16" s="42"/>
      <c r="AT16" s="41"/>
      <c r="AU16" s="42"/>
      <c r="AV16" s="41"/>
      <c r="AW16" s="42"/>
    </row>
    <row r="17" spans="1:49" x14ac:dyDescent="0.2">
      <c r="A17" t="s">
        <v>62</v>
      </c>
      <c r="B17" s="35">
        <v>999.99999999999977</v>
      </c>
      <c r="C17" s="36">
        <v>999.99999999999977</v>
      </c>
      <c r="D17" s="35">
        <v>999.01914204850789</v>
      </c>
      <c r="E17" s="36">
        <v>1021.591002536069</v>
      </c>
      <c r="F17" s="35">
        <v>998.0933809236451</v>
      </c>
      <c r="G17" s="36">
        <v>1042.9247466296194</v>
      </c>
      <c r="H17" s="35">
        <v>997.22879594452479</v>
      </c>
      <c r="I17" s="36">
        <v>1063.7504688924805</v>
      </c>
      <c r="J17" s="35">
        <v>996.43032824128363</v>
      </c>
      <c r="K17" s="36">
        <v>1083.819384729806</v>
      </c>
      <c r="L17" s="35">
        <v>995.70020721048149</v>
      </c>
      <c r="M17" s="36">
        <v>1102.9260129103566</v>
      </c>
      <c r="N17" s="35">
        <v>995.03522358909424</v>
      </c>
      <c r="O17" s="36">
        <v>1120.9807346242485</v>
      </c>
      <c r="P17" s="35">
        <v>994.42157307332229</v>
      </c>
      <c r="Q17" s="36">
        <v>1138.1456623029319</v>
      </c>
      <c r="R17" s="35">
        <v>993.82386072908548</v>
      </c>
      <c r="S17" s="36">
        <v>1155.119108900529</v>
      </c>
      <c r="T17" s="35">
        <v>993.15739718065515</v>
      </c>
      <c r="U17" s="36">
        <v>1173.8443863053456</v>
      </c>
      <c r="V17" s="35">
        <v>992.20185322996963</v>
      </c>
      <c r="W17" s="36">
        <v>1199.7292384890884</v>
      </c>
      <c r="X17" s="35">
        <v>990.24609236320043</v>
      </c>
      <c r="Y17" s="36">
        <v>1251.0430062398095</v>
      </c>
      <c r="Z17" s="35">
        <v>984.54352484798778</v>
      </c>
      <c r="AA17" s="36">
        <v>1404.3657891300584</v>
      </c>
      <c r="AB17" s="35">
        <v>971.51007460934113</v>
      </c>
      <c r="AC17" s="36">
        <v>1809.8055120859638</v>
      </c>
      <c r="AD17" s="35"/>
      <c r="AE17" s="36"/>
      <c r="AF17" s="35"/>
      <c r="AG17" s="36"/>
      <c r="AH17" s="35"/>
      <c r="AI17" s="36"/>
      <c r="AJ17" s="35"/>
      <c r="AK17" s="36"/>
      <c r="AL17" s="35"/>
      <c r="AM17" s="36"/>
      <c r="AN17" s="35"/>
      <c r="AO17" s="36"/>
      <c r="AP17" s="35"/>
      <c r="AQ17" s="36"/>
      <c r="AR17" s="35"/>
      <c r="AS17" s="36"/>
      <c r="AT17" s="35"/>
      <c r="AU17" s="36"/>
      <c r="AV17" s="35"/>
      <c r="AW17" s="36"/>
    </row>
    <row r="18" spans="1:49" x14ac:dyDescent="0.2">
      <c r="A18" t="s">
        <v>19</v>
      </c>
      <c r="B18" s="33">
        <v>27857.010133999996</v>
      </c>
      <c r="C18" s="34">
        <v>1236.7674480000003</v>
      </c>
      <c r="D18" s="33">
        <v>27173.63640058097</v>
      </c>
      <c r="E18" s="34">
        <v>1158.965222492968</v>
      </c>
      <c r="F18" s="33">
        <v>26410.71284804785</v>
      </c>
      <c r="G18" s="34">
        <v>1083.1443715747332</v>
      </c>
      <c r="H18" s="33">
        <v>25562.848974489632</v>
      </c>
      <c r="I18" s="34">
        <v>1009.4082094148929</v>
      </c>
      <c r="J18" s="33">
        <v>24625.826076067882</v>
      </c>
      <c r="K18" s="34">
        <v>937.81907369549492</v>
      </c>
      <c r="L18" s="33">
        <v>23597.218221731375</v>
      </c>
      <c r="M18" s="34">
        <v>868.37766797437587</v>
      </c>
      <c r="N18" s="33">
        <v>22477.124760692248</v>
      </c>
      <c r="O18" s="34">
        <v>800.99545010512509</v>
      </c>
      <c r="P18" s="33">
        <v>21269.184751189168</v>
      </c>
      <c r="Q18" s="34">
        <v>735.45264579700881</v>
      </c>
      <c r="R18" s="33">
        <v>19982.173937120311</v>
      </c>
      <c r="S18" s="34">
        <v>671.32209171675606</v>
      </c>
      <c r="T18" s="33">
        <v>18633.583697670627</v>
      </c>
      <c r="U18" s="34">
        <v>607.78731816572497</v>
      </c>
      <c r="V18" s="33">
        <v>17260.304496360939</v>
      </c>
      <c r="W18" s="34">
        <v>543.07852974462128</v>
      </c>
      <c r="X18" s="33">
        <v>15962.348927039873</v>
      </c>
      <c r="Y18" s="34">
        <v>472.14934653163255</v>
      </c>
      <c r="Z18" s="33">
        <v>15076.333416993933</v>
      </c>
      <c r="AA18" s="34">
        <v>377.21891711116979</v>
      </c>
      <c r="AB18" s="33">
        <v>14861.823037252088</v>
      </c>
      <c r="AC18" s="34">
        <v>243.58044067017028</v>
      </c>
      <c r="AD18" s="33"/>
      <c r="AE18" s="34"/>
      <c r="AF18" s="33"/>
      <c r="AG18" s="34"/>
      <c r="AH18" s="33"/>
      <c r="AI18" s="34"/>
      <c r="AJ18" s="33"/>
      <c r="AK18" s="34"/>
      <c r="AL18" s="33"/>
      <c r="AM18" s="34"/>
      <c r="AN18" s="33"/>
      <c r="AO18" s="34"/>
      <c r="AP18" s="33"/>
      <c r="AQ18" s="34"/>
      <c r="AR18" s="33"/>
      <c r="AS18" s="34"/>
      <c r="AT18" s="33"/>
      <c r="AU18" s="34"/>
      <c r="AV18" s="33"/>
      <c r="AW18" s="34"/>
    </row>
    <row r="19" spans="1:49" x14ac:dyDescent="0.2">
      <c r="A19" t="s">
        <v>3</v>
      </c>
      <c r="B19" s="41">
        <v>1886.3937399999918</v>
      </c>
      <c r="C19" s="42">
        <v>262.78711299999759</v>
      </c>
      <c r="D19" s="41">
        <v>1835.3551911741438</v>
      </c>
      <c r="E19" s="42">
        <v>262.18859130958066</v>
      </c>
      <c r="F19" s="41">
        <v>1779.4588870442951</v>
      </c>
      <c r="G19" s="42">
        <v>260.37536530480673</v>
      </c>
      <c r="H19" s="41">
        <v>1718.3867127698563</v>
      </c>
      <c r="I19" s="42">
        <v>257.17797486635067</v>
      </c>
      <c r="J19" s="41">
        <v>1651.8885128986524</v>
      </c>
      <c r="K19" s="42">
        <v>252.45497177180494</v>
      </c>
      <c r="L19" s="41">
        <v>1579.8157876747405</v>
      </c>
      <c r="M19" s="42">
        <v>246.11727265659854</v>
      </c>
      <c r="N19" s="41">
        <v>1502.1600930743307</v>
      </c>
      <c r="O19" s="42">
        <v>238.16009090113687</v>
      </c>
      <c r="P19" s="41">
        <v>1419.1050753398133</v>
      </c>
      <c r="Q19" s="42">
        <v>228.70903206047922</v>
      </c>
      <c r="R19" s="41">
        <v>1331.1047144208924</v>
      </c>
      <c r="S19" s="42">
        <v>218.1008080668025</v>
      </c>
      <c r="T19" s="41">
        <v>1239.0552876303107</v>
      </c>
      <c r="U19" s="42">
        <v>207.07097904248761</v>
      </c>
      <c r="V19" s="41">
        <v>1144.7990483997269</v>
      </c>
      <c r="W19" s="42">
        <v>197.34338201140505</v>
      </c>
      <c r="X19" s="41">
        <v>1053.1517517308841</v>
      </c>
      <c r="Y19" s="42">
        <v>194.18400747639694</v>
      </c>
      <c r="Z19" s="41">
        <v>979.40689930518431</v>
      </c>
      <c r="AA19" s="42">
        <v>218.68110645157324</v>
      </c>
      <c r="AB19" s="41">
        <v>931.15084745334491</v>
      </c>
      <c r="AC19" s="42">
        <v>303.50244891451155</v>
      </c>
      <c r="AD19" s="41"/>
      <c r="AE19" s="42"/>
      <c r="AF19" s="41"/>
      <c r="AG19" s="42"/>
      <c r="AH19" s="41"/>
      <c r="AI19" s="42"/>
      <c r="AJ19" s="41"/>
      <c r="AK19" s="42"/>
      <c r="AL19" s="41"/>
      <c r="AM19" s="42"/>
      <c r="AN19" s="41"/>
      <c r="AO19" s="42"/>
      <c r="AP19" s="41"/>
      <c r="AQ19" s="42"/>
      <c r="AR19" s="41"/>
      <c r="AS19" s="42"/>
      <c r="AT19" s="41"/>
      <c r="AU19" s="42"/>
      <c r="AV19" s="41"/>
      <c r="AW19" s="42"/>
    </row>
    <row r="20" spans="1:49" x14ac:dyDescent="0.2">
      <c r="A20" t="s">
        <v>127</v>
      </c>
      <c r="B20" s="82">
        <v>26548.356269999993</v>
      </c>
      <c r="C20" s="83">
        <v>1408.5418709999938</v>
      </c>
      <c r="D20" s="82">
        <v>25885.898120948405</v>
      </c>
      <c r="E20" s="83">
        <v>1338.1147774499941</v>
      </c>
      <c r="F20" s="82">
        <v>25148.836828970358</v>
      </c>
      <c r="G20" s="83">
        <v>1267.6876838999945</v>
      </c>
      <c r="H20" s="82">
        <v>24332.154475820273</v>
      </c>
      <c r="I20" s="83">
        <v>1197.2605903499946</v>
      </c>
      <c r="J20" s="82">
        <v>23431.923275739286</v>
      </c>
      <c r="K20" s="83">
        <v>1126.8334967999951</v>
      </c>
      <c r="L20" s="82">
        <v>22445.876994655351</v>
      </c>
      <c r="M20" s="83">
        <v>1056.4064032499953</v>
      </c>
      <c r="N20" s="82">
        <v>21374.081708052709</v>
      </c>
      <c r="O20" s="83">
        <v>985.97930969999561</v>
      </c>
      <c r="P20" s="82">
        <v>20219.862078621874</v>
      </c>
      <c r="Q20" s="83">
        <v>915.55221614999596</v>
      </c>
      <c r="R20" s="82">
        <v>18991.250833096547</v>
      </c>
      <c r="S20" s="83">
        <v>845.12512259999642</v>
      </c>
      <c r="T20" s="82">
        <v>17704.229218082706</v>
      </c>
      <c r="U20" s="83">
        <v>774.69802904999653</v>
      </c>
      <c r="V20" s="82">
        <v>16392.375014497524</v>
      </c>
      <c r="W20" s="83">
        <v>704.27093549999688</v>
      </c>
      <c r="X20" s="82">
        <v>15146.248832389108</v>
      </c>
      <c r="Y20" s="83">
        <v>633.84384194999734</v>
      </c>
      <c r="Z20" s="82">
        <v>14268.081516840204</v>
      </c>
      <c r="AA20" s="83">
        <v>563.41674839999746</v>
      </c>
      <c r="AB20" s="82">
        <v>13978.131751399482</v>
      </c>
      <c r="AC20" s="83">
        <v>492.98965484999781</v>
      </c>
      <c r="AD20" s="82"/>
      <c r="AE20" s="83"/>
      <c r="AF20" s="82"/>
      <c r="AG20" s="83"/>
      <c r="AH20" s="82"/>
      <c r="AI20" s="83"/>
      <c r="AJ20" s="82"/>
      <c r="AK20" s="83"/>
      <c r="AL20" s="82"/>
      <c r="AM20" s="83"/>
      <c r="AN20" s="82"/>
      <c r="AO20" s="83"/>
      <c r="AP20" s="82"/>
      <c r="AQ20" s="83"/>
      <c r="AR20" s="82"/>
      <c r="AS20" s="83"/>
      <c r="AT20" s="82"/>
      <c r="AU20" s="83"/>
      <c r="AV20" s="82"/>
      <c r="AW20" s="83"/>
    </row>
    <row r="21" spans="1:49" x14ac:dyDescent="0.2">
      <c r="A21" t="s">
        <v>76</v>
      </c>
      <c r="B21" s="82">
        <v>24661.962529999968</v>
      </c>
      <c r="C21" s="83">
        <v>1145.7547579999991</v>
      </c>
      <c r="D21" s="82">
        <v>24050.545235521928</v>
      </c>
      <c r="E21" s="83">
        <v>1076.0212040955653</v>
      </c>
      <c r="F21" s="82">
        <v>23369.386413087013</v>
      </c>
      <c r="G21" s="83">
        <v>1007.6690446216645</v>
      </c>
      <c r="H21" s="82">
        <v>22613.785091202677</v>
      </c>
      <c r="I21" s="83">
        <v>940.82740651741767</v>
      </c>
      <c r="J21" s="82">
        <v>21780.062471247598</v>
      </c>
      <c r="K21" s="83">
        <v>875.59257095836756</v>
      </c>
      <c r="L21" s="82">
        <v>20866.099742833187</v>
      </c>
      <c r="M21" s="83">
        <v>812.00791046922382</v>
      </c>
      <c r="N21" s="82">
        <v>19871.970568221361</v>
      </c>
      <c r="O21" s="83">
        <v>750.03818185613216</v>
      </c>
      <c r="P21" s="82">
        <v>18800.81550085534</v>
      </c>
      <c r="Q21" s="83">
        <v>689.53217765352565</v>
      </c>
      <c r="R21" s="82">
        <v>17660.213503106716</v>
      </c>
      <c r="S21" s="83">
        <v>630.15574127071523</v>
      </c>
      <c r="T21" s="82">
        <v>16465.251083800547</v>
      </c>
      <c r="U21" s="83">
        <v>571.23329970744931</v>
      </c>
      <c r="V21" s="82">
        <v>15247.668828115437</v>
      </c>
      <c r="W21" s="83">
        <v>511.25337068833778</v>
      </c>
      <c r="X21" s="82">
        <v>14093.231559326816</v>
      </c>
      <c r="Y21" s="83">
        <v>445.79567728082117</v>
      </c>
      <c r="Z21" s="82">
        <v>13288.994411564207</v>
      </c>
      <c r="AA21" s="83">
        <v>358.66297612444703</v>
      </c>
      <c r="AB21" s="82">
        <v>13048.058621446646</v>
      </c>
      <c r="AC21" s="83">
        <v>234.0834333220165</v>
      </c>
      <c r="AD21" s="82"/>
      <c r="AE21" s="83"/>
      <c r="AF21" s="82"/>
      <c r="AG21" s="83"/>
      <c r="AH21" s="82"/>
      <c r="AI21" s="83"/>
      <c r="AJ21" s="82"/>
      <c r="AK21" s="83"/>
      <c r="AL21" s="82"/>
      <c r="AM21" s="83"/>
      <c r="AN21" s="82"/>
      <c r="AO21" s="83"/>
      <c r="AP21" s="82"/>
      <c r="AQ21" s="83"/>
      <c r="AR21" s="82"/>
      <c r="AS21" s="83"/>
      <c r="AT21" s="82"/>
      <c r="AU21" s="83"/>
      <c r="AV21" s="82"/>
      <c r="AW21" s="83"/>
    </row>
    <row r="22" spans="1:49" x14ac:dyDescent="0.2">
      <c r="A22" t="s">
        <v>28</v>
      </c>
      <c r="B22" s="41">
        <v>6533.6044688320644</v>
      </c>
      <c r="C22" s="42">
        <v>379.90788307663382</v>
      </c>
      <c r="D22" s="41">
        <v>6370.9363767695786</v>
      </c>
      <c r="E22" s="42">
        <v>360.19389567466499</v>
      </c>
      <c r="F22" s="41">
        <v>6189.7167238151278</v>
      </c>
      <c r="G22" s="42">
        <v>340.51043445934198</v>
      </c>
      <c r="H22" s="41">
        <v>5988.7417701252016</v>
      </c>
      <c r="I22" s="42">
        <v>320.87248836011878</v>
      </c>
      <c r="J22" s="41">
        <v>5767.0792824313285</v>
      </c>
      <c r="K22" s="42">
        <v>301.29574268399352</v>
      </c>
      <c r="L22" s="41">
        <v>5524.2067445372868</v>
      </c>
      <c r="M22" s="42">
        <v>281.79671607595941</v>
      </c>
      <c r="N22" s="41">
        <v>5260.1726629915602</v>
      </c>
      <c r="O22" s="42">
        <v>262.39337721469133</v>
      </c>
      <c r="P22" s="41">
        <v>4975.8191932963346</v>
      </c>
      <c r="Q22" s="42">
        <v>243.10706322125057</v>
      </c>
      <c r="R22" s="41">
        <v>4673.1304631363992</v>
      </c>
      <c r="S22" s="42">
        <v>223.9669501873538</v>
      </c>
      <c r="T22" s="41">
        <v>4356.0132174650644</v>
      </c>
      <c r="U22" s="42">
        <v>205.02226019618385</v>
      </c>
      <c r="V22" s="41">
        <v>4032.6217489615442</v>
      </c>
      <c r="W22" s="42">
        <v>186.38087154569806</v>
      </c>
      <c r="X22" s="41">
        <v>3724.8359169472592</v>
      </c>
      <c r="Y22" s="42">
        <v>168.3675994894549</v>
      </c>
      <c r="Z22" s="41">
        <v>3505.1801461879236</v>
      </c>
      <c r="AA22" s="42">
        <v>152.15234794150365</v>
      </c>
      <c r="AB22" s="41">
        <v>3423.8187195388477</v>
      </c>
      <c r="AC22" s="42">
        <v>138.56366921557864</v>
      </c>
      <c r="AD22" s="41"/>
      <c r="AE22" s="42"/>
      <c r="AF22" s="41"/>
      <c r="AG22" s="42"/>
      <c r="AH22" s="41"/>
      <c r="AI22" s="42"/>
      <c r="AJ22" s="41"/>
      <c r="AK22" s="42"/>
      <c r="AL22" s="41"/>
      <c r="AM22" s="42"/>
      <c r="AN22" s="41"/>
      <c r="AO22" s="42"/>
      <c r="AP22" s="41"/>
      <c r="AQ22" s="42"/>
      <c r="AR22" s="41"/>
      <c r="AS22" s="42"/>
      <c r="AT22" s="41"/>
      <c r="AU22" s="42"/>
      <c r="AV22" s="41"/>
      <c r="AW22" s="42"/>
    </row>
    <row r="23" spans="1:49" x14ac:dyDescent="0.2">
      <c r="A23" t="s">
        <v>7</v>
      </c>
      <c r="B23" s="116">
        <v>3278.5018080150408</v>
      </c>
      <c r="C23" s="8">
        <v>0</v>
      </c>
      <c r="D23" s="116">
        <v>3200.0280231064667</v>
      </c>
      <c r="E23" s="8">
        <v>0</v>
      </c>
      <c r="F23" s="116">
        <v>3112.0392231612714</v>
      </c>
      <c r="G23" s="8">
        <v>0</v>
      </c>
      <c r="H23" s="116">
        <v>3013.8780361462191</v>
      </c>
      <c r="I23" s="8">
        <v>0</v>
      </c>
      <c r="J23" s="116">
        <v>2905.0244649636006</v>
      </c>
      <c r="K23" s="8">
        <v>0</v>
      </c>
      <c r="L23" s="116">
        <v>2785.1692083391813</v>
      </c>
      <c r="M23" s="8">
        <v>0</v>
      </c>
      <c r="N23" s="116">
        <v>2654.299576819159</v>
      </c>
      <c r="O23" s="8">
        <v>0</v>
      </c>
      <c r="P23" s="116">
        <v>2512.8177088687471</v>
      </c>
      <c r="Q23" s="8">
        <v>0</v>
      </c>
      <c r="R23" s="116">
        <v>2361.7241454674518</v>
      </c>
      <c r="S23" s="8">
        <v>0</v>
      </c>
      <c r="T23" s="116">
        <v>2203.0259603901636</v>
      </c>
      <c r="U23" s="8">
        <v>0</v>
      </c>
      <c r="V23" s="116">
        <v>2040.9473544294747</v>
      </c>
      <c r="W23" s="8">
        <v>0</v>
      </c>
      <c r="X23" s="116">
        <v>1886.8620837837814</v>
      </c>
      <c r="Y23" s="8">
        <v>0</v>
      </c>
      <c r="Z23" s="116">
        <v>1778.5418836177153</v>
      </c>
      <c r="AA23" s="8">
        <v>0</v>
      </c>
      <c r="AB23" s="116">
        <v>1742.4238500484416</v>
      </c>
      <c r="AC23" s="8">
        <v>0</v>
      </c>
      <c r="AD23" s="116"/>
      <c r="AE23" s="8"/>
      <c r="AF23" s="116"/>
      <c r="AG23" s="8"/>
      <c r="AH23" s="116"/>
      <c r="AI23" s="8"/>
      <c r="AJ23" s="116"/>
      <c r="AK23" s="8"/>
      <c r="AL23" s="116"/>
      <c r="AM23" s="8"/>
      <c r="AN23" s="116"/>
      <c r="AO23" s="8"/>
      <c r="AP23" s="116"/>
      <c r="AQ23" s="8"/>
      <c r="AR23" s="116"/>
      <c r="AS23" s="8"/>
      <c r="AT23" s="116"/>
      <c r="AU23" s="8"/>
      <c r="AV23" s="116"/>
      <c r="AW23" s="8"/>
    </row>
    <row r="24" spans="1:49" x14ac:dyDescent="0.2">
      <c r="A24" t="s">
        <v>8</v>
      </c>
      <c r="B24" s="97">
        <v>3196.3846373657216</v>
      </c>
      <c r="C24" s="8">
        <v>0</v>
      </c>
      <c r="D24" s="97">
        <v>3119.8764006559363</v>
      </c>
      <c r="E24" s="8">
        <v>0</v>
      </c>
      <c r="F24" s="97">
        <v>3034.0914671031569</v>
      </c>
      <c r="G24" s="8">
        <v>0</v>
      </c>
      <c r="H24" s="97">
        <v>2938.3889390820882</v>
      </c>
      <c r="I24" s="8">
        <v>0</v>
      </c>
      <c r="J24" s="97">
        <v>2832.2618427978973</v>
      </c>
      <c r="K24" s="8">
        <v>0</v>
      </c>
      <c r="L24" s="97">
        <v>2715.4086203155794</v>
      </c>
      <c r="M24" s="8">
        <v>0</v>
      </c>
      <c r="N24" s="97">
        <v>2587.8169016896245</v>
      </c>
      <c r="O24" s="8">
        <v>0</v>
      </c>
      <c r="P24" s="97">
        <v>2449.8787525521234</v>
      </c>
      <c r="Q24" s="8">
        <v>0</v>
      </c>
      <c r="R24" s="97">
        <v>2302.569655771526</v>
      </c>
      <c r="S24" s="8">
        <v>0</v>
      </c>
      <c r="T24" s="97">
        <v>2147.8464065552448</v>
      </c>
      <c r="U24" s="8">
        <v>0</v>
      </c>
      <c r="V24" s="97">
        <v>1989.8274117983788</v>
      </c>
      <c r="W24" s="8">
        <v>0</v>
      </c>
      <c r="X24" s="97">
        <v>1839.6015405680268</v>
      </c>
      <c r="Y24" s="8">
        <v>0</v>
      </c>
      <c r="Z24" s="97">
        <v>1733.9944543958793</v>
      </c>
      <c r="AA24" s="8">
        <v>0</v>
      </c>
      <c r="AB24" s="97">
        <v>1698.7810750799488</v>
      </c>
      <c r="AC24" s="8">
        <v>0</v>
      </c>
      <c r="AD24" s="97"/>
      <c r="AE24" s="8"/>
      <c r="AF24" s="97"/>
      <c r="AG24" s="8"/>
      <c r="AH24" s="97"/>
      <c r="AI24" s="8"/>
      <c r="AJ24" s="97"/>
      <c r="AK24" s="8"/>
      <c r="AL24" s="97"/>
      <c r="AM24" s="8"/>
      <c r="AN24" s="97"/>
      <c r="AO24" s="8"/>
      <c r="AP24" s="97"/>
      <c r="AQ24" s="8"/>
      <c r="AR24" s="97"/>
      <c r="AS24" s="8"/>
      <c r="AT24" s="97"/>
      <c r="AU24" s="8"/>
      <c r="AV24" s="97"/>
      <c r="AW24" s="8"/>
    </row>
    <row r="25" spans="1:49" x14ac:dyDescent="0.2">
      <c r="A25" t="s">
        <v>0</v>
      </c>
      <c r="B25" s="41">
        <v>3195.0476040000012</v>
      </c>
      <c r="C25" s="42">
        <v>91.012690000004397</v>
      </c>
      <c r="D25" s="41">
        <v>3123.0874216682651</v>
      </c>
      <c r="E25" s="42">
        <v>82.926042516658839</v>
      </c>
      <c r="F25" s="41">
        <v>3041.3126863185989</v>
      </c>
      <c r="G25" s="42">
        <v>75.412509454784896</v>
      </c>
      <c r="H25" s="41">
        <v>2949.0356848190968</v>
      </c>
      <c r="I25" s="42">
        <v>68.45646907673401</v>
      </c>
      <c r="J25" s="41">
        <v>2845.7183983139103</v>
      </c>
      <c r="K25" s="42">
        <v>62.033690928275959</v>
      </c>
      <c r="L25" s="41">
        <v>2731.0554702617546</v>
      </c>
      <c r="M25" s="42">
        <v>56.109426816592205</v>
      </c>
      <c r="N25" s="41">
        <v>2605.0739915663353</v>
      </c>
      <c r="O25" s="42">
        <v>50.635726926476025</v>
      </c>
      <c r="P25" s="41">
        <v>2468.2732378544242</v>
      </c>
      <c r="Q25" s="42">
        <v>45.546669136537091</v>
      </c>
      <c r="R25" s="41">
        <v>2321.8496319502492</v>
      </c>
      <c r="S25" s="42">
        <v>40.748318009235959</v>
      </c>
      <c r="T25" s="41">
        <v>2168.2055044644781</v>
      </c>
      <c r="U25" s="42">
        <v>36.093345804529591</v>
      </c>
      <c r="V25" s="41">
        <v>2012.4822300259591</v>
      </c>
      <c r="W25" s="42">
        <v>31.304694840923609</v>
      </c>
      <c r="X25" s="41">
        <v>1868.8938440461063</v>
      </c>
      <c r="Y25" s="42">
        <v>25.695882178349787</v>
      </c>
      <c r="Z25" s="41">
        <v>1786.7981378305055</v>
      </c>
      <c r="AA25" s="42">
        <v>17.473933145158053</v>
      </c>
      <c r="AB25" s="41">
        <v>1811.8663868435722</v>
      </c>
      <c r="AC25" s="42">
        <v>7.8206238235615393</v>
      </c>
      <c r="AD25" s="41"/>
      <c r="AE25" s="42"/>
      <c r="AF25" s="41"/>
      <c r="AG25" s="42"/>
      <c r="AH25" s="41"/>
      <c r="AI25" s="42"/>
      <c r="AJ25" s="41"/>
      <c r="AK25" s="42"/>
      <c r="AL25" s="41"/>
      <c r="AM25" s="42"/>
      <c r="AN25" s="41"/>
      <c r="AO25" s="42"/>
      <c r="AP25" s="41"/>
      <c r="AQ25" s="42"/>
      <c r="AR25" s="41"/>
      <c r="AS25" s="42"/>
      <c r="AT25" s="41"/>
      <c r="AU25" s="42"/>
      <c r="AV25" s="41"/>
      <c r="AW25" s="42"/>
    </row>
    <row r="26" spans="1:49" x14ac:dyDescent="0.2">
      <c r="A26" t="s">
        <v>27</v>
      </c>
      <c r="B26" s="33">
        <v>5036.2953101960647</v>
      </c>
      <c r="C26" s="34">
        <v>74.905331803938267</v>
      </c>
      <c r="D26" s="33">
        <v>4808.0465121557127</v>
      </c>
      <c r="E26" s="34">
        <v>68.724032687479664</v>
      </c>
      <c r="F26" s="33">
        <v>4572.8079395765799</v>
      </c>
      <c r="G26" s="34">
        <v>62.886645813260046</v>
      </c>
      <c r="H26" s="33">
        <v>4331.1646874022563</v>
      </c>
      <c r="I26" s="34">
        <v>57.394363194737608</v>
      </c>
      <c r="J26" s="33">
        <v>4083.9078027938622</v>
      </c>
      <c r="K26" s="34">
        <v>52.243537756520354</v>
      </c>
      <c r="L26" s="33">
        <v>3832.0489537483422</v>
      </c>
      <c r="M26" s="34">
        <v>47.424504792806495</v>
      </c>
      <c r="N26" s="33">
        <v>3576.845407035777</v>
      </c>
      <c r="O26" s="34">
        <v>42.920131759309264</v>
      </c>
      <c r="P26" s="33">
        <v>3319.856272766121</v>
      </c>
      <c r="Q26" s="34">
        <v>38.703382613207545</v>
      </c>
      <c r="R26" s="33">
        <v>3063.1077599585701</v>
      </c>
      <c r="S26" s="34">
        <v>34.733136325429108</v>
      </c>
      <c r="T26" s="33">
        <v>2809.5854844434866</v>
      </c>
      <c r="U26" s="34">
        <v>30.94365259803541</v>
      </c>
      <c r="V26" s="33">
        <v>2564.9136569981674</v>
      </c>
      <c r="W26" s="34">
        <v>27.212070482909301</v>
      </c>
      <c r="X26" s="33">
        <v>2344.3225671299156</v>
      </c>
      <c r="Y26" s="34">
        <v>23.22685313547499</v>
      </c>
      <c r="Z26" s="33">
        <v>2200.1553568878257</v>
      </c>
      <c r="AA26" s="34">
        <v>18.005317914852235</v>
      </c>
      <c r="AB26" s="33">
        <v>2168.9493116544922</v>
      </c>
      <c r="AC26" s="34">
        <v>11.060728519246108</v>
      </c>
      <c r="AD26" s="33"/>
      <c r="AE26" s="34"/>
      <c r="AF26" s="33"/>
      <c r="AG26" s="34"/>
      <c r="AH26" s="33"/>
      <c r="AI26" s="34"/>
      <c r="AJ26" s="33"/>
      <c r="AK26" s="34"/>
      <c r="AL26" s="33"/>
      <c r="AM26" s="34"/>
      <c r="AN26" s="33"/>
      <c r="AO26" s="34"/>
      <c r="AP26" s="33"/>
      <c r="AQ26" s="34"/>
      <c r="AR26" s="33"/>
      <c r="AS26" s="34"/>
      <c r="AT26" s="33"/>
      <c r="AU26" s="34"/>
      <c r="AV26" s="33"/>
      <c r="AW26" s="34"/>
    </row>
    <row r="27" spans="1:49" x14ac:dyDescent="0.2">
      <c r="A27" t="s">
        <v>2</v>
      </c>
      <c r="B27" s="35">
        <v>6425.1981590000069</v>
      </c>
      <c r="C27" s="36">
        <v>273.22915400000028</v>
      </c>
      <c r="D27" s="35">
        <v>6439.6829093339056</v>
      </c>
      <c r="E27" s="36">
        <v>258.74093153443556</v>
      </c>
      <c r="F27" s="35">
        <v>6453.5167646159234</v>
      </c>
      <c r="G27" s="36">
        <v>244.911485459771</v>
      </c>
      <c r="H27" s="35">
        <v>6466.6315754424568</v>
      </c>
      <c r="I27" s="36">
        <v>231.79893685486527</v>
      </c>
      <c r="J27" s="35">
        <v>6478.9616850114662</v>
      </c>
      <c r="K27" s="36">
        <v>219.46463907494783</v>
      </c>
      <c r="L27" s="35">
        <v>6490.4491878500294</v>
      </c>
      <c r="M27" s="36">
        <v>207.97554503242526</v>
      </c>
      <c r="N27" s="35">
        <v>6501.0143509813097</v>
      </c>
      <c r="O27" s="36">
        <v>197.41069592713663</v>
      </c>
      <c r="P27" s="35">
        <v>6510.5519132991858</v>
      </c>
      <c r="Q27" s="36">
        <v>187.87922890518985</v>
      </c>
      <c r="R27" s="35">
        <v>6518.8608739340161</v>
      </c>
      <c r="S27" s="36">
        <v>179.56331799337011</v>
      </c>
      <c r="T27" s="35">
        <v>6525.5984228132338</v>
      </c>
      <c r="U27" s="36">
        <v>172.83289596662411</v>
      </c>
      <c r="V27" s="35">
        <v>6529.8442699601237</v>
      </c>
      <c r="W27" s="36">
        <v>168.58373235441343</v>
      </c>
      <c r="X27" s="35">
        <v>6528.9495486683236</v>
      </c>
      <c r="Y27" s="36">
        <v>169.4778938233647</v>
      </c>
      <c r="Z27" s="35">
        <v>6515.4556339426326</v>
      </c>
      <c r="AA27" s="36">
        <v>182.97170540551056</v>
      </c>
      <c r="AB27" s="35">
        <v>6499.1936007335762</v>
      </c>
      <c r="AC27" s="36">
        <v>199.23370552373274</v>
      </c>
      <c r="AD27" s="35"/>
      <c r="AE27" s="36"/>
      <c r="AF27" s="35"/>
      <c r="AG27" s="36"/>
      <c r="AH27" s="35"/>
      <c r="AI27" s="36"/>
      <c r="AJ27" s="35"/>
      <c r="AK27" s="36"/>
      <c r="AL27" s="35"/>
      <c r="AM27" s="36"/>
      <c r="AN27" s="35"/>
      <c r="AO27" s="36"/>
      <c r="AP27" s="35"/>
      <c r="AQ27" s="36"/>
      <c r="AR27" s="35"/>
      <c r="AS27" s="36"/>
      <c r="AT27" s="35"/>
      <c r="AU27" s="36"/>
      <c r="AV27" s="35"/>
      <c r="AW27" s="36"/>
    </row>
    <row r="28" spans="1:49" x14ac:dyDescent="0.2">
      <c r="A28" t="s">
        <v>35</v>
      </c>
      <c r="B28" s="41">
        <v>13763.097676000023</v>
      </c>
      <c r="C28" s="42">
        <v>382.36647899999997</v>
      </c>
      <c r="D28" s="41">
        <v>13431.862811306522</v>
      </c>
      <c r="E28" s="42">
        <v>358.6228581312339</v>
      </c>
      <c r="F28" s="41">
        <v>13061.049516654732</v>
      </c>
      <c r="G28" s="42">
        <v>335.51788838080967</v>
      </c>
      <c r="H28" s="41">
        <v>12647.867263318893</v>
      </c>
      <c r="I28" s="42">
        <v>313.0718714354947</v>
      </c>
      <c r="J28" s="41">
        <v>12190.099326586804</v>
      </c>
      <c r="K28" s="42">
        <v>291.29024846172467</v>
      </c>
      <c r="L28" s="41">
        <v>11686.418795239191</v>
      </c>
      <c r="M28" s="42">
        <v>270.15638594744354</v>
      </c>
      <c r="N28" s="41">
        <v>11136.76253743256</v>
      </c>
      <c r="O28" s="42">
        <v>249.62144341687986</v>
      </c>
      <c r="P28" s="41">
        <v>10542.848227758121</v>
      </c>
      <c r="Q28" s="42">
        <v>229.58826774435784</v>
      </c>
      <c r="R28" s="41">
        <v>9908.9845212142045</v>
      </c>
      <c r="S28" s="42">
        <v>209.8809122298687</v>
      </c>
      <c r="T28" s="41">
        <v>9243.8758861787483</v>
      </c>
      <c r="U28" s="42">
        <v>190.17153319872645</v>
      </c>
      <c r="V28" s="41">
        <v>8565.9926798336201</v>
      </c>
      <c r="W28" s="42">
        <v>169.75735901688245</v>
      </c>
      <c r="X28" s="41">
        <v>7925.5304316337024</v>
      </c>
      <c r="Y28" s="42">
        <v>146.67747186929404</v>
      </c>
      <c r="Z28" s="41">
        <v>7491.5631318099586</v>
      </c>
      <c r="AA28" s="42">
        <v>114.52016473951652</v>
      </c>
      <c r="AB28" s="41">
        <v>7394.7119514684045</v>
      </c>
      <c r="AC28" s="42">
        <v>70.439727471041266</v>
      </c>
      <c r="AD28" s="41"/>
      <c r="AE28" s="42"/>
      <c r="AF28" s="41"/>
      <c r="AG28" s="42"/>
      <c r="AH28" s="41"/>
      <c r="AI28" s="42"/>
      <c r="AJ28" s="41"/>
      <c r="AK28" s="42"/>
      <c r="AL28" s="41"/>
      <c r="AM28" s="42"/>
      <c r="AN28" s="41"/>
      <c r="AO28" s="42"/>
      <c r="AP28" s="41"/>
      <c r="AQ28" s="42"/>
      <c r="AR28" s="41"/>
      <c r="AS28" s="42"/>
      <c r="AT28" s="41"/>
      <c r="AU28" s="42"/>
      <c r="AV28" s="41"/>
      <c r="AW28" s="42"/>
    </row>
    <row r="29" spans="1:49" x14ac:dyDescent="0.2">
      <c r="A29" t="s">
        <v>53</v>
      </c>
      <c r="B29" s="35">
        <v>14362.768558000025</v>
      </c>
      <c r="C29" s="36">
        <v>817.26650999999993</v>
      </c>
      <c r="D29" s="35">
        <v>14009.963719750584</v>
      </c>
      <c r="E29" s="36">
        <v>763.89369933446881</v>
      </c>
      <c r="F29" s="35">
        <v>13616.190502222469</v>
      </c>
      <c r="G29" s="36">
        <v>712.1695719094871</v>
      </c>
      <c r="H29" s="35">
        <v>13178.675577839207</v>
      </c>
      <c r="I29" s="36">
        <v>662.14814165588427</v>
      </c>
      <c r="J29" s="35">
        <v>12695.248686437575</v>
      </c>
      <c r="K29" s="36">
        <v>613.85137524325137</v>
      </c>
      <c r="L29" s="35">
        <v>12164.661883025956</v>
      </c>
      <c r="M29" s="36">
        <v>567.2548862300647</v>
      </c>
      <c r="N29" s="35">
        <v>11586.965968416487</v>
      </c>
      <c r="O29" s="36">
        <v>522.26877578221149</v>
      </c>
      <c r="P29" s="35">
        <v>10964.031680945622</v>
      </c>
      <c r="Q29" s="36">
        <v>478.70804317314048</v>
      </c>
      <c r="R29" s="35">
        <v>10300.369825553857</v>
      </c>
      <c r="S29" s="36">
        <v>436.23788520111066</v>
      </c>
      <c r="T29" s="35">
        <v>9604.9689076828909</v>
      </c>
      <c r="U29" s="36">
        <v>394.24194209649312</v>
      </c>
      <c r="V29" s="35">
        <v>8896.7793527148187</v>
      </c>
      <c r="W29" s="36">
        <v>351.41548238850203</v>
      </c>
      <c r="X29" s="35">
        <v>8227.1518481025414</v>
      </c>
      <c r="Y29" s="36">
        <v>304.11649383149643</v>
      </c>
      <c r="Z29" s="35">
        <v>7768.7657241611414</v>
      </c>
      <c r="AA29" s="36">
        <v>240.00979092890009</v>
      </c>
      <c r="AB29" s="35">
        <v>7653.9160043650618</v>
      </c>
      <c r="AC29" s="36">
        <v>151.21139230600926</v>
      </c>
      <c r="AD29" s="35"/>
      <c r="AE29" s="36"/>
      <c r="AF29" s="35"/>
      <c r="AG29" s="36"/>
      <c r="AH29" s="35"/>
      <c r="AI29" s="36"/>
      <c r="AJ29" s="35"/>
      <c r="AK29" s="36"/>
      <c r="AL29" s="35"/>
      <c r="AM29" s="36"/>
      <c r="AN29" s="35"/>
      <c r="AO29" s="36"/>
      <c r="AP29" s="35"/>
      <c r="AQ29" s="36"/>
      <c r="AR29" s="35"/>
      <c r="AS29" s="36"/>
      <c r="AT29" s="35"/>
      <c r="AU29" s="36"/>
      <c r="AV29" s="35"/>
      <c r="AW29" s="36"/>
    </row>
    <row r="30" spans="1:49" x14ac:dyDescent="0.2">
      <c r="A30" t="s">
        <v>48</v>
      </c>
      <c r="B30" s="119">
        <v>2924829.9599999995</v>
      </c>
      <c r="D30" s="119">
        <v>2850354.0777831739</v>
      </c>
      <c r="F30" s="119">
        <v>2767822.821842995</v>
      </c>
      <c r="H30" s="119">
        <v>2676702.8111358043</v>
      </c>
      <c r="J30" s="119">
        <v>2576575.234453178</v>
      </c>
      <c r="L30" s="119">
        <v>2467194.460613864</v>
      </c>
      <c r="N30" s="119">
        <v>2348557.5650581107</v>
      </c>
      <c r="P30" s="119">
        <v>2220996.3610389857</v>
      </c>
      <c r="R30" s="119">
        <v>2085321.0265051527</v>
      </c>
      <c r="T30" s="119">
        <v>1943134.8803386383</v>
      </c>
      <c r="V30" s="119">
        <v>1797772.2409961573</v>
      </c>
      <c r="X30" s="119">
        <v>1658083.6836887344</v>
      </c>
      <c r="Z30" s="119">
        <v>1552822.8905791123</v>
      </c>
      <c r="AB30" s="119">
        <v>1498982.9353847667</v>
      </c>
      <c r="AD30" s="119"/>
      <c r="AF30" s="119"/>
      <c r="AH30" s="119"/>
      <c r="AJ30" s="119"/>
      <c r="AL30" s="119"/>
      <c r="AN30" s="119"/>
      <c r="AP30" s="119"/>
      <c r="AR30" s="119"/>
      <c r="AT30" s="119"/>
      <c r="AV30" s="119"/>
    </row>
    <row r="31" spans="1:49" x14ac:dyDescent="0.2">
      <c r="A31" t="s">
        <v>47</v>
      </c>
      <c r="B31" s="80">
        <v>1</v>
      </c>
      <c r="D31" s="80">
        <v>0.97360119850578641</v>
      </c>
      <c r="F31" s="80">
        <v>0.94446482539302445</v>
      </c>
      <c r="H31" s="80">
        <v>0.91243146296306421</v>
      </c>
      <c r="J31" s="80">
        <v>0.87738260831360715</v>
      </c>
      <c r="L31" s="80">
        <v>0.83925991525129295</v>
      </c>
      <c r="N31" s="80">
        <v>0.798087548525931</v>
      </c>
      <c r="P31" s="80">
        <v>0.75400328220603519</v>
      </c>
      <c r="R31" s="80">
        <v>0.70730775314249372</v>
      </c>
      <c r="T31" s="80">
        <v>0.65857636447215961</v>
      </c>
      <c r="V31" s="80">
        <v>0.60899466249029133</v>
      </c>
      <c r="X31" s="80">
        <v>0.56172684967355146</v>
      </c>
      <c r="Z31" s="80">
        <v>0.52723115341447069</v>
      </c>
      <c r="AB31" s="80">
        <v>0.51260743366288231</v>
      </c>
      <c r="AD31" s="80"/>
      <c r="AF31" s="80"/>
      <c r="AH31" s="80"/>
      <c r="AJ31" s="80"/>
      <c r="AL31" s="80"/>
      <c r="AN31" s="80"/>
      <c r="AP31" s="80"/>
      <c r="AR31" s="80"/>
      <c r="AT31" s="80"/>
      <c r="AV31" s="80"/>
    </row>
    <row r="32" spans="1:49" x14ac:dyDescent="0.2">
      <c r="A32" t="s">
        <v>64</v>
      </c>
      <c r="B32" s="86">
        <v>14734457.915000005</v>
      </c>
      <c r="D32" s="86">
        <v>14366256.141712943</v>
      </c>
      <c r="F32" s="86">
        <v>13956980.449881382</v>
      </c>
      <c r="H32" s="86">
        <v>13503838.161541816</v>
      </c>
      <c r="J32" s="86">
        <v>13004617.197390351</v>
      </c>
      <c r="L32" s="86">
        <v>12457987.794846883</v>
      </c>
      <c r="N32" s="86">
        <v>11863851.328590693</v>
      </c>
      <c r="P32" s="86">
        <v>11223816.214242492</v>
      </c>
      <c r="R32" s="86">
        <v>10541923.879760301</v>
      </c>
      <c r="T32" s="86">
        <v>9826250.3806144223</v>
      </c>
      <c r="V32" s="86">
        <v>9093621.4660415053</v>
      </c>
      <c r="X32" s="86">
        <v>8388696.2946489174</v>
      </c>
      <c r="Z32" s="86">
        <v>7856412.2839131309</v>
      </c>
      <c r="AB32" s="86">
        <v>7582294.4203331303</v>
      </c>
      <c r="AD32" s="86"/>
      <c r="AF32" s="86"/>
      <c r="AH32" s="86"/>
      <c r="AJ32" s="86"/>
      <c r="AL32" s="86"/>
      <c r="AN32" s="86"/>
      <c r="AP32" s="86"/>
      <c r="AR32" s="86"/>
      <c r="AT32" s="86"/>
      <c r="AV32" s="86"/>
    </row>
    <row r="33" spans="1:49 16319:16321" x14ac:dyDescent="0.2">
      <c r="A33" t="s">
        <v>54</v>
      </c>
      <c r="B33" s="117">
        <v>7019665.6909999885</v>
      </c>
      <c r="D33" s="117">
        <v>6844250.2104471959</v>
      </c>
      <c r="F33" s="117">
        <v>6649266.4501666427</v>
      </c>
      <c r="H33" s="117">
        <v>6433384.2197459107</v>
      </c>
      <c r="J33" s="117">
        <v>6195549.6265641237</v>
      </c>
      <c r="L33" s="117">
        <v>5935129.0801791167</v>
      </c>
      <c r="N33" s="117">
        <v>5652075.6112035625</v>
      </c>
      <c r="P33" s="117">
        <v>5347155.4880200522</v>
      </c>
      <c r="R33" s="117">
        <v>5022294.1233755676</v>
      </c>
      <c r="T33" s="117">
        <v>4681339.0161984358</v>
      </c>
      <c r="V33" s="117">
        <v>4332306.1495867418</v>
      </c>
      <c r="X33" s="117">
        <v>3996471.6673848042</v>
      </c>
      <c r="Z33" s="117">
        <v>3742885.4247127222</v>
      </c>
      <c r="AB33" s="117">
        <v>3612292.5124506662</v>
      </c>
      <c r="AD33" s="117"/>
      <c r="AF33" s="117"/>
      <c r="AH33" s="117"/>
      <c r="AJ33" s="117"/>
      <c r="AL33" s="117"/>
      <c r="AN33" s="117"/>
      <c r="AP33" s="117"/>
      <c r="AR33" s="117"/>
      <c r="AT33" s="117"/>
      <c r="AV33" s="117"/>
    </row>
    <row r="34" spans="1:49 16319:16321" x14ac:dyDescent="0.2">
      <c r="A34" t="s">
        <v>75</v>
      </c>
      <c r="B34" s="117">
        <v>1136879.4410000162</v>
      </c>
      <c r="D34" s="117">
        <v>1108469.6817011996</v>
      </c>
      <c r="F34" s="117">
        <v>1076890.9434242821</v>
      </c>
      <c r="H34" s="117">
        <v>1041927.4662596236</v>
      </c>
      <c r="J34" s="117">
        <v>1003408.604571729</v>
      </c>
      <c r="L34" s="117">
        <v>961231.83674700768</v>
      </c>
      <c r="N34" s="117">
        <v>915389.53451734385</v>
      </c>
      <c r="P34" s="117">
        <v>866005.79959066899</v>
      </c>
      <c r="R34" s="117">
        <v>813392.42747179058</v>
      </c>
      <c r="T34" s="117">
        <v>758172.58359620953</v>
      </c>
      <c r="V34" s="117">
        <v>701644.49445575092</v>
      </c>
      <c r="X34" s="117">
        <v>647253.96701717493</v>
      </c>
      <c r="Z34" s="117">
        <v>606184.06521890615</v>
      </c>
      <c r="AB34" s="117">
        <v>585033.71429927717</v>
      </c>
      <c r="AD34" s="117"/>
      <c r="AF34" s="117"/>
      <c r="AH34" s="117"/>
      <c r="AJ34" s="117"/>
      <c r="AL34" s="117"/>
      <c r="AN34" s="117"/>
      <c r="AP34" s="117"/>
      <c r="AR34" s="117"/>
      <c r="AT34" s="117"/>
      <c r="AV34" s="117"/>
    </row>
    <row r="35" spans="1:49 16319:16321" x14ac:dyDescent="0.2">
      <c r="A35" t="s">
        <v>78</v>
      </c>
      <c r="B35" s="233">
        <v>1</v>
      </c>
      <c r="D35" s="233">
        <v>1.0014482424048263</v>
      </c>
      <c r="F35" s="233">
        <v>1.0029349317209022</v>
      </c>
      <c r="H35" s="233">
        <v>1.0044465258713</v>
      </c>
      <c r="J35" s="233">
        <v>1.0059663131183101</v>
      </c>
      <c r="L35" s="233">
        <v>1.0074741568630943</v>
      </c>
      <c r="N35" s="233">
        <v>1.0089459099424705</v>
      </c>
      <c r="P35" s="233">
        <v>1.0103520268434567</v>
      </c>
      <c r="R35" s="233">
        <v>1.0116534320084949</v>
      </c>
      <c r="T35" s="233">
        <v>1.0127892964673479</v>
      </c>
      <c r="V35" s="233">
        <v>1.0136343908234533</v>
      </c>
      <c r="X35" s="233">
        <v>1.0138119162076213</v>
      </c>
      <c r="Z35" s="233">
        <v>1.0117710657490204</v>
      </c>
      <c r="AB35" s="233">
        <v>1.0047462203435935</v>
      </c>
      <c r="AD35" s="233"/>
      <c r="AF35" s="233"/>
      <c r="AH35" s="233"/>
      <c r="AJ35" s="233"/>
      <c r="AL35" s="233"/>
      <c r="AN35" s="233"/>
      <c r="AP35" s="233"/>
      <c r="AR35" s="233"/>
      <c r="AT35" s="233"/>
      <c r="AV35" s="233"/>
    </row>
    <row r="36" spans="1:49 16319:16321" x14ac:dyDescent="0.2">
      <c r="A36" t="s">
        <v>21</v>
      </c>
      <c r="B36" s="37">
        <v>0.47195767671988198</v>
      </c>
      <c r="C36" s="38">
        <v>0.31738834428178964</v>
      </c>
      <c r="D36" s="37">
        <v>0.4719745160768346</v>
      </c>
      <c r="E36" s="38">
        <v>0.31907217336243676</v>
      </c>
      <c r="F36" s="37">
        <v>0.47199059169962571</v>
      </c>
      <c r="G36" s="38">
        <v>0.32071571345138872</v>
      </c>
      <c r="H36" s="37">
        <v>0.47200576569735014</v>
      </c>
      <c r="I36" s="38">
        <v>0.32230131772542775</v>
      </c>
      <c r="J36" s="37">
        <v>0.47201991803737253</v>
      </c>
      <c r="K36" s="38">
        <v>0.32381222710514918</v>
      </c>
      <c r="L36" s="37">
        <v>0.47203297632300562</v>
      </c>
      <c r="M36" s="38">
        <v>0.32523553933170002</v>
      </c>
      <c r="N36" s="37">
        <v>0.47204496770024618</v>
      </c>
      <c r="O36" s="38">
        <v>0.32656732134236532</v>
      </c>
      <c r="P36" s="37">
        <v>0.47205611677940773</v>
      </c>
      <c r="Q36" s="38">
        <v>0.32782214214213845</v>
      </c>
      <c r="R36" s="37">
        <v>0.47206705355685286</v>
      </c>
      <c r="S36" s="38">
        <v>0.32905306183820843</v>
      </c>
      <c r="T36" s="37">
        <v>0.47207933868344704</v>
      </c>
      <c r="U36" s="38">
        <v>0.33040139818546765</v>
      </c>
      <c r="V36" s="37">
        <v>0.47209711968555385</v>
      </c>
      <c r="W36" s="38">
        <v>0.3322511499810758</v>
      </c>
      <c r="X36" s="37">
        <v>0.47213413258871428</v>
      </c>
      <c r="Y36" s="38">
        <v>0.33586730547568466</v>
      </c>
      <c r="Z36" s="37">
        <v>0.47224691175861416</v>
      </c>
      <c r="AA36" s="38">
        <v>0.34625287990715814</v>
      </c>
      <c r="AB36" s="37">
        <v>0.47253332839102424</v>
      </c>
      <c r="AC36" s="38">
        <v>0.37113571487120717</v>
      </c>
      <c r="AD36" s="37"/>
      <c r="AE36" s="38"/>
      <c r="AF36" s="37"/>
      <c r="AG36" s="38"/>
      <c r="AH36" s="37"/>
      <c r="AI36" s="38"/>
      <c r="AJ36" s="37"/>
      <c r="AK36" s="38"/>
      <c r="AL36" s="37"/>
      <c r="AM36" s="38"/>
      <c r="AN36" s="37"/>
      <c r="AO36" s="38"/>
      <c r="AP36" s="37"/>
      <c r="AQ36" s="38"/>
      <c r="AR36" s="37"/>
      <c r="AS36" s="38"/>
      <c r="AT36" s="37"/>
      <c r="AU36" s="38"/>
      <c r="AV36" s="37"/>
      <c r="AW36" s="38"/>
    </row>
    <row r="37" spans="1:49 16319:16321" x14ac:dyDescent="0.2">
      <c r="B37" s="39">
        <v>2.1403217525954466E-2</v>
      </c>
      <c r="C37" s="40">
        <v>0.34962461301992515</v>
      </c>
      <c r="D37" s="39">
        <v>2.1158187280491375E-2</v>
      </c>
      <c r="E37" s="40">
        <v>0.34770318788564708</v>
      </c>
      <c r="F37" s="39">
        <v>2.0922266886510322E-2</v>
      </c>
      <c r="G37" s="40">
        <v>0.34584981828609096</v>
      </c>
      <c r="H37" s="39">
        <v>2.0697006079069744E-2</v>
      </c>
      <c r="I37" s="40">
        <v>0.34407656810568754</v>
      </c>
      <c r="J37" s="39">
        <v>2.0483900789148194E-2</v>
      </c>
      <c r="K37" s="40">
        <v>0.34239521575830978</v>
      </c>
      <c r="L37" s="39">
        <v>2.0284267760153466E-2</v>
      </c>
      <c r="M37" s="40">
        <v>0.34081642148196378</v>
      </c>
      <c r="N37" s="39">
        <v>2.0099066521156835E-2</v>
      </c>
      <c r="O37" s="40">
        <v>0.33934860644364045</v>
      </c>
      <c r="P37" s="39">
        <v>1.9928597986514928E-2</v>
      </c>
      <c r="Q37" s="40">
        <v>0.33799612170309346</v>
      </c>
      <c r="R37" s="39">
        <v>1.9771942738387834E-2</v>
      </c>
      <c r="S37" s="40">
        <v>0.33675602822167827</v>
      </c>
      <c r="T37" s="39">
        <v>1.9625629305956609E-2</v>
      </c>
      <c r="U37" s="40">
        <v>0.33561077438534748</v>
      </c>
      <c r="V37" s="39">
        <v>1.9479723168067457E-2</v>
      </c>
      <c r="W37" s="40">
        <v>0.3345079973301226</v>
      </c>
      <c r="X37" s="39">
        <v>1.9302544415677338E-2</v>
      </c>
      <c r="Y37" s="40">
        <v>0.3332892320486362</v>
      </c>
      <c r="Z37" s="39">
        <v>1.898381309989856E-2</v>
      </c>
      <c r="AA37" s="40">
        <v>0.33152659873217311</v>
      </c>
      <c r="AB37" s="39">
        <v>1.8443740560619329E-2</v>
      </c>
      <c r="AC37" s="40">
        <v>0.32974066824383963</v>
      </c>
      <c r="AD37" s="39"/>
      <c r="AE37" s="40"/>
      <c r="AF37" s="39"/>
      <c r="AG37" s="40"/>
      <c r="AH37" s="39"/>
      <c r="AI37" s="40"/>
      <c r="AJ37" s="39"/>
      <c r="AK37" s="40"/>
      <c r="AL37" s="39"/>
      <c r="AM37" s="40"/>
      <c r="AN37" s="39"/>
      <c r="AO37" s="40"/>
      <c r="AP37" s="39"/>
      <c r="AQ37" s="40"/>
      <c r="AR37" s="39"/>
      <c r="AS37" s="40"/>
      <c r="AT37" s="39"/>
      <c r="AU37" s="40"/>
      <c r="AV37" s="39"/>
      <c r="AW37" s="40"/>
    </row>
    <row r="38" spans="1:49 16319:16321" x14ac:dyDescent="0.2">
      <c r="A38" t="s">
        <v>22</v>
      </c>
      <c r="B38" s="37">
        <v>0.18079094942242827</v>
      </c>
      <c r="C38" s="38">
        <v>6.0565413429233668E-2</v>
      </c>
      <c r="D38" s="37">
        <v>0.17693791295643144</v>
      </c>
      <c r="E38" s="38">
        <v>5.9297752299807813E-2</v>
      </c>
      <c r="F38" s="37">
        <v>0.17314216264763105</v>
      </c>
      <c r="G38" s="38">
        <v>5.805933859198481E-2</v>
      </c>
      <c r="H38" s="37">
        <v>0.16943200234545566</v>
      </c>
      <c r="I38" s="38">
        <v>5.6859417884075322E-2</v>
      </c>
      <c r="J38" s="37">
        <v>0.16583840843263026</v>
      </c>
      <c r="K38" s="38">
        <v>5.5707480495841954E-2</v>
      </c>
      <c r="L38" s="37">
        <v>0.16239409737793989</v>
      </c>
      <c r="M38" s="38">
        <v>5.4612764171413378E-2</v>
      </c>
      <c r="N38" s="37">
        <v>0.15913269357702395</v>
      </c>
      <c r="O38" s="38">
        <v>5.3583490085588242E-2</v>
      </c>
      <c r="P38" s="37">
        <v>0.15608761274126912</v>
      </c>
      <c r="Q38" s="38">
        <v>5.2625254439413641E-2</v>
      </c>
      <c r="R38" s="37">
        <v>0.1532920176552123</v>
      </c>
      <c r="S38" s="38">
        <v>5.1738408066695496E-2</v>
      </c>
      <c r="T38" s="37">
        <v>0.15078073708358694</v>
      </c>
      <c r="U38" s="38">
        <v>5.0911974753639108E-2</v>
      </c>
      <c r="V38" s="37">
        <v>0.14860187765163346</v>
      </c>
      <c r="W38" s="38">
        <v>5.0107063697962022E-2</v>
      </c>
      <c r="X38" s="37">
        <v>0.14686576379486882</v>
      </c>
      <c r="Y38" s="38">
        <v>4.9193869071507572E-2</v>
      </c>
      <c r="Z38" s="37">
        <v>0.14593437913808849</v>
      </c>
      <c r="AA38" s="38">
        <v>4.7731746999172646E-2</v>
      </c>
      <c r="AB38" s="37">
        <v>0.14594099971570684</v>
      </c>
      <c r="AC38" s="38">
        <v>4.5408935499149233E-2</v>
      </c>
      <c r="AD38" s="37"/>
      <c r="AE38" s="38"/>
      <c r="AF38" s="37"/>
      <c r="AG38" s="38"/>
      <c r="AH38" s="37"/>
      <c r="AI38" s="38"/>
      <c r="AJ38" s="37"/>
      <c r="AK38" s="38"/>
      <c r="AL38" s="37"/>
      <c r="AM38" s="38"/>
      <c r="AN38" s="37"/>
      <c r="AO38" s="38"/>
      <c r="AP38" s="37"/>
      <c r="AQ38" s="38"/>
      <c r="AR38" s="37"/>
      <c r="AS38" s="38"/>
      <c r="AT38" s="37"/>
      <c r="AU38" s="38"/>
      <c r="AV38" s="37"/>
      <c r="AW38" s="38"/>
    </row>
    <row r="39" spans="1:49 16319:16321" x14ac:dyDescent="0.2">
      <c r="A39" t="s">
        <v>23</v>
      </c>
      <c r="B39" s="39">
        <v>0.23064923795098646</v>
      </c>
      <c r="C39" s="40">
        <v>0.22092201281804777</v>
      </c>
      <c r="D39" s="39">
        <v>0.23698274365650324</v>
      </c>
      <c r="E39" s="40">
        <v>0.2232516787500114</v>
      </c>
      <c r="F39" s="39">
        <v>0.24435223697844777</v>
      </c>
      <c r="G39" s="40">
        <v>0.2261115802168695</v>
      </c>
      <c r="H39" s="39">
        <v>0.25296990886641046</v>
      </c>
      <c r="I39" s="40">
        <v>0.22963845022543294</v>
      </c>
      <c r="J39" s="39">
        <v>0.26309621715829123</v>
      </c>
      <c r="K39" s="40">
        <v>0.23401596878398198</v>
      </c>
      <c r="L39" s="39">
        <v>0.27505145423763483</v>
      </c>
      <c r="M39" s="40">
        <v>0.23949895615989311</v>
      </c>
      <c r="N39" s="39">
        <v>0.28922802272069126</v>
      </c>
      <c r="O39" s="40">
        <v>0.24645670072311629</v>
      </c>
      <c r="P39" s="39">
        <v>0.30610256055701329</v>
      </c>
      <c r="Q39" s="40">
        <v>0.25546067442803938</v>
      </c>
      <c r="R39" s="39">
        <v>0.3262338169233987</v>
      </c>
      <c r="S39" s="40">
        <v>0.26747714727244726</v>
      </c>
      <c r="T39" s="39">
        <v>0.3502063010900579</v>
      </c>
      <c r="U39" s="40">
        <v>0.28436410369374948</v>
      </c>
      <c r="V39" s="39">
        <v>0.37831570534209508</v>
      </c>
      <c r="W39" s="40">
        <v>0.31042238483205864</v>
      </c>
      <c r="X39" s="39">
        <v>0.40902185377043254</v>
      </c>
      <c r="Y39" s="40">
        <v>0.35894975830917558</v>
      </c>
      <c r="Z39" s="39">
        <v>0.43216446955189108</v>
      </c>
      <c r="AA39" s="40">
        <v>0.48505442623808592</v>
      </c>
      <c r="AB39" s="39">
        <v>0.43730796581569714</v>
      </c>
      <c r="AC39" s="40">
        <v>0.81793802891387746</v>
      </c>
      <c r="AD39" s="39"/>
      <c r="AE39" s="40"/>
      <c r="AF39" s="39"/>
      <c r="AG39" s="40"/>
      <c r="AH39" s="39"/>
      <c r="AI39" s="40"/>
      <c r="AJ39" s="39"/>
      <c r="AK39" s="40"/>
      <c r="AL39" s="39"/>
      <c r="AM39" s="40"/>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0.14891243160081663</v>
      </c>
      <c r="E42" s="135"/>
      <c r="F42" s="177">
        <f>10.8%+(1-10.8%)*(1-SUM(F26:G26)/SUM($B$26:$C$26))</f>
        <v>0.19098469033105625</v>
      </c>
      <c r="G42" s="135"/>
      <c r="H42" s="177">
        <f>10.8%+(1-10.8%)*(1-SUM(H26:I26)/SUM($B$26:$C$26))</f>
        <v>0.23411445816364104</v>
      </c>
      <c r="I42" s="135"/>
      <c r="J42" s="177">
        <f>10.8%+(1-10.8%)*(1-SUM(J26:K26)/SUM($B$26:$C$26))</f>
        <v>0.27816431907332295</v>
      </c>
      <c r="K42" s="135"/>
      <c r="L42" s="177">
        <f>10.8%+(1-10.8%)*(1-SUM(L26:M26)/SUM($B$26:$C$26))</f>
        <v>0.32295940476627016</v>
      </c>
      <c r="M42" s="135"/>
      <c r="N42" s="177">
        <f>10.8%+(1-10.8%)*(1-SUM(N26:O26)/SUM($B$26:$C$26))</f>
        <v>0.36828328865176752</v>
      </c>
      <c r="O42" s="135"/>
      <c r="P42" s="177">
        <f>10.8%+(1-10.8%)*(1-SUM(P26:Q26)/SUM($B$26:$C$26))</f>
        <v>0.41386859518273655</v>
      </c>
      <c r="Q42" s="135"/>
      <c r="R42" s="177">
        <f>10.8%+(1-10.8%)*(1-SUM(R26:S26)/SUM($B$26:$C$26))</f>
        <v>0.45936888941928455</v>
      </c>
      <c r="S42" s="135"/>
      <c r="T42" s="177">
        <f>10.8%+(1-10.8%)*(1-SUM(T26:U26)/SUM($B$26:$C$26))</f>
        <v>0.50427459853159173</v>
      </c>
      <c r="U42" s="135"/>
      <c r="V42" s="177">
        <f>10.8%+(1-10.8%)*(1-SUM(V26:W26)/SUM($B$26:$C$26))</f>
        <v>0.54762563419768817</v>
      </c>
      <c r="W42" s="135"/>
      <c r="X42" s="177">
        <f>10.8%+(1-10.8%)*(1-SUM(X26:Y26)/SUM($B$26:$C$26))</f>
        <v>0.58681839536427138</v>
      </c>
      <c r="Y42" s="162"/>
      <c r="Z42" s="177">
        <f>10.8%+(1-10.8%)*(1-SUM(Z26:AA26)/SUM($B$26:$C$26))</f>
        <v>0.61288952234327343</v>
      </c>
      <c r="AA42" s="135"/>
      <c r="AB42" s="177">
        <f>10.8%+(1-10.8%)*(1-SUM(AB26:AC26)/SUM($B$26:$C$26))</f>
        <v>0.61954752082006548</v>
      </c>
      <c r="AC42" s="135"/>
      <c r="AD42" s="177">
        <f>10.8%+(1-10.8%)*(1-SUM(AD26:AE26)/SUM($B$26:$C$26))</f>
        <v>1</v>
      </c>
      <c r="AE42" s="135"/>
      <c r="AF42" s="177">
        <f>10.8%+(1-10.8%)*(1-SUM(AF26:AG26)/SUM($B$26:$C$26))</f>
        <v>1</v>
      </c>
      <c r="AG42" s="135"/>
      <c r="AH42" s="177">
        <f>10.8%+(1-10.8%)*(1-SUM(AH26:AI26)/SUM($B$26:$C$26))</f>
        <v>1</v>
      </c>
      <c r="AI42" s="135"/>
      <c r="AJ42" s="177">
        <f>10.8%+(1-10.8%)*(1-SUM(AJ26:AK26)/SUM($B$26:$C$26))</f>
        <v>1</v>
      </c>
      <c r="AK42" s="135"/>
      <c r="AL42" s="177">
        <f>10.8%+(1-10.8%)*(1-SUM(AL26:AM26)/SUM($B$26:$C$26))</f>
        <v>1</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0.56058995943839085</v>
      </c>
      <c r="C43" s="135"/>
      <c r="D43" s="162">
        <f t="array" ref="D43">SUM(D15:E15*D27:E27)/SUM(D15:E15*D27:E27,D13:E13*D26:E26)</f>
        <v>0.57590510810526163</v>
      </c>
      <c r="E43" s="135"/>
      <c r="F43" s="162">
        <f t="array" ref="F43">SUM(F15:G15*F27:G27)/SUM(F15:G15*F27:G27,F13:G13*F26:G26)</f>
        <v>0.58448171719564546</v>
      </c>
      <c r="G43" s="135"/>
      <c r="H43" s="162">
        <f t="array" ref="H43">SUM(H15:I15*H27:I27)/SUM(H15:I15*H27:I27,H13:I13*H26:I26)</f>
        <v>0.59286817125627767</v>
      </c>
      <c r="I43" s="135"/>
      <c r="J43" s="162">
        <f t="array" ref="J43">SUM(J15:K15*J27:K27)/SUM(J15:K15*J27:K27,J13:K13*J26:K26)</f>
        <v>0.60099610779211365</v>
      </c>
      <c r="K43" s="135"/>
      <c r="L43" s="162">
        <f t="array" ref="L43">SUM(L15:M15*L27:M27)/SUM(L15:M15*L27:M27,L13:M13*L26:M26)</f>
        <v>0.60879280230287702</v>
      </c>
      <c r="M43" s="135"/>
      <c r="N43" s="162">
        <f t="array" ref="N43">SUM(N15:O15*N27:O27)/SUM(N15:O15*N27:O27,N13:O13*N26:O26)</f>
        <v>0.61618121856968022</v>
      </c>
      <c r="O43" s="135"/>
      <c r="P43" s="162">
        <f t="array" ref="P43">SUM(P15:Q15*P27:Q27)/SUM(P15:Q15*P27:Q27,P13:Q13*P26:Q26)</f>
        <v>0.62308184230910624</v>
      </c>
      <c r="Q43" s="135"/>
      <c r="R43" s="162">
        <f t="array" ref="R43">SUM(R15:S15*R27:S27)/SUM(R15:S15*R27:S27,R13:S13*R26:S26)</f>
        <v>0.62940883128172054</v>
      </c>
      <c r="S43" s="135"/>
      <c r="T43" s="162">
        <f t="array" ref="T43">SUM(T15:U15*T27:U27)/SUM(T15:U15*T27:U27,T13:U13*T26:U26)</f>
        <v>0.6350609883062408</v>
      </c>
      <c r="U43" s="135"/>
      <c r="V43" s="162">
        <f t="array" ref="V43">SUM(V15:W15*V27:W27)/SUM(V15:W15*V27:W27,V13:W13*V26:W26)</f>
        <v>0.63986815995810764</v>
      </c>
      <c r="W43" s="135"/>
      <c r="X43" s="162">
        <f t="array" ref="X43">SUM(X15:Y15*X27:Y27)/SUM(X15:Y15*X27:Y27,X13:Y13*X26:Y26)</f>
        <v>0.64338316242839733</v>
      </c>
      <c r="Y43" s="135"/>
      <c r="Z43" s="162">
        <f t="array" ref="Z43">SUM(Z15:AA15*Z27:AA27)/SUM(Z15:AA15*Z27:AA27,Z13:AA13*Z26:AA26)</f>
        <v>0.64396938881844334</v>
      </c>
      <c r="AA43" s="135"/>
      <c r="AB43" s="162">
        <f t="array" ref="AB43">SUM(AB15:AC15*AB27:AC27)/SUM(AB15:AC15*AB27:AC27,AB13:AC13*AB26:AC26)</f>
        <v>0.6399400466287164</v>
      </c>
      <c r="AC43" s="135"/>
      <c r="AD43" s="162" t="e">
        <f t="array" ref="AD43">SUM(AD15:AE15*AD27:AE27)/SUM(AD15:AE15*AD27:AE27,AD13:AE13*AD26:AE26)</f>
        <v>#DIV/0!</v>
      </c>
      <c r="AE43" s="135"/>
      <c r="AF43" s="162" t="e">
        <f t="array" ref="AF43">SUM(AF15:AG15*AF27:AG27)/SUM(AF15:AG15*AF27:AG27,AF13:AG13*AF26:AG26)</f>
        <v>#DIV/0!</v>
      </c>
      <c r="AG43" s="135"/>
      <c r="AH43" s="162" t="e">
        <f t="array" ref="AH43">SUM(AH15:AI15*AH27:AI27)/SUM(AH15:AI15*AH27:AI27,AH13:AI13*AH26:AI26)</f>
        <v>#DIV/0!</v>
      </c>
      <c r="AI43" s="135"/>
      <c r="AJ43" s="162" t="e">
        <f t="array" ref="AJ43">SUM(AJ15:AK15*AJ27:AK27)/SUM(AJ15:AK15*AJ27:AK27,AJ13:AK13*AJ26:AK26)</f>
        <v>#DIV/0!</v>
      </c>
      <c r="AK43" s="135"/>
      <c r="AL43" s="162" t="e">
        <f t="array" ref="AL43">SUM(AL15:AM15*AL27:AM27)/SUM(AL15:AM15*AL27:AM27,AL13:AM13*AL26:AM26)</f>
        <v>#DIV/0!</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0.29754226190682465</v>
      </c>
      <c r="D44" s="193">
        <f>(SUM(D11:E11*D24:E24)+D34)/D32</f>
        <v>0.29754225557901726</v>
      </c>
      <c r="F44" s="193">
        <f>(SUM(F11:G11*F24:G24)+F34)/F32</f>
        <v>0.29754226257975935</v>
      </c>
      <c r="H44" s="193">
        <f>(SUM(H11:I11*H24:I24)+H34)/H32</f>
        <v>0.29754226392982641</v>
      </c>
      <c r="J44" s="193">
        <f>(SUM(J11:K11*J24:K24)+J34)/J32</f>
        <v>0.29754226155302538</v>
      </c>
      <c r="L44" s="193">
        <f>(SUM(L11:M11*L24:M24)+L34)/L32</f>
        <v>0.29754226109179288</v>
      </c>
      <c r="N44" s="193">
        <f>(SUM(N11:O11*N24:O24)+N34)/N32</f>
        <v>0.29754226138485529</v>
      </c>
      <c r="P44" s="193">
        <f>(SUM(P11:Q11*P24:Q24)+P34)/P32</f>
        <v>0.29754226249949911</v>
      </c>
      <c r="R44" s="193">
        <f>(SUM(R11:S11*R24:S24)+R34)/R32</f>
        <v>0.2975422617668495</v>
      </c>
      <c r="T44" s="193">
        <f>(SUM(T11:U11*T24:U24)+T34)/T32</f>
        <v>0.29754226154733354</v>
      </c>
      <c r="V44" s="193">
        <f>(SUM(V11:W11*V24:W24)+V34)/V32</f>
        <v>0.29754226172868398</v>
      </c>
      <c r="X44" s="193">
        <f>(SUM(X11:Y11*X24:Y24)+X34)/X32</f>
        <v>0.29754226174658921</v>
      </c>
      <c r="Z44" s="193">
        <f>(SUM(Z11:AA11*Z24:AA24)+Z34)/Z32</f>
        <v>0.29754226184323918</v>
      </c>
      <c r="AB44" s="193">
        <f>(SUM(AB11:AC11*AB24:AC24)+AB34)/AB32</f>
        <v>0.2975422619077121</v>
      </c>
      <c r="AD44" s="193" t="e">
        <f>(SUM(AD11:AE11*AD24:AE24)+AD34)/AD32</f>
        <v>#DIV/0!</v>
      </c>
      <c r="AF44" s="193" t="e">
        <f>(SUM(AF11:AG11*AF24:AG24)+AF34)/AF32</f>
        <v>#DIV/0!</v>
      </c>
      <c r="AH44" s="193" t="e">
        <f>(SUM(AH11:AI11*AH24:AI24)+AH34)/AH32</f>
        <v>#DIV/0!</v>
      </c>
      <c r="AJ44" s="193" t="e">
        <f>(SUM(AJ11:AK11*AJ24:AK24)+AJ34)/AJ32</f>
        <v>#DIV/0!</v>
      </c>
      <c r="AL44" s="193" t="e">
        <f>(SUM(AL11:AM11*AL24:AM24)+AL34)/AL32</f>
        <v>#DIV/0!</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0.22038438850725331</v>
      </c>
      <c r="F45" s="193">
        <f>SUM(F11:G11*F24:G24)/F32</f>
        <v>0.22038438826078843</v>
      </c>
      <c r="H45" s="193">
        <f>SUM(H11:I11*H24:I24)/H32</f>
        <v>0.22038438823586443</v>
      </c>
      <c r="J45" s="193">
        <f>SUM(J11:K11*J24:K24)/J32</f>
        <v>0.22038438836525603</v>
      </c>
      <c r="L45" s="193">
        <f>SUM(L11:M11*L24:M24)/L32</f>
        <v>0.2203843883617673</v>
      </c>
      <c r="N45" s="193">
        <f>SUM(N11:O11*N24:O24)/N32</f>
        <v>0.2203843883498699</v>
      </c>
      <c r="P45" s="193">
        <f>SUM(P11:Q11*P24:Q24)/P32</f>
        <v>0.22038438829163845</v>
      </c>
      <c r="R45" s="193">
        <f>SUM(R11:S11*R24:S24)/R32</f>
        <v>0.22038438842710337</v>
      </c>
      <c r="T45" s="193">
        <f>SUM(T11:U11*T24:U24)/T32</f>
        <v>0.22038438807283312</v>
      </c>
      <c r="V45" s="193">
        <f>SUM(V11:W11*V24:W24)/V32</f>
        <v>0.22038438825925091</v>
      </c>
      <c r="X45" s="193">
        <f>SUM(X11:Y11*X24:Y24)/X32</f>
        <v>0.22038438830801291</v>
      </c>
      <c r="Z45" s="193">
        <f>SUM(Z11:AA11*Z24:AA24)/Z32</f>
        <v>0.22038438833650698</v>
      </c>
      <c r="AB45" s="193">
        <f>SUM(AB11:AC11*AB24:AC24)/AB32</f>
        <v>0.22038438833181714</v>
      </c>
      <c r="AD45" s="193" t="e">
        <f>SUM(AD11:AE11*AD24:AE24)/AD32</f>
        <v>#DIV/0!</v>
      </c>
      <c r="AF45" s="193" t="e">
        <f>SUM(AF11:AG11*AF24:AG24)/AF32</f>
        <v>#DIV/0!</v>
      </c>
      <c r="AH45" s="193" t="e">
        <f>SUM(AH11:AI11*AH24:AI24)/AH32</f>
        <v>#DIV/0!</v>
      </c>
      <c r="AJ45" s="193" t="e">
        <f>SUM(AJ11:AK11*AJ24:AK24)/AJ32</f>
        <v>#DIV/0!</v>
      </c>
      <c r="AL45" s="193" t="e">
        <f>SUM(AL11:AM11*AL24:AM24)/AL32</f>
        <v>#DIV/0!</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7.7157873574883795E-2</v>
      </c>
      <c r="D46" s="193">
        <f>D34/D32</f>
        <v>7.7157867071763947E-2</v>
      </c>
      <c r="F46" s="193">
        <f>F34/F32</f>
        <v>7.7157874318970934E-2</v>
      </c>
      <c r="H46" s="193">
        <f>H34/H32</f>
        <v>7.7157875693961986E-2</v>
      </c>
      <c r="J46" s="193">
        <f>J34/J32</f>
        <v>7.715787318776933E-2</v>
      </c>
      <c r="L46" s="193">
        <f>L34/L32</f>
        <v>7.715787273002557E-2</v>
      </c>
      <c r="N46" s="193">
        <f>N34/N32</f>
        <v>7.7157873034985433E-2</v>
      </c>
      <c r="P46" s="193">
        <f>P34/P32</f>
        <v>7.7157874207860661E-2</v>
      </c>
      <c r="R46" s="193">
        <f>R34/R32</f>
        <v>7.715787333974615E-2</v>
      </c>
      <c r="T46" s="193">
        <f>T34/T32</f>
        <v>7.7157873474500455E-2</v>
      </c>
      <c r="V46" s="193">
        <f>V34/V32</f>
        <v>7.7157873469433064E-2</v>
      </c>
      <c r="X46" s="193">
        <f>X34/X32</f>
        <v>7.7157873438576274E-2</v>
      </c>
      <c r="Z46" s="193">
        <f>Z34/Z32</f>
        <v>7.7157873506732172E-2</v>
      </c>
      <c r="AB46" s="193">
        <f>AB34/AB32</f>
        <v>7.7157873575894931E-2</v>
      </c>
      <c r="AD46" s="193" t="e">
        <f>AD34/AD32</f>
        <v>#DIV/0!</v>
      </c>
      <c r="AF46" s="193" t="e">
        <f>AF34/AF32</f>
        <v>#DIV/0!</v>
      </c>
      <c r="AH46" s="193" t="e">
        <f>AH34/AH32</f>
        <v>#DIV/0!</v>
      </c>
      <c r="AJ46" s="193" t="e">
        <f>AJ34/AJ32</f>
        <v>#DIV/0!</v>
      </c>
      <c r="AL46" s="193" t="e">
        <f>AL34/AL32</f>
        <v>#DIV/0!</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0.97606413326625208</v>
      </c>
      <c r="E48" s="191"/>
      <c r="F48" s="191">
        <f>F24/$B$24</f>
        <v>0.94922601980833021</v>
      </c>
      <c r="G48" s="191"/>
      <c r="H48" s="191">
        <f>H24/$B$24</f>
        <v>0.91928515258531007</v>
      </c>
      <c r="I48" s="191"/>
      <c r="J48" s="191">
        <f>J24/$B$24</f>
        <v>0.88608292309028447</v>
      </c>
      <c r="K48" s="191"/>
      <c r="L48" s="191">
        <f>L24/$B$24</f>
        <v>0.84952498787926367</v>
      </c>
      <c r="M48" s="191"/>
      <c r="N48" s="191">
        <f>N24/$B$24</f>
        <v>0.80960747697196922</v>
      </c>
      <c r="O48" s="191"/>
      <c r="P48" s="191">
        <f>P24/$B$24</f>
        <v>0.76645304945877046</v>
      </c>
      <c r="Q48" s="191"/>
      <c r="R48" s="191">
        <f>R24/$B$24</f>
        <v>0.72036688853228026</v>
      </c>
      <c r="S48" s="191"/>
      <c r="T48" s="191">
        <f>T24/$B$24</f>
        <v>0.67196118434775665</v>
      </c>
      <c r="U48" s="191"/>
      <c r="V48" s="191">
        <f>V24/$B$24</f>
        <v>0.62252439476066357</v>
      </c>
      <c r="W48" s="191"/>
      <c r="X48" s="191">
        <f>X24/$B$24</f>
        <v>0.57552571084940574</v>
      </c>
      <c r="Y48" s="191"/>
      <c r="Z48" s="191">
        <f>Z24/$B$24</f>
        <v>0.54248616831825935</v>
      </c>
      <c r="AA48" s="191"/>
      <c r="AB48" s="191">
        <f>AB24/$B$24</f>
        <v>0.53146954068706431</v>
      </c>
      <c r="AC48" s="191"/>
      <c r="AD48" s="191">
        <f>AD24/$B$24</f>
        <v>0</v>
      </c>
      <c r="AE48" s="191"/>
      <c r="AF48" s="191">
        <f>AF24/$B$24</f>
        <v>0</v>
      </c>
      <c r="AG48" s="191"/>
      <c r="AH48" s="191">
        <f>AH24/$B$24</f>
        <v>0</v>
      </c>
      <c r="AI48" s="191"/>
      <c r="AJ48" s="191">
        <f>AJ24/$B$24</f>
        <v>0</v>
      </c>
      <c r="AK48" s="191"/>
      <c r="AL48" s="191">
        <f>AL24/$B$24</f>
        <v>0</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0.99999999838852716</v>
      </c>
      <c r="E49" s="191"/>
      <c r="F49" s="191">
        <f>F13/F35/$B$13*$B$35</f>
        <v>1.0000000003264391</v>
      </c>
      <c r="G49" s="191"/>
      <c r="H49" s="191">
        <f>H13/H35/$B$13*$B$35</f>
        <v>1.0000000008050511</v>
      </c>
      <c r="I49" s="191"/>
      <c r="J49" s="191">
        <f>J13/J35/$B$13*$B$35</f>
        <v>0.99999999981944943</v>
      </c>
      <c r="K49" s="191"/>
      <c r="L49" s="191">
        <f>L13/L35/$B$13*$B$35</f>
        <v>0.999999999669135</v>
      </c>
      <c r="M49" s="191"/>
      <c r="N49" s="191">
        <f>N13/N35/$B$13*$B$35</f>
        <v>0.99999999979487664</v>
      </c>
      <c r="O49" s="191"/>
      <c r="P49" s="191">
        <f>P13/P35/$B$13*$B$35</f>
        <v>1.0000000002389453</v>
      </c>
      <c r="Q49" s="191"/>
      <c r="R49" s="191">
        <f>R13/R35/$B$13*$B$35</f>
        <v>0.99999999985496324</v>
      </c>
      <c r="S49" s="191"/>
      <c r="T49" s="191">
        <f>T13/T35/$B$13*$B$35</f>
        <v>1.0000000001336398</v>
      </c>
      <c r="U49" s="191"/>
      <c r="V49" s="191">
        <f>V13/V35/$B$13*$B$35</f>
        <v>1.0000000000020832</v>
      </c>
      <c r="W49" s="191"/>
      <c r="X49" s="191">
        <f>X13/X35/$B$13*$B$35</f>
        <v>0.99999999997965028</v>
      </c>
      <c r="Y49" s="191"/>
      <c r="Z49" s="191">
        <f>Z13/Z35/$B$13*$B$35</f>
        <v>0.99999999997866651</v>
      </c>
      <c r="AA49" s="191"/>
      <c r="AB49" s="191">
        <f>AB13/AB35/$B$13*$B$35</f>
        <v>0.99999999999987899</v>
      </c>
      <c r="AC49" s="191"/>
      <c r="AD49" s="191" t="e">
        <f>AD13/AD35/$B$13*$B$35</f>
        <v>#DIV/0!</v>
      </c>
      <c r="AE49" s="191"/>
      <c r="AF49" s="191" t="e">
        <f>AF13/AF35/$B$13*$B$35</f>
        <v>#DIV/0!</v>
      </c>
      <c r="AG49" s="191"/>
      <c r="AH49" s="191" t="e">
        <f>AH13/AH35/$B$13*$B$35</f>
        <v>#DIV/0!</v>
      </c>
      <c r="AI49" s="191"/>
      <c r="AJ49" s="191" t="e">
        <f>AJ13/AJ35/$B$13*$B$35</f>
        <v>#DIV/0!</v>
      </c>
      <c r="AK49" s="191"/>
      <c r="AL49" s="191" t="e">
        <f>AL13/AL35/$B$13*$B$35</f>
        <v>#DIV/0!</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-397083.59685139498</v>
      </c>
      <c r="F51" s="29">
        <f>F30-F10*F23</f>
        <v>-387099.63603257015</v>
      </c>
      <c r="H51" s="29">
        <f>H30-H10*H23</f>
        <v>-375788.55233296379</v>
      </c>
      <c r="J51" s="29">
        <f>J30-J10*J23</f>
        <v>-363069.12483015843</v>
      </c>
      <c r="L51" s="29">
        <f>L30-L10*L23</f>
        <v>-348886.39692120254</v>
      </c>
      <c r="N51" s="29">
        <f>N30-N10*N23</f>
        <v>-333220.99928642437</v>
      </c>
      <c r="P51" s="29">
        <f>P30-P10*P23</f>
        <v>-316104.69491918106</v>
      </c>
      <c r="R51" s="29">
        <f>R30-R10*R23</f>
        <v>-297640.85532173933</v>
      </c>
      <c r="T51" s="29">
        <f>T30-T10*T23</f>
        <v>-278051.72329898668</v>
      </c>
      <c r="V51" s="29">
        <f>V30-V10*V23</f>
        <v>-257806.37714810576</v>
      </c>
      <c r="X51" s="29">
        <f>X30-X10*X23</f>
        <v>-238149.2749603074</v>
      </c>
      <c r="Z51" s="29">
        <f>Z30-Z10*Z23</f>
        <v>-223089.28769277548</v>
      </c>
      <c r="AB51" s="29">
        <f>AB30-AB10*AB23</f>
        <v>-214965.9402215532</v>
      </c>
      <c r="AD51" s="29">
        <f>AD30-AD10*AD23</f>
        <v>0</v>
      </c>
      <c r="AF51" s="29">
        <f>AF30-AF10*AF23</f>
        <v>0</v>
      </c>
      <c r="AH51" s="29">
        <f>AH30-AH10*AH23</f>
        <v>0</v>
      </c>
      <c r="AJ51" s="29">
        <f>AJ30-AJ10*AJ23</f>
        <v>0</v>
      </c>
      <c r="AL51" s="29">
        <f>AL30-AL10*AL23</f>
        <v>0</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1958088.7949958295</v>
      </c>
      <c r="F52" s="29">
        <f t="array" ref="F52">Calibration!sL*SUM(F13:G13*F26:G26)</f>
        <v>1864056.7304091202</v>
      </c>
      <c r="H52" s="29">
        <f t="array" ref="H52">Calibration!sL*SUM(H13:I13*H26:I26)</f>
        <v>1767340.8661334582</v>
      </c>
      <c r="J52" s="29">
        <f t="array" ref="J52">Calibration!sL*SUM(J13:K13*J26:K26)</f>
        <v>1668212.6522578544</v>
      </c>
      <c r="L52" s="29">
        <f t="array" ref="L52">Calibration!sL*SUM(L13:M13*L26:M26)</f>
        <v>1567033.3939685463</v>
      </c>
      <c r="N52" s="29">
        <f t="array" ref="N52">Calibration!sL*SUM(N13:O13*N26:O26)</f>
        <v>1464265.6591075372</v>
      </c>
      <c r="P52" s="29">
        <f t="array" ref="P52">Calibration!sL*SUM(P13:Q13*P26:Q26)</f>
        <v>1360496.2086345917</v>
      </c>
      <c r="R52" s="29">
        <f t="array" ref="R52">Calibration!sL*SUM(R13:S13*R26:S26)</f>
        <v>1256499.7888630677</v>
      </c>
      <c r="T52" s="29">
        <f t="array" ref="T52">Calibration!sL*SUM(T13:U13*T26:U26)</f>
        <v>1153426.4423787536</v>
      </c>
      <c r="V52" s="29">
        <f t="array" ref="V52">Calibration!sL*SUM(V13:W13*V26:W26)</f>
        <v>1053437.9301181727</v>
      </c>
      <c r="X52" s="29">
        <f t="array" ref="X52">Calibration!sL*SUM(X13:Y13*X26:Y26)</f>
        <v>962338.80122403288</v>
      </c>
      <c r="Z52" s="29">
        <f t="array" ref="Z52">Calibration!sL*SUM(Z13:AA13*Z26:AA26)</f>
        <v>899801.69922028657</v>
      </c>
      <c r="AB52" s="29">
        <f t="array" ref="AB52">Calibration!sL*SUM(AB13:AC13*AB26:AC26)</f>
        <v>878185.83334812347</v>
      </c>
      <c r="AD52" s="29">
        <f t="array" ref="AD52">Calibration!sL*SUM(AD13:AE13*AD26:AE26)</f>
        <v>0</v>
      </c>
      <c r="AF52" s="29">
        <f t="array" ref="AF52">Calibration!sL*SUM(AF13:AG13*AF26:AG26)</f>
        <v>0</v>
      </c>
      <c r="AH52" s="29">
        <f t="array" ref="AH52">Calibration!sL*SUM(AH13:AI13*AH26:AI26)</f>
        <v>0</v>
      </c>
      <c r="AJ52" s="29">
        <f t="array" ref="AJ52">Calibration!sL*SUM(AJ13:AK13*AJ26:AK26)</f>
        <v>0</v>
      </c>
      <c r="AL52" s="29">
        <f t="array" ref="AL52">Calibration!sL*SUM(AL13:AM13*AL26:AM26)</f>
        <v>0</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2740714.4444297305</v>
      </c>
      <c r="D53" s="29">
        <f t="array" ref="D53">Calibration!sK*SUM(D15:E15*D27:E27)</f>
        <v>2713561.4378982848</v>
      </c>
      <c r="F53" s="29">
        <f t="array" ref="F53">Calibration!sK*SUM(F15:G15*F27:G27)</f>
        <v>2675834.8545784838</v>
      </c>
      <c r="H53" s="29">
        <f t="array" ref="H53">Calibration!sK*SUM(H15:I15*H27:I27)</f>
        <v>2626411.5937035345</v>
      </c>
      <c r="J53" s="29">
        <f t="array" ref="J53">Calibration!sK*SUM(J15:K15*J27:K27)</f>
        <v>2564279.2941659978</v>
      </c>
      <c r="L53" s="29">
        <f t="array" ref="L53">Calibration!sK*SUM(L15:M15*L27:M27)</f>
        <v>2488629.882652584</v>
      </c>
      <c r="N53" s="29">
        <f t="array" ref="N53">Calibration!sK*SUM(N15:O15*N27:O27)</f>
        <v>2398951.6732747178</v>
      </c>
      <c r="P53" s="29">
        <f t="array" ref="P53">Calibration!sK*SUM(P15:Q15*P27:Q27)</f>
        <v>2295169.474044946</v>
      </c>
      <c r="R53" s="29">
        <f t="array" ref="R53">Calibration!sK*SUM(R15:S15*R27:S27)</f>
        <v>2177807.9260000577</v>
      </c>
      <c r="T53" s="29">
        <f t="array" ref="T53">Calibration!sK*SUM(T15:U15*T27:U27)</f>
        <v>2048351.264837923</v>
      </c>
      <c r="V53" s="29">
        <f t="array" ref="V53">Calibration!sK*SUM(V15:W15*V27:W27)</f>
        <v>1910105.3422653992</v>
      </c>
      <c r="X53" s="29">
        <f t="array" ref="X53">Calibration!sK*SUM(X15:Y15*X27:Y27)</f>
        <v>1771802.1773618299</v>
      </c>
      <c r="Z53" s="29">
        <f t="array" ref="Z53">Calibration!sK*SUM(Z15:AA15*Z27:AA27)</f>
        <v>1660902.2765886402</v>
      </c>
      <c r="AB53" s="29">
        <f t="array" ref="AB53">Calibration!sK*SUM(AB15:AC15*AB27:AC27)</f>
        <v>1592833.137542577</v>
      </c>
      <c r="AD53" s="29">
        <f t="array" ref="AD53">Calibration!sK*SUM(AD15:AE15*AD27:AE27)</f>
        <v>0</v>
      </c>
      <c r="AF53" s="29">
        <f t="array" ref="AF53">Calibration!sK*SUM(AF15:AG15*AF27:AG27)</f>
        <v>0</v>
      </c>
      <c r="AH53" s="29">
        <f t="array" ref="AH53">Calibration!sK*SUM(AH15:AI15*AH27:AI27)</f>
        <v>0</v>
      </c>
      <c r="AJ53" s="29">
        <f t="array" ref="AJ53">Calibration!sK*SUM(AJ15:AK15*AJ27:AK27)</f>
        <v>0</v>
      </c>
      <c r="AL53" s="29">
        <f t="array" ref="AL53">Calibration!sK*SUM(AL15:AM15*AL27:AM27)</f>
        <v>0</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0.19840618527655707</v>
      </c>
      <c r="F55" s="193">
        <f>F30/F32</f>
        <v>0.19831100514771577</v>
      </c>
      <c r="H55" s="193">
        <f>H30/H32</f>
        <v>0.19821792731187388</v>
      </c>
      <c r="J55" s="193">
        <f>J30/J32</f>
        <v>0.19812772612562726</v>
      </c>
      <c r="L55" s="193">
        <f>L30/L32</f>
        <v>0.19804116854524398</v>
      </c>
      <c r="N55" s="193">
        <f>N30/N32</f>
        <v>0.1979591196830259</v>
      </c>
      <c r="P55" s="193">
        <f>P30/P32</f>
        <v>0.19788245981973995</v>
      </c>
      <c r="R55" s="193">
        <f>R30/R32</f>
        <v>0.19781218782169466</v>
      </c>
      <c r="T55" s="193">
        <f>T30/T32</f>
        <v>0.19774937591373859</v>
      </c>
      <c r="V55" s="193">
        <f>V30/V32</f>
        <v>0.19769596169244724</v>
      </c>
      <c r="X55" s="193">
        <f>X30/X32</f>
        <v>0.19765689750222723</v>
      </c>
      <c r="Z55" s="193">
        <f>Z30/Z32</f>
        <v>0.19765038219273295</v>
      </c>
      <c r="AB55" s="193">
        <f>AB30/AB32</f>
        <v>0.19769516353321828</v>
      </c>
      <c r="AD55" s="193" t="e">
        <f>AD30/AD32</f>
        <v>#DIV/0!</v>
      </c>
      <c r="AF55" s="193" t="e">
        <f>AF30/AF32</f>
        <v>#DIV/0!</v>
      </c>
      <c r="AH55" s="193" t="e">
        <f>AH30/AH32</f>
        <v>#DIV/0!</v>
      </c>
      <c r="AJ55" s="193" t="e">
        <f>AJ30/AJ32</f>
        <v>#DIV/0!</v>
      </c>
      <c r="AL55" s="193" t="e">
        <f>AL30/AL32</f>
        <v>#DIV/0!</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3.2335205427702407E-2</v>
      </c>
      <c r="F56" s="193">
        <f>(Model!$C$52*F5*F20+F2*G5*G20)/F32</f>
        <v>3.540283776938493E-2</v>
      </c>
      <c r="H56" s="193">
        <f>(Model!$C$52*H5*H20+H2*I5*I20)/H32</f>
        <v>3.8402137673924717E-2</v>
      </c>
      <c r="J56" s="193">
        <f>(Model!$C$52*J5*J20+J2*K5*K20)/J32</f>
        <v>4.130876762164952E-2</v>
      </c>
      <c r="L56" s="193">
        <f>(Model!$C$52*L5*L20+L2*M5*M20)/L32</f>
        <v>4.4096589127298753E-2</v>
      </c>
      <c r="N56" s="193">
        <f>(Model!$C$52*N5*N20+N2*O5*O20)/N32</f>
        <v>4.6738189491273424E-2</v>
      </c>
      <c r="P56" s="193">
        <f>(Model!$C$52*P5*P20+P2*Q5*Q20)/P32</f>
        <v>4.9205288882464948E-2</v>
      </c>
      <c r="R56" s="193">
        <f>(Model!$C$52*R5*R20+R2*S5*S20)/R32</f>
        <v>5.1467921720706071E-2</v>
      </c>
      <c r="T56" s="193">
        <f>(Model!$C$52*T5*T20+T2*U5*U20)/T32</f>
        <v>5.349038448287375E-2</v>
      </c>
      <c r="V56" s="193">
        <f>(Model!$C$52*V5*V20+V2*W5*W20)/V32</f>
        <v>5.5214539741932807E-2</v>
      </c>
      <c r="X56" s="193">
        <f>(Model!$C$52*X5*X20+X2*Y5*Y20)/X32</f>
        <v>5.6487861069465413E-2</v>
      </c>
      <c r="Z56" s="193">
        <f>(Model!$C$52*Z5*Z20+Z2*AA5*AA20)/Z32</f>
        <v>5.6755896392300192E-2</v>
      </c>
      <c r="AB56" s="193">
        <f>(Model!$C$52*AB5*AB20+AB2*AC5*AC20)/AB32</f>
        <v>5.5463590035898035E-2</v>
      </c>
      <c r="AD56" s="193" t="e">
        <f>(Model!$C$52*AD5*AD20+AD2*AE5*AE20)/AD32</f>
        <v>#DIV/0!</v>
      </c>
      <c r="AF56" s="193" t="e">
        <f>(Model!$C$52*AF5*AF20+AF2*AG5*AG20)/AF32</f>
        <v>#DIV/0!</v>
      </c>
      <c r="AH56" s="193" t="e">
        <f>(Model!$C$52*AH5*AH20+AH2*AI5*AI20)/AH32</f>
        <v>#DIV/0!</v>
      </c>
      <c r="AJ56" s="193" t="e">
        <f>(Model!$C$52*AJ5*AJ20+AJ2*AK5*AK20)/AJ32</f>
        <v>#DIV/0!</v>
      </c>
      <c r="AL56" s="193" t="e">
        <f>(Model!$C$52*AL5*AL20+AL2*AM5*AM20)/AL32</f>
        <v>#DIV/0!</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0.15535909398364045</v>
      </c>
      <c r="F57" s="193">
        <f t="array" ref="F57">SUM(Model!tauL*F13:G13*F26:G26)/F32</f>
        <v>0.15223536693302461</v>
      </c>
      <c r="H57" s="193">
        <f t="array" ref="H57">SUM(Model!tauL*H13:I13*H26:I26)/H32</f>
        <v>0.14918013585742768</v>
      </c>
      <c r="J57" s="193">
        <f t="array" ref="J57">SUM(Model!tauL*J13:K13*J26:K26)/J32</f>
        <v>0.14621830356017168</v>
      </c>
      <c r="L57" s="193">
        <f t="array" ref="L57">SUM(Model!tauL*L13:M13*L26:M26)/L32</f>
        <v>0.14337659210568901</v>
      </c>
      <c r="N57" s="193">
        <f t="array" ref="N57">SUM(Model!tauL*N13:O13*N26:O26)/N32</f>
        <v>0.14068315017677804</v>
      </c>
      <c r="P57" s="193">
        <f t="array" ref="P57">SUM(Model!tauL*P13:Q13*P26:Q26)/P32</f>
        <v>0.1381671158975521</v>
      </c>
      <c r="R57" s="193">
        <f t="array" ref="R57">SUM(Model!tauL*R13:S13*R26:S26)/R32</f>
        <v>0.13585963610617482</v>
      </c>
      <c r="T57" s="193">
        <f t="array" ref="T57">SUM(Model!tauL*T13:U13*T26:U26)/T32</f>
        <v>0.13379811049836846</v>
      </c>
      <c r="V57" s="193">
        <f t="array" ref="V57">SUM(Model!tauL*V13:W13*V26:W26)/V32</f>
        <v>0.13204439844410973</v>
      </c>
      <c r="X57" s="193">
        <f t="array" ref="X57">SUM(Model!tauL*X13:Y13*X26:Y26)/X32</f>
        <v>0.13076196203426813</v>
      </c>
      <c r="Y57" s="193"/>
      <c r="Z57" s="193">
        <f t="array" ref="Z57">SUM(Model!tauL*Z13:AA13*Z26:AA26)/Z32</f>
        <v>0.13054806709143366</v>
      </c>
      <c r="AB57" s="193">
        <f t="array" ref="AB57">SUM(Model!tauL*AB13:AC13*AB26:AC26)/AB32</f>
        <v>0.13201816315952608</v>
      </c>
      <c r="AD57" s="193" t="e">
        <f t="array" ref="AD57">SUM(Model!tauL*AD13:AE13*AD26:AE26)/AD32</f>
        <v>#DIV/0!</v>
      </c>
      <c r="AF57" s="193" t="e">
        <f t="array" ref="AF57">SUM(Model!tauL*AF13:AG13*AF26:AG26)/AF32</f>
        <v>#DIV/0!</v>
      </c>
      <c r="AH57" s="193" t="e">
        <f t="array" ref="AH57">SUM(Model!tauL*AH13:AI13*AH26:AI26)/AH32</f>
        <v>#DIV/0!</v>
      </c>
      <c r="AJ57" s="193" t="e">
        <f t="array" ref="AJ57">SUM(Model!tauL*AJ13:AK13*AJ26:AK26)/AJ32</f>
        <v>#DIV/0!</v>
      </c>
      <c r="AL57" s="193" t="e">
        <f t="array" ref="AL57">SUM(Model!tauL*AL13:AM13*AL26:AM26)/AL32</f>
        <v>#DIV/0!</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1.0711885865214201E-2</v>
      </c>
      <c r="F58" s="193">
        <f t="array" ref="F58">SUM(Model!tauY/(1+Model!tauY)*F3:G3*F18:G18)/F32</f>
        <v>1.0672800445306174E-2</v>
      </c>
      <c r="H58" s="193">
        <f t="array" ref="H58">SUM(Model!tauY/(1+Model!tauY)*H3:I3*H18:I18)/H32</f>
        <v>1.0635653780521488E-2</v>
      </c>
      <c r="J58" s="193">
        <f t="array" ref="J58">SUM(Model!tauY/(1+Model!tauY)*J3:K3*J18:K18)/J32</f>
        <v>1.0600654943806052E-2</v>
      </c>
      <c r="L58" s="193">
        <f t="array" ref="L58">SUM(Model!tauY/(1+Model!tauY)*L3:M3*L18:M18)/L32</f>
        <v>1.0567987312256255E-2</v>
      </c>
      <c r="N58" s="193">
        <f t="array" ref="N58">SUM(Model!tauY/(1+Model!tauY)*N3:O3*N18:O18)/N32</f>
        <v>1.053778001497443E-2</v>
      </c>
      <c r="P58" s="193">
        <f t="array" ref="P58">SUM(Model!tauY/(1+Model!tauY)*P3:Q3*P18:Q18)/P32</f>
        <v>1.0510055039722951E-2</v>
      </c>
      <c r="R58" s="193">
        <f t="array" ref="R58">SUM(Model!tauY/(1+Model!tauY)*R3:S3*R18:S18)/R32</f>
        <v>1.0484629994813761E-2</v>
      </c>
      <c r="T58" s="193">
        <f t="array" ref="T58">SUM(Model!tauY/(1+Model!tauY)*T3:U3*T18:U18)/T32</f>
        <v>1.0460880932496402E-2</v>
      </c>
      <c r="V58" s="193">
        <f t="array" ref="V58">SUM(Model!tauY/(1+Model!tauY)*V3:W3*V18:W18)/V32</f>
        <v>1.0437023506404698E-2</v>
      </c>
      <c r="X58" s="193">
        <f t="array" ref="X58">SUM(Model!tauY/(1+Model!tauY)*X3:Y3*X18:Y18)/X32</f>
        <v>1.0407074398493695E-2</v>
      </c>
      <c r="Y58" s="193"/>
      <c r="Z58" s="193">
        <f t="array" ref="Z58">SUM(Model!tauY/(1+Model!tauY)*Z3:AA3*Z18:AA18)/Z32</f>
        <v>1.0346418708999095E-2</v>
      </c>
      <c r="AB58" s="193">
        <f t="array" ref="AB58">SUM(Model!tauY/(1+Model!tauY)*AB3:AC3*AB18:AC18)/AB32</f>
        <v>1.021341033779417E-2</v>
      </c>
      <c r="AD58" s="193" t="e">
        <f t="array" ref="AD58">SUM(Model!tauY/(1+Model!tauY)*AD3:AE3*AD18:AE18)/AD32</f>
        <v>#DIV/0!</v>
      </c>
      <c r="AF58" s="193" t="e">
        <f t="array" ref="AF58">SUM(Model!tauY/(1+Model!tauY)*AF3:AG3*AF18:AG18)/AF32</f>
        <v>#DIV/0!</v>
      </c>
      <c r="AH58" s="193" t="e">
        <f t="array" ref="AH58">SUM(Model!tauY/(1+Model!tauY)*AH3:AI3*AH18:AI18)/AH32</f>
        <v>#DIV/0!</v>
      </c>
      <c r="AJ58" s="193" t="e">
        <f t="array" ref="AJ58">SUM(Model!tauY/(1+Model!tauY)*AJ3:AK3*AJ18:AK18)/AJ32</f>
        <v>#DIV/0!</v>
      </c>
      <c r="AL58" s="193" t="e">
        <f t="array" ref="AL58">SUM(Model!tauY/(1+Model!tauY)*AL3:AM3*AL18:AM18)/AL32</f>
        <v>#DIV/0!</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3.6956134469038017E-3</v>
      </c>
      <c r="F59" s="193">
        <f>(F2*G5*G20)/F32</f>
        <v>6.7920239418870661E-3</v>
      </c>
      <c r="H59" s="193">
        <f>(H2*I5*I20)/H32</f>
        <v>9.8188446347940127E-3</v>
      </c>
      <c r="J59" s="193">
        <f>(J2*K5*K20)/J32</f>
        <v>1.2751574876358186E-2</v>
      </c>
      <c r="L59" s="193">
        <f>(L2*M5*M20)/L32</f>
        <v>1.5563922392090677E-2</v>
      </c>
      <c r="N59" s="193">
        <f>(N2*O5*O20)/N32</f>
        <v>1.8228341759892231E-2</v>
      </c>
      <c r="P59" s="193">
        <f>(P2*Q5*Q20)/P32</f>
        <v>2.0716461406810795E-2</v>
      </c>
      <c r="R59" s="193">
        <f>(R2*S5*S20)/R32</f>
        <v>2.2998295156216025E-2</v>
      </c>
      <c r="T59" s="193">
        <f>(T2*U5*U20)/T32</f>
        <v>2.5038254816839051E-2</v>
      </c>
      <c r="V59" s="193">
        <f>(V2*W5*W20)/V32</f>
        <v>2.6778608921349978E-2</v>
      </c>
      <c r="X59" s="193">
        <f>(X2*Y5*Y20)/X32</f>
        <v>2.8067977113411805E-2</v>
      </c>
      <c r="Z59" s="193">
        <f>(Z2*AA5*AA20)/Z32</f>
        <v>2.8353246842735512E-2</v>
      </c>
      <c r="AB59" s="193">
        <f>(AB2*AC5*AC20)/AB32</f>
        <v>2.706134349314105E-2</v>
      </c>
      <c r="AD59" s="193" t="e">
        <f>(AD2*AE5*AE20)/AD32</f>
        <v>#DIV/0!</v>
      </c>
      <c r="AF59" s="193" t="e">
        <f>(AF2*AG5*AG20)/AF32</f>
        <v>#DIV/0!</v>
      </c>
      <c r="AH59" s="193" t="e">
        <f>(AH2*AI5*AI20)/AH32</f>
        <v>#DIV/0!</v>
      </c>
      <c r="AJ59" s="193" t="e">
        <f>(AJ2*AK5*AK20)/AJ32</f>
        <v>#DIV/0!</v>
      </c>
      <c r="AL59" s="193" t="e">
        <f>(AL2*AM5*AM20)/AL32</f>
        <v>#DIV/0!</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2.8639591980798604E-2</v>
      </c>
      <c r="F60" s="193">
        <f>Model!$C$52*F5*F20/F32</f>
        <v>2.8610813827497864E-2</v>
      </c>
      <c r="H60" s="193">
        <f>Model!$C$52*H5*H20/H32</f>
        <v>2.8583293039130701E-2</v>
      </c>
      <c r="J60" s="193">
        <f>Model!$C$52*J5*J20/J32</f>
        <v>2.8557192745291334E-2</v>
      </c>
      <c r="L60" s="193">
        <f>Model!$C$52*L5*L20/L32</f>
        <v>2.8532666735208077E-2</v>
      </c>
      <c r="N60" s="193">
        <f>Model!$C$52*N5*N20/N32</f>
        <v>2.8509847731381193E-2</v>
      </c>
      <c r="P60" s="193">
        <f>Model!$C$52*P5*P20/P32</f>
        <v>2.8488827475654146E-2</v>
      </c>
      <c r="R60" s="193">
        <f>Model!$C$52*R5*R20/R32</f>
        <v>2.8469626564490053E-2</v>
      </c>
      <c r="T60" s="193">
        <f>Model!$C$52*T5*T20/T32</f>
        <v>2.8452129666034692E-2</v>
      </c>
      <c r="V60" s="193">
        <f>Model!$C$52*V5*V20/V32</f>
        <v>2.8435930820582829E-2</v>
      </c>
      <c r="X60" s="193">
        <f>Model!$C$52*X5*X20/X32</f>
        <v>2.8419883956053608E-2</v>
      </c>
      <c r="Z60" s="193">
        <f>Model!$C$52*Z5*Z20/Z32</f>
        <v>2.8402649549564681E-2</v>
      </c>
      <c r="AB60" s="193">
        <f>Model!$C$52*AB5*AB20/AB32</f>
        <v>2.8402246542756988E-2</v>
      </c>
      <c r="AD60" s="193" t="e">
        <f>Model!$C$52*AD5*AD20/AD32</f>
        <v>#DIV/0!</v>
      </c>
      <c r="AF60" s="193" t="e">
        <f>Model!$C$52*AF5*AF20/AF32</f>
        <v>#DIV/0!</v>
      </c>
      <c r="AH60" s="193" t="e">
        <f>Model!$C$52*AH5*AH20/AH32</f>
        <v>#DIV/0!</v>
      </c>
      <c r="AJ60" s="193" t="e">
        <f>Model!$C$52*AJ5*AJ20/AJ32</f>
        <v>#DIV/0!</v>
      </c>
      <c r="AL60" s="193" t="e">
        <f>Model!$C$52*AL5*AL20/AL32</f>
        <v>#DIV/0!</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1.0114686175312728</v>
      </c>
      <c r="F62">
        <f>F13/F15</f>
        <v>1.0272527226117381</v>
      </c>
      <c r="H62">
        <f>H13/H15</f>
        <v>1.0481610825077909</v>
      </c>
      <c r="J62">
        <f>J13/J15</f>
        <v>1.0751816324032988</v>
      </c>
      <c r="L62">
        <f>L13/L15</f>
        <v>1.1095253371633926</v>
      </c>
      <c r="N62">
        <f>N13/N15</f>
        <v>1.1526833673985137</v>
      </c>
      <c r="P62">
        <f>P13/P15</f>
        <v>1.2064851893827486</v>
      </c>
      <c r="R62">
        <f>R13/R15</f>
        <v>1.2731388514412545</v>
      </c>
      <c r="T62">
        <f>T13/T15</f>
        <v>1.3551230015915026</v>
      </c>
      <c r="V62">
        <f>V13/V15</f>
        <v>1.4544133460699284</v>
      </c>
      <c r="X62">
        <f>X13/X15</f>
        <v>1.5682162782304652</v>
      </c>
      <c r="Z62">
        <f>Z13/Z15</f>
        <v>1.6695597473068444</v>
      </c>
      <c r="AB62">
        <f>AB13/AB15</f>
        <v>1.7288204341090314</v>
      </c>
      <c r="AD62" t="e">
        <f>AD13/AD15</f>
        <v>#DIV/0!</v>
      </c>
      <c r="AF62" t="e">
        <f>AF13/AF15</f>
        <v>#DIV/0!</v>
      </c>
      <c r="AH62" t="e">
        <f>AH13/AH15</f>
        <v>#DIV/0!</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0.99901848793424552</v>
      </c>
      <c r="E65" s="191"/>
      <c r="F65" s="191">
        <f t="array" ref="F65">SQRT((F9:G9*$B$22:$C$22+F10:G10*$B$23:$C$23+F11:G11*$B$24:$C$24+F4:G4*($B$25:$C$25-$B$19:$C$19))/($B$9:$C$9*$B$22:$C$22+$B$10:$C$10*$B$23:$C$23+$B$11:$C$11*$B$24:$C$24+$B$4:$C$4*($B$25:$C$25-$B$19:$C$19))*(F9:G9*F22:G22+F10:G10*F23:G23+F11:G11*F24:G24+F4:G4*(F25:G25-F19:G19))/($B$9:$C$9*F22:G22+$B$10:$C$10*F23:G23+$B$11:$C$11*F24:G24+$B$4:$C$4*(F25:G25-F19:G19)))</f>
        <v>0.99809201822885241</v>
      </c>
      <c r="G65" s="191"/>
      <c r="H65" s="191">
        <f t="array" ref="H65">SQRT((H9:I9*$B$22:$C$22+H10:I10*$B$23:$C$23+H11:I11*$B$24:$C$24+H4:I4*($B$25:$C$25-$B$19:$C$19))/($B$9:$C$9*$B$22:$C$22+$B$10:$C$10*$B$23:$C$23+$B$11:$C$11*$B$24:$C$24+$B$4:$C$4*($B$25:$C$25-$B$19:$C$19))*(H9:I9*H22:I22+H10:I10*H23:I23+H11:I11*H24:I24+H4:I4*(H25:I25-H19:I19))/($B$9:$C$9*H22:I22+$B$10:$C$10*H23:I23+$B$11:$C$11*H24:I24+$B$4:$C$4*(H25:I25-H19:I19)))</f>
        <v>0.99722669019875543</v>
      </c>
      <c r="I65" s="191"/>
      <c r="J65" s="191">
        <f t="array" ref="J65">SQRT((J9:K9*$B$22:$C$22+J10:K10*$B$23:$C$23+J11:K11*$B$24:$C$24+J4:K4*($B$25:$C$25-$B$19:$C$19))/($B$9:$C$9*$B$22:$C$22+$B$10:$C$10*$B$23:$C$23+$B$11:$C$11*$B$24:$C$24+$B$4:$C$4*($B$25:$C$25-$B$19:$C$19))*(J9:K9*J22:K22+J10:K10*J23:K23+J11:K11*J24:K24+J4:K4*(J25:K25-J19:K19))/($B$9:$C$9*J22:K22+$B$10:$C$10*J23:K23+$B$11:$C$11*J24:K24+$B$4:$C$4*(J25:K25-J19:K19)))</f>
        <v>0.99642746443486063</v>
      </c>
      <c r="K65" s="191"/>
      <c r="L65" s="191">
        <f t="array" ref="L65">SQRT((L9:M9*$B$22:$C$22+L10:M10*$B$23:$C$23+L11:M11*$B$24:$C$24+L4:M4*($B$25:$C$25-$B$19:$C$19))/($B$9:$C$9*$B$22:$C$22+$B$10:$C$10*$B$23:$C$23+$B$11:$C$11*$B$24:$C$24+$B$4:$C$4*($B$25:$C$25-$B$19:$C$19))*(L9:M9*L22:M22+L10:M10*L23:M23+L11:M11*L24:M24+L4:M4*(L25:M25-L19:M19))/($B$9:$C$9*L22:M22+$B$10:$C$10*L23:M23+$B$11:$C$11*L24:M24+$B$4:$C$4*(L25:M25-L19:M19)))</f>
        <v>0.9956965879143298</v>
      </c>
      <c r="M65" s="191"/>
      <c r="N65" s="191">
        <f t="array" ref="N65">SQRT((N9:O9*$B$22:$C$22+N10:O10*$B$23:$C$23+N11:O11*$B$24:$C$24+N4:O4*($B$25:$C$25-$B$19:$C$19))/($B$9:$C$9*$B$22:$C$22+$B$10:$C$10*$B$23:$C$23+$B$11:$C$11*$B$24:$C$24+$B$4:$C$4*($B$25:$C$25-$B$19:$C$19))*(N9:O9*N22:O22+N10:O10*N23:O23+N11:O11*N24:O24+N4:O4*(N25:O25-N19:O19))/($B$9:$C$9*N22:O22+$B$10:$C$10*N23:O23+$B$11:$C$11*N24:O24+$B$4:$C$4*(N25:O25-N19:O19)))</f>
        <v>0.99503086357859216</v>
      </c>
      <c r="O65" s="191"/>
      <c r="P65" s="191">
        <f t="array" ref="P65">SQRT((P9:Q9*$B$22:$C$22+P10:Q10*$B$23:$C$23+P11:Q11*$B$24:$C$24+P4:Q4*($B$25:$C$25-$B$19:$C$19))/($B$9:$C$9*$B$22:$C$22+$B$10:$C$10*$B$23:$C$23+$B$11:$C$11*$B$24:$C$24+$B$4:$C$4*($B$25:$C$25-$B$19:$C$19))*(P9:Q9*P22:Q22+P10:Q10*P23:Q23+P11:Q11*P24:Q24+P4:Q4*(P25:Q25-P19:Q19))/($B$9:$C$9*P22:Q22+$B$10:$C$10*P23:Q23+$B$11:$C$11*P24:Q24+$B$4:$C$4*(P25:Q25-P19:Q19)))</f>
        <v>0.99441648640372804</v>
      </c>
      <c r="Q65" s="191"/>
      <c r="R65" s="191">
        <f t="array" ref="R65">SQRT((R9:S9*$B$22:$C$22+R10:S10*$B$23:$C$23+R11:S11*$B$24:$C$24+R4:S4*($B$25:$C$25-$B$19:$C$19))/($B$9:$C$9*$B$22:$C$22+$B$10:$C$10*$B$23:$C$23+$B$11:$C$11*$B$24:$C$24+$B$4:$C$4*($B$25:$C$25-$B$19:$C$19))*(R9:S9*R22:S22+R10:S10*R23:S23+R11:S11*R24:S24+R4:S4*(R25:S25-R19:S19))/($B$9:$C$9*R22:S22+$B$10:$C$10*R23:S23+$B$11:$C$11*R24:S24+$B$4:$C$4*(R25:S25-R19:S19)))</f>
        <v>0.99381803302395355</v>
      </c>
      <c r="S65" s="191"/>
      <c r="T65" s="191">
        <f t="array" ref="T65">SQRT((T9:U9*$B$22:$C$22+T10:U10*$B$23:$C$23+T11:U11*$B$24:$C$24+T4:U4*($B$25:$C$25-$B$19:$C$19))/($B$9:$C$9*$B$22:$C$22+$B$10:$C$10*$B$23:$C$23+$B$11:$C$11*$B$24:$C$24+$B$4:$C$4*($B$25:$C$25-$B$19:$C$19))*(T9:U9*T22:U22+T10:U10*T23:U23+T11:U11*T24:U24+T4:U4*(T25:U25-T19:U19))/($B$9:$C$9*T22:U22+$B$10:$C$10*T23:U23+$B$11:$C$11*T24:U24+$B$4:$C$4*(T25:U25-T19:U19)))</f>
        <v>0.99315072021208761</v>
      </c>
      <c r="U65" s="191"/>
      <c r="V65" s="191">
        <f t="array" ref="V65">SQRT((V9:W9*$B$22:$C$22+V10:W10*$B$23:$C$23+V11:W11*$B$24:$C$24+V4:W4*($B$25:$C$25-$B$19:$C$19))/($B$9:$C$9*$B$22:$C$22+$B$10:$C$10*$B$23:$C$23+$B$11:$C$11*$B$24:$C$24+$B$4:$C$4*($B$25:$C$25-$B$19:$C$19))*(V9:W9*V22:W22+V10:W10*V23:W23+V11:W11*V24:W24+V4:W4*(V25:W25-V19:W19))/($B$9:$C$9*V22:W22+$B$10:$C$10*V23:W23+$B$11:$C$11*V24:W24+$B$4:$C$4*(V25:W25-V19:W19)))</f>
        <v>0.99219393882174334</v>
      </c>
      <c r="W65" s="191"/>
      <c r="X65" s="191">
        <f t="array" ref="X65">SQRT((X9:Y9*$B$22:$C$22+X10:Y10*$B$23:$C$23+X11:Y11*$B$24:$C$24+X4:Y4*($B$25:$C$25-$B$19:$C$19))/($B$9:$C$9*$B$22:$C$22+$B$10:$C$10*$B$23:$C$23+$B$11:$C$11*$B$24:$C$24+$B$4:$C$4*($B$25:$C$25-$B$19:$C$19))*(X9:Y9*X22:Y22+X10:Y10*X23:Y23+X11:Y11*X24:Y24+X4:Y4*(X25:Y25-X19:Y19))/($B$9:$C$9*X22:Y22+$B$10:$C$10*X23:Y23+$B$11:$C$11*X24:Y24+$B$4:$C$4*(X25:Y25-X19:Y19)))</f>
        <v>0.99023553644167295</v>
      </c>
      <c r="Y65" s="191"/>
      <c r="Z65" s="191">
        <f t="array" ref="Z65">SQRT((Z9:AA9*$B$22:$C$22+Z10:AA10*$B$23:$C$23+Z11:AA11*$B$24:$C$24+Z4:AA4*($B$25:$C$25-$B$19:$C$19))/($B$9:$C$9*$B$22:$C$22+$B$10:$C$10*$B$23:$C$23+$B$11:$C$11*$B$24:$C$24+$B$4:$C$4*($B$25:$C$25-$B$19:$C$19))*(Z9:AA9*Z22:AA22+Z10:AA10*Z23:AA23+Z11:AA11*Z24:AA24+Z4:AA4*(Z25:AA25-Z19:AA19))/($B$9:$C$9*Z22:AA22+$B$10:$C$10*Z23:AA23+$B$11:$C$11*Z24:AA24+$B$4:$C$4*(Z25:AA25-Z19:AA19)))</f>
        <v>0.98452397426013516</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0.97146143905956739</v>
      </c>
      <c r="AC65" s="191"/>
      <c r="AD65" s="191" t="e">
        <f t="array" ref="AD65">SQRT((AD9:AE9*$B$22:$C$22+AD10:AE10*$B$23:$C$23+AD11:AE11*$B$24:$C$24+AD4:AE4*($B$25:$C$25-$B$19:$C$19))/($B$9:$C$9*$B$22:$C$22+$B$10:$C$10*$B$23:$C$23+$B$11:$C$11*$B$24:$C$24+$B$4:$C$4*($B$25:$C$25-$B$19:$C$19))*(AD9:AE9*AD22:AE22+AD10:AE10*AD23:AE23+AD11:AE11*AD24:AE24+AD4:AE4*(AD25:AE25-AD19:AE19))/($B$9:$C$9*AD22:AE22+$B$10:$C$10*AD23:AE23+$B$11:$C$11*AD24:AE24+$B$4:$C$4*(AD25:AE25-AD19:AE19)))</f>
        <v>#DIV/0!</v>
      </c>
      <c r="AE65" s="191"/>
      <c r="AF65" s="191" t="e">
        <f t="array" ref="AF65">SQRT((AF9:AG9*$B$22:$C$22+AF10:AG10*$B$23:$C$23+AF11:AG11*$B$24:$C$24+AF4:AG4*($B$25:$C$25-$B$19:$C$19))/($B$9:$C$9*$B$22:$C$22+$B$10:$C$10*$B$23:$C$23+$B$11:$C$11*$B$24:$C$24+$B$4:$C$4*($B$25:$C$25-$B$19:$C$19))*(AF9:AG9*AF22:AG22+AF10:AG10*AF23:AG23+AF11:AG11*AF24:AG24+AF4:AG4*(AF25:AG25-AF19:AG19))/($B$9:$C$9*AF22:AG22+$B$10:$C$10*AF23:AG23+$B$11:$C$11*AF24:AG24+$B$4:$C$4*(AF25:AG25-AF19:AG19)))</f>
        <v>#DIV/0!</v>
      </c>
      <c r="AG65" s="191"/>
      <c r="AH65" s="191" t="e">
        <f t="array" ref="AH65">SQRT((AH9:AI9*$B$22:$C$22+AH10:AI10*$B$23:$C$23+AH11:AI11*$B$24:$C$24+AH4:AI4*($B$25:$C$25-$B$19:$C$19))/($B$9:$C$9*$B$22:$C$22+$B$10:$C$10*$B$23:$C$23+$B$11:$C$11*$B$24:$C$24+$B$4:$C$4*($B$25:$C$25-$B$19:$C$19))*(AH9:AI9*AH22:AI22+AH10:AI10*AH23:AI23+AH11:AI11*AH24:AI24+AH4:AI4*(AH25:AI25-AH19:AI19))/($B$9:$C$9*AH22:AI22+$B$10:$C$10*AH23:AI23+$B$11:$C$11*AH24:AI24+$B$4:$C$4*(AH25:AI25-AH19:AI19)))</f>
        <v>#DIV/0!</v>
      </c>
      <c r="AI65" s="191"/>
      <c r="AJ65" s="19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91"/>
      <c r="AL65" s="19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0.99892087452023315</v>
      </c>
      <c r="E66" s="191"/>
      <c r="F66" s="191">
        <f t="array" ref="F66">SQRT((F9:G9*$B$22:$C$22)/($B$9:$C$9*$B$22:$C$22)*(F9:G9*F22:G22)/($B$9:$C$9*F22:G22))</f>
        <v>0.99790149427696029</v>
      </c>
      <c r="G66" s="191"/>
      <c r="H66" s="191">
        <f t="array" ref="H66">SQRT((H9:I9*$B$22:$C$22)/($B$9:$C$9*$B$22:$C$22)*(H9:I9*H22:I22)/($B$9:$C$9*H22:I22))</f>
        <v>0.99694870999018392</v>
      </c>
      <c r="I66" s="191"/>
      <c r="J66" s="191">
        <f t="array" ref="J66">SQRT((J9:K9*$B$22:$C$22)/($B$9:$C$9*$B$22:$C$22)*(J9:K9*J22:K22)/($B$9:$C$9*J22:K22))</f>
        <v>0.99606812724736826</v>
      </c>
      <c r="K66" s="191"/>
      <c r="L66" s="191">
        <f t="array" ref="L66">SQRT((L9:M9*$B$22:$C$22)/($B$9:$C$9*$B$22:$C$22)*(L9:M9*L22:M22)/($B$9:$C$9*L22:M22))</f>
        <v>0.99526236236003229</v>
      </c>
      <c r="M66" s="191"/>
      <c r="N66" s="191">
        <f t="array" ref="N66">SQRT((N9:O9*$B$22:$C$22)/($B$9:$C$9*$B$22:$C$22)*(N9:O9*N22:O22)/($B$9:$C$9*N22:O22))</f>
        <v>0.99452801819184611</v>
      </c>
      <c r="O66" s="191"/>
      <c r="P66" s="191">
        <f t="array" ref="P66">SQRT((P9:Q9*$B$22:$C$22)/($B$9:$C$9*$B$22:$C$22)*(P9:Q9*P22:Q22)/($B$9:$C$9*P22:Q22))</f>
        <v>0.9938499666042605</v>
      </c>
      <c r="Q66" s="191"/>
      <c r="R66" s="191">
        <f t="array" ref="R66">SQRT((R9:S9*$B$22:$C$22)/($B$9:$C$9*$B$22:$C$22)*(R9:S9*R22:S22)/($B$9:$C$9*R22:S22))</f>
        <v>0.99318916057165396</v>
      </c>
      <c r="S66" s="191"/>
      <c r="T66" s="191">
        <f t="array" ref="T66">SQRT((T9:U9*$B$22:$C$22)/($B$9:$C$9*$B$22:$C$22)*(T9:U9*T22:U22)/($B$9:$C$9*T22:U22))</f>
        <v>0.99245191954664791</v>
      </c>
      <c r="U66" s="191"/>
      <c r="V66" s="191">
        <f t="array" ref="V66">SQRT((V9:W9*$B$22:$C$22)/($B$9:$C$9*$B$22:$C$22)*(V9:W9*V22:W22)/($B$9:$C$9*V22:W22))</f>
        <v>0.99139411059071958</v>
      </c>
      <c r="W66" s="191"/>
      <c r="X66" s="191">
        <f t="array" ref="X66">SQRT((X9:Y9*$B$22:$C$22)/($B$9:$C$9*$B$22:$C$22)*(X9:Y9*X22:Y22)/($B$9:$C$9*X22:Y22))</f>
        <v>0.9892261282810727</v>
      </c>
      <c r="Y66" s="191"/>
      <c r="Z66" s="191">
        <f t="array" ref="Z66">SQRT((Z9:AA9*$B$22:$C$22)/($B$9:$C$9*$B$22:$C$22)*(Z9:AA9*Z22:AA22)/($B$9:$C$9*Z22:AA22))</f>
        <v>0.98288211800936065</v>
      </c>
      <c r="AA66" s="191"/>
      <c r="AB66" s="191">
        <f t="array" ref="AB66">SQRT((AB9:AC9*$B$22:$C$22)/($B$9:$C$9*$B$22:$C$22)*(AB9:AC9*AB22:AC22)/($B$9:$C$9*AB22:AC22))</f>
        <v>0.96825132930143365</v>
      </c>
      <c r="AC66" s="191"/>
      <c r="AD66" s="191" t="e">
        <f t="array" ref="AD66">SQRT((AD9:AE9*$B$22:$C$22)/($B$9:$C$9*$B$22:$C$22)*(AD9:AE9*AD22:AE22)/($B$9:$C$9*AD22:AE22))</f>
        <v>#DIV/0!</v>
      </c>
      <c r="AE66" s="191"/>
      <c r="AF66" s="191" t="e">
        <f t="array" ref="AF66">SQRT((AF9:AG9*$B$22:$C$22)/($B$9:$C$9*$B$22:$C$22)*(AF9:AG9*AF22:AG22)/($B$9:$C$9*AF22:AG22))</f>
        <v>#DIV/0!</v>
      </c>
      <c r="AG66" s="191"/>
      <c r="AH66" s="191" t="e">
        <f t="array" ref="AH66">SQRT((AH9:AI9*$B$22:$C$22)/($B$9:$C$9*$B$22:$C$22)*(AH9:AI9*AH22:AI22)/($B$9:$C$9*AH22:AI22))</f>
        <v>#DIV/0!</v>
      </c>
      <c r="AI66" s="191"/>
      <c r="AJ66" s="191" t="e">
        <f t="array" ref="AJ66">SQRT((AJ9:AK9*$B$22:$C$22)/($B$9:$C$9*$B$22:$C$22)*(AJ9:AK9*AJ22:AK22)/($B$9:$C$9*AJ22:AK22))</f>
        <v>#DIV/0!</v>
      </c>
      <c r="AK66" s="191"/>
      <c r="AL66" s="191" t="e">
        <f t="array" ref="AL66">SQRT((AL9:AM9*$B$22:$C$22)/($B$9:$C$9*$B$22:$C$22)*(AL9:AM9*AL22:AM22)/($B$9:$C$9*AL22:AM22))</f>
        <v>#DIV/0!</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t="e">
        <f t="array" ref="AD67">SQRT((AD4:AE4*$B$19:$C$19)/($B$4:$C$4*$B$19:$C$19)*(AD4:AE4*AD19:AE19)/($B$4:$C$4*AD19:AE19))</f>
        <v>#DIV/0!</v>
      </c>
      <c r="AE67" s="191"/>
      <c r="AF67" s="191" t="e">
        <f t="array" ref="AF67">SQRT((AF4:AG4*$B$19:$C$19)/($B$4:$C$4*$B$19:$C$19)*(AF4:AG4*AF19:AG19)/($B$4:$C$4*AF19:AG19))</f>
        <v>#DIV/0!</v>
      </c>
      <c r="AG67" s="191"/>
      <c r="AH67" s="191" t="e">
        <f t="array" ref="AH67">SQRT((AH4:AI4*$B$19:$C$19)/($B$4:$C$4*$B$19:$C$19)*(AH4:AI4*AH19:AI19)/($B$4:$C$4*AH19:AI19))</f>
        <v>#DIV/0!</v>
      </c>
      <c r="AI67" s="191"/>
      <c r="AJ67" s="191" t="e">
        <f t="array" ref="AJ67">SQRT((AJ4:AK4*$B$19:$C$19)/($B$4:$C$4*$B$19:$C$19)*(AJ4:AK4*AJ19:AK19)/($B$4:$C$4*AJ19:AK19))</f>
        <v>#DIV/0!</v>
      </c>
      <c r="AK67" s="191"/>
      <c r="AL67" s="191" t="e">
        <f t="array" ref="AL67">SQRT((AL4:AM4*$B$19:$C$19)/($B$4:$C$4*$B$19:$C$19)*(AL4:AM4*AL19:AM19)/($B$4:$C$4*AL19:AM19))</f>
        <v>#DIV/0!</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0.99892087452023315</v>
      </c>
      <c r="E68" s="191"/>
      <c r="F68" s="191">
        <f>F66/F67</f>
        <v>0.99790149427696029</v>
      </c>
      <c r="G68" s="191"/>
      <c r="H68" s="191">
        <f>H66/H67</f>
        <v>0.99694870999018392</v>
      </c>
      <c r="I68" s="191"/>
      <c r="J68" s="191">
        <f>J66/J67</f>
        <v>0.99606812724736826</v>
      </c>
      <c r="K68" s="191"/>
      <c r="L68" s="191">
        <f>L66/L67</f>
        <v>0.99526236236003229</v>
      </c>
      <c r="M68" s="191"/>
      <c r="N68" s="191">
        <f>N66/N67</f>
        <v>0.99452801819184611</v>
      </c>
      <c r="O68" s="191"/>
      <c r="P68" s="191">
        <f>P66/P67</f>
        <v>0.9938499666042605</v>
      </c>
      <c r="Q68" s="191"/>
      <c r="R68" s="191">
        <f>R66/R67</f>
        <v>0.99318916057165396</v>
      </c>
      <c r="S68" s="191"/>
      <c r="T68" s="191">
        <f>T66/T67</f>
        <v>0.99245191954664791</v>
      </c>
      <c r="U68" s="191"/>
      <c r="V68" s="191">
        <f>V66/V67</f>
        <v>0.99139411059071958</v>
      </c>
      <c r="W68" s="191"/>
      <c r="X68" s="191">
        <f>X66/X67</f>
        <v>0.9892261282810727</v>
      </c>
      <c r="Y68" s="191"/>
      <c r="Z68" s="191">
        <f>Z66/Z67</f>
        <v>0.98288211800936065</v>
      </c>
      <c r="AA68" s="191"/>
      <c r="AB68" s="191">
        <f>AB66/AB67</f>
        <v>0.96825132930143365</v>
      </c>
      <c r="AC68" s="191"/>
      <c r="AD68" s="191" t="e">
        <f>AD66/AD67</f>
        <v>#DIV/0!</v>
      </c>
      <c r="AE68" s="191"/>
      <c r="AF68" s="191" t="e">
        <f>AF66/AF67</f>
        <v>#DIV/0!</v>
      </c>
      <c r="AG68" s="191"/>
      <c r="AH68" s="191" t="e">
        <f>AH66/AH67</f>
        <v>#DIV/0!</v>
      </c>
      <c r="AI68" s="191"/>
      <c r="AJ68" s="191" t="e">
        <f>AJ66/AJ67</f>
        <v>#DIV/0!</v>
      </c>
      <c r="AK68" s="191"/>
      <c r="AL68" s="191" t="e">
        <f>AL66/AL67</f>
        <v>#DIV/0!</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0.97596876193018522</v>
      </c>
      <c r="E69" s="191"/>
      <c r="F69" s="191">
        <f>F32/F65/($B$32)</f>
        <v>0.94904482410351565</v>
      </c>
      <c r="G69" s="191"/>
      <c r="H69" s="191">
        <f>H32/H65/($B$32)</f>
        <v>0.91902889923647235</v>
      </c>
      <c r="I69" s="191"/>
      <c r="J69" s="191">
        <f>J32/J65/($B$32)</f>
        <v>0.88576337882815359</v>
      </c>
      <c r="K69" s="191"/>
      <c r="L69" s="191">
        <f>L32/L65/($B$32)</f>
        <v>0.84915450797840075</v>
      </c>
      <c r="M69" s="191"/>
      <c r="N69" s="191">
        <f>N32/N65/($B$32)</f>
        <v>0.80919833644650796</v>
      </c>
      <c r="O69" s="191"/>
      <c r="P69" s="191">
        <f>P32/P65/($B$32)</f>
        <v>0.76601640073611177</v>
      </c>
      <c r="Q69" s="191"/>
      <c r="R69" s="191">
        <f>R32/R65/($B$32)</f>
        <v>0.7199110513612581</v>
      </c>
      <c r="S69" s="191"/>
      <c r="T69" s="191">
        <f>T32/T65/($B$32)</f>
        <v>0.67148837983868404</v>
      </c>
      <c r="U69" s="191"/>
      <c r="V69" s="191">
        <f>V32/V65/($B$32)</f>
        <v>0.62202256506549292</v>
      </c>
      <c r="W69" s="191"/>
      <c r="X69" s="191">
        <f>X32/X65/($B$32)</f>
        <v>0.57493904205599866</v>
      </c>
      <c r="Y69" s="191"/>
      <c r="Z69" s="191">
        <f>Z32/Z65/($B$32)</f>
        <v>0.54158148306858944</v>
      </c>
      <c r="AA69" s="191"/>
      <c r="AB69" s="191">
        <f>AB32/AB65/($B$32)</f>
        <v>0.52971334585541641</v>
      </c>
      <c r="AC69" s="191"/>
      <c r="AD69" s="191" t="e">
        <f>AD32/AD65/($B$32)</f>
        <v>#DIV/0!</v>
      </c>
      <c r="AE69" s="191"/>
      <c r="AF69" s="191" t="e">
        <f>AF32/AF65/($B$32)</f>
        <v>#DIV/0!</v>
      </c>
      <c r="AG69" s="191"/>
      <c r="AH69" s="191" t="e">
        <f>AH32/AH65/($B$32)</f>
        <v>#DIV/0!</v>
      </c>
      <c r="AI69" s="191"/>
      <c r="AJ69" s="191" t="e">
        <f>AJ32/AJ65/($B$32)</f>
        <v>#DIV/0!</v>
      </c>
      <c r="AK69" s="191"/>
      <c r="AL69" s="191" t="e">
        <f>AL32/AL65/($B$32)</f>
        <v>#DIV/0!</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0.97546851833230463</v>
      </c>
      <c r="E70" s="138"/>
      <c r="F70" s="138">
        <f>F18/$B$18</f>
        <v>0.9480813885267998</v>
      </c>
      <c r="G70" s="138"/>
      <c r="H70" s="138">
        <f>H18/$B$18</f>
        <v>0.91764510446473591</v>
      </c>
      <c r="I70" s="138"/>
      <c r="J70" s="138">
        <f>J18/$B$18</f>
        <v>0.8840082247739719</v>
      </c>
      <c r="K70" s="138"/>
      <c r="L70" s="138">
        <f>L18/$B$18</f>
        <v>0.84708366433519489</v>
      </c>
      <c r="M70" s="138"/>
      <c r="N70" s="138">
        <f>N18/$B$18</f>
        <v>0.80687498954737069</v>
      </c>
      <c r="O70" s="138"/>
      <c r="P70" s="138">
        <f>P18/$B$18</f>
        <v>0.76351283389274194</v>
      </c>
      <c r="Q70" s="138"/>
      <c r="R70" s="138">
        <f>R18/$B$18</f>
        <v>0.71731222557627239</v>
      </c>
      <c r="S70" s="138"/>
      <c r="T70" s="138">
        <f>T18/$B$18</f>
        <v>0.6689010632525848</v>
      </c>
      <c r="U70" s="138"/>
      <c r="V70" s="138">
        <f>V18/$B$18</f>
        <v>0.61960362628056831</v>
      </c>
      <c r="W70" s="138"/>
      <c r="X70" s="138">
        <f>X18/$B$18</f>
        <v>0.57301012744212387</v>
      </c>
      <c r="Y70" s="138"/>
      <c r="Z70" s="138">
        <f>Z18/$B$18</f>
        <v>0.54120429092973588</v>
      </c>
      <c r="AA70" s="138"/>
      <c r="AB70" s="138">
        <f>AB18/$B$18</f>
        <v>0.53350388163563034</v>
      </c>
      <c r="AC70" s="138"/>
      <c r="AD70" s="138">
        <f>AD18/$B$18</f>
        <v>0</v>
      </c>
      <c r="AE70" s="138"/>
      <c r="AF70" s="138">
        <f>AF18/$B$18</f>
        <v>0</v>
      </c>
      <c r="AG70" s="138"/>
      <c r="AH70" s="138">
        <f>AH18/$B$18</f>
        <v>0</v>
      </c>
      <c r="AI70" s="138"/>
      <c r="AJ70" s="138">
        <f>AJ18/$B$18</f>
        <v>0</v>
      </c>
      <c r="AK70" s="138"/>
      <c r="AL70" s="138">
        <f>AL18/$B$18</f>
        <v>0</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0.93709227580912824</v>
      </c>
      <c r="E71" s="138"/>
      <c r="F71" s="138">
        <f>G18/$C$18</f>
        <v>0.8757866107539507</v>
      </c>
      <c r="G71" s="138"/>
      <c r="H71" s="138">
        <f>I18/$C$18</f>
        <v>0.81616654048198445</v>
      </c>
      <c r="I71" s="138"/>
      <c r="J71" s="138">
        <f>K18/$C$18</f>
        <v>0.7582824687147609</v>
      </c>
      <c r="K71" s="138"/>
      <c r="L71" s="138">
        <f>M18/$C$18</f>
        <v>0.70213496432061306</v>
      </c>
      <c r="M71" s="138"/>
      <c r="N71" s="138">
        <f>O18/$C$18</f>
        <v>0.64765243571087661</v>
      </c>
      <c r="O71" s="138"/>
      <c r="P71" s="138">
        <f>Q18/$C$18</f>
        <v>0.59465718230725029</v>
      </c>
      <c r="Q71" s="138"/>
      <c r="R71" s="138">
        <f>S18/$C$18</f>
        <v>0.54280381716252601</v>
      </c>
      <c r="S71" s="138"/>
      <c r="T71" s="138">
        <f>U18/$C$18</f>
        <v>0.49143217599120126</v>
      </c>
      <c r="U71" s="138"/>
      <c r="V71" s="138">
        <f>W18/$C$18</f>
        <v>0.43911127400938932</v>
      </c>
      <c r="W71" s="138"/>
      <c r="X71" s="138">
        <f>Y18/$C$18</f>
        <v>0.38176081307375453</v>
      </c>
      <c r="Y71" s="138"/>
      <c r="Z71" s="138">
        <f>AA18/$C$18</f>
        <v>0.30500391785147446</v>
      </c>
      <c r="AA71" s="138"/>
      <c r="AB71" s="138">
        <f>AC18/$C$18</f>
        <v>0.19694926565545426</v>
      </c>
      <c r="AC71" s="138"/>
      <c r="AD71" s="138">
        <f>AE18/$C$18</f>
        <v>0</v>
      </c>
      <c r="AE71" s="138"/>
      <c r="AF71" s="138">
        <f>AG18/$C$18</f>
        <v>0</v>
      </c>
      <c r="AG71" s="138"/>
      <c r="AH71" s="138">
        <f>AI18/$C$18</f>
        <v>0</v>
      </c>
      <c r="AI71" s="138"/>
      <c r="AJ71" s="138">
        <f>AK18/$C$18</f>
        <v>0</v>
      </c>
      <c r="AK71" s="138"/>
      <c r="AL71" s="138">
        <f>AM18/$C$18</f>
        <v>0</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0.99772240851697724</v>
      </c>
      <c r="E72" s="138"/>
      <c r="F72" s="138">
        <f>G19/$C$19</f>
        <v>0.99082242782890617</v>
      </c>
      <c r="G72" s="138"/>
      <c r="H72" s="138">
        <f>I19/$C$19</f>
        <v>0.97865520089774349</v>
      </c>
      <c r="I72" s="138"/>
      <c r="J72" s="138">
        <f>K19/$C$19</f>
        <v>0.96068246608351471</v>
      </c>
      <c r="K72" s="138"/>
      <c r="L72" s="138">
        <f>M19/$C$19</f>
        <v>0.9365652289676808</v>
      </c>
      <c r="M72" s="138"/>
      <c r="N72" s="138">
        <f>O19/$C$19</f>
        <v>0.90628527473163822</v>
      </c>
      <c r="O72" s="138"/>
      <c r="P72" s="138">
        <f>Q19/$C$19</f>
        <v>0.8703205779367168</v>
      </c>
      <c r="Q72" s="138"/>
      <c r="R72" s="138">
        <f>S19/$C$19</f>
        <v>0.82995244925425438</v>
      </c>
      <c r="S72" s="138"/>
      <c r="T72" s="138">
        <f>U19/$C$19</f>
        <v>0.78797996095984169</v>
      </c>
      <c r="U72" s="138"/>
      <c r="V72" s="138">
        <f>W19/$C$19</f>
        <v>0.75096293634234212</v>
      </c>
      <c r="W72" s="138"/>
      <c r="X72" s="138">
        <f>Y19/$C$19</f>
        <v>0.73894037367197196</v>
      </c>
      <c r="Y72" s="138"/>
      <c r="Z72" s="138">
        <f>AA19/$C$19</f>
        <v>0.83216069446896834</v>
      </c>
      <c r="AA72" s="138"/>
      <c r="AB72" s="138">
        <f>AC19/$C$19</f>
        <v>1.154936577557798</v>
      </c>
      <c r="AC72" s="138"/>
      <c r="AD72" s="138">
        <f>AE19/$C$19</f>
        <v>0</v>
      </c>
      <c r="AE72" s="138"/>
      <c r="AF72" s="138">
        <f>AG19/$C$19</f>
        <v>0</v>
      </c>
      <c r="AG72" s="138"/>
      <c r="AH72" s="138">
        <f>AI19/$C$19</f>
        <v>0</v>
      </c>
      <c r="AI72" s="138"/>
      <c r="AJ72" s="138">
        <f>AK19/$C$19</f>
        <v>0</v>
      </c>
      <c r="AK72" s="138"/>
      <c r="AL72" s="138">
        <f>AM19/$C$19</f>
        <v>0</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0.47641153352875065</v>
      </c>
      <c r="D73" s="193">
        <f t="array" ref="D73">SUM(D9:E9*D22:E22)/D32</f>
        <v>0.47641153985655788</v>
      </c>
      <c r="E73" s="138"/>
      <c r="F73" s="193">
        <f t="array" ref="F73">SUM(F9:G9*F22:G22)/F32</f>
        <v>0.476411532855816</v>
      </c>
      <c r="G73" s="138"/>
      <c r="H73" s="193">
        <f t="array" ref="H73">SUM(H9:I9*H22:I22)/H32</f>
        <v>0.47641153150574889</v>
      </c>
      <c r="I73" s="138"/>
      <c r="J73" s="193">
        <f t="array" ref="J73">SUM(J9:K9*J22:K22)/J32</f>
        <v>0.47641153388254975</v>
      </c>
      <c r="K73" s="138"/>
      <c r="L73" s="193">
        <f t="array" ref="L73">SUM(L9:M9*L22:M22)/L32</f>
        <v>0.47641153434378253</v>
      </c>
      <c r="M73" s="138"/>
      <c r="N73" s="193">
        <f t="array" ref="N73">SUM(N9:O9*N22:O22)/N32</f>
        <v>0.4764115340507199</v>
      </c>
      <c r="O73" s="138"/>
      <c r="P73" s="193">
        <f t="array" ref="P73">SUM(P9:Q9*P22:Q22)/P32</f>
        <v>0.47641153293607619</v>
      </c>
      <c r="Q73" s="138"/>
      <c r="R73" s="193">
        <f t="array" ref="R73">SUM(R9:S9*R22:S22)/R32</f>
        <v>0.47641153366872568</v>
      </c>
      <c r="S73" s="138"/>
      <c r="T73" s="193">
        <f t="array" ref="T73">SUM(T9:U9*T22:U22)/T32</f>
        <v>0.47641153388824192</v>
      </c>
      <c r="U73" s="138"/>
      <c r="V73" s="193">
        <f t="array" ref="V73">SUM(V9:W9*V22:W22)/V32</f>
        <v>0.47641153370689127</v>
      </c>
      <c r="W73" s="138"/>
      <c r="X73" s="193">
        <f t="array" ref="X73">SUM(X9:Y9*X22:Y22)/X32</f>
        <v>0.47641153368898598</v>
      </c>
      <c r="Y73" s="138"/>
      <c r="Z73" s="193">
        <f t="array" ref="Z73">SUM(Z9:AA9*Z22:AA22)/Z32</f>
        <v>0.47641153359233612</v>
      </c>
      <c r="AA73" s="138"/>
      <c r="AB73" s="193">
        <f t="array" ref="AB73">SUM(AB9:AC9*AB22:AC22)/AB32</f>
        <v>0.47641153352786308</v>
      </c>
      <c r="AC73" s="138"/>
      <c r="AD73" s="193" t="e">
        <f t="array" ref="AD73">SUM(AD9:AE9*AD22:AE22)/AD32</f>
        <v>#DIV/0!</v>
      </c>
      <c r="AE73" s="138"/>
      <c r="AF73" s="193" t="e">
        <f t="array" ref="AF73">SUM(AF9:AG9*AF22:AG22)/AF32</f>
        <v>#DIV/0!</v>
      </c>
      <c r="AG73" s="138"/>
      <c r="AH73" s="193" t="e">
        <f t="array" ref="AH73">SUM(AH9:AI9*AH22:AI22)/AH32</f>
        <v>#DIV/0!</v>
      </c>
      <c r="AI73" s="138"/>
      <c r="AJ73" s="193" t="e">
        <f t="array" ref="AJ73">SUM(AJ9:AK9*AJ22:AK22)/AJ32</f>
        <v>#DIV/0!</v>
      </c>
      <c r="AK73" s="138"/>
      <c r="AL73" s="193" t="e">
        <f t="array" ref="AL73">SUM(AL9:AM9*AL22:AM22)/AL32</f>
        <v>#DIV/0!</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0.22604620456442481</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0.22604620456442481</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t="e">
        <f t="array" ref="AD74">SUM(AD10:AE10*AD23:AE23)/AD32</f>
        <v>#DIV/0!</v>
      </c>
      <c r="AE74" s="138"/>
      <c r="AF74" s="193" t="e">
        <f t="array" ref="AF74">SUM(AF10:AG10*AF23:AG23)/AF32</f>
        <v>#DIV/0!</v>
      </c>
      <c r="AG74" s="138"/>
      <c r="AH74" s="193" t="e">
        <f t="array" ref="AH74">SUM(AH10:AI10*AH23:AI23)/AH32</f>
        <v>#DIV/0!</v>
      </c>
      <c r="AI74" s="138"/>
      <c r="AJ74" s="193" t="e">
        <f t="array" ref="AJ74">SUM(AJ10:AK10*AJ23:AK23)/AJ32</f>
        <v>#DIV/0!</v>
      </c>
      <c r="AK74" s="138"/>
      <c r="AL74" s="193" t="e">
        <f t="array" ref="AL74">SUM(AL10:AM10*AL23:AM23)/AL32</f>
        <v>#DIV/0!</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0.22038438850725331</v>
      </c>
      <c r="E75" s="138"/>
      <c r="F75" s="193">
        <f t="array" ref="F75">SUM(F11:G11*F24:G24)/F32</f>
        <v>0.22038438826078843</v>
      </c>
      <c r="G75" s="138"/>
      <c r="H75" s="193">
        <f t="array" ref="H75">SUM(H11:I11*H24:I24)/H32</f>
        <v>0.22038438823586443</v>
      </c>
      <c r="I75" s="138"/>
      <c r="J75" s="193">
        <f t="array" ref="J75">SUM(J11:K11*J24:K24)/J32</f>
        <v>0.22038438836525603</v>
      </c>
      <c r="K75" s="138"/>
      <c r="L75" s="193">
        <f t="array" ref="L75">SUM(L11:M11*L24:M24)/L32</f>
        <v>0.2203843883617673</v>
      </c>
      <c r="M75" s="138"/>
      <c r="N75" s="193">
        <f t="array" ref="N75">SUM(N11:O11*N24:O24)/N32</f>
        <v>0.2203843883498699</v>
      </c>
      <c r="O75" s="138"/>
      <c r="P75" s="193">
        <f t="array" ref="P75">SUM(P11:Q11*P24:Q24)/P32</f>
        <v>0.22038438829163845</v>
      </c>
      <c r="Q75" s="138"/>
      <c r="R75" s="193">
        <f t="array" ref="R75">SUM(R11:S11*R24:S24)/R32</f>
        <v>0.22038438842710337</v>
      </c>
      <c r="S75" s="138"/>
      <c r="T75" s="193">
        <f t="array" ref="T75">SUM(T11:U11*T24:U24)/T32</f>
        <v>0.22038438807283312</v>
      </c>
      <c r="U75" s="138"/>
      <c r="V75" s="193">
        <f t="array" ref="V75">SUM(V11:W11*V24:W24)/V32</f>
        <v>0.22038438825925091</v>
      </c>
      <c r="W75" s="138"/>
      <c r="X75" s="193">
        <f t="array" ref="X75">SUM(X11:Y11*X24:Y24)/X32</f>
        <v>0.22038438830801291</v>
      </c>
      <c r="Y75" s="138"/>
      <c r="Z75" s="193">
        <f t="array" ref="Z75">SUM(Z11:AA11*Z24:AA24)/Z32</f>
        <v>0.22038438833650698</v>
      </c>
      <c r="AA75" s="138"/>
      <c r="AB75" s="193">
        <f t="array" ref="AB75">SUM(AB11:AC11*AB24:AC24)/AB32</f>
        <v>0.22038438833181714</v>
      </c>
      <c r="AC75" s="138"/>
      <c r="AD75" s="193" t="e">
        <f t="array" ref="AD75">SUM(AD11:AE11*AD24:AE24)/AD32</f>
        <v>#DIV/0!</v>
      </c>
      <c r="AE75" s="138"/>
      <c r="AF75" s="193" t="e">
        <f t="array" ref="AF75">SUM(AF11:AG11*AF24:AG24)/AF32</f>
        <v>#DIV/0!</v>
      </c>
      <c r="AG75" s="138"/>
      <c r="AH75" s="193" t="e">
        <f t="array" ref="AH75">SUM(AH11:AI11*AH24:AI24)/AH32</f>
        <v>#DIV/0!</v>
      </c>
      <c r="AI75" s="138"/>
      <c r="AJ75" s="193" t="e">
        <f t="array" ref="AJ75">SUM(AJ11:AK11*AJ24:AK24)/AJ32</f>
        <v>#DIV/0!</v>
      </c>
      <c r="AK75" s="138"/>
      <c r="AL75" s="193" t="e">
        <f t="array" ref="AL75">SUM(AL11:AM11*AL24:AM24)/AL32</f>
        <v>#DIV/0!</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0.22316276645493938</v>
      </c>
      <c r="E76" s="138"/>
      <c r="F76" s="193">
        <f t="array" ref="F76">SUM(F12:G12*F25:G25)/F32</f>
        <v>0.22330941903697174</v>
      </c>
      <c r="G76" s="138"/>
      <c r="H76" s="193">
        <f t="array" ref="H76">SUM(H12:I12*H25:I25)/H32</f>
        <v>0.22345440739133571</v>
      </c>
      <c r="I76" s="138"/>
      <c r="J76" s="193">
        <f t="array" ref="J76">SUM(J12:K12*J25:K25)/J32</f>
        <v>0.22359382403241271</v>
      </c>
      <c r="K76" s="138"/>
      <c r="L76" s="193">
        <f t="array" ref="L76">SUM(L12:M12*L25:M25)/L32</f>
        <v>0.22372512663973135</v>
      </c>
      <c r="M76" s="138"/>
      <c r="N76" s="193">
        <f t="array" ref="N76">SUM(N12:O12*N25:O25)/N32</f>
        <v>0.22384887039951498</v>
      </c>
      <c r="O76" s="138"/>
      <c r="P76" s="193">
        <f t="array" ref="P76">SUM(P12:Q12*P25:Q25)/P32</f>
        <v>0.22397194136171289</v>
      </c>
      <c r="Q76" s="138"/>
      <c r="R76" s="193">
        <f t="array" ref="R76">SUM(R12:S12*R25:S25)/R32</f>
        <v>0.22411449531479688</v>
      </c>
      <c r="S76" s="138"/>
      <c r="T76" s="193">
        <f t="array" ref="T76">SUM(T12:U12*T25:U25)/T32</f>
        <v>0.22432756798236358</v>
      </c>
      <c r="U76" s="138"/>
      <c r="V76" s="193">
        <f t="array" ref="V76">SUM(V12:W12*V25:W25)/V32</f>
        <v>0.22474950518877851</v>
      </c>
      <c r="W76" s="138"/>
      <c r="X76" s="193">
        <f t="array" ref="X76">SUM(X12:Y12*X25:Y25)/X32</f>
        <v>0.22585031805633493</v>
      </c>
      <c r="Y76" s="138"/>
      <c r="Z76" s="193">
        <f t="array" ref="Z76">SUM(Z12:AA12*Z25:AA25)/Z32</f>
        <v>0.22965598109840918</v>
      </c>
      <c r="AA76" s="138"/>
      <c r="AB76" s="193">
        <f t="array" ref="AB76">SUM(AB12:AC12*AB25:AC25)/AB32</f>
        <v>0.23999160541528869</v>
      </c>
      <c r="AC76" s="138"/>
      <c r="AD76" s="193" t="e">
        <f t="array" ref="AD76">SUM(AD12:AE12*AD25:AE25)/AD32</f>
        <v>#DIV/0!</v>
      </c>
      <c r="AE76" s="138"/>
      <c r="AF76" s="193" t="e">
        <f t="array" ref="AF76">SUM(AF12:AG12*AF25:AG25)/AF32</f>
        <v>#DIV/0!</v>
      </c>
      <c r="AG76" s="138"/>
      <c r="AH76" s="193" t="e">
        <f t="array" ref="AH76">SUM(AH12:AI12*AH25:AI25)/AH32</f>
        <v>#DIV/0!</v>
      </c>
      <c r="AI76" s="138"/>
      <c r="AJ76" s="193" t="e">
        <f t="array" ref="AJ76">SUM(AJ12:AK12*AJ25:AK25)/AJ32</f>
        <v>#DIV/0!</v>
      </c>
      <c r="AK76" s="138"/>
      <c r="AL76" s="193" t="e">
        <f t="array" ref="AL76">SUM(AL12:AM12*AL25:AM25)/AL32</f>
        <v>#DIV/0!</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0.14586087017236485</v>
      </c>
      <c r="D77" s="193">
        <f t="array" ref="D77">SUM(D4:E4*D19:E19)/D32</f>
        <v>0.14600489938317543</v>
      </c>
      <c r="E77" s="138"/>
      <c r="F77" s="193">
        <f t="array" ref="F77">SUM(F4:G4*F19:G19)/F32</f>
        <v>0.14615154471800082</v>
      </c>
      <c r="G77" s="138"/>
      <c r="H77" s="193">
        <f t="array" ref="H77">SUM(H4:I4*H19:I19)/H32</f>
        <v>0.14629653169737372</v>
      </c>
      <c r="I77" s="138"/>
      <c r="J77" s="193">
        <f t="array" ref="J77">SUM(J4:K4*J19:K19)/J32</f>
        <v>0.14643595084464336</v>
      </c>
      <c r="K77" s="138"/>
      <c r="L77" s="193">
        <f t="array" ref="L77">SUM(L4:M4*L19:M19)/L32</f>
        <v>0.14656725390970579</v>
      </c>
      <c r="M77" s="138"/>
      <c r="N77" s="193">
        <f t="array" ref="N77">SUM(N4:O4*N19:O19)/N32</f>
        <v>0.14669099736452954</v>
      </c>
      <c r="O77" s="138"/>
      <c r="P77" s="193">
        <f t="array" ref="P77">SUM(P4:Q4*P19:Q19)/P32</f>
        <v>0.1468140671538522</v>
      </c>
      <c r="Q77" s="138"/>
      <c r="R77" s="193">
        <f t="array" ref="R77">SUM(R4:S4*R19:S19)/R32</f>
        <v>0.14695662197505074</v>
      </c>
      <c r="S77" s="138"/>
      <c r="T77" s="193">
        <f t="array" ref="T77">SUM(T4:U4*T19:U19)/T32</f>
        <v>0.14716969450786313</v>
      </c>
      <c r="U77" s="138"/>
      <c r="V77" s="193">
        <f t="array" ref="V77">SUM(V4:W4*V19:W19)/V32</f>
        <v>0.14759163171934542</v>
      </c>
      <c r="W77" s="138"/>
      <c r="X77" s="193">
        <f t="array" ref="X77">SUM(X4:Y4*X19:Y19)/X32</f>
        <v>0.1486924446177586</v>
      </c>
      <c r="Y77" s="138"/>
      <c r="Z77" s="193">
        <f t="array" ref="Z77">SUM(Z4:AA4*Z19:AA19)/Z32</f>
        <v>0.15249810759167701</v>
      </c>
      <c r="AA77" s="138"/>
      <c r="AB77" s="193">
        <f t="array" ref="AB77">SUM(AB4:AC4*AB19:AC19)/AB32</f>
        <v>0.16283373183939376</v>
      </c>
      <c r="AC77" s="138"/>
      <c r="AD77" s="193" t="e">
        <f t="array" ref="AD77">SUM(AD4:AE4*AD19:AE19)/AD32</f>
        <v>#DIV/0!</v>
      </c>
      <c r="AE77" s="138"/>
      <c r="AF77" s="193" t="e">
        <f t="array" ref="AF77">SUM(AF4:AG4*AF19:AG19)/AF32</f>
        <v>#DIV/0!</v>
      </c>
      <c r="AG77" s="138"/>
      <c r="AH77" s="193" t="e">
        <f t="array" ref="AH77">SUM(AH4:AI4*AH19:AI19)/AH32</f>
        <v>#DIV/0!</v>
      </c>
      <c r="AI77" s="138"/>
      <c r="AJ77" s="193" t="e">
        <f t="array" ref="AJ77">SUM(AJ4:AK4*AJ19:AK19)/AJ32</f>
        <v>#DIV/0!</v>
      </c>
      <c r="AK77" s="138"/>
      <c r="AL77" s="193" t="e">
        <f t="array" ref="AL77">SUM(AL4:AM4*AL19:AM19)/AL32</f>
        <v>#DIV/0!</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0.33995170590717028</v>
      </c>
      <c r="E78" s="138"/>
      <c r="F78" s="193">
        <f t="array" ref="F78">SUM(F13:G13*F26:G26)/F32</f>
        <v>0.33311646818521851</v>
      </c>
      <c r="G78" s="138"/>
      <c r="H78" s="193">
        <f t="array" ref="H78">SUM(H13:I13*H26:I26)/H32</f>
        <v>0.32643111112334516</v>
      </c>
      <c r="I78" s="138"/>
      <c r="J78" s="193">
        <f t="array" ref="J78">SUM(J13:K13*J26:K26)/J32</f>
        <v>0.31995012622413377</v>
      </c>
      <c r="K78" s="138"/>
      <c r="L78" s="193">
        <f t="array" ref="L78">SUM(L13:M13*L26:M26)/L32</f>
        <v>0.31373198583803541</v>
      </c>
      <c r="M78" s="138"/>
      <c r="N78" s="193">
        <f t="array" ref="N78">SUM(N13:O13*N26:O26)/N32</f>
        <v>0.30783828399531227</v>
      </c>
      <c r="O78" s="138"/>
      <c r="P78" s="193">
        <f t="array" ref="P78">SUM(P13:Q13*P26:Q26)/P32</f>
        <v>0.30233277978946355</v>
      </c>
      <c r="Q78" s="138"/>
      <c r="R78" s="193">
        <f t="array" ref="R78">SUM(R13:S13*R26:S26)/R32</f>
        <v>0.29728362771660433</v>
      </c>
      <c r="S78" s="138"/>
      <c r="T78" s="193">
        <f t="array" ref="T78">SUM(T13:U13*T26:U26)/T32</f>
        <v>0.29277266457196288</v>
      </c>
      <c r="U78" s="138"/>
      <c r="V78" s="193">
        <f t="array" ref="V78">SUM(V13:W13*V26:W26)/V32</f>
        <v>0.28893524901276807</v>
      </c>
      <c r="W78" s="138"/>
      <c r="X78" s="193">
        <f t="array" ref="X78">SUM(X13:Y13*X26:Y26)/X32</f>
        <v>0.28612906345861566</v>
      </c>
      <c r="Y78" s="138"/>
      <c r="Z78" s="193">
        <f t="array" ref="Z78">SUM(Z13:AA13*Z26:AA26)/Z32</f>
        <v>0.28566102551608513</v>
      </c>
      <c r="AA78" s="138"/>
      <c r="AB78" s="193">
        <f t="array" ref="AB78">SUM(AB13:AC13*AB26:AC26)/AB32</f>
        <v>0.28887784181811682</v>
      </c>
      <c r="AC78" s="138"/>
      <c r="AD78" s="193" t="e">
        <f t="array" ref="AD78">SUM(AD13:AE13*AD26:AE26)/AD32</f>
        <v>#DIV/0!</v>
      </c>
      <c r="AE78" s="138"/>
      <c r="AF78" s="193" t="e">
        <f t="array" ref="AF78">SUM(AF13:AG13*AF26:AG26)/AF32</f>
        <v>#DIV/0!</v>
      </c>
      <c r="AG78" s="138"/>
      <c r="AH78" s="193" t="e">
        <f t="array" ref="AH78">SUM(AH13:AI13*AH26:AI26)/AH32</f>
        <v>#DIV/0!</v>
      </c>
      <c r="AI78" s="138"/>
      <c r="AJ78" s="193" t="e">
        <f t="array" ref="AJ78">SUM(AJ13:AK13*AJ26:AK26)/AJ32</f>
        <v>#DIV/0!</v>
      </c>
      <c r="AK78" s="138"/>
      <c r="AL78" s="193" t="e">
        <f t="array" ref="AL78">SUM(AL13:AM13*AL26:AM26)/AL32</f>
        <v>#DIV/0!</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0.45460968782440642</v>
      </c>
      <c r="D79" s="193">
        <f t="array" ref="D79">SUM(D15:E15*D27:E27)/D32</f>
        <v>0.46164178744607504</v>
      </c>
      <c r="F79" s="193">
        <f t="array" ref="F79">SUM(F15:G15*F27:G27)/F32</f>
        <v>0.46857260777311976</v>
      </c>
      <c r="H79" s="193">
        <f t="array" ref="H79">SUM(H15:I15*H27:I27)/H32</f>
        <v>0.47535123080409997</v>
      </c>
      <c r="J79" s="193">
        <f t="array" ref="J79">SUM(J15:K15*J27:K27)/J32</f>
        <v>0.4819220671865399</v>
      </c>
      <c r="L79" s="193">
        <f t="array" ref="L79">SUM(L15:M15*L27:M27)/L32</f>
        <v>0.488226637839769</v>
      </c>
      <c r="N79" s="193">
        <f t="array" ref="N79">SUM(N15:O15*N27:O27)/N32</f>
        <v>0.49420241564981104</v>
      </c>
      <c r="P79" s="193">
        <f t="array" ref="P79">SUM(P15:Q15*P27:Q27)/P32</f>
        <v>0.49978506362152758</v>
      </c>
      <c r="R79" s="193">
        <f t="array" ref="R79">SUM(R15:S15*R27:S27)/R32</f>
        <v>0.504903938556992</v>
      </c>
      <c r="T79" s="193">
        <f t="array" ref="T79">SUM(T15:U15*T27:U27)/T32</f>
        <v>0.50947827377837418</v>
      </c>
      <c r="V79" s="193">
        <f t="array" ref="V79">SUM(V15:W15*V27:W27)/V32</f>
        <v>0.51336884323066612</v>
      </c>
      <c r="X79" s="193">
        <f t="array" ref="X79">SUM(X15:Y15*X27:Y27)/X32</f>
        <v>0.51621404912973967</v>
      </c>
      <c r="Z79" s="193">
        <f t="array" ref="Z79">SUM(Z15:AA15*Z27:AA27)/Z32</f>
        <v>0.51668859427661629</v>
      </c>
      <c r="AB79" s="193">
        <f t="array" ref="AB79">SUM(AB15:AC15*AB27:AC27)/AB32</f>
        <v>0.51342699412189718</v>
      </c>
      <c r="AD79" s="193" t="e">
        <f t="array" ref="AD79">SUM(AD15:AE15*AD27:AE27)/AD32</f>
        <v>#DIV/0!</v>
      </c>
      <c r="AF79" s="193" t="e">
        <f t="array" ref="AF79">SUM(AF15:AG15*AF27:AG27)/AF32</f>
        <v>#DIV/0!</v>
      </c>
      <c r="AH79" s="193" t="e">
        <f t="array" ref="AH79">SUM(AH15:AI15*AH27:AI27)/AH32</f>
        <v>#DIV/0!</v>
      </c>
      <c r="AJ79" s="193" t="e">
        <f t="array" ref="AJ79">SUM(AJ15:AK15*AJ27:AK27)/AJ32</f>
        <v>#DIV/0!</v>
      </c>
      <c r="AL79" s="193" t="e">
        <f t="array" ref="AL79">SUM(AL15:AM15*AL27:AM27)/AL32</f>
        <v>#DIV/0!</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0.19840618527655707</v>
      </c>
      <c r="F80" s="236">
        <f>F55</f>
        <v>0.19831100514771577</v>
      </c>
      <c r="H80" s="236">
        <f>H55</f>
        <v>0.19821792731187388</v>
      </c>
      <c r="J80" s="236">
        <f>J55</f>
        <v>0.19812772612562726</v>
      </c>
      <c r="L80" s="236">
        <f>L55</f>
        <v>0.19804116854524398</v>
      </c>
      <c r="N80" s="236">
        <f>N55</f>
        <v>0.1979591196830259</v>
      </c>
      <c r="P80" s="236">
        <f>P55</f>
        <v>0.19788245981973995</v>
      </c>
      <c r="R80" s="236">
        <f>R55</f>
        <v>0.19781218782169466</v>
      </c>
      <c r="T80" s="236">
        <f>T55</f>
        <v>0.19774937591373859</v>
      </c>
      <c r="V80" s="236">
        <f>V55</f>
        <v>0.19769596169244724</v>
      </c>
      <c r="X80" s="236">
        <f>X55</f>
        <v>0.19765689750222723</v>
      </c>
      <c r="Z80" s="236">
        <f>Z55</f>
        <v>0.19765038219273295</v>
      </c>
      <c r="AB80" s="236">
        <f>AB55</f>
        <v>0.19769516353321828</v>
      </c>
      <c r="AD80" s="236" t="e">
        <f>AD55</f>
        <v>#DIV/0!</v>
      </c>
      <c r="AF80" s="236" t="e">
        <f>AF55</f>
        <v>#DIV/0!</v>
      </c>
      <c r="AH80" s="236" t="e">
        <f>AH55</f>
        <v>#DIV/0!</v>
      </c>
      <c r="AJ80" s="236" t="e">
        <f>AJ55</f>
        <v>#DIV/0!</v>
      </c>
      <c r="AL80" s="236" t="e">
        <f>AL55</f>
        <v>#DIV/0!</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-2.7640019287867801E-2</v>
      </c>
      <c r="F81" s="236">
        <f>F51/F$32</f>
        <v>-2.7735199416709079E-2</v>
      </c>
      <c r="H81" s="236">
        <f>H51/H$32</f>
        <v>-2.7828277252550968E-2</v>
      </c>
      <c r="J81" s="236">
        <f>J51/J$32</f>
        <v>-2.7918478438797557E-2</v>
      </c>
      <c r="L81" s="236">
        <f>L51/L$32</f>
        <v>-2.8005036019180862E-2</v>
      </c>
      <c r="N81" s="236">
        <f>N51/N$32</f>
        <v>-2.8087084881398938E-2</v>
      </c>
      <c r="P81" s="236">
        <f>P51/P$32</f>
        <v>-2.8163744744684891E-2</v>
      </c>
      <c r="R81" s="236">
        <f>R51/R$32</f>
        <v>-2.823401674273017E-2</v>
      </c>
      <c r="T81" s="236">
        <f>T51/T$32</f>
        <v>-2.8296828650686234E-2</v>
      </c>
      <c r="V81" s="236">
        <f>V51/V$32</f>
        <v>-2.8350242871977609E-2</v>
      </c>
      <c r="X81" s="236">
        <f>X51/X$32</f>
        <v>-2.8389307062197607E-2</v>
      </c>
      <c r="Z81" s="236">
        <f>Z51/Z$32</f>
        <v>-2.8395822371691894E-2</v>
      </c>
      <c r="AB81" s="236">
        <f>AB51/AB$32</f>
        <v>-2.8351041031206569E-2</v>
      </c>
      <c r="AD81" s="236" t="e">
        <f>AD51/AD$32</f>
        <v>#DIV/0!</v>
      </c>
      <c r="AF81" s="236" t="e">
        <f>AF51/AF$32</f>
        <v>#DIV/0!</v>
      </c>
      <c r="AH81" s="236" t="e">
        <f>AH51/AH$32</f>
        <v>#DIV/0!</v>
      </c>
      <c r="AJ81" s="236" t="e">
        <f>AJ51/AJ$32</f>
        <v>#DIV/0!</v>
      </c>
      <c r="AL81" s="236" t="e">
        <f>AL51/AL$32</f>
        <v>#DIV/0!</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0.13629777832726009</v>
      </c>
      <c r="F82" s="236">
        <f>F52/F$32</f>
        <v>0.13355730754963996</v>
      </c>
      <c r="H82" s="236">
        <f>H52/H$32</f>
        <v>0.13087692883988697</v>
      </c>
      <c r="J82" s="236">
        <f>J52/J$32</f>
        <v>0.12827848962694696</v>
      </c>
      <c r="L82" s="236">
        <f>L52/L$32</f>
        <v>0.12578543339211917</v>
      </c>
      <c r="N82" s="236">
        <f>N52/N$32</f>
        <v>0.1234224552004292</v>
      </c>
      <c r="P82" s="236">
        <f>P52/P$32</f>
        <v>0.12121511816169854</v>
      </c>
      <c r="R82" s="236">
        <f>R52/R$32</f>
        <v>0.11919074764668455</v>
      </c>
      <c r="T82" s="236">
        <f>T52/T$32</f>
        <v>0.11738215470819617</v>
      </c>
      <c r="V82" s="236">
        <f>V52/V$32</f>
        <v>0.11584360906730583</v>
      </c>
      <c r="X82" s="236">
        <f>X52/X$32</f>
        <v>0.11471851732645287</v>
      </c>
      <c r="Z82" s="236">
        <f>Z52/Z$32</f>
        <v>0.11453086557877437</v>
      </c>
      <c r="AB82" s="236">
        <f>AB52/AB$32</f>
        <v>0.11582059264186949</v>
      </c>
      <c r="AD82" s="236" t="e">
        <f>AD52/AD$32</f>
        <v>#DIV/0!</v>
      </c>
      <c r="AF82" s="236" t="e">
        <f>AF52/AF$32</f>
        <v>#DIV/0!</v>
      </c>
      <c r="AH82" s="236" t="e">
        <f>AH52/AH$32</f>
        <v>#DIV/0!</v>
      </c>
      <c r="AJ82" s="236" t="e">
        <f>AJ52/AJ$32</f>
        <v>#DIV/0!</v>
      </c>
      <c r="AL82" s="236" t="e">
        <f>AL52/AL$32</f>
        <v>#DIV/0!</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0.18600714462929935</v>
      </c>
      <c r="D83" s="236">
        <f>D53/D$32</f>
        <v>0.18888438373442062</v>
      </c>
      <c r="F83" s="236">
        <f>F53/F$32</f>
        <v>0.191720183616165</v>
      </c>
      <c r="H83" s="236">
        <f>H53/H$32</f>
        <v>0.19449371077205363</v>
      </c>
      <c r="J83" s="236">
        <f>J53/J$32</f>
        <v>0.1971822203794337</v>
      </c>
      <c r="L83" s="236">
        <f>L53/L$32</f>
        <v>0.1997617852605362</v>
      </c>
      <c r="N83" s="236">
        <f>N53/N$32</f>
        <v>0.20220682195279072</v>
      </c>
      <c r="P83" s="236">
        <f>P53/P$32</f>
        <v>0.20449100646645341</v>
      </c>
      <c r="R83" s="236">
        <f>R53/R$32</f>
        <v>0.20658543457909848</v>
      </c>
      <c r="T83" s="236">
        <f>T53/T$32</f>
        <v>0.20845705996653449</v>
      </c>
      <c r="V83" s="236">
        <f>V53/V$32</f>
        <v>0.21004891718864088</v>
      </c>
      <c r="X83" s="236">
        <f>X53/X$32</f>
        <v>0.21121305565586496</v>
      </c>
      <c r="Z83" s="236">
        <f>Z53/Z$32</f>
        <v>0.21140721955103101</v>
      </c>
      <c r="AB83" s="236">
        <f>AB53/AB$32</f>
        <v>0.21007271008510844</v>
      </c>
      <c r="AD83" s="236" t="e">
        <f>AD53/AD$32</f>
        <v>#DIV/0!</v>
      </c>
      <c r="AF83" s="236" t="e">
        <f>AF53/AF$32</f>
        <v>#DIV/0!</v>
      </c>
      <c r="AH83" s="236" t="e">
        <f>AH53/AH$32</f>
        <v>#DIV/0!</v>
      </c>
      <c r="AJ83" s="236" t="e">
        <f>AJ53/AJ$32</f>
        <v>#DIV/0!</v>
      </c>
      <c r="AL83" s="236" t="e">
        <f>AL53/AL$32</f>
        <v>#DIV/0!</v>
      </c>
      <c r="AN83" s="236" t="e">
        <f>AN53/AN$32</f>
        <v>#DIV/0!</v>
      </c>
      <c r="AP83" s="236" t="e">
        <f>AP53/AP$32</f>
        <v>#DIV/0!</v>
      </c>
      <c r="AR83" s="236" t="e">
        <f>AR53/AR$32</f>
        <v>#DIV/0!</v>
      </c>
      <c r="AT83" s="236" t="e">
        <f>AT53/AT$32</f>
        <v>#DIV/0!</v>
      </c>
      <c r="AV83" s="236" t="e">
        <f>AV53/AV$32</f>
        <v>#DIV/0!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3"/>
  <dimension ref="A1:XFD83"/>
  <sheetViews>
    <sheetView showGridLines="0" workbookViewId="0">
      <pane ySplit="1" topLeftCell="A2" activePane="bottomLeft" state="frozen"/>
      <selection pane="bottomLef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c r="AH1" s="94"/>
      <c r="AJ1" s="94"/>
      <c r="AL1" s="94"/>
      <c r="AN1" s="94"/>
      <c r="AP1" s="94"/>
      <c r="AR1" s="94"/>
      <c r="AT1" s="94"/>
      <c r="AV1" s="94"/>
    </row>
    <row r="2" spans="1:49" x14ac:dyDescent="0.2">
      <c r="A2" s="229" t="s">
        <v>155</v>
      </c>
      <c r="B2" s="226">
        <v>5.7716594496607888E-3</v>
      </c>
      <c r="C2" s="227"/>
      <c r="D2" s="226">
        <v>8.1794352435459072E-2</v>
      </c>
      <c r="E2" s="227"/>
      <c r="F2" s="226">
        <v>0.16541988211005457</v>
      </c>
      <c r="G2" s="227"/>
      <c r="H2" s="226">
        <v>0.25794328294731655</v>
      </c>
      <c r="I2" s="227"/>
      <c r="J2" s="226">
        <v>0.36105007408697648</v>
      </c>
      <c r="K2" s="227"/>
      <c r="L2" s="226">
        <v>0.47700433313304169</v>
      </c>
      <c r="M2" s="227"/>
      <c r="N2" s="226">
        <v>0.6089916312794863</v>
      </c>
      <c r="O2" s="227"/>
      <c r="P2" s="226">
        <v>0.76165285880019251</v>
      </c>
      <c r="Q2" s="227"/>
      <c r="R2" s="226">
        <v>0.9420580238134536</v>
      </c>
      <c r="S2" s="227"/>
      <c r="T2" s="226">
        <v>1.1615081480322198</v>
      </c>
      <c r="U2" s="227"/>
      <c r="V2" s="226">
        <v>1.4390118916035679</v>
      </c>
      <c r="W2" s="227"/>
      <c r="X2" s="226">
        <v>1.8083942228220073</v>
      </c>
      <c r="Y2" s="227"/>
      <c r="Z2" s="226">
        <v>2.3331035206912678</v>
      </c>
      <c r="AA2" s="227"/>
      <c r="AB2" s="226">
        <v>3.1350620573253463</v>
      </c>
      <c r="AC2" s="227"/>
      <c r="AD2" s="226">
        <v>4.4328656246681621</v>
      </c>
      <c r="AE2" s="227"/>
      <c r="AF2" s="226"/>
      <c r="AG2" s="227"/>
      <c r="AH2" s="226"/>
      <c r="AI2" s="227"/>
      <c r="AJ2" s="226"/>
      <c r="AK2" s="227"/>
      <c r="AL2" s="226"/>
      <c r="AM2" s="227"/>
      <c r="AN2" s="226"/>
      <c r="AO2" s="227"/>
      <c r="AP2" s="226"/>
      <c r="AQ2" s="227"/>
      <c r="AR2" s="226"/>
      <c r="AS2" s="227"/>
      <c r="AT2" s="226"/>
      <c r="AU2" s="227"/>
      <c r="AV2" s="226"/>
      <c r="AW2" s="227"/>
    </row>
    <row r="3" spans="1:49" x14ac:dyDescent="0.2">
      <c r="A3" t="s">
        <v>12</v>
      </c>
      <c r="B3" s="84">
        <v>1000</v>
      </c>
      <c r="C3" s="85">
        <v>1000</v>
      </c>
      <c r="D3" s="84">
        <v>997.64989760247772</v>
      </c>
      <c r="E3" s="85">
        <v>1033.060286729906</v>
      </c>
      <c r="F3" s="84">
        <v>995.20243894472821</v>
      </c>
      <c r="G3" s="85">
        <v>1070.6327745369172</v>
      </c>
      <c r="H3" s="84">
        <v>992.63241514232175</v>
      </c>
      <c r="I3" s="85">
        <v>1113.6017862409599</v>
      </c>
      <c r="J3" s="84">
        <v>989.9133297709908</v>
      </c>
      <c r="K3" s="85">
        <v>1163.0924640576829</v>
      </c>
      <c r="L3" s="84">
        <v>987.01865032678074</v>
      </c>
      <c r="M3" s="85">
        <v>1220.567840994348</v>
      </c>
      <c r="N3" s="84">
        <v>983.9237022362679</v>
      </c>
      <c r="O3" s="85">
        <v>1288.0052561576128</v>
      </c>
      <c r="P3" s="84">
        <v>980.60997859901659</v>
      </c>
      <c r="Q3" s="85">
        <v>1368.1596640147243</v>
      </c>
      <c r="R3" s="84">
        <v>977.07210447015541</v>
      </c>
      <c r="S3" s="85">
        <v>1465.046961461733</v>
      </c>
      <c r="T3" s="84">
        <v>973.33073940988254</v>
      </c>
      <c r="U3" s="85">
        <v>1584.8157831068506</v>
      </c>
      <c r="V3" s="84">
        <v>969.45642983934624</v>
      </c>
      <c r="W3" s="85">
        <v>1737.4029162990473</v>
      </c>
      <c r="X3" s="84">
        <v>965.61422539809769</v>
      </c>
      <c r="Y3" s="85">
        <v>1939.8284992032582</v>
      </c>
      <c r="Z3" s="84">
        <v>962.14161894643473</v>
      </c>
      <c r="AA3" s="85">
        <v>2222.8406383419069</v>
      </c>
      <c r="AB3" s="84">
        <v>959.64236253331876</v>
      </c>
      <c r="AC3" s="85">
        <v>2643.2564190350467</v>
      </c>
      <c r="AD3" s="84">
        <v>958.90297202630006</v>
      </c>
      <c r="AE3" s="85">
        <v>3298.8567761786358</v>
      </c>
      <c r="AF3" s="84"/>
      <c r="AG3" s="85"/>
      <c r="AH3" s="84"/>
      <c r="AI3" s="85"/>
      <c r="AJ3" s="84"/>
      <c r="AK3" s="85"/>
      <c r="AL3" s="84"/>
      <c r="AM3" s="85"/>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c r="AG4" s="102"/>
      <c r="AH4" s="101"/>
      <c r="AI4" s="102"/>
      <c r="AJ4" s="101"/>
      <c r="AK4" s="102"/>
      <c r="AL4" s="101"/>
      <c r="AM4" s="102"/>
      <c r="AN4" s="101"/>
      <c r="AO4" s="102"/>
      <c r="AP4" s="101"/>
      <c r="AQ4" s="102"/>
      <c r="AR4" s="101"/>
      <c r="AS4" s="102"/>
      <c r="AT4" s="101"/>
      <c r="AU4" s="102"/>
      <c r="AV4" s="101"/>
      <c r="AW4" s="102"/>
    </row>
    <row r="5" spans="1:49" x14ac:dyDescent="0.2">
      <c r="A5" t="s">
        <v>128</v>
      </c>
      <c r="B5" s="41">
        <v>1000</v>
      </c>
      <c r="C5" s="42">
        <v>1000</v>
      </c>
      <c r="D5" s="41">
        <v>997.53283430525403</v>
      </c>
      <c r="E5" s="42">
        <v>1028.568068860812</v>
      </c>
      <c r="F5" s="41">
        <v>994.96085787164441</v>
      </c>
      <c r="G5" s="42">
        <v>1059.929384070801</v>
      </c>
      <c r="H5" s="41">
        <v>992.25719606881569</v>
      </c>
      <c r="I5" s="42">
        <v>1094.3754454739026</v>
      </c>
      <c r="J5" s="41">
        <v>989.39347663828892</v>
      </c>
      <c r="K5" s="42">
        <v>1132.2048834415791</v>
      </c>
      <c r="L5" s="41">
        <v>986.34112437335739</v>
      </c>
      <c r="M5" s="42">
        <v>1173.7121630770828</v>
      </c>
      <c r="N5" s="41">
        <v>983.0733324642149</v>
      </c>
      <c r="O5" s="42">
        <v>1219.1796692955313</v>
      </c>
      <c r="P5" s="41">
        <v>979.56961280132123</v>
      </c>
      <c r="Q5" s="42">
        <v>1268.8467604747759</v>
      </c>
      <c r="R5" s="41">
        <v>975.82319474371411</v>
      </c>
      <c r="S5" s="42">
        <v>1322.8785114610009</v>
      </c>
      <c r="T5" s="41">
        <v>971.85481225177455</v>
      </c>
      <c r="U5" s="42">
        <v>1381.2802803155548</v>
      </c>
      <c r="V5" s="41">
        <v>967.73830795740832</v>
      </c>
      <c r="W5" s="42">
        <v>1443.7418277059812</v>
      </c>
      <c r="X5" s="41">
        <v>963.64867376893699</v>
      </c>
      <c r="Y5" s="42">
        <v>1509.2955222477437</v>
      </c>
      <c r="Z5" s="41">
        <v>959.94615123195626</v>
      </c>
      <c r="AA5" s="42">
        <v>1575.6369497147605</v>
      </c>
      <c r="AB5" s="41">
        <v>957.27768449981056</v>
      </c>
      <c r="AC5" s="42">
        <v>1638.0140170708321</v>
      </c>
      <c r="AD5" s="41">
        <v>956.48762944368002</v>
      </c>
      <c r="AE5" s="42">
        <v>1688.8465078421023</v>
      </c>
      <c r="AF5" s="41"/>
      <c r="AG5" s="42"/>
      <c r="AH5" s="41"/>
      <c r="AI5" s="42"/>
      <c r="AJ5" s="41"/>
      <c r="AK5" s="42"/>
      <c r="AL5" s="41"/>
      <c r="AM5" s="42"/>
      <c r="AN5" s="41"/>
      <c r="AO5" s="42"/>
      <c r="AP5" s="41"/>
      <c r="AQ5" s="42"/>
      <c r="AR5" s="41"/>
      <c r="AS5" s="42"/>
      <c r="AT5" s="41"/>
      <c r="AU5" s="42"/>
      <c r="AV5" s="41"/>
      <c r="AW5" s="42"/>
    </row>
    <row r="6" spans="1:49" x14ac:dyDescent="0.2">
      <c r="A6" t="s">
        <v>77</v>
      </c>
      <c r="B6" s="41">
        <v>999.99999999999943</v>
      </c>
      <c r="C6" s="42">
        <v>999.99999999999909</v>
      </c>
      <c r="D6" s="41">
        <v>997.34462205211173</v>
      </c>
      <c r="E6" s="42">
        <v>1035.5970407685352</v>
      </c>
      <c r="F6" s="41">
        <v>994.57750391479033</v>
      </c>
      <c r="G6" s="42">
        <v>1075.8559312852676</v>
      </c>
      <c r="H6" s="41">
        <v>991.66988242019579</v>
      </c>
      <c r="I6" s="42">
        <v>1121.6777470871787</v>
      </c>
      <c r="J6" s="41">
        <v>988.59143983477156</v>
      </c>
      <c r="K6" s="42">
        <v>1174.2093629819346</v>
      </c>
      <c r="L6" s="41">
        <v>985.31170272935344</v>
      </c>
      <c r="M6" s="42">
        <v>1234.9431698364956</v>
      </c>
      <c r="N6" s="41">
        <v>981.80217260627535</v>
      </c>
      <c r="O6" s="42">
        <v>1305.8988567876527</v>
      </c>
      <c r="P6" s="41">
        <v>978.0412078982115</v>
      </c>
      <c r="Q6" s="42">
        <v>1389.8936251843995</v>
      </c>
      <c r="R6" s="41">
        <v>974.02195154550895</v>
      </c>
      <c r="S6" s="42">
        <v>1491.0386396366903</v>
      </c>
      <c r="T6" s="41">
        <v>969.76707282384041</v>
      </c>
      <c r="U6" s="42">
        <v>1615.6335467625347</v>
      </c>
      <c r="V6" s="41">
        <v>965.35610147455316</v>
      </c>
      <c r="W6" s="42">
        <v>1773.8639716992316</v>
      </c>
      <c r="X6" s="41">
        <v>960.97666540674152</v>
      </c>
      <c r="Y6" s="42">
        <v>1983.1791392837988</v>
      </c>
      <c r="Z6" s="41">
        <v>957.01412860698247</v>
      </c>
      <c r="AA6" s="42">
        <v>2275.1004008928358</v>
      </c>
      <c r="AB6" s="41">
        <v>954.15965267039928</v>
      </c>
      <c r="AC6" s="42">
        <v>2707.8634302561236</v>
      </c>
      <c r="AD6" s="41">
        <v>953.3147485516597</v>
      </c>
      <c r="AE6" s="42">
        <v>3381.6750062528386</v>
      </c>
      <c r="AF6" s="41"/>
      <c r="AG6" s="42"/>
      <c r="AH6" s="41"/>
      <c r="AI6" s="42"/>
      <c r="AJ6" s="41"/>
      <c r="AK6" s="42"/>
      <c r="AL6" s="41"/>
      <c r="AM6" s="42"/>
      <c r="AN6" s="41"/>
      <c r="AO6" s="42"/>
      <c r="AP6" s="41"/>
      <c r="AQ6" s="42"/>
      <c r="AR6" s="41"/>
      <c r="AS6" s="42"/>
      <c r="AT6" s="41"/>
      <c r="AU6" s="42"/>
      <c r="AV6" s="41"/>
      <c r="AW6" s="42"/>
    </row>
    <row r="7" spans="1:49" x14ac:dyDescent="0.2">
      <c r="A7" t="s">
        <v>13</v>
      </c>
      <c r="B7" s="33">
        <v>1015.9116825427475</v>
      </c>
      <c r="C7" s="34">
        <v>1015.9116825427475</v>
      </c>
      <c r="D7" s="33">
        <v>1013.4052600906863</v>
      </c>
      <c r="E7" s="34">
        <v>1013.4052600906863</v>
      </c>
      <c r="F7" s="33">
        <v>1010.7923591845577</v>
      </c>
      <c r="G7" s="34">
        <v>1010.7923591845577</v>
      </c>
      <c r="H7" s="33">
        <v>1008.0456775734194</v>
      </c>
      <c r="I7" s="34">
        <v>1008.0456775734194</v>
      </c>
      <c r="J7" s="33">
        <v>1005.1363915484226</v>
      </c>
      <c r="K7" s="34">
        <v>1005.1363915484226</v>
      </c>
      <c r="L7" s="33">
        <v>1002.0354712232428</v>
      </c>
      <c r="M7" s="34">
        <v>1002.0354712232428</v>
      </c>
      <c r="N7" s="33">
        <v>998.71568324662633</v>
      </c>
      <c r="O7" s="34">
        <v>998.71568324662633</v>
      </c>
      <c r="P7" s="33">
        <v>995.15621350873789</v>
      </c>
      <c r="Q7" s="34">
        <v>995.15621350873789</v>
      </c>
      <c r="R7" s="33">
        <v>991.35018363632571</v>
      </c>
      <c r="S7" s="34">
        <v>991.35018363632571</v>
      </c>
      <c r="T7" s="33">
        <v>987.31865750196619</v>
      </c>
      <c r="U7" s="34">
        <v>987.31865750196619</v>
      </c>
      <c r="V7" s="33">
        <v>983.13665269808212</v>
      </c>
      <c r="W7" s="34">
        <v>983.13665269808212</v>
      </c>
      <c r="X7" s="33">
        <v>978.98194554868792</v>
      </c>
      <c r="Y7" s="34">
        <v>978.98194554868792</v>
      </c>
      <c r="Z7" s="33">
        <v>975.22050964849143</v>
      </c>
      <c r="AA7" s="34">
        <v>975.22050964849143</v>
      </c>
      <c r="AB7" s="33">
        <v>972.50958312082787</v>
      </c>
      <c r="AC7" s="34">
        <v>972.50958312082787</v>
      </c>
      <c r="AD7" s="33">
        <v>971.7069569594529</v>
      </c>
      <c r="AE7" s="34">
        <v>971.7069569594529</v>
      </c>
      <c r="AF7" s="33"/>
      <c r="AG7" s="34"/>
      <c r="AH7" s="33"/>
      <c r="AI7" s="34"/>
      <c r="AJ7" s="33"/>
      <c r="AK7" s="34"/>
      <c r="AL7" s="33"/>
      <c r="AM7" s="34"/>
      <c r="AN7" s="33"/>
      <c r="AO7" s="34"/>
      <c r="AP7" s="33"/>
      <c r="AQ7" s="34"/>
      <c r="AR7" s="33"/>
      <c r="AS7" s="34"/>
      <c r="AT7" s="33"/>
      <c r="AU7" s="34"/>
      <c r="AV7" s="33"/>
      <c r="AW7" s="34"/>
    </row>
    <row r="8" spans="1:49" x14ac:dyDescent="0.2">
      <c r="B8" s="35">
        <v>1005.7716594496609</v>
      </c>
      <c r="C8" s="36">
        <v>1005.7716594496609</v>
      </c>
      <c r="D8" s="35">
        <v>1112.6991279890726</v>
      </c>
      <c r="E8" s="36">
        <v>1112.6991279890726</v>
      </c>
      <c r="F8" s="35">
        <v>1235.2627778287756</v>
      </c>
      <c r="G8" s="36">
        <v>1235.2627778287756</v>
      </c>
      <c r="H8" s="35">
        <v>1376.6622406563729</v>
      </c>
      <c r="I8" s="36">
        <v>1376.6622406563729</v>
      </c>
      <c r="J8" s="35">
        <v>1540.9875404897978</v>
      </c>
      <c r="K8" s="36">
        <v>1540.9875404897978</v>
      </c>
      <c r="L8" s="35">
        <v>1733.5779507158063</v>
      </c>
      <c r="M8" s="36">
        <v>1733.5779507158063</v>
      </c>
      <c r="N8" s="35">
        <v>1961.6498849226016</v>
      </c>
      <c r="O8" s="36">
        <v>1961.6498849226016</v>
      </c>
      <c r="P8" s="35">
        <v>2235.267522969752</v>
      </c>
      <c r="Q8" s="36">
        <v>2235.267522969752</v>
      </c>
      <c r="R8" s="35">
        <v>2569.1068277132349</v>
      </c>
      <c r="S8" s="36">
        <v>2569.1068277132349</v>
      </c>
      <c r="T8" s="35">
        <v>2985.6485806183005</v>
      </c>
      <c r="U8" s="36">
        <v>2985.6485806183005</v>
      </c>
      <c r="V8" s="35">
        <v>3521.3034861803571</v>
      </c>
      <c r="W8" s="36">
        <v>3521.3034861803571</v>
      </c>
      <c r="X8" s="35">
        <v>4238.6968252116876</v>
      </c>
      <c r="Y8" s="36">
        <v>4238.6968252116876</v>
      </c>
      <c r="Z8" s="35">
        <v>5251.7610644255183</v>
      </c>
      <c r="AA8" s="36">
        <v>5251.7610644255183</v>
      </c>
      <c r="AB8" s="35">
        <v>6773.2896113566694</v>
      </c>
      <c r="AC8" s="36">
        <v>6773.2896113566694</v>
      </c>
      <c r="AD8" s="35">
        <v>9175.276137796227</v>
      </c>
      <c r="AE8" s="36">
        <v>9175.276137796227</v>
      </c>
      <c r="AF8" s="35"/>
      <c r="AG8" s="36"/>
      <c r="AH8" s="35"/>
      <c r="AI8" s="36"/>
      <c r="AJ8" s="35"/>
      <c r="AK8" s="36"/>
      <c r="AL8" s="35"/>
      <c r="AM8" s="36"/>
      <c r="AN8" s="35"/>
      <c r="AO8" s="36"/>
      <c r="AP8" s="35"/>
      <c r="AQ8" s="36"/>
      <c r="AR8" s="35"/>
      <c r="AS8" s="36"/>
      <c r="AT8" s="35"/>
      <c r="AU8" s="36"/>
      <c r="AV8" s="35"/>
      <c r="AW8" s="36"/>
    </row>
    <row r="9" spans="1:49" x14ac:dyDescent="0.2">
      <c r="A9" t="s">
        <v>14</v>
      </c>
      <c r="B9" s="41">
        <v>1015.9116825427475</v>
      </c>
      <c r="C9" s="42">
        <v>1005.7716594496609</v>
      </c>
      <c r="D9" s="41">
        <v>1013.4052600906863</v>
      </c>
      <c r="E9" s="42">
        <v>1112.6991279890726</v>
      </c>
      <c r="F9" s="41">
        <v>1010.7923591845577</v>
      </c>
      <c r="G9" s="42">
        <v>1235.2627778287756</v>
      </c>
      <c r="H9" s="41">
        <v>1008.0456775734194</v>
      </c>
      <c r="I9" s="42">
        <v>1376.6622406563729</v>
      </c>
      <c r="J9" s="41">
        <v>1005.1363915484226</v>
      </c>
      <c r="K9" s="42">
        <v>1540.9875404897978</v>
      </c>
      <c r="L9" s="41">
        <v>1002.0354712232428</v>
      </c>
      <c r="M9" s="42">
        <v>1733.5779507158063</v>
      </c>
      <c r="N9" s="41">
        <v>998.71568324662633</v>
      </c>
      <c r="O9" s="42">
        <v>1961.6498849226016</v>
      </c>
      <c r="P9" s="41">
        <v>995.15621350873789</v>
      </c>
      <c r="Q9" s="42">
        <v>2235.267522969752</v>
      </c>
      <c r="R9" s="41">
        <v>991.35018363632571</v>
      </c>
      <c r="S9" s="42">
        <v>2569.1068277132349</v>
      </c>
      <c r="T9" s="41">
        <v>987.31865750196619</v>
      </c>
      <c r="U9" s="42">
        <v>2985.6485806183005</v>
      </c>
      <c r="V9" s="41">
        <v>983.13665269808212</v>
      </c>
      <c r="W9" s="42">
        <v>3521.3034861803571</v>
      </c>
      <c r="X9" s="41">
        <v>978.98194554868792</v>
      </c>
      <c r="Y9" s="42">
        <v>4238.6968252116876</v>
      </c>
      <c r="Z9" s="41">
        <v>975.22050964849143</v>
      </c>
      <c r="AA9" s="42">
        <v>5251.7610644255183</v>
      </c>
      <c r="AB9" s="41">
        <v>972.50958312082787</v>
      </c>
      <c r="AC9" s="42">
        <v>6773.2896113566694</v>
      </c>
      <c r="AD9" s="41">
        <v>971.7069569594529</v>
      </c>
      <c r="AE9" s="42">
        <v>9175.276137796227</v>
      </c>
      <c r="AF9" s="41"/>
      <c r="AG9" s="42"/>
      <c r="AH9" s="41"/>
      <c r="AI9" s="42"/>
      <c r="AJ9" s="41"/>
      <c r="AK9" s="42"/>
      <c r="AL9" s="41"/>
      <c r="AM9" s="42"/>
      <c r="AN9" s="41"/>
      <c r="AO9" s="42"/>
      <c r="AP9" s="41"/>
      <c r="AQ9" s="42"/>
      <c r="AR9" s="41"/>
      <c r="AS9" s="42"/>
      <c r="AT9" s="41"/>
      <c r="AU9" s="42"/>
      <c r="AV9" s="41"/>
      <c r="AW9" s="42"/>
    </row>
    <row r="10" spans="1:49" x14ac:dyDescent="0.2">
      <c r="A10" t="s">
        <v>15</v>
      </c>
      <c r="B10" s="41">
        <v>1015.9116825427475</v>
      </c>
      <c r="C10" s="42">
        <v>1005.7716594496609</v>
      </c>
      <c r="D10" s="41">
        <v>1013.4052600906863</v>
      </c>
      <c r="E10" s="42">
        <v>1112.6991279890726</v>
      </c>
      <c r="F10" s="41">
        <v>1010.7923591845577</v>
      </c>
      <c r="G10" s="42">
        <v>1235.2627778287756</v>
      </c>
      <c r="H10" s="41">
        <v>1008.0456775734194</v>
      </c>
      <c r="I10" s="42">
        <v>1376.6622406563729</v>
      </c>
      <c r="J10" s="41">
        <v>1005.1363915484226</v>
      </c>
      <c r="K10" s="42">
        <v>1540.9875404897978</v>
      </c>
      <c r="L10" s="41">
        <v>1002.0354712232428</v>
      </c>
      <c r="M10" s="42">
        <v>1733.5779507158063</v>
      </c>
      <c r="N10" s="41">
        <v>998.71568324662633</v>
      </c>
      <c r="O10" s="42">
        <v>1961.6498849226016</v>
      </c>
      <c r="P10" s="41">
        <v>995.15621350873789</v>
      </c>
      <c r="Q10" s="42">
        <v>2235.267522969752</v>
      </c>
      <c r="R10" s="41">
        <v>991.35018363632571</v>
      </c>
      <c r="S10" s="42">
        <v>2569.1068277132349</v>
      </c>
      <c r="T10" s="41">
        <v>987.31865750196619</v>
      </c>
      <c r="U10" s="42">
        <v>2985.6485806183005</v>
      </c>
      <c r="V10" s="41">
        <v>983.13665269808212</v>
      </c>
      <c r="W10" s="42">
        <v>3521.3034861803571</v>
      </c>
      <c r="X10" s="41">
        <v>978.98194554868792</v>
      </c>
      <c r="Y10" s="42">
        <v>4238.6968252116876</v>
      </c>
      <c r="Z10" s="41">
        <v>975.22050964849143</v>
      </c>
      <c r="AA10" s="42">
        <v>5251.7610644255183</v>
      </c>
      <c r="AB10" s="41">
        <v>972.50958312082787</v>
      </c>
      <c r="AC10" s="42">
        <v>6773.2896113566694</v>
      </c>
      <c r="AD10" s="41">
        <v>971.7069569594529</v>
      </c>
      <c r="AE10" s="42">
        <v>9175.276137796227</v>
      </c>
      <c r="AF10" s="41"/>
      <c r="AG10" s="42"/>
      <c r="AH10" s="41"/>
      <c r="AI10" s="42"/>
      <c r="AJ10" s="41"/>
      <c r="AK10" s="42"/>
      <c r="AL10" s="41"/>
      <c r="AM10" s="42"/>
      <c r="AN10" s="41"/>
      <c r="AO10" s="42"/>
      <c r="AP10" s="41"/>
      <c r="AQ10" s="42"/>
      <c r="AR10" s="41"/>
      <c r="AS10" s="42"/>
      <c r="AT10" s="41"/>
      <c r="AU10" s="42"/>
      <c r="AV10" s="41"/>
      <c r="AW10" s="42"/>
    </row>
    <row r="11" spans="1:49" x14ac:dyDescent="0.2">
      <c r="A11" t="s">
        <v>29</v>
      </c>
      <c r="B11" s="41">
        <v>1015.9116825427475</v>
      </c>
      <c r="C11" s="42">
        <v>1005.7716594496609</v>
      </c>
      <c r="D11" s="41">
        <v>1013.4052600906863</v>
      </c>
      <c r="E11" s="42">
        <v>1112.6991279890726</v>
      </c>
      <c r="F11" s="41">
        <v>1010.7923591845577</v>
      </c>
      <c r="G11" s="42">
        <v>1235.2627778287756</v>
      </c>
      <c r="H11" s="41">
        <v>1008.0456775734194</v>
      </c>
      <c r="I11" s="42">
        <v>1376.6622406563729</v>
      </c>
      <c r="J11" s="41">
        <v>1005.1363915484226</v>
      </c>
      <c r="K11" s="42">
        <v>1540.9875404897978</v>
      </c>
      <c r="L11" s="41">
        <v>1002.0354712232428</v>
      </c>
      <c r="M11" s="42">
        <v>1733.5779507158063</v>
      </c>
      <c r="N11" s="41">
        <v>998.71568324662633</v>
      </c>
      <c r="O11" s="42">
        <v>1961.6498849226016</v>
      </c>
      <c r="P11" s="41">
        <v>995.15621350873789</v>
      </c>
      <c r="Q11" s="42">
        <v>2235.267522969752</v>
      </c>
      <c r="R11" s="41">
        <v>991.35018363632571</v>
      </c>
      <c r="S11" s="42">
        <v>2569.1068277132349</v>
      </c>
      <c r="T11" s="41">
        <v>987.31865750196619</v>
      </c>
      <c r="U11" s="42">
        <v>2985.6485806183005</v>
      </c>
      <c r="V11" s="41">
        <v>983.13665269808212</v>
      </c>
      <c r="W11" s="42">
        <v>3521.3034861803571</v>
      </c>
      <c r="X11" s="41">
        <v>978.98194554868792</v>
      </c>
      <c r="Y11" s="42">
        <v>4238.6968252116876</v>
      </c>
      <c r="Z11" s="41">
        <v>975.22050964849143</v>
      </c>
      <c r="AA11" s="42">
        <v>5251.7610644255183</v>
      </c>
      <c r="AB11" s="41">
        <v>972.50958312082787</v>
      </c>
      <c r="AC11" s="42">
        <v>6773.2896113566694</v>
      </c>
      <c r="AD11" s="41">
        <v>971.7069569594529</v>
      </c>
      <c r="AE11" s="42">
        <v>9175.276137796227</v>
      </c>
      <c r="AF11" s="41"/>
      <c r="AG11" s="42"/>
      <c r="AH11" s="41"/>
      <c r="AI11" s="42"/>
      <c r="AJ11" s="41"/>
      <c r="AK11" s="42"/>
      <c r="AL11" s="41"/>
      <c r="AM11" s="42"/>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c r="AG12" s="42"/>
      <c r="AH12" s="41"/>
      <c r="AI12" s="42"/>
      <c r="AJ12" s="41"/>
      <c r="AK12" s="42"/>
      <c r="AL12" s="41"/>
      <c r="AM12" s="42"/>
      <c r="AN12" s="41"/>
      <c r="AO12" s="42"/>
      <c r="AP12" s="41"/>
      <c r="AQ12" s="42"/>
      <c r="AR12" s="41"/>
      <c r="AS12" s="42"/>
      <c r="AT12" s="41"/>
      <c r="AU12" s="42"/>
      <c r="AV12" s="41"/>
      <c r="AW12" s="42"/>
    </row>
    <row r="13" spans="1:49" x14ac:dyDescent="0.2">
      <c r="A13" t="s">
        <v>17</v>
      </c>
      <c r="B13" s="97">
        <v>1000</v>
      </c>
      <c r="C13" s="98">
        <v>1000</v>
      </c>
      <c r="D13" s="97">
        <v>1003.2822157587635</v>
      </c>
      <c r="E13" s="98">
        <v>1003.2822157587635</v>
      </c>
      <c r="F13" s="97">
        <v>1006.9267993535237</v>
      </c>
      <c r="G13" s="98">
        <v>1006.9267993535237</v>
      </c>
      <c r="H13" s="97">
        <v>1011.0066604238075</v>
      </c>
      <c r="I13" s="98">
        <v>1011.0066604238075</v>
      </c>
      <c r="J13" s="97">
        <v>1015.6187839885308</v>
      </c>
      <c r="K13" s="98">
        <v>1015.6187839885308</v>
      </c>
      <c r="L13" s="97">
        <v>1020.8957654301688</v>
      </c>
      <c r="M13" s="98">
        <v>1020.8957654301688</v>
      </c>
      <c r="N13" s="97">
        <v>1027.026393240237</v>
      </c>
      <c r="O13" s="98">
        <v>1027.026393240237</v>
      </c>
      <c r="P13" s="97">
        <v>1034.287344674734</v>
      </c>
      <c r="Q13" s="98">
        <v>1034.287344674734</v>
      </c>
      <c r="R13" s="97">
        <v>1043.1002701370035</v>
      </c>
      <c r="S13" s="98">
        <v>1043.1002701370035</v>
      </c>
      <c r="T13" s="97">
        <v>1054.1333922969775</v>
      </c>
      <c r="U13" s="98">
        <v>1054.1333922969775</v>
      </c>
      <c r="V13" s="97">
        <v>1068.4913326746982</v>
      </c>
      <c r="W13" s="98">
        <v>1068.4913326746982</v>
      </c>
      <c r="X13" s="97">
        <v>1088.0814934500263</v>
      </c>
      <c r="Y13" s="98">
        <v>1088.0814934500263</v>
      </c>
      <c r="Z13" s="97">
        <v>1116.3138732824384</v>
      </c>
      <c r="AA13" s="98">
        <v>1116.3138732824384</v>
      </c>
      <c r="AB13" s="97">
        <v>1159.2499276909466</v>
      </c>
      <c r="AC13" s="98">
        <v>1159.2499276909466</v>
      </c>
      <c r="AD13" s="97">
        <v>1226.3977495753331</v>
      </c>
      <c r="AE13" s="98">
        <v>1226.3977495753331</v>
      </c>
      <c r="AF13" s="97"/>
      <c r="AG13" s="98"/>
      <c r="AH13" s="97"/>
      <c r="AI13" s="98"/>
      <c r="AJ13" s="97"/>
      <c r="AK13" s="98"/>
      <c r="AL13" s="97"/>
      <c r="AM13" s="98"/>
      <c r="AN13" s="97"/>
      <c r="AO13" s="98"/>
      <c r="AP13" s="97"/>
      <c r="AQ13" s="98"/>
      <c r="AR13" s="97"/>
      <c r="AS13" s="98"/>
      <c r="AT13" s="97"/>
      <c r="AU13" s="98"/>
      <c r="AV13" s="97"/>
      <c r="AW13" s="98"/>
    </row>
    <row r="14" spans="1:49" x14ac:dyDescent="0.2">
      <c r="A14" t="s">
        <v>36</v>
      </c>
      <c r="B14" s="41">
        <v>1457.0034251455234</v>
      </c>
      <c r="C14" s="42">
        <v>1457.0034251455236</v>
      </c>
      <c r="D14" s="41">
        <v>1461.7856247481084</v>
      </c>
      <c r="E14" s="42">
        <v>1461.7856247481086</v>
      </c>
      <c r="F14" s="41">
        <v>1467.0957955289032</v>
      </c>
      <c r="G14" s="42">
        <v>1467.0957955289034</v>
      </c>
      <c r="H14" s="41">
        <v>1473.0401670824244</v>
      </c>
      <c r="I14" s="42">
        <v>1473.0401670824247</v>
      </c>
      <c r="J14" s="41">
        <v>1479.7600469134206</v>
      </c>
      <c r="K14" s="42">
        <v>1479.7600469134209</v>
      </c>
      <c r="L14" s="41">
        <v>1487.4486269483166</v>
      </c>
      <c r="M14" s="42">
        <v>1487.4486269483168</v>
      </c>
      <c r="N14" s="41">
        <v>1496.3809726658783</v>
      </c>
      <c r="O14" s="42">
        <v>1496.3809726658785</v>
      </c>
      <c r="P14" s="41">
        <v>1506.9602037757559</v>
      </c>
      <c r="Q14" s="42">
        <v>1506.9602037757561</v>
      </c>
      <c r="R14" s="41">
        <v>1519.8006663598346</v>
      </c>
      <c r="S14" s="42">
        <v>1519.8006663598348</v>
      </c>
      <c r="T14" s="41">
        <v>1535.8759631369658</v>
      </c>
      <c r="U14" s="42">
        <v>1535.875963136966</v>
      </c>
      <c r="V14" s="41">
        <v>1556.7955314453402</v>
      </c>
      <c r="W14" s="42">
        <v>1556.7955314453404</v>
      </c>
      <c r="X14" s="41">
        <v>1585.3384627941446</v>
      </c>
      <c r="Y14" s="42">
        <v>1585.3384627941448</v>
      </c>
      <c r="Z14" s="41">
        <v>1626.4731369099784</v>
      </c>
      <c r="AA14" s="42">
        <v>1626.4731369099786</v>
      </c>
      <c r="AB14" s="41">
        <v>1689.0311152454094</v>
      </c>
      <c r="AC14" s="42">
        <v>1689.0311152454096</v>
      </c>
      <c r="AD14" s="41">
        <v>1786.865721722022</v>
      </c>
      <c r="AE14" s="42">
        <v>1786.8657217220223</v>
      </c>
      <c r="AF14" s="41"/>
      <c r="AG14" s="42"/>
      <c r="AH14" s="41"/>
      <c r="AI14" s="42"/>
      <c r="AJ14" s="41"/>
      <c r="AK14" s="42"/>
      <c r="AL14" s="41"/>
      <c r="AM14" s="42"/>
      <c r="AN14" s="41"/>
      <c r="AO14" s="42"/>
      <c r="AP14" s="41"/>
      <c r="AQ14" s="42"/>
      <c r="AR14" s="41"/>
      <c r="AS14" s="42"/>
      <c r="AT14" s="41"/>
      <c r="AU14" s="42"/>
      <c r="AV14" s="41"/>
      <c r="AW14" s="42"/>
    </row>
    <row r="15" spans="1:49" x14ac:dyDescent="0.2">
      <c r="A15" t="s">
        <v>18</v>
      </c>
      <c r="B15" s="154">
        <v>1000</v>
      </c>
      <c r="C15" s="155">
        <v>1000</v>
      </c>
      <c r="D15" s="154">
        <v>981.20700659307295</v>
      </c>
      <c r="E15" s="155">
        <v>981.20700659307295</v>
      </c>
      <c r="F15" s="154">
        <v>960.21392620964366</v>
      </c>
      <c r="G15" s="155">
        <v>960.21392620964366</v>
      </c>
      <c r="H15" s="154">
        <v>936.74471768903004</v>
      </c>
      <c r="I15" s="155">
        <v>936.74471768903004</v>
      </c>
      <c r="J15" s="154">
        <v>910.45027249553425</v>
      </c>
      <c r="K15" s="155">
        <v>910.45027249553425</v>
      </c>
      <c r="L15" s="154">
        <v>880.8841784431321</v>
      </c>
      <c r="M15" s="155">
        <v>880.8841784431321</v>
      </c>
      <c r="N15" s="154">
        <v>847.45376385344161</v>
      </c>
      <c r="O15" s="155">
        <v>847.45376385344161</v>
      </c>
      <c r="P15" s="154">
        <v>809.35074203400097</v>
      </c>
      <c r="Q15" s="155">
        <v>809.35074203400097</v>
      </c>
      <c r="R15" s="154">
        <v>765.41906796306068</v>
      </c>
      <c r="S15" s="155">
        <v>765.41906796306068</v>
      </c>
      <c r="T15" s="154">
        <v>713.9229742479065</v>
      </c>
      <c r="U15" s="155">
        <v>713.9229742479065</v>
      </c>
      <c r="V15" s="154">
        <v>652.12134285618902</v>
      </c>
      <c r="W15" s="155">
        <v>652.12134285618902</v>
      </c>
      <c r="X15" s="154">
        <v>575.47363272690188</v>
      </c>
      <c r="Y15" s="155">
        <v>575.47363272690188</v>
      </c>
      <c r="Z15" s="154">
        <v>476.22617500733514</v>
      </c>
      <c r="AA15" s="155">
        <v>476.22617500733514</v>
      </c>
      <c r="AB15" s="154">
        <v>341.52684866818845</v>
      </c>
      <c r="AC15" s="155">
        <v>341.52684866818845</v>
      </c>
      <c r="AD15" s="154">
        <v>154.29344019329031</v>
      </c>
      <c r="AE15" s="155">
        <v>154.29344019329031</v>
      </c>
      <c r="AF15" s="154"/>
      <c r="AG15" s="155"/>
      <c r="AH15" s="154"/>
      <c r="AI15" s="155"/>
      <c r="AJ15" s="154"/>
      <c r="AK15" s="155"/>
      <c r="AL15" s="154"/>
      <c r="AM15" s="155"/>
      <c r="AN15" s="154"/>
      <c r="AO15" s="155"/>
      <c r="AP15" s="154"/>
      <c r="AQ15" s="155"/>
      <c r="AR15" s="154"/>
      <c r="AS15" s="155"/>
      <c r="AT15" s="154"/>
      <c r="AU15" s="155"/>
      <c r="AV15" s="154"/>
      <c r="AW15" s="155"/>
    </row>
    <row r="16" spans="1:49" s="29" customFormat="1" x14ac:dyDescent="0.2">
      <c r="A16" t="s">
        <v>61</v>
      </c>
      <c r="B16" s="41">
        <v>1000</v>
      </c>
      <c r="C16" s="42">
        <v>1000</v>
      </c>
      <c r="D16" s="41">
        <v>993.09323079220701</v>
      </c>
      <c r="E16" s="42">
        <v>987.57895287863676</v>
      </c>
      <c r="F16" s="41">
        <v>985.56919926820717</v>
      </c>
      <c r="G16" s="42">
        <v>973.81836201175611</v>
      </c>
      <c r="H16" s="41">
        <v>977.31276568406668</v>
      </c>
      <c r="I16" s="42">
        <v>958.52302446949534</v>
      </c>
      <c r="J16" s="41">
        <v>968.18546763045981</v>
      </c>
      <c r="K16" s="42">
        <v>941.45150257623538</v>
      </c>
      <c r="L16" s="41">
        <v>958.0183146061737</v>
      </c>
      <c r="M16" s="42">
        <v>922.30146689613366</v>
      </c>
      <c r="N16" s="41">
        <v>946.5977320335644</v>
      </c>
      <c r="O16" s="42">
        <v>900.67891759446843</v>
      </c>
      <c r="P16" s="41">
        <v>933.64701448141375</v>
      </c>
      <c r="Q16" s="42">
        <v>876.0563139100351</v>
      </c>
      <c r="R16" s="41">
        <v>918.79103673921952</v>
      </c>
      <c r="S16" s="42">
        <v>847.69285116244805</v>
      </c>
      <c r="T16" s="41">
        <v>901.49512463123142</v>
      </c>
      <c r="U16" s="42">
        <v>814.49387041637794</v>
      </c>
      <c r="V16" s="41">
        <v>880.95240249117978</v>
      </c>
      <c r="W16" s="42">
        <v>774.75364719151003</v>
      </c>
      <c r="X16" s="41">
        <v>855.86948663889098</v>
      </c>
      <c r="Y16" s="42">
        <v>725.67256071501288</v>
      </c>
      <c r="Z16" s="41">
        <v>824.06202465561023</v>
      </c>
      <c r="AA16" s="42">
        <v>662.48535582164322</v>
      </c>
      <c r="AB16" s="41">
        <v>781.79210244811566</v>
      </c>
      <c r="AC16" s="42">
        <v>577.2324070476925</v>
      </c>
      <c r="AD16" s="41">
        <v>723.29182001734569</v>
      </c>
      <c r="AE16" s="42">
        <v>458.90781175931079</v>
      </c>
      <c r="AF16" s="41"/>
      <c r="AG16" s="42"/>
      <c r="AH16" s="41"/>
      <c r="AI16" s="42"/>
      <c r="AJ16" s="41"/>
      <c r="AK16" s="42"/>
      <c r="AL16" s="41"/>
      <c r="AM16" s="42"/>
      <c r="AN16" s="41"/>
      <c r="AO16" s="42"/>
      <c r="AP16" s="41"/>
      <c r="AQ16" s="42"/>
      <c r="AR16" s="41"/>
      <c r="AS16" s="42"/>
      <c r="AT16" s="41"/>
      <c r="AU16" s="42"/>
      <c r="AV16" s="41"/>
      <c r="AW16" s="42"/>
    </row>
    <row r="17" spans="1:49" x14ac:dyDescent="0.2">
      <c r="A17" t="s">
        <v>62</v>
      </c>
      <c r="B17" s="35">
        <v>999.99999999999977</v>
      </c>
      <c r="C17" s="36">
        <v>999.99999999999977</v>
      </c>
      <c r="D17" s="35">
        <v>997.75876818482936</v>
      </c>
      <c r="E17" s="36">
        <v>1050.5530475462997</v>
      </c>
      <c r="F17" s="35">
        <v>995.42713126471881</v>
      </c>
      <c r="G17" s="36">
        <v>1108.2561509869593</v>
      </c>
      <c r="H17" s="35">
        <v>992.98143497950366</v>
      </c>
      <c r="I17" s="36">
        <v>1174.569710338536</v>
      </c>
      <c r="J17" s="35">
        <v>990.39691055284925</v>
      </c>
      <c r="K17" s="36">
        <v>1251.3599223500323</v>
      </c>
      <c r="L17" s="35">
        <v>987.64899988585034</v>
      </c>
      <c r="M17" s="36">
        <v>1341.0644281991381</v>
      </c>
      <c r="N17" s="35">
        <v>984.7149603604106</v>
      </c>
      <c r="O17" s="36">
        <v>1446.9814760598356</v>
      </c>
      <c r="P17" s="35">
        <v>981.57814399407664</v>
      </c>
      <c r="Q17" s="36">
        <v>1573.7168518962903</v>
      </c>
      <c r="R17" s="35">
        <v>978.23451673544196</v>
      </c>
      <c r="S17" s="36">
        <v>1727.9954911941284</v>
      </c>
      <c r="T17" s="35">
        <v>974.70467058102986</v>
      </c>
      <c r="U17" s="36">
        <v>1920.1278281307591</v>
      </c>
      <c r="V17" s="35">
        <v>971.05609888480092</v>
      </c>
      <c r="W17" s="36">
        <v>2166.8202089037682</v>
      </c>
      <c r="X17" s="35">
        <v>967.44458455664596</v>
      </c>
      <c r="Y17" s="36">
        <v>2496.8053642458221</v>
      </c>
      <c r="Z17" s="35">
        <v>964.18642973484953</v>
      </c>
      <c r="AA17" s="36">
        <v>2962.3357281648537</v>
      </c>
      <c r="AB17" s="35">
        <v>961.84504225902481</v>
      </c>
      <c r="AC17" s="36">
        <v>3660.9746439013411</v>
      </c>
      <c r="AD17" s="35">
        <v>961.15292433257252</v>
      </c>
      <c r="AE17" s="36">
        <v>4763.4518325424515</v>
      </c>
      <c r="AF17" s="35"/>
      <c r="AG17" s="36"/>
      <c r="AH17" s="35"/>
      <c r="AI17" s="36"/>
      <c r="AJ17" s="35"/>
      <c r="AK17" s="36"/>
      <c r="AL17" s="35"/>
      <c r="AM17" s="36"/>
      <c r="AN17" s="35"/>
      <c r="AO17" s="36"/>
      <c r="AP17" s="35"/>
      <c r="AQ17" s="36"/>
      <c r="AR17" s="35"/>
      <c r="AS17" s="36"/>
      <c r="AT17" s="35"/>
      <c r="AU17" s="36"/>
      <c r="AV17" s="35"/>
      <c r="AW17" s="36"/>
    </row>
    <row r="18" spans="1:49" x14ac:dyDescent="0.2">
      <c r="A18" t="s">
        <v>19</v>
      </c>
      <c r="B18" s="33">
        <v>27857.010133999996</v>
      </c>
      <c r="C18" s="34">
        <v>1236.7674480000003</v>
      </c>
      <c r="D18" s="33">
        <v>28091.140692246288</v>
      </c>
      <c r="E18" s="34">
        <v>1137.7600142497283</v>
      </c>
      <c r="F18" s="33">
        <v>28305.914987324551</v>
      </c>
      <c r="G18" s="34">
        <v>1038.471843728086</v>
      </c>
      <c r="H18" s="33">
        <v>28499.984485967441</v>
      </c>
      <c r="I18" s="34">
        <v>938.9093525838033</v>
      </c>
      <c r="J18" s="33">
        <v>28671.256788722472</v>
      </c>
      <c r="K18" s="34">
        <v>839.13990980392634</v>
      </c>
      <c r="L18" s="33">
        <v>28816.738518156439</v>
      </c>
      <c r="M18" s="34">
        <v>739.32933656940975</v>
      </c>
      <c r="N18" s="33">
        <v>28932.242507302293</v>
      </c>
      <c r="O18" s="34">
        <v>639.78638877862602</v>
      </c>
      <c r="P18" s="33">
        <v>29012.014934091534</v>
      </c>
      <c r="Q18" s="34">
        <v>541.03254462653138</v>
      </c>
      <c r="R18" s="33">
        <v>29048.041373656342</v>
      </c>
      <c r="S18" s="34">
        <v>443.90460267485719</v>
      </c>
      <c r="T18" s="33">
        <v>29028.945157562215</v>
      </c>
      <c r="U18" s="34">
        <v>349.686597896335</v>
      </c>
      <c r="V18" s="33">
        <v>28937.917105250541</v>
      </c>
      <c r="W18" s="34">
        <v>260.31277315859705</v>
      </c>
      <c r="X18" s="33">
        <v>28748.693948804092</v>
      </c>
      <c r="Y18" s="34">
        <v>178.62930083812495</v>
      </c>
      <c r="Z18" s="33">
        <v>28416.974814418882</v>
      </c>
      <c r="AA18" s="34">
        <v>108.63906008389678</v>
      </c>
      <c r="AB18" s="33">
        <v>27861.52036474436</v>
      </c>
      <c r="AC18" s="34">
        <v>55.226140363324298</v>
      </c>
      <c r="AD18" s="33">
        <v>26927.583171659629</v>
      </c>
      <c r="AE18" s="34">
        <v>21.963704018236822</v>
      </c>
      <c r="AF18" s="33"/>
      <c r="AG18" s="34"/>
      <c r="AH18" s="33"/>
      <c r="AI18" s="34"/>
      <c r="AJ18" s="33"/>
      <c r="AK18" s="34"/>
      <c r="AL18" s="33"/>
      <c r="AM18" s="34"/>
      <c r="AN18" s="33"/>
      <c r="AO18" s="34"/>
      <c r="AP18" s="33"/>
      <c r="AQ18" s="34"/>
      <c r="AR18" s="33"/>
      <c r="AS18" s="34"/>
      <c r="AT18" s="33"/>
      <c r="AU18" s="34"/>
      <c r="AV18" s="33"/>
      <c r="AW18" s="34"/>
    </row>
    <row r="19" spans="1:49" x14ac:dyDescent="0.2">
      <c r="A19" t="s">
        <v>3</v>
      </c>
      <c r="B19" s="41">
        <v>1886.3937399999918</v>
      </c>
      <c r="C19" s="42">
        <v>262.78711299999759</v>
      </c>
      <c r="D19" s="41">
        <v>1891.0015920386209</v>
      </c>
      <c r="E19" s="42">
        <v>279.42162450583805</v>
      </c>
      <c r="F19" s="41">
        <v>1893.6804964084777</v>
      </c>
      <c r="G19" s="42">
        <v>298.5069523209209</v>
      </c>
      <c r="H19" s="41">
        <v>1894.235868666799</v>
      </c>
      <c r="I19" s="42">
        <v>320.39710124196773</v>
      </c>
      <c r="J19" s="41">
        <v>1892.4203576352602</v>
      </c>
      <c r="K19" s="42">
        <v>345.4577824311483</v>
      </c>
      <c r="L19" s="41">
        <v>1887.9327325597187</v>
      </c>
      <c r="M19" s="42">
        <v>374.0349841231465</v>
      </c>
      <c r="N19" s="41">
        <v>1880.4121599855698</v>
      </c>
      <c r="O19" s="42">
        <v>406.41794366994532</v>
      </c>
      <c r="P19" s="41">
        <v>1869.440872853311</v>
      </c>
      <c r="Q19" s="42">
        <v>442.74685231689051</v>
      </c>
      <c r="R19" s="41">
        <v>1854.5410429706358</v>
      </c>
      <c r="S19" s="42">
        <v>482.87661796187768</v>
      </c>
      <c r="T19" s="41">
        <v>1835.1769982408509</v>
      </c>
      <c r="U19" s="42">
        <v>526.13207981252469</v>
      </c>
      <c r="V19" s="41">
        <v>1810.7508811427467</v>
      </c>
      <c r="W19" s="42">
        <v>570.86342039797375</v>
      </c>
      <c r="X19" s="41">
        <v>1780.573978961381</v>
      </c>
      <c r="Y19" s="42">
        <v>613.64069578397346</v>
      </c>
      <c r="Z19" s="41">
        <v>1743.6972477369791</v>
      </c>
      <c r="AA19" s="42">
        <v>647.8709974762977</v>
      </c>
      <c r="AB19" s="41">
        <v>1698.1186277603092</v>
      </c>
      <c r="AC19" s="42">
        <v>662.12881228319361</v>
      </c>
      <c r="AD19" s="41">
        <v>1637.9141651353605</v>
      </c>
      <c r="AE19" s="42">
        <v>641.33670271464109</v>
      </c>
      <c r="AF19" s="41"/>
      <c r="AG19" s="42"/>
      <c r="AH19" s="41"/>
      <c r="AI19" s="42"/>
      <c r="AJ19" s="41"/>
      <c r="AK19" s="42"/>
      <c r="AL19" s="41"/>
      <c r="AM19" s="42"/>
      <c r="AN19" s="41"/>
      <c r="AO19" s="42"/>
      <c r="AP19" s="41"/>
      <c r="AQ19" s="42"/>
      <c r="AR19" s="41"/>
      <c r="AS19" s="42"/>
      <c r="AT19" s="41"/>
      <c r="AU19" s="42"/>
      <c r="AV19" s="41"/>
      <c r="AW19" s="42"/>
    </row>
    <row r="20" spans="1:49" x14ac:dyDescent="0.2">
      <c r="A20" t="s">
        <v>127</v>
      </c>
      <c r="B20" s="82">
        <v>26548.356269999993</v>
      </c>
      <c r="C20" s="83">
        <v>1408.5418709999938</v>
      </c>
      <c r="D20" s="82">
        <v>26745.011295519693</v>
      </c>
      <c r="E20" s="83">
        <v>1338.1147774499941</v>
      </c>
      <c r="F20" s="82">
        <v>26921.546566835721</v>
      </c>
      <c r="G20" s="83">
        <v>1267.6876838999945</v>
      </c>
      <c r="H20" s="82">
        <v>27076.394443238038</v>
      </c>
      <c r="I20" s="83">
        <v>1197.2605903499943</v>
      </c>
      <c r="J20" s="82">
        <v>27207.260582315499</v>
      </c>
      <c r="K20" s="83">
        <v>1126.8334263729016</v>
      </c>
      <c r="L20" s="82">
        <v>27310.995137973634</v>
      </c>
      <c r="M20" s="83">
        <v>1056.4064032499953</v>
      </c>
      <c r="N20" s="82">
        <v>27383.345811103802</v>
      </c>
      <c r="O20" s="83">
        <v>985.97930969999561</v>
      </c>
      <c r="P20" s="82">
        <v>27418.671938624433</v>
      </c>
      <c r="Q20" s="83">
        <v>915.55221614999596</v>
      </c>
      <c r="R20" s="82">
        <v>27409.396037170409</v>
      </c>
      <c r="S20" s="83">
        <v>845.1251225999963</v>
      </c>
      <c r="T20" s="82">
        <v>27345.159999828</v>
      </c>
      <c r="U20" s="83">
        <v>774.69802904999665</v>
      </c>
      <c r="V20" s="82">
        <v>27211.227286219259</v>
      </c>
      <c r="W20" s="83">
        <v>704.27093549999688</v>
      </c>
      <c r="X20" s="82">
        <v>26985.337671914294</v>
      </c>
      <c r="Y20" s="83">
        <v>633.84384194999734</v>
      </c>
      <c r="Z20" s="82">
        <v>26630.702880886842</v>
      </c>
      <c r="AA20" s="83">
        <v>563.41674839999757</v>
      </c>
      <c r="AB20" s="82">
        <v>26079.391057477631</v>
      </c>
      <c r="AC20" s="83">
        <v>492.98965484999775</v>
      </c>
      <c r="AD20" s="82">
        <v>25196.354748574569</v>
      </c>
      <c r="AE20" s="83">
        <v>422.56256129999804</v>
      </c>
      <c r="AF20" s="82"/>
      <c r="AG20" s="83"/>
      <c r="AH20" s="82"/>
      <c r="AI20" s="83"/>
      <c r="AJ20" s="82"/>
      <c r="AK20" s="83"/>
      <c r="AL20" s="82"/>
      <c r="AM20" s="83"/>
      <c r="AN20" s="82"/>
      <c r="AO20" s="83"/>
      <c r="AP20" s="82"/>
      <c r="AQ20" s="83"/>
      <c r="AR20" s="82"/>
      <c r="AS20" s="83"/>
      <c r="AT20" s="82"/>
      <c r="AU20" s="83"/>
      <c r="AV20" s="82"/>
      <c r="AW20" s="83"/>
    </row>
    <row r="21" spans="1:49" x14ac:dyDescent="0.2">
      <c r="A21" t="s">
        <v>76</v>
      </c>
      <c r="B21" s="82">
        <v>24661.962529999968</v>
      </c>
      <c r="C21" s="83">
        <v>1145.7547579999991</v>
      </c>
      <c r="D21" s="82">
        <v>24854.022155623483</v>
      </c>
      <c r="E21" s="83">
        <v>1059.2157158127684</v>
      </c>
      <c r="F21" s="82">
        <v>25027.918360341937</v>
      </c>
      <c r="G21" s="83">
        <v>971.461473922913</v>
      </c>
      <c r="H21" s="82">
        <v>25182.282737534304</v>
      </c>
      <c r="I21" s="83">
        <v>882.47775721107485</v>
      </c>
      <c r="J21" s="82">
        <v>25315.074343103566</v>
      </c>
      <c r="K21" s="83">
        <v>792.31965636394648</v>
      </c>
      <c r="L21" s="82">
        <v>25423.452142862385</v>
      </c>
      <c r="M21" s="83">
        <v>701.15161722351775</v>
      </c>
      <c r="N21" s="82">
        <v>25503.533765662942</v>
      </c>
      <c r="O21" s="83">
        <v>609.28756277651416</v>
      </c>
      <c r="P21" s="82">
        <v>25550.106461286658</v>
      </c>
      <c r="Q21" s="83">
        <v>517.26945741928034</v>
      </c>
      <c r="R21" s="82">
        <v>25556.080462273316</v>
      </c>
      <c r="S21" s="83">
        <v>425.9593830977401</v>
      </c>
      <c r="T21" s="82">
        <v>25511.639890841456</v>
      </c>
      <c r="U21" s="83">
        <v>336.67505491900289</v>
      </c>
      <c r="V21" s="82">
        <v>25402.642747605143</v>
      </c>
      <c r="W21" s="83">
        <v>251.38454210261227</v>
      </c>
      <c r="X21" s="82">
        <v>25207.491245271656</v>
      </c>
      <c r="Y21" s="83">
        <v>172.96330582943597</v>
      </c>
      <c r="Z21" s="82">
        <v>24890.273586510353</v>
      </c>
      <c r="AA21" s="83">
        <v>105.43234755359504</v>
      </c>
      <c r="AB21" s="82">
        <v>24384.913354654422</v>
      </c>
      <c r="AC21" s="83">
        <v>53.693666818538389</v>
      </c>
      <c r="AD21" s="82">
        <v>23562.089533468406</v>
      </c>
      <c r="AE21" s="83">
        <v>21.38189682722367</v>
      </c>
      <c r="AF21" s="82"/>
      <c r="AG21" s="83"/>
      <c r="AH21" s="82"/>
      <c r="AI21" s="83"/>
      <c r="AJ21" s="82"/>
      <c r="AK21" s="83"/>
      <c r="AL21" s="82"/>
      <c r="AM21" s="83"/>
      <c r="AN21" s="82"/>
      <c r="AO21" s="83"/>
      <c r="AP21" s="82"/>
      <c r="AQ21" s="83"/>
      <c r="AR21" s="82"/>
      <c r="AS21" s="83"/>
      <c r="AT21" s="82"/>
      <c r="AU21" s="83"/>
      <c r="AV21" s="82"/>
      <c r="AW21" s="83"/>
    </row>
    <row r="22" spans="1:49" x14ac:dyDescent="0.2">
      <c r="A22" t="s">
        <v>28</v>
      </c>
      <c r="B22" s="41">
        <v>6533.6044688320644</v>
      </c>
      <c r="C22" s="42">
        <v>379.90788307663382</v>
      </c>
      <c r="D22" s="41">
        <v>6582.5309364672739</v>
      </c>
      <c r="E22" s="42">
        <v>359.3338830039666</v>
      </c>
      <c r="F22" s="41">
        <v>6625.4351315429212</v>
      </c>
      <c r="G22" s="42">
        <v>338.8074512483193</v>
      </c>
      <c r="H22" s="41">
        <v>6661.8027944728119</v>
      </c>
      <c r="I22" s="42">
        <v>318.34493963722844</v>
      </c>
      <c r="J22" s="41">
        <v>6690.9151583435696</v>
      </c>
      <c r="K22" s="42">
        <v>297.9567765964627</v>
      </c>
      <c r="L22" s="41">
        <v>6711.8088691364928</v>
      </c>
      <c r="M22" s="42">
        <v>277.64558638490399</v>
      </c>
      <c r="N22" s="41">
        <v>6723.2124191712137</v>
      </c>
      <c r="O22" s="42">
        <v>257.39803311678759</v>
      </c>
      <c r="P22" s="41">
        <v>6723.461711013194</v>
      </c>
      <c r="Q22" s="42">
        <v>237.18300531123262</v>
      </c>
      <c r="R22" s="41">
        <v>6710.3517748747036</v>
      </c>
      <c r="S22" s="42">
        <v>216.94250841760413</v>
      </c>
      <c r="T22" s="41">
        <v>6680.9176858605952</v>
      </c>
      <c r="U22" s="42">
        <v>196.58458694846428</v>
      </c>
      <c r="V22" s="41">
        <v>6631.0263083177588</v>
      </c>
      <c r="W22" s="42">
        <v>175.97625754917641</v>
      </c>
      <c r="X22" s="41">
        <v>6554.6107761628691</v>
      </c>
      <c r="Y22" s="42">
        <v>154.94433107424217</v>
      </c>
      <c r="Z22" s="41">
        <v>6442.027965855269</v>
      </c>
      <c r="AA22" s="42">
        <v>133.30832403047884</v>
      </c>
      <c r="AB22" s="41">
        <v>6276.3009149622067</v>
      </c>
      <c r="AC22" s="42">
        <v>111.01948541972756</v>
      </c>
      <c r="AD22" s="41">
        <v>6025.1997612547575</v>
      </c>
      <c r="AE22" s="42">
        <v>88.519362313557622</v>
      </c>
      <c r="AF22" s="41"/>
      <c r="AG22" s="42"/>
      <c r="AH22" s="41"/>
      <c r="AI22" s="42"/>
      <c r="AJ22" s="41"/>
      <c r="AK22" s="42"/>
      <c r="AL22" s="41"/>
      <c r="AM22" s="42"/>
      <c r="AN22" s="41"/>
      <c r="AO22" s="42"/>
      <c r="AP22" s="41"/>
      <c r="AQ22" s="42"/>
      <c r="AR22" s="41"/>
      <c r="AS22" s="42"/>
      <c r="AT22" s="41"/>
      <c r="AU22" s="42"/>
      <c r="AV22" s="41"/>
      <c r="AW22" s="42"/>
    </row>
    <row r="23" spans="1:49" x14ac:dyDescent="0.2">
      <c r="A23" t="s">
        <v>7</v>
      </c>
      <c r="B23" s="116">
        <v>3278.5018080150408</v>
      </c>
      <c r="C23" s="8">
        <v>0</v>
      </c>
      <c r="D23" s="116">
        <v>3310.4587370456061</v>
      </c>
      <c r="E23" s="8">
        <v>0</v>
      </c>
      <c r="F23" s="116">
        <v>3340.0710393857889</v>
      </c>
      <c r="G23" s="8">
        <v>0</v>
      </c>
      <c r="H23" s="116">
        <v>3367.1520527139146</v>
      </c>
      <c r="I23" s="8">
        <v>0</v>
      </c>
      <c r="J23" s="116">
        <v>3391.42503396245</v>
      </c>
      <c r="K23" s="8">
        <v>0</v>
      </c>
      <c r="L23" s="116">
        <v>3412.5087329653734</v>
      </c>
      <c r="M23" s="8">
        <v>0</v>
      </c>
      <c r="N23" s="116">
        <v>3429.8912799324512</v>
      </c>
      <c r="O23" s="8">
        <v>0</v>
      </c>
      <c r="P23" s="116">
        <v>3442.9027490861163</v>
      </c>
      <c r="Q23" s="8">
        <v>0</v>
      </c>
      <c r="R23" s="116">
        <v>3450.6621814396776</v>
      </c>
      <c r="S23" s="8">
        <v>0</v>
      </c>
      <c r="T23" s="116">
        <v>3452.0028829213188</v>
      </c>
      <c r="U23" s="8">
        <v>0</v>
      </c>
      <c r="V23" s="116">
        <v>3445.3281092121506</v>
      </c>
      <c r="W23" s="8">
        <v>0</v>
      </c>
      <c r="X23" s="116">
        <v>3428.3190659088004</v>
      </c>
      <c r="Y23" s="8">
        <v>0</v>
      </c>
      <c r="Z23" s="116">
        <v>3397.2159138183301</v>
      </c>
      <c r="AA23" s="8">
        <v>0</v>
      </c>
      <c r="AB23" s="116">
        <v>3344.8354936310952</v>
      </c>
      <c r="AC23" s="8">
        <v>0</v>
      </c>
      <c r="AD23" s="116">
        <v>3255.4030162940116</v>
      </c>
      <c r="AE23" s="8">
        <v>0</v>
      </c>
      <c r="AF23" s="116"/>
      <c r="AG23" s="8"/>
      <c r="AH23" s="116"/>
      <c r="AI23" s="8"/>
      <c r="AJ23" s="116"/>
      <c r="AK23" s="8"/>
      <c r="AL23" s="116"/>
      <c r="AM23" s="8"/>
      <c r="AN23" s="116"/>
      <c r="AO23" s="8"/>
      <c r="AP23" s="116"/>
      <c r="AQ23" s="8"/>
      <c r="AR23" s="116"/>
      <c r="AS23" s="8"/>
      <c r="AT23" s="116"/>
      <c r="AU23" s="8"/>
      <c r="AV23" s="116"/>
      <c r="AW23" s="8"/>
    </row>
    <row r="24" spans="1:49" x14ac:dyDescent="0.2">
      <c r="A24" t="s">
        <v>8</v>
      </c>
      <c r="B24" s="97">
        <v>3196.3846373657216</v>
      </c>
      <c r="C24" s="8">
        <v>0</v>
      </c>
      <c r="D24" s="97">
        <v>3227.5411502375359</v>
      </c>
      <c r="E24" s="8">
        <v>0</v>
      </c>
      <c r="F24" s="97">
        <v>3256.4117337540001</v>
      </c>
      <c r="G24" s="8">
        <v>0</v>
      </c>
      <c r="H24" s="97">
        <v>3282.8144440513579</v>
      </c>
      <c r="I24" s="8">
        <v>0</v>
      </c>
      <c r="J24" s="97">
        <v>3306.4794720487548</v>
      </c>
      <c r="K24" s="8">
        <v>0</v>
      </c>
      <c r="L24" s="97">
        <v>3327.0350662757019</v>
      </c>
      <c r="M24" s="8">
        <v>0</v>
      </c>
      <c r="N24" s="97">
        <v>3343.9822331007986</v>
      </c>
      <c r="O24" s="8">
        <v>0</v>
      </c>
      <c r="P24" s="97">
        <v>3356.6677945937945</v>
      </c>
      <c r="Q24" s="8">
        <v>0</v>
      </c>
      <c r="R24" s="97">
        <v>3364.232877455469</v>
      </c>
      <c r="S24" s="8">
        <v>0</v>
      </c>
      <c r="T24" s="97">
        <v>3365.539999882873</v>
      </c>
      <c r="U24" s="8">
        <v>0</v>
      </c>
      <c r="V24" s="97">
        <v>3359.0324135159376</v>
      </c>
      <c r="W24" s="8">
        <v>0</v>
      </c>
      <c r="X24" s="97">
        <v>3342.4493964696512</v>
      </c>
      <c r="Y24" s="8">
        <v>0</v>
      </c>
      <c r="Z24" s="97">
        <v>3312.1252920738107</v>
      </c>
      <c r="AA24" s="8">
        <v>0</v>
      </c>
      <c r="AB24" s="97">
        <v>3261.0568524690702</v>
      </c>
      <c r="AC24" s="8">
        <v>0</v>
      </c>
      <c r="AD24" s="97">
        <v>3173.864404807794</v>
      </c>
      <c r="AE24" s="8">
        <v>0</v>
      </c>
      <c r="AF24" s="97"/>
      <c r="AG24" s="8"/>
      <c r="AH24" s="97"/>
      <c r="AI24" s="8"/>
      <c r="AJ24" s="97"/>
      <c r="AK24" s="8"/>
      <c r="AL24" s="97"/>
      <c r="AM24" s="8"/>
      <c r="AN24" s="97"/>
      <c r="AO24" s="8"/>
      <c r="AP24" s="97"/>
      <c r="AQ24" s="8"/>
      <c r="AR24" s="97"/>
      <c r="AS24" s="8"/>
      <c r="AT24" s="97"/>
      <c r="AU24" s="8"/>
      <c r="AV24" s="97"/>
      <c r="AW24" s="8"/>
    </row>
    <row r="25" spans="1:49" x14ac:dyDescent="0.2">
      <c r="A25" t="s">
        <v>0</v>
      </c>
      <c r="B25" s="41">
        <v>3195.0476040000012</v>
      </c>
      <c r="C25" s="42">
        <v>91.012690000004397</v>
      </c>
      <c r="D25" s="41">
        <v>3237.0982523593661</v>
      </c>
      <c r="E25" s="42">
        <v>78.453665297658546</v>
      </c>
      <c r="F25" s="41">
        <v>3277.9110605353621</v>
      </c>
      <c r="G25" s="42">
        <v>66.669555963684616</v>
      </c>
      <c r="H25" s="41">
        <v>3317.4970706135423</v>
      </c>
      <c r="I25" s="42">
        <v>55.715718064015284</v>
      </c>
      <c r="J25" s="41">
        <v>3355.7934097076541</v>
      </c>
      <c r="K25" s="42">
        <v>45.647794355618601</v>
      </c>
      <c r="L25" s="41">
        <v>3392.6334425733385</v>
      </c>
      <c r="M25" s="42">
        <v>36.519766973704975</v>
      </c>
      <c r="N25" s="41">
        <v>3427.6943011350427</v>
      </c>
      <c r="O25" s="42">
        <v>28.380080987669182</v>
      </c>
      <c r="P25" s="41">
        <v>3460.4143700718987</v>
      </c>
      <c r="Q25" s="42">
        <v>21.269815843877726</v>
      </c>
      <c r="R25" s="41">
        <v>3489.8475597323081</v>
      </c>
      <c r="S25" s="42">
        <v>15.219502654190187</v>
      </c>
      <c r="T25" s="41">
        <v>3514.4163221208291</v>
      </c>
      <c r="U25" s="42">
        <v>10.24555094635185</v>
      </c>
      <c r="V25" s="41">
        <v>3531.4536330679289</v>
      </c>
      <c r="W25" s="42">
        <v>6.3461201637335689</v>
      </c>
      <c r="X25" s="41">
        <v>3536.3369614411404</v>
      </c>
      <c r="Y25" s="42">
        <v>3.4933325620307012</v>
      </c>
      <c r="Z25" s="41">
        <v>3520.8106653007708</v>
      </c>
      <c r="AA25" s="42">
        <v>1.6180176255468919</v>
      </c>
      <c r="AB25" s="41">
        <v>3469.9947692951637</v>
      </c>
      <c r="AC25" s="42">
        <v>0.58167447426829577</v>
      </c>
      <c r="AD25" s="41">
        <v>3358.8520740268996</v>
      </c>
      <c r="AE25" s="42">
        <v>0.14852260783247728</v>
      </c>
      <c r="AF25" s="41"/>
      <c r="AG25" s="42"/>
      <c r="AH25" s="41"/>
      <c r="AI25" s="42"/>
      <c r="AJ25" s="41"/>
      <c r="AK25" s="42"/>
      <c r="AL25" s="41"/>
      <c r="AM25" s="42"/>
      <c r="AN25" s="41"/>
      <c r="AO25" s="42"/>
      <c r="AP25" s="41"/>
      <c r="AQ25" s="42"/>
      <c r="AR25" s="41"/>
      <c r="AS25" s="42"/>
      <c r="AT25" s="41"/>
      <c r="AU25" s="42"/>
      <c r="AV25" s="41"/>
      <c r="AW25" s="42"/>
    </row>
    <row r="26" spans="1:49" x14ac:dyDescent="0.2">
      <c r="A26" t="s">
        <v>27</v>
      </c>
      <c r="B26" s="33">
        <v>5036.2953101960647</v>
      </c>
      <c r="C26" s="34">
        <v>74.905331803938267</v>
      </c>
      <c r="D26" s="33">
        <v>5111.5889874523809</v>
      </c>
      <c r="E26" s="34">
        <v>69.408530377201728</v>
      </c>
      <c r="F26" s="33">
        <v>5182.7690560128358</v>
      </c>
      <c r="G26" s="34">
        <v>63.80958031656467</v>
      </c>
      <c r="H26" s="33">
        <v>5249.3829347648707</v>
      </c>
      <c r="I26" s="34">
        <v>58.109586412649264</v>
      </c>
      <c r="J26" s="33">
        <v>5310.7881853542322</v>
      </c>
      <c r="K26" s="34">
        <v>52.313018885087075</v>
      </c>
      <c r="L26" s="33">
        <v>5366.1242963854811</v>
      </c>
      <c r="M26" s="34">
        <v>46.430170555999865</v>
      </c>
      <c r="N26" s="33">
        <v>5414.2642491292745</v>
      </c>
      <c r="O26" s="34">
        <v>40.480339757076202</v>
      </c>
      <c r="P26" s="33">
        <v>5453.7695072924535</v>
      </c>
      <c r="Q26" s="34">
        <v>34.496710107491594</v>
      </c>
      <c r="R26" s="33">
        <v>5482.8077269782871</v>
      </c>
      <c r="S26" s="34">
        <v>28.533161097319493</v>
      </c>
      <c r="T26" s="33">
        <v>5499.047055730437</v>
      </c>
      <c r="U26" s="34">
        <v>22.673414138046429</v>
      </c>
      <c r="V26" s="33">
        <v>5499.4439292607995</v>
      </c>
      <c r="W26" s="34">
        <v>17.044443077847959</v>
      </c>
      <c r="X26" s="33">
        <v>5479.7916892560306</v>
      </c>
      <c r="Y26" s="34">
        <v>11.833980222481827</v>
      </c>
      <c r="Z26" s="33">
        <v>5433.4920234417295</v>
      </c>
      <c r="AA26" s="34">
        <v>7.3077449881314616</v>
      </c>
      <c r="AB26" s="33">
        <v>5347.8866981730262</v>
      </c>
      <c r="AC26" s="34">
        <v>3.7960700407517569</v>
      </c>
      <c r="AD26" s="33">
        <v>5194.51483690026</v>
      </c>
      <c r="AE26" s="34">
        <v>1.5599947667639598</v>
      </c>
      <c r="AF26" s="33"/>
      <c r="AG26" s="34"/>
      <c r="AH26" s="33"/>
      <c r="AI26" s="34"/>
      <c r="AJ26" s="33"/>
      <c r="AK26" s="34"/>
      <c r="AL26" s="33"/>
      <c r="AM26" s="34"/>
      <c r="AN26" s="33"/>
      <c r="AO26" s="34"/>
      <c r="AP26" s="33"/>
      <c r="AQ26" s="34"/>
      <c r="AR26" s="33"/>
      <c r="AS26" s="34"/>
      <c r="AT26" s="33"/>
      <c r="AU26" s="34"/>
      <c r="AV26" s="33"/>
      <c r="AW26" s="34"/>
    </row>
    <row r="27" spans="1:49" x14ac:dyDescent="0.2">
      <c r="A27" t="s">
        <v>2</v>
      </c>
      <c r="B27" s="35">
        <v>6425.1981590000069</v>
      </c>
      <c r="C27" s="36">
        <v>273.22915400000028</v>
      </c>
      <c r="D27" s="35">
        <v>6447.1341177079603</v>
      </c>
      <c r="E27" s="36">
        <v>251.29295503324448</v>
      </c>
      <c r="F27" s="35">
        <v>6468.9818306373199</v>
      </c>
      <c r="G27" s="36">
        <v>229.44544811962695</v>
      </c>
      <c r="H27" s="35">
        <v>6490.7652535259913</v>
      </c>
      <c r="I27" s="36">
        <v>207.66203047413586</v>
      </c>
      <c r="J27" s="35">
        <v>6512.4968730963374</v>
      </c>
      <c r="K27" s="36">
        <v>185.93030974469548</v>
      </c>
      <c r="L27" s="35">
        <v>6534.170300149739</v>
      </c>
      <c r="M27" s="36">
        <v>164.25700569781975</v>
      </c>
      <c r="N27" s="35">
        <v>6555.7508242262193</v>
      </c>
      <c r="O27" s="36">
        <v>142.67648825026663</v>
      </c>
      <c r="P27" s="35">
        <v>6577.1625711219649</v>
      </c>
      <c r="Q27" s="36">
        <v>121.26475530352276</v>
      </c>
      <c r="R27" s="35">
        <v>6598.2656652686601</v>
      </c>
      <c r="S27" s="36">
        <v>100.16164402775313</v>
      </c>
      <c r="T27" s="35">
        <v>6618.8273630853673</v>
      </c>
      <c r="U27" s="36">
        <v>79.599939018656883</v>
      </c>
      <c r="V27" s="35">
        <v>6638.4745047523766</v>
      </c>
      <c r="W27" s="36">
        <v>59.952806647560202</v>
      </c>
      <c r="X27" s="35">
        <v>6656.6280693780773</v>
      </c>
      <c r="Y27" s="36">
        <v>41.79924079177394</v>
      </c>
      <c r="Z27" s="35">
        <v>6672.4298952406043</v>
      </c>
      <c r="AA27" s="36">
        <v>25.997417344213677</v>
      </c>
      <c r="AB27" s="35">
        <v>6684.7644669903966</v>
      </c>
      <c r="AC27" s="36">
        <v>13.662845201966519</v>
      </c>
      <c r="AD27" s="35">
        <v>6692.7002540003596</v>
      </c>
      <c r="AE27" s="36">
        <v>5.7270595358158634</v>
      </c>
      <c r="AF27" s="35"/>
      <c r="AG27" s="36"/>
      <c r="AH27" s="35"/>
      <c r="AI27" s="36"/>
      <c r="AJ27" s="35"/>
      <c r="AK27" s="36"/>
      <c r="AL27" s="35"/>
      <c r="AM27" s="36"/>
      <c r="AN27" s="35"/>
      <c r="AO27" s="36"/>
      <c r="AP27" s="35"/>
      <c r="AQ27" s="36"/>
      <c r="AR27" s="35"/>
      <c r="AS27" s="36"/>
      <c r="AT27" s="35"/>
      <c r="AU27" s="36"/>
      <c r="AV27" s="35"/>
      <c r="AW27" s="36"/>
    </row>
    <row r="28" spans="1:49" x14ac:dyDescent="0.2">
      <c r="A28" t="s">
        <v>35</v>
      </c>
      <c r="B28" s="41">
        <v>13763.097676000023</v>
      </c>
      <c r="C28" s="42">
        <v>382.36647899999997</v>
      </c>
      <c r="D28" s="41">
        <v>13893.983350662667</v>
      </c>
      <c r="E28" s="42">
        <v>352.40809730552951</v>
      </c>
      <c r="F28" s="41">
        <v>14017.509081783646</v>
      </c>
      <c r="G28" s="42">
        <v>322.37168971885552</v>
      </c>
      <c r="H28" s="41">
        <v>14133.389564059251</v>
      </c>
      <c r="I28" s="42">
        <v>292.24551104538614</v>
      </c>
      <c r="J28" s="41">
        <v>14241.070049213122</v>
      </c>
      <c r="K28" s="42">
        <v>262.03260151356352</v>
      </c>
      <c r="L28" s="41">
        <v>14339.685651049131</v>
      </c>
      <c r="M28" s="42">
        <v>231.76139080456377</v>
      </c>
      <c r="N28" s="41">
        <v>14427.984818481873</v>
      </c>
      <c r="O28" s="42">
        <v>201.49882541170157</v>
      </c>
      <c r="P28" s="41">
        <v>14504.244856152602</v>
      </c>
      <c r="Q28" s="42">
        <v>171.37126783893788</v>
      </c>
      <c r="R28" s="41">
        <v>14566.111971490091</v>
      </c>
      <c r="S28" s="42">
        <v>141.59650507571234</v>
      </c>
      <c r="T28" s="41">
        <v>14610.38079776142</v>
      </c>
      <c r="U28" s="42">
        <v>112.52604583139725</v>
      </c>
      <c r="V28" s="41">
        <v>14632.573358276413</v>
      </c>
      <c r="W28" s="42">
        <v>84.712370749175463</v>
      </c>
      <c r="X28" s="41">
        <v>14626.106700925431</v>
      </c>
      <c r="Y28" s="42">
        <v>59.000743699990473</v>
      </c>
      <c r="Z28" s="41">
        <v>14580.230900126509</v>
      </c>
      <c r="AA28" s="42">
        <v>36.629495343668161</v>
      </c>
      <c r="AB28" s="41">
        <v>14474.146704132578</v>
      </c>
      <c r="AC28" s="42">
        <v>19.191420129371696</v>
      </c>
      <c r="AD28" s="41">
        <v>14260.551494865214</v>
      </c>
      <c r="AE28" s="42">
        <v>7.9997511459946251</v>
      </c>
      <c r="AF28" s="41"/>
      <c r="AG28" s="42"/>
      <c r="AH28" s="41"/>
      <c r="AI28" s="42"/>
      <c r="AJ28" s="41"/>
      <c r="AK28" s="42"/>
      <c r="AL28" s="41"/>
      <c r="AM28" s="42"/>
      <c r="AN28" s="41"/>
      <c r="AO28" s="42"/>
      <c r="AP28" s="41"/>
      <c r="AQ28" s="42"/>
      <c r="AR28" s="41"/>
      <c r="AS28" s="42"/>
      <c r="AT28" s="41"/>
      <c r="AU28" s="42"/>
      <c r="AV28" s="41"/>
      <c r="AW28" s="42"/>
    </row>
    <row r="29" spans="1:49" x14ac:dyDescent="0.2">
      <c r="A29" t="s">
        <v>53</v>
      </c>
      <c r="B29" s="35">
        <v>14362.768558000025</v>
      </c>
      <c r="C29" s="36">
        <v>817.26650999999993</v>
      </c>
      <c r="D29" s="35">
        <v>14482.377427930609</v>
      </c>
      <c r="E29" s="36">
        <v>747.43597883610937</v>
      </c>
      <c r="F29" s="35">
        <v>14591.912898699376</v>
      </c>
      <c r="G29" s="36">
        <v>677.98566672242328</v>
      </c>
      <c r="H29" s="35">
        <v>14690.663487632801</v>
      </c>
      <c r="I29" s="36">
        <v>608.97183776583336</v>
      </c>
      <c r="J29" s="35">
        <v>14777.532174043812</v>
      </c>
      <c r="K29" s="36">
        <v>540.4943810316214</v>
      </c>
      <c r="L29" s="35">
        <v>14850.95551143722</v>
      </c>
      <c r="M29" s="36">
        <v>472.71881283796478</v>
      </c>
      <c r="N29" s="35">
        <v>14908.754996533651</v>
      </c>
      <c r="O29" s="36">
        <v>405.9006884658582</v>
      </c>
      <c r="P29" s="35">
        <v>14947.947067358151</v>
      </c>
      <c r="Q29" s="36">
        <v>340.42588813227684</v>
      </c>
      <c r="R29" s="35">
        <v>14964.391306607626</v>
      </c>
      <c r="S29" s="36">
        <v>276.86841495273558</v>
      </c>
      <c r="T29" s="35">
        <v>14952.234148582005</v>
      </c>
      <c r="U29" s="36">
        <v>216.06362524740337</v>
      </c>
      <c r="V29" s="35">
        <v>14902.863077450851</v>
      </c>
      <c r="W29" s="36">
        <v>159.22025710187253</v>
      </c>
      <c r="X29" s="35">
        <v>14802.874901783674</v>
      </c>
      <c r="Y29" s="36">
        <v>108.05898363550413</v>
      </c>
      <c r="Z29" s="35">
        <v>14629.722672970731</v>
      </c>
      <c r="AA29" s="36">
        <v>64.924345004743557</v>
      </c>
      <c r="AB29" s="35">
        <v>14342.058262564753</v>
      </c>
      <c r="AC29" s="36">
        <v>32.561938506885667</v>
      </c>
      <c r="AD29" s="35">
        <v>13860.808293958336</v>
      </c>
      <c r="AE29" s="36">
        <v>12.762502118915901</v>
      </c>
      <c r="AF29" s="35"/>
      <c r="AG29" s="36"/>
      <c r="AH29" s="35"/>
      <c r="AI29" s="36"/>
      <c r="AJ29" s="35"/>
      <c r="AK29" s="36"/>
      <c r="AL29" s="35"/>
      <c r="AM29" s="36"/>
      <c r="AN29" s="35"/>
      <c r="AO29" s="36"/>
      <c r="AP29" s="35"/>
      <c r="AQ29" s="36"/>
      <c r="AR29" s="35"/>
      <c r="AS29" s="36"/>
      <c r="AT29" s="35"/>
      <c r="AU29" s="36"/>
      <c r="AV29" s="35"/>
      <c r="AW29" s="36"/>
    </row>
    <row r="30" spans="1:49" x14ac:dyDescent="0.2">
      <c r="A30" t="s">
        <v>48</v>
      </c>
      <c r="B30" s="119">
        <v>2924829.9599999995</v>
      </c>
      <c r="D30" s="119">
        <v>3070827.9517579679</v>
      </c>
      <c r="F30" s="119">
        <v>3220679.1139639174</v>
      </c>
      <c r="H30" s="119">
        <v>3375078.0092203049</v>
      </c>
      <c r="J30" s="119">
        <v>3534850.2403371008</v>
      </c>
      <c r="L30" s="119">
        <v>3701045.5708195381</v>
      </c>
      <c r="N30" s="119">
        <v>3875146.5646233102</v>
      </c>
      <c r="P30" s="119">
        <v>4059372.4568158062</v>
      </c>
      <c r="R30" s="119">
        <v>4257268.9231019458</v>
      </c>
      <c r="T30" s="119">
        <v>4474776.3967410121</v>
      </c>
      <c r="V30" s="119">
        <v>4722165.1503601316</v>
      </c>
      <c r="X30" s="119">
        <v>5017578.7195808804</v>
      </c>
      <c r="Z30" s="119">
        <v>5392842.2539790953</v>
      </c>
      <c r="AB30" s="119">
        <v>5898721.9477953166</v>
      </c>
      <c r="AD30" s="119">
        <v>6588053.8223972879</v>
      </c>
      <c r="AF30" s="119"/>
      <c r="AH30" s="119"/>
      <c r="AJ30" s="119"/>
      <c r="AL30" s="119"/>
      <c r="AN30" s="119"/>
      <c r="AP30" s="119"/>
      <c r="AR30" s="119"/>
      <c r="AT30" s="119"/>
      <c r="AV30" s="119"/>
    </row>
    <row r="31" spans="1:49" x14ac:dyDescent="0.2">
      <c r="A31" t="s">
        <v>47</v>
      </c>
      <c r="B31" s="80">
        <v>1</v>
      </c>
      <c r="D31" s="80">
        <v>1.003965246739682</v>
      </c>
      <c r="F31" s="80">
        <v>1.0067093330720938</v>
      </c>
      <c r="H31" s="80">
        <v>1.0081254038970342</v>
      </c>
      <c r="J31" s="80">
        <v>1.0080708235488443</v>
      </c>
      <c r="L31" s="80">
        <v>1.0063596231245415</v>
      </c>
      <c r="N31" s="80">
        <v>1.0027490910148327</v>
      </c>
      <c r="P31" s="80">
        <v>0.99692278076680585</v>
      </c>
      <c r="R31" s="80">
        <v>0.9884594664818388</v>
      </c>
      <c r="T31" s="80">
        <v>0.97678661000747569</v>
      </c>
      <c r="V31" s="80">
        <v>0.96109726577065513</v>
      </c>
      <c r="X31" s="80">
        <v>0.94020348425929878</v>
      </c>
      <c r="Z31" s="80">
        <v>0.91226209650530343</v>
      </c>
      <c r="AB31" s="80">
        <v>0.87428315534462364</v>
      </c>
      <c r="AD31" s="80">
        <v>0.82147461114645559</v>
      </c>
      <c r="AF31" s="80"/>
      <c r="AH31" s="80"/>
      <c r="AJ31" s="80"/>
      <c r="AL31" s="80"/>
      <c r="AN31" s="80"/>
      <c r="AP31" s="80"/>
      <c r="AR31" s="80"/>
      <c r="AT31" s="80"/>
      <c r="AV31" s="80"/>
    </row>
    <row r="32" spans="1:49" x14ac:dyDescent="0.2">
      <c r="A32" t="s">
        <v>64</v>
      </c>
      <c r="B32" s="86">
        <v>14734457.915000005</v>
      </c>
      <c r="D32" s="86">
        <v>14841374.151358662</v>
      </c>
      <c r="F32" s="86">
        <v>14935522.992966514</v>
      </c>
      <c r="H32" s="86">
        <v>15015704.771558523</v>
      </c>
      <c r="J32" s="86">
        <v>15080300.628858633</v>
      </c>
      <c r="L32" s="86">
        <v>15127238.269182349</v>
      </c>
      <c r="N32" s="86">
        <v>15153920.499130057</v>
      </c>
      <c r="P32" s="86">
        <v>15157193.503255056</v>
      </c>
      <c r="R32" s="86">
        <v>15133253.813435258</v>
      </c>
      <c r="T32" s="86">
        <v>15077567.255005265</v>
      </c>
      <c r="V32" s="86">
        <v>14984672.497662134</v>
      </c>
      <c r="X32" s="86">
        <v>14847683.35558803</v>
      </c>
      <c r="Z32" s="86">
        <v>14656448.849667097</v>
      </c>
      <c r="AB32" s="86">
        <v>14390352.528975237</v>
      </c>
      <c r="AD32" s="86">
        <v>13994031.727872321</v>
      </c>
      <c r="AF32" s="86"/>
      <c r="AH32" s="86"/>
      <c r="AJ32" s="86"/>
      <c r="AL32" s="86"/>
      <c r="AN32" s="86"/>
      <c r="AP32" s="86"/>
      <c r="AR32" s="86"/>
      <c r="AT32" s="86"/>
      <c r="AV32" s="86"/>
    </row>
    <row r="33" spans="1:49 16319:16321" x14ac:dyDescent="0.2">
      <c r="A33" t="s">
        <v>54</v>
      </c>
      <c r="B33" s="117">
        <v>7019665.6909999885</v>
      </c>
      <c r="D33" s="117">
        <v>7070601.9740010463</v>
      </c>
      <c r="F33" s="117">
        <v>7115455.4406146053</v>
      </c>
      <c r="H33" s="117">
        <v>7153654.9697174449</v>
      </c>
      <c r="J33" s="117">
        <v>7184429.998753747</v>
      </c>
      <c r="L33" s="117">
        <v>7206790.8296159562</v>
      </c>
      <c r="N33" s="117">
        <v>7219502.5068676332</v>
      </c>
      <c r="P33" s="117">
        <v>7221062.1667754315</v>
      </c>
      <c r="R33" s="117">
        <v>7209656.9438832812</v>
      </c>
      <c r="T33" s="117">
        <v>7183127.1734791398</v>
      </c>
      <c r="V33" s="117">
        <v>7138870.8179053273</v>
      </c>
      <c r="X33" s="117">
        <v>7073607.6541712591</v>
      </c>
      <c r="Z33" s="117">
        <v>6982501.2617382975</v>
      </c>
      <c r="AB33" s="117">
        <v>6855729.9136023689</v>
      </c>
      <c r="AD33" s="117">
        <v>6666918.1178502068</v>
      </c>
      <c r="AF33" s="117"/>
      <c r="AH33" s="117"/>
      <c r="AJ33" s="117"/>
      <c r="AL33" s="117"/>
      <c r="AN33" s="117"/>
      <c r="AP33" s="117"/>
      <c r="AR33" s="117"/>
      <c r="AT33" s="117"/>
      <c r="AV33" s="117"/>
    </row>
    <row r="34" spans="1:49 16319:16321" x14ac:dyDescent="0.2">
      <c r="A34" t="s">
        <v>75</v>
      </c>
      <c r="B34" s="117">
        <v>1136879.4410000162</v>
      </c>
      <c r="D34" s="117">
        <v>1145128.7011125656</v>
      </c>
      <c r="F34" s="117">
        <v>1152393.1677696481</v>
      </c>
      <c r="H34" s="117">
        <v>1158579.8187687905</v>
      </c>
      <c r="J34" s="117">
        <v>1163563.0639968645</v>
      </c>
      <c r="L34" s="117">
        <v>1167185.492864178</v>
      </c>
      <c r="N34" s="117">
        <v>1169244.2784671967</v>
      </c>
      <c r="P34" s="117">
        <v>1169496.4607455749</v>
      </c>
      <c r="R34" s="117">
        <v>1167649.4014539849</v>
      </c>
      <c r="T34" s="117">
        <v>1163352.7950138054</v>
      </c>
      <c r="V34" s="117">
        <v>1156185.451690942</v>
      </c>
      <c r="X34" s="117">
        <v>1145615.6192578163</v>
      </c>
      <c r="Z34" s="117">
        <v>1130860.437713041</v>
      </c>
      <c r="AB34" s="117">
        <v>1110329.003725929</v>
      </c>
      <c r="AD34" s="117">
        <v>1079749.7287847302</v>
      </c>
      <c r="AF34" s="117"/>
      <c r="AH34" s="117"/>
      <c r="AJ34" s="117"/>
      <c r="AL34" s="117"/>
      <c r="AN34" s="117"/>
      <c r="AP34" s="117"/>
      <c r="AR34" s="117"/>
      <c r="AT34" s="117"/>
      <c r="AV34" s="117"/>
    </row>
    <row r="35" spans="1:49 16319:16321" x14ac:dyDescent="0.2">
      <c r="A35" t="s">
        <v>78</v>
      </c>
      <c r="B35" s="233">
        <v>1</v>
      </c>
      <c r="D35" s="233">
        <v>1.0032822238827173</v>
      </c>
      <c r="F35" s="233">
        <v>1.0069268010973724</v>
      </c>
      <c r="H35" s="233">
        <v>1.0110066622940574</v>
      </c>
      <c r="J35" s="233">
        <v>1.0156187819924729</v>
      </c>
      <c r="L35" s="233">
        <v>1.0208957667276268</v>
      </c>
      <c r="N35" s="233">
        <v>1.0270263958384358</v>
      </c>
      <c r="P35" s="233">
        <v>1.0342873393494916</v>
      </c>
      <c r="R35" s="233">
        <v>1.0431002659244226</v>
      </c>
      <c r="T35" s="233">
        <v>1.0541333896372918</v>
      </c>
      <c r="V35" s="233">
        <v>1.0684913350488257</v>
      </c>
      <c r="X35" s="233">
        <v>1.0880814886211858</v>
      </c>
      <c r="Z35" s="233">
        <v>1.1163138774436452</v>
      </c>
      <c r="AB35" s="233">
        <v>1.1592499305104933</v>
      </c>
      <c r="AD35" s="233">
        <v>1.226397747470541</v>
      </c>
      <c r="AF35" s="233"/>
      <c r="AH35" s="233"/>
      <c r="AJ35" s="233"/>
      <c r="AL35" s="233"/>
      <c r="AN35" s="233"/>
      <c r="AP35" s="233"/>
      <c r="AR35" s="233"/>
      <c r="AT35" s="233"/>
      <c r="AV35" s="233"/>
    </row>
    <row r="36" spans="1:49 16319:16321" x14ac:dyDescent="0.2">
      <c r="A36" t="s">
        <v>21</v>
      </c>
      <c r="B36" s="37">
        <v>0.47195767671988198</v>
      </c>
      <c r="C36" s="38">
        <v>0.31738834428178964</v>
      </c>
      <c r="D36" s="37">
        <v>0.47199644593536444</v>
      </c>
      <c r="E36" s="38">
        <v>0.32129977779659197</v>
      </c>
      <c r="F36" s="37">
        <v>0.47203788913442363</v>
      </c>
      <c r="G36" s="38">
        <v>0.32563648465103562</v>
      </c>
      <c r="H36" s="37">
        <v>0.47208259805234343</v>
      </c>
      <c r="I36" s="38">
        <v>0.3304668872672839</v>
      </c>
      <c r="J36" s="37">
        <v>0.47213124419482527</v>
      </c>
      <c r="K36" s="38">
        <v>0.33587427597984448</v>
      </c>
      <c r="L36" s="37">
        <v>0.47218458719735651</v>
      </c>
      <c r="M36" s="38">
        <v>0.34196222934913795</v>
      </c>
      <c r="N36" s="37">
        <v>0.47224341428308614</v>
      </c>
      <c r="O36" s="38">
        <v>0.3488647407914211</v>
      </c>
      <c r="P36" s="37">
        <v>0.47230849413891346</v>
      </c>
      <c r="Q36" s="38">
        <v>0.35676024877518964</v>
      </c>
      <c r="R36" s="37">
        <v>0.47238042029474725</v>
      </c>
      <c r="S36" s="38">
        <v>0.36589720934996356</v>
      </c>
      <c r="T36" s="37">
        <v>0.47245928601023202</v>
      </c>
      <c r="U36" s="38">
        <v>0.37663706005731207</v>
      </c>
      <c r="V36" s="37">
        <v>0.47254406034469876</v>
      </c>
      <c r="W36" s="38">
        <v>0.38952998093266772</v>
      </c>
      <c r="X36" s="37">
        <v>0.47263132551119202</v>
      </c>
      <c r="Y36" s="38">
        <v>0.40544932642989762</v>
      </c>
      <c r="Z36" s="37">
        <v>0.47271299985818904</v>
      </c>
      <c r="AA36" s="38">
        <v>0.42581650010936567</v>
      </c>
      <c r="AB36" s="37">
        <v>0.47277345969098322</v>
      </c>
      <c r="AC36" s="38">
        <v>0.45287302338008389</v>
      </c>
      <c r="AD36" s="37">
        <v>0.47279161891408528</v>
      </c>
      <c r="AE36" s="38">
        <v>0.48953123641105983</v>
      </c>
      <c r="AF36" s="37"/>
      <c r="AG36" s="38"/>
      <c r="AH36" s="37"/>
      <c r="AI36" s="38"/>
      <c r="AJ36" s="37"/>
      <c r="AK36" s="38"/>
      <c r="AL36" s="37"/>
      <c r="AM36" s="38"/>
      <c r="AN36" s="37"/>
      <c r="AO36" s="38"/>
      <c r="AP36" s="37"/>
      <c r="AQ36" s="38"/>
      <c r="AR36" s="37"/>
      <c r="AS36" s="38"/>
      <c r="AT36" s="37"/>
      <c r="AU36" s="38"/>
      <c r="AV36" s="37"/>
      <c r="AW36" s="38"/>
    </row>
    <row r="37" spans="1:49 16319:16321" x14ac:dyDescent="0.2">
      <c r="B37" s="39">
        <v>2.1403217525954466E-2</v>
      </c>
      <c r="C37" s="40">
        <v>0.34962461301992515</v>
      </c>
      <c r="D37" s="39">
        <v>2.0856080367032615E-2</v>
      </c>
      <c r="E37" s="40">
        <v>0.34533621820916988</v>
      </c>
      <c r="F37" s="39">
        <v>2.0304757823944756E-2</v>
      </c>
      <c r="G37" s="40">
        <v>0.3410159185456666</v>
      </c>
      <c r="H37" s="39">
        <v>1.9748107053221685E-2</v>
      </c>
      <c r="I37" s="40">
        <v>0.33666171737885364</v>
      </c>
      <c r="J37" s="39">
        <v>1.918483084325211E-2</v>
      </c>
      <c r="K37" s="40">
        <v>0.33227178311692829</v>
      </c>
      <c r="L37" s="39">
        <v>1.8613354058811319E-2</v>
      </c>
      <c r="M37" s="40">
        <v>0.32784381643116711</v>
      </c>
      <c r="N37" s="39">
        <v>1.8031497441882007E-2</v>
      </c>
      <c r="O37" s="40">
        <v>0.3233729898142208</v>
      </c>
      <c r="P37" s="39">
        <v>1.7436236681788401E-2</v>
      </c>
      <c r="Q37" s="40">
        <v>0.31885085899706939</v>
      </c>
      <c r="R37" s="39">
        <v>1.6823163285413952E-2</v>
      </c>
      <c r="S37" s="40">
        <v>0.31426251930014171</v>
      </c>
      <c r="T37" s="39">
        <v>1.6185781666382428E-2</v>
      </c>
      <c r="U37" s="40">
        <v>0.30958354477206507</v>
      </c>
      <c r="V37" s="39">
        <v>1.5514504606460899E-2</v>
      </c>
      <c r="W37" s="40">
        <v>0.30477654101099838</v>
      </c>
      <c r="X37" s="39">
        <v>1.4795397547538737E-2</v>
      </c>
      <c r="Y37" s="40">
        <v>0.29978920329449837</v>
      </c>
      <c r="Z37" s="39">
        <v>1.4009496233778673E-2</v>
      </c>
      <c r="AA37" s="40">
        <v>0.29456185641435828</v>
      </c>
      <c r="AB37" s="39">
        <v>1.3136609519725968E-2</v>
      </c>
      <c r="AC37" s="40">
        <v>0.28907062406755324</v>
      </c>
      <c r="AD37" s="39">
        <v>1.2174041325978796E-2</v>
      </c>
      <c r="AE37" s="40">
        <v>0.2834535106032916</v>
      </c>
      <c r="AF37" s="39"/>
      <c r="AG37" s="40"/>
      <c r="AH37" s="39"/>
      <c r="AI37" s="40"/>
      <c r="AJ37" s="39"/>
      <c r="AK37" s="40"/>
      <c r="AL37" s="39"/>
      <c r="AM37" s="40"/>
      <c r="AN37" s="39"/>
      <c r="AO37" s="40"/>
      <c r="AP37" s="39"/>
      <c r="AQ37" s="40"/>
      <c r="AR37" s="39"/>
      <c r="AS37" s="40"/>
      <c r="AT37" s="39"/>
      <c r="AU37" s="40"/>
      <c r="AV37" s="39"/>
      <c r="AW37" s="40"/>
    </row>
    <row r="38" spans="1:49 16319:16321" x14ac:dyDescent="0.2">
      <c r="A38" t="s">
        <v>22</v>
      </c>
      <c r="B38" s="37">
        <v>0.18079094942242827</v>
      </c>
      <c r="C38" s="38">
        <v>6.0565413429233668E-2</v>
      </c>
      <c r="D38" s="37">
        <v>0.18196445076590573</v>
      </c>
      <c r="E38" s="38">
        <v>6.1004543583799357E-2</v>
      </c>
      <c r="F38" s="37">
        <v>0.18309844632592484</v>
      </c>
      <c r="G38" s="38">
        <v>6.1445652765596409E-2</v>
      </c>
      <c r="H38" s="37">
        <v>0.18418897516767116</v>
      </c>
      <c r="I38" s="38">
        <v>6.1890518240910415E-2</v>
      </c>
      <c r="J38" s="37">
        <v>0.18523039378738268</v>
      </c>
      <c r="K38" s="38">
        <v>6.2341235679411973E-2</v>
      </c>
      <c r="L38" s="37">
        <v>0.18621553209446204</v>
      </c>
      <c r="M38" s="38">
        <v>6.2800389839042875E-2</v>
      </c>
      <c r="N38" s="37">
        <v>0.18713600398457717</v>
      </c>
      <c r="O38" s="38">
        <v>6.3271648892616411E-2</v>
      </c>
      <c r="P38" s="37">
        <v>0.1879831345627711</v>
      </c>
      <c r="Q38" s="38">
        <v>6.3760878065670309E-2</v>
      </c>
      <c r="R38" s="37">
        <v>0.18874965290949508</v>
      </c>
      <c r="S38" s="38">
        <v>6.4277686974601886E-2</v>
      </c>
      <c r="T38" s="37">
        <v>0.18943323727000469</v>
      </c>
      <c r="U38" s="38">
        <v>6.4839242551606141E-2</v>
      </c>
      <c r="V38" s="37">
        <v>0.1900428392706596</v>
      </c>
      <c r="W38" s="38">
        <v>6.5476783451819065E-2</v>
      </c>
      <c r="X38" s="37">
        <v>0.19061010907189344</v>
      </c>
      <c r="Y38" s="38">
        <v>6.6248819017692168E-2</v>
      </c>
      <c r="Z38" s="37">
        <v>0.1912058570247511</v>
      </c>
      <c r="AA38" s="38">
        <v>6.7266275890899993E-2</v>
      </c>
      <c r="AB38" s="37">
        <v>0.19194525740742344</v>
      </c>
      <c r="AC38" s="38">
        <v>6.8736833966270228E-2</v>
      </c>
      <c r="AD38" s="37">
        <v>0.19290683474212833</v>
      </c>
      <c r="AE38" s="38">
        <v>7.1026033016501705E-2</v>
      </c>
      <c r="AF38" s="37"/>
      <c r="AG38" s="38"/>
      <c r="AH38" s="37"/>
      <c r="AI38" s="38"/>
      <c r="AJ38" s="37"/>
      <c r="AK38" s="38"/>
      <c r="AL38" s="37"/>
      <c r="AM38" s="38"/>
      <c r="AN38" s="37"/>
      <c r="AO38" s="38"/>
      <c r="AP38" s="37"/>
      <c r="AQ38" s="38"/>
      <c r="AR38" s="37"/>
      <c r="AS38" s="38"/>
      <c r="AT38" s="37"/>
      <c r="AU38" s="38"/>
      <c r="AV38" s="37"/>
      <c r="AW38" s="38"/>
    </row>
    <row r="39" spans="1:49 16319:16321" x14ac:dyDescent="0.2">
      <c r="A39" t="s">
        <v>23</v>
      </c>
      <c r="B39" s="39">
        <v>0.23064923795098646</v>
      </c>
      <c r="C39" s="40">
        <v>0.22092201281804777</v>
      </c>
      <c r="D39" s="39">
        <v>0.22950773656149526</v>
      </c>
      <c r="E39" s="40">
        <v>0.22086639703097166</v>
      </c>
      <c r="F39" s="39">
        <v>0.22853816361471246</v>
      </c>
      <c r="G39" s="40">
        <v>0.22094527598930747</v>
      </c>
      <c r="H39" s="39">
        <v>0.22774627322066979</v>
      </c>
      <c r="I39" s="40">
        <v>0.22117367337183999</v>
      </c>
      <c r="J39" s="39">
        <v>0.22714375310042068</v>
      </c>
      <c r="K39" s="40">
        <v>0.22157247864440152</v>
      </c>
      <c r="L39" s="39">
        <v>0.22674912693651234</v>
      </c>
      <c r="M39" s="40">
        <v>0.22217027997292108</v>
      </c>
      <c r="N39" s="39">
        <v>0.22658979242869245</v>
      </c>
      <c r="O39" s="40">
        <v>0.22300644520218835</v>
      </c>
      <c r="P39" s="39">
        <v>0.22670478372714647</v>
      </c>
      <c r="Q39" s="40">
        <v>0.22413578722372504</v>
      </c>
      <c r="R39" s="39">
        <v>0.22715010559206325</v>
      </c>
      <c r="S39" s="40">
        <v>0.22563776862011414</v>
      </c>
      <c r="T39" s="39">
        <v>0.22800784965350776</v>
      </c>
      <c r="U39" s="40">
        <v>0.22763222696414112</v>
      </c>
      <c r="V39" s="39">
        <v>0.22940401966760357</v>
      </c>
      <c r="W39" s="40">
        <v>0.23031066021118221</v>
      </c>
      <c r="X39" s="39">
        <v>0.23154540798382892</v>
      </c>
      <c r="Y39" s="40">
        <v>0.23399991264396588</v>
      </c>
      <c r="Z39" s="39">
        <v>0.23480437093729584</v>
      </c>
      <c r="AA39" s="40">
        <v>0.23930083088105794</v>
      </c>
      <c r="AB39" s="39">
        <v>0.23992820131414003</v>
      </c>
      <c r="AC39" s="40">
        <v>0.24739815442616048</v>
      </c>
      <c r="AD39" s="39">
        <v>0.24854440932687194</v>
      </c>
      <c r="AE39" s="40">
        <v>0.26075107964761285</v>
      </c>
      <c r="AF39" s="39"/>
      <c r="AG39" s="40"/>
      <c r="AH39" s="39"/>
      <c r="AI39" s="40"/>
      <c r="AJ39" s="39"/>
      <c r="AK39" s="40"/>
      <c r="AL39" s="39"/>
      <c r="AM39" s="40"/>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9.5819141215395018E-2</v>
      </c>
      <c r="E42" s="135"/>
      <c r="F42" s="177">
        <f>10.8%+(1-10.8%)*(1-SUM(F26:G26)/SUM($B$26:$C$26))</f>
        <v>8.4374010844041281E-2</v>
      </c>
      <c r="G42" s="135"/>
      <c r="H42" s="177">
        <f>10.8%+(1-10.8%)*(1-SUM(H26:I26)/SUM($B$26:$C$26))</f>
        <v>7.3743399938643206E-2</v>
      </c>
      <c r="I42" s="135"/>
      <c r="J42" s="177">
        <f>10.8%+(1-10.8%)*(1-SUM(J26:K26)/SUM($B$26:$C$26))</f>
        <v>6.4038645857278156E-2</v>
      </c>
      <c r="K42" s="135"/>
      <c r="L42" s="177">
        <f>10.8%+(1-10.8%)*(1-SUM(L26:M26)/SUM($B$26:$C$26))</f>
        <v>5.5408127624860019E-2</v>
      </c>
      <c r="M42" s="135"/>
      <c r="N42" s="177">
        <f>10.8%+(1-10.8%)*(1-SUM(N26:O26)/SUM($B$26:$C$26))</f>
        <v>4.8045163145324706E-2</v>
      </c>
      <c r="O42" s="135"/>
      <c r="P42" s="177">
        <f>10.8%+(1-10.8%)*(1-SUM(P26:Q26)/SUM($B$26:$C$26))</f>
        <v>4.2195012715224273E-2</v>
      </c>
      <c r="Q42" s="135"/>
      <c r="R42" s="177">
        <f>10.8%+(1-10.8%)*(1-SUM(R26:S26)/SUM($B$26:$C$26))</f>
        <v>3.8168051598973463E-2</v>
      </c>
      <c r="S42" s="135"/>
      <c r="T42" s="177">
        <f>10.8%+(1-10.8%)*(1-SUM(T26:U26)/SUM($B$26:$C$26))</f>
        <v>3.6356620663712133E-2</v>
      </c>
      <c r="U42" s="135"/>
      <c r="V42" s="177">
        <f>10.8%+(1-10.8%)*(1-SUM(V26:W26)/SUM($B$26:$C$26))</f>
        <v>3.7269719429247575E-2</v>
      </c>
      <c r="W42" s="135"/>
      <c r="X42" s="177">
        <f>10.8%+(1-10.8%)*(1-SUM(X26:Y26)/SUM($B$26:$C$26))</f>
        <v>4.1608725565888419E-2</v>
      </c>
      <c r="Y42" s="162"/>
      <c r="Z42" s="177">
        <f>10.8%+(1-10.8%)*(1-SUM(Z26:AA26)/SUM($B$26:$C$26))</f>
        <v>5.0478794833538385E-2</v>
      </c>
      <c r="AA42" s="135"/>
      <c r="AB42" s="177">
        <f>10.8%+(1-10.8%)*(1-SUM(AB26:AC26)/SUM($B$26:$C$26))</f>
        <v>6.6031376264119854E-2</v>
      </c>
      <c r="AC42" s="135"/>
      <c r="AD42" s="177">
        <f>10.8%+(1-10.8%)*(1-SUM(AD26:AE26)/SUM($B$26:$C$26))</f>
        <v>9.3187868274848568E-2</v>
      </c>
      <c r="AE42" s="135"/>
      <c r="AF42" s="177">
        <f>10.8%+(1-10.8%)*(1-SUM(AF26:AG26)/SUM($B$26:$C$26))</f>
        <v>1</v>
      </c>
      <c r="AG42" s="135"/>
      <c r="AH42" s="177">
        <f>10.8%+(1-10.8%)*(1-SUM(AH26:AI26)/SUM($B$26:$C$26))</f>
        <v>1</v>
      </c>
      <c r="AI42" s="135"/>
      <c r="AJ42" s="177">
        <f>10.8%+(1-10.8%)*(1-SUM(AJ26:AK26)/SUM($B$26:$C$26))</f>
        <v>1</v>
      </c>
      <c r="AK42" s="135"/>
      <c r="AL42" s="177">
        <f>10.8%+(1-10.8%)*(1-SUM(AL26:AM26)/SUM($B$26:$C$26))</f>
        <v>1</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0.56058995943839085</v>
      </c>
      <c r="C43" s="135"/>
      <c r="D43" s="162">
        <f t="array" ref="D43">SUM(D15:E15*D27:E27)/SUM(D15:E15*D27:E27,D13:E13*D26:E26)</f>
        <v>0.55838900245651912</v>
      </c>
      <c r="E43" s="135"/>
      <c r="F43" s="162">
        <f t="array" ref="F43">SUM(F15:G15*F27:G27)/SUM(F15:G15*F27:G27,F13:G13*F26:G26)</f>
        <v>0.54904045429317372</v>
      </c>
      <c r="G43" s="135"/>
      <c r="H43" s="162">
        <f t="array" ref="H43">SUM(H15:I15*H27:I27)/SUM(H15:I15*H27:I27,H13:I13*H26:I26)</f>
        <v>0.5390359605315922</v>
      </c>
      <c r="I43" s="135"/>
      <c r="J43" s="162">
        <f t="array" ref="J43">SUM(J15:K15*J27:K27)/SUM(J15:K15*J27:K27,J13:K13*J26:K26)</f>
        <v>0.52822403907998816</v>
      </c>
      <c r="K43" s="135"/>
      <c r="L43" s="162">
        <f t="array" ref="L43">SUM(L15:M15*L27:M27)/SUM(L15:M15*L27:M27,L13:M13*L26:M26)</f>
        <v>0.51640462019291433</v>
      </c>
      <c r="M43" s="135"/>
      <c r="N43" s="162">
        <f t="array" ref="N43">SUM(N15:O15*N27:O27)/SUM(N15:O15*N27:O27,N13:O13*N26:O26)</f>
        <v>0.50330003846307481</v>
      </c>
      <c r="O43" s="135"/>
      <c r="P43" s="162">
        <f t="array" ref="P43">SUM(P15:Q15*P27:Q27)/SUM(P15:Q15*P27:Q27,P13:Q13*P26:Q26)</f>
        <v>0.48850823255722747</v>
      </c>
      <c r="Q43" s="135"/>
      <c r="R43" s="162">
        <f t="array" ref="R43">SUM(R15:S15*R27:S27)/SUM(R15:S15*R27:S27,R13:S13*R26:S26)</f>
        <v>0.47141513286892062</v>
      </c>
      <c r="S43" s="135"/>
      <c r="T43" s="162">
        <f t="array" ref="T43">SUM(T15:U15*T27:U27)/SUM(T15:U15*T27:U27,T13:U13*T26:U26)</f>
        <v>0.45102851783017067</v>
      </c>
      <c r="U43" s="135"/>
      <c r="V43" s="162">
        <f t="array" ref="V43">SUM(V15:W15*V27:W27)/SUM(V15:W15*V27:W27,V13:W13*V26:W26)</f>
        <v>0.42564523775902313</v>
      </c>
      <c r="W43" s="135"/>
      <c r="X43" s="162">
        <f t="array" ref="X43">SUM(X15:Y15*X27:Y27)/SUM(X15:Y15*X27:Y27,X13:Y13*X26:Y26)</f>
        <v>0.39213909426208754</v>
      </c>
      <c r="Y43" s="135"/>
      <c r="Z43" s="162">
        <f t="array" ref="Z43">SUM(Z15:AA15*Z27:AA27)/SUM(Z15:AA15*Z27:AA27,Z13:AA13*Z26:AA26)</f>
        <v>0.34435469116133355</v>
      </c>
      <c r="AA43" s="135"/>
      <c r="AB43" s="162">
        <f t="array" ref="AB43">SUM(AB15:AC15*AB27:AC27)/SUM(AB15:AC15*AB27:AC27,AB13:AC13*AB26:AC26)</f>
        <v>0.26940559120224761</v>
      </c>
      <c r="AC43" s="135"/>
      <c r="AD43" s="162">
        <f t="array" ref="AD43">SUM(AD15:AE15*AD27:AE27)/SUM(AD15:AE15*AD27:AE27,AD13:AE13*AD26:AE26)</f>
        <v>0.13955259003414694</v>
      </c>
      <c r="AE43" s="135"/>
      <c r="AF43" s="162" t="e">
        <f t="array" ref="AF43">SUM(AF15:AG15*AF27:AG27)/SUM(AF15:AG15*AF27:AG27,AF13:AG13*AF26:AG26)</f>
        <v>#DIV/0!</v>
      </c>
      <c r="AG43" s="135"/>
      <c r="AH43" s="162" t="e">
        <f t="array" ref="AH43">SUM(AH15:AI15*AH27:AI27)/SUM(AH15:AI15*AH27:AI27,AH13:AI13*AH26:AI26)</f>
        <v>#DIV/0!</v>
      </c>
      <c r="AI43" s="135"/>
      <c r="AJ43" s="162" t="e">
        <f t="array" ref="AJ43">SUM(AJ15:AK15*AJ27:AK27)/SUM(AJ15:AK15*AJ27:AK27,AJ13:AK13*AJ26:AK26)</f>
        <v>#DIV/0!</v>
      </c>
      <c r="AK43" s="135"/>
      <c r="AL43" s="162" t="e">
        <f t="array" ref="AL43">SUM(AL15:AM15*AL27:AM27)/SUM(AL15:AM15*AL27:AM27,AL13:AM13*AL26:AM26)</f>
        <v>#DIV/0!</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0.29754226190682465</v>
      </c>
      <c r="D44" s="193">
        <f>(SUM(D11:E11*D24:E24)+D34)/D32</f>
        <v>0.29754225147124735</v>
      </c>
      <c r="F44" s="193">
        <f>(SUM(F11:G11*F24:G24)+F34)/F32</f>
        <v>0.2975422600668145</v>
      </c>
      <c r="H44" s="193">
        <f>(SUM(H11:I11*H24:I24)+H34)/H32</f>
        <v>0.29754225974347148</v>
      </c>
      <c r="J44" s="193">
        <f>(SUM(J11:K11*J24:K24)+J34)/J32</f>
        <v>0.29754220553628902</v>
      </c>
      <c r="L44" s="193">
        <f>(SUM(L11:M11*L24:M24)+L34)/L32</f>
        <v>0.29754225875092866</v>
      </c>
      <c r="N44" s="193">
        <f>(SUM(N11:O11*N24:O24)+N34)/N32</f>
        <v>0.29754226171517034</v>
      </c>
      <c r="P44" s="193">
        <f>(SUM(P11:Q11*P24:Q24)+P34)/P32</f>
        <v>0.29754223776662514</v>
      </c>
      <c r="R44" s="193">
        <f>(SUM(R11:S11*R24:S24)+R34)/R32</f>
        <v>0.29754224291918446</v>
      </c>
      <c r="T44" s="193">
        <f>(SUM(T11:U11*T24:U24)+T34)/T32</f>
        <v>0.29754224627836118</v>
      </c>
      <c r="V44" s="193">
        <f>(SUM(V11:W11*V24:W24)+V34)/V32</f>
        <v>0.29754226098134445</v>
      </c>
      <c r="X44" s="193">
        <f>(SUM(X11:Y11*X24:Y24)+X34)/X32</f>
        <v>0.29754225804182699</v>
      </c>
      <c r="Z44" s="193">
        <f>(SUM(Z11:AA11*Z24:AA24)+Z34)/Z32</f>
        <v>0.29754226264488171</v>
      </c>
      <c r="AB44" s="193">
        <f>(SUM(AB11:AC11*AB24:AC24)+AB34)/AB32</f>
        <v>0.29754226209765089</v>
      </c>
      <c r="AD44" s="193">
        <f>(SUM(AD11:AE11*AD24:AE24)+AD34)/AD32</f>
        <v>0.29754226175500542</v>
      </c>
      <c r="AF44" s="193" t="e">
        <f>(SUM(AF11:AG11*AF24:AG24)+AF34)/AF32</f>
        <v>#DIV/0!</v>
      </c>
      <c r="AH44" s="193" t="e">
        <f>(SUM(AH11:AI11*AH24:AI24)+AH34)/AH32</f>
        <v>#DIV/0!</v>
      </c>
      <c r="AJ44" s="193" t="e">
        <f>(SUM(AJ11:AK11*AJ24:AK24)+AJ34)/AJ32</f>
        <v>#DIV/0!</v>
      </c>
      <c r="AL44" s="193" t="e">
        <f>(SUM(AL11:AM11*AL24:AM24)+AL34)/AL32</f>
        <v>#DIV/0!</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0.22038438930605594</v>
      </c>
      <c r="F45" s="193">
        <f>SUM(F11:G11*F24:G24)/F32</f>
        <v>0.22038438830615786</v>
      </c>
      <c r="H45" s="193">
        <f>SUM(H11:I11*H24:I24)/H32</f>
        <v>0.22038438827524209</v>
      </c>
      <c r="J45" s="193">
        <f>SUM(J11:K11*J24:K24)/J32</f>
        <v>0.22038438934725391</v>
      </c>
      <c r="L45" s="193">
        <f>SUM(L11:M11*L24:M24)/L32</f>
        <v>0.22038438815388761</v>
      </c>
      <c r="N45" s="193">
        <f>SUM(N11:O11*N24:O24)/N32</f>
        <v>0.22038438837577148</v>
      </c>
      <c r="P45" s="193">
        <f>SUM(P11:Q11*P24:Q24)/P32</f>
        <v>0.2203843878985462</v>
      </c>
      <c r="R45" s="193">
        <f>SUM(R11:S11*R24:S24)/R32</f>
        <v>0.22038438804878316</v>
      </c>
      <c r="T45" s="193">
        <f>SUM(T11:U11*T24:U24)/T32</f>
        <v>0.22038438816118983</v>
      </c>
      <c r="V45" s="193">
        <f>SUM(V11:W11*V24:W24)/V32</f>
        <v>0.22038438837042637</v>
      </c>
      <c r="X45" s="193">
        <f>SUM(X11:Y11*X24:Y24)/X32</f>
        <v>0.22038438823672665</v>
      </c>
      <c r="Z45" s="193">
        <f>SUM(Z11:AA11*Z24:AA24)/Z32</f>
        <v>0.22038438836630247</v>
      </c>
      <c r="AB45" s="193">
        <f>SUM(AB11:AC11*AB24:AC24)/AB32</f>
        <v>0.22038438834228172</v>
      </c>
      <c r="AD45" s="193">
        <f>SUM(AD11:AE11*AD24:AE24)/AD32</f>
        <v>0.22038438832856738</v>
      </c>
      <c r="AF45" s="193" t="e">
        <f>SUM(AF11:AG11*AF24:AG24)/AF32</f>
        <v>#DIV/0!</v>
      </c>
      <c r="AH45" s="193" t="e">
        <f>SUM(AH11:AI11*AH24:AI24)/AH32</f>
        <v>#DIV/0!</v>
      </c>
      <c r="AJ45" s="193" t="e">
        <f>SUM(AJ11:AK11*AJ24:AK24)/AJ32</f>
        <v>#DIV/0!</v>
      </c>
      <c r="AL45" s="193" t="e">
        <f>SUM(AL11:AM11*AL24:AM24)/AL32</f>
        <v>#DIV/0!</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7.7157873574883795E-2</v>
      </c>
      <c r="D46" s="193">
        <f>D34/D32</f>
        <v>7.7157862165191368E-2</v>
      </c>
      <c r="F46" s="193">
        <f>F34/F32</f>
        <v>7.7157871760656582E-2</v>
      </c>
      <c r="H46" s="193">
        <f>H34/H32</f>
        <v>7.7157871468229333E-2</v>
      </c>
      <c r="J46" s="193">
        <f>J34/J32</f>
        <v>7.7157816189035069E-2</v>
      </c>
      <c r="L46" s="193">
        <f>L34/L32</f>
        <v>7.7157870597040989E-2</v>
      </c>
      <c r="N46" s="193">
        <f>N34/N32</f>
        <v>7.7157873339398844E-2</v>
      </c>
      <c r="P46" s="193">
        <f>P34/P32</f>
        <v>7.7157849868078929E-2</v>
      </c>
      <c r="R46" s="193">
        <f>R34/R32</f>
        <v>7.7157854870401318E-2</v>
      </c>
      <c r="T46" s="193">
        <f>T34/T32</f>
        <v>7.715785811717138E-2</v>
      </c>
      <c r="V46" s="193">
        <f>V34/V32</f>
        <v>7.7157872610918041E-2</v>
      </c>
      <c r="X46" s="193">
        <f>X34/X32</f>
        <v>7.7157869805100324E-2</v>
      </c>
      <c r="Z46" s="193">
        <f>Z34/Z32</f>
        <v>7.715787427857923E-2</v>
      </c>
      <c r="AB46" s="193">
        <f>AB34/AB32</f>
        <v>7.7157873755369186E-2</v>
      </c>
      <c r="AD46" s="193">
        <f>AD34/AD32</f>
        <v>7.7157873426438012E-2</v>
      </c>
      <c r="AF46" s="193" t="e">
        <f>AF34/AF32</f>
        <v>#DIV/0!</v>
      </c>
      <c r="AH46" s="193" t="e">
        <f>AH34/AH32</f>
        <v>#DIV/0!</v>
      </c>
      <c r="AJ46" s="193" t="e">
        <f>AJ34/AJ32</f>
        <v>#DIV/0!</v>
      </c>
      <c r="AL46" s="193" t="e">
        <f>AL34/AL32</f>
        <v>#DIV/0!</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1.0097474229188799</v>
      </c>
      <c r="E48" s="191"/>
      <c r="F48" s="191">
        <f>F24/$B$24</f>
        <v>1.0187796849248247</v>
      </c>
      <c r="G48" s="191"/>
      <c r="H48" s="191">
        <f>H24/$B$24</f>
        <v>1.0270398642501508</v>
      </c>
      <c r="I48" s="191"/>
      <c r="J48" s="191">
        <f>J24/$B$24</f>
        <v>1.0344435501898066</v>
      </c>
      <c r="K48" s="191"/>
      <c r="L48" s="191">
        <f>L24/$B$24</f>
        <v>1.0408744390092097</v>
      </c>
      <c r="M48" s="191"/>
      <c r="N48" s="191">
        <f>N24/$B$24</f>
        <v>1.046176418823211</v>
      </c>
      <c r="O48" s="191"/>
      <c r="P48" s="191">
        <f>P24/$B$24</f>
        <v>1.0501451406549649</v>
      </c>
      <c r="Q48" s="191"/>
      <c r="R48" s="191">
        <f>R24/$B$24</f>
        <v>1.0525119030193058</v>
      </c>
      <c r="S48" s="191"/>
      <c r="T48" s="191">
        <f>T24/$B$24</f>
        <v>1.0529208407961064</v>
      </c>
      <c r="U48" s="191"/>
      <c r="V48" s="191">
        <f>V24/$B$24</f>
        <v>1.0508849198713022</v>
      </c>
      <c r="W48" s="191"/>
      <c r="X48" s="191">
        <f>X24/$B$24</f>
        <v>1.0456968655763244</v>
      </c>
      <c r="Y48" s="191"/>
      <c r="Z48" s="191">
        <f>Z24/$B$24</f>
        <v>1.0362098645310334</v>
      </c>
      <c r="AA48" s="191"/>
      <c r="AB48" s="191">
        <f>AB24/$B$24</f>
        <v>1.0202329263966954</v>
      </c>
      <c r="AC48" s="191"/>
      <c r="AD48" s="191">
        <f>AD24/$B$24</f>
        <v>0.99295446727697723</v>
      </c>
      <c r="AE48" s="191"/>
      <c r="AF48" s="191">
        <f>AF24/$B$24</f>
        <v>0</v>
      </c>
      <c r="AG48" s="191"/>
      <c r="AH48" s="191">
        <f>AH24/$B$24</f>
        <v>0</v>
      </c>
      <c r="AI48" s="191"/>
      <c r="AJ48" s="191">
        <f>AJ24/$B$24</f>
        <v>0</v>
      </c>
      <c r="AK48" s="191"/>
      <c r="AL48" s="191">
        <f>AL24/$B$24</f>
        <v>0</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0.99999999190262367</v>
      </c>
      <c r="E49" s="191"/>
      <c r="F49" s="191">
        <f>F13/F35/$B$13*$B$35</f>
        <v>0.99999999826814745</v>
      </c>
      <c r="G49" s="191"/>
      <c r="H49" s="191">
        <f>H13/H35/$B$13*$B$35</f>
        <v>0.9999999981501112</v>
      </c>
      <c r="I49" s="191"/>
      <c r="J49" s="191">
        <f>J13/J35/$B$13*$B$35</f>
        <v>1.0000000019653614</v>
      </c>
      <c r="K49" s="191"/>
      <c r="L49" s="191">
        <f>L13/L35/$B$13*$B$35</f>
        <v>0.9999999987290985</v>
      </c>
      <c r="M49" s="191"/>
      <c r="N49" s="191">
        <f>N13/N35/$B$13*$B$35</f>
        <v>0.99999999747017332</v>
      </c>
      <c r="O49" s="191"/>
      <c r="P49" s="191">
        <f>P13/P35/$B$13*$B$35</f>
        <v>1.000000005148707</v>
      </c>
      <c r="Q49" s="191"/>
      <c r="R49" s="191">
        <f>R13/R35/$B$13*$B$35</f>
        <v>1.0000000040385195</v>
      </c>
      <c r="S49" s="191"/>
      <c r="T49" s="191">
        <f>T13/T35/$B$13*$B$35</f>
        <v>1.0000000025231017</v>
      </c>
      <c r="U49" s="191"/>
      <c r="V49" s="191">
        <f>V13/V35/$B$13*$B$35</f>
        <v>0.99999999777805648</v>
      </c>
      <c r="W49" s="191"/>
      <c r="X49" s="191">
        <f>X13/X35/$B$13*$B$35</f>
        <v>1.00000000443794</v>
      </c>
      <c r="Y49" s="191"/>
      <c r="Z49" s="191">
        <f>Z13/Z35/$B$13*$B$35</f>
        <v>0.99999999627236857</v>
      </c>
      <c r="AA49" s="191"/>
      <c r="AB49" s="191">
        <f>AB13/AB35/$B$13*$B$35</f>
        <v>0.99999999756778357</v>
      </c>
      <c r="AC49" s="191"/>
      <c r="AD49" s="191">
        <f>AD13/AD35/$B$13*$B$35</f>
        <v>1.0000000017162394</v>
      </c>
      <c r="AE49" s="191"/>
      <c r="AF49" s="191" t="e">
        <f>AF13/AF35/$B$13*$B$35</f>
        <v>#DIV/0!</v>
      </c>
      <c r="AG49" s="191"/>
      <c r="AH49" s="191" t="e">
        <f>AH13/AH35/$B$13*$B$35</f>
        <v>#DIV/0!</v>
      </c>
      <c r="AI49" s="191"/>
      <c r="AJ49" s="191" t="e">
        <f>AJ13/AJ35/$B$13*$B$35</f>
        <v>#DIV/0!</v>
      </c>
      <c r="AK49" s="191"/>
      <c r="AL49" s="191" t="e">
        <f>AL13/AL35/$B$13*$B$35</f>
        <v>#DIV/0!</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-284008.34567721933</v>
      </c>
      <c r="F51" s="29">
        <f>F30-F10*F23</f>
        <v>-155439.17178086191</v>
      </c>
      <c r="H51" s="29">
        <f>H30-H10*H23</f>
        <v>-19165.063250423409</v>
      </c>
      <c r="J51" s="29">
        <f>J30-J10*J23</f>
        <v>126005.51949309744</v>
      </c>
      <c r="L51" s="29">
        <f>L30-L10*L23</f>
        <v>281590.77452914882</v>
      </c>
      <c r="N51" s="29">
        <f>N30-N10*N23</f>
        <v>449660.35152392648</v>
      </c>
      <c r="P51" s="29">
        <f>P30-P10*P23</f>
        <v>633146.39355644258</v>
      </c>
      <c r="R51" s="29">
        <f>R30-R10*R23</f>
        <v>836454.33586479723</v>
      </c>
      <c r="T51" s="29">
        <f>T30-T10*T23</f>
        <v>1066549.5446822187</v>
      </c>
      <c r="V51" s="29">
        <f>V30-V10*V23</f>
        <v>1334936.8056226857</v>
      </c>
      <c r="X51" s="29">
        <f>X30-X10*X23</f>
        <v>1661316.2504758225</v>
      </c>
      <c r="Z51" s="29">
        <f>Z30-Z10*Z23</f>
        <v>2079807.6191192176</v>
      </c>
      <c r="AB51" s="29">
        <f>AB30-AB10*AB23</f>
        <v>2645837.3762763916</v>
      </c>
      <c r="AD51" s="29">
        <f>AD30-AD10*AD23</f>
        <v>3424756.0637576096</v>
      </c>
      <c r="AF51" s="29">
        <f>AF30-AF10*AF23</f>
        <v>0</v>
      </c>
      <c r="AH51" s="29">
        <f>AH30-AH10*AH23</f>
        <v>0</v>
      </c>
      <c r="AJ51" s="29">
        <f>AJ30-AJ10*AJ23</f>
        <v>0</v>
      </c>
      <c r="AL51" s="29">
        <f>AL30-AL10*AL23</f>
        <v>0</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2084049.5967076956</v>
      </c>
      <c r="F52" s="29">
        <f t="array" ref="F52">Calibration!sL*SUM(F13:G13*F26:G26)</f>
        <v>2118095.9911631509</v>
      </c>
      <c r="H52" s="29">
        <f t="array" ref="H52">Calibration!sL*SUM(H13:I13*H26:I26)</f>
        <v>2151369.2633211189</v>
      </c>
      <c r="J52" s="29">
        <f t="array" ref="J52">Calibration!sL*SUM(J13:K13*J26:K26)</f>
        <v>2183827.1902523688</v>
      </c>
      <c r="L52" s="29">
        <f t="array" ref="L52">Calibration!sL*SUM(L13:M13*L26:M26)</f>
        <v>2215415.7255920097</v>
      </c>
      <c r="N52" s="29">
        <f t="array" ref="N52">Calibration!sL*SUM(N13:O13*N26:O26)</f>
        <v>2246092.1844737204</v>
      </c>
      <c r="P52" s="29">
        <f t="array" ref="P52">Calibration!sL*SUM(P13:Q13*P26:Q26)</f>
        <v>2275872.5209247833</v>
      </c>
      <c r="R52" s="29">
        <f t="array" ref="R52">Calibration!sL*SUM(R13:S13*R26:S26)</f>
        <v>2304914.8382243756</v>
      </c>
      <c r="T52" s="29">
        <f t="array" ref="T52">Calibration!sL*SUM(T13:U13*T26:U26)</f>
        <v>2333681.2675695773</v>
      </c>
      <c r="V52" s="29">
        <f t="array" ref="V52">Calibration!sL*SUM(V13:W13*V26:W26)</f>
        <v>2363226.0362674687</v>
      </c>
      <c r="X52" s="29">
        <f t="array" ref="X52">Calibration!sL*SUM(X13:Y13*X26:Y26)</f>
        <v>2395708.104512596</v>
      </c>
      <c r="Z52" s="29">
        <f t="array" ref="Z52">Calibration!sL*SUM(Z13:AA13*Z26:AA26)</f>
        <v>2435121.4006440071</v>
      </c>
      <c r="AB52" s="29">
        <f t="array" ref="AB52">Calibration!sL*SUM(AB13:AC13*AB26:AC26)</f>
        <v>2487361.9775637425</v>
      </c>
      <c r="AD52" s="29">
        <f t="array" ref="AD52">Calibration!sL*SUM(AD13:AE13*AD26:AE26)</f>
        <v>2554925.8116607359</v>
      </c>
      <c r="AF52" s="29">
        <f t="array" ref="AF52">Calibration!sL*SUM(AF13:AG13*AF26:AG26)</f>
        <v>0</v>
      </c>
      <c r="AH52" s="29">
        <f t="array" ref="AH52">Calibration!sL*SUM(AH13:AI13*AH26:AI26)</f>
        <v>0</v>
      </c>
      <c r="AJ52" s="29">
        <f t="array" ref="AJ52">Calibration!sL*SUM(AJ13:AK13*AJ26:AK26)</f>
        <v>0</v>
      </c>
      <c r="AL52" s="29">
        <f t="array" ref="AL52">Calibration!sL*SUM(AL13:AM13*AL26:AM26)</f>
        <v>0</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2740714.4444297305</v>
      </c>
      <c r="D53" s="29">
        <f t="array" ref="D53">Calibration!sK*SUM(D15:E15*D27:E27)</f>
        <v>2689208.1194889294</v>
      </c>
      <c r="F53" s="29">
        <f t="array" ref="F53">Calibration!sK*SUM(F15:G15*F27:G27)</f>
        <v>2631672.1638519708</v>
      </c>
      <c r="H53" s="29">
        <f t="array" ref="H53">Calibration!sK*SUM(H15:I15*H27:I27)</f>
        <v>2567349.7673986028</v>
      </c>
      <c r="J53" s="29">
        <f t="array" ref="J53">Calibration!sK*SUM(J15:K15*J27:K27)</f>
        <v>2495284.1642769445</v>
      </c>
      <c r="L53" s="29">
        <f t="array" ref="L53">Calibration!sK*SUM(L15:M15*L27:M27)</f>
        <v>2414251.9891508184</v>
      </c>
      <c r="N53" s="29">
        <f t="array" ref="N53">Calibration!sK*SUM(N15:O15*N27:O27)</f>
        <v>2322628.7713979431</v>
      </c>
      <c r="P53" s="29">
        <f t="array" ref="P53">Calibration!sK*SUM(P15:Q15*P27:Q27)</f>
        <v>2218199.2737483857</v>
      </c>
      <c r="R53" s="29">
        <f t="array" ref="R53">Calibration!sK*SUM(R15:S15*R27:S27)</f>
        <v>2097795.0944484212</v>
      </c>
      <c r="T53" s="29">
        <f t="array" ref="T53">Calibration!sK*SUM(T15:U15*T27:U27)</f>
        <v>1956659.0045486768</v>
      </c>
      <c r="V53" s="29">
        <f t="array" ref="V53">Calibration!sK*SUM(V15:W15*V27:W27)</f>
        <v>1787278.3834599385</v>
      </c>
      <c r="X53" s="29">
        <f t="array" ref="X53">Calibration!sK*SUM(X15:Y15*X27:Y27)</f>
        <v>1577208.8969366825</v>
      </c>
      <c r="Z53" s="29">
        <f t="array" ref="Z53">Calibration!sK*SUM(Z15:AA15*Z27:AA27)</f>
        <v>1305199.956577224</v>
      </c>
      <c r="AB53" s="29">
        <f t="array" ref="AB53">Calibration!sK*SUM(AB15:AC15*AB27:AC27)</f>
        <v>936027.56719261198</v>
      </c>
      <c r="AD53" s="29">
        <f t="array" ref="AD53">Calibration!sK*SUM(AD15:AE15*AD27:AE27)</f>
        <v>422874.26025235408</v>
      </c>
      <c r="AF53" s="29">
        <f t="array" ref="AF53">Calibration!sK*SUM(AF15:AG15*AF27:AG27)</f>
        <v>0</v>
      </c>
      <c r="AH53" s="29">
        <f t="array" ref="AH53">Calibration!sK*SUM(AH15:AI15*AH27:AI27)</f>
        <v>0</v>
      </c>
      <c r="AJ53" s="29">
        <f t="array" ref="AJ53">Calibration!sK*SUM(AJ15:AK15*AJ27:AK27)</f>
        <v>0</v>
      </c>
      <c r="AL53" s="29">
        <f t="array" ref="AL53">Calibration!sK*SUM(AL15:AM15*AL27:AM27)</f>
        <v>0</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0.20690994785525618</v>
      </c>
      <c r="F55" s="193">
        <f>F30/F32</f>
        <v>0.21563885747292613</v>
      </c>
      <c r="H55" s="193">
        <f>H30/H32</f>
        <v>0.22476986998393123</v>
      </c>
      <c r="J55" s="193">
        <f>J30/J32</f>
        <v>0.23440184166969349</v>
      </c>
      <c r="L55" s="193">
        <f>L30/L32</f>
        <v>0.24466102172525545</v>
      </c>
      <c r="N55" s="193">
        <f>N30/N32</f>
        <v>0.25571907710917258</v>
      </c>
      <c r="P55" s="193">
        <f>P30/P32</f>
        <v>0.2678182115933298</v>
      </c>
      <c r="R55" s="193">
        <f>R30/R32</f>
        <v>0.28131880794349429</v>
      </c>
      <c r="T55" s="193">
        <f>T30/T32</f>
        <v>0.29678371325158781</v>
      </c>
      <c r="V55" s="193">
        <f>V30/V32</f>
        <v>0.31513302350097211</v>
      </c>
      <c r="X55" s="193">
        <f>X30/X32</f>
        <v>0.33793680801338477</v>
      </c>
      <c r="Z55" s="193">
        <f>Z30/Z32</f>
        <v>0.36795012961830703</v>
      </c>
      <c r="AB55" s="193">
        <f>AB30/AB32</f>
        <v>0.40990809196078637</v>
      </c>
      <c r="AD55" s="193">
        <f>AD30/AD32</f>
        <v>0.47077596724864279</v>
      </c>
      <c r="AF55" s="193" t="e">
        <f>AF30/AF32</f>
        <v>#DIV/0!</v>
      </c>
      <c r="AH55" s="193" t="e">
        <f>AH30/AH32</f>
        <v>#DIV/0!</v>
      </c>
      <c r="AJ55" s="193" t="e">
        <f>AJ30/AJ32</f>
        <v>#DIV/0!</v>
      </c>
      <c r="AL55" s="193" t="e">
        <f>AL30/AL32</f>
        <v>#DIV/0!</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3.6188375476779111E-2</v>
      </c>
      <c r="F56" s="193">
        <f>(Model!$C$52*F5*F20+F2*G5*G20)/F32</f>
        <v>4.3418398134921168E-2</v>
      </c>
      <c r="H56" s="193">
        <f>(Model!$C$52*H5*H20+H2*I5*I20)/H32</f>
        <v>5.0977694325508659E-2</v>
      </c>
      <c r="J56" s="193">
        <f>(Model!$C$52*J5*J20+J2*K5*K20)/J32</f>
        <v>5.8947866640505581E-2</v>
      </c>
      <c r="L56" s="193">
        <f>(Model!$C$52*L5*L20+L2*M5*M20)/L32</f>
        <v>6.743293226306675E-2</v>
      </c>
      <c r="N56" s="193">
        <f>(Model!$C$52*N5*N20+N2*O5*O20)/N32</f>
        <v>7.6574254927413932E-2</v>
      </c>
      <c r="P56" s="193">
        <f>(Model!$C$52*P5*P20+P2*Q5*Q20)/P32</f>
        <v>8.6570944811705519E-2</v>
      </c>
      <c r="R56" s="193">
        <f>(Model!$C$52*R5*R20+R2*S5*S20)/R32</f>
        <v>9.7718855747315675E-2</v>
      </c>
      <c r="T56" s="193">
        <f>(Model!$C$52*T5*T20+T2*U5*U20)/T32</f>
        <v>0.11047951267741309</v>
      </c>
      <c r="V56" s="193">
        <f>(Model!$C$52*V5*V20+V2*W5*W20)/V32</f>
        <v>0.12560662581290064</v>
      </c>
      <c r="X56" s="193">
        <f>(Model!$C$52*X5*X20+X2*Y5*Y20)/X32</f>
        <v>0.14438533428711489</v>
      </c>
      <c r="Z56" s="193">
        <f>(Model!$C$52*Z5*Z20+Z2*AA5*AA20)/Z32</f>
        <v>0.169069385192059</v>
      </c>
      <c r="AB56" s="193">
        <f>(Model!$C$52*AB5*AB20+AB2*AC5*AC20)/AB32</f>
        <v>0.20353055128945682</v>
      </c>
      <c r="AD56" s="193">
        <f>(Model!$C$52*AD5*AD20+AD2*AE5*AE20)/AD32</f>
        <v>0.25346208466021924</v>
      </c>
      <c r="AF56" s="193" t="e">
        <f>(Model!$C$52*AF5*AF20+AF2*AG5*AG20)/AF32</f>
        <v>#DIV/0!</v>
      </c>
      <c r="AH56" s="193" t="e">
        <f>(Model!$C$52*AH5*AH20+AH2*AI5*AI20)/AH32</f>
        <v>#DIV/0!</v>
      </c>
      <c r="AJ56" s="193" t="e">
        <f>(Model!$C$52*AJ5*AJ20+AJ2*AK5*AK20)/AJ32</f>
        <v>#DIV/0!</v>
      </c>
      <c r="AL56" s="193" t="e">
        <f>(Model!$C$52*AL5*AL20+AL2*AM5*AM20)/AL32</f>
        <v>#DIV/0!</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0.16005964135556347</v>
      </c>
      <c r="F57" s="193">
        <f t="array" ref="F57">SUM(Model!tauL*F13:G13*F26:G26)/F32</f>
        <v>0.16164903134438935</v>
      </c>
      <c r="H57" s="193">
        <f t="array" ref="H57">SUM(Model!tauL*H13:I13*H26:I26)/H32</f>
        <v>0.16331164060769618</v>
      </c>
      <c r="J57" s="193">
        <f t="array" ref="J57">SUM(Model!tauL*J13:K13*J26:K26)/J32</f>
        <v>0.16506544712816087</v>
      </c>
      <c r="L57" s="193">
        <f t="array" ref="L57">SUM(Model!tauL*L13:M13*L26:M26)/L32</f>
        <v>0.16693349636852617</v>
      </c>
      <c r="N57" s="193">
        <f t="array" ref="N57">SUM(Model!tauL*N13:O13*N26:O26)/N32</f>
        <v>0.16894699642498592</v>
      </c>
      <c r="P57" s="193">
        <f t="array" ref="P57">SUM(Model!tauL*P13:Q13*P26:Q26)/P32</f>
        <v>0.17115005386246995</v>
      </c>
      <c r="R57" s="193">
        <f t="array" ref="R57">SUM(Model!tauL*R13:S13*R26:S26)/R32</f>
        <v>0.17360829451841084</v>
      </c>
      <c r="T57" s="193">
        <f t="array" ref="T57">SUM(Model!tauL*T13:U13*T26:U26)/T32</f>
        <v>0.17642420488830396</v>
      </c>
      <c r="V57" s="193">
        <f t="array" ref="V57">SUM(Model!tauL*V13:W13*V26:W26)/V32</f>
        <v>0.17976531920218161</v>
      </c>
      <c r="X57" s="193">
        <f t="array" ref="X57">SUM(Model!tauL*X13:Y13*X26:Y26)/X32</f>
        <v>0.18391752246989515</v>
      </c>
      <c r="Y57" s="193"/>
      <c r="Z57" s="193">
        <f t="array" ref="Z57">SUM(Model!tauL*Z13:AA13*Z26:AA26)/Z32</f>
        <v>0.18938246446171814</v>
      </c>
      <c r="AB57" s="193">
        <f t="array" ref="AB57">SUM(Model!tauL*AB13:AC13*AB26:AC26)/AB32</f>
        <v>0.19702233469612931</v>
      </c>
      <c r="AD57" s="193">
        <f t="array" ref="AD57">SUM(Model!tauL*AD13:AE13*AD26:AE26)/AD32</f>
        <v>0.2081053966903966</v>
      </c>
      <c r="AF57" s="193" t="e">
        <f t="array" ref="AF57">SUM(Model!tauL*AF13:AG13*AF26:AG26)/AF32</f>
        <v>#DIV/0!</v>
      </c>
      <c r="AH57" s="193" t="e">
        <f t="array" ref="AH57">SUM(Model!tauL*AH13:AI13*AH26:AI26)/AH32</f>
        <v>#DIV/0!</v>
      </c>
      <c r="AJ57" s="193" t="e">
        <f t="array" ref="AJ57">SUM(Model!tauL*AJ13:AK13*AJ26:AK26)/AJ32</f>
        <v>#DIV/0!</v>
      </c>
      <c r="AL57" s="193" t="e">
        <f t="array" ref="AL57">SUM(Model!tauL*AL13:AM13*AL26:AM26)/AL32</f>
        <v>#DIV/0!</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1.0661931022913575E-2</v>
      </c>
      <c r="F58" s="193">
        <f t="array" ref="F58">SUM(Model!tauY/(1+Model!tauY)*F3:G3*F18:G18)/F32</f>
        <v>1.0571427993615634E-2</v>
      </c>
      <c r="H58" s="193">
        <f t="array" ref="H58">SUM(Model!tauY/(1+Model!tauY)*H3:I3*H18:I18)/H32</f>
        <v>1.0480535050726348E-2</v>
      </c>
      <c r="J58" s="193">
        <f t="array" ref="J58">SUM(Model!tauY/(1+Model!tauY)*J3:K3*J18:K18)/J32</f>
        <v>1.0388527901027018E-2</v>
      </c>
      <c r="L58" s="193">
        <f t="array" ref="L58">SUM(Model!tauY/(1+Model!tauY)*L3:M3*L18:M18)/L32</f>
        <v>1.0294593093662503E-2</v>
      </c>
      <c r="N58" s="193">
        <f t="array" ref="N58">SUM(Model!tauY/(1+Model!tauY)*N3:O3*N18:O18)/N32</f>
        <v>1.0197825756772761E-2</v>
      </c>
      <c r="P58" s="193">
        <f t="array" ref="P58">SUM(Model!tauY/(1+Model!tauY)*P3:Q3*P18:Q18)/P32</f>
        <v>1.0097212919154342E-2</v>
      </c>
      <c r="R58" s="193">
        <f t="array" ref="R58">SUM(Model!tauY/(1+Model!tauY)*R3:S3*R18:S18)/R32</f>
        <v>9.9916576777677717E-3</v>
      </c>
      <c r="T58" s="193">
        <f t="array" ref="T58">SUM(Model!tauY/(1+Model!tauY)*T3:U3*T18:U18)/T32</f>
        <v>9.8799956858707186E-3</v>
      </c>
      <c r="V58" s="193">
        <f t="array" ref="V58">SUM(Model!tauY/(1+Model!tauY)*V3:W3*V18:W18)/V32</f>
        <v>9.7610784858898972E-3</v>
      </c>
      <c r="X58" s="193">
        <f t="array" ref="X58">SUM(Model!tauY/(1+Model!tauY)*X3:Y3*X18:Y18)/X32</f>
        <v>9.6339512563746801E-3</v>
      </c>
      <c r="Y58" s="193"/>
      <c r="Z58" s="193">
        <f t="array" ref="Z58">SUM(Model!tauY/(1+Model!tauY)*Z3:AA3*Z18:AA18)/Z32</f>
        <v>9.4982799645299439E-3</v>
      </c>
      <c r="AB58" s="193">
        <f t="array" ref="AB58">SUM(Model!tauY/(1+Model!tauY)*AB3:AC3*AB18:AC18)/AB32</f>
        <v>9.3552059752002453E-3</v>
      </c>
      <c r="AD58" s="193">
        <f t="array" ref="AD58">SUM(Model!tauY/(1+Model!tauY)*AD3:AE3*AD18:AE18)/AD32</f>
        <v>9.2084858980269312E-3</v>
      </c>
      <c r="AF58" s="193" t="e">
        <f t="array" ref="AF58">SUM(Model!tauY/(1+Model!tauY)*AF3:AG3*AF18:AG18)/AF32</f>
        <v>#DIV/0!</v>
      </c>
      <c r="AH58" s="193" t="e">
        <f t="array" ref="AH58">SUM(Model!tauY/(1+Model!tauY)*AH3:AI3*AH18:AI18)/AH32</f>
        <v>#DIV/0!</v>
      </c>
      <c r="AJ58" s="193" t="e">
        <f t="array" ref="AJ58">SUM(Model!tauY/(1+Model!tauY)*AJ3:AK3*AJ18:AK18)/AJ32</f>
        <v>#DIV/0!</v>
      </c>
      <c r="AL58" s="193" t="e">
        <f t="array" ref="AL58">SUM(Model!tauY/(1+Model!tauY)*AL3:AM3*AL18:AM18)/AL32</f>
        <v>#DIV/0!</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7.5853497333829463E-3</v>
      </c>
      <c r="F59" s="193">
        <f>(F2*G5*G20)/F32</f>
        <v>1.4881834666790297E-2</v>
      </c>
      <c r="H59" s="193">
        <f>(H2*I5*I20)/H32</f>
        <v>2.2507824986565284E-2</v>
      </c>
      <c r="J59" s="193">
        <f>(J2*K5*K20)/J32</f>
        <v>3.0545144518005954E-2</v>
      </c>
      <c r="L59" s="193">
        <f>(L2*M5*M20)/L32</f>
        <v>3.9098068827742367E-2</v>
      </c>
      <c r="N59" s="193">
        <f>(N2*O5*O20)/N32</f>
        <v>4.8308308778498017E-2</v>
      </c>
      <c r="P59" s="193">
        <f>(P2*Q5*Q20)/P32</f>
        <v>5.8375494820042298E-2</v>
      </c>
      <c r="R59" s="193">
        <f>(R2*S5*S20)/R32</f>
        <v>6.9596325518918561E-2</v>
      </c>
      <c r="T59" s="193">
        <f>(T2*U5*U20)/T32</f>
        <v>8.2433786505062806E-2</v>
      </c>
      <c r="V59" s="193">
        <f>(V2*W5*W20)/V32</f>
        <v>9.7644195627295371E-2</v>
      </c>
      <c r="X59" s="193">
        <f>(X2*Y5*Y20)/X32</f>
        <v>0.11651745034304574</v>
      </c>
      <c r="Z59" s="193">
        <f>(Z2*AA5*AA20)/Z32</f>
        <v>0.14131594335500985</v>
      </c>
      <c r="AB59" s="193">
        <f>(AB2*AC5*AC20)/AB32</f>
        <v>0.17592604056704611</v>
      </c>
      <c r="AD59" s="193">
        <f>(AD2*AE5*AE20)/AD32</f>
        <v>0.22605957603517549</v>
      </c>
      <c r="AF59" s="193" t="e">
        <f>(AF2*AG5*AG20)/AF32</f>
        <v>#DIV/0!</v>
      </c>
      <c r="AH59" s="193" t="e">
        <f>(AH2*AI5*AI20)/AH32</f>
        <v>#DIV/0!</v>
      </c>
      <c r="AJ59" s="193" t="e">
        <f>(AJ2*AK5*AK20)/AJ32</f>
        <v>#DIV/0!</v>
      </c>
      <c r="AL59" s="193" t="e">
        <f>(AL2*AM5*AM20)/AL32</f>
        <v>#DIV/0!</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2.8603025743396161E-2</v>
      </c>
      <c r="F60" s="193">
        <f>Model!$C$52*F5*F20/F32</f>
        <v>2.8536563468130872E-2</v>
      </c>
      <c r="H60" s="193">
        <f>Model!$C$52*H5*H20/H32</f>
        <v>2.8469869338943379E-2</v>
      </c>
      <c r="J60" s="193">
        <f>Model!$C$52*J5*J20/J32</f>
        <v>2.840272212249963E-2</v>
      </c>
      <c r="L60" s="193">
        <f>Model!$C$52*L5*L20/L32</f>
        <v>2.8334863435324379E-2</v>
      </c>
      <c r="N60" s="193">
        <f>Model!$C$52*N5*N20/N32</f>
        <v>2.8265946148915911E-2</v>
      </c>
      <c r="P60" s="193">
        <f>Model!$C$52*P5*P20/P32</f>
        <v>2.8195449991663207E-2</v>
      </c>
      <c r="R60" s="193">
        <f>Model!$C$52*R5*R20/R32</f>
        <v>2.8122530228397103E-2</v>
      </c>
      <c r="T60" s="193">
        <f>Model!$C$52*T5*T20/T32</f>
        <v>2.8045726172350276E-2</v>
      </c>
      <c r="V60" s="193">
        <f>Model!$C$52*V5*V20/V32</f>
        <v>2.796243018560525E-2</v>
      </c>
      <c r="X60" s="193">
        <f>Model!$C$52*X5*X20/X32</f>
        <v>2.7867883944069149E-2</v>
      </c>
      <c r="Z60" s="193">
        <f>Model!$C$52*Z5*Z20/Z32</f>
        <v>2.7753441837049132E-2</v>
      </c>
      <c r="AB60" s="193">
        <f>Model!$C$52*AB5*AB20/AB32</f>
        <v>2.7604510722410689E-2</v>
      </c>
      <c r="AD60" s="193">
        <f>Model!$C$52*AD5*AD20/AD32</f>
        <v>2.7402508625043759E-2</v>
      </c>
      <c r="AF60" s="193" t="e">
        <f>Model!$C$52*AF5*AF20/AF32</f>
        <v>#DIV/0!</v>
      </c>
      <c r="AH60" s="193" t="e">
        <f>Model!$C$52*AH5*AH20/AH32</f>
        <v>#DIV/0!</v>
      </c>
      <c r="AJ60" s="193" t="e">
        <f>Model!$C$52*AJ5*AJ20/AJ32</f>
        <v>#DIV/0!</v>
      </c>
      <c r="AL60" s="193" t="e">
        <f>Model!$C$52*AL5*AL20/AL32</f>
        <v>#DIV/0!</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1.0224980141981861</v>
      </c>
      <c r="F62">
        <f>F13/F15</f>
        <v>1.0486484020579403</v>
      </c>
      <c r="H62">
        <f>H13/H15</f>
        <v>1.0792766068838726</v>
      </c>
      <c r="J62">
        <f>J13/J15</f>
        <v>1.1155126366261947</v>
      </c>
      <c r="L62">
        <f>L13/L15</f>
        <v>1.158944377040001</v>
      </c>
      <c r="N62">
        <f>N13/N15</f>
        <v>1.2118966686397898</v>
      </c>
      <c r="P62">
        <f>P13/P15</f>
        <v>1.2779222788817599</v>
      </c>
      <c r="R62">
        <f>R13/R15</f>
        <v>1.3627832305156837</v>
      </c>
      <c r="T62">
        <f>T13/T15</f>
        <v>1.4765365877284886</v>
      </c>
      <c r="V62">
        <f>V13/V15</f>
        <v>1.6384854511813309</v>
      </c>
      <c r="X62">
        <f>X13/X15</f>
        <v>1.8907582060608306</v>
      </c>
      <c r="Z62">
        <f>Z13/Z15</f>
        <v>2.3440834037844396</v>
      </c>
      <c r="AB62">
        <f>AB13/AB15</f>
        <v>3.3943156510579926</v>
      </c>
      <c r="AD62">
        <f>AD13/AD15</f>
        <v>7.9484762802551403</v>
      </c>
      <c r="AF62" t="e">
        <f>AF13/AF15</f>
        <v>#DIV/0!</v>
      </c>
      <c r="AH62" t="e">
        <f>AH13/AH15</f>
        <v>#DIV/0!</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0.99775713266918276</v>
      </c>
      <c r="E65" s="191"/>
      <c r="F65" s="191">
        <f t="array" ref="F65">SQRT((F9:G9*$B$22:$C$22+F10:G10*$B$23:$C$23+F11:G11*$B$24:$C$24+F4:G4*($B$25:$C$25-$B$19:$C$19))/($B$9:$C$9*$B$22:$C$22+$B$10:$C$10*$B$23:$C$23+$B$11:$C$11*$B$24:$C$24+$B$4:$C$4*($B$25:$C$25-$B$19:$C$19))*(F9:G9*F22:G22+F10:G10*F23:G23+F11:G11*F24:G24+F4:G4*(F25:G25-F19:G19))/($B$9:$C$9*F22:G22+$B$10:$C$10*F23:G23+$B$11:$C$11*F24:G24+$B$4:$C$4*(F25:G25-F19:G19)))</f>
        <v>0.99542326658900793</v>
      </c>
      <c r="G65" s="191"/>
      <c r="H65" s="191">
        <f t="array" ref="H65">SQRT((H9:I9*$B$22:$C$22+H10:I10*$B$23:$C$23+H11:I11*$B$24:$C$24+H4:I4*($B$25:$C$25-$B$19:$C$19))/($B$9:$C$9*$B$22:$C$22+$B$10:$C$10*$B$23:$C$23+$B$11:$C$11*$B$24:$C$24+$B$4:$C$4*($B$25:$C$25-$B$19:$C$19))*(H9:I9*H22:I22+H10:I10*H23:I23+H11:I11*H24:I24+H4:I4*(H25:I25-H19:I19))/($B$9:$C$9*H22:I22+$B$10:$C$10*H23:I23+$B$11:$C$11*H24:I24+$B$4:$C$4*(H25:I25-H19:I19)))</f>
        <v>0.99297465787620254</v>
      </c>
      <c r="I65" s="191"/>
      <c r="J65" s="191">
        <f t="array" ref="J65">SQRT((J9:K9*$B$22:$C$22+J10:K10*$B$23:$C$23+J11:K11*$B$24:$C$24+J4:K4*($B$25:$C$25-$B$19:$C$19))/($B$9:$C$9*$B$22:$C$22+$B$10:$C$10*$B$23:$C$23+$B$11:$C$11*$B$24:$C$24+$B$4:$C$4*($B$25:$C$25-$B$19:$C$19))*(J9:K9*J22:K22+J10:K10*J23:K23+J11:K11*J24:K24+J4:K4*(J25:K25-J19:K19))/($B$9:$C$9*J22:K22+$B$10:$C$10*J23:K23+$B$11:$C$11*J24:K24+$B$4:$C$4*(J25:K25-J19:K19)))</f>
        <v>0.9903864470970446</v>
      </c>
      <c r="K65" s="191"/>
      <c r="L65" s="191">
        <f t="array" ref="L65">SQRT((L9:M9*$B$22:$C$22+L10:M10*$B$23:$C$23+L11:M11*$B$24:$C$24+L4:M4*($B$25:$C$25-$B$19:$C$19))/($B$9:$C$9*$B$22:$C$22+$B$10:$C$10*$B$23:$C$23+$B$11:$C$11*$B$24:$C$24+$B$4:$C$4*($B$25:$C$25-$B$19:$C$19))*(L9:M9*L22:M22+L10:M10*L23:M23+L11:M11*L24:M24+L4:M4*(L25:M25-L19:M19))/($B$9:$C$9*L22:M22+$B$10:$C$10*L23:M23+$B$11:$C$11*L24:M24+$B$4:$C$4*(L25:M25-L19:M19)))</f>
        <v>0.98763387151827242</v>
      </c>
      <c r="M65" s="191"/>
      <c r="N65" s="191">
        <f t="array" ref="N65">SQRT((N9:O9*$B$22:$C$22+N10:O10*$B$23:$C$23+N11:O11*$B$24:$C$24+N4:O4*($B$25:$C$25-$B$19:$C$19))/($B$9:$C$9*$B$22:$C$22+$B$10:$C$10*$B$23:$C$23+$B$11:$C$11*$B$24:$C$24+$B$4:$C$4*($B$25:$C$25-$B$19:$C$19))*(N9:O9*N22:O22+N10:O10*N23:O23+N11:O11*N24:O24+N4:O4*(N25:O25-N19:O19))/($B$9:$C$9*N22:O22+$B$10:$C$10*N23:O23+$B$11:$C$11*N24:O24+$B$4:$C$4*(N25:O25-N19:O19)))</f>
        <v>0.98469407704155021</v>
      </c>
      <c r="O65" s="191"/>
      <c r="P65" s="191">
        <f t="array" ref="P65">SQRT((P9:Q9*$B$22:$C$22+P10:Q10*$B$23:$C$23+P11:Q11*$B$24:$C$24+P4:Q4*($B$25:$C$25-$B$19:$C$19))/($B$9:$C$9*$B$22:$C$22+$B$10:$C$10*$B$23:$C$23+$B$11:$C$11*$B$24:$C$24+$B$4:$C$4*($B$25:$C$25-$B$19:$C$19))*(P9:Q9*P22:Q22+P10:Q10*P23:Q23+P11:Q11*P24:Q24+P4:Q4*(P25:Q25-P19:Q19))/($B$9:$C$9*P22:Q22+$B$10:$C$10*P23:Q23+$B$11:$C$11*P24:Q24+$B$4:$C$4*(P25:Q25-P19:Q19)))</f>
        <v>0.98155021949832855</v>
      </c>
      <c r="Q65" s="191"/>
      <c r="R65" s="191">
        <f t="array" ref="R65">SQRT((R9:S9*$B$22:$C$22+R10:S10*$B$23:$C$23+R11:S11*$B$24:$C$24+R4:S4*($B$25:$C$25-$B$19:$C$19))/($B$9:$C$9*$B$22:$C$22+$B$10:$C$10*$B$23:$C$23+$B$11:$C$11*$B$24:$C$24+$B$4:$C$4*($B$25:$C$25-$B$19:$C$19))*(R9:S9*R22:S22+R10:S10*R23:S23+R11:S11*R24:S24+R4:S4*(R25:S25-R19:S19))/($B$9:$C$9*R22:S22+$B$10:$C$10*R23:S23+$B$11:$C$11*R24:S24+$B$4:$C$4*(R25:S25-R19:S19)))</f>
        <v>0.97819804035280666</v>
      </c>
      <c r="S65" s="191"/>
      <c r="T65" s="191">
        <f t="array" ref="T65">SQRT((T9:U9*$B$22:$C$22+T10:U10*$B$23:$C$23+T11:U11*$B$24:$C$24+T4:U4*($B$25:$C$25-$B$19:$C$19))/($B$9:$C$9*$B$22:$C$22+$B$10:$C$10*$B$23:$C$23+$B$11:$C$11*$B$24:$C$24+$B$4:$C$4*($B$25:$C$25-$B$19:$C$19))*(T9:U9*T22:U22+T10:U10*T23:U23+T11:U11*T24:U24+T4:U4*(T25:U25-T19:U19))/($B$9:$C$9*T22:U22+$B$10:$C$10*T23:U23+$B$11:$C$11*T24:U24+$B$4:$C$4*(T25:U25-T19:U19)))</f>
        <v>0.97465799130341457</v>
      </c>
      <c r="U65" s="191"/>
      <c r="V65" s="191">
        <f t="array" ref="V65">SQRT((V9:W9*$B$22:$C$22+V10:W10*$B$23:$C$23+V11:W11*$B$24:$C$24+V4:W4*($B$25:$C$25-$B$19:$C$19))/($B$9:$C$9*$B$22:$C$22+$B$10:$C$10*$B$23:$C$23+$B$11:$C$11*$B$24:$C$24+$B$4:$C$4*($B$25:$C$25-$B$19:$C$19))*(V9:W9*V22:W22+V10:W10*V23:W23+V11:W11*V24:W24+V4:W4*(V25:W25-V19:W19))/($B$9:$C$9*V22:W22+$B$10:$C$10*V23:W23+$B$11:$C$11*V24:W24+$B$4:$C$4*(V25:W25-V19:W19)))</f>
        <v>0.97099756245608992</v>
      </c>
      <c r="W65" s="191"/>
      <c r="X65" s="191">
        <f t="array" ref="X65">SQRT((X9:Y9*$B$22:$C$22+X10:Y10*$B$23:$C$23+X11:Y11*$B$24:$C$24+X4:Y4*($B$25:$C$25-$B$19:$C$19))/($B$9:$C$9*$B$22:$C$22+$B$10:$C$10*$B$23:$C$23+$B$11:$C$11*$B$24:$C$24+$B$4:$C$4*($B$25:$C$25-$B$19:$C$19))*(X9:Y9*X22:Y22+X10:Y10*X23:Y23+X11:Y11*X24:Y24+X4:Y4*(X25:Y25-X19:Y19))/($B$9:$C$9*X22:Y22+$B$10:$C$10*X23:Y23+$B$11:$C$11*X24:Y24+$B$4:$C$4*(X25:Y25-X19:Y19)))</f>
        <v>0.96737292701255662</v>
      </c>
      <c r="Y65" s="191"/>
      <c r="Z65" s="191">
        <f t="array" ref="Z65">SQRT((Z9:AA9*$B$22:$C$22+Z10:AA10*$B$23:$C$23+Z11:AA11*$B$24:$C$24+Z4:AA4*($B$25:$C$25-$B$19:$C$19))/($B$9:$C$9*$B$22:$C$22+$B$10:$C$10*$B$23:$C$23+$B$11:$C$11*$B$24:$C$24+$B$4:$C$4*($B$25:$C$25-$B$19:$C$19))*(Z9:AA9*Z22:AA22+Z10:AA10*Z23:AA23+Z11:AA11*Z24:AA24+Z4:AA4*(Z25:AA25-Z19:AA19))/($B$9:$C$9*Z22:AA22+$B$10:$C$10*Z23:AA23+$B$11:$C$11*Z24:AA24+$B$4:$C$4*(Z25:AA25-Z19:AA19)))</f>
        <v>0.96410154767015144</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0.96174939120213776</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0.96105254219939829</v>
      </c>
      <c r="AE65" s="191"/>
      <c r="AF65" s="191" t="e">
        <f t="array" ref="AF65">SQRT((AF9:AG9*$B$22:$C$22+AF10:AG10*$B$23:$C$23+AF11:AG11*$B$24:$C$24+AF4:AG4*($B$25:$C$25-$B$19:$C$19))/($B$9:$C$9*$B$22:$C$22+$B$10:$C$10*$B$23:$C$23+$B$11:$C$11*$B$24:$C$24+$B$4:$C$4*($B$25:$C$25-$B$19:$C$19))*(AF9:AG9*AF22:AG22+AF10:AG10*AF23:AG23+AF11:AG11*AF24:AG24+AF4:AG4*(AF25:AG25-AF19:AG19))/($B$9:$C$9*AF22:AG22+$B$10:$C$10*AF23:AG23+$B$11:$C$11*AF24:AG24+$B$4:$C$4*(AF25:AG25-AF19:AG19)))</f>
        <v>#DIV/0!</v>
      </c>
      <c r="AG65" s="191"/>
      <c r="AH65" s="191" t="e">
        <f t="array" ref="AH65">SQRT((AH9:AI9*$B$22:$C$22+AH10:AI10*$B$23:$C$23+AH11:AI11*$B$24:$C$24+AH4:AI4*($B$25:$C$25-$B$19:$C$19))/($B$9:$C$9*$B$22:$C$22+$B$10:$C$10*$B$23:$C$23+$B$11:$C$11*$B$24:$C$24+$B$4:$C$4*($B$25:$C$25-$B$19:$C$19))*(AH9:AI9*AH22:AI22+AH10:AI10*AH23:AI23+AH11:AI11*AH24:AI24+AH4:AI4*(AH25:AI25-AH19:AI19))/($B$9:$C$9*AH22:AI22+$B$10:$C$10*AH23:AI23+$B$11:$C$11*AH24:AI24+$B$4:$C$4*(AH25:AI25-AH19:AI19)))</f>
        <v>#DIV/0!</v>
      </c>
      <c r="AI65" s="191"/>
      <c r="AJ65" s="19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91"/>
      <c r="AL65" s="19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0.99753283430525397</v>
      </c>
      <c r="E66" s="191"/>
      <c r="F66" s="191">
        <f t="array" ref="F66">SQRT((F9:G9*$B$22:$C$22)/($B$9:$C$9*$B$22:$C$22)*(F9:G9*F22:G22)/($B$9:$C$9*F22:G22))</f>
        <v>0.99496085787164434</v>
      </c>
      <c r="G66" s="191"/>
      <c r="H66" s="191">
        <f t="array" ref="H66">SQRT((H9:I9*$B$22:$C$22)/($B$9:$C$9*$B$22:$C$22)*(H9:I9*H22:I22)/($B$9:$C$9*H22:I22))</f>
        <v>0.99225719606881568</v>
      </c>
      <c r="I66" s="191"/>
      <c r="J66" s="191">
        <f t="array" ref="J66">SQRT((J9:K9*$B$22:$C$22)/($B$9:$C$9*$B$22:$C$22)*(J9:K9*J22:K22)/($B$9:$C$9*J22:K22))</f>
        <v>0.98939347663828892</v>
      </c>
      <c r="K66" s="191"/>
      <c r="L66" s="191">
        <f t="array" ref="L66">SQRT((L9:M9*$B$22:$C$22)/($B$9:$C$9*$B$22:$C$22)*(L9:M9*L22:M22)/($B$9:$C$9*L22:M22))</f>
        <v>0.9863411243733573</v>
      </c>
      <c r="M66" s="191"/>
      <c r="N66" s="191">
        <f t="array" ref="N66">SQRT((N9:O9*$B$22:$C$22)/($B$9:$C$9*$B$22:$C$22)*(N9:O9*N22:O22)/($B$9:$C$9*N22:O22))</f>
        <v>0.98307333246421491</v>
      </c>
      <c r="O66" s="191"/>
      <c r="P66" s="191">
        <f t="array" ref="P66">SQRT((P9:Q9*$B$22:$C$22)/($B$9:$C$9*$B$22:$C$22)*(P9:Q9*P22:Q22)/($B$9:$C$9*P22:Q22))</f>
        <v>0.97956961280132115</v>
      </c>
      <c r="Q66" s="191"/>
      <c r="R66" s="191">
        <f t="array" ref="R66">SQRT((R9:S9*$B$22:$C$22)/($B$9:$C$9*$B$22:$C$22)*(R9:S9*R22:S22)/($B$9:$C$9*R22:S22))</f>
        <v>0.97582319474371404</v>
      </c>
      <c r="S66" s="191"/>
      <c r="T66" s="191">
        <f t="array" ref="T66">SQRT((T9:U9*$B$22:$C$22)/($B$9:$C$9*$B$22:$C$22)*(T9:U9*T22:U22)/($B$9:$C$9*T22:U22))</f>
        <v>0.97185481225177439</v>
      </c>
      <c r="U66" s="191"/>
      <c r="V66" s="191">
        <f t="array" ref="V66">SQRT((V9:W9*$B$22:$C$22)/($B$9:$C$9*$B$22:$C$22)*(V9:W9*V22:W22)/($B$9:$C$9*V22:W22))</f>
        <v>0.96773830795740812</v>
      </c>
      <c r="W66" s="191"/>
      <c r="X66" s="191">
        <f t="array" ref="X66">SQRT((X9:Y9*$B$22:$C$22)/($B$9:$C$9*$B$22:$C$22)*(X9:Y9*X22:Y22)/($B$9:$C$9*X22:Y22))</f>
        <v>0.96364867376893704</v>
      </c>
      <c r="Y66" s="191"/>
      <c r="Z66" s="191">
        <f t="array" ref="Z66">SQRT((Z9:AA9*$B$22:$C$22)/($B$9:$C$9*$B$22:$C$22)*(Z9:AA9*Z22:AA22)/($B$9:$C$9*Z22:AA22))</f>
        <v>0.95994615123195626</v>
      </c>
      <c r="AA66" s="191"/>
      <c r="AB66" s="191">
        <f t="array" ref="AB66">SQRT((AB9:AC9*$B$22:$C$22)/($B$9:$C$9*$B$22:$C$22)*(AB9:AC9*AB22:AC22)/($B$9:$C$9*AB22:AC22))</f>
        <v>0.95727768449981054</v>
      </c>
      <c r="AC66" s="191"/>
      <c r="AD66" s="191">
        <f t="array" ref="AD66">SQRT((AD9:AE9*$B$22:$C$22)/($B$9:$C$9*$B$22:$C$22)*(AD9:AE9*AD22:AE22)/($B$9:$C$9*AD22:AE22))</f>
        <v>0.95648762944368004</v>
      </c>
      <c r="AE66" s="191"/>
      <c r="AF66" s="191" t="e">
        <f t="array" ref="AF66">SQRT((AF9:AG9*$B$22:$C$22)/($B$9:$C$9*$B$22:$C$22)*(AF9:AG9*AF22:AG22)/($B$9:$C$9*AF22:AG22))</f>
        <v>#DIV/0!</v>
      </c>
      <c r="AG66" s="191"/>
      <c r="AH66" s="191" t="e">
        <f t="array" ref="AH66">SQRT((AH9:AI9*$B$22:$C$22)/($B$9:$C$9*$B$22:$C$22)*(AH9:AI9*AH22:AI22)/($B$9:$C$9*AH22:AI22))</f>
        <v>#DIV/0!</v>
      </c>
      <c r="AI66" s="191"/>
      <c r="AJ66" s="191" t="e">
        <f t="array" ref="AJ66">SQRT((AJ9:AK9*$B$22:$C$22)/($B$9:$C$9*$B$22:$C$22)*(AJ9:AK9*AJ22:AK22)/($B$9:$C$9*AJ22:AK22))</f>
        <v>#DIV/0!</v>
      </c>
      <c r="AK66" s="191"/>
      <c r="AL66" s="191" t="e">
        <f t="array" ref="AL66">SQRT((AL9:AM9*$B$22:$C$22)/($B$9:$C$9*$B$22:$C$22)*(AL9:AM9*AL22:AM22)/($B$9:$C$9*AL22:AM22))</f>
        <v>#DIV/0!</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t="e">
        <f t="array" ref="AF67">SQRT((AF4:AG4*$B$19:$C$19)/($B$4:$C$4*$B$19:$C$19)*(AF4:AG4*AF19:AG19)/($B$4:$C$4*AF19:AG19))</f>
        <v>#DIV/0!</v>
      </c>
      <c r="AG67" s="191"/>
      <c r="AH67" s="191" t="e">
        <f t="array" ref="AH67">SQRT((AH4:AI4*$B$19:$C$19)/($B$4:$C$4*$B$19:$C$19)*(AH4:AI4*AH19:AI19)/($B$4:$C$4*AH19:AI19))</f>
        <v>#DIV/0!</v>
      </c>
      <c r="AI67" s="191"/>
      <c r="AJ67" s="191" t="e">
        <f t="array" ref="AJ67">SQRT((AJ4:AK4*$B$19:$C$19)/($B$4:$C$4*$B$19:$C$19)*(AJ4:AK4*AJ19:AK19)/($B$4:$C$4*AJ19:AK19))</f>
        <v>#DIV/0!</v>
      </c>
      <c r="AK67" s="191"/>
      <c r="AL67" s="191" t="e">
        <f t="array" ref="AL67">SQRT((AL4:AM4*$B$19:$C$19)/($B$4:$C$4*$B$19:$C$19)*(AL4:AM4*AL19:AM19)/($B$4:$C$4*AL19:AM19))</f>
        <v>#DIV/0!</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0.99753283430525397</v>
      </c>
      <c r="E68" s="191"/>
      <c r="F68" s="191">
        <f>F66/F67</f>
        <v>0.99496085787164434</v>
      </c>
      <c r="G68" s="191"/>
      <c r="H68" s="191">
        <f>H66/H67</f>
        <v>0.99225719606881568</v>
      </c>
      <c r="I68" s="191"/>
      <c r="J68" s="191">
        <f>J66/J67</f>
        <v>0.98939347663828892</v>
      </c>
      <c r="K68" s="191"/>
      <c r="L68" s="191">
        <f>L66/L67</f>
        <v>0.9863411243733573</v>
      </c>
      <c r="M68" s="191"/>
      <c r="N68" s="191">
        <f>N66/N67</f>
        <v>0.98307333246421491</v>
      </c>
      <c r="O68" s="191"/>
      <c r="P68" s="191">
        <f>P66/P67</f>
        <v>0.97956961280132115</v>
      </c>
      <c r="Q68" s="191"/>
      <c r="R68" s="191">
        <f>R66/R67</f>
        <v>0.97582319474371404</v>
      </c>
      <c r="S68" s="191"/>
      <c r="T68" s="191">
        <f>T66/T67</f>
        <v>0.97185481225177439</v>
      </c>
      <c r="U68" s="191"/>
      <c r="V68" s="191">
        <f>V66/V67</f>
        <v>0.96773830795740812</v>
      </c>
      <c r="W68" s="191"/>
      <c r="X68" s="191">
        <f>X66/X67</f>
        <v>0.96364867376893704</v>
      </c>
      <c r="Y68" s="191"/>
      <c r="Z68" s="191">
        <f>Z66/Z67</f>
        <v>0.95994615123195626</v>
      </c>
      <c r="AA68" s="191"/>
      <c r="AB68" s="191">
        <f>AB66/AB67</f>
        <v>0.95727768449981054</v>
      </c>
      <c r="AC68" s="191"/>
      <c r="AD68" s="191">
        <f>AD66/AD67</f>
        <v>0.95648762944368004</v>
      </c>
      <c r="AE68" s="191"/>
      <c r="AF68" s="191" t="e">
        <f>AF66/AF67</f>
        <v>#DIV/0!</v>
      </c>
      <c r="AG68" s="191"/>
      <c r="AH68" s="191" t="e">
        <f>AH66/AH67</f>
        <v>#DIV/0!</v>
      </c>
      <c r="AI68" s="191"/>
      <c r="AJ68" s="191" t="e">
        <f>AJ66/AJ67</f>
        <v>#DIV/0!</v>
      </c>
      <c r="AK68" s="191"/>
      <c r="AL68" s="191" t="e">
        <f>AL66/AL67</f>
        <v>#DIV/0!</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1.0095204246447786</v>
      </c>
      <c r="E69" s="191"/>
      <c r="F69" s="191">
        <f>F32/F65/($B$32)</f>
        <v>1.0183064264581936</v>
      </c>
      <c r="G69" s="191"/>
      <c r="H69" s="191">
        <f>H32/H65/($B$32)</f>
        <v>1.0262977893046967</v>
      </c>
      <c r="I69" s="191"/>
      <c r="J69" s="191">
        <f>J32/J65/($B$32)</f>
        <v>1.0334064029179069</v>
      </c>
      <c r="K69" s="191"/>
      <c r="L69" s="191">
        <f>L32/L65/($B$32)</f>
        <v>1.0395120043372219</v>
      </c>
      <c r="M69" s="191"/>
      <c r="N69" s="191">
        <f>N32/N65/($B$32)</f>
        <v>1.0444544779668359</v>
      </c>
      <c r="O69" s="191"/>
      <c r="P69" s="191">
        <f>P32/P65/($B$32)</f>
        <v>1.0480261227645569</v>
      </c>
      <c r="Q69" s="191"/>
      <c r="R69" s="191">
        <f>R32/R65/($B$32)</f>
        <v>1.0499566413558377</v>
      </c>
      <c r="S69" s="191"/>
      <c r="T69" s="191">
        <f>T32/T65/($B$32)</f>
        <v>1.0498925735706164</v>
      </c>
      <c r="U69" s="191"/>
      <c r="V69" s="191">
        <f>V32/V65/($B$32)</f>
        <v>1.0473575149501009</v>
      </c>
      <c r="W69" s="191"/>
      <c r="X69" s="191">
        <f>X32/X65/($B$32)</f>
        <v>1.0416710763492725</v>
      </c>
      <c r="Y69" s="191"/>
      <c r="Z69" s="191">
        <f>Z32/Z65/($B$32)</f>
        <v>1.0317436722032731</v>
      </c>
      <c r="AA69" s="191"/>
      <c r="AB69" s="191">
        <f>AB32/AB65/($B$32)</f>
        <v>1.0154892972325251</v>
      </c>
      <c r="AC69" s="191"/>
      <c r="AD69" s="191">
        <f>AD32/AD65/($B$32)</f>
        <v>0.98823802327422894</v>
      </c>
      <c r="AE69" s="191"/>
      <c r="AF69" s="191" t="e">
        <f>AF32/AF65/($B$32)</f>
        <v>#DIV/0!</v>
      </c>
      <c r="AG69" s="191"/>
      <c r="AH69" s="191" t="e">
        <f>AH32/AH65/($B$32)</f>
        <v>#DIV/0!</v>
      </c>
      <c r="AI69" s="191"/>
      <c r="AJ69" s="191" t="e">
        <f>AJ32/AJ65/($B$32)</f>
        <v>#DIV/0!</v>
      </c>
      <c r="AK69" s="191"/>
      <c r="AL69" s="191" t="e">
        <f>AL32/AL65/($B$32)</f>
        <v>#DIV/0!</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1.0084047267499296</v>
      </c>
      <c r="E70" s="138"/>
      <c r="F70" s="138">
        <f>F18/$B$18</f>
        <v>1.0161146099730445</v>
      </c>
      <c r="G70" s="138"/>
      <c r="H70" s="138">
        <f>H18/$B$18</f>
        <v>1.0230812405521827</v>
      </c>
      <c r="I70" s="138"/>
      <c r="J70" s="138">
        <f>J18/$B$18</f>
        <v>1.0292295063542614</v>
      </c>
      <c r="K70" s="138"/>
      <c r="L70" s="138">
        <f>L18/$B$18</f>
        <v>1.0344519522927937</v>
      </c>
      <c r="M70" s="138"/>
      <c r="N70" s="138">
        <f>N18/$B$18</f>
        <v>1.038598269093852</v>
      </c>
      <c r="O70" s="138"/>
      <c r="P70" s="138">
        <f>P18/$B$18</f>
        <v>1.0414619083144832</v>
      </c>
      <c r="Q70" s="138"/>
      <c r="R70" s="138">
        <f>R18/$B$18</f>
        <v>1.0427551712810224</v>
      </c>
      <c r="S70" s="138"/>
      <c r="T70" s="138">
        <f>T18/$B$18</f>
        <v>1.0420696628218493</v>
      </c>
      <c r="U70" s="138"/>
      <c r="V70" s="138">
        <f>V18/$B$18</f>
        <v>1.0388019735804768</v>
      </c>
      <c r="W70" s="138"/>
      <c r="X70" s="138">
        <f>X18/$B$18</f>
        <v>1.0320093150885485</v>
      </c>
      <c r="Y70" s="138"/>
      <c r="Z70" s="138">
        <f>Z18/$B$18</f>
        <v>1.0201013919916495</v>
      </c>
      <c r="AA70" s="138"/>
      <c r="AB70" s="138">
        <f>AB18/$B$18</f>
        <v>1.000161906490419</v>
      </c>
      <c r="AC70" s="138"/>
      <c r="AD70" s="138">
        <f>AD18/$B$18</f>
        <v>0.96663579623694129</v>
      </c>
      <c r="AE70" s="138"/>
      <c r="AF70" s="138">
        <f>AF18/$B$18</f>
        <v>0</v>
      </c>
      <c r="AG70" s="138"/>
      <c r="AH70" s="138">
        <f>AH18/$B$18</f>
        <v>0</v>
      </c>
      <c r="AI70" s="138"/>
      <c r="AJ70" s="138">
        <f>AJ18/$B$18</f>
        <v>0</v>
      </c>
      <c r="AK70" s="138"/>
      <c r="AL70" s="138">
        <f>AL18/$B$18</f>
        <v>0</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0.91994660442399356</v>
      </c>
      <c r="E71" s="138"/>
      <c r="F71" s="138">
        <f>G18/$C$18</f>
        <v>0.83966621648024309</v>
      </c>
      <c r="G71" s="138"/>
      <c r="H71" s="138">
        <f>I18/$C$18</f>
        <v>0.7591640240063976</v>
      </c>
      <c r="I71" s="138"/>
      <c r="J71" s="138">
        <f>K18/$C$18</f>
        <v>0.67849449883315993</v>
      </c>
      <c r="K71" s="138"/>
      <c r="L71" s="138">
        <f>M18/$C$18</f>
        <v>0.597791717242391</v>
      </c>
      <c r="M71" s="138"/>
      <c r="N71" s="138">
        <f>O18/$C$18</f>
        <v>0.5173053267315828</v>
      </c>
      <c r="O71" s="138"/>
      <c r="P71" s="138">
        <f>Q18/$C$18</f>
        <v>0.43745697342005985</v>
      </c>
      <c r="Q71" s="138"/>
      <c r="R71" s="138">
        <f>S18/$C$18</f>
        <v>0.35892325868755975</v>
      </c>
      <c r="S71" s="138"/>
      <c r="T71" s="138">
        <f>U18/$C$18</f>
        <v>0.28274240113759441</v>
      </c>
      <c r="U71" s="138"/>
      <c r="V71" s="138">
        <f>W18/$C$18</f>
        <v>0.21047835110760207</v>
      </c>
      <c r="W71" s="138"/>
      <c r="X71" s="138">
        <f>Y18/$C$18</f>
        <v>0.14443240815158073</v>
      </c>
      <c r="Y71" s="138"/>
      <c r="Z71" s="138">
        <f>AA18/$C$18</f>
        <v>8.7841138008264236E-2</v>
      </c>
      <c r="AA71" s="138"/>
      <c r="AB71" s="138">
        <f>AC18/$C$18</f>
        <v>4.4653617341426248E-2</v>
      </c>
      <c r="AC71" s="138"/>
      <c r="AD71" s="138">
        <f>AE18/$C$18</f>
        <v>1.7758960307173947E-2</v>
      </c>
      <c r="AE71" s="138"/>
      <c r="AF71" s="138">
        <f>AG18/$C$18</f>
        <v>0</v>
      </c>
      <c r="AG71" s="138"/>
      <c r="AH71" s="138">
        <f>AI18/$C$18</f>
        <v>0</v>
      </c>
      <c r="AI71" s="138"/>
      <c r="AJ71" s="138">
        <f>AK18/$C$18</f>
        <v>0</v>
      </c>
      <c r="AK71" s="138"/>
      <c r="AL71" s="138">
        <f>AM18/$C$18</f>
        <v>0</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1.0633003320289935</v>
      </c>
      <c r="E72" s="138"/>
      <c r="F72" s="138">
        <f>G19/$C$19</f>
        <v>1.1359269064344248</v>
      </c>
      <c r="G72" s="138"/>
      <c r="H72" s="138">
        <f>I19/$C$19</f>
        <v>1.2192268394910624</v>
      </c>
      <c r="I72" s="138"/>
      <c r="J72" s="138">
        <f>K19/$C$19</f>
        <v>1.3145917944277254</v>
      </c>
      <c r="K72" s="138"/>
      <c r="L72" s="138">
        <f>M19/$C$19</f>
        <v>1.4233383816014977</v>
      </c>
      <c r="M72" s="138"/>
      <c r="N72" s="138">
        <f>O19/$C$19</f>
        <v>1.5465672537372448</v>
      </c>
      <c r="O72" s="138"/>
      <c r="P72" s="138">
        <f>Q19/$C$19</f>
        <v>1.6848118892226445</v>
      </c>
      <c r="Q72" s="138"/>
      <c r="R72" s="138">
        <f>S19/$C$19</f>
        <v>1.8375201601376934</v>
      </c>
      <c r="S72" s="138"/>
      <c r="T72" s="138">
        <f>U19/$C$19</f>
        <v>2.0021228355004208</v>
      </c>
      <c r="U72" s="138"/>
      <c r="V72" s="138">
        <f>W19/$C$19</f>
        <v>2.1723417631898068</v>
      </c>
      <c r="W72" s="138"/>
      <c r="X72" s="138">
        <f>Y19/$C$19</f>
        <v>2.3351247661219183</v>
      </c>
      <c r="Y72" s="138"/>
      <c r="Z72" s="138">
        <f>AA19/$C$19</f>
        <v>2.4653834431991482</v>
      </c>
      <c r="AA72" s="138"/>
      <c r="AB72" s="138">
        <f>AC19/$C$19</f>
        <v>2.5196395847737012</v>
      </c>
      <c r="AC72" s="138"/>
      <c r="AD72" s="138">
        <f>AE19/$C$19</f>
        <v>2.4405180885511952</v>
      </c>
      <c r="AE72" s="138"/>
      <c r="AF72" s="138">
        <f>AG19/$C$19</f>
        <v>0</v>
      </c>
      <c r="AG72" s="138"/>
      <c r="AH72" s="138">
        <f>AI19/$C$19</f>
        <v>0</v>
      </c>
      <c r="AI72" s="138"/>
      <c r="AJ72" s="138">
        <f>AK19/$C$19</f>
        <v>0</v>
      </c>
      <c r="AK72" s="138"/>
      <c r="AL72" s="138">
        <f>AM19/$C$19</f>
        <v>0</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0.47641153352875065</v>
      </c>
      <c r="D73" s="193">
        <f t="array" ref="D73">SUM(D9:E9*D22:E22)/D32</f>
        <v>0.47641154396432794</v>
      </c>
      <c r="E73" s="138"/>
      <c r="F73" s="193">
        <f t="array" ref="F73">SUM(F9:G9*F22:G22)/F32</f>
        <v>0.47641153536876074</v>
      </c>
      <c r="G73" s="138"/>
      <c r="H73" s="193">
        <f t="array" ref="H73">SUM(H9:I9*H22:I22)/H32</f>
        <v>0.47641153569210398</v>
      </c>
      <c r="I73" s="138"/>
      <c r="J73" s="193">
        <f t="array" ref="J73">SUM(J9:K9*J22:K22)/J32</f>
        <v>0.47641158989928634</v>
      </c>
      <c r="K73" s="138"/>
      <c r="L73" s="193">
        <f t="array" ref="L73">SUM(L9:M9*L22:M22)/L32</f>
        <v>0.47641153668464659</v>
      </c>
      <c r="M73" s="138"/>
      <c r="N73" s="193">
        <f t="array" ref="N73">SUM(N9:O9*N22:O22)/N32</f>
        <v>0.47641153372040485</v>
      </c>
      <c r="O73" s="138"/>
      <c r="P73" s="193">
        <f t="array" ref="P73">SUM(P9:Q9*P22:Q22)/P32</f>
        <v>0.47641155766894999</v>
      </c>
      <c r="Q73" s="138"/>
      <c r="R73" s="193">
        <f t="array" ref="R73">SUM(R9:S9*R22:S22)/R32</f>
        <v>0.47641155251639089</v>
      </c>
      <c r="S73" s="138"/>
      <c r="T73" s="193">
        <f t="array" ref="T73">SUM(T9:U9*T22:U22)/T32</f>
        <v>0.47641154915721412</v>
      </c>
      <c r="U73" s="138"/>
      <c r="V73" s="193">
        <f t="array" ref="V73">SUM(V9:W9*V22:W22)/V32</f>
        <v>0.47641153445423085</v>
      </c>
      <c r="W73" s="138"/>
      <c r="X73" s="193">
        <f t="array" ref="X73">SUM(X9:Y9*X22:Y22)/X32</f>
        <v>0.47641153739374825</v>
      </c>
      <c r="Y73" s="138"/>
      <c r="Z73" s="193">
        <f t="array" ref="Z73">SUM(Z9:AA9*Z22:AA22)/Z32</f>
        <v>0.47641153279069359</v>
      </c>
      <c r="AA73" s="138"/>
      <c r="AB73" s="193">
        <f t="array" ref="AB73">SUM(AB9:AC9*AB22:AC22)/AB32</f>
        <v>0.47641153333792435</v>
      </c>
      <c r="AC73" s="138"/>
      <c r="AD73" s="193">
        <f t="array" ref="AD73">SUM(AD9:AE9*AD22:AE22)/AD32</f>
        <v>0.47641153368056982</v>
      </c>
      <c r="AE73" s="138"/>
      <c r="AF73" s="193" t="e">
        <f t="array" ref="AF73">SUM(AF9:AG9*AF22:AG22)/AF32</f>
        <v>#DIV/0!</v>
      </c>
      <c r="AG73" s="138"/>
      <c r="AH73" s="193" t="e">
        <f t="array" ref="AH73">SUM(AH9:AI9*AH22:AI22)/AH32</f>
        <v>#DIV/0!</v>
      </c>
      <c r="AI73" s="138"/>
      <c r="AJ73" s="193" t="e">
        <f t="array" ref="AJ73">SUM(AJ9:AK9*AJ22:AK22)/AJ32</f>
        <v>#DIV/0!</v>
      </c>
      <c r="AK73" s="138"/>
      <c r="AL73" s="193" t="e">
        <f t="array" ref="AL73">SUM(AL9:AM9*AL22:AM22)/AL32</f>
        <v>#DIV/0!</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0.22604620456442487</v>
      </c>
      <c r="AC74" s="138"/>
      <c r="AD74" s="193">
        <f t="array" ref="AD74">SUM(AD10:AE10*AD23:AE23)/AD32</f>
        <v>0.22604620456442484</v>
      </c>
      <c r="AE74" s="138"/>
      <c r="AF74" s="193" t="e">
        <f t="array" ref="AF74">SUM(AF10:AG10*AF23:AG23)/AF32</f>
        <v>#DIV/0!</v>
      </c>
      <c r="AG74" s="138"/>
      <c r="AH74" s="193" t="e">
        <f t="array" ref="AH74">SUM(AH10:AI10*AH23:AI23)/AH32</f>
        <v>#DIV/0!</v>
      </c>
      <c r="AI74" s="138"/>
      <c r="AJ74" s="193" t="e">
        <f t="array" ref="AJ74">SUM(AJ10:AK10*AJ23:AK23)/AJ32</f>
        <v>#DIV/0!</v>
      </c>
      <c r="AK74" s="138"/>
      <c r="AL74" s="193" t="e">
        <f t="array" ref="AL74">SUM(AL10:AM10*AL23:AM23)/AL32</f>
        <v>#DIV/0!</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0.22038438930605594</v>
      </c>
      <c r="E75" s="138"/>
      <c r="F75" s="193">
        <f t="array" ref="F75">SUM(F11:G11*F24:G24)/F32</f>
        <v>0.22038438830615786</v>
      </c>
      <c r="G75" s="138"/>
      <c r="H75" s="193">
        <f t="array" ref="H75">SUM(H11:I11*H24:I24)/H32</f>
        <v>0.22038438827524209</v>
      </c>
      <c r="I75" s="138"/>
      <c r="J75" s="193">
        <f t="array" ref="J75">SUM(J11:K11*J24:K24)/J32</f>
        <v>0.22038438934725391</v>
      </c>
      <c r="K75" s="138"/>
      <c r="L75" s="193">
        <f t="array" ref="L75">SUM(L11:M11*L24:M24)/L32</f>
        <v>0.22038438815388761</v>
      </c>
      <c r="M75" s="138"/>
      <c r="N75" s="193">
        <f t="array" ref="N75">SUM(N11:O11*N24:O24)/N32</f>
        <v>0.22038438837577148</v>
      </c>
      <c r="O75" s="138"/>
      <c r="P75" s="193">
        <f t="array" ref="P75">SUM(P11:Q11*P24:Q24)/P32</f>
        <v>0.2203843878985462</v>
      </c>
      <c r="Q75" s="138"/>
      <c r="R75" s="193">
        <f t="array" ref="R75">SUM(R11:S11*R24:S24)/R32</f>
        <v>0.22038438804878316</v>
      </c>
      <c r="S75" s="138"/>
      <c r="T75" s="193">
        <f t="array" ref="T75">SUM(T11:U11*T24:U24)/T32</f>
        <v>0.22038438816118983</v>
      </c>
      <c r="U75" s="138"/>
      <c r="V75" s="193">
        <f t="array" ref="V75">SUM(V11:W11*V24:W24)/V32</f>
        <v>0.22038438837042637</v>
      </c>
      <c r="W75" s="138"/>
      <c r="X75" s="193">
        <f t="array" ref="X75">SUM(X11:Y11*X24:Y24)/X32</f>
        <v>0.22038438823672665</v>
      </c>
      <c r="Y75" s="138"/>
      <c r="Z75" s="193">
        <f t="array" ref="Z75">SUM(Z11:AA11*Z24:AA24)/Z32</f>
        <v>0.22038438836630247</v>
      </c>
      <c r="AA75" s="138"/>
      <c r="AB75" s="193">
        <f t="array" ref="AB75">SUM(AB11:AC11*AB24:AC24)/AB32</f>
        <v>0.22038438834228172</v>
      </c>
      <c r="AC75" s="138"/>
      <c r="AD75" s="193">
        <f t="array" ref="AD75">SUM(AD11:AE11*AD24:AE24)/AD32</f>
        <v>0.22038438832856738</v>
      </c>
      <c r="AE75" s="138"/>
      <c r="AF75" s="193" t="e">
        <f t="array" ref="AF75">SUM(AF11:AG11*AF24:AG24)/AF32</f>
        <v>#DIV/0!</v>
      </c>
      <c r="AG75" s="138"/>
      <c r="AH75" s="193" t="e">
        <f t="array" ref="AH75">SUM(AH11:AI11*AH24:AI24)/AH32</f>
        <v>#DIV/0!</v>
      </c>
      <c r="AI75" s="138"/>
      <c r="AJ75" s="193" t="e">
        <f t="array" ref="AJ75">SUM(AJ11:AK11*AJ24:AK24)/AJ32</f>
        <v>#DIV/0!</v>
      </c>
      <c r="AK75" s="138"/>
      <c r="AL75" s="193" t="e">
        <f t="array" ref="AL75">SUM(AL11:AM11*AL24:AM24)/AL32</f>
        <v>#DIV/0!</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0.22339925426335946</v>
      </c>
      <c r="E76" s="138"/>
      <c r="F76" s="193">
        <f t="array" ref="F76">SUM(F12:G12*F25:G25)/F32</f>
        <v>0.22393461669029519</v>
      </c>
      <c r="G76" s="138"/>
      <c r="H76" s="193">
        <f t="array" ref="H76">SUM(H12:I12*H25:I25)/H32</f>
        <v>0.22464565200208328</v>
      </c>
      <c r="I76" s="138"/>
      <c r="J76" s="193">
        <f t="array" ref="J76">SUM(J12:K12*J25:K25)/J32</f>
        <v>0.22555526496295814</v>
      </c>
      <c r="K76" s="138"/>
      <c r="L76" s="193">
        <f t="array" ref="L76">SUM(L12:M12*L25:M25)/L32</f>
        <v>0.22668732709347311</v>
      </c>
      <c r="M76" s="138"/>
      <c r="N76" s="193">
        <f t="array" ref="N76">SUM(N12:O12*N25:O25)/N32</f>
        <v>0.2280647032773542</v>
      </c>
      <c r="O76" s="138"/>
      <c r="P76" s="193">
        <f t="array" ref="P76">SUM(P12:Q12*P25:Q25)/P32</f>
        <v>0.22970506942252031</v>
      </c>
      <c r="Q76" s="138"/>
      <c r="R76" s="193">
        <f t="array" ref="R76">SUM(R12:S12*R25:S25)/R32</f>
        <v>0.2316135779917145</v>
      </c>
      <c r="S76" s="138"/>
      <c r="T76" s="193">
        <f t="array" ref="T76">SUM(T12:U12*T25:U25)/T32</f>
        <v>0.23376860560161702</v>
      </c>
      <c r="U76" s="138"/>
      <c r="V76" s="193">
        <f t="array" ref="V76">SUM(V12:W12*V25:W25)/V32</f>
        <v>0.23609456621648686</v>
      </c>
      <c r="W76" s="138"/>
      <c r="X76" s="193">
        <f t="array" ref="X76">SUM(X12:Y12*X25:Y25)/X32</f>
        <v>0.23840960298166183</v>
      </c>
      <c r="Y76" s="138"/>
      <c r="Z76" s="193">
        <f t="array" ref="Z76">SUM(Z12:AA12*Z25:AA25)/Z32</f>
        <v>0.24033302466759029</v>
      </c>
      <c r="AA76" s="138"/>
      <c r="AB76" s="193">
        <f t="array" ref="AB76">SUM(AB12:AC12*AB25:AC25)/AB32</f>
        <v>0.24117383064670325</v>
      </c>
      <c r="AC76" s="138"/>
      <c r="AD76" s="193">
        <f t="array" ref="AD76">SUM(AD12:AE12*AD25:AE25)/AD32</f>
        <v>0.24003094047189508</v>
      </c>
      <c r="AE76" s="138"/>
      <c r="AF76" s="193" t="e">
        <f t="array" ref="AF76">SUM(AF12:AG12*AF25:AG25)/AF32</f>
        <v>#DIV/0!</v>
      </c>
      <c r="AG76" s="138"/>
      <c r="AH76" s="193" t="e">
        <f t="array" ref="AH76">SUM(AH12:AI12*AH25:AI25)/AH32</f>
        <v>#DIV/0!</v>
      </c>
      <c r="AI76" s="138"/>
      <c r="AJ76" s="193" t="e">
        <f t="array" ref="AJ76">SUM(AJ12:AK12*AJ25:AK25)/AJ32</f>
        <v>#DIV/0!</v>
      </c>
      <c r="AK76" s="138"/>
      <c r="AL76" s="193" t="e">
        <f t="array" ref="AL76">SUM(AL12:AM12*AL25:AM25)/AL32</f>
        <v>#DIV/0!</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0.14586087017236485</v>
      </c>
      <c r="D77" s="193">
        <f t="array" ref="D77">SUM(D4:E4*D19:E19)/D32</f>
        <v>0.14624139209816811</v>
      </c>
      <c r="E77" s="138"/>
      <c r="F77" s="193">
        <f t="array" ref="F77">SUM(F4:G4*F19:G19)/F32</f>
        <v>0.1467767449296386</v>
      </c>
      <c r="G77" s="138"/>
      <c r="H77" s="193">
        <f t="array" ref="H77">SUM(H4:I4*H19:I19)/H32</f>
        <v>0.14748778053385395</v>
      </c>
      <c r="I77" s="138"/>
      <c r="J77" s="193">
        <f t="array" ref="J77">SUM(J4:K4*J19:K19)/J32</f>
        <v>0.14839744877392305</v>
      </c>
      <c r="K77" s="138"/>
      <c r="L77" s="193">
        <f t="array" ref="L77">SUM(L4:M4*L19:M19)/L32</f>
        <v>0.14952945649643212</v>
      </c>
      <c r="M77" s="138"/>
      <c r="N77" s="193">
        <f t="array" ref="N77">SUM(N4:O4*N19:O19)/N32</f>
        <v>0.15090682993795537</v>
      </c>
      <c r="O77" s="138"/>
      <c r="P77" s="193">
        <f t="array" ref="P77">SUM(P4:Q4*P19:Q19)/P32</f>
        <v>0.15254721955444139</v>
      </c>
      <c r="Q77" s="138"/>
      <c r="R77" s="193">
        <f t="array" ref="R77">SUM(R4:S4*R19:S19)/R32</f>
        <v>0.1544557231213132</v>
      </c>
      <c r="S77" s="138"/>
      <c r="T77" s="193">
        <f t="array" ref="T77">SUM(T4:U4*T19:U19)/T32</f>
        <v>0.15661074748444564</v>
      </c>
      <c r="U77" s="138"/>
      <c r="V77" s="193">
        <f t="array" ref="V77">SUM(V4:W4*V19:W19)/V32</f>
        <v>0.15893669360556881</v>
      </c>
      <c r="W77" s="138"/>
      <c r="X77" s="193">
        <f t="array" ref="X77">SUM(X4:Y4*X19:Y19)/X32</f>
        <v>0.16125173317656152</v>
      </c>
      <c r="Y77" s="138"/>
      <c r="Z77" s="193">
        <f t="array" ref="Z77">SUM(Z4:AA4*Z19:AA19)/Z32</f>
        <v>0.16317515038901106</v>
      </c>
      <c r="AA77" s="138"/>
      <c r="AB77" s="193">
        <f t="array" ref="AB77">SUM(AB4:AC4*AB19:AC19)/AB32</f>
        <v>0.16401595689133408</v>
      </c>
      <c r="AC77" s="138"/>
      <c r="AD77" s="193">
        <f t="array" ref="AD77">SUM(AD4:AE4*AD19:AE19)/AD32</f>
        <v>0.16287306704545707</v>
      </c>
      <c r="AE77" s="138"/>
      <c r="AF77" s="193" t="e">
        <f t="array" ref="AF77">SUM(AF4:AG4*AF19:AG19)/AF32</f>
        <v>#DIV/0!</v>
      </c>
      <c r="AG77" s="138"/>
      <c r="AH77" s="193" t="e">
        <f t="array" ref="AH77">SUM(AH4:AI4*AH19:AI19)/AH32</f>
        <v>#DIV/0!</v>
      </c>
      <c r="AI77" s="138"/>
      <c r="AJ77" s="193" t="e">
        <f t="array" ref="AJ77">SUM(AJ4:AK4*AJ19:AK19)/AJ32</f>
        <v>#DIV/0!</v>
      </c>
      <c r="AK77" s="138"/>
      <c r="AL77" s="193" t="e">
        <f t="array" ref="AL77">SUM(AL4:AM4*AL19:AM19)/AL32</f>
        <v>#DIV/0!</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0.35023729046362356</v>
      </c>
      <c r="E78" s="138"/>
      <c r="F78" s="193">
        <f t="array" ref="F78">SUM(F13:G13*F26:G26)/F32</f>
        <v>0.35371514183491193</v>
      </c>
      <c r="G78" s="138"/>
      <c r="H78" s="193">
        <f t="array" ref="H78">SUM(H13:I13*H26:I26)/H32</f>
        <v>0.35735320923621727</v>
      </c>
      <c r="I78" s="138"/>
      <c r="J78" s="193">
        <f t="array" ref="J78">SUM(J13:K13*J26:K26)/J32</f>
        <v>0.36119083150328507</v>
      </c>
      <c r="K78" s="138"/>
      <c r="L78" s="193">
        <f t="array" ref="L78">SUM(L13:M13*L26:M26)/L32</f>
        <v>0.36527843596657866</v>
      </c>
      <c r="M78" s="138"/>
      <c r="N78" s="193">
        <f t="array" ref="N78">SUM(N13:O13*N26:O26)/N32</f>
        <v>0.3696843111650383</v>
      </c>
      <c r="O78" s="138"/>
      <c r="P78" s="193">
        <f t="array" ref="P78">SUM(P13:Q13*P26:Q26)/P32</f>
        <v>0.37450496964649832</v>
      </c>
      <c r="Q78" s="138"/>
      <c r="R78" s="193">
        <f t="array" ref="R78">SUM(R13:S13*R26:S26)/R32</f>
        <v>0.37988401172951569</v>
      </c>
      <c r="S78" s="138"/>
      <c r="T78" s="193">
        <f t="array" ref="T78">SUM(T13:U13*T26:U26)/T32</f>
        <v>0.38604569502323816</v>
      </c>
      <c r="U78" s="138"/>
      <c r="V78" s="193">
        <f t="array" ref="V78">SUM(V13:W13*V26:W26)/V32</f>
        <v>0.39335661246945591</v>
      </c>
      <c r="W78" s="138"/>
      <c r="X78" s="193">
        <f t="array" ref="X78">SUM(X13:Y13*X26:Y26)/X32</f>
        <v>0.40244232832900634</v>
      </c>
      <c r="Y78" s="138"/>
      <c r="Z78" s="193">
        <f t="array" ref="Z78">SUM(Z13:AA13*Z26:AA26)/Z32</f>
        <v>0.41440053627916068</v>
      </c>
      <c r="AA78" s="138"/>
      <c r="AB78" s="193">
        <f t="array" ref="AB78">SUM(AB13:AC13*AB26:AC26)/AB32</f>
        <v>0.43111785132330604</v>
      </c>
      <c r="AC78" s="138"/>
      <c r="AD78" s="193">
        <f t="array" ref="AD78">SUM(AD13:AE13*AD26:AE26)/AD32</f>
        <v>0.45536944635399551</v>
      </c>
      <c r="AE78" s="138"/>
      <c r="AF78" s="193" t="e">
        <f t="array" ref="AF78">SUM(AF13:AG13*AF26:AG26)/AF32</f>
        <v>#DIV/0!</v>
      </c>
      <c r="AG78" s="138"/>
      <c r="AH78" s="193" t="e">
        <f t="array" ref="AH78">SUM(AH13:AI13*AH26:AI26)/AH32</f>
        <v>#DIV/0!</v>
      </c>
      <c r="AI78" s="138"/>
      <c r="AJ78" s="193" t="e">
        <f t="array" ref="AJ78">SUM(AJ13:AK13*AJ26:AK26)/AJ32</f>
        <v>#DIV/0!</v>
      </c>
      <c r="AK78" s="138"/>
      <c r="AL78" s="193" t="e">
        <f t="array" ref="AL78">SUM(AL13:AM13*AL26:AM26)/AL32</f>
        <v>#DIV/0!</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0.45460968782440642</v>
      </c>
      <c r="D79" s="193">
        <f t="array" ref="D79">SUM(D15:E15*D27:E27)/D32</f>
        <v>0.44285276483813402</v>
      </c>
      <c r="F79" s="193">
        <f t="array" ref="F79">SUM(F15:G15*F27:G27)/F32</f>
        <v>0.43064599477326165</v>
      </c>
      <c r="H79" s="193">
        <f t="array" ref="H79">SUM(H15:I15*H27:I27)/H32</f>
        <v>0.41787691424222945</v>
      </c>
      <c r="J79" s="193">
        <f t="array" ref="J79">SUM(J15:K15*J27:K27)/J32</f>
        <v>0.40440737913662461</v>
      </c>
      <c r="L79" s="193">
        <f t="array" ref="L79">SUM(L15:M15*L27:M27)/L32</f>
        <v>0.3900605337983814</v>
      </c>
      <c r="N79" s="193">
        <f t="array" ref="N79">SUM(N15:O15*N27:O27)/N32</f>
        <v>0.37459662258243798</v>
      </c>
      <c r="P79" s="193">
        <f t="array" ref="P79">SUM(P15:Q15*P27:Q27)/P32</f>
        <v>0.35767684340369738</v>
      </c>
      <c r="R79" s="193">
        <f t="array" ref="R79">SUM(R15:S15*R27:S27)/R32</f>
        <v>0.33879719795277241</v>
      </c>
      <c r="T79" s="193">
        <f t="array" ref="T79">SUM(T15:U15*T27:U27)/T32</f>
        <v>0.31717060593538138</v>
      </c>
      <c r="V79" s="193">
        <f t="array" ref="V79">SUM(V15:W15*V27:W27)/V32</f>
        <v>0.29151036928009005</v>
      </c>
      <c r="X79" s="193">
        <f t="array" ref="X79">SUM(X15:Y15*X27:Y27)/X32</f>
        <v>0.25962085838056109</v>
      </c>
      <c r="Z79" s="193">
        <f t="array" ref="Z79">SUM(Z15:AA15*Z27:AA27)/Z32</f>
        <v>0.21764933991560903</v>
      </c>
      <c r="AB79" s="193">
        <f t="array" ref="AB79">SUM(AB15:AC15*AB27:AC27)/AB32</f>
        <v>0.15897406031990322</v>
      </c>
      <c r="AD79" s="193">
        <f t="array" ref="AD79">SUM(AD15:AE15*AD27:AE27)/AD32</f>
        <v>7.3854584167598936E-2</v>
      </c>
      <c r="AF79" s="193" t="e">
        <f t="array" ref="AF79">SUM(AF15:AG15*AF27:AG27)/AF32</f>
        <v>#DIV/0!</v>
      </c>
      <c r="AH79" s="193" t="e">
        <f t="array" ref="AH79">SUM(AH15:AI15*AH27:AI27)/AH32</f>
        <v>#DIV/0!</v>
      </c>
      <c r="AJ79" s="193" t="e">
        <f t="array" ref="AJ79">SUM(AJ15:AK15*AJ27:AK27)/AJ32</f>
        <v>#DIV/0!</v>
      </c>
      <c r="AL79" s="193" t="e">
        <f t="array" ref="AL79">SUM(AL15:AM15*AL27:AM27)/AL32</f>
        <v>#DIV/0!</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0.20690994785525618</v>
      </c>
      <c r="F80" s="236">
        <f>F55</f>
        <v>0.21563885747292613</v>
      </c>
      <c r="H80" s="236">
        <f>H55</f>
        <v>0.22476986998393123</v>
      </c>
      <c r="J80" s="236">
        <f>J55</f>
        <v>0.23440184166969349</v>
      </c>
      <c r="L80" s="236">
        <f>L55</f>
        <v>0.24466102172525545</v>
      </c>
      <c r="N80" s="236">
        <f>N55</f>
        <v>0.25571907710917258</v>
      </c>
      <c r="P80" s="236">
        <f>P55</f>
        <v>0.2678182115933298</v>
      </c>
      <c r="R80" s="236">
        <f>R55</f>
        <v>0.28131880794349429</v>
      </c>
      <c r="T80" s="236">
        <f>T55</f>
        <v>0.29678371325158781</v>
      </c>
      <c r="V80" s="236">
        <f>V55</f>
        <v>0.31513302350097211</v>
      </c>
      <c r="X80" s="236">
        <f>X55</f>
        <v>0.33793680801338477</v>
      </c>
      <c r="Z80" s="236">
        <f>Z55</f>
        <v>0.36795012961830703</v>
      </c>
      <c r="AB80" s="236">
        <f>AB55</f>
        <v>0.40990809196078637</v>
      </c>
      <c r="AD80" s="236">
        <f>AD55</f>
        <v>0.47077596724864279</v>
      </c>
      <c r="AF80" s="236" t="e">
        <f>AF55</f>
        <v>#DIV/0!</v>
      </c>
      <c r="AH80" s="236" t="e">
        <f>AH55</f>
        <v>#DIV/0!</v>
      </c>
      <c r="AJ80" s="236" t="e">
        <f>AJ55</f>
        <v>#DIV/0!</v>
      </c>
      <c r="AL80" s="236" t="e">
        <f>AL55</f>
        <v>#DIV/0!</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-1.9136256709168648E-2</v>
      </c>
      <c r="F81" s="236">
        <f>F51/F$32</f>
        <v>-1.0407347091498693E-2</v>
      </c>
      <c r="H81" s="236">
        <f>H51/H$32</f>
        <v>-1.2763345804936341E-3</v>
      </c>
      <c r="J81" s="236">
        <f>J51/J$32</f>
        <v>8.3556371052686557E-3</v>
      </c>
      <c r="L81" s="236">
        <f>L51/L$32</f>
        <v>1.8614817160830591E-2</v>
      </c>
      <c r="N81" s="236">
        <f>N51/N$32</f>
        <v>2.9672872544747757E-2</v>
      </c>
      <c r="P81" s="236">
        <f>P51/P$32</f>
        <v>4.1772007028904948E-2</v>
      </c>
      <c r="R81" s="236">
        <f>R51/R$32</f>
        <v>5.5272603379069446E-2</v>
      </c>
      <c r="T81" s="236">
        <f>T51/T$32</f>
        <v>7.0737508687162956E-2</v>
      </c>
      <c r="V81" s="236">
        <f>V51/V$32</f>
        <v>8.9086818936547241E-2</v>
      </c>
      <c r="X81" s="236">
        <f>X51/X$32</f>
        <v>0.1118906034489599</v>
      </c>
      <c r="Z81" s="236">
        <f>Z51/Z$32</f>
        <v>0.14190392505388219</v>
      </c>
      <c r="AB81" s="236">
        <f>AB51/AB$32</f>
        <v>0.18386188739636153</v>
      </c>
      <c r="AD81" s="236">
        <f>AD51/AD$32</f>
        <v>0.24472976268421795</v>
      </c>
      <c r="AF81" s="236" t="e">
        <f>AF51/AF$32</f>
        <v>#DIV/0!</v>
      </c>
      <c r="AH81" s="236" t="e">
        <f>AH51/AH$32</f>
        <v>#DIV/0!</v>
      </c>
      <c r="AJ81" s="236" t="e">
        <f>AJ51/AJ$32</f>
        <v>#DIV/0!</v>
      </c>
      <c r="AL81" s="236" t="e">
        <f>AL51/AL$32</f>
        <v>#DIV/0!</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0.14042160621069646</v>
      </c>
      <c r="F82" s="236">
        <f>F52/F$32</f>
        <v>0.14181599078657048</v>
      </c>
      <c r="H82" s="236">
        <f>H52/H$32</f>
        <v>0.1432746112187861</v>
      </c>
      <c r="J82" s="236">
        <f>J52/J$32</f>
        <v>0.14481323973563609</v>
      </c>
      <c r="L82" s="236">
        <f>L52/L$32</f>
        <v>0.14645209430628983</v>
      </c>
      <c r="N82" s="236">
        <f>N52/N$32</f>
        <v>0.1482185540436656</v>
      </c>
      <c r="P82" s="236">
        <f>P52/P$32</f>
        <v>0.15015131399068254</v>
      </c>
      <c r="R82" s="236">
        <f>R52/R$32</f>
        <v>0.15230794822049962</v>
      </c>
      <c r="T82" s="236">
        <f>T52/T$32</f>
        <v>0.15477836895702593</v>
      </c>
      <c r="V82" s="236">
        <f>V52/V$32</f>
        <v>0.15770955532302575</v>
      </c>
      <c r="X82" s="236">
        <f>X52/X$32</f>
        <v>0.16135231652895901</v>
      </c>
      <c r="Z82" s="236">
        <f>Z52/Z$32</f>
        <v>0.16614675393892006</v>
      </c>
      <c r="AB82" s="236">
        <f>AB52/AB$32</f>
        <v>0.17284927332776551</v>
      </c>
      <c r="AD82" s="236">
        <f>AD52/AD$32</f>
        <v>0.18257253244410013</v>
      </c>
      <c r="AF82" s="236" t="e">
        <f>AF52/AF$32</f>
        <v>#DIV/0!</v>
      </c>
      <c r="AH82" s="236" t="e">
        <f>AH52/AH$32</f>
        <v>#DIV/0!</v>
      </c>
      <c r="AJ82" s="236" t="e">
        <f>AJ52/AJ$32</f>
        <v>#DIV/0!</v>
      </c>
      <c r="AL82" s="236" t="e">
        <f>AL52/AL$32</f>
        <v>#DIV/0!</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0.18600714462929935</v>
      </c>
      <c r="D83" s="236">
        <f>D53/D$32</f>
        <v>0.18119670672427218</v>
      </c>
      <c r="F83" s="236">
        <f>F53/F$32</f>
        <v>0.1762022103337986</v>
      </c>
      <c r="H83" s="236">
        <f>H53/H$32</f>
        <v>0.17097764017453643</v>
      </c>
      <c r="J83" s="236">
        <f>J53/J$32</f>
        <v>0.16546647349336049</v>
      </c>
      <c r="L83" s="236">
        <f>L53/L$32</f>
        <v>0.15959634840083156</v>
      </c>
      <c r="N83" s="236">
        <f>N53/N$32</f>
        <v>0.15326916698099866</v>
      </c>
      <c r="P83" s="236">
        <f>P53/P$32</f>
        <v>0.14634630568462562</v>
      </c>
      <c r="R83" s="236">
        <f>R53/R$32</f>
        <v>0.13862154962246154</v>
      </c>
      <c r="T83" s="236">
        <f>T53/T$32</f>
        <v>0.12977285867513735</v>
      </c>
      <c r="V83" s="236">
        <f>V53/V$32</f>
        <v>0.1192737701633976</v>
      </c>
      <c r="X83" s="236">
        <f>X53/X$32</f>
        <v>0.10622592489104295</v>
      </c>
      <c r="Z83" s="236">
        <f>Z53/Z$32</f>
        <v>8.905294658786804E-2</v>
      </c>
      <c r="AB83" s="236">
        <f>AB53/AB$32</f>
        <v>6.5045492478930128E-2</v>
      </c>
      <c r="AD83" s="236">
        <f>AD53/AD$32</f>
        <v>3.0218186472316128E-2</v>
      </c>
      <c r="AF83" s="236" t="e">
        <f>AF53/AF$32</f>
        <v>#DIV/0!</v>
      </c>
      <c r="AH83" s="236" t="e">
        <f>AH53/AH$32</f>
        <v>#DIV/0!</v>
      </c>
      <c r="AJ83" s="236" t="e">
        <f>AJ53/AJ$32</f>
        <v>#DIV/0!</v>
      </c>
      <c r="AL83" s="236" t="e">
        <f>AL53/AL$32</f>
        <v>#DIV/0!</v>
      </c>
      <c r="AN83" s="236" t="e">
        <f>AN53/AN$32</f>
        <v>#DIV/0!</v>
      </c>
      <c r="AP83" s="236" t="e">
        <f>AP53/AP$32</f>
        <v>#DIV/0!</v>
      </c>
      <c r="AR83" s="236" t="e">
        <f>AR53/AR$32</f>
        <v>#DIV/0!</v>
      </c>
      <c r="AT83" s="236" t="e">
        <f>AT53/AT$32</f>
        <v>#DIV/0!</v>
      </c>
      <c r="AV83" s="236" t="e">
        <f>AV53/AV$32</f>
        <v>#DIV/0!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9"/>
  <dimension ref="A1:XFD83"/>
  <sheetViews>
    <sheetView showGridLines="0" workbookViewId="0">
      <pane xSplit="1" ySplit="1" topLeftCell="B2"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row>
    <row r="2" spans="1:49" x14ac:dyDescent="0.2">
      <c r="A2" s="229" t="s">
        <v>155</v>
      </c>
      <c r="B2" s="226">
        <v>5.7716594496607888E-3</v>
      </c>
      <c r="C2" s="227"/>
      <c r="D2" s="226">
        <v>5.6781436340411717E-2</v>
      </c>
      <c r="E2" s="227"/>
      <c r="F2" s="226">
        <v>0.1117192508245143</v>
      </c>
      <c r="G2" s="227"/>
      <c r="H2" s="226">
        <v>0.17093620235425261</v>
      </c>
      <c r="I2" s="227"/>
      <c r="J2" s="226">
        <v>0.23480632811741686</v>
      </c>
      <c r="K2" s="227"/>
      <c r="L2" s="226">
        <v>0.30371895062923138</v>
      </c>
      <c r="M2" s="227"/>
      <c r="N2" s="226">
        <v>0.37806859790332698</v>
      </c>
      <c r="O2" s="227"/>
      <c r="P2" s="226">
        <v>0.45823388198698223</v>
      </c>
      <c r="Q2" s="227"/>
      <c r="R2" s="226">
        <v>0.54454327776312761</v>
      </c>
      <c r="S2" s="227"/>
      <c r="T2" s="226">
        <v>0.63722402327555638</v>
      </c>
      <c r="U2" s="227"/>
      <c r="V2" s="226">
        <v>0.73633146267524552</v>
      </c>
      <c r="W2" s="227"/>
      <c r="X2" s="226">
        <v>0.84166437705735608</v>
      </c>
      <c r="Y2" s="227"/>
      <c r="Z2" s="226">
        <v>0.95268374929151844</v>
      </c>
      <c r="AA2" s="227"/>
      <c r="AB2" s="226">
        <v>1.0684656184016055</v>
      </c>
      <c r="AC2" s="227"/>
      <c r="AD2" s="226">
        <v>1.1877224620054425</v>
      </c>
      <c r="AE2" s="227"/>
      <c r="AF2" s="226">
        <v>1.3089107521327537</v>
      </c>
      <c r="AG2" s="227"/>
      <c r="AH2" s="226">
        <v>1.4304043223883633</v>
      </c>
      <c r="AI2" s="227"/>
      <c r="AJ2" s="226">
        <v>1.550680449736332</v>
      </c>
      <c r="AK2" s="227"/>
      <c r="AL2" s="226">
        <v>1.6684645179690991</v>
      </c>
      <c r="AM2" s="227"/>
      <c r="AN2" s="226">
        <v>1.7828002422268039</v>
      </c>
      <c r="AO2" s="227"/>
      <c r="AP2" s="226">
        <v>1.8051924942069015</v>
      </c>
      <c r="AQ2" s="227"/>
      <c r="AR2" s="226">
        <v>1.8274168761278906</v>
      </c>
      <c r="AS2" s="227"/>
      <c r="AT2" s="226">
        <v>1.8494702330878634</v>
      </c>
      <c r="AU2" s="227"/>
      <c r="AV2" s="226">
        <v>1.8713497686311238</v>
      </c>
      <c r="AW2" s="227"/>
    </row>
    <row r="3" spans="1:49" x14ac:dyDescent="0.2">
      <c r="A3" t="s">
        <v>12</v>
      </c>
      <c r="B3" s="84">
        <v>1000</v>
      </c>
      <c r="C3" s="85">
        <v>1000</v>
      </c>
      <c r="D3" s="84">
        <v>998.32887896091324</v>
      </c>
      <c r="E3" s="85">
        <v>1023.5295573648328</v>
      </c>
      <c r="F3" s="84">
        <v>996.60266635941662</v>
      </c>
      <c r="G3" s="85">
        <v>1049.4854298362868</v>
      </c>
      <c r="H3" s="84">
        <v>994.81665687201291</v>
      </c>
      <c r="I3" s="85">
        <v>1078.1410948747641</v>
      </c>
      <c r="J3" s="84">
        <v>992.9670190118253</v>
      </c>
      <c r="K3" s="85">
        <v>1109.7904788408493</v>
      </c>
      <c r="L3" s="84">
        <v>991.05165483214921</v>
      </c>
      <c r="M3" s="85">
        <v>1144.7407274668074</v>
      </c>
      <c r="N3" s="84">
        <v>989.07120033180399</v>
      </c>
      <c r="O3" s="85">
        <v>1183.3020104343168</v>
      </c>
      <c r="P3" s="84">
        <v>987.03036931311294</v>
      </c>
      <c r="Q3" s="85">
        <v>1225.7686019606717</v>
      </c>
      <c r="R3" s="84">
        <v>984.9394560547089</v>
      </c>
      <c r="S3" s="85">
        <v>1272.3901257952455</v>
      </c>
      <c r="T3" s="84">
        <v>982.81574551683468</v>
      </c>
      <c r="U3" s="85">
        <v>1323.3313989421899</v>
      </c>
      <c r="V3" s="84">
        <v>980.68440658698</v>
      </c>
      <c r="W3" s="85">
        <v>1378.6209839776675</v>
      </c>
      <c r="X3" s="84">
        <v>978.57828160610609</v>
      </c>
      <c r="Y3" s="85">
        <v>1438.0926895264579</v>
      </c>
      <c r="Z3" s="84">
        <v>976.53587290961366</v>
      </c>
      <c r="AA3" s="85">
        <v>1501.3371640431399</v>
      </c>
      <c r="AB3" s="84">
        <v>974.59737501212612</v>
      </c>
      <c r="AC3" s="85">
        <v>1567.6813232119155</v>
      </c>
      <c r="AD3" s="84">
        <v>972.799295058756</v>
      </c>
      <c r="AE3" s="85">
        <v>1636.218677661152</v>
      </c>
      <c r="AF3" s="84">
        <v>971.16919577058661</v>
      </c>
      <c r="AG3" s="85">
        <v>1705.8956127264742</v>
      </c>
      <c r="AH3" s="84">
        <v>969.72232562668432</v>
      </c>
      <c r="AI3" s="85">
        <v>1775.6349047052422</v>
      </c>
      <c r="AJ3" s="84">
        <v>968.46114171106069</v>
      </c>
      <c r="AK3" s="85">
        <v>1844.4591083768687</v>
      </c>
      <c r="AL3" s="84">
        <v>967.3774795790647</v>
      </c>
      <c r="AM3" s="85">
        <v>1911.5768932961714</v>
      </c>
      <c r="AN3" s="84">
        <v>966.45604894051178</v>
      </c>
      <c r="AO3" s="85">
        <v>1976.4189330285067</v>
      </c>
      <c r="AP3" s="84">
        <v>966.28960001902897</v>
      </c>
      <c r="AQ3" s="85">
        <v>1989.0794555598018</v>
      </c>
      <c r="AR3" s="84">
        <v>966.12872907847566</v>
      </c>
      <c r="AS3" s="85">
        <v>2001.6322248780716</v>
      </c>
      <c r="AT3" s="84">
        <v>965.97327770391303</v>
      </c>
      <c r="AU3" s="85">
        <v>2014.0755503911314</v>
      </c>
      <c r="AV3" s="84">
        <v>965.82308686246324</v>
      </c>
      <c r="AW3" s="85">
        <v>2026.4080588717252</v>
      </c>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row>
    <row r="5" spans="1:49" x14ac:dyDescent="0.2">
      <c r="A5" t="s">
        <v>128</v>
      </c>
      <c r="B5" s="41">
        <v>1000</v>
      </c>
      <c r="C5" s="42">
        <v>1000</v>
      </c>
      <c r="D5" s="41">
        <v>998.24588803334325</v>
      </c>
      <c r="E5" s="42">
        <v>1020.4265027325432</v>
      </c>
      <c r="F5" s="41">
        <v>996.43265036342473</v>
      </c>
      <c r="G5" s="42">
        <v>1042.421739373078</v>
      </c>
      <c r="H5" s="41">
        <v>994.5552046553446</v>
      </c>
      <c r="I5" s="42">
        <v>1066.0570642867376</v>
      </c>
      <c r="J5" s="41">
        <v>992.60936709919122</v>
      </c>
      <c r="K5" s="42">
        <v>1091.3808570369663</v>
      </c>
      <c r="L5" s="41">
        <v>990.59275984443502</v>
      </c>
      <c r="M5" s="42">
        <v>1118.4056671321005</v>
      </c>
      <c r="N5" s="41">
        <v>988.50587202153758</v>
      </c>
      <c r="O5" s="42">
        <v>1147.0943126378306</v>
      </c>
      <c r="P5" s="41">
        <v>986.35348946474551</v>
      </c>
      <c r="Q5" s="42">
        <v>1177.3418394049631</v>
      </c>
      <c r="R5" s="41">
        <v>984.14630144873047</v>
      </c>
      <c r="S5" s="42">
        <v>1208.9564983655216</v>
      </c>
      <c r="T5" s="41">
        <v>981.90242038168651</v>
      </c>
      <c r="U5" s="42">
        <v>1241.6426709244568</v>
      </c>
      <c r="V5" s="41">
        <v>979.6483647599016</v>
      </c>
      <c r="W5" s="42">
        <v>1274.9914167651157</v>
      </c>
      <c r="X5" s="41">
        <v>977.41887879043327</v>
      </c>
      <c r="Y5" s="42">
        <v>1308.4831464758488</v>
      </c>
      <c r="Z5" s="41">
        <v>975.25483672418943</v>
      </c>
      <c r="AA5" s="42">
        <v>1341.5165778745763</v>
      </c>
      <c r="AB5" s="41">
        <v>973.19905529215509</v>
      </c>
      <c r="AC5" s="42">
        <v>1373.4608853076204</v>
      </c>
      <c r="AD5" s="41">
        <v>971.29057600597014</v>
      </c>
      <c r="AE5" s="42">
        <v>1403.7287869806844</v>
      </c>
      <c r="AF5" s="41">
        <v>969.55904241698977</v>
      </c>
      <c r="AG5" s="42">
        <v>1431.8495880500705</v>
      </c>
      <c r="AH5" s="41">
        <v>968.02105889958921</v>
      </c>
      <c r="AI5" s="42">
        <v>1457.5199558872823</v>
      </c>
      <c r="AJ5" s="41">
        <v>966.67962150775122</v>
      </c>
      <c r="AK5" s="42">
        <v>1480.6183128172379</v>
      </c>
      <c r="AL5" s="41">
        <v>965.52637946967252</v>
      </c>
      <c r="AM5" s="42">
        <v>1501.1806380194896</v>
      </c>
      <c r="AN5" s="41">
        <v>964.54533095015302</v>
      </c>
      <c r="AO5" s="42">
        <v>1519.3578386964334</v>
      </c>
      <c r="AP5" s="41">
        <v>964.36806787924354</v>
      </c>
      <c r="AQ5" s="42">
        <v>1522.7254424917419</v>
      </c>
      <c r="AR5" s="41">
        <v>964.19673218190974</v>
      </c>
      <c r="AS5" s="42">
        <v>1526.0082187548737</v>
      </c>
      <c r="AT5" s="41">
        <v>964.0311564419419</v>
      </c>
      <c r="AU5" s="42">
        <v>1529.2080473932836</v>
      </c>
      <c r="AV5" s="41">
        <v>963.87117249445396</v>
      </c>
      <c r="AW5" s="42">
        <v>1532.3269300426523</v>
      </c>
    </row>
    <row r="6" spans="1:49" x14ac:dyDescent="0.2">
      <c r="A6" t="s">
        <v>77</v>
      </c>
      <c r="B6" s="41">
        <v>999.99999999999943</v>
      </c>
      <c r="C6" s="42">
        <v>999.99999999999909</v>
      </c>
      <c r="D6" s="41">
        <v>998.11196937712634</v>
      </c>
      <c r="E6" s="42">
        <v>1025.3527333207387</v>
      </c>
      <c r="F6" s="41">
        <v>996.16083138968293</v>
      </c>
      <c r="G6" s="42">
        <v>1053.2205461696637</v>
      </c>
      <c r="H6" s="41">
        <v>994.14117228889745</v>
      </c>
      <c r="I6" s="42">
        <v>1083.8786140206098</v>
      </c>
      <c r="J6" s="41">
        <v>992.04855255010614</v>
      </c>
      <c r="K6" s="42">
        <v>1117.621932900058</v>
      </c>
      <c r="L6" s="41">
        <v>989.88048153865157</v>
      </c>
      <c r="M6" s="42">
        <v>1154.7577911046315</v>
      </c>
      <c r="N6" s="41">
        <v>987.63755493105373</v>
      </c>
      <c r="O6" s="42">
        <v>1195.5953272542088</v>
      </c>
      <c r="P6" s="41">
        <v>985.32498583583151</v>
      </c>
      <c r="Q6" s="42">
        <v>1240.4261361942893</v>
      </c>
      <c r="R6" s="41">
        <v>982.95432232907126</v>
      </c>
      <c r="S6" s="42">
        <v>1289.4948795372147</v>
      </c>
      <c r="T6" s="41">
        <v>980.54506749984023</v>
      </c>
      <c r="U6" s="42">
        <v>1342.9583427433236</v>
      </c>
      <c r="V6" s="41">
        <v>978.12571960896241</v>
      </c>
      <c r="W6" s="42">
        <v>1400.8330899952282</v>
      </c>
      <c r="X6" s="41">
        <v>975.73356233419145</v>
      </c>
      <c r="Y6" s="42">
        <v>1462.9360940328909</v>
      </c>
      <c r="Z6" s="41">
        <v>973.41240282702302</v>
      </c>
      <c r="AA6" s="42">
        <v>1528.8360197698103</v>
      </c>
      <c r="AB6" s="41">
        <v>971.2080743585409</v>
      </c>
      <c r="AC6" s="42">
        <v>1597.8332024574624</v>
      </c>
      <c r="AD6" s="41">
        <v>969.16231097479351</v>
      </c>
      <c r="AE6" s="42">
        <v>1668.9918090164949</v>
      </c>
      <c r="AF6" s="41">
        <v>967.30673723252823</v>
      </c>
      <c r="AG6" s="42">
        <v>1741.2290200824023</v>
      </c>
      <c r="AH6" s="41">
        <v>965.65898990026358</v>
      </c>
      <c r="AI6" s="42">
        <v>1813.4417719241969</v>
      </c>
      <c r="AJ6" s="41">
        <v>964.22213164695245</v>
      </c>
      <c r="AK6" s="42">
        <v>1884.6326977595302</v>
      </c>
      <c r="AL6" s="41">
        <v>962.98709079950049</v>
      </c>
      <c r="AM6" s="42">
        <v>1953.9976134088927</v>
      </c>
      <c r="AN6" s="41">
        <v>961.9366281120457</v>
      </c>
      <c r="AO6" s="42">
        <v>2020.9611750220877</v>
      </c>
      <c r="AP6" s="41">
        <v>961.74683954928196</v>
      </c>
      <c r="AQ6" s="42">
        <v>2034.0308122618662</v>
      </c>
      <c r="AR6" s="41">
        <v>961.56340206863445</v>
      </c>
      <c r="AS6" s="42">
        <v>2046.9876637217476</v>
      </c>
      <c r="AT6" s="41">
        <v>961.38613593890489</v>
      </c>
      <c r="AU6" s="42">
        <v>2059.8300627657954</v>
      </c>
      <c r="AV6" s="41">
        <v>961.21486066076329</v>
      </c>
      <c r="AW6" s="42">
        <v>2072.5566675332948</v>
      </c>
    </row>
    <row r="7" spans="1:49" x14ac:dyDescent="0.2">
      <c r="A7" t="s">
        <v>13</v>
      </c>
      <c r="B7" s="33">
        <v>1015.9116825427475</v>
      </c>
      <c r="C7" s="34">
        <v>1015.9116825427475</v>
      </c>
      <c r="D7" s="33">
        <v>1014.1296597033328</v>
      </c>
      <c r="E7" s="34">
        <v>1014.1296597033328</v>
      </c>
      <c r="F7" s="33">
        <v>1012.287570371236</v>
      </c>
      <c r="G7" s="34">
        <v>1012.287570371236</v>
      </c>
      <c r="H7" s="33">
        <v>1010.3802513430577</v>
      </c>
      <c r="I7" s="34">
        <v>1010.3802513430577</v>
      </c>
      <c r="J7" s="33">
        <v>1008.403452237431</v>
      </c>
      <c r="K7" s="34">
        <v>1008.403452237431</v>
      </c>
      <c r="L7" s="33">
        <v>1006.3547573682238</v>
      </c>
      <c r="M7" s="34">
        <v>1006.3547573682238</v>
      </c>
      <c r="N7" s="33">
        <v>1004.2346636487861</v>
      </c>
      <c r="O7" s="34">
        <v>1004.2346636487861</v>
      </c>
      <c r="P7" s="33">
        <v>1002.0480330640397</v>
      </c>
      <c r="Q7" s="34">
        <v>1002.0480330640397</v>
      </c>
      <c r="R7" s="33">
        <v>999.8057249730017</v>
      </c>
      <c r="S7" s="34">
        <v>999.8057249730017</v>
      </c>
      <c r="T7" s="33">
        <v>997.52613998275524</v>
      </c>
      <c r="U7" s="34">
        <v>997.52613998275524</v>
      </c>
      <c r="V7" s="33">
        <v>995.23621854348278</v>
      </c>
      <c r="W7" s="34">
        <v>995.23621854348278</v>
      </c>
      <c r="X7" s="33">
        <v>992.9712577010348</v>
      </c>
      <c r="Y7" s="34">
        <v>992.9712577010348</v>
      </c>
      <c r="Z7" s="33">
        <v>990.77278208442374</v>
      </c>
      <c r="AA7" s="34">
        <v>990.77278208442374</v>
      </c>
      <c r="AB7" s="33">
        <v>988.68428971086553</v>
      </c>
      <c r="AC7" s="34">
        <v>988.68428971086553</v>
      </c>
      <c r="AD7" s="33">
        <v>986.74544330813944</v>
      </c>
      <c r="AE7" s="34">
        <v>986.74544330813944</v>
      </c>
      <c r="AF7" s="33">
        <v>984.98635810637916</v>
      </c>
      <c r="AG7" s="34">
        <v>984.98635810637916</v>
      </c>
      <c r="AH7" s="33">
        <v>983.42390268349368</v>
      </c>
      <c r="AI7" s="34">
        <v>983.42390268349368</v>
      </c>
      <c r="AJ7" s="33">
        <v>982.06112076572583</v>
      </c>
      <c r="AK7" s="34">
        <v>982.06112076572583</v>
      </c>
      <c r="AL7" s="33">
        <v>980.88952870644221</v>
      </c>
      <c r="AM7" s="34">
        <v>980.88952870644221</v>
      </c>
      <c r="AN7" s="33">
        <v>979.89287005432107</v>
      </c>
      <c r="AO7" s="34">
        <v>979.89287005432107</v>
      </c>
      <c r="AP7" s="33">
        <v>979.71278642970083</v>
      </c>
      <c r="AQ7" s="34">
        <v>979.71278642970083</v>
      </c>
      <c r="AR7" s="33">
        <v>979.53872449314281</v>
      </c>
      <c r="AS7" s="34">
        <v>979.53872449314281</v>
      </c>
      <c r="AT7" s="33">
        <v>979.37051416456382</v>
      </c>
      <c r="AU7" s="34">
        <v>979.37051416456382</v>
      </c>
      <c r="AV7" s="33">
        <v>979.20798460329149</v>
      </c>
      <c r="AW7" s="34">
        <v>979.20798460329149</v>
      </c>
    </row>
    <row r="8" spans="1:49" x14ac:dyDescent="0.2">
      <c r="B8" s="35">
        <v>1005.7716594496609</v>
      </c>
      <c r="C8" s="36">
        <v>1005.7716594496609</v>
      </c>
      <c r="D8" s="35">
        <v>1078.3677852375201</v>
      </c>
      <c r="E8" s="36">
        <v>1078.3677852375201</v>
      </c>
      <c r="F8" s="35">
        <v>1158.8803151390255</v>
      </c>
      <c r="G8" s="36">
        <v>1158.8803151390255</v>
      </c>
      <c r="H8" s="35">
        <v>1248.2848103488359</v>
      </c>
      <c r="I8" s="36">
        <v>1248.2848103488359</v>
      </c>
      <c r="J8" s="35">
        <v>1347.6439886554558</v>
      </c>
      <c r="K8" s="36">
        <v>1347.6439886554558</v>
      </c>
      <c r="L8" s="35">
        <v>1458.0866627312473</v>
      </c>
      <c r="M8" s="36">
        <v>1458.0866627312473</v>
      </c>
      <c r="N8" s="35">
        <v>1580.7746510796958</v>
      </c>
      <c r="O8" s="36">
        <v>1580.7746510796958</v>
      </c>
      <c r="P8" s="35">
        <v>1716.8397609011936</v>
      </c>
      <c r="Q8" s="36">
        <v>1716.8397609011936</v>
      </c>
      <c r="R8" s="35">
        <v>1867.2856326585161</v>
      </c>
      <c r="S8" s="36">
        <v>1867.2856326585161</v>
      </c>
      <c r="T8" s="35">
        <v>2032.8472091615467</v>
      </c>
      <c r="U8" s="36">
        <v>2032.8472091615467</v>
      </c>
      <c r="V8" s="35">
        <v>2213.8077115701567</v>
      </c>
      <c r="W8" s="36">
        <v>2213.8077115701567</v>
      </c>
      <c r="X8" s="35">
        <v>2409.7867988444937</v>
      </c>
      <c r="Y8" s="36">
        <v>2409.7867988444937</v>
      </c>
      <c r="Z8" s="35">
        <v>2619.5576210208551</v>
      </c>
      <c r="AA8" s="36">
        <v>2619.5576210208551</v>
      </c>
      <c r="AB8" s="35">
        <v>2840.9566194782433</v>
      </c>
      <c r="AC8" s="36">
        <v>2840.9566194782433</v>
      </c>
      <c r="AD8" s="35">
        <v>3070.9689978412966</v>
      </c>
      <c r="AE8" s="36">
        <v>3070.9689978412966</v>
      </c>
      <c r="AF8" s="35">
        <v>3306.0129092856614</v>
      </c>
      <c r="AG8" s="36">
        <v>3306.0129092856614</v>
      </c>
      <c r="AH8" s="35">
        <v>3542.3628007557477</v>
      </c>
      <c r="AI8" s="36">
        <v>3542.3628007557477</v>
      </c>
      <c r="AJ8" s="35">
        <v>3776.5841840245216</v>
      </c>
      <c r="AK8" s="36">
        <v>3776.5841840245216</v>
      </c>
      <c r="AL8" s="35">
        <v>4005.8472676172219</v>
      </c>
      <c r="AM8" s="36">
        <v>4005.8472676172219</v>
      </c>
      <c r="AN8" s="35">
        <v>4228.0693615536284</v>
      </c>
      <c r="AO8" s="36">
        <v>4228.0693615536284</v>
      </c>
      <c r="AP8" s="35">
        <v>4271.5379820157168</v>
      </c>
      <c r="AQ8" s="36">
        <v>4271.5379820157168</v>
      </c>
      <c r="AR8" s="35">
        <v>4314.6613908173922</v>
      </c>
      <c r="AS8" s="36">
        <v>4314.6613908173922</v>
      </c>
      <c r="AT8" s="35">
        <v>4357.432811245576</v>
      </c>
      <c r="AU8" s="36">
        <v>4357.432811245576</v>
      </c>
      <c r="AV8" s="35">
        <v>4399.8465760452091</v>
      </c>
      <c r="AW8" s="36">
        <v>4399.8465760452091</v>
      </c>
    </row>
    <row r="9" spans="1:49" x14ac:dyDescent="0.2">
      <c r="A9" t="s">
        <v>14</v>
      </c>
      <c r="B9" s="41">
        <v>1015.9116825427475</v>
      </c>
      <c r="C9" s="42">
        <v>1005.7716594496609</v>
      </c>
      <c r="D9" s="41">
        <v>1014.1296597033328</v>
      </c>
      <c r="E9" s="42">
        <v>1078.3677852375201</v>
      </c>
      <c r="F9" s="41">
        <v>1012.287570371236</v>
      </c>
      <c r="G9" s="42">
        <v>1158.8803151390255</v>
      </c>
      <c r="H9" s="41">
        <v>1010.3802513430577</v>
      </c>
      <c r="I9" s="42">
        <v>1248.2848103488359</v>
      </c>
      <c r="J9" s="41">
        <v>1008.403452237431</v>
      </c>
      <c r="K9" s="42">
        <v>1347.6439886554558</v>
      </c>
      <c r="L9" s="41">
        <v>1006.3547573682238</v>
      </c>
      <c r="M9" s="42">
        <v>1458.0866627312473</v>
      </c>
      <c r="N9" s="41">
        <v>1004.2346636487861</v>
      </c>
      <c r="O9" s="42">
        <v>1580.7746510796958</v>
      </c>
      <c r="P9" s="41">
        <v>1002.0480330640397</v>
      </c>
      <c r="Q9" s="42">
        <v>1716.8397609011936</v>
      </c>
      <c r="R9" s="41">
        <v>999.8057249730017</v>
      </c>
      <c r="S9" s="42">
        <v>1867.2856326585161</v>
      </c>
      <c r="T9" s="41">
        <v>997.52613998275524</v>
      </c>
      <c r="U9" s="42">
        <v>2032.8472091615467</v>
      </c>
      <c r="V9" s="41">
        <v>995.23621854348278</v>
      </c>
      <c r="W9" s="42">
        <v>2213.8077115701567</v>
      </c>
      <c r="X9" s="41">
        <v>992.9712577010348</v>
      </c>
      <c r="Y9" s="42">
        <v>2409.7867988444937</v>
      </c>
      <c r="Z9" s="41">
        <v>990.77278208442374</v>
      </c>
      <c r="AA9" s="42">
        <v>2619.5576210208551</v>
      </c>
      <c r="AB9" s="41">
        <v>988.68428971086553</v>
      </c>
      <c r="AC9" s="42">
        <v>2840.9566194782433</v>
      </c>
      <c r="AD9" s="41">
        <v>986.74544330813944</v>
      </c>
      <c r="AE9" s="42">
        <v>3070.9689978412966</v>
      </c>
      <c r="AF9" s="41">
        <v>984.98635810637916</v>
      </c>
      <c r="AG9" s="42">
        <v>3306.0129092856614</v>
      </c>
      <c r="AH9" s="41">
        <v>983.42390268349368</v>
      </c>
      <c r="AI9" s="42">
        <v>3542.3628007557477</v>
      </c>
      <c r="AJ9" s="41">
        <v>982.06112076572583</v>
      </c>
      <c r="AK9" s="42">
        <v>3776.5841840245216</v>
      </c>
      <c r="AL9" s="41">
        <v>980.88952870644221</v>
      </c>
      <c r="AM9" s="42">
        <v>4005.8472676172219</v>
      </c>
      <c r="AN9" s="41">
        <v>979.89287005432107</v>
      </c>
      <c r="AO9" s="42">
        <v>4228.0693615536284</v>
      </c>
      <c r="AP9" s="41">
        <v>979.71278642970083</v>
      </c>
      <c r="AQ9" s="42">
        <v>4271.5379820157168</v>
      </c>
      <c r="AR9" s="41">
        <v>979.53872449314281</v>
      </c>
      <c r="AS9" s="42">
        <v>4314.6613908173922</v>
      </c>
      <c r="AT9" s="41">
        <v>979.37051416456382</v>
      </c>
      <c r="AU9" s="42">
        <v>4357.432811245576</v>
      </c>
      <c r="AV9" s="41">
        <v>979.20798460329149</v>
      </c>
      <c r="AW9" s="42">
        <v>4399.8465760452091</v>
      </c>
    </row>
    <row r="10" spans="1:49" x14ac:dyDescent="0.2">
      <c r="A10" t="s">
        <v>15</v>
      </c>
      <c r="B10" s="41">
        <v>1015.9116825427475</v>
      </c>
      <c r="C10" s="42">
        <v>1005.7716594496609</v>
      </c>
      <c r="D10" s="41">
        <v>1014.1296597033328</v>
      </c>
      <c r="E10" s="42">
        <v>1078.3677852375201</v>
      </c>
      <c r="F10" s="41">
        <v>1012.287570371236</v>
      </c>
      <c r="G10" s="42">
        <v>1158.8803151390255</v>
      </c>
      <c r="H10" s="41">
        <v>1010.3802513430577</v>
      </c>
      <c r="I10" s="42">
        <v>1248.2848103488359</v>
      </c>
      <c r="J10" s="41">
        <v>1008.403452237431</v>
      </c>
      <c r="K10" s="42">
        <v>1347.6439886554558</v>
      </c>
      <c r="L10" s="41">
        <v>1006.3547573682238</v>
      </c>
      <c r="M10" s="42">
        <v>1458.0866627312473</v>
      </c>
      <c r="N10" s="41">
        <v>1004.2346636487861</v>
      </c>
      <c r="O10" s="42">
        <v>1580.7746510796958</v>
      </c>
      <c r="P10" s="41">
        <v>1002.0480330640397</v>
      </c>
      <c r="Q10" s="42">
        <v>1716.8397609011936</v>
      </c>
      <c r="R10" s="41">
        <v>999.8057249730017</v>
      </c>
      <c r="S10" s="42">
        <v>1867.2856326585161</v>
      </c>
      <c r="T10" s="41">
        <v>997.52613998275524</v>
      </c>
      <c r="U10" s="42">
        <v>2032.8472091615467</v>
      </c>
      <c r="V10" s="41">
        <v>995.23621854348278</v>
      </c>
      <c r="W10" s="42">
        <v>2213.8077115701567</v>
      </c>
      <c r="X10" s="41">
        <v>992.9712577010348</v>
      </c>
      <c r="Y10" s="42">
        <v>2409.7867988444937</v>
      </c>
      <c r="Z10" s="41">
        <v>990.77278208442374</v>
      </c>
      <c r="AA10" s="42">
        <v>2619.5576210208551</v>
      </c>
      <c r="AB10" s="41">
        <v>988.68428971086553</v>
      </c>
      <c r="AC10" s="42">
        <v>2840.9566194782433</v>
      </c>
      <c r="AD10" s="41">
        <v>986.74544330813944</v>
      </c>
      <c r="AE10" s="42">
        <v>3070.9689978412966</v>
      </c>
      <c r="AF10" s="41">
        <v>984.98635810637916</v>
      </c>
      <c r="AG10" s="42">
        <v>3306.0129092856614</v>
      </c>
      <c r="AH10" s="41">
        <v>983.42390268349368</v>
      </c>
      <c r="AI10" s="42">
        <v>3542.3628007557477</v>
      </c>
      <c r="AJ10" s="41">
        <v>982.06112076572583</v>
      </c>
      <c r="AK10" s="42">
        <v>3776.5841840245216</v>
      </c>
      <c r="AL10" s="41">
        <v>980.88952870644221</v>
      </c>
      <c r="AM10" s="42">
        <v>4005.8472676172219</v>
      </c>
      <c r="AN10" s="41">
        <v>979.89287005432107</v>
      </c>
      <c r="AO10" s="42">
        <v>4228.0693615536284</v>
      </c>
      <c r="AP10" s="41">
        <v>979.71278642970083</v>
      </c>
      <c r="AQ10" s="42">
        <v>4271.5379820157168</v>
      </c>
      <c r="AR10" s="41">
        <v>979.53872449314281</v>
      </c>
      <c r="AS10" s="42">
        <v>4314.6613908173922</v>
      </c>
      <c r="AT10" s="41">
        <v>979.37051416456382</v>
      </c>
      <c r="AU10" s="42">
        <v>4357.432811245576</v>
      </c>
      <c r="AV10" s="41">
        <v>979.20798460329149</v>
      </c>
      <c r="AW10" s="42">
        <v>4399.8465760452091</v>
      </c>
    </row>
    <row r="11" spans="1:49" x14ac:dyDescent="0.2">
      <c r="A11" t="s">
        <v>29</v>
      </c>
      <c r="B11" s="41">
        <v>1015.9116825427475</v>
      </c>
      <c r="C11" s="42">
        <v>1005.7716594496609</v>
      </c>
      <c r="D11" s="41">
        <v>1014.1296597033328</v>
      </c>
      <c r="E11" s="42">
        <v>1078.3677852375201</v>
      </c>
      <c r="F11" s="41">
        <v>1012.287570371236</v>
      </c>
      <c r="G11" s="42">
        <v>1158.8803151390255</v>
      </c>
      <c r="H11" s="41">
        <v>1010.3802513430577</v>
      </c>
      <c r="I11" s="42">
        <v>1248.2848103488359</v>
      </c>
      <c r="J11" s="41">
        <v>1008.403452237431</v>
      </c>
      <c r="K11" s="42">
        <v>1347.6439886554558</v>
      </c>
      <c r="L11" s="41">
        <v>1006.3547573682238</v>
      </c>
      <c r="M11" s="42">
        <v>1458.0866627312473</v>
      </c>
      <c r="N11" s="41">
        <v>1004.2346636487861</v>
      </c>
      <c r="O11" s="42">
        <v>1580.7746510796958</v>
      </c>
      <c r="P11" s="41">
        <v>1002.0480330640397</v>
      </c>
      <c r="Q11" s="42">
        <v>1716.8397609011936</v>
      </c>
      <c r="R11" s="41">
        <v>999.8057249730017</v>
      </c>
      <c r="S11" s="42">
        <v>1867.2856326585161</v>
      </c>
      <c r="T11" s="41">
        <v>997.52613998275524</v>
      </c>
      <c r="U11" s="42">
        <v>2032.8472091615467</v>
      </c>
      <c r="V11" s="41">
        <v>995.23621854348278</v>
      </c>
      <c r="W11" s="42">
        <v>2213.8077115701567</v>
      </c>
      <c r="X11" s="41">
        <v>992.9712577010348</v>
      </c>
      <c r="Y11" s="42">
        <v>2409.7867988444937</v>
      </c>
      <c r="Z11" s="41">
        <v>990.77278208442374</v>
      </c>
      <c r="AA11" s="42">
        <v>2619.5576210208551</v>
      </c>
      <c r="AB11" s="41">
        <v>988.68428971086553</v>
      </c>
      <c r="AC11" s="42">
        <v>2840.9566194782433</v>
      </c>
      <c r="AD11" s="41">
        <v>986.74544330813944</v>
      </c>
      <c r="AE11" s="42">
        <v>3070.9689978412966</v>
      </c>
      <c r="AF11" s="41">
        <v>984.98635810637916</v>
      </c>
      <c r="AG11" s="42">
        <v>3306.0129092856614</v>
      </c>
      <c r="AH11" s="41">
        <v>983.42390268349368</v>
      </c>
      <c r="AI11" s="42">
        <v>3542.3628007557477</v>
      </c>
      <c r="AJ11" s="41">
        <v>982.06112076572583</v>
      </c>
      <c r="AK11" s="42">
        <v>3776.5841840245216</v>
      </c>
      <c r="AL11" s="41">
        <v>980.88952870644221</v>
      </c>
      <c r="AM11" s="42">
        <v>4005.8472676172219</v>
      </c>
      <c r="AN11" s="41">
        <v>979.89287005432107</v>
      </c>
      <c r="AO11" s="42">
        <v>4228.0693615536284</v>
      </c>
      <c r="AP11" s="41">
        <v>979.71278642970083</v>
      </c>
      <c r="AQ11" s="42">
        <v>4271.5379820157168</v>
      </c>
      <c r="AR11" s="41">
        <v>979.53872449314281</v>
      </c>
      <c r="AS11" s="42">
        <v>4314.6613908173922</v>
      </c>
      <c r="AT11" s="41">
        <v>979.37051416456382</v>
      </c>
      <c r="AU11" s="42">
        <v>4357.432811245576</v>
      </c>
      <c r="AV11" s="41">
        <v>979.20798460329149</v>
      </c>
      <c r="AW11" s="42">
        <v>4399.8465760452091</v>
      </c>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row>
    <row r="13" spans="1:49" x14ac:dyDescent="0.2">
      <c r="A13" t="s">
        <v>17</v>
      </c>
      <c r="B13" s="97">
        <v>1000</v>
      </c>
      <c r="C13" s="98">
        <v>1000</v>
      </c>
      <c r="D13" s="97">
        <v>995.77572349992477</v>
      </c>
      <c r="E13" s="98">
        <v>995.77572349992477</v>
      </c>
      <c r="F13" s="97">
        <v>991.2399395161807</v>
      </c>
      <c r="G13" s="98">
        <v>991.2399395161807</v>
      </c>
      <c r="H13" s="97">
        <v>986.37238809083556</v>
      </c>
      <c r="I13" s="98">
        <v>986.37238809083556</v>
      </c>
      <c r="J13" s="97">
        <v>981.15512063721201</v>
      </c>
      <c r="K13" s="98">
        <v>981.15512063721201</v>
      </c>
      <c r="L13" s="97">
        <v>975.57480460551972</v>
      </c>
      <c r="M13" s="98">
        <v>975.57480460551972</v>
      </c>
      <c r="N13" s="97">
        <v>969.62492529034876</v>
      </c>
      <c r="O13" s="98">
        <v>969.62492529034876</v>
      </c>
      <c r="P13" s="97">
        <v>963.30910336594343</v>
      </c>
      <c r="Q13" s="98">
        <v>963.30910336594343</v>
      </c>
      <c r="R13" s="97">
        <v>956.64489617191498</v>
      </c>
      <c r="S13" s="98">
        <v>956.64489617191498</v>
      </c>
      <c r="T13" s="97">
        <v>949.66766186641132</v>
      </c>
      <c r="U13" s="98">
        <v>949.66766186641132</v>
      </c>
      <c r="V13" s="97">
        <v>942.43381835904017</v>
      </c>
      <c r="W13" s="98">
        <v>942.43381835904017</v>
      </c>
      <c r="X13" s="97">
        <v>935.02236413558478</v>
      </c>
      <c r="Y13" s="98">
        <v>935.02236413558478</v>
      </c>
      <c r="Z13" s="97">
        <v>927.53269803825276</v>
      </c>
      <c r="AA13" s="98">
        <v>927.53269803825276</v>
      </c>
      <c r="AB13" s="97">
        <v>920.07795149420986</v>
      </c>
      <c r="AC13" s="98">
        <v>920.07795149420986</v>
      </c>
      <c r="AD13" s="97">
        <v>912.77378736138508</v>
      </c>
      <c r="AE13" s="98">
        <v>912.77378736138508</v>
      </c>
      <c r="AF13" s="97">
        <v>905.72515420891204</v>
      </c>
      <c r="AG13" s="98">
        <v>905.72515420891204</v>
      </c>
      <c r="AH13" s="97">
        <v>899.01483072515362</v>
      </c>
      <c r="AI13" s="98">
        <v>899.01483072515362</v>
      </c>
      <c r="AJ13" s="97">
        <v>892.6970928996036</v>
      </c>
      <c r="AK13" s="98">
        <v>892.6970928996036</v>
      </c>
      <c r="AL13" s="97">
        <v>886.79770824229774</v>
      </c>
      <c r="AM13" s="98">
        <v>886.79770824229774</v>
      </c>
      <c r="AN13" s="97">
        <v>881.31853808716869</v>
      </c>
      <c r="AO13" s="98">
        <v>881.31853808716869</v>
      </c>
      <c r="AP13" s="97">
        <v>880.27201362736264</v>
      </c>
      <c r="AQ13" s="98">
        <v>880.27201362736264</v>
      </c>
      <c r="AR13" s="97">
        <v>879.24153507020173</v>
      </c>
      <c r="AS13" s="98">
        <v>879.24153507020173</v>
      </c>
      <c r="AT13" s="97">
        <v>878.22690863288892</v>
      </c>
      <c r="AU13" s="98">
        <v>878.22690863288892</v>
      </c>
      <c r="AV13" s="97">
        <v>877.22792234336191</v>
      </c>
      <c r="AW13" s="98">
        <v>877.22792234336191</v>
      </c>
    </row>
    <row r="14" spans="1:49" x14ac:dyDescent="0.2">
      <c r="A14" t="s">
        <v>36</v>
      </c>
      <c r="B14" s="41">
        <v>1457.0034251455234</v>
      </c>
      <c r="C14" s="42">
        <v>1457.0034251455236</v>
      </c>
      <c r="D14" s="41">
        <v>1450.8486398161519</v>
      </c>
      <c r="E14" s="42">
        <v>1450.8486398161522</v>
      </c>
      <c r="F14" s="41">
        <v>1444.2399870161166</v>
      </c>
      <c r="G14" s="42">
        <v>1444.2399870161169</v>
      </c>
      <c r="H14" s="41">
        <v>1437.1479479173167</v>
      </c>
      <c r="I14" s="42">
        <v>1437.147947917317</v>
      </c>
      <c r="J14" s="41">
        <v>1429.5463713674869</v>
      </c>
      <c r="K14" s="42">
        <v>1429.5463713674872</v>
      </c>
      <c r="L14" s="41">
        <v>1421.4158317959168</v>
      </c>
      <c r="M14" s="42">
        <v>1421.415831795917</v>
      </c>
      <c r="N14" s="41">
        <v>1412.7468372545102</v>
      </c>
      <c r="O14" s="42">
        <v>1412.7468372545104</v>
      </c>
      <c r="P14" s="41">
        <v>1403.5446630780425</v>
      </c>
      <c r="Q14" s="42">
        <v>1403.5446630780427</v>
      </c>
      <c r="R14" s="41">
        <v>1393.8348903704637</v>
      </c>
      <c r="S14" s="42">
        <v>1393.8348903704639</v>
      </c>
      <c r="T14" s="41">
        <v>1383.6690360893019</v>
      </c>
      <c r="U14" s="42">
        <v>1383.6690360893022</v>
      </c>
      <c r="V14" s="41">
        <v>1373.1293013220954</v>
      </c>
      <c r="W14" s="42">
        <v>1373.1293013220957</v>
      </c>
      <c r="X14" s="41">
        <v>1362.3307871332117</v>
      </c>
      <c r="Y14" s="42">
        <v>1362.330787133212</v>
      </c>
      <c r="Z14" s="41">
        <v>1351.4183179762026</v>
      </c>
      <c r="AA14" s="42">
        <v>1351.4183179762028</v>
      </c>
      <c r="AB14" s="41">
        <v>1340.5567267279405</v>
      </c>
      <c r="AC14" s="42">
        <v>1340.5567267279405</v>
      </c>
      <c r="AD14" s="41">
        <v>1329.9145345685895</v>
      </c>
      <c r="AE14" s="42">
        <v>1329.9145345685897</v>
      </c>
      <c r="AF14" s="41">
        <v>1319.6446519228421</v>
      </c>
      <c r="AG14" s="42">
        <v>1319.6446519228423</v>
      </c>
      <c r="AH14" s="41">
        <v>1309.8676876231716</v>
      </c>
      <c r="AI14" s="42">
        <v>1309.8676876231718</v>
      </c>
      <c r="AJ14" s="41">
        <v>1300.6627219721738</v>
      </c>
      <c r="AK14" s="42">
        <v>1300.662721972174</v>
      </c>
      <c r="AL14" s="41">
        <v>1292.0672983202282</v>
      </c>
      <c r="AM14" s="42">
        <v>1292.0672983202285</v>
      </c>
      <c r="AN14" s="41">
        <v>1284.0841286372502</v>
      </c>
      <c r="AO14" s="42">
        <v>1284.0841286372504</v>
      </c>
      <c r="AP14" s="41">
        <v>1282.5593389148141</v>
      </c>
      <c r="AQ14" s="42">
        <v>1282.5593389148144</v>
      </c>
      <c r="AR14" s="41">
        <v>1281.0579281274916</v>
      </c>
      <c r="AS14" s="42">
        <v>1281.0579281274918</v>
      </c>
      <c r="AT14" s="41">
        <v>1279.5796139330837</v>
      </c>
      <c r="AU14" s="42">
        <v>1279.5796139330839</v>
      </c>
      <c r="AV14" s="41">
        <v>1278.1240874875693</v>
      </c>
      <c r="AW14" s="42">
        <v>1278.1240874875696</v>
      </c>
    </row>
    <row r="15" spans="1:49" x14ac:dyDescent="0.2">
      <c r="A15" t="s">
        <v>18</v>
      </c>
      <c r="B15" s="154">
        <v>1000</v>
      </c>
      <c r="C15" s="155">
        <v>1000</v>
      </c>
      <c r="D15" s="154">
        <v>994.58923961196024</v>
      </c>
      <c r="E15" s="155">
        <v>994.58923961196024</v>
      </c>
      <c r="F15" s="154">
        <v>988.83411725760243</v>
      </c>
      <c r="G15" s="155">
        <v>988.83411725760243</v>
      </c>
      <c r="H15" s="154">
        <v>982.69202820750263</v>
      </c>
      <c r="I15" s="155">
        <v>982.69202820750263</v>
      </c>
      <c r="J15" s="154">
        <v>976.11773820802762</v>
      </c>
      <c r="K15" s="155">
        <v>976.11773820802762</v>
      </c>
      <c r="L15" s="154">
        <v>969.06505235630391</v>
      </c>
      <c r="M15" s="155">
        <v>969.06505235630391</v>
      </c>
      <c r="N15" s="154">
        <v>961.48937042668888</v>
      </c>
      <c r="O15" s="155">
        <v>961.48937042668888</v>
      </c>
      <c r="P15" s="154">
        <v>953.35176851876531</v>
      </c>
      <c r="Q15" s="155">
        <v>953.35176851876531</v>
      </c>
      <c r="R15" s="154">
        <v>944.62482958528904</v>
      </c>
      <c r="S15" s="155">
        <v>944.62482958528904</v>
      </c>
      <c r="T15" s="154">
        <v>935.30024319091456</v>
      </c>
      <c r="U15" s="155">
        <v>935.30024319091456</v>
      </c>
      <c r="V15" s="154">
        <v>925.39766481038703</v>
      </c>
      <c r="W15" s="155">
        <v>925.39766481038703</v>
      </c>
      <c r="X15" s="154">
        <v>914.97341680846307</v>
      </c>
      <c r="Y15" s="155">
        <v>914.97341680846307</v>
      </c>
      <c r="Z15" s="154">
        <v>904.12588046392318</v>
      </c>
      <c r="AA15" s="155">
        <v>904.12588046392318</v>
      </c>
      <c r="AB15" s="154">
        <v>892.99433559309944</v>
      </c>
      <c r="AC15" s="155">
        <v>892.99433559309944</v>
      </c>
      <c r="AD15" s="154">
        <v>881.74848845613974</v>
      </c>
      <c r="AE15" s="155">
        <v>881.74848845613974</v>
      </c>
      <c r="AF15" s="154">
        <v>870.56958844553526</v>
      </c>
      <c r="AG15" s="155">
        <v>870.56958844553526</v>
      </c>
      <c r="AH15" s="154">
        <v>859.62806960845967</v>
      </c>
      <c r="AI15" s="155">
        <v>859.62806960845967</v>
      </c>
      <c r="AJ15" s="154">
        <v>849.06461154818157</v>
      </c>
      <c r="AK15" s="155">
        <v>849.06461154818157</v>
      </c>
      <c r="AL15" s="154">
        <v>838.97991791407355</v>
      </c>
      <c r="AM15" s="155">
        <v>838.97991791407355</v>
      </c>
      <c r="AN15" s="154">
        <v>829.43369043329619</v>
      </c>
      <c r="AO15" s="155">
        <v>829.43369043329619</v>
      </c>
      <c r="AP15" s="154">
        <v>827.59174398309915</v>
      </c>
      <c r="AQ15" s="155">
        <v>827.59174398309915</v>
      </c>
      <c r="AR15" s="154">
        <v>825.77244772067422</v>
      </c>
      <c r="AS15" s="155">
        <v>825.77244772067422</v>
      </c>
      <c r="AT15" s="154">
        <v>823.97581947015499</v>
      </c>
      <c r="AU15" s="155">
        <v>823.97581947015499</v>
      </c>
      <c r="AV15" s="154">
        <v>822.20183224982475</v>
      </c>
      <c r="AW15" s="155">
        <v>822.20183224982475</v>
      </c>
    </row>
    <row r="16" spans="1:49" s="29" customFormat="1" x14ac:dyDescent="0.2">
      <c r="A16" t="s">
        <v>61</v>
      </c>
      <c r="B16" s="41">
        <v>1000</v>
      </c>
      <c r="C16" s="42">
        <v>1000</v>
      </c>
      <c r="D16" s="41">
        <v>995.22176959200681</v>
      </c>
      <c r="E16" s="42">
        <v>994.92787126927487</v>
      </c>
      <c r="F16" s="41">
        <v>990.11658123510085</v>
      </c>
      <c r="G16" s="42">
        <v>989.52071195240546</v>
      </c>
      <c r="H16" s="41">
        <v>984.65372614219132</v>
      </c>
      <c r="I16" s="42">
        <v>983.74228798161596</v>
      </c>
      <c r="J16" s="41">
        <v>978.802488629962</v>
      </c>
      <c r="K16" s="42">
        <v>977.55514124691683</v>
      </c>
      <c r="L16" s="41">
        <v>972.53414880512207</v>
      </c>
      <c r="M16" s="42">
        <v>970.9224378226927</v>
      </c>
      <c r="N16" s="41">
        <v>965.82434379223162</v>
      </c>
      <c r="O16" s="42">
        <v>963.81042008125735</v>
      </c>
      <c r="P16" s="41">
        <v>958.65673430171375</v>
      </c>
      <c r="Q16" s="42">
        <v>956.19226708266046</v>
      </c>
      <c r="R16" s="41">
        <v>951.02774480533537</v>
      </c>
      <c r="S16" s="42">
        <v>948.05334242671381</v>
      </c>
      <c r="T16" s="41">
        <v>942.95216432229802</v>
      </c>
      <c r="U16" s="42">
        <v>939.39772475457039</v>
      </c>
      <c r="V16" s="41">
        <v>934.46901698686793</v>
      </c>
      <c r="W16" s="42">
        <v>930.25546735479634</v>
      </c>
      <c r="X16" s="41">
        <v>925.64644162424599</v>
      </c>
      <c r="Y16" s="42">
        <v>920.68925247400318</v>
      </c>
      <c r="Z16" s="41">
        <v>916.5830687366946</v>
      </c>
      <c r="AA16" s="42">
        <v>910.79763107657232</v>
      </c>
      <c r="AB16" s="41">
        <v>907.40396288675606</v>
      </c>
      <c r="AC16" s="42">
        <v>900.71230652723045</v>
      </c>
      <c r="AD16" s="41">
        <v>898.24981183900218</v>
      </c>
      <c r="AE16" s="42">
        <v>890.58747491651059</v>
      </c>
      <c r="AF16" s="41">
        <v>889.26109428251777</v>
      </c>
      <c r="AG16" s="42">
        <v>880.58256952896306</v>
      </c>
      <c r="AH16" s="41">
        <v>880.56155711971041</v>
      </c>
      <c r="AI16" s="42">
        <v>870.84302380541862</v>
      </c>
      <c r="AJ16" s="41">
        <v>872.24598856967816</v>
      </c>
      <c r="AK16" s="42">
        <v>861.48492685763085</v>
      </c>
      <c r="AL16" s="41">
        <v>864.37540810514827</v>
      </c>
      <c r="AM16" s="42">
        <v>852.58770344856964</v>
      </c>
      <c r="AN16" s="41">
        <v>856.97899510348577</v>
      </c>
      <c r="AO16" s="42">
        <v>844.19467557129155</v>
      </c>
      <c r="AP16" s="41">
        <v>855.55729862821477</v>
      </c>
      <c r="AQ16" s="42">
        <v>842.57818387238387</v>
      </c>
      <c r="AR16" s="41">
        <v>854.15469654407491</v>
      </c>
      <c r="AS16" s="42">
        <v>840.98244290654145</v>
      </c>
      <c r="AT16" s="41">
        <v>852.77109631162216</v>
      </c>
      <c r="AU16" s="42">
        <v>839.40741111813713</v>
      </c>
      <c r="AV16" s="41">
        <v>851.40637470469244</v>
      </c>
      <c r="AW16" s="42">
        <v>837.85300970231049</v>
      </c>
    </row>
    <row r="17" spans="1:49" x14ac:dyDescent="0.2">
      <c r="A17" t="s">
        <v>62</v>
      </c>
      <c r="B17" s="35">
        <v>999.99999999999977</v>
      </c>
      <c r="C17" s="36">
        <v>999.99999999999977</v>
      </c>
      <c r="D17" s="35">
        <v>998.40606496804958</v>
      </c>
      <c r="E17" s="36">
        <v>1035.9467352083768</v>
      </c>
      <c r="F17" s="35">
        <v>996.76079677229984</v>
      </c>
      <c r="G17" s="36">
        <v>1075.7201654986247</v>
      </c>
      <c r="H17" s="35">
        <v>995.05984763390154</v>
      </c>
      <c r="I17" s="36">
        <v>1119.7766813673786</v>
      </c>
      <c r="J17" s="35">
        <v>993.29969996343061</v>
      </c>
      <c r="K17" s="36">
        <v>1168.6115554238336</v>
      </c>
      <c r="L17" s="35">
        <v>991.47853377969466</v>
      </c>
      <c r="M17" s="36">
        <v>1222.7485938099039</v>
      </c>
      <c r="N17" s="35">
        <v>989.59712531951072</v>
      </c>
      <c r="O17" s="36">
        <v>1282.7242938882036</v>
      </c>
      <c r="P17" s="35">
        <v>987.66011905239202</v>
      </c>
      <c r="Q17" s="36">
        <v>1349.0578747660034</v>
      </c>
      <c r="R17" s="35">
        <v>985.67744396116029</v>
      </c>
      <c r="S17" s="36">
        <v>1422.204910877344</v>
      </c>
      <c r="T17" s="35">
        <v>983.66561475904598</v>
      </c>
      <c r="U17" s="36">
        <v>1502.4912238549371</v>
      </c>
      <c r="V17" s="35">
        <v>981.64855336652306</v>
      </c>
      <c r="W17" s="36">
        <v>1590.0270664305372</v>
      </c>
      <c r="X17" s="35">
        <v>979.65732323223938</v>
      </c>
      <c r="Y17" s="36">
        <v>1684.6080442188561</v>
      </c>
      <c r="Z17" s="35">
        <v>977.7282196616701</v>
      </c>
      <c r="AA17" s="36">
        <v>1785.630290735239</v>
      </c>
      <c r="AB17" s="35">
        <v>975.89899206344126</v>
      </c>
      <c r="AC17" s="36">
        <v>1892.0497234000488</v>
      </c>
      <c r="AD17" s="35">
        <v>974.20378622082035</v>
      </c>
      <c r="AE17" s="36">
        <v>2002.4244024897887</v>
      </c>
      <c r="AF17" s="35">
        <v>972.66822289266815</v>
      </c>
      <c r="AG17" s="36">
        <v>2115.050336609414</v>
      </c>
      <c r="AH17" s="35">
        <v>971.30627999915532</v>
      </c>
      <c r="AI17" s="36">
        <v>2228.1621589644674</v>
      </c>
      <c r="AJ17" s="35">
        <v>970.11991166710891</v>
      </c>
      <c r="AK17" s="36">
        <v>2340.1381561468934</v>
      </c>
      <c r="AL17" s="35">
        <v>969.10112096348234</v>
      </c>
      <c r="AM17" s="36">
        <v>2449.6471793192673</v>
      </c>
      <c r="AN17" s="35">
        <v>968.23527988066928</v>
      </c>
      <c r="AO17" s="36">
        <v>2555.7143035999916</v>
      </c>
      <c r="AP17" s="35">
        <v>968.07891490160353</v>
      </c>
      <c r="AQ17" s="36">
        <v>2576.4537951625621</v>
      </c>
      <c r="AR17" s="35">
        <v>967.92780223913132</v>
      </c>
      <c r="AS17" s="36">
        <v>2597.0260938974611</v>
      </c>
      <c r="AT17" s="35">
        <v>967.78179187480544</v>
      </c>
      <c r="AU17" s="36">
        <v>2617.4280875055515</v>
      </c>
      <c r="AV17" s="35">
        <v>967.6407332738994</v>
      </c>
      <c r="AW17" s="36">
        <v>2637.6571888513658</v>
      </c>
    </row>
    <row r="18" spans="1:49" x14ac:dyDescent="0.2">
      <c r="A18" t="s">
        <v>19</v>
      </c>
      <c r="B18" s="33">
        <v>27857.010133999996</v>
      </c>
      <c r="C18" s="34">
        <v>1236.7674480000003</v>
      </c>
      <c r="D18" s="33">
        <v>27643.404483250153</v>
      </c>
      <c r="E18" s="34">
        <v>1148.4177405423309</v>
      </c>
      <c r="F18" s="33">
        <v>27392.762404139488</v>
      </c>
      <c r="G18" s="34">
        <v>1060.5755476202446</v>
      </c>
      <c r="H18" s="33">
        <v>27097.782925662461</v>
      </c>
      <c r="I18" s="34">
        <v>973.41156611951669</v>
      </c>
      <c r="J18" s="33">
        <v>26749.50785851042</v>
      </c>
      <c r="K18" s="34">
        <v>887.14778023278279</v>
      </c>
      <c r="L18" s="33">
        <v>26336.92005557552</v>
      </c>
      <c r="M18" s="34">
        <v>802.07602876711917</v>
      </c>
      <c r="N18" s="33">
        <v>25846.559606794366</v>
      </c>
      <c r="O18" s="34">
        <v>718.56891865065131</v>
      </c>
      <c r="P18" s="33">
        <v>25262.108892859258</v>
      </c>
      <c r="Q18" s="34">
        <v>637.09349389787667</v>
      </c>
      <c r="R18" s="33">
        <v>24564.07534185547</v>
      </c>
      <c r="S18" s="34">
        <v>558.21920203918955</v>
      </c>
      <c r="T18" s="33">
        <v>23729.727699903266</v>
      </c>
      <c r="U18" s="34">
        <v>482.6129472449918</v>
      </c>
      <c r="V18" s="33">
        <v>22733.502223112984</v>
      </c>
      <c r="W18" s="34">
        <v>411.01583781605069</v>
      </c>
      <c r="X18" s="33">
        <v>21548.165298301337</v>
      </c>
      <c r="Y18" s="34">
        <v>344.18728734576899</v>
      </c>
      <c r="Z18" s="33">
        <v>20146.885787241939</v>
      </c>
      <c r="AA18" s="34">
        <v>282.8286465408479</v>
      </c>
      <c r="AB18" s="33">
        <v>18506.149948513787</v>
      </c>
      <c r="AC18" s="34">
        <v>227.48264169778898</v>
      </c>
      <c r="AD18" s="33">
        <v>16608.938194589497</v>
      </c>
      <c r="AE18" s="34">
        <v>178.44303206413076</v>
      </c>
      <c r="AF18" s="33">
        <v>14447.228778906574</v>
      </c>
      <c r="AG18" s="34">
        <v>135.70231306035646</v>
      </c>
      <c r="AH18" s="33">
        <v>12022.92811979866</v>
      </c>
      <c r="AI18" s="34">
        <v>98.960455326894845</v>
      </c>
      <c r="AJ18" s="33">
        <v>9346.9148254441607</v>
      </c>
      <c r="AK18" s="34">
        <v>67.690795579564821</v>
      </c>
      <c r="AL18" s="33">
        <v>6436.6998629070413</v>
      </c>
      <c r="AM18" s="34">
        <v>41.234331575087253</v>
      </c>
      <c r="AN18" s="33">
        <v>3313.5610854999381</v>
      </c>
      <c r="AO18" s="34">
        <v>18.893328982408136</v>
      </c>
      <c r="AP18" s="33">
        <v>2665.3652921285488</v>
      </c>
      <c r="AQ18" s="34">
        <v>14.859123962959675</v>
      </c>
      <c r="AR18" s="33">
        <v>2009.7331952253301</v>
      </c>
      <c r="AS18" s="34">
        <v>10.957566771428141</v>
      </c>
      <c r="AT18" s="33">
        <v>1346.845051243891</v>
      </c>
      <c r="AU18" s="34">
        <v>7.1836915669799088</v>
      </c>
      <c r="AV18" s="33">
        <v>676.87619159931626</v>
      </c>
      <c r="AW18" s="34">
        <v>3.5327191097364787</v>
      </c>
    </row>
    <row r="19" spans="1:49" x14ac:dyDescent="0.2">
      <c r="A19" t="s">
        <v>3</v>
      </c>
      <c r="B19" s="41">
        <v>1886.3937399999918</v>
      </c>
      <c r="C19" s="42">
        <v>262.78711299999759</v>
      </c>
      <c r="D19" s="41">
        <v>1864.0568783784661</v>
      </c>
      <c r="E19" s="42">
        <v>270.67907246891008</v>
      </c>
      <c r="F19" s="41">
        <v>1839.1088414958315</v>
      </c>
      <c r="G19" s="42">
        <v>279.26754793781083</v>
      </c>
      <c r="H19" s="41">
        <v>1811.0804820175808</v>
      </c>
      <c r="I19" s="42">
        <v>288.4993289448359</v>
      </c>
      <c r="J19" s="41">
        <v>1779.408678938473</v>
      </c>
      <c r="K19" s="42">
        <v>298.26298104531139</v>
      </c>
      <c r="L19" s="41">
        <v>1743.4170603320467</v>
      </c>
      <c r="M19" s="42">
        <v>308.36337492285082</v>
      </c>
      <c r="N19" s="41">
        <v>1702.2990523282385</v>
      </c>
      <c r="O19" s="42">
        <v>318.49209020116376</v>
      </c>
      <c r="P19" s="41">
        <v>1655.1006126743889</v>
      </c>
      <c r="Q19" s="42">
        <v>328.19182736610429</v>
      </c>
      <c r="R19" s="41">
        <v>1600.709569812652</v>
      </c>
      <c r="S19" s="42">
        <v>336.82013287861508</v>
      </c>
      <c r="T19" s="41">
        <v>1537.8593785578323</v>
      </c>
      <c r="U19" s="42">
        <v>343.5211049190396</v>
      </c>
      <c r="V19" s="41">
        <v>1465.1576799486731</v>
      </c>
      <c r="W19" s="42">
        <v>347.21860849016338</v>
      </c>
      <c r="X19" s="41">
        <v>1381.1535736234216</v>
      </c>
      <c r="Y19" s="42">
        <v>346.64816173788802</v>
      </c>
      <c r="Z19" s="41">
        <v>1284.4490066285186</v>
      </c>
      <c r="AA19" s="42">
        <v>340.44581869918278</v>
      </c>
      <c r="AB19" s="41">
        <v>1173.8499443261273</v>
      </c>
      <c r="AC19" s="42">
        <v>327.29336990081441</v>
      </c>
      <c r="AD19" s="41">
        <v>1048.5261986231174</v>
      </c>
      <c r="AE19" s="42">
        <v>306.09632933355238</v>
      </c>
      <c r="AF19" s="41">
        <v>908.1329793210823</v>
      </c>
      <c r="AG19" s="42">
        <v>276.14270306345816</v>
      </c>
      <c r="AH19" s="41">
        <v>752.85000594575888</v>
      </c>
      <c r="AI19" s="42">
        <v>237.18768060762096</v>
      </c>
      <c r="AJ19" s="41">
        <v>583.32435823102185</v>
      </c>
      <c r="AK19" s="42">
        <v>189.43828270670053</v>
      </c>
      <c r="AL19" s="41">
        <v>400.54472695140794</v>
      </c>
      <c r="AM19" s="42">
        <v>133.45533413110883</v>
      </c>
      <c r="AN19" s="41">
        <v>205.69060510270756</v>
      </c>
      <c r="AO19" s="42">
        <v>70.018750211756725</v>
      </c>
      <c r="AP19" s="41">
        <v>165.38002057017982</v>
      </c>
      <c r="AQ19" s="42">
        <v>56.513277367184322</v>
      </c>
      <c r="AR19" s="41">
        <v>124.64588885613173</v>
      </c>
      <c r="AS19" s="42">
        <v>42.75164231159539</v>
      </c>
      <c r="AT19" s="41">
        <v>83.498115649271085</v>
      </c>
      <c r="AU19" s="42">
        <v>28.740899279930243</v>
      </c>
      <c r="AV19" s="41">
        <v>41.946315967616847</v>
      </c>
      <c r="AW19" s="42">
        <v>14.488045478223697</v>
      </c>
    </row>
    <row r="20" spans="1:49" x14ac:dyDescent="0.2">
      <c r="A20" t="s">
        <v>127</v>
      </c>
      <c r="B20" s="82">
        <v>26548.356269999993</v>
      </c>
      <c r="C20" s="83">
        <v>1408.5418709999938</v>
      </c>
      <c r="D20" s="82">
        <v>26326.27360767479</v>
      </c>
      <c r="E20" s="83">
        <v>1338.1147774499941</v>
      </c>
      <c r="F20" s="82">
        <v>26068.546880879236</v>
      </c>
      <c r="G20" s="83">
        <v>1267.6876838999945</v>
      </c>
      <c r="H20" s="82">
        <v>25768.269373150251</v>
      </c>
      <c r="I20" s="83">
        <v>1197.2605903499946</v>
      </c>
      <c r="J20" s="82">
        <v>25416.998103765232</v>
      </c>
      <c r="K20" s="83">
        <v>1126.8334967999949</v>
      </c>
      <c r="L20" s="82">
        <v>25004.391099139011</v>
      </c>
      <c r="M20" s="83">
        <v>1056.4064032499953</v>
      </c>
      <c r="N20" s="82">
        <v>24517.864522466542</v>
      </c>
      <c r="O20" s="83">
        <v>985.97930969999561</v>
      </c>
      <c r="P20" s="82">
        <v>23942.2256340354</v>
      </c>
      <c r="Q20" s="83">
        <v>915.55221614999596</v>
      </c>
      <c r="R20" s="82">
        <v>23259.399737314612</v>
      </c>
      <c r="S20" s="83">
        <v>845.12512259999642</v>
      </c>
      <c r="T20" s="82">
        <v>22448.392900411247</v>
      </c>
      <c r="U20" s="83">
        <v>774.69802904999653</v>
      </c>
      <c r="V20" s="82">
        <v>21485.685810187882</v>
      </c>
      <c r="W20" s="83">
        <v>704.27093549999688</v>
      </c>
      <c r="X20" s="82">
        <v>20346.317426710764</v>
      </c>
      <c r="Y20" s="83">
        <v>633.84384194999734</v>
      </c>
      <c r="Z20" s="82">
        <v>19005.790251216706</v>
      </c>
      <c r="AA20" s="83">
        <v>563.41674839999757</v>
      </c>
      <c r="AB20" s="82">
        <v>17442.732353142743</v>
      </c>
      <c r="AC20" s="83">
        <v>492.98965484999775</v>
      </c>
      <c r="AD20" s="82">
        <v>15641.781928872137</v>
      </c>
      <c r="AE20" s="83">
        <v>422.56256129999804</v>
      </c>
      <c r="AF20" s="82">
        <v>13595.845351576756</v>
      </c>
      <c r="AG20" s="83">
        <v>352.13546774999827</v>
      </c>
      <c r="AH20" s="82">
        <v>11306.915279476929</v>
      </c>
      <c r="AI20" s="83">
        <v>281.70837419999856</v>
      </c>
      <c r="AJ20" s="82">
        <v>8785.1721416981745</v>
      </c>
      <c r="AK20" s="83">
        <v>211.28128064999879</v>
      </c>
      <c r="AL20" s="82">
        <v>6046.8336573116694</v>
      </c>
      <c r="AM20" s="83">
        <v>140.85418709999902</v>
      </c>
      <c r="AN20" s="82">
        <v>3111.5333496983171</v>
      </c>
      <c r="AO20" s="83">
        <v>70.427093549999285</v>
      </c>
      <c r="AP20" s="82">
        <v>2502.6648210765488</v>
      </c>
      <c r="AQ20" s="83">
        <v>56.341674839999335</v>
      </c>
      <c r="AR20" s="82">
        <v>1886.9132709858857</v>
      </c>
      <c r="AS20" s="83">
        <v>42.256256129999379</v>
      </c>
      <c r="AT20" s="82">
        <v>1264.4446553310004</v>
      </c>
      <c r="AU20" s="83">
        <v>28.170837419999433</v>
      </c>
      <c r="AV20" s="82">
        <v>635.42036739708522</v>
      </c>
      <c r="AW20" s="83">
        <v>14.085418709999482</v>
      </c>
    </row>
    <row r="21" spans="1:49" x14ac:dyDescent="0.2">
      <c r="A21" t="s">
        <v>76</v>
      </c>
      <c r="B21" s="82">
        <v>24661.962529999968</v>
      </c>
      <c r="C21" s="83">
        <v>1145.7547579999991</v>
      </c>
      <c r="D21" s="82">
        <v>24462.222925257618</v>
      </c>
      <c r="E21" s="83">
        <v>1067.6996771963982</v>
      </c>
      <c r="F21" s="82">
        <v>24229.463414782287</v>
      </c>
      <c r="G21" s="83">
        <v>989.53414957499842</v>
      </c>
      <c r="H21" s="82">
        <v>23957.247323445928</v>
      </c>
      <c r="I21" s="83">
        <v>911.40167775856719</v>
      </c>
      <c r="J21" s="82">
        <v>23637.695616932197</v>
      </c>
      <c r="K21" s="83">
        <v>833.50324633090599</v>
      </c>
      <c r="L21" s="82">
        <v>23261.143295347567</v>
      </c>
      <c r="M21" s="83">
        <v>756.11315056270746</v>
      </c>
      <c r="N21" s="82">
        <v>22815.81323482774</v>
      </c>
      <c r="O21" s="83">
        <v>679.59381963372607</v>
      </c>
      <c r="P21" s="82">
        <v>22287.466066970235</v>
      </c>
      <c r="Q21" s="83">
        <v>604.41012944282625</v>
      </c>
      <c r="R21" s="82">
        <v>21659.137329005705</v>
      </c>
      <c r="S21" s="83">
        <v>531.13773936576729</v>
      </c>
      <c r="T21" s="82">
        <v>20911.095903268131</v>
      </c>
      <c r="U21" s="83">
        <v>460.45889157228697</v>
      </c>
      <c r="V21" s="82">
        <v>20021.208825229511</v>
      </c>
      <c r="W21" s="83">
        <v>393.13800561050323</v>
      </c>
      <c r="X21" s="82">
        <v>18965.95741631099</v>
      </c>
      <c r="Y21" s="83">
        <v>329.9704786828292</v>
      </c>
      <c r="Z21" s="82">
        <v>17722.23141118386</v>
      </c>
      <c r="AA21" s="83">
        <v>271.70146822182369</v>
      </c>
      <c r="AB21" s="82">
        <v>16269.840748419525</v>
      </c>
      <c r="AC21" s="83">
        <v>218.92685980053869</v>
      </c>
      <c r="AD21" s="82">
        <v>14594.241873253492</v>
      </c>
      <c r="AE21" s="83">
        <v>172.00018189888149</v>
      </c>
      <c r="AF21" s="82">
        <v>12688.676040502247</v>
      </c>
      <c r="AG21" s="83">
        <v>130.97776960120754</v>
      </c>
      <c r="AH21" s="82">
        <v>10554.949731113156</v>
      </c>
      <c r="AI21" s="83">
        <v>95.623640267940075</v>
      </c>
      <c r="AJ21" s="82">
        <v>8202.5938453306735</v>
      </c>
      <c r="AK21" s="83">
        <v>65.470923503174589</v>
      </c>
      <c r="AL21" s="82">
        <v>5646.8386060477942</v>
      </c>
      <c r="AM21" s="83">
        <v>39.91419979348791</v>
      </c>
      <c r="AN21" s="82">
        <v>2906.141920108872</v>
      </c>
      <c r="AO21" s="83">
        <v>18.300800178750645</v>
      </c>
      <c r="AP21" s="82">
        <v>2337.5278452016923</v>
      </c>
      <c r="AQ21" s="83">
        <v>14.394878041274524</v>
      </c>
      <c r="AR21" s="82">
        <v>1762.4523950193905</v>
      </c>
      <c r="AS21" s="83">
        <v>10.616454604710798</v>
      </c>
      <c r="AT21" s="82">
        <v>1181.071668541736</v>
      </c>
      <c r="AU21" s="83">
        <v>6.9608518281940395</v>
      </c>
      <c r="AV21" s="82">
        <v>593.53749294942736</v>
      </c>
      <c r="AW21" s="83">
        <v>3.4235111846676309</v>
      </c>
    </row>
    <row r="22" spans="1:49" x14ac:dyDescent="0.2">
      <c r="A22" t="s">
        <v>28</v>
      </c>
      <c r="B22" s="41">
        <v>6533.6044688320644</v>
      </c>
      <c r="C22" s="42">
        <v>379.90788307663382</v>
      </c>
      <c r="D22" s="41">
        <v>6446.0233182423863</v>
      </c>
      <c r="E22" s="42">
        <v>358.83025116490199</v>
      </c>
      <c r="F22" s="41">
        <v>6348.7470340492528</v>
      </c>
      <c r="G22" s="42">
        <v>337.85303977999831</v>
      </c>
      <c r="H22" s="41">
        <v>6240.1618566215257</v>
      </c>
      <c r="I22" s="42">
        <v>316.99194577441858</v>
      </c>
      <c r="J22" s="41">
        <v>6118.3438224857555</v>
      </c>
      <c r="K22" s="42">
        <v>296.26334432613481</v>
      </c>
      <c r="L22" s="41">
        <v>5980.9974777172592</v>
      </c>
      <c r="M22" s="42">
        <v>275.68422789780982</v>
      </c>
      <c r="N22" s="41">
        <v>5825.4058286368399</v>
      </c>
      <c r="O22" s="42">
        <v>255.27186369593755</v>
      </c>
      <c r="P22" s="41">
        <v>5648.3850555507825</v>
      </c>
      <c r="Q22" s="42">
        <v>235.04396950418237</v>
      </c>
      <c r="R22" s="41">
        <v>5446.2701731369743</v>
      </c>
      <c r="S22" s="42">
        <v>215.01913579639475</v>
      </c>
      <c r="T22" s="41">
        <v>5214.9619398012137</v>
      </c>
      <c r="U22" s="42">
        <v>195.21762759280369</v>
      </c>
      <c r="V22" s="41">
        <v>4950.0715820998303</v>
      </c>
      <c r="W22" s="42">
        <v>175.66250496741191</v>
      </c>
      <c r="X22" s="41">
        <v>4647.208436911058</v>
      </c>
      <c r="Y22" s="42">
        <v>156.38119597099035</v>
      </c>
      <c r="Z22" s="41">
        <v>4302.411201384838</v>
      </c>
      <c r="AA22" s="42">
        <v>137.40578173605002</v>
      </c>
      <c r="AB22" s="41">
        <v>3912.6869737756801</v>
      </c>
      <c r="AC22" s="42">
        <v>118.77220440782816</v>
      </c>
      <c r="AD22" s="41">
        <v>3476.5217839026918</v>
      </c>
      <c r="AE22" s="42">
        <v>100.5171193769246</v>
      </c>
      <c r="AF22" s="41">
        <v>2994.1918211729799</v>
      </c>
      <c r="AG22" s="42">
        <v>82.673103751622705</v>
      </c>
      <c r="AH22" s="41">
        <v>2467.7434369952007</v>
      </c>
      <c r="AI22" s="42">
        <v>65.263607964134252</v>
      </c>
      <c r="AJ22" s="41">
        <v>1900.6416881607249</v>
      </c>
      <c r="AK22" s="42">
        <v>48.299453475621597</v>
      </c>
      <c r="AL22" s="41">
        <v>1297.2292184932999</v>
      </c>
      <c r="AM22" s="42">
        <v>31.778205543701532</v>
      </c>
      <c r="AN22" s="41">
        <v>662.16723496574605</v>
      </c>
      <c r="AO22" s="42">
        <v>15.685844761294018</v>
      </c>
      <c r="AP22" s="41">
        <v>531.76258333114004</v>
      </c>
      <c r="AQ22" s="42">
        <v>12.516980813371989</v>
      </c>
      <c r="AR22" s="41">
        <v>400.3096803940191</v>
      </c>
      <c r="AS22" s="42">
        <v>9.3641797111175737</v>
      </c>
      <c r="AT22" s="41">
        <v>267.84290512355403</v>
      </c>
      <c r="AU22" s="42">
        <v>6.2272323293304135</v>
      </c>
      <c r="AV22" s="41">
        <v>134.39551127309429</v>
      </c>
      <c r="AW22" s="42">
        <v>3.1059148814287125</v>
      </c>
    </row>
    <row r="23" spans="1:49" x14ac:dyDescent="0.2">
      <c r="A23" t="s">
        <v>7</v>
      </c>
      <c r="B23" s="116">
        <v>3278.5018080150408</v>
      </c>
      <c r="C23" s="8">
        <v>0</v>
      </c>
      <c r="D23" s="116">
        <v>3256.0282704915212</v>
      </c>
      <c r="E23" s="8">
        <v>0</v>
      </c>
      <c r="F23" s="116">
        <v>3229.0640645683843</v>
      </c>
      <c r="G23" s="8">
        <v>0</v>
      </c>
      <c r="H23" s="116">
        <v>3196.722689191196</v>
      </c>
      <c r="I23" s="8">
        <v>0</v>
      </c>
      <c r="J23" s="116">
        <v>3157.9192026093374</v>
      </c>
      <c r="K23" s="8">
        <v>0</v>
      </c>
      <c r="L23" s="116">
        <v>3111.3233406804625</v>
      </c>
      <c r="M23" s="8">
        <v>0</v>
      </c>
      <c r="N23" s="116">
        <v>3055.3154808066561</v>
      </c>
      <c r="O23" s="8">
        <v>0</v>
      </c>
      <c r="P23" s="116">
        <v>2987.9395108867925</v>
      </c>
      <c r="Q23" s="8">
        <v>0</v>
      </c>
      <c r="R23" s="116">
        <v>2906.8678032256307</v>
      </c>
      <c r="S23" s="8">
        <v>0</v>
      </c>
      <c r="T23" s="116">
        <v>2809.3965192576979</v>
      </c>
      <c r="U23" s="8">
        <v>0</v>
      </c>
      <c r="V23" s="116">
        <v>2692.4960569069872</v>
      </c>
      <c r="W23" s="8">
        <v>0</v>
      </c>
      <c r="X23" s="116">
        <v>2552.9503162143287</v>
      </c>
      <c r="Y23" s="8">
        <v>0</v>
      </c>
      <c r="Z23" s="116">
        <v>2387.6004817138096</v>
      </c>
      <c r="AA23" s="8">
        <v>0</v>
      </c>
      <c r="AB23" s="116">
        <v>2193.6863448927324</v>
      </c>
      <c r="AC23" s="8">
        <v>0</v>
      </c>
      <c r="AD23" s="116">
        <v>1969.2161894113112</v>
      </c>
      <c r="AE23" s="8">
        <v>0</v>
      </c>
      <c r="AF23" s="116">
        <v>1713.2571428612953</v>
      </c>
      <c r="AG23" s="8">
        <v>0</v>
      </c>
      <c r="AH23" s="116">
        <v>1426.0416082162258</v>
      </c>
      <c r="AI23" s="8">
        <v>0</v>
      </c>
      <c r="AJ23" s="116">
        <v>1108.8539675771065</v>
      </c>
      <c r="AK23" s="8">
        <v>0</v>
      </c>
      <c r="AL23" s="116">
        <v>763.75666986654596</v>
      </c>
      <c r="AM23" s="8">
        <v>0</v>
      </c>
      <c r="AN23" s="116">
        <v>393.25505173434686</v>
      </c>
      <c r="AO23" s="8">
        <v>0</v>
      </c>
      <c r="AP23" s="116">
        <v>316.33976288356894</v>
      </c>
      <c r="AQ23" s="8">
        <v>0</v>
      </c>
      <c r="AR23" s="116">
        <v>238.53561670761312</v>
      </c>
      <c r="AS23" s="8">
        <v>0</v>
      </c>
      <c r="AT23" s="116">
        <v>159.86386014116735</v>
      </c>
      <c r="AU23" s="8">
        <v>0</v>
      </c>
      <c r="AV23" s="116">
        <v>80.345170734617312</v>
      </c>
      <c r="AW23" s="8">
        <v>0</v>
      </c>
    </row>
    <row r="24" spans="1:49" x14ac:dyDescent="0.2">
      <c r="A24" t="s">
        <v>8</v>
      </c>
      <c r="B24" s="97">
        <v>3196.3846373657216</v>
      </c>
      <c r="C24" s="8">
        <v>0</v>
      </c>
      <c r="D24" s="97">
        <v>3209.2465405070666</v>
      </c>
      <c r="E24" s="8">
        <v>0</v>
      </c>
      <c r="F24" s="97">
        <v>3218.1856234523752</v>
      </c>
      <c r="G24" s="8">
        <v>0</v>
      </c>
      <c r="H24" s="97">
        <v>3222.224911393741</v>
      </c>
      <c r="I24" s="8">
        <v>0</v>
      </c>
      <c r="J24" s="97">
        <v>3220.1304457290848</v>
      </c>
      <c r="K24" s="8">
        <v>0</v>
      </c>
      <c r="L24" s="97">
        <v>3210.3404438788916</v>
      </c>
      <c r="M24" s="8">
        <v>0</v>
      </c>
      <c r="N24" s="97">
        <v>3190.8932510808045</v>
      </c>
      <c r="O24" s="8">
        <v>0</v>
      </c>
      <c r="P24" s="97">
        <v>3159.3427009978918</v>
      </c>
      <c r="Q24" s="8">
        <v>0</v>
      </c>
      <c r="R24" s="97">
        <v>3112.6789164975853</v>
      </c>
      <c r="S24" s="8">
        <v>0</v>
      </c>
      <c r="T24" s="97">
        <v>3047.2766024415942</v>
      </c>
      <c r="U24" s="8">
        <v>0</v>
      </c>
      <c r="V24" s="97">
        <v>2958.9042818867906</v>
      </c>
      <c r="W24" s="8">
        <v>0</v>
      </c>
      <c r="X24" s="97">
        <v>2842.8440240419659</v>
      </c>
      <c r="Y24" s="8">
        <v>0</v>
      </c>
      <c r="Z24" s="97">
        <v>2694.1624580163157</v>
      </c>
      <c r="AA24" s="8">
        <v>0</v>
      </c>
      <c r="AB24" s="97">
        <v>2508.1450317392409</v>
      </c>
      <c r="AC24" s="8">
        <v>0</v>
      </c>
      <c r="AD24" s="97">
        <v>2280.8297375704828</v>
      </c>
      <c r="AE24" s="8">
        <v>0</v>
      </c>
      <c r="AF24" s="97">
        <v>2009.5033273068736</v>
      </c>
      <c r="AG24" s="8">
        <v>0</v>
      </c>
      <c r="AH24" s="97">
        <v>1692.9992619730481</v>
      </c>
      <c r="AI24" s="8">
        <v>0</v>
      </c>
      <c r="AJ24" s="97">
        <v>1331.7034505384458</v>
      </c>
      <c r="AK24" s="8">
        <v>0</v>
      </c>
      <c r="AL24" s="97">
        <v>927.30064217423865</v>
      </c>
      <c r="AM24" s="8">
        <v>0</v>
      </c>
      <c r="AN24" s="97">
        <v>482.37451660949012</v>
      </c>
      <c r="AO24" s="8">
        <v>0</v>
      </c>
      <c r="AP24" s="97">
        <v>388.79269896494702</v>
      </c>
      <c r="AQ24" s="8">
        <v>0</v>
      </c>
      <c r="AR24" s="97">
        <v>293.73809180385462</v>
      </c>
      <c r="AS24" s="8">
        <v>0</v>
      </c>
      <c r="AT24" s="97">
        <v>197.23714238036314</v>
      </c>
      <c r="AU24" s="8">
        <v>0</v>
      </c>
      <c r="AV24" s="97">
        <v>99.315780981261028</v>
      </c>
      <c r="AW24" s="8">
        <v>0</v>
      </c>
    </row>
    <row r="25" spans="1:49" x14ac:dyDescent="0.2">
      <c r="A25" t="s">
        <v>0</v>
      </c>
      <c r="B25" s="41">
        <v>3195.0476040000012</v>
      </c>
      <c r="C25" s="42">
        <v>91.012690000004397</v>
      </c>
      <c r="D25" s="41">
        <v>3181.1715587885783</v>
      </c>
      <c r="E25" s="42">
        <v>80.670178909091646</v>
      </c>
      <c r="F25" s="41">
        <v>3163.2576870773978</v>
      </c>
      <c r="G25" s="42">
        <v>70.860251178529907</v>
      </c>
      <c r="H25" s="41">
        <v>3140.4399524650494</v>
      </c>
      <c r="I25" s="42">
        <v>61.625322739090841</v>
      </c>
      <c r="J25" s="41">
        <v>3111.637377150274</v>
      </c>
      <c r="K25" s="42">
        <v>53.006348278171387</v>
      </c>
      <c r="L25" s="41">
        <v>3075.4964810085294</v>
      </c>
      <c r="M25" s="42">
        <v>45.041741413026074</v>
      </c>
      <c r="N25" s="41">
        <v>3030.3337410954023</v>
      </c>
      <c r="O25" s="42">
        <v>37.765142521611232</v>
      </c>
      <c r="P25" s="41">
        <v>2974.0714852094884</v>
      </c>
      <c r="Q25" s="42">
        <v>31.203268581959609</v>
      </c>
      <c r="R25" s="41">
        <v>2904.1843520757893</v>
      </c>
      <c r="S25" s="42">
        <v>25.373366697820007</v>
      </c>
      <c r="T25" s="41">
        <v>2817.6780870122493</v>
      </c>
      <c r="U25" s="42">
        <v>20.280359021254156</v>
      </c>
      <c r="V25" s="41">
        <v>2711.1318417831903</v>
      </c>
      <c r="W25" s="42">
        <v>15.91412234522665</v>
      </c>
      <c r="X25" s="41">
        <v>2580.845363503282</v>
      </c>
      <c r="Y25" s="42">
        <v>12.247148196776349</v>
      </c>
      <c r="Z25" s="41">
        <v>2423.1168193870999</v>
      </c>
      <c r="AA25" s="42">
        <v>9.2338077769298028</v>
      </c>
      <c r="AB25" s="41">
        <v>2234.6444499560857</v>
      </c>
      <c r="AC25" s="42">
        <v>6.8115601959966359</v>
      </c>
      <c r="AD25" s="41">
        <v>2012.9741859955916</v>
      </c>
      <c r="AE25" s="42">
        <v>4.9049073353945492</v>
      </c>
      <c r="AF25" s="41">
        <v>1756.8617346103749</v>
      </c>
      <c r="AG25" s="42">
        <v>3.4315967709070825</v>
      </c>
      <c r="AH25" s="41">
        <v>1466.419722418289</v>
      </c>
      <c r="AI25" s="42">
        <v>2.3097673728327477</v>
      </c>
      <c r="AJ25" s="41">
        <v>1143.0012792111154</v>
      </c>
      <c r="AK25" s="42">
        <v>1.4642170525447034</v>
      </c>
      <c r="AL25" s="41">
        <v>788.88580983632039</v>
      </c>
      <c r="AM25" s="42">
        <v>0.83040378325563435</v>
      </c>
      <c r="AN25" s="41">
        <v>406.88679448079449</v>
      </c>
      <c r="AO25" s="42">
        <v>0.35592982450572541</v>
      </c>
      <c r="AP25" s="41">
        <v>327.40473688875807</v>
      </c>
      <c r="AQ25" s="42">
        <v>0.27637760371992892</v>
      </c>
      <c r="AR25" s="41">
        <v>246.95125850959013</v>
      </c>
      <c r="AS25" s="42">
        <v>0.20126092388890507</v>
      </c>
      <c r="AT25" s="41">
        <v>165.5504025283536</v>
      </c>
      <c r="AU25" s="42">
        <v>0.13031969875668092</v>
      </c>
      <c r="AV25" s="41">
        <v>83.225594210202047</v>
      </c>
      <c r="AW25" s="42">
        <v>6.3309546766203859E-2</v>
      </c>
    </row>
    <row r="26" spans="1:49" x14ac:dyDescent="0.2">
      <c r="A26" t="s">
        <v>27</v>
      </c>
      <c r="B26" s="33">
        <v>5036.2953101960647</v>
      </c>
      <c r="C26" s="34">
        <v>74.905331803938267</v>
      </c>
      <c r="D26" s="33">
        <v>5000.5646532952969</v>
      </c>
      <c r="E26" s="34">
        <v>69.603221579466663</v>
      </c>
      <c r="F26" s="33">
        <v>4958.4130319229307</v>
      </c>
      <c r="G26" s="34">
        <v>64.333100949716169</v>
      </c>
      <c r="H26" s="33">
        <v>4908.5175046595441</v>
      </c>
      <c r="I26" s="34">
        <v>59.10428367057191</v>
      </c>
      <c r="J26" s="33">
        <v>4849.2455179181206</v>
      </c>
      <c r="K26" s="34">
        <v>53.928965484611133</v>
      </c>
      <c r="L26" s="33">
        <v>4778.5777085565751</v>
      </c>
      <c r="M26" s="34">
        <v>48.823329468928591</v>
      </c>
      <c r="N26" s="33">
        <v>4694.0336947484584</v>
      </c>
      <c r="O26" s="34">
        <v>43.808241193028991</v>
      </c>
      <c r="P26" s="33">
        <v>4592.590500200492</v>
      </c>
      <c r="Q26" s="34">
        <v>38.910135150524276</v>
      </c>
      <c r="R26" s="33">
        <v>4470.6178140575057</v>
      </c>
      <c r="S26" s="34">
        <v>34.16160648163946</v>
      </c>
      <c r="T26" s="33">
        <v>4323.8590763661605</v>
      </c>
      <c r="U26" s="34">
        <v>29.601281625279665</v>
      </c>
      <c r="V26" s="33">
        <v>4147.4990376786727</v>
      </c>
      <c r="W26" s="34">
        <v>25.272624518535622</v>
      </c>
      <c r="X26" s="33">
        <v>3936.3722149134978</v>
      </c>
      <c r="Y26" s="34">
        <v>21.220820180096766</v>
      </c>
      <c r="Z26" s="33">
        <v>3685.3437882936978</v>
      </c>
      <c r="AA26" s="34">
        <v>17.488335934720389</v>
      </c>
      <c r="AB26" s="33">
        <v>3389.8531444116229</v>
      </c>
      <c r="AC26" s="34">
        <v>14.108936957948952</v>
      </c>
      <c r="AD26" s="33">
        <v>3046.5149985383769</v>
      </c>
      <c r="AE26" s="34">
        <v>11.102123674058655</v>
      </c>
      <c r="AF26" s="33">
        <v>2653.6037570117874</v>
      </c>
      <c r="AG26" s="34">
        <v>8.4696977590961922</v>
      </c>
      <c r="AH26" s="33">
        <v>2211.2495253645498</v>
      </c>
      <c r="AI26" s="34">
        <v>6.1959171530462758</v>
      </c>
      <c r="AJ26" s="33">
        <v>1721.2810411290229</v>
      </c>
      <c r="AK26" s="34">
        <v>4.2511329922491994</v>
      </c>
      <c r="AL26" s="33">
        <v>1186.803404751174</v>
      </c>
      <c r="AM26" s="34">
        <v>2.5972711058227431</v>
      </c>
      <c r="AN26" s="33">
        <v>611.66886377623302</v>
      </c>
      <c r="AO26" s="34">
        <v>1.193415537153919</v>
      </c>
      <c r="AP26" s="33">
        <v>492.12574543687032</v>
      </c>
      <c r="AQ26" s="34">
        <v>0.93910432661521548</v>
      </c>
      <c r="AR26" s="33">
        <v>371.15440695655826</v>
      </c>
      <c r="AS26" s="34">
        <v>0.69289843479116564</v>
      </c>
      <c r="AT26" s="33">
        <v>248.78812548531755</v>
      </c>
      <c r="AU26" s="34">
        <v>0.45450154136750925</v>
      </c>
      <c r="AV26" s="33">
        <v>125.05929574432898</v>
      </c>
      <c r="AW26" s="34">
        <v>0.22362811860580509</v>
      </c>
    </row>
    <row r="27" spans="1:49" x14ac:dyDescent="0.2">
      <c r="A27" t="s">
        <v>2</v>
      </c>
      <c r="B27" s="35">
        <v>6425.1981590000069</v>
      </c>
      <c r="C27" s="36">
        <v>273.22915400000028</v>
      </c>
      <c r="D27" s="35">
        <v>6381.8959536071425</v>
      </c>
      <c r="E27" s="36">
        <v>253.93427676814289</v>
      </c>
      <c r="F27" s="35">
        <v>6330.4508996186105</v>
      </c>
      <c r="G27" s="36">
        <v>234.75081737021185</v>
      </c>
      <c r="H27" s="35">
        <v>6269.2086643175689</v>
      </c>
      <c r="I27" s="36">
        <v>215.71324758515706</v>
      </c>
      <c r="J27" s="35">
        <v>6196.1247422620454</v>
      </c>
      <c r="K27" s="36">
        <v>196.86645803282656</v>
      </c>
      <c r="L27" s="35">
        <v>6108.6646571275314</v>
      </c>
      <c r="M27" s="36">
        <v>178.26982331268806</v>
      </c>
      <c r="N27" s="35">
        <v>6003.7047513722518</v>
      </c>
      <c r="O27" s="36">
        <v>159.99963714606008</v>
      </c>
      <c r="P27" s="35">
        <v>5877.4211052146011</v>
      </c>
      <c r="Q27" s="36">
        <v>142.15230450594819</v>
      </c>
      <c r="R27" s="35">
        <v>5725.1952669149341</v>
      </c>
      <c r="S27" s="36">
        <v>124.84647599008879</v>
      </c>
      <c r="T27" s="35">
        <v>5541.5729000158235</v>
      </c>
      <c r="U27" s="36">
        <v>108.22257272865116</v>
      </c>
      <c r="V27" s="35">
        <v>5320.3275514391598</v>
      </c>
      <c r="W27" s="36">
        <v>92.438533475731234</v>
      </c>
      <c r="X27" s="35">
        <v>5054.7019433518717</v>
      </c>
      <c r="Y27" s="36">
        <v>77.658420190776738</v>
      </c>
      <c r="Z27" s="35">
        <v>4737.87330353582</v>
      </c>
      <c r="AA27" s="36">
        <v>64.036546753483336</v>
      </c>
      <c r="AB27" s="35">
        <v>4363.6408413567606</v>
      </c>
      <c r="AC27" s="36">
        <v>51.695770302507078</v>
      </c>
      <c r="AD27" s="35">
        <v>3927.2105857456704</v>
      </c>
      <c r="AE27" s="36">
        <v>40.707378444093926</v>
      </c>
      <c r="AF27" s="35">
        <v>3425.8574867431644</v>
      </c>
      <c r="AG27" s="36">
        <v>31.078580544532915</v>
      </c>
      <c r="AH27" s="35">
        <v>2859.2357938421756</v>
      </c>
      <c r="AI27" s="36">
        <v>22.752982844910317</v>
      </c>
      <c r="AJ27" s="35">
        <v>2229.2364608464259</v>
      </c>
      <c r="AK27" s="36">
        <v>15.623686638262047</v>
      </c>
      <c r="AL27" s="35">
        <v>1539.486983459238</v>
      </c>
      <c r="AM27" s="36">
        <v>9.5530600250188797</v>
      </c>
      <c r="AN27" s="35">
        <v>794.68878094048955</v>
      </c>
      <c r="AO27" s="36">
        <v>4.3929744325204743</v>
      </c>
      <c r="AP27" s="35">
        <v>639.5752343018695</v>
      </c>
      <c r="AQ27" s="36">
        <v>3.4573889539117166</v>
      </c>
      <c r="AR27" s="35">
        <v>482.50776330946366</v>
      </c>
      <c r="AS27" s="36">
        <v>2.5513560089653242</v>
      </c>
      <c r="AT27" s="35">
        <v>323.52859531383871</v>
      </c>
      <c r="AU27" s="36">
        <v>1.673799817625077</v>
      </c>
      <c r="AV27" s="35">
        <v>162.67900942768199</v>
      </c>
      <c r="AW27" s="36">
        <v>0.82368435355706737</v>
      </c>
    </row>
    <row r="28" spans="1:49" x14ac:dyDescent="0.2">
      <c r="A28" t="s">
        <v>35</v>
      </c>
      <c r="B28" s="41">
        <v>13763.097676000023</v>
      </c>
      <c r="C28" s="42">
        <v>382.36647899999997</v>
      </c>
      <c r="D28" s="41">
        <v>13667.735055796576</v>
      </c>
      <c r="E28" s="42">
        <v>355.34640128060789</v>
      </c>
      <c r="F28" s="41">
        <v>13554.872682078929</v>
      </c>
      <c r="G28" s="42">
        <v>328.48433611794189</v>
      </c>
      <c r="H28" s="41">
        <v>13420.92847922325</v>
      </c>
      <c r="I28" s="42">
        <v>301.82832677401558</v>
      </c>
      <c r="J28" s="41">
        <v>13261.478953522505</v>
      </c>
      <c r="K28" s="42">
        <v>275.44103375775364</v>
      </c>
      <c r="L28" s="41">
        <v>13071.046872446905</v>
      </c>
      <c r="M28" s="42">
        <v>249.40541045932784</v>
      </c>
      <c r="N28" s="41">
        <v>12842.893883794319</v>
      </c>
      <c r="O28" s="42">
        <v>223.82815134956124</v>
      </c>
      <c r="P28" s="41">
        <v>12568.790537887609</v>
      </c>
      <c r="Q28" s="42">
        <v>198.84417598310924</v>
      </c>
      <c r="R28" s="41">
        <v>12238.827686813935</v>
      </c>
      <c r="S28" s="42">
        <v>174.61962605148938</v>
      </c>
      <c r="T28" s="41">
        <v>11841.34765662686</v>
      </c>
      <c r="U28" s="42">
        <v>151.35120264623239</v>
      </c>
      <c r="V28" s="41">
        <v>11363.106700109614</v>
      </c>
      <c r="W28" s="42">
        <v>129.26017474163626</v>
      </c>
      <c r="X28" s="41">
        <v>10789.820515635523</v>
      </c>
      <c r="Y28" s="42">
        <v>108.57644580614347</v>
      </c>
      <c r="Z28" s="41">
        <v>10107.185362281543</v>
      </c>
      <c r="AA28" s="42">
        <v>89.516215201624988</v>
      </c>
      <c r="AB28" s="41">
        <v>9302.3585244364458</v>
      </c>
      <c r="AC28" s="42">
        <v>72.251550166085039</v>
      </c>
      <c r="AD28" s="41">
        <v>8365.6199813607527</v>
      </c>
      <c r="AE28" s="42">
        <v>56.882166522232133</v>
      </c>
      <c r="AF28" s="41">
        <v>7291.7407387851445</v>
      </c>
      <c r="AG28" s="42">
        <v>43.417914172252033</v>
      </c>
      <c r="AH28" s="41">
        <v>6080.5784732084958</v>
      </c>
      <c r="AI28" s="42">
        <v>31.779475333939988</v>
      </c>
      <c r="AJ28" s="41">
        <v>4736.704929639377</v>
      </c>
      <c r="AK28" s="42">
        <v>21.816759701411939</v>
      </c>
      <c r="AL28" s="41">
        <v>3268.2888769549154</v>
      </c>
      <c r="AM28" s="42">
        <v>13.336662645175636</v>
      </c>
      <c r="AN28" s="41">
        <v>1685.6608347834078</v>
      </c>
      <c r="AO28" s="42">
        <v>6.1314375646471495</v>
      </c>
      <c r="AP28" s="41">
        <v>1356.4113778897788</v>
      </c>
      <c r="AQ28" s="42">
        <v>4.8253843455107459</v>
      </c>
      <c r="AR28" s="41">
        <v>1023.1307231340525</v>
      </c>
      <c r="AS28" s="42">
        <v>3.5606956543079478</v>
      </c>
      <c r="AT28" s="41">
        <v>685.90968377716126</v>
      </c>
      <c r="AU28" s="42">
        <v>2.3358639168790378</v>
      </c>
      <c r="AV28" s="41">
        <v>344.83683303042937</v>
      </c>
      <c r="AW28" s="42">
        <v>1.1494370236396414</v>
      </c>
    </row>
    <row r="29" spans="1:49" x14ac:dyDescent="0.2">
      <c r="A29" t="s">
        <v>53</v>
      </c>
      <c r="B29" s="35">
        <v>14362.768558000025</v>
      </c>
      <c r="C29" s="36">
        <v>817.26650999999993</v>
      </c>
      <c r="D29" s="35">
        <v>14251.864544622897</v>
      </c>
      <c r="E29" s="36">
        <v>755.68810075826741</v>
      </c>
      <c r="F29" s="35">
        <v>14121.839107779404</v>
      </c>
      <c r="G29" s="36">
        <v>694.80710868369522</v>
      </c>
      <c r="H29" s="35">
        <v>13968.929126557472</v>
      </c>
      <c r="I29" s="36">
        <v>634.76449543633237</v>
      </c>
      <c r="J29" s="35">
        <v>13788.518964687537</v>
      </c>
      <c r="K29" s="36">
        <v>575.73338882698727</v>
      </c>
      <c r="L29" s="35">
        <v>13574.934046177135</v>
      </c>
      <c r="M29" s="36">
        <v>517.92954061290902</v>
      </c>
      <c r="N29" s="35">
        <v>13321.244364431215</v>
      </c>
      <c r="O29" s="36">
        <v>461.6160343980518</v>
      </c>
      <c r="P29" s="35">
        <v>13019.051991433946</v>
      </c>
      <c r="Q29" s="36">
        <v>407.10936877075324</v>
      </c>
      <c r="R29" s="35">
        <v>12658.329103911641</v>
      </c>
      <c r="S29" s="36">
        <v>354.78133996266001</v>
      </c>
      <c r="T29" s="35">
        <v>12227.386637075157</v>
      </c>
      <c r="U29" s="36">
        <v>305.05241119222103</v>
      </c>
      <c r="V29" s="35">
        <v>11713.084433843595</v>
      </c>
      <c r="W29" s="36">
        <v>258.37372336964836</v>
      </c>
      <c r="X29" s="35">
        <v>11101.430063992848</v>
      </c>
      <c r="Y29" s="36">
        <v>215.1896045248748</v>
      </c>
      <c r="Z29" s="35">
        <v>10378.644132881485</v>
      </c>
      <c r="AA29" s="36">
        <v>175.88929007582695</v>
      </c>
      <c r="AB29" s="35">
        <v>9532.6576108890258</v>
      </c>
      <c r="AC29" s="36">
        <v>140.74654868217598</v>
      </c>
      <c r="AD29" s="35">
        <v>8554.7423291577434</v>
      </c>
      <c r="AE29" s="36">
        <v>109.86897603806149</v>
      </c>
      <c r="AF29" s="35">
        <v>7440.7948377115945</v>
      </c>
      <c r="AG29" s="36">
        <v>83.173316429842018</v>
      </c>
      <c r="AH29" s="35">
        <v>6191.8118226673405</v>
      </c>
      <c r="AI29" s="36">
        <v>60.399000118213763</v>
      </c>
      <c r="AJ29" s="35">
        <v>4813.3971030967377</v>
      </c>
      <c r="AK29" s="36">
        <v>41.155218537297394</v>
      </c>
      <c r="AL29" s="35">
        <v>3314.5588383490253</v>
      </c>
      <c r="AM29" s="36">
        <v>24.982477066750878</v>
      </c>
      <c r="AN29" s="35">
        <v>1706.2375096546725</v>
      </c>
      <c r="AO29" s="36">
        <v>11.410705302772236</v>
      </c>
      <c r="AP29" s="35">
        <v>1372.4545748151679</v>
      </c>
      <c r="AQ29" s="36">
        <v>8.9689020947668592</v>
      </c>
      <c r="AR29" s="35">
        <v>1034.8478185624281</v>
      </c>
      <c r="AS29" s="36">
        <v>6.610093039069139</v>
      </c>
      <c r="AT29" s="35">
        <v>693.50989323640306</v>
      </c>
      <c r="AU29" s="36">
        <v>4.3310548510251827</v>
      </c>
      <c r="AV29" s="35">
        <v>348.5309154836005</v>
      </c>
      <c r="AW29" s="36">
        <v>2.128691657085835</v>
      </c>
    </row>
    <row r="30" spans="1:49" x14ac:dyDescent="0.2">
      <c r="A30" t="s">
        <v>48</v>
      </c>
      <c r="B30" s="119">
        <v>2924829.9599999995</v>
      </c>
      <c r="D30" s="119">
        <v>2959112.0141390054</v>
      </c>
      <c r="F30" s="119">
        <v>2989859.5460568056</v>
      </c>
      <c r="H30" s="119">
        <v>3016090.3459113706</v>
      </c>
      <c r="J30" s="119">
        <v>3036549.1991471639</v>
      </c>
      <c r="L30" s="119">
        <v>3049631.5393824624</v>
      </c>
      <c r="N30" s="119">
        <v>3053302.7599633024</v>
      </c>
      <c r="P30" s="119">
        <v>3045002.5358258644</v>
      </c>
      <c r="R30" s="119">
        <v>3021550.5065276194</v>
      </c>
      <c r="T30" s="119">
        <v>2979074.9854156571</v>
      </c>
      <c r="V30" s="119">
        <v>2912999.4005745659</v>
      </c>
      <c r="X30" s="119">
        <v>2818138.1282306984</v>
      </c>
      <c r="Z30" s="119">
        <v>2688953.8672969937</v>
      </c>
      <c r="AB30" s="119">
        <v>2519997.3715792485</v>
      </c>
      <c r="AD30" s="119">
        <v>2306478.5908492547</v>
      </c>
      <c r="AF30" s="119">
        <v>2044832.1454064779</v>
      </c>
      <c r="AH30" s="119">
        <v>1733101.5914693915</v>
      </c>
      <c r="AJ30" s="119">
        <v>1371023.8423325147</v>
      </c>
      <c r="AL30" s="119">
        <v>959822.41719327215</v>
      </c>
      <c r="AN30" s="119">
        <v>501818.11016212124</v>
      </c>
      <c r="AP30" s="119">
        <v>404856.75371732458</v>
      </c>
      <c r="AR30" s="119">
        <v>306167.75315154833</v>
      </c>
      <c r="AT30" s="119">
        <v>205777.60666128073</v>
      </c>
      <c r="AV30" s="119">
        <v>103712.79402469886</v>
      </c>
    </row>
    <row r="31" spans="1:49" x14ac:dyDescent="0.2">
      <c r="A31" t="s">
        <v>47</v>
      </c>
      <c r="B31" s="80">
        <v>1</v>
      </c>
      <c r="D31" s="80">
        <v>0.98422643362003559</v>
      </c>
      <c r="F31" s="80">
        <v>0.9669037162842643</v>
      </c>
      <c r="H31" s="80">
        <v>0.94779725078241983</v>
      </c>
      <c r="J31" s="80">
        <v>0.92663093083956549</v>
      </c>
      <c r="L31" s="80">
        <v>0.90307970915617986</v>
      </c>
      <c r="N31" s="80">
        <v>0.87676411231390505</v>
      </c>
      <c r="P31" s="80">
        <v>0.84724594641743234</v>
      </c>
      <c r="R31" s="80">
        <v>0.81402884506387485</v>
      </c>
      <c r="T31" s="80">
        <v>0.77656777905956642</v>
      </c>
      <c r="V31" s="80">
        <v>0.73429222662901761</v>
      </c>
      <c r="X31" s="80">
        <v>0.68664860326518939</v>
      </c>
      <c r="Z31" s="80">
        <v>0.6331604879660695</v>
      </c>
      <c r="AB31" s="80">
        <v>0.57350059140275544</v>
      </c>
      <c r="AD31" s="80">
        <v>0.5075546707225479</v>
      </c>
      <c r="AF31" s="80">
        <v>0.43545473349513697</v>
      </c>
      <c r="AH31" s="80">
        <v>0.35756587680343804</v>
      </c>
      <c r="AJ31" s="80">
        <v>0.27442988190443873</v>
      </c>
      <c r="AL31" s="80">
        <v>0.18668719323821048</v>
      </c>
      <c r="AN31" s="80">
        <v>9.5000788299574493E-2</v>
      </c>
      <c r="AP31" s="80">
        <v>7.6246695628359798E-2</v>
      </c>
      <c r="AR31" s="80">
        <v>5.7364976814330643E-2</v>
      </c>
      <c r="AT31" s="80">
        <v>3.8360307132659158E-2</v>
      </c>
      <c r="AV31" s="80">
        <v>1.9237187522339733E-2</v>
      </c>
    </row>
    <row r="32" spans="1:49" x14ac:dyDescent="0.2">
      <c r="A32" t="s">
        <v>64</v>
      </c>
      <c r="B32" s="86">
        <v>14734457.915000005</v>
      </c>
      <c r="D32" s="86">
        <v>14607787.148210635</v>
      </c>
      <c r="F32" s="86">
        <v>14460501.218295759</v>
      </c>
      <c r="H32" s="86">
        <v>14288695.890306396</v>
      </c>
      <c r="J32" s="86">
        <v>14087635.896981131</v>
      </c>
      <c r="L32" s="86">
        <v>13851570.972571641</v>
      </c>
      <c r="N32" s="86">
        <v>13573568.820237927</v>
      </c>
      <c r="P32" s="86">
        <v>13245340.330167366</v>
      </c>
      <c r="R32" s="86">
        <v>12857119.530075369</v>
      </c>
      <c r="T32" s="86">
        <v>12397670.958184134</v>
      </c>
      <c r="V32" s="86">
        <v>11854521.509365235</v>
      </c>
      <c r="X32" s="86">
        <v>11214549.216716005</v>
      </c>
      <c r="Z32" s="86">
        <v>10464982.485912506</v>
      </c>
      <c r="AB32" s="86">
        <v>9594778.332721591</v>
      </c>
      <c r="AD32" s="86">
        <v>8596097.0038602315</v>
      </c>
      <c r="AF32" s="86">
        <v>7465442.3722727355</v>
      </c>
      <c r="AH32" s="86">
        <v>6204056.4071552502</v>
      </c>
      <c r="AJ32" s="86">
        <v>4817432.6671958463</v>
      </c>
      <c r="AL32" s="86">
        <v>3314193.7569594611</v>
      </c>
      <c r="AN32" s="86">
        <v>1704730.3317915371</v>
      </c>
      <c r="AP32" s="86">
        <v>1371056.4667536458</v>
      </c>
      <c r="AR32" s="86">
        <v>1033659.7961739595</v>
      </c>
      <c r="AT32" s="86">
        <v>692628.08992736053</v>
      </c>
      <c r="AV32" s="86">
        <v>348046.68744273973</v>
      </c>
    </row>
    <row r="33" spans="1:49 16319:16321" x14ac:dyDescent="0.2">
      <c r="A33" t="s">
        <v>54</v>
      </c>
      <c r="B33" s="117">
        <v>7019665.6909999885</v>
      </c>
      <c r="D33" s="117">
        <v>6924054.4173938148</v>
      </c>
      <c r="F33" s="117">
        <v>6818288.947210229</v>
      </c>
      <c r="H33" s="117">
        <v>6700632.5360277472</v>
      </c>
      <c r="J33" s="117">
        <v>6569016.5476102717</v>
      </c>
      <c r="L33" s="117">
        <v>6420976.7613312667</v>
      </c>
      <c r="N33" s="117">
        <v>6253601.7542032003</v>
      </c>
      <c r="P33" s="117">
        <v>6063485.9673078042</v>
      </c>
      <c r="R33" s="117">
        <v>5846714.2418713029</v>
      </c>
      <c r="T33" s="117">
        <v>5598908.4633980542</v>
      </c>
      <c r="V33" s="117">
        <v>5315373.5310191773</v>
      </c>
      <c r="X33" s="117">
        <v>4991389.7480368372</v>
      </c>
      <c r="Z33" s="117">
        <v>4622654.2783862408</v>
      </c>
      <c r="AB33" s="117">
        <v>4205838.8218508065</v>
      </c>
      <c r="AD33" s="117">
        <v>3739126.9861863125</v>
      </c>
      <c r="AF33" s="117">
        <v>3222556.4456626577</v>
      </c>
      <c r="AH33" s="117">
        <v>2658025.2587266527</v>
      </c>
      <c r="AJ33" s="117">
        <v>2048953.2585422429</v>
      </c>
      <c r="AL33" s="117">
        <v>1399737.1945991337</v>
      </c>
      <c r="AN33" s="117">
        <v>715173.79197183251</v>
      </c>
      <c r="AP33" s="117">
        <v>574441.36119888758</v>
      </c>
      <c r="AR33" s="117">
        <v>432522.09839164955</v>
      </c>
      <c r="AT33" s="117">
        <v>289452.19018125907</v>
      </c>
      <c r="AV33" s="117">
        <v>145266.70668999752</v>
      </c>
    </row>
    <row r="34" spans="1:49 16319:16321" x14ac:dyDescent="0.2">
      <c r="A34" t="s">
        <v>75</v>
      </c>
      <c r="B34" s="117">
        <v>1136879.4410000162</v>
      </c>
      <c r="D34" s="117">
        <v>1127105.7868502941</v>
      </c>
      <c r="F34" s="117">
        <v>1115741.5488222856</v>
      </c>
      <c r="H34" s="117">
        <v>1102485.4642417235</v>
      </c>
      <c r="J34" s="117">
        <v>1086972.0654446608</v>
      </c>
      <c r="L34" s="117">
        <v>1068757.7871666576</v>
      </c>
      <c r="N34" s="117">
        <v>1047307.7410876113</v>
      </c>
      <c r="P34" s="117">
        <v>1021982.3137509548</v>
      </c>
      <c r="R34" s="117">
        <v>992028.01608234213</v>
      </c>
      <c r="T34" s="117">
        <v>956577.96255663189</v>
      </c>
      <c r="V34" s="117">
        <v>914669.67568958027</v>
      </c>
      <c r="X34" s="117">
        <v>865290.77633874863</v>
      </c>
      <c r="Z34" s="117">
        <v>807455.80183632812</v>
      </c>
      <c r="AB34" s="117">
        <v>740312.69592514029</v>
      </c>
      <c r="AD34" s="117">
        <v>663256.5653743163</v>
      </c>
      <c r="AF34" s="117">
        <v>576017.64899674151</v>
      </c>
      <c r="AH34" s="117">
        <v>478691.80323774181</v>
      </c>
      <c r="AJ34" s="117">
        <v>371702.85532593774</v>
      </c>
      <c r="AL34" s="117">
        <v>255716.15253705918</v>
      </c>
      <c r="AN34" s="117">
        <v>131533.36899083597</v>
      </c>
      <c r="AP34" s="117">
        <v>105787.81655511385</v>
      </c>
      <c r="AR34" s="117">
        <v>79754.988265751934</v>
      </c>
      <c r="AT34" s="117">
        <v>53441.707297908943</v>
      </c>
      <c r="AV34" s="117">
        <v>26854.542311127705</v>
      </c>
    </row>
    <row r="35" spans="1:49 16319:16321" x14ac:dyDescent="0.2">
      <c r="A35" t="s">
        <v>78</v>
      </c>
      <c r="B35" s="233">
        <v>1</v>
      </c>
      <c r="D35" s="233">
        <v>1.0021889713531651</v>
      </c>
      <c r="F35" s="233">
        <v>1.0045715003201534</v>
      </c>
      <c r="H35" s="233">
        <v>1.0071687649054857</v>
      </c>
      <c r="J35" s="233">
        <v>1.0100043290801142</v>
      </c>
      <c r="L35" s="233">
        <v>1.0131040706737096</v>
      </c>
      <c r="N35" s="233">
        <v>1.0164959681886101</v>
      </c>
      <c r="P35" s="233">
        <v>1.0202092565037788</v>
      </c>
      <c r="R35" s="233">
        <v>1.0242727450389242</v>
      </c>
      <c r="T35" s="233">
        <v>1.0287119163457537</v>
      </c>
      <c r="V35" s="233">
        <v>1.033544502649266</v>
      </c>
      <c r="X35" s="233">
        <v>1.0387744997253212</v>
      </c>
      <c r="Z35" s="233">
        <v>1.044385891244709</v>
      </c>
      <c r="AB35" s="233">
        <v>1.0503377415982265</v>
      </c>
      <c r="AD35" s="233">
        <v>1.0565634565826656</v>
      </c>
      <c r="AF35" s="233">
        <v>1.0629758287349016</v>
      </c>
      <c r="AH35" s="233">
        <v>1.0694772331832492</v>
      </c>
      <c r="AJ35" s="233">
        <v>1.075971858815381</v>
      </c>
      <c r="AL35" s="233">
        <v>1.0823759463617972</v>
      </c>
      <c r="AN35" s="233">
        <v>1.0886237867163817</v>
      </c>
      <c r="AP35" s="233">
        <v>1.0898502016392604</v>
      </c>
      <c r="AR35" s="233">
        <v>1.0910681812224499</v>
      </c>
      <c r="AT35" s="233">
        <v>1.092277468922318</v>
      </c>
      <c r="AV35" s="233">
        <v>1.093477840276035</v>
      </c>
    </row>
    <row r="36" spans="1:49 16319:16321" x14ac:dyDescent="0.2">
      <c r="A36" t="s">
        <v>21</v>
      </c>
      <c r="B36" s="37">
        <v>0.47195767671988198</v>
      </c>
      <c r="C36" s="38">
        <v>0.31738834428178964</v>
      </c>
      <c r="D36" s="37">
        <v>0.47198514315941231</v>
      </c>
      <c r="E36" s="38">
        <v>0.32017909420176466</v>
      </c>
      <c r="F36" s="37">
        <v>0.47201404587933626</v>
      </c>
      <c r="G36" s="38">
        <v>0.32320341158163884</v>
      </c>
      <c r="H36" s="37">
        <v>0.47204452438461691</v>
      </c>
      <c r="I36" s="38">
        <v>0.32648055921696556</v>
      </c>
      <c r="J36" s="37">
        <v>0.4720767084843176</v>
      </c>
      <c r="K36" s="38">
        <v>0.33002960206782034</v>
      </c>
      <c r="L36" s="37">
        <v>0.47211071116397968</v>
      </c>
      <c r="M36" s="38">
        <v>0.33386828790742507</v>
      </c>
      <c r="N36" s="37">
        <v>0.4721465999373351</v>
      </c>
      <c r="O36" s="38">
        <v>0.33801167254196679</v>
      </c>
      <c r="P36" s="37">
        <v>0.47218436826456273</v>
      </c>
      <c r="Q36" s="38">
        <v>0.34247000686407969</v>
      </c>
      <c r="R36" s="37">
        <v>0.47222390039235307</v>
      </c>
      <c r="S36" s="38">
        <v>0.34724595330831748</v>
      </c>
      <c r="T36" s="37">
        <v>0.47226493029756178</v>
      </c>
      <c r="U36" s="38">
        <v>0.35233117735221259</v>
      </c>
      <c r="V36" s="37">
        <v>0.47230700965377992</v>
      </c>
      <c r="W36" s="38">
        <v>0.35770260960484512</v>
      </c>
      <c r="X36" s="37">
        <v>0.47234948883631633</v>
      </c>
      <c r="Y36" s="38">
        <v>0.36331901691204643</v>
      </c>
      <c r="Z36" s="37">
        <v>0.47239154634234298</v>
      </c>
      <c r="AA36" s="38">
        <v>0.36911952547424409</v>
      </c>
      <c r="AB36" s="37">
        <v>0.47243226005411793</v>
      </c>
      <c r="AC36" s="38">
        <v>0.37502533835192675</v>
      </c>
      <c r="AD36" s="37">
        <v>0.47247072613232932</v>
      </c>
      <c r="AE36" s="38">
        <v>0.38094583869991749</v>
      </c>
      <c r="AF36" s="37">
        <v>0.47250618864100696</v>
      </c>
      <c r="AG36" s="38">
        <v>0.38678831174753209</v>
      </c>
      <c r="AH36" s="37">
        <v>0.47253813932536459</v>
      </c>
      <c r="AI36" s="38">
        <v>0.39246874574168833</v>
      </c>
      <c r="AJ36" s="37">
        <v>0.47256635715045847</v>
      </c>
      <c r="AK36" s="38">
        <v>0.39792043052297366</v>
      </c>
      <c r="AL36" s="37">
        <v>0.47259087833868757</v>
      </c>
      <c r="AM36" s="38">
        <v>0.40309800007487634</v>
      </c>
      <c r="AN36" s="37">
        <v>0.47261193026925935</v>
      </c>
      <c r="AO36" s="38">
        <v>0.40797701924758578</v>
      </c>
      <c r="AP36" s="37">
        <v>0.47261575297067054</v>
      </c>
      <c r="AQ36" s="38">
        <v>0.40891612091876761</v>
      </c>
      <c r="AR36" s="37">
        <v>0.47261945335007782</v>
      </c>
      <c r="AS36" s="38">
        <v>0.40984297361734418</v>
      </c>
      <c r="AT36" s="37">
        <v>0.4726230344767578</v>
      </c>
      <c r="AU36" s="38">
        <v>0.41075760630650621</v>
      </c>
      <c r="AV36" s="37">
        <v>0.47262649947039531</v>
      </c>
      <c r="AW36" s="38">
        <v>0.41166006954924617</v>
      </c>
    </row>
    <row r="37" spans="1:49 16319:16321" x14ac:dyDescent="0.2">
      <c r="B37" s="39">
        <v>2.1403217525954466E-2</v>
      </c>
      <c r="C37" s="40">
        <v>0.34962461301992515</v>
      </c>
      <c r="D37" s="39">
        <v>2.1024006759384296E-2</v>
      </c>
      <c r="E37" s="40">
        <v>0.34665923337679028</v>
      </c>
      <c r="F37" s="39">
        <v>2.0639243411638971E-2</v>
      </c>
      <c r="G37" s="40">
        <v>0.34365209823246645</v>
      </c>
      <c r="H37" s="39">
        <v>2.0249461913386141E-2</v>
      </c>
      <c r="I37" s="40">
        <v>0.34060977530108744</v>
      </c>
      <c r="J37" s="39">
        <v>1.9855387158226261E-2</v>
      </c>
      <c r="K37" s="40">
        <v>0.33754065373327741</v>
      </c>
      <c r="L37" s="39">
        <v>1.9457990682592827E-2</v>
      </c>
      <c r="M37" s="40">
        <v>0.33445534480648603</v>
      </c>
      <c r="N37" s="39">
        <v>1.9058530926420663E-2</v>
      </c>
      <c r="O37" s="40">
        <v>0.33136691421217873</v>
      </c>
      <c r="P37" s="39">
        <v>1.8658617034531696E-2</v>
      </c>
      <c r="Q37" s="40">
        <v>0.32829124078443744</v>
      </c>
      <c r="R37" s="39">
        <v>1.8260271535791739E-2</v>
      </c>
      <c r="S37" s="40">
        <v>0.32524729365497129</v>
      </c>
      <c r="T37" s="39">
        <v>1.7865979536504633E-2</v>
      </c>
      <c r="U37" s="40">
        <v>0.32225722300483323</v>
      </c>
      <c r="V37" s="39">
        <v>1.7478703488919188E-2</v>
      </c>
      <c r="W37" s="40">
        <v>0.31934611020973225</v>
      </c>
      <c r="X37" s="39">
        <v>1.7101837470316728E-2</v>
      </c>
      <c r="Y37" s="40">
        <v>0.31654121080639885</v>
      </c>
      <c r="Z37" s="39">
        <v>1.6739038136517691E-2</v>
      </c>
      <c r="AA37" s="40">
        <v>0.31387029497239871</v>
      </c>
      <c r="AB37" s="39">
        <v>1.6393936111763253E-2</v>
      </c>
      <c r="AC37" s="40">
        <v>0.31135923406547994</v>
      </c>
      <c r="AD37" s="39">
        <v>1.6069742324294499E-2</v>
      </c>
      <c r="AE37" s="40">
        <v>0.3090290709274226</v>
      </c>
      <c r="AF37" s="39">
        <v>1.5768852081417047E-2</v>
      </c>
      <c r="AG37" s="40">
        <v>0.30689340445191721</v>
      </c>
      <c r="AH37" s="39">
        <v>1.5492572660807941E-2</v>
      </c>
      <c r="AI37" s="40">
        <v>0.30495696016486057</v>
      </c>
      <c r="AJ37" s="39">
        <v>1.5241061760019735E-2</v>
      </c>
      <c r="AK37" s="40">
        <v>0.30321581610752713</v>
      </c>
      <c r="AL37" s="39">
        <v>1.501348121549125E-2</v>
      </c>
      <c r="AM37" s="40">
        <v>0.30165911223160619</v>
      </c>
      <c r="AN37" s="39">
        <v>1.4808274545178404E-2</v>
      </c>
      <c r="AO37" s="40">
        <v>0.30027145170878128</v>
      </c>
      <c r="AP37" s="39">
        <v>1.4769749070260099E-2</v>
      </c>
      <c r="AQ37" s="40">
        <v>0.30001267574228369</v>
      </c>
      <c r="AR37" s="39">
        <v>1.4732023325657742E-2</v>
      </c>
      <c r="AS37" s="40">
        <v>0.29975981504408789</v>
      </c>
      <c r="AT37" s="39">
        <v>1.4695080402305643E-2</v>
      </c>
      <c r="AU37" s="40">
        <v>0.2995127260673936</v>
      </c>
      <c r="AV37" s="39">
        <v>1.4658903116821564E-2</v>
      </c>
      <c r="AW37" s="40">
        <v>0.29927126463961562</v>
      </c>
    </row>
    <row r="38" spans="1:49 16319:16321" x14ac:dyDescent="0.2">
      <c r="A38" t="s">
        <v>22</v>
      </c>
      <c r="B38" s="37">
        <v>0.18079094942242827</v>
      </c>
      <c r="C38" s="38">
        <v>6.0565413429233668E-2</v>
      </c>
      <c r="D38" s="37">
        <v>0.18089539789953393</v>
      </c>
      <c r="E38" s="38">
        <v>6.0607929608085913E-2</v>
      </c>
      <c r="F38" s="37">
        <v>0.18101179277828638</v>
      </c>
      <c r="G38" s="38">
        <v>6.0658668865286362E-2</v>
      </c>
      <c r="H38" s="37">
        <v>0.18114092647819618</v>
      </c>
      <c r="I38" s="38">
        <v>6.0718698778349026E-2</v>
      </c>
      <c r="J38" s="37">
        <v>0.181283541497954</v>
      </c>
      <c r="K38" s="38">
        <v>6.0789156763104861E-2</v>
      </c>
      <c r="L38" s="37">
        <v>0.18144026326817783</v>
      </c>
      <c r="M38" s="38">
        <v>6.087119888618979E-2</v>
      </c>
      <c r="N38" s="37">
        <v>0.18161154777112087</v>
      </c>
      <c r="O38" s="38">
        <v>6.0965956160883392E-2</v>
      </c>
      <c r="P38" s="37">
        <v>0.18179758941260291</v>
      </c>
      <c r="Q38" s="38">
        <v>6.1074450646895796E-2</v>
      </c>
      <c r="R38" s="37">
        <v>0.18199821291216628</v>
      </c>
      <c r="S38" s="38">
        <v>6.1197476469541365E-2</v>
      </c>
      <c r="T38" s="37">
        <v>0.18221275570658094</v>
      </c>
      <c r="U38" s="38">
        <v>6.1335448612100711E-2</v>
      </c>
      <c r="V38" s="37">
        <v>0.18243995126549137</v>
      </c>
      <c r="W38" s="38">
        <v>6.1488201167192814E-2</v>
      </c>
      <c r="X38" s="37">
        <v>0.18267783639212226</v>
      </c>
      <c r="Y38" s="38">
        <v>6.1654863384824628E-2</v>
      </c>
      <c r="Z38" s="37">
        <v>0.18292374450385032</v>
      </c>
      <c r="AA38" s="38">
        <v>6.1833679680656443E-2</v>
      </c>
      <c r="AB38" s="37">
        <v>0.18317441249760646</v>
      </c>
      <c r="AC38" s="38">
        <v>6.2022037605369007E-2</v>
      </c>
      <c r="AD38" s="37">
        <v>0.18342623488904336</v>
      </c>
      <c r="AE38" s="38">
        <v>6.221662760173597E-2</v>
      </c>
      <c r="AF38" s="37">
        <v>0.18367562372142507</v>
      </c>
      <c r="AG38" s="38">
        <v>6.2413805395705492E-2</v>
      </c>
      <c r="AH38" s="37">
        <v>0.18391938330922833</v>
      </c>
      <c r="AI38" s="38">
        <v>6.2610030770163486E-2</v>
      </c>
      <c r="AJ38" s="37">
        <v>0.1841549937358318</v>
      </c>
      <c r="AK38" s="38">
        <v>6.2802231172661441E-2</v>
      </c>
      <c r="AL38" s="37">
        <v>0.18438072770650699</v>
      </c>
      <c r="AM38" s="38">
        <v>6.2988073447805062E-2</v>
      </c>
      <c r="AN38" s="37">
        <v>0.18459562023856477</v>
      </c>
      <c r="AO38" s="38">
        <v>6.3165974522813126E-2</v>
      </c>
      <c r="AP38" s="37">
        <v>0.18463726037486625</v>
      </c>
      <c r="AQ38" s="38">
        <v>6.320051767225196E-2</v>
      </c>
      <c r="AR38" s="37">
        <v>0.18467844778517711</v>
      </c>
      <c r="AS38" s="38">
        <v>6.3234698838240122E-2</v>
      </c>
      <c r="AT38" s="37">
        <v>0.18471918893383243</v>
      </c>
      <c r="AU38" s="38">
        <v>6.3268521084151444E-2</v>
      </c>
      <c r="AV38" s="37">
        <v>0.18475948378216722</v>
      </c>
      <c r="AW38" s="38">
        <v>6.3301981181992845E-2</v>
      </c>
    </row>
    <row r="39" spans="1:49 16319:16321" x14ac:dyDescent="0.2">
      <c r="A39" t="s">
        <v>23</v>
      </c>
      <c r="B39" s="39">
        <v>0.23064923795098646</v>
      </c>
      <c r="C39" s="40">
        <v>0.22092201281804777</v>
      </c>
      <c r="D39" s="39">
        <v>0.23086504983400641</v>
      </c>
      <c r="E39" s="40">
        <v>0.22111664406039611</v>
      </c>
      <c r="F39" s="39">
        <v>0.23109939794396117</v>
      </c>
      <c r="G39" s="40">
        <v>0.22134285284716745</v>
      </c>
      <c r="H39" s="39">
        <v>0.23135504042954116</v>
      </c>
      <c r="I39" s="40">
        <v>0.22160538778586028</v>
      </c>
      <c r="J39" s="39">
        <v>0.23163509306548732</v>
      </c>
      <c r="K39" s="40">
        <v>0.22190942976960373</v>
      </c>
      <c r="L39" s="39">
        <v>0.231943015517273</v>
      </c>
      <c r="M39" s="40">
        <v>0.22226050513778448</v>
      </c>
      <c r="N39" s="39">
        <v>0.23228254911706078</v>
      </c>
      <c r="O39" s="40">
        <v>0.22266428868995872</v>
      </c>
      <c r="P39" s="39">
        <v>0.23265757938665005</v>
      </c>
      <c r="Q39" s="40">
        <v>0.22312628502330081</v>
      </c>
      <c r="R39" s="39">
        <v>0.23307188189410902</v>
      </c>
      <c r="S39" s="40">
        <v>0.22365134616297916</v>
      </c>
      <c r="T39" s="39">
        <v>0.23352871849593174</v>
      </c>
      <c r="U39" s="40">
        <v>0.22424299502622638</v>
      </c>
      <c r="V39" s="39">
        <v>0.23403026507855978</v>
      </c>
      <c r="W39" s="40">
        <v>0.22490260707934548</v>
      </c>
      <c r="X39" s="39">
        <v>0.23457690589325203</v>
      </c>
      <c r="Y39" s="40">
        <v>0.22562838037873675</v>
      </c>
      <c r="Z39" s="39">
        <v>0.23516653410206401</v>
      </c>
      <c r="AA39" s="40">
        <v>0.22641464199855998</v>
      </c>
      <c r="AB39" s="39">
        <v>0.23579409296352324</v>
      </c>
      <c r="AC39" s="40">
        <v>0.22725149451704094</v>
      </c>
      <c r="AD39" s="39">
        <v>0.23645163464001526</v>
      </c>
      <c r="AE39" s="40">
        <v>0.22812534607383311</v>
      </c>
      <c r="AF39" s="39">
        <v>0.23712903970518057</v>
      </c>
      <c r="AG39" s="40">
        <v>0.22902027123671845</v>
      </c>
      <c r="AH39" s="39">
        <v>0.23781526141986592</v>
      </c>
      <c r="AI39" s="40">
        <v>0.22991994903166796</v>
      </c>
      <c r="AJ39" s="39">
        <v>0.23849970845759727</v>
      </c>
      <c r="AK39" s="40">
        <v>0.23080961753356438</v>
      </c>
      <c r="AL39" s="39">
        <v>0.23917333668622406</v>
      </c>
      <c r="AM39" s="40">
        <v>0.23167733439846999</v>
      </c>
      <c r="AN39" s="39">
        <v>0.23982922313339208</v>
      </c>
      <c r="AO39" s="40">
        <v>0.23251457890829294</v>
      </c>
      <c r="AP39" s="39">
        <v>0.23995781598518062</v>
      </c>
      <c r="AQ39" s="40">
        <v>0.2326778457821726</v>
      </c>
      <c r="AR39" s="39">
        <v>0.24008548222012385</v>
      </c>
      <c r="AS39" s="40">
        <v>0.23283964973117807</v>
      </c>
      <c r="AT39" s="39">
        <v>0.2402121870032792</v>
      </c>
      <c r="AU39" s="40">
        <v>0.23299995580527938</v>
      </c>
      <c r="AV39" s="39">
        <v>0.24033791031016419</v>
      </c>
      <c r="AW39" s="40">
        <v>0.23315874485659566</v>
      </c>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0.11516098444168921</v>
      </c>
      <c r="E42" s="135"/>
      <c r="F42" s="177">
        <f>10.8%+(1-10.8%)*(1-SUM(F26:G26)/SUM($B$26:$C$26))</f>
        <v>0.1234369643588729</v>
      </c>
      <c r="G42" s="135"/>
      <c r="H42" s="177">
        <f>10.8%+(1-10.8%)*(1-SUM(H26:I26)/SUM($B$26:$C$26))</f>
        <v>0.13305719232016394</v>
      </c>
      <c r="I42" s="135"/>
      <c r="J42" s="177">
        <f>10.8%+(1-10.8%)*(1-SUM(J26:K26)/SUM($B$26:$C$26))</f>
        <v>0.14430445104110745</v>
      </c>
      <c r="K42" s="135"/>
      <c r="L42" s="177">
        <f>10.8%+(1-10.8%)*(1-SUM(L26:M26)/SUM($B$26:$C$26))</f>
        <v>0.15752833286665824</v>
      </c>
      <c r="M42" s="135"/>
      <c r="N42" s="177">
        <f>10.8%+(1-10.8%)*(1-SUM(N26:O26)/SUM($B$26:$C$26))</f>
        <v>0.17315806933258635</v>
      </c>
      <c r="O42" s="135"/>
      <c r="P42" s="177">
        <f>10.8%+(1-10.8%)*(1-SUM(P26:Q26)/SUM($B$26:$C$26))</f>
        <v>0.19171661296463274</v>
      </c>
      <c r="Q42" s="135"/>
      <c r="R42" s="177">
        <f>10.8%+(1-10.8%)*(1-SUM(R26:S26)/SUM($B$26:$C$26))</f>
        <v>0.21383183236794659</v>
      </c>
      <c r="S42" s="135"/>
      <c r="T42" s="177">
        <f>10.8%+(1-10.8%)*(1-SUM(T26:U26)/SUM($B$26:$C$26))</f>
        <v>0.24023983574066043</v>
      </c>
      <c r="U42" s="135"/>
      <c r="V42" s="177">
        <f>10.8%+(1-10.8%)*(1-SUM(V26:W26)/SUM($B$26:$C$26))</f>
        <v>0.27177338880137292</v>
      </c>
      <c r="W42" s="135"/>
      <c r="X42" s="177">
        <f>10.8%+(1-10.8%)*(1-SUM(X26:Y26)/SUM($B$26:$C$26))</f>
        <v>0.30932607921998223</v>
      </c>
      <c r="Y42" s="162"/>
      <c r="Z42" s="177">
        <f>10.8%+(1-10.8%)*(1-SUM(Z26:AA26)/SUM($B$26:$C$26))</f>
        <v>0.35378661763524116</v>
      </c>
      <c r="AA42" s="135"/>
      <c r="AB42" s="177">
        <f>10.8%+(1-10.8%)*(1-SUM(AB26:AC26)/SUM($B$26:$C$26))</f>
        <v>0.4059450236346922</v>
      </c>
      <c r="AC42" s="135"/>
      <c r="AD42" s="177">
        <f>10.8%+(1-10.8%)*(1-SUM(AD26:AE26)/SUM($B$26:$C$26))</f>
        <v>0.46638868945941681</v>
      </c>
      <c r="AE42" s="135"/>
      <c r="AF42" s="177">
        <f>10.8%+(1-10.8%)*(1-SUM(AF26:AG26)/SUM($B$26:$C$26))</f>
        <v>0.53541844901505109</v>
      </c>
      <c r="AG42" s="135"/>
      <c r="AH42" s="177">
        <f>10.8%+(1-10.8%)*(1-SUM(AH26:AI26)/SUM($B$26:$C$26))</f>
        <v>0.61301434373906272</v>
      </c>
      <c r="AI42" s="135"/>
      <c r="AJ42" s="177">
        <f>10.8%+(1-10.8%)*(1-SUM(AJ26:AK26)/SUM($B$26:$C$26))</f>
        <v>0.69886239904800562</v>
      </c>
      <c r="AK42" s="135"/>
      <c r="AL42" s="177">
        <f>10.8%+(1-10.8%)*(1-SUM(AL26:AM26)/SUM($B$26:$C$26))</f>
        <v>0.79242736155838034</v>
      </c>
      <c r="AM42" s="135"/>
      <c r="AN42" s="177">
        <f>10.8%+(1-10.8%)*(1-SUM(AN26:AO26)/SUM($B$26:$C$26))</f>
        <v>0.89304408270428826</v>
      </c>
      <c r="AO42" s="135"/>
      <c r="AP42" s="177">
        <f>10.8%+(1-10.8%)*(1-SUM(AP26:AQ26)/SUM($B$26:$C$26))</f>
        <v>0.91395097222852695</v>
      </c>
      <c r="AQ42" s="135"/>
      <c r="AR42" s="177">
        <f>10.8%+(1-10.8%)*(1-SUM(AR26:AS26)/SUM($B$26:$C$26))</f>
        <v>0.93510569831997536</v>
      </c>
      <c r="AS42" s="135"/>
      <c r="AT42" s="177">
        <f>10.8%+(1-10.8%)*(1-SUM(AT26:AU26)/SUM($B$26:$C$26))</f>
        <v>0.95650250520769853</v>
      </c>
      <c r="AU42" s="135"/>
      <c r="AV42" s="177">
        <f>10.8%+(1-10.8%)*(1-SUM(AV26:AW26)/SUM($B$26:$C$26))</f>
        <v>0.97813578923757349</v>
      </c>
    </row>
    <row r="43" spans="1:49 16319:16321" x14ac:dyDescent="0.2">
      <c r="A43" t="s">
        <v>108</v>
      </c>
      <c r="B43" s="162">
        <f>SUM(B15:C15*B27:C27)/SUM(B15:C15*B27:C27,B13:C13*B26:C26)</f>
        <v>0.56058995943839085</v>
      </c>
      <c r="C43" s="135"/>
      <c r="D43" s="162">
        <f t="array" ref="D43">SUM(D15:E15*D27:E27)/SUM(D15:E15*D27:E27,D13:E13*D26:E26)</f>
        <v>0.56658161560465614</v>
      </c>
      <c r="E43" s="135"/>
      <c r="F43" s="162">
        <f t="array" ref="F43">SUM(F15:G15*F27:G27)/SUM(F15:G15*F27:G27,F13:G13*F26:G26)</f>
        <v>0.56595746206658937</v>
      </c>
      <c r="G43" s="135"/>
      <c r="H43" s="162">
        <f t="array" ref="H43">SUM(H15:I15*H27:I27)/SUM(H15:I15*H27:I27,H13:I13*H26:I26)</f>
        <v>0.56532456184463031</v>
      </c>
      <c r="I43" s="135"/>
      <c r="J43" s="162">
        <f t="array" ref="J43">SUM(J15:K15*J27:K27)/SUM(J15:K15*J27:K27,J13:K13*J26:K26)</f>
        <v>0.56467858667763171</v>
      </c>
      <c r="K43" s="135"/>
      <c r="L43" s="162">
        <f t="array" ref="L43">SUM(L15:M15*L27:M27)/SUM(L15:M15*L27:M27,L13:M13*L26:M26)</f>
        <v>0.56401432310363397</v>
      </c>
      <c r="M43" s="135"/>
      <c r="N43" s="162">
        <f t="array" ref="N43">SUM(N15:O15*N27:O27)/SUM(N15:O15*N27:O27,N13:O13*N26:O26)</f>
        <v>0.56332571027097222</v>
      </c>
      <c r="O43" s="135"/>
      <c r="P43" s="162">
        <f t="array" ref="P43">SUM(P15:Q15*P27:Q27)/SUM(P15:Q15*P27:Q27,P13:Q13*P26:Q26)</f>
        <v>0.562605977941813</v>
      </c>
      <c r="Q43" s="135"/>
      <c r="R43" s="162">
        <f t="array" ref="R43">SUM(R15:S15*R27:S27)/SUM(R15:S15*R27:S27,R13:S13*R26:S26)</f>
        <v>0.56184799540499841</v>
      </c>
      <c r="S43" s="135"/>
      <c r="T43" s="162">
        <f t="array" ref="T43">SUM(T15:U15*T27:U27)/SUM(T15:U15*T27:U27,T13:U13*T26:U26)</f>
        <v>0.56104490570636556</v>
      </c>
      <c r="U43" s="135"/>
      <c r="V43" s="162">
        <f t="array" ref="V43">SUM(V15:W15*V27:W27)/SUM(V15:W15*V27:W27,V13:W13*V26:W26)</f>
        <v>0.56019109147229373</v>
      </c>
      <c r="W43" s="135"/>
      <c r="X43" s="162">
        <f t="array" ref="X43">SUM(X15:Y15*X27:Y27)/SUM(X15:Y15*X27:Y27,X13:Y13*X26:Y26)</f>
        <v>0.55928338115504206</v>
      </c>
      <c r="Y43" s="135"/>
      <c r="Z43" s="162">
        <f t="array" ref="Z43">SUM(Z15:AA15*Z27:AA27)/SUM(Z15:AA15*Z27:AA27,Z13:AA13*Z26:AA26)</f>
        <v>0.55832238531890754</v>
      </c>
      <c r="AA43" s="135"/>
      <c r="AB43" s="162">
        <f t="array" ref="AB43">SUM(AB15:AC15*AB27:AC27)/SUM(AB15:AC15*AB27:AC27,AB13:AC13*AB26:AC26)</f>
        <v>0.5573134433602277</v>
      </c>
      <c r="AC43" s="135"/>
      <c r="AD43" s="162">
        <f t="array" ref="AD43">SUM(AD15:AE15*AD27:AE27)/SUM(AD15:AE15*AD27:AE27,AD13:AE13*AD26:AE26)</f>
        <v>0.55626676040693102</v>
      </c>
      <c r="AE43" s="135"/>
      <c r="AF43" s="162">
        <f t="array" ref="AF43">SUM(AF15:AG15*AF27:AG27)/SUM(AF15:AG15*AF27:AG27,AF13:AG13*AF26:AG26)</f>
        <v>0.55519641571304157</v>
      </c>
      <c r="AG43" s="135"/>
      <c r="AH43" s="162">
        <f t="array" ref="AH43">SUM(AH15:AI15*AH27:AI27)/SUM(AH15:AI15*AH27:AI27,AH13:AI13*AH26:AI26)</f>
        <v>0.5541184302401071</v>
      </c>
      <c r="AI43" s="135"/>
      <c r="AJ43" s="162">
        <f t="array" ref="AJ43">SUM(AJ15:AK15*AJ27:AK27)/SUM(AJ15:AK15*AJ27:AK27,AJ13:AK13*AJ26:AK26)</f>
        <v>0.55304851628490015</v>
      </c>
      <c r="AK43" s="135"/>
      <c r="AL43" s="162">
        <f t="array" ref="AL43">SUM(AL15:AM15*AL27:AM27)/SUM(AL15:AM15*AL27:AM27,AL13:AM13*AL26:AM26)</f>
        <v>0.552000229713553</v>
      </c>
      <c r="AM43" s="135"/>
      <c r="AN43" s="162">
        <f t="array" ref="AN43">SUM(AN15:AO15*AN27:AO27)/SUM(AN15:AO15*AN27:AO27,AN13:AO13*AN26:AO26)</f>
        <v>0.55098395356390317</v>
      </c>
      <c r="AO43" s="135"/>
      <c r="AP43" s="162">
        <f t="array" ref="AP43">SUM(AP15:AQ15*AP27:AQ27)/SUM(AP15:AQ15*AP27:AQ27,AP13:AQ13*AP26:AQ26)</f>
        <v>0.55078520733104375</v>
      </c>
      <c r="AQ43" s="135"/>
      <c r="AR43" s="162">
        <f t="array" ref="AR43">SUM(AR15:AS15*AR27:AS27)/SUM(AR15:AS15*AR27:AS27,AR13:AS13*AR26:AS26)</f>
        <v>0.55058808577863083</v>
      </c>
      <c r="AS43" s="135"/>
      <c r="AT43" s="162">
        <f t="array" ref="AT43">SUM(AT15:AU15*AT27:AU27)/SUM(AT15:AU15*AT27:AU27,AT13:AU13*AT26:AU26)</f>
        <v>0.55039260410514679</v>
      </c>
      <c r="AU43" s="135"/>
      <c r="AV43" s="162">
        <f t="array" ref="AV43">SUM(AV15:AW15*AV27:AW27)/SUM(AV15:AW15*AV27:AW27,AV13:AW13*AV26:AW26)</f>
        <v>0.55019879775369473</v>
      </c>
    </row>
    <row r="44" spans="1:49 16319:16321" x14ac:dyDescent="0.2">
      <c r="A44" t="s">
        <v>142</v>
      </c>
      <c r="B44" s="193">
        <f>(SUM(B11:C11*B24:C24)+B34)/B32</f>
        <v>0.29754226190682465</v>
      </c>
      <c r="D44" s="193">
        <f>(SUM(D11:E11*D24:E24)+D34)/D32</f>
        <v>0.29995630716836913</v>
      </c>
      <c r="F44" s="193">
        <f>(SUM(F11:G11*F24:G24)+F34)/F32</f>
        <v>0.30244254943646875</v>
      </c>
      <c r="H44" s="193">
        <f>(SUM(H11:I11*H24:I24)+H34)/H32</f>
        <v>0.30500739280596023</v>
      </c>
      <c r="J44" s="193">
        <f>(SUM(J11:K11*J24:K24)+J34)/J32</f>
        <v>0.30765720772933264</v>
      </c>
      <c r="L44" s="193">
        <f>(SUM(L11:M11*L24:M24)+L34)/L32</f>
        <v>0.31039794505255047</v>
      </c>
      <c r="N44" s="193">
        <f>(SUM(N11:O11*N24:O24)+N34)/N32</f>
        <v>0.31323474379757094</v>
      </c>
      <c r="P44" s="193">
        <f>(SUM(P11:Q11*P24:Q24)+P34)/P32</f>
        <v>0.31617122313747348</v>
      </c>
      <c r="R44" s="193">
        <f>(SUM(R11:S11*R24:S24)+R34)/R32</f>
        <v>0.31920852934431182</v>
      </c>
      <c r="T44" s="193">
        <f>(SUM(T11:U11*T24:U24)+T34)/T32</f>
        <v>0.32234409533282965</v>
      </c>
      <c r="V44" s="193">
        <f>(SUM(V11:W11*V24:W24)+V34)/V32</f>
        <v>0.32557015322614818</v>
      </c>
      <c r="X44" s="193">
        <f>(SUM(X11:Y11*X24:Y24)+X34)/X32</f>
        <v>0.32887217408989938</v>
      </c>
      <c r="Z44" s="193">
        <f>(SUM(Z11:AA11*Z24:AA24)+Z34)/Z32</f>
        <v>0.33222785039849045</v>
      </c>
      <c r="AB44" s="193">
        <f>(SUM(AB11:AC11*AB24:AC24)+AB34)/AB32</f>
        <v>0.33560715771207428</v>
      </c>
      <c r="AD44" s="193">
        <f>(SUM(AD11:AE11*AD24:AE24)+AD34)/AD32</f>
        <v>0.33897417799905827</v>
      </c>
      <c r="AF44" s="193">
        <f>(SUM(AF11:AG11*AF24:AG24)+AF34)/AF32</f>
        <v>0.34229063537536275</v>
      </c>
      <c r="AH44" s="193">
        <f>(SUM(AH11:AI11*AH24:AI24)+AH34)/AH32</f>
        <v>0.34552035055891284</v>
      </c>
      <c r="AJ44" s="193">
        <f>(SUM(AJ11:AK11*AJ24:AK24)+AJ34)/AJ32</f>
        <v>0.3486332149333245</v>
      </c>
      <c r="AL44" s="193">
        <f>(SUM(AL11:AM11*AL24:AM24)+AL34)/AL32</f>
        <v>0.35160757875472126</v>
      </c>
      <c r="AN44" s="193">
        <f>(SUM(AN11:AO11*AN24:AO24)+AN34)/AN32</f>
        <v>0.3544306728427829</v>
      </c>
      <c r="AP44" s="193">
        <f>(SUM(AP11:AQ11*AP24:AQ24)+AP34)/AP32</f>
        <v>0.35497662335816538</v>
      </c>
      <c r="AR44" s="193">
        <f>(SUM(AR11:AS11*AR24:AS24)+AR34)/AR32</f>
        <v>0.35551622052687815</v>
      </c>
      <c r="AT44" s="193">
        <f>(SUM(AT11:AU11*AT24:AU24)+AT34)/AT32</f>
        <v>0.35604959202445535</v>
      </c>
      <c r="AV44" s="193">
        <f>(SUM(AV11:AW11*AV24:AW24)+AV34)/AV32</f>
        <v>0.35657672525760759</v>
      </c>
    </row>
    <row r="45" spans="1:49 16319:16321" x14ac:dyDescent="0.2">
      <c r="A45" t="s">
        <v>82</v>
      </c>
      <c r="B45" s="193">
        <f>SUM(B11:C11*B24:C24)/B32</f>
        <v>0.22038438833194082</v>
      </c>
      <c r="D45" s="193">
        <f>SUM(D11:E11*D24:E24)/D32</f>
        <v>0.22279843408227626</v>
      </c>
      <c r="F45" s="193">
        <f>SUM(F11:G11*F24:G24)/F32</f>
        <v>0.22528467420247456</v>
      </c>
      <c r="H45" s="193">
        <f>SUM(H11:I11*H24:I24)/H32</f>
        <v>0.22784951410902043</v>
      </c>
      <c r="J45" s="193">
        <f>SUM(J11:K11*J24:K24)/J32</f>
        <v>0.23049933160353142</v>
      </c>
      <c r="L45" s="193">
        <f>SUM(L11:M11*L24:M24)/L32</f>
        <v>0.23324006965466446</v>
      </c>
      <c r="N45" s="193">
        <f>SUM(N11:O11*N24:O24)/N32</f>
        <v>0.23607686771076791</v>
      </c>
      <c r="P45" s="193">
        <f>SUM(P11:Q11*P24:Q24)/P32</f>
        <v>0.23901334812060396</v>
      </c>
      <c r="R45" s="193">
        <f>SUM(R11:S11*R24:S24)/R32</f>
        <v>0.24205065477047819</v>
      </c>
      <c r="T45" s="193">
        <f>SUM(T11:U11*T24:U24)/T32</f>
        <v>0.24518621900403731</v>
      </c>
      <c r="V45" s="193">
        <f>SUM(V11:W11*V24:W24)/V32</f>
        <v>0.2484122793324631</v>
      </c>
      <c r="X45" s="193">
        <f>SUM(X11:Y11*X24:Y24)/X32</f>
        <v>0.25171430000888173</v>
      </c>
      <c r="Z45" s="193">
        <f>SUM(Z11:AA11*Z24:AA24)/Z32</f>
        <v>0.25506997622877353</v>
      </c>
      <c r="AB45" s="193">
        <f>SUM(AB11:AC11*AB24:AC24)/AB32</f>
        <v>0.25844928389226834</v>
      </c>
      <c r="AD45" s="193">
        <f>SUM(AD11:AE11*AD24:AE24)/AD32</f>
        <v>0.26181630448082449</v>
      </c>
      <c r="AF45" s="193">
        <f>SUM(AF11:AG11*AF24:AG24)/AF32</f>
        <v>0.26513276310564732</v>
      </c>
      <c r="AH45" s="193">
        <f>SUM(AH11:AI11*AH24:AI24)/AH32</f>
        <v>0.26836247644841021</v>
      </c>
      <c r="AJ45" s="193">
        <f>SUM(AJ11:AK11*AJ24:AK24)/AJ32</f>
        <v>0.27147534247211991</v>
      </c>
      <c r="AL45" s="193">
        <f>SUM(AL11:AM11*AL24:AM24)/AL32</f>
        <v>0.27444970227267135</v>
      </c>
      <c r="AN45" s="193">
        <f>SUM(AN11:AO11*AN24:AO24)/AN32</f>
        <v>0.27727279834623142</v>
      </c>
      <c r="AP45" s="193">
        <f>SUM(AP11:AQ11*AP24:AQ24)/AP32</f>
        <v>0.2778187388214361</v>
      </c>
      <c r="AR45" s="193">
        <f>SUM(AR11:AS11*AR24:AS24)/AR32</f>
        <v>0.27835835044141966</v>
      </c>
      <c r="AT45" s="193">
        <f>SUM(AT11:AU11*AT24:AU24)/AT32</f>
        <v>0.27889172321276212</v>
      </c>
      <c r="AV45" s="193">
        <f>SUM(AV11:AW11*AV24:AW24)/AV32</f>
        <v>0.27941885167334662</v>
      </c>
      <c r="XCQ45" s="193"/>
    </row>
    <row r="46" spans="1:49 16319:16321" x14ac:dyDescent="0.2">
      <c r="A46" t="s">
        <v>139</v>
      </c>
      <c r="B46" s="193">
        <f>B34/B32</f>
        <v>7.7157873574883795E-2</v>
      </c>
      <c r="D46" s="193">
        <f>D34/D32</f>
        <v>7.7157873086092829E-2</v>
      </c>
      <c r="F46" s="193">
        <f>F34/F32</f>
        <v>7.7157875233994228E-2</v>
      </c>
      <c r="H46" s="193">
        <f>H34/H32</f>
        <v>7.7157878696939824E-2</v>
      </c>
      <c r="J46" s="193">
        <f>J34/J32</f>
        <v>7.7157876125801231E-2</v>
      </c>
      <c r="L46" s="193">
        <f>L34/L32</f>
        <v>7.715787539788603E-2</v>
      </c>
      <c r="N46" s="193">
        <f>N34/N32</f>
        <v>7.7157876086803037E-2</v>
      </c>
      <c r="P46" s="193">
        <f>P34/P32</f>
        <v>7.7157875016869507E-2</v>
      </c>
      <c r="R46" s="193">
        <f>R34/R32</f>
        <v>7.7157874573833635E-2</v>
      </c>
      <c r="T46" s="193">
        <f>T34/T32</f>
        <v>7.7157876328792341E-2</v>
      </c>
      <c r="V46" s="193">
        <f>V34/V32</f>
        <v>7.71578738936851E-2</v>
      </c>
      <c r="X46" s="193">
        <f>X34/X32</f>
        <v>7.7157874081017652E-2</v>
      </c>
      <c r="Z46" s="193">
        <f>Z34/Z32</f>
        <v>7.7157874169716881E-2</v>
      </c>
      <c r="AB46" s="193">
        <f>AB34/AB32</f>
        <v>7.7157873819805919E-2</v>
      </c>
      <c r="AD46" s="193">
        <f>AD34/AD32</f>
        <v>7.7157873518233805E-2</v>
      </c>
      <c r="AF46" s="193">
        <f>AF34/AF32</f>
        <v>7.7157872269715488E-2</v>
      </c>
      <c r="AH46" s="193">
        <f>AH34/AH32</f>
        <v>7.7157874110502594E-2</v>
      </c>
      <c r="AJ46" s="193">
        <f>AJ34/AJ32</f>
        <v>7.7157872461204577E-2</v>
      </c>
      <c r="AL46" s="193">
        <f>AL34/AL32</f>
        <v>7.7157876482049956E-2</v>
      </c>
      <c r="AN46" s="193">
        <f>AN34/AN32</f>
        <v>7.7157874496551468E-2</v>
      </c>
      <c r="AP46" s="193">
        <f>AP34/AP32</f>
        <v>7.715788453672931E-2</v>
      </c>
      <c r="AR46" s="193">
        <f>AR34/AR32</f>
        <v>7.7157870085458546E-2</v>
      </c>
      <c r="AT46" s="193">
        <f>AT34/AT32</f>
        <v>7.7157868811693231E-2</v>
      </c>
      <c r="AV46" s="193">
        <f>AV34/AV32</f>
        <v>7.7157873584260975E-2</v>
      </c>
      <c r="XCS46" s="193"/>
    </row>
    <row r="48" spans="1:49 16319:16321" x14ac:dyDescent="0.2">
      <c r="A48" t="s">
        <v>159</v>
      </c>
      <c r="B48" s="191">
        <f>B24/$B$24</f>
        <v>1</v>
      </c>
      <c r="C48" s="191"/>
      <c r="D48" s="191">
        <f>D24/$B$24</f>
        <v>1.0040238909269521</v>
      </c>
      <c r="E48" s="191"/>
      <c r="F48" s="191">
        <f>F24/$B$24</f>
        <v>1.0068205139743822</v>
      </c>
      <c r="G48" s="191"/>
      <c r="H48" s="191">
        <f>H24/$B$24</f>
        <v>1.0080842191912534</v>
      </c>
      <c r="I48" s="191"/>
      <c r="J48" s="191">
        <f>J24/$B$24</f>
        <v>1.0074289583568181</v>
      </c>
      <c r="K48" s="191"/>
      <c r="L48" s="191">
        <f>L24/$B$24</f>
        <v>1.0043661223840294</v>
      </c>
      <c r="M48" s="191"/>
      <c r="N48" s="191">
        <f>N24/$B$24</f>
        <v>0.99828200078904061</v>
      </c>
      <c r="O48" s="191"/>
      <c r="P48" s="191">
        <f>P24/$B$24</f>
        <v>0.98841130196447269</v>
      </c>
      <c r="Q48" s="191"/>
      <c r="R48" s="191">
        <f>R24/$B$24</f>
        <v>0.97381237542890908</v>
      </c>
      <c r="S48" s="191"/>
      <c r="T48" s="191">
        <f>T24/$B$24</f>
        <v>0.95335103504720453</v>
      </c>
      <c r="U48" s="191"/>
      <c r="V48" s="191">
        <f>V24/$B$24</f>
        <v>0.92570344860790943</v>
      </c>
      <c r="W48" s="191"/>
      <c r="X48" s="191">
        <f>X24/$B$24</f>
        <v>0.88939359512905058</v>
      </c>
      <c r="Y48" s="191"/>
      <c r="Z48" s="191">
        <f>Z24/$B$24</f>
        <v>0.84287805244762126</v>
      </c>
      <c r="AA48" s="191"/>
      <c r="AB48" s="191">
        <f>AB24/$B$24</f>
        <v>0.78468185662608847</v>
      </c>
      <c r="AC48" s="191"/>
      <c r="AD48" s="191">
        <f>AD24/$B$24</f>
        <v>0.71356547985733443</v>
      </c>
      <c r="AE48" s="191"/>
      <c r="AF48" s="191">
        <f>AF24/$B$24</f>
        <v>0.62868007304746398</v>
      </c>
      <c r="AG48" s="191"/>
      <c r="AH48" s="191">
        <f>AH24/$B$24</f>
        <v>0.52966068043936099</v>
      </c>
      <c r="AI48" s="191"/>
      <c r="AJ48" s="191">
        <f>AJ24/$B$24</f>
        <v>0.41662803499016943</v>
      </c>
      <c r="AK48" s="191"/>
      <c r="AL48" s="191">
        <f>AL24/$B$24</f>
        <v>0.29010921631085895</v>
      </c>
      <c r="AM48" s="191"/>
      <c r="AN48" s="191">
        <f>AN24/$B$24</f>
        <v>0.15091253754962225</v>
      </c>
      <c r="AO48" s="191"/>
      <c r="AP48" s="191">
        <f>AP24/$B$24</f>
        <v>0.12163514191000738</v>
      </c>
      <c r="AQ48" s="191"/>
      <c r="AR48" s="191">
        <f>AR24/$B$24</f>
        <v>9.1896978971196919E-2</v>
      </c>
      <c r="AS48" s="191"/>
      <c r="AT48" s="191">
        <f>AT24/$B$24</f>
        <v>6.1706322848214777E-2</v>
      </c>
      <c r="AU48" s="191"/>
      <c r="AV48" s="191">
        <f>AV24/$B$24</f>
        <v>3.1071285921055937E-2</v>
      </c>
    </row>
    <row r="49" spans="1:48 16321:16384" x14ac:dyDescent="0.2">
      <c r="A49" t="s">
        <v>160</v>
      </c>
      <c r="B49" s="191">
        <f>B13/B35/$B$13*$B$35</f>
        <v>1</v>
      </c>
      <c r="C49" s="191"/>
      <c r="D49" s="191">
        <f>D13/D35/$B$13*$B$35</f>
        <v>0.9936007599000205</v>
      </c>
      <c r="E49" s="191"/>
      <c r="F49" s="191">
        <f>F13/F35/$B$13*$B$35</f>
        <v>0.98672910708722683</v>
      </c>
      <c r="G49" s="191"/>
      <c r="H49" s="191">
        <f>H13/H35/$B$13*$B$35</f>
        <v>0.9793516463781502</v>
      </c>
      <c r="I49" s="191"/>
      <c r="J49" s="191">
        <f>J13/J35/$B$13*$B$35</f>
        <v>0.97143654971342819</v>
      </c>
      <c r="K49" s="191"/>
      <c r="L49" s="191">
        <f>L13/L35/$B$13*$B$35</f>
        <v>0.96295615904175269</v>
      </c>
      <c r="M49" s="191"/>
      <c r="N49" s="191">
        <f>N13/N35/$B$13*$B$35</f>
        <v>0.95388959291025488</v>
      </c>
      <c r="O49" s="191"/>
      <c r="P49" s="191">
        <f>P13/P35/$B$13*$B$35</f>
        <v>0.94422697816639078</v>
      </c>
      <c r="Q49" s="191"/>
      <c r="R49" s="191">
        <f>R13/R35/$B$13*$B$35</f>
        <v>0.9339747648323502</v>
      </c>
      <c r="S49" s="191"/>
      <c r="T49" s="191">
        <f>T13/T35/$B$13*$B$35</f>
        <v>0.92316191421197136</v>
      </c>
      <c r="U49" s="191"/>
      <c r="V49" s="191">
        <f>V13/V35/$B$13*$B$35</f>
        <v>0.91184638488552416</v>
      </c>
      <c r="W49" s="191"/>
      <c r="X49" s="191">
        <f>X13/X35/$B$13*$B$35</f>
        <v>0.90012063675304776</v>
      </c>
      <c r="Y49" s="191"/>
      <c r="Z49" s="191">
        <f>Z13/Z35/$B$13*$B$35</f>
        <v>0.88811301053943814</v>
      </c>
      <c r="AA49" s="191"/>
      <c r="AB49" s="191">
        <f>AB13/AB35/$B$13*$B$35</f>
        <v>0.87598294820310907</v>
      </c>
      <c r="AC49" s="191"/>
      <c r="AD49" s="191">
        <f>AD13/AD35/$B$13*$B$35</f>
        <v>0.86390815589406067</v>
      </c>
      <c r="AE49" s="191"/>
      <c r="AF49" s="191">
        <f>AF13/AF35/$B$13*$B$35</f>
        <v>0.85206561591043783</v>
      </c>
      <c r="AG49" s="191"/>
      <c r="AH49" s="191">
        <f>AH13/AH35/$B$13*$B$35</f>
        <v>0.84061147150302384</v>
      </c>
      <c r="AI49" s="191"/>
      <c r="AJ49" s="191">
        <f>AJ13/AJ35/$B$13*$B$35</f>
        <v>0.82966583706235719</v>
      </c>
      <c r="AK49" s="191"/>
      <c r="AL49" s="191">
        <f>AL13/AL35/$B$13*$B$35</f>
        <v>0.81930655538225983</v>
      </c>
      <c r="AM49" s="191"/>
      <c r="AN49" s="191">
        <f>AN13/AN35/$B$13*$B$35</f>
        <v>0.8095712668060393</v>
      </c>
      <c r="AO49" s="191"/>
      <c r="AP49" s="191">
        <f>AP13/AP35/$B$13*$B$35</f>
        <v>0.80770000528818731</v>
      </c>
      <c r="AQ49" s="191"/>
      <c r="AR49" s="191">
        <f>AR13/AR35/$B$13*$B$35</f>
        <v>0.80585388722919749</v>
      </c>
      <c r="AS49" s="191"/>
      <c r="AT49" s="191">
        <f>AT13/AT35/$B$13*$B$35</f>
        <v>0.80403279717870646</v>
      </c>
      <c r="AU49" s="191"/>
      <c r="AV49" s="191">
        <f>AV13/AV35/$B$13*$B$35</f>
        <v>0.80223657950115979</v>
      </c>
    </row>
    <row r="51" spans="1:48 16321:16384" x14ac:dyDescent="0.2">
      <c r="A51" t="s">
        <v>166</v>
      </c>
      <c r="B51" s="29">
        <f>B30-B10*B23</f>
        <v>-405838.32800000021</v>
      </c>
      <c r="D51" s="29">
        <f>D30-D10*D23</f>
        <v>-342922.82779899193</v>
      </c>
      <c r="F51" s="29">
        <f>F30-F10*F23</f>
        <v>-278881.87043819204</v>
      </c>
      <c r="H51" s="29">
        <f>H30-H10*H23</f>
        <v>-213815.12826768542</v>
      </c>
      <c r="J51" s="29">
        <f>J30-J10*J23</f>
        <v>-147907.42665096745</v>
      </c>
      <c r="L51" s="29">
        <f>L30-L10*L23</f>
        <v>-81463.50622211583</v>
      </c>
      <c r="N51" s="29">
        <f>N30-N10*N23</f>
        <v>-14950.95424549887</v>
      </c>
      <c r="P51" s="29">
        <f>P30-P10*P23</f>
        <v>50943.626027425285</v>
      </c>
      <c r="R51" s="29">
        <f>R30-R10*R23</f>
        <v>115247.43512294069</v>
      </c>
      <c r="T51" s="29">
        <f>T30-T10*T23</f>
        <v>176628.51987953717</v>
      </c>
      <c r="V51" s="29">
        <f>V30-V10*V23</f>
        <v>233329.80645521777</v>
      </c>
      <c r="X51" s="29">
        <f>X30-X10*X23</f>
        <v>283131.84189110203</v>
      </c>
      <c r="Z51" s="29">
        <f>Z30-Z10*Z23</f>
        <v>323384.29552329239</v>
      </c>
      <c r="AB51" s="29">
        <f>AB30-AB10*AB23</f>
        <v>351134.14583055256</v>
      </c>
      <c r="AD51" s="29">
        <f>AD30-AD10*AD23</f>
        <v>363363.48905902542</v>
      </c>
      <c r="AF51" s="29">
        <f>AF30-AF10*AF23</f>
        <v>357297.2317597901</v>
      </c>
      <c r="AH51" s="29">
        <f>AH30-AH10*AH23</f>
        <v>330698.18772834516</v>
      </c>
      <c r="AJ51" s="29">
        <f>AJ30-AJ10*AJ23</f>
        <v>282061.47216821974</v>
      </c>
      <c r="AL51" s="29">
        <f>AL30-AL10*AL23</f>
        <v>210661.49724147411</v>
      </c>
      <c r="AN51" s="29">
        <f>AN30-AN10*AN23</f>
        <v>116470.28885479161</v>
      </c>
      <c r="AP51" s="29">
        <f>AP30-AP10*AP23</f>
        <v>94934.643164152396</v>
      </c>
      <c r="AQ51" s="29"/>
      <c r="AR51" s="29">
        <f>AR30-AR10*AR23</f>
        <v>72512.879415587784</v>
      </c>
      <c r="AT51" s="29">
        <f>AT30-AT10*AT23</f>
        <v>49211.655758493755</v>
      </c>
      <c r="AV51" s="29">
        <f>AV30-AV10*AV23</f>
        <v>25038.161317046877</v>
      </c>
      <c r="XFD51" s="29"/>
    </row>
    <row r="52" spans="1:48 16321:16384" x14ac:dyDescent="0.2">
      <c r="A52" t="s">
        <v>167</v>
      </c>
      <c r="B52" s="29">
        <f t="array" ref="B52">Calibration!sL*SUM(B13:C13*B26:C26)</f>
        <v>2049247.8195702801</v>
      </c>
      <c r="D52" s="29">
        <f t="array" ref="D52">Calibration!sL*SUM(D13:E13*D26:E26)</f>
        <v>2024209.3444557881</v>
      </c>
      <c r="F52" s="29">
        <f t="array" ref="F52">Calibration!sL*SUM(F13:G13*F26:G26)</f>
        <v>1996142.6430769728</v>
      </c>
      <c r="H52" s="29">
        <f t="array" ref="H52">Calibration!sL*SUM(H13:I13*H26:I26)</f>
        <v>1964540.4782432637</v>
      </c>
      <c r="J52" s="29">
        <f t="array" ref="J52">Calibration!sL*SUM(J13:K13*J26:K26)</f>
        <v>1928797.2359166394</v>
      </c>
      <c r="L52" s="29">
        <f t="array" ref="L52">Calibration!sL*SUM(L13:M13*L26:M26)</f>
        <v>1888189.1906049647</v>
      </c>
      <c r="N52" s="29">
        <f t="array" ref="N52">Calibration!sL*SUM(N13:O13*N26:O26)</f>
        <v>1841856.9223607951</v>
      </c>
      <c r="P52" s="29">
        <f t="array" ref="P52">Calibration!sL*SUM(P13:Q13*P26:Q26)</f>
        <v>1788788.294958821</v>
      </c>
      <c r="R52" s="29">
        <f t="array" ref="R52">Calibration!sL*SUM(R13:S13*R26:S26)</f>
        <v>1727809.4347100288</v>
      </c>
      <c r="T52" s="29">
        <f t="array" ref="T52">Calibration!sL*SUM(T13:U13*T26:U26)</f>
        <v>1657592.5868995516</v>
      </c>
      <c r="V52" s="29">
        <f t="array" ref="V52">Calibration!sL*SUM(V13:W13*V26:W26)</f>
        <v>1576692.6182245235</v>
      </c>
      <c r="X52" s="29">
        <f t="array" ref="X52">Calibration!sL*SUM(X13:Y13*X26:Y26)</f>
        <v>1483626.8473522987</v>
      </c>
      <c r="Z52" s="29">
        <f t="array" ref="Z52">Calibration!sL*SUM(Z13:AA13*Z26:AA26)</f>
        <v>1377002.7368416607</v>
      </c>
      <c r="AB52" s="29">
        <f t="array" ref="AB52">Calibration!sL*SUM(AB13:AC13*AB26:AC26)</f>
        <v>1255685.5283721315</v>
      </c>
      <c r="AD52" s="29">
        <f t="array" ref="AD52">Calibration!sL*SUM(AD13:AE13*AD26:AE26)</f>
        <v>1118968.3776012154</v>
      </c>
      <c r="AF52" s="29">
        <f t="array" ref="AF52">Calibration!sL*SUM(AF13:AG13*AF26:AG26)</f>
        <v>966691.75871801586</v>
      </c>
      <c r="AH52" s="29">
        <f t="array" ref="AH52">Calibration!sL*SUM(AH13:AI13*AH26:AI26)</f>
        <v>799266.02327171271</v>
      </c>
      <c r="AJ52" s="29">
        <f t="array" ref="AJ52">Calibration!sL*SUM(AJ13:AK13*AJ26:AK26)</f>
        <v>617587.83661756001</v>
      </c>
      <c r="AL52" s="29">
        <f t="array" ref="AL52">Calibration!sL*SUM(AL13:AM13*AL26:AM26)</f>
        <v>422886.96139388427</v>
      </c>
      <c r="AN52" s="29">
        <f t="array" ref="AN52">Calibration!sL*SUM(AN13:AO13*AN26:AO26)</f>
        <v>216554.56812614613</v>
      </c>
      <c r="AP52" s="29">
        <f t="array" ref="AP52">Calibration!sL*SUM(AP13:AQ13*AP26:AQ26)</f>
        <v>174017.32552494982</v>
      </c>
      <c r="AQ52" s="29"/>
      <c r="AR52" s="29">
        <f t="array" ref="AR52">Calibration!sL*SUM(AR13:AS13*AR26:AS26)</f>
        <v>131082.40066111277</v>
      </c>
      <c r="AT52" s="29">
        <f t="array" ref="AT52">Calibration!sL*SUM(AT13:AU13*AT26:AU26)</f>
        <v>87760.807726464744</v>
      </c>
      <c r="AV52" s="29">
        <f t="array" ref="AV52">Calibration!sL*SUM(AV13:AW13*AV26:AW26)</f>
        <v>44063.184336424179</v>
      </c>
    </row>
    <row r="53" spans="1:48 16321:16384" x14ac:dyDescent="0.2">
      <c r="A53" t="s">
        <v>168</v>
      </c>
      <c r="B53" s="29">
        <f t="array" ref="B53">Calibration!sK*SUM(B15:C15*B27:C27)</f>
        <v>2740714.4444297305</v>
      </c>
      <c r="D53" s="29">
        <f t="array" ref="D53">Calibration!sK*SUM(D15:E15*D27:E27)</f>
        <v>2700411.5853695469</v>
      </c>
      <c r="F53" s="29">
        <f t="array" ref="F53">Calibration!sK*SUM(F15:G15*F27:G27)</f>
        <v>2656210.2990599875</v>
      </c>
      <c r="H53" s="29">
        <f t="array" ref="H53">Calibration!sK*SUM(H15:I15*H27:I27)</f>
        <v>2607432.7946294323</v>
      </c>
      <c r="J53" s="29">
        <f t="array" ref="J53">Calibration!sK*SUM(J15:K15*J27:K27)</f>
        <v>2553272.9909108183</v>
      </c>
      <c r="L53" s="29">
        <f t="array" ref="L53">Calibration!sK*SUM(L15:M15*L27:M27)</f>
        <v>2492773.4231064697</v>
      </c>
      <c r="N53" s="29">
        <f t="array" ref="N53">Calibration!sK*SUM(N15:O15*N27:O27)</f>
        <v>2424807.2882594732</v>
      </c>
      <c r="P53" s="29">
        <f t="array" ref="P53">Calibration!sK*SUM(P15:Q15*P27:Q27)</f>
        <v>2348063.4658145341</v>
      </c>
      <c r="R53" s="29">
        <f t="array" ref="R53">Calibration!sK*SUM(R15:S15*R27:S27)</f>
        <v>2261045.2894798336</v>
      </c>
      <c r="T53" s="29">
        <f t="array" ref="T53">Calibration!sK*SUM(T15:U15*T27:U27)</f>
        <v>2162094.7049323963</v>
      </c>
      <c r="V53" s="29">
        <f t="array" ref="V53">Calibration!sK*SUM(V15:W15*V27:W27)</f>
        <v>2049455.9966945974</v>
      </c>
      <c r="X53" s="29">
        <f t="array" ref="X53">Calibration!sK*SUM(X15:Y15*X27:Y27)</f>
        <v>1921394.5673253376</v>
      </c>
      <c r="Z53" s="29">
        <f t="array" ref="Z53">Calibration!sK*SUM(Z15:AA15*Z27:AA27)</f>
        <v>1776371.6896489118</v>
      </c>
      <c r="AB53" s="29">
        <f t="array" ref="AB53">Calibration!sK*SUM(AB15:AC15*AB27:AC27)</f>
        <v>1613256.6432381142</v>
      </c>
      <c r="AD53" s="29">
        <f t="array" ref="AD53">Calibration!sK*SUM(AD15:AE15*AD27:AE27)</f>
        <v>1431523.0592126139</v>
      </c>
      <c r="AF53" s="29">
        <f t="array" ref="AF53">Calibration!sK*SUM(AF15:AG15*AF27:AG27)</f>
        <v>1231362.091314151</v>
      </c>
      <c r="AH53" s="29">
        <f t="array" ref="AH53">Calibration!sK*SUM(AH15:AI15*AH27:AI27)</f>
        <v>1013663.5100094026</v>
      </c>
      <c r="AJ53" s="29">
        <f t="array" ref="AJ53">Calibration!sK*SUM(AJ15:AK15*AJ27:AK27)</f>
        <v>779867.76541690249</v>
      </c>
      <c r="AL53" s="29">
        <f t="array" ref="AL53">Calibration!sK*SUM(AL15:AM15*AL27:AM27)</f>
        <v>531747.12417521956</v>
      </c>
      <c r="AN53" s="29">
        <f t="array" ref="AN53">Calibration!sK*SUM(AN15:AO15*AN27:AO27)</f>
        <v>271183.85267683573</v>
      </c>
      <c r="AP53" s="29">
        <f t="array" ref="AP53">Calibration!sK*SUM(AP15:AQ15*AP27:AQ27)</f>
        <v>217740.94120673585</v>
      </c>
      <c r="AQ53" s="29"/>
      <c r="AR53" s="29">
        <f t="array" ref="AR53">Calibration!sK*SUM(AR15:AS15*AR27:AS27)</f>
        <v>163887.56471308036</v>
      </c>
      <c r="AT53" s="29">
        <f t="array" ref="AT53">Calibration!sK*SUM(AT15:AU15*AT27:AU27)</f>
        <v>109637.50458050676</v>
      </c>
      <c r="AV53" s="29">
        <f t="array" ref="AV53">Calibration!sK*SUM(AV15:AW15*AV27:AW27)</f>
        <v>55004.002372412018</v>
      </c>
      <c r="XFD53" s="29"/>
    </row>
    <row r="55" spans="1:48 16321:16384" x14ac:dyDescent="0.2">
      <c r="A55" t="s">
        <v>169</v>
      </c>
      <c r="B55" s="193">
        <f>B30/B32</f>
        <v>0.19850271905982084</v>
      </c>
      <c r="D55" s="193">
        <f>D30/D32</f>
        <v>0.20257086060440568</v>
      </c>
      <c r="F55" s="193">
        <f>F30/F32</f>
        <v>0.20676043664890167</v>
      </c>
      <c r="H55" s="193">
        <f>H30/H32</f>
        <v>0.21108226874347003</v>
      </c>
      <c r="J55" s="193">
        <f>J30/J32</f>
        <v>0.21554710963234594</v>
      </c>
      <c r="L55" s="193">
        <f>L30/L32</f>
        <v>0.22016503004758289</v>
      </c>
      <c r="N55" s="193">
        <f>N30/N32</f>
        <v>0.22494472900972715</v>
      </c>
      <c r="P55" s="193">
        <f>P30/P32</f>
        <v>0.22989235911821893</v>
      </c>
      <c r="R55" s="193">
        <f>R30/R32</f>
        <v>0.2350099102259732</v>
      </c>
      <c r="T55" s="193">
        <f>T30/T32</f>
        <v>0.24029311597829317</v>
      </c>
      <c r="V55" s="193">
        <f>V30/V32</f>
        <v>0.24572897339409747</v>
      </c>
      <c r="X55" s="193">
        <f>X30/X32</f>
        <v>0.25129303673036479</v>
      </c>
      <c r="Z55" s="193">
        <f>Z30/Z32</f>
        <v>0.2569477656476486</v>
      </c>
      <c r="AB55" s="193">
        <f>AB30/AB32</f>
        <v>0.26264258372547966</v>
      </c>
      <c r="AD55" s="193">
        <f>AD30/AD32</f>
        <v>0.26831695708104381</v>
      </c>
      <c r="AF55" s="193">
        <f>AF30/AF32</f>
        <v>0.27390635992331169</v>
      </c>
      <c r="AH55" s="193">
        <f>AH30/AH32</f>
        <v>0.27934974760554632</v>
      </c>
      <c r="AJ55" s="193">
        <f>AJ30/AJ32</f>
        <v>0.28459636844920694</v>
      </c>
      <c r="AL55" s="193">
        <f>AL30/AL32</f>
        <v>0.28960962682937447</v>
      </c>
      <c r="AN55" s="193">
        <f>AN30/AN32</f>
        <v>0.29436803041730947</v>
      </c>
      <c r="AP55" s="193">
        <f>AP30/AP32</f>
        <v>0.29528816903940841</v>
      </c>
      <c r="AR55" s="193">
        <f>AR30/AR32</f>
        <v>0.29619779572042282</v>
      </c>
      <c r="AT55" s="193">
        <f>AT30/AT32</f>
        <v>0.29709682534368725</v>
      </c>
      <c r="AV55" s="193">
        <f>AV30/AV32</f>
        <v>0.29798529268221113</v>
      </c>
      <c r="XCS55" s="193"/>
      <c r="XFD55" s="193"/>
    </row>
    <row r="56" spans="1:48 16321:16384" x14ac:dyDescent="0.2">
      <c r="A56" t="s">
        <v>170</v>
      </c>
      <c r="B56" s="193">
        <f>(Model!$C$52*B5*B20+B2*C5*C20)/B32</f>
        <v>2.9221206744340551E-2</v>
      </c>
      <c r="D56" s="193">
        <f>(Model!$C$52*D5*D20+D2*E5*E20)/D32</f>
        <v>3.3933449345954776E-2</v>
      </c>
      <c r="F56" s="193">
        <f>(Model!$C$52*F5*F20+F2*G5*G20)/F32</f>
        <v>3.879172784063125E-2</v>
      </c>
      <c r="H56" s="193">
        <f>(Model!$C$52*H5*H20+H2*I5*I20)/H32</f>
        <v>4.3807928276000621E-2</v>
      </c>
      <c r="J56" s="193">
        <f>(Model!$C$52*J5*J20+J2*K5*K20)/J32</f>
        <v>4.8993608136893574E-2</v>
      </c>
      <c r="L56" s="193">
        <f>(Model!$C$52*L5*L20+L2*M5*M20)/L32</f>
        <v>5.4359200908888315E-2</v>
      </c>
      <c r="N56" s="193">
        <f>(Model!$C$52*N5*N20+N2*O5*O20)/N32</f>
        <v>5.9913220591907713E-2</v>
      </c>
      <c r="P56" s="193">
        <f>(Model!$C$52*P5*P20+P2*Q5*Q20)/P32</f>
        <v>6.566088903966355E-2</v>
      </c>
      <c r="R56" s="193">
        <f>(Model!$C$52*R5*R20+R2*S5*S20)/R32</f>
        <v>7.1602296267370358E-2</v>
      </c>
      <c r="T56" s="193">
        <f>(Model!$C$52*T5*T20+T2*U5*U20)/T32</f>
        <v>7.7730082994514518E-2</v>
      </c>
      <c r="V56" s="193">
        <f>(Model!$C$52*V5*V20+V2*W5*W20)/V32</f>
        <v>8.4026736825036127E-2</v>
      </c>
      <c r="X56" s="193">
        <f>(Model!$C$52*X5*X20+X2*Y5*Y20)/X32</f>
        <v>9.0461788220103229E-2</v>
      </c>
      <c r="Z56" s="193">
        <f>(Model!$C$52*Z5*Z20+Z2*AA5*AA20)/Z32</f>
        <v>9.6990180811484555E-2</v>
      </c>
      <c r="AB56" s="193">
        <f>(Model!$C$52*AB5*AB20+AB2*AC5*AC20)/AB32</f>
        <v>0.10355268047052772</v>
      </c>
      <c r="AD56" s="193">
        <f>(Model!$C$52*AD5*AD20+AD2*AE5*AE20)/AD32</f>
        <v>0.1100796044366258</v>
      </c>
      <c r="AF56" s="193">
        <f>(Model!$C$52*AF5*AF20+AF2*AG5*AG20)/AF32</f>
        <v>0.11649768797308509</v>
      </c>
      <c r="AH56" s="193">
        <f>(Model!$C$52*AH5*AH20+AH2*AI5*AI20)/AH32</f>
        <v>0.12273846142659138</v>
      </c>
      <c r="AJ56" s="193">
        <f>(Model!$C$52*AJ5*AJ20+AJ2*AK5*AK20)/AJ32</f>
        <v>0.12874569739178066</v>
      </c>
      <c r="AL56" s="193">
        <f>(Model!$C$52*AL5*AL20+AL2*AM5*AM20)/AL32</f>
        <v>0.13447952130734045</v>
      </c>
      <c r="AN56" s="193">
        <f>(Model!$C$52*AN5*AN20+AN2*AO5*AO20)/AN32</f>
        <v>0.13991717935116232</v>
      </c>
      <c r="AP56" s="193">
        <f>(Model!$C$52*AP5*AP20+AP2*AQ5*AQ20)/AP32</f>
        <v>0.14096821997503547</v>
      </c>
      <c r="AR56" s="193">
        <f>(Model!$C$52*AR5*AR20+AR2*AS5*AS20)/AR32</f>
        <v>0.14200712084881612</v>
      </c>
      <c r="AT56" s="193">
        <f>(Model!$C$52*AT5*AT20+AT2*AU5*AU20)/AT32</f>
        <v>0.14303380174585287</v>
      </c>
      <c r="AV56" s="193">
        <f>(Model!$C$52*AV5*AV20+AV2*AW5*AW20)/AV32</f>
        <v>0.14404831152499159</v>
      </c>
      <c r="XFD56" s="193"/>
    </row>
    <row r="57" spans="1:48 16321:16384" x14ac:dyDescent="0.2">
      <c r="A57" t="s">
        <v>171</v>
      </c>
      <c r="B57" s="193">
        <f t="array" ref="B57">SUM(Model!tauL*B13:C13*B26:C26)/B32</f>
        <v>0.15852881819439493</v>
      </c>
      <c r="D57" s="193">
        <f t="array" ref="D57">SUM(Model!tauL*D13:E13*D26:E26)/D32</f>
        <v>0.15794973308566704</v>
      </c>
      <c r="F57" s="193">
        <f t="array" ref="F57">SUM(Model!tauL*F13:G13*F26:G26)/F32</f>
        <v>0.1573461529737753</v>
      </c>
      <c r="H57" s="193">
        <f t="array" ref="H57">SUM(Model!tauL*H13:I13*H26:I26)/H32</f>
        <v>0.15671706570225816</v>
      </c>
      <c r="J57" s="193">
        <f t="array" ref="J57">SUM(Model!tauL*J13:K13*J26:K26)/J32</f>
        <v>0.15606170937686223</v>
      </c>
      <c r="L57" s="193">
        <f t="array" ref="L57">SUM(Model!tauL*L13:M13*L26:M26)/L32</f>
        <v>0.1553797357509189</v>
      </c>
      <c r="N57" s="193">
        <f t="array" ref="N57">SUM(Model!tauL*N13:O13*N26:O26)/N32</f>
        <v>0.15467130310697288</v>
      </c>
      <c r="P57" s="193">
        <f t="array" ref="P57">SUM(Model!tauL*P13:Q13*P26:Q26)/P32</f>
        <v>0.15393725066216804</v>
      </c>
      <c r="R57" s="193">
        <f t="array" ref="R57">SUM(Model!tauL*R13:S13*R26:S26)/R32</f>
        <v>0.15317929370760894</v>
      </c>
      <c r="T57" s="193">
        <f t="array" ref="T57">SUM(Model!tauL*T13:U13*T26:U26)/T32</f>
        <v>0.15240021971593773</v>
      </c>
      <c r="V57" s="193">
        <f t="array" ref="V57">SUM(Model!tauL*V13:W13*V26:W26)/V32</f>
        <v>0.1516040866706235</v>
      </c>
      <c r="X57" s="193">
        <f t="array" ref="X57">SUM(Model!tauL*X13:Y13*X26:Y26)/X32</f>
        <v>0.15079632770004917</v>
      </c>
      <c r="Y57" s="193"/>
      <c r="Z57" s="193">
        <f t="array" ref="Z57">SUM(Model!tauL*Z13:AA13*Z26:AA26)/Z32</f>
        <v>0.14998374747569948</v>
      </c>
      <c r="AB57" s="193">
        <f t="array" ref="AB57">SUM(Model!tauL*AB13:AC13*AB26:AC26)/AB32</f>
        <v>0.14917424429026352</v>
      </c>
      <c r="AD57" s="193">
        <f t="array" ref="AD57">SUM(Model!tauL*AD13:AE13*AD26:AE26)/AD32</f>
        <v>0.14837625616142666</v>
      </c>
      <c r="AF57" s="193">
        <f t="array" ref="AF57">SUM(Model!tauL*AF13:AG13*AF26:AG26)/AF32</f>
        <v>0.14759796571049005</v>
      </c>
      <c r="AH57" s="193">
        <f t="array" ref="AH57">SUM(Model!tauL*AH13:AI13*AH26:AI26)/AH32</f>
        <v>0.14684647193457509</v>
      </c>
      <c r="AJ57" s="193">
        <f t="array" ref="AJ57">SUM(Model!tauL*AJ13:AK13*AJ26:AK26)/AJ32</f>
        <v>0.14612717344114071</v>
      </c>
      <c r="AL57" s="193">
        <f t="array" ref="AL57">SUM(Model!tauL*AL13:AM13*AL26:AM26)/AL32</f>
        <v>0.14544349536920412</v>
      </c>
      <c r="AN57" s="193">
        <f t="array" ref="AN57">SUM(Model!tauL*AN13:AO13*AN26:AO26)/AN32</f>
        <v>0.14479700000064882</v>
      </c>
      <c r="AP57" s="193">
        <f t="array" ref="AP57">SUM(Model!tauL*AP13:AQ13*AP26:AQ26)/AP32</f>
        <v>0.14467218850166608</v>
      </c>
      <c r="AR57" s="193">
        <f t="array" ref="AR57">SUM(Model!tauL*AR13:AS13*AR26:AS26)/AR32</f>
        <v>0.14454885792547451</v>
      </c>
      <c r="AT57" s="193">
        <f t="array" ref="AT57">SUM(Model!tauL*AT13:AU13*AT26:AU26)/AT32</f>
        <v>0.14442700792539126</v>
      </c>
      <c r="AV57" s="193">
        <f t="array" ref="AV57">SUM(Model!tauL*AV13:AW13*AV26:AW26)/AV32</f>
        <v>0.14430662766462135</v>
      </c>
      <c r="XFD57" s="193"/>
    </row>
    <row r="58" spans="1:48 16321:16384" x14ac:dyDescent="0.2">
      <c r="A58" t="s">
        <v>172</v>
      </c>
      <c r="B58" s="193">
        <f t="array" ref="B58">SUM(Model!tauY/(1+Model!tauY)*B3:C3*B18:C18)/B32</f>
        <v>1.075269412108535E-2</v>
      </c>
      <c r="D58" s="193">
        <f t="array" ref="D58">SUM(Model!tauY/(1+Model!tauY)*D3:E3*D18:E18)/D32</f>
        <v>1.068767817278387E-2</v>
      </c>
      <c r="F58" s="193">
        <f t="array" ref="F58">SUM(Model!tauY/(1+Model!tauY)*F3:G3*F18:G18)/F32</f>
        <v>1.0622555834495119E-2</v>
      </c>
      <c r="H58" s="193">
        <f t="array" ref="H58">SUM(Model!tauY/(1+Model!tauY)*H3:I3*H18:I18)/H32</f>
        <v>1.0557274765211275E-2</v>
      </c>
      <c r="J58" s="193">
        <f t="array" ref="J58">SUM(Model!tauY/(1+Model!tauY)*J3:K3*J18:K18)/J32</f>
        <v>1.0491792118590098E-2</v>
      </c>
      <c r="L58" s="193">
        <f t="array" ref="L58">SUM(Model!tauY/(1+Model!tauY)*L3:M3*L18:M18)/L32</f>
        <v>1.0426093387775705E-2</v>
      </c>
      <c r="N58" s="193">
        <f t="array" ref="N58">SUM(Model!tauY/(1+Model!tauY)*N3:O3*N18:O18)/N32</f>
        <v>1.0360205310846554E-2</v>
      </c>
      <c r="P58" s="193">
        <f t="array" ref="P58">SUM(Model!tauY/(1+Model!tauY)*P3:Q3*P18:Q18)/P32</f>
        <v>1.0294219416387312E-2</v>
      </c>
      <c r="R58" s="193">
        <f t="array" ref="R58">SUM(Model!tauY/(1+Model!tauY)*R3:S3*R18:S18)/R32</f>
        <v>1.0228320250993876E-2</v>
      </c>
      <c r="T58" s="193">
        <f t="array" ref="T58">SUM(Model!tauY/(1+Model!tauY)*T3:U3*T18:U18)/T32</f>
        <v>1.0162813267840907E-2</v>
      </c>
      <c r="V58" s="193">
        <f t="array" ref="V58">SUM(Model!tauY/(1+Model!tauY)*V3:W3*V18:W18)/V32</f>
        <v>1.0098149898437806E-2</v>
      </c>
      <c r="X58" s="193">
        <f t="array" ref="X58">SUM(Model!tauY/(1+Model!tauY)*X3:Y3*X18:Y18)/X32</f>
        <v>1.0034920810212398E-2</v>
      </c>
      <c r="Y58" s="193"/>
      <c r="Z58" s="193">
        <f t="array" ref="Z58">SUM(Model!tauY/(1+Model!tauY)*Z3:AA3*Z18:AA18)/Z32</f>
        <v>9.973837360464588E-3</v>
      </c>
      <c r="AB58" s="193">
        <f t="array" ref="AB58">SUM(Model!tauY/(1+Model!tauY)*AB3:AC3*AB18:AC18)/AB32</f>
        <v>9.9156589646884445E-3</v>
      </c>
      <c r="AD58" s="193">
        <f t="array" ref="AD58">SUM(Model!tauY/(1+Model!tauY)*AD3:AE3*AD18:AE18)/AD32</f>
        <v>9.8610964829913376E-3</v>
      </c>
      <c r="AF58" s="193">
        <f t="array" ref="AF58">SUM(Model!tauY/(1+Model!tauY)*AF3:AG3*AF18:AG18)/AF32</f>
        <v>9.8107062397365837E-3</v>
      </c>
      <c r="AH58" s="193">
        <f t="array" ref="AH58">SUM(Model!tauY/(1+Model!tauY)*AH3:AI3*AH18:AI18)/AH32</f>
        <v>9.7648142443798377E-3</v>
      </c>
      <c r="AJ58" s="193">
        <f t="array" ref="AJ58">SUM(Model!tauY/(1+Model!tauY)*AJ3:AK3*AJ18:AK18)/AJ32</f>
        <v>9.7234976162855861E-3</v>
      </c>
      <c r="AL58" s="193">
        <f t="array" ref="AL58">SUM(Model!tauY/(1+Model!tauY)*AL3:AM3*AL18:AM18)/AL32</f>
        <v>9.6866101528299189E-3</v>
      </c>
      <c r="AN58" s="193">
        <f t="array" ref="AN58">SUM(Model!tauY/(1+Model!tauY)*AN3:AO3*AN18:AO18)/AN32</f>
        <v>9.653851065498327E-3</v>
      </c>
      <c r="AP58" s="193">
        <f t="array" ref="AP58">SUM(Model!tauY/(1+Model!tauY)*AP3:AQ3*AP18:AQ18)/AP32</f>
        <v>9.6477605627068967E-3</v>
      </c>
      <c r="AR58" s="193">
        <f t="array" ref="AR58">SUM(Model!tauY/(1+Model!tauY)*AR3:AS3*AR18:AS18)/AR32</f>
        <v>9.6418169461321736E-3</v>
      </c>
      <c r="AT58" s="193">
        <f t="array" ref="AT58">SUM(Model!tauY/(1+Model!tauY)*AT3:AU3*AT18:AU18)/AT32</f>
        <v>9.6360156724431285E-3</v>
      </c>
      <c r="AV58" s="193">
        <f t="array" ref="AV58">SUM(Model!tauY/(1+Model!tauY)*AV3:AW3*AV18:AW18)/AV32</f>
        <v>9.6303534925981892E-3</v>
      </c>
      <c r="XFD58" s="193"/>
    </row>
    <row r="59" spans="1:48 16321:16384" x14ac:dyDescent="0.2">
      <c r="A59" t="s">
        <v>173</v>
      </c>
      <c r="B59" s="193">
        <f>(B2*C5*C20)/B32</f>
        <v>5.5174232040962052E-4</v>
      </c>
      <c r="D59" s="193">
        <f>(D2*E5*E20)/D32</f>
        <v>5.3075859853154803E-3</v>
      </c>
      <c r="F59" s="193">
        <f>(F2*G5*G20)/F32</f>
        <v>1.0209404221496628E-2</v>
      </c>
      <c r="H59" s="193">
        <f>(H2*I5*I20)/H32</f>
        <v>1.5269000089537094E-2</v>
      </c>
      <c r="J59" s="193">
        <f>(J2*K5*K20)/J32</f>
        <v>2.0497823965230401E-2</v>
      </c>
      <c r="L59" s="193">
        <f>(L2*M5*M20)/L32</f>
        <v>2.590617190814213E-2</v>
      </c>
      <c r="N59" s="193">
        <f>(N2*O5*O20)/N32</f>
        <v>3.1502388678342846E-2</v>
      </c>
      <c r="P59" s="193">
        <f>(P2*Q5*Q20)/P32</f>
        <v>3.729149310789729E-2</v>
      </c>
      <c r="R59" s="193">
        <f>(R2*S5*S20)/R32</f>
        <v>4.3273338871047645E-2</v>
      </c>
      <c r="T59" s="193">
        <f>(T2*U5*U20)/T32</f>
        <v>4.9440302006326452E-2</v>
      </c>
      <c r="V59" s="193">
        <f>(V2*W5*W20)/V32</f>
        <v>5.577458606681384E-2</v>
      </c>
      <c r="X59" s="193">
        <f>(X2*Y5*Y20)/X32</f>
        <v>6.2245438909877077E-2</v>
      </c>
      <c r="Z59" s="193">
        <f>(Z2*AA5*AA20)/Z32</f>
        <v>6.8807542661494497E-2</v>
      </c>
      <c r="AB59" s="193">
        <f>(AB2*AC5*AC20)/AB32</f>
        <v>7.5401451747495213E-2</v>
      </c>
      <c r="AD59" s="193">
        <f>(AD2*AE5*AE20)/AD32</f>
        <v>8.1957345698546055E-2</v>
      </c>
      <c r="AF59" s="193">
        <f>(AF2*AG5*AG20)/AF32</f>
        <v>8.8401911749306158E-2</v>
      </c>
      <c r="AH59" s="193">
        <f>(AH2*AI5*AI20)/AH32</f>
        <v>9.4666722825574423E-2</v>
      </c>
      <c r="AJ59" s="193">
        <f>(AJ2*AK5*AK20)/AJ32</f>
        <v>0.10069566989500472</v>
      </c>
      <c r="AL59" s="193">
        <f>(AL2*AM5*AM20)/AL32</f>
        <v>0.10644905154614298</v>
      </c>
      <c r="AN59" s="193">
        <f>(AN2*AO5*AO20)/AN32</f>
        <v>0.11190431487175097</v>
      </c>
      <c r="AP59" s="193">
        <f>(AP2*AQ5*AQ20)/AP32</f>
        <v>0.1129586607506228</v>
      </c>
      <c r="AR59" s="193">
        <f>(AR2*AS5*AS20)/AR32</f>
        <v>0.11400079903714999</v>
      </c>
      <c r="AT59" s="193">
        <f>(AT2*AU5*AU20)/AT32</f>
        <v>0.11503065089094927</v>
      </c>
      <c r="AV59" s="193">
        <f>(AV2*AW5*AW20)/AV32</f>
        <v>0.11604826688586276</v>
      </c>
      <c r="XFD59" s="193"/>
    </row>
    <row r="60" spans="1:48 16321:16384" x14ac:dyDescent="0.2">
      <c r="A60" t="s">
        <v>174</v>
      </c>
      <c r="B60" s="193">
        <f>Model!$C$52*B5*B20/B32</f>
        <v>2.8669464423930927E-2</v>
      </c>
      <c r="D60" s="193">
        <f>Model!$C$52*D5*D20/D32</f>
        <v>2.8625863360639294E-2</v>
      </c>
      <c r="F60" s="193">
        <f>Model!$C$52*F5*F20/F32</f>
        <v>2.8582323619134622E-2</v>
      </c>
      <c r="H60" s="193">
        <f>Model!$C$52*H5*H20/H32</f>
        <v>2.8538928186463527E-2</v>
      </c>
      <c r="J60" s="193">
        <f>Model!$C$52*J5*J20/J32</f>
        <v>2.8495784171663173E-2</v>
      </c>
      <c r="L60" s="193">
        <f>Model!$C$52*L5*L20/L32</f>
        <v>2.8453029000746186E-2</v>
      </c>
      <c r="N60" s="193">
        <f>Model!$C$52*N5*N20/N32</f>
        <v>2.8410831913564867E-2</v>
      </c>
      <c r="P60" s="193">
        <f>Model!$C$52*P5*P20/P32</f>
        <v>2.8369395931766253E-2</v>
      </c>
      <c r="R60" s="193">
        <f>Model!$C$52*R5*R20/R32</f>
        <v>2.8328957396322709E-2</v>
      </c>
      <c r="T60" s="193">
        <f>Model!$C$52*T5*T20/T32</f>
        <v>2.8289780988188074E-2</v>
      </c>
      <c r="V60" s="193">
        <f>Model!$C$52*V5*V20/V32</f>
        <v>2.8252150758222294E-2</v>
      </c>
      <c r="X60" s="193">
        <f>Model!$C$52*X5*X20/X32</f>
        <v>2.8216349310226149E-2</v>
      </c>
      <c r="Z60" s="193">
        <f>Model!$C$52*Z5*Z20/Z32</f>
        <v>2.8182638149990058E-2</v>
      </c>
      <c r="AB60" s="193">
        <f>Model!$C$52*AB5*AB20/AB32</f>
        <v>2.8151228723032506E-2</v>
      </c>
      <c r="AD60" s="193">
        <f>Model!$C$52*AD5*AD20/AD32</f>
        <v>2.8122258738079754E-2</v>
      </c>
      <c r="AF60" s="193">
        <f>Model!$C$52*AF5*AF20/AF32</f>
        <v>2.8095776223778929E-2</v>
      </c>
      <c r="AH60" s="193">
        <f>Model!$C$52*AH5*AH20/AH32</f>
        <v>2.8071738601016943E-2</v>
      </c>
      <c r="AJ60" s="193">
        <f>Model!$C$52*AJ5*AJ20/AJ32</f>
        <v>2.8050027496775914E-2</v>
      </c>
      <c r="AL60" s="193">
        <f>Model!$C$52*AL5*AL20/AL32</f>
        <v>2.8030469761197482E-2</v>
      </c>
      <c r="AN60" s="193">
        <f>Model!$C$52*AN5*AN20/AN32</f>
        <v>2.8012864479411349E-2</v>
      </c>
      <c r="AP60" s="193">
        <f>Model!$C$52*AP5*AP20/AP32</f>
        <v>2.8009559224412665E-2</v>
      </c>
      <c r="AR60" s="193">
        <f>Model!$C$52*AR5*AR20/AR32</f>
        <v>2.8006321811666127E-2</v>
      </c>
      <c r="AT60" s="193">
        <f>Model!$C$52*AT5*AT20/AT32</f>
        <v>2.8003150854903593E-2</v>
      </c>
      <c r="AV60" s="193">
        <f>Model!$C$52*AV5*AV20/AV32</f>
        <v>2.8000044639128838E-2</v>
      </c>
      <c r="XFD60" s="193"/>
    </row>
    <row r="62" spans="1:48 16321:16384" x14ac:dyDescent="0.2">
      <c r="A62" t="s">
        <v>175</v>
      </c>
      <c r="B62">
        <f>B13/B15</f>
        <v>1</v>
      </c>
      <c r="D62">
        <f>D13/D15</f>
        <v>1.001192938592848</v>
      </c>
      <c r="F62">
        <f>F13/F15</f>
        <v>1.0024329887253998</v>
      </c>
      <c r="H62">
        <f>H13/H15</f>
        <v>1.0037451813769631</v>
      </c>
      <c r="J62">
        <f>J13/J15</f>
        <v>1.0051606299445313</v>
      </c>
      <c r="L62">
        <f>L13/L15</f>
        <v>1.0067175596038545</v>
      </c>
      <c r="N62">
        <f>N13/N15</f>
        <v>1.008461409053383</v>
      </c>
      <c r="P62">
        <f>P13/P15</f>
        <v>1.0104445548600061</v>
      </c>
      <c r="R62">
        <f>R13/R15</f>
        <v>1.0127246989600125</v>
      </c>
      <c r="T62">
        <f>T13/T15</f>
        <v>1.0153612904306324</v>
      </c>
      <c r="V62">
        <f>V13/V15</f>
        <v>1.0184095488852825</v>
      </c>
      <c r="X62">
        <f>X13/X15</f>
        <v>1.0219120544474996</v>
      </c>
      <c r="Z62">
        <f>Z13/Z15</f>
        <v>1.0258888923324694</v>
      </c>
      <c r="AB62">
        <f>AB13/AB15</f>
        <v>1.030328989582137</v>
      </c>
      <c r="AD62">
        <f>AD13/AD15</f>
        <v>1.0351861095441941</v>
      </c>
      <c r="AF62">
        <f>AF13/AF15</f>
        <v>1.0403822580411402</v>
      </c>
      <c r="AH62">
        <f>AH13/AH15</f>
        <v>1.0458183748404513</v>
      </c>
      <c r="AJ62">
        <f>AJ13/AJ15</f>
        <v>1.0513888822569848</v>
      </c>
      <c r="AL62">
        <f>AL13/AL15</f>
        <v>1.056995154838881</v>
      </c>
      <c r="AN62">
        <f>AN13/AN15</f>
        <v>1.0625545456524292</v>
      </c>
      <c r="AP62">
        <f>AP13/AP15</f>
        <v>1.0636548999277347</v>
      </c>
      <c r="AR62">
        <f>AR13/AR15</f>
        <v>1.0647503891624317</v>
      </c>
      <c r="AT62">
        <f>AT13/AT15</f>
        <v>1.065840632553537</v>
      </c>
      <c r="AV62">
        <f>AV13/AV15</f>
        <v>1.06692528274106</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0.99840494547601333</v>
      </c>
      <c r="E65" s="191"/>
      <c r="F65" s="191">
        <f t="array" ref="F65">SQRT((F9:G9*$B$22:$C$22+F10:G10*$B$23:$C$23+F11:G11*$B$24:$C$24+F4:G4*($B$25:$C$25-$B$19:$C$19))/($B$9:$C$9*$B$22:$C$22+$B$10:$C$10*$B$23:$C$23+$B$11:$C$11*$B$24:$C$24+$B$4:$C$4*($B$25:$C$25-$B$19:$C$19))*(F9:G9*F22:G22+F10:G10*F23:G23+F11:G11*F24:G24+F4:G4*(F25:G25-F19:G19))/($B$9:$C$9*F22:G22+$B$10:$C$10*F23:G23+$B$11:$C$11*F24:G24+$B$4:$C$4*(F25:G25-F19:G19)))</f>
        <v>0.99675825361936998</v>
      </c>
      <c r="G65" s="191"/>
      <c r="H65" s="191">
        <f t="array" ref="H65">SQRT((H9:I9*$B$22:$C$22+H10:I10*$B$23:$C$23+H11:I11*$B$24:$C$24+H4:I4*($B$25:$C$25-$B$19:$C$19))/($B$9:$C$9*$B$22:$C$22+$B$10:$C$10*$B$23:$C$23+$B$11:$C$11*$B$24:$C$24+$B$4:$C$4*($B$25:$C$25-$B$19:$C$19))*(H9:I9*H22:I22+H10:I10*H23:I23+H11:I11*H24:I24+H4:I4*(H25:I25-H19:I19))/($B$9:$C$9*H22:I22+$B$10:$C$10*H23:I23+$B$11:$C$11*H24:I24+$B$4:$C$4*(H25:I25-H19:I19)))</f>
        <v>0.99505554198207713</v>
      </c>
      <c r="I65" s="191"/>
      <c r="J65" s="191">
        <f t="array" ref="J65">SQRT((J9:K9*$B$22:$C$22+J10:K10*$B$23:$C$23+J11:K11*$B$24:$C$24+J4:K4*($B$25:$C$25-$B$19:$C$19))/($B$9:$C$9*$B$22:$C$22+$B$10:$C$10*$B$23:$C$23+$B$11:$C$11*$B$24:$C$24+$B$4:$C$4*($B$25:$C$25-$B$19:$C$19))*(J9:K9*J22:K22+J10:K10*J23:K23+J11:K11*J24:K24+J4:K4*(J25:K25-J19:K19))/($B$9:$C$9*J22:K22+$B$10:$C$10*J23:K23+$B$11:$C$11*J24:K24+$B$4:$C$4*(J25:K25-J19:K19)))</f>
        <v>0.99329327741429518</v>
      </c>
      <c r="K65" s="191"/>
      <c r="L65" s="191">
        <f t="array" ref="L65">SQRT((L9:M9*$B$22:$C$22+L10:M10*$B$23:$C$23+L11:M11*$B$24:$C$24+L4:M4*($B$25:$C$25-$B$19:$C$19))/($B$9:$C$9*$B$22:$C$22+$B$10:$C$10*$B$23:$C$23+$B$11:$C$11*$B$24:$C$24+$B$4:$C$4*($B$25:$C$25-$B$19:$C$19))*(L9:M9*L22:M22+L10:M10*L23:M23+L11:M11*L24:M24+L4:M4*(L25:M25-L19:M19))/($B$9:$C$9*L22:M22+$B$10:$C$10*L23:M23+$B$11:$C$11*L24:M24+$B$4:$C$4*(L25:M25-L19:M19)))</f>
        <v>0.9914695926775271</v>
      </c>
      <c r="M65" s="191"/>
      <c r="N65" s="191">
        <f t="array" ref="N65">SQRT((N9:O9*$B$22:$C$22+N10:O10*$B$23:$C$23+N11:O11*$B$24:$C$24+N4:O4*($B$25:$C$25-$B$19:$C$19))/($B$9:$C$9*$B$22:$C$22+$B$10:$C$10*$B$23:$C$23+$B$11:$C$11*$B$24:$C$24+$B$4:$C$4*($B$25:$C$25-$B$19:$C$19))*(N9:O9*N22:O22+N10:O10*N23:O23+N11:O11*N24:O24+N4:O4*(N25:O25-N19:O19))/($B$9:$C$9*N22:O22+$B$10:$C$10*N23:O23+$B$11:$C$11*N24:O24+$B$4:$C$4*(N25:O25-N19:O19)))</f>
        <v>0.98958523329435488</v>
      </c>
      <c r="O65" s="191"/>
      <c r="P65" s="191">
        <f t="array" ref="P65">SQRT((P9:Q9*$B$22:$C$22+P10:Q10*$B$23:$C$23+P11:Q11*$B$24:$C$24+P4:Q4*($B$25:$C$25-$B$19:$C$19))/($B$9:$C$9*$B$22:$C$22+$B$10:$C$10*$B$23:$C$23+$B$11:$C$11*$B$24:$C$24+$B$4:$C$4*($B$25:$C$25-$B$19:$C$19))*(P9:Q9*P22:Q22+P10:Q10*P23:Q23+P11:Q11*P24:Q24+P4:Q4*(P25:Q25-P19:Q19))/($B$9:$C$9*P22:Q22+$B$10:$C$10*P23:Q23+$B$11:$C$11*P24:Q24+$B$4:$C$4*(P25:Q25-P19:Q19)))</f>
        <v>0.98764482565213663</v>
      </c>
      <c r="Q65" s="191"/>
      <c r="R65" s="191">
        <f t="array" ref="R65">SQRT((R9:S9*$B$22:$C$22+R10:S10*$B$23:$C$23+R11:S11*$B$24:$C$24+R4:S4*($B$25:$C$25-$B$19:$C$19))/($B$9:$C$9*$B$22:$C$22+$B$10:$C$10*$B$23:$C$23+$B$11:$C$11*$B$24:$C$24+$B$4:$C$4*($B$25:$C$25-$B$19:$C$19))*(R9:S9*R22:S22+R10:S10*R23:S23+R11:S11*R24:S24+R4:S4*(R25:S25-R19:S19))/($B$9:$C$9*R22:S22+$B$10:$C$10*R23:S23+$B$11:$C$11*R24:S24+$B$4:$C$4*(R25:S25-R19:S19)))</f>
        <v>0.98565828891750085</v>
      </c>
      <c r="S65" s="191"/>
      <c r="T65" s="191">
        <f t="array" ref="T65">SQRT((T9:U9*$B$22:$C$22+T10:U10*$B$23:$C$23+T11:U11*$B$24:$C$24+T4:U4*($B$25:$C$25-$B$19:$C$19))/($B$9:$C$9*$B$22:$C$22+$B$10:$C$10*$B$23:$C$23+$B$11:$C$11*$B$24:$C$24+$B$4:$C$4*($B$25:$C$25-$B$19:$C$19))*(T9:U9*T22:U22+T10:U10*T23:U23+T11:U11*T24:U24+T4:U4*(T25:U25-T19:U19))/($B$9:$C$9*T22:U22+$B$10:$C$10*T23:U23+$B$11:$C$11*T24:U24+$B$4:$C$4*(T25:U25-T19:U19)))</f>
        <v>0.98364215080878092</v>
      </c>
      <c r="U65" s="191"/>
      <c r="V65" s="191">
        <f t="array" ref="V65">SQRT((V9:W9*$B$22:$C$22+V10:W10*$B$23:$C$23+V11:W11*$B$24:$C$24+V4:W4*($B$25:$C$25-$B$19:$C$19))/($B$9:$C$9*$B$22:$C$22+$B$10:$C$10*$B$23:$C$23+$B$11:$C$11*$B$24:$C$24+$B$4:$C$4*($B$25:$C$25-$B$19:$C$19))*(V9:W9*V22:W22+V10:W10*V23:W23+V11:W11*V24:W24+V4:W4*(V25:W25-V19:W19))/($B$9:$C$9*V22:W22+$B$10:$C$10*V23:W23+$B$11:$C$11*V24:W24+$B$4:$C$4*(V25:W25-V19:W19)))</f>
        <v>0.98162036548341158</v>
      </c>
      <c r="W65" s="191"/>
      <c r="X65" s="191">
        <f t="array" ref="X65">SQRT((X9:Y9*$B$22:$C$22+X10:Y10*$B$23:$C$23+X11:Y11*$B$24:$C$24+X4:Y4*($B$25:$C$25-$B$19:$C$19))/($B$9:$C$9*$B$22:$C$22+$B$10:$C$10*$B$23:$C$23+$B$11:$C$11*$B$24:$C$24+$B$4:$C$4*($B$25:$C$25-$B$19:$C$19))*(X9:Y9*X22:Y22+X10:Y10*X23:Y23+X11:Y11*X24:Y24+X4:Y4*(X25:Y25-X19:Y19))/($B$9:$C$9*X22:Y22+$B$10:$C$10*X23:Y23+$B$11:$C$11*X24:Y24+$B$4:$C$4*(X25:Y25-X19:Y19)))</f>
        <v>0.97962408120749123</v>
      </c>
      <c r="Y65" s="191"/>
      <c r="Z65" s="191">
        <f t="array" ref="Z65">SQRT((Z9:AA9*$B$22:$C$22+Z10:AA10*$B$23:$C$23+Z11:AA11*$B$24:$C$24+Z4:AA4*($B$25:$C$25-$B$19:$C$19))/($B$9:$C$9*$B$22:$C$22+$B$10:$C$10*$B$23:$C$23+$B$11:$C$11*$B$24:$C$24+$B$4:$C$4*($B$25:$C$25-$B$19:$C$19))*(Z9:AA9*Z22:AA22+Z10:AA10*Z23:AA23+Z11:AA11*Z24:AA24+Z4:AA4*(Z25:AA25-Z19:AA19))/($B$9:$C$9*Z22:AA22+$B$10:$C$10*Z23:AA23+$B$11:$C$11*Z24:AA24+$B$4:$C$4*(Z25:AA25-Z19:AA19)))</f>
        <v>0.97768970456014503</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0.97585512984809919</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0.97415465807351487</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0.97261405850360061</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0.97124743151996706</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0.97005680561637098</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0.96903422098581127</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0.96816504643412449</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0.96800806818058882</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0.96785635934117498</v>
      </c>
      <c r="AS65" s="191"/>
      <c r="AT65" s="191">
        <f t="array" ref="AT65">SQRT((AT9:AU9*$B$22:$C$22+AT10:AU10*$B$23:$C$23+AT11:AU11*$B$24:$C$24+AT4:AU4*($B$25:$C$25-$B$19:$C$19))/($B$9:$C$9*$B$22:$C$22+$B$10:$C$10*$B$23:$C$23+$B$11:$C$11*$B$24:$C$24+$B$4:$C$4*($B$25:$C$25-$B$19:$C$19))*(AT9:AU9*AT22:AU22+AT10:AU10*AT23:AU23+AT11:AU11*AT24:AU24+AT4:AU4*(AT25:AU25-AT19:AU19))/($B$9:$C$9*AT22:AU22+$B$10:$C$10*AT23:AU23+$B$11:$C$11*AT24:AU24+$B$4:$C$4*(AT25:AU25-AT19:AU19)))</f>
        <v>0.9677097696792929</v>
      </c>
      <c r="AU65" s="191"/>
      <c r="AV65" s="191">
        <f t="array" ref="AV65">SQRT((AV9:AW9*$B$22:$C$22+AV10:AW10*$B$23:$C$23+AV11:AW11*$B$24:$C$24+AV4:AW4*($B$25:$C$25-$B$19:$C$19))/($B$9:$C$9*$B$22:$C$22+$B$10:$C$10*$B$23:$C$23+$B$11:$C$11*$B$24:$C$24+$B$4:$C$4*($B$25:$C$25-$B$19:$C$19))*(AV9:AW9*AV22:AW22+AV10:AW10*AV23:AW23+AV11:AW11*AV24:AW24+AV4:AW4*(AV25:AW25-AV19:AW19))/($B$9:$C$9*AV22:AW22+$B$10:$C$10*AV23:AW23+$B$11:$C$11*AV24:AW24+$B$4:$C$4*(AV25:AW25-AV19:AW19)))</f>
        <v>0.96756814831061366</v>
      </c>
    </row>
    <row r="66" spans="1:48 16384:16384" x14ac:dyDescent="0.2">
      <c r="A66" t="s">
        <v>182</v>
      </c>
      <c r="B66" s="191">
        <f t="array" ref="B66">SQRT((B9:C9*$B$22:$C$22)/($B$9:$C$9*$B$22:$C$22)*(B9:C9*B22:C22)/($B$9:$C$9*B22:C22))</f>
        <v>1</v>
      </c>
      <c r="C66" s="191"/>
      <c r="D66" s="191">
        <f t="array" ref="D66">SQRT((D9:E9*$B$22:$C$22)/($B$9:$C$9*$B$22:$C$22)*(D9:E9*D22:E22)/($B$9:$C$9*D22:E22))</f>
        <v>0.99824588803334313</v>
      </c>
      <c r="E66" s="191"/>
      <c r="F66" s="191">
        <f t="array" ref="F66">SQRT((F9:G9*$B$22:$C$22)/($B$9:$C$9*$B$22:$C$22)*(F9:G9*F22:G22)/($B$9:$C$9*F22:G22))</f>
        <v>0.99643265036342477</v>
      </c>
      <c r="G66" s="191"/>
      <c r="H66" s="191">
        <f t="array" ref="H66">SQRT((H9:I9*$B$22:$C$22)/($B$9:$C$9*$B$22:$C$22)*(H9:I9*H22:I22)/($B$9:$C$9*H22:I22))</f>
        <v>0.99455520465534464</v>
      </c>
      <c r="I66" s="191"/>
      <c r="J66" s="191">
        <f t="array" ref="J66">SQRT((J9:K9*$B$22:$C$22)/($B$9:$C$9*$B$22:$C$22)*(J9:K9*J22:K22)/($B$9:$C$9*J22:K22))</f>
        <v>0.99260936709919123</v>
      </c>
      <c r="K66" s="191"/>
      <c r="L66" s="191">
        <f t="array" ref="L66">SQRT((L9:M9*$B$22:$C$22)/($B$9:$C$9*$B$22:$C$22)*(L9:M9*L22:M22)/($B$9:$C$9*L22:M22))</f>
        <v>0.99059275984443507</v>
      </c>
      <c r="M66" s="191"/>
      <c r="N66" s="191">
        <f t="array" ref="N66">SQRT((N9:O9*$B$22:$C$22)/($B$9:$C$9*$B$22:$C$22)*(N9:O9*N22:O22)/($B$9:$C$9*N22:O22))</f>
        <v>0.9885058720215375</v>
      </c>
      <c r="O66" s="191"/>
      <c r="P66" s="191">
        <f t="array" ref="P66">SQRT((P9:Q9*$B$22:$C$22)/($B$9:$C$9*$B$22:$C$22)*(P9:Q9*P22:Q22)/($B$9:$C$9*P22:Q22))</f>
        <v>0.98635348946474555</v>
      </c>
      <c r="Q66" s="191"/>
      <c r="R66" s="191">
        <f t="array" ref="R66">SQRT((R9:S9*$B$22:$C$22)/($B$9:$C$9*$B$22:$C$22)*(R9:S9*R22:S22)/($B$9:$C$9*R22:S22))</f>
        <v>0.98414630144873039</v>
      </c>
      <c r="S66" s="191"/>
      <c r="T66" s="191">
        <f t="array" ref="T66">SQRT((T9:U9*$B$22:$C$22)/($B$9:$C$9*$B$22:$C$22)*(T9:U9*T22:U22)/($B$9:$C$9*T22:U22))</f>
        <v>0.98190242038168651</v>
      </c>
      <c r="U66" s="191"/>
      <c r="V66" s="191">
        <f t="array" ref="V66">SQRT((V9:W9*$B$22:$C$22)/($B$9:$C$9*$B$22:$C$22)*(V9:W9*V22:W22)/($B$9:$C$9*V22:W22))</f>
        <v>0.97964836475990147</v>
      </c>
      <c r="W66" s="191"/>
      <c r="X66" s="191">
        <f t="array" ref="X66">SQRT((X9:Y9*$B$22:$C$22)/($B$9:$C$9*$B$22:$C$22)*(X9:Y9*X22:Y22)/($B$9:$C$9*X22:Y22))</f>
        <v>0.97741887879043321</v>
      </c>
      <c r="Y66" s="191"/>
      <c r="Z66" s="191">
        <f t="array" ref="Z66">SQRT((Z9:AA9*$B$22:$C$22)/($B$9:$C$9*$B$22:$C$22)*(Z9:AA9*Z22:AA22)/($B$9:$C$9*Z22:AA22))</f>
        <v>0.97525483672418944</v>
      </c>
      <c r="AA66" s="191"/>
      <c r="AB66" s="191">
        <f t="array" ref="AB66">SQRT((AB9:AC9*$B$22:$C$22)/($B$9:$C$9*$B$22:$C$22)*(AB9:AC9*AB22:AC22)/($B$9:$C$9*AB22:AC22))</f>
        <v>0.973199055292155</v>
      </c>
      <c r="AC66" s="191"/>
      <c r="AD66" s="191">
        <f t="array" ref="AD66">SQRT((AD9:AE9*$B$22:$C$22)/($B$9:$C$9*$B$22:$C$22)*(AD9:AE9*AD22:AE22)/($B$9:$C$9*AD22:AE22))</f>
        <v>0.97129057600597013</v>
      </c>
      <c r="AE66" s="191"/>
      <c r="AF66" s="191">
        <f t="array" ref="AF66">SQRT((AF9:AG9*$B$22:$C$22)/($B$9:$C$9*$B$22:$C$22)*(AF9:AG9*AF22:AG22)/($B$9:$C$9*AF22:AG22))</f>
        <v>0.96955904241698976</v>
      </c>
      <c r="AG66" s="191"/>
      <c r="AH66" s="191">
        <f t="array" ref="AH66">SQRT((AH9:AI9*$B$22:$C$22)/($B$9:$C$9*$B$22:$C$22)*(AH9:AI9*AH22:AI22)/($B$9:$C$9*AH22:AI22))</f>
        <v>0.96802105889958923</v>
      </c>
      <c r="AI66" s="191"/>
      <c r="AJ66" s="191">
        <f t="array" ref="AJ66">SQRT((AJ9:AK9*$B$22:$C$22)/($B$9:$C$9*$B$22:$C$22)*(AJ9:AK9*AJ22:AK22)/($B$9:$C$9*AJ22:AK22))</f>
        <v>0.96667962150775122</v>
      </c>
      <c r="AK66" s="191"/>
      <c r="AL66" s="191">
        <f t="array" ref="AL66">SQRT((AL9:AM9*$B$22:$C$22)/($B$9:$C$9*$B$22:$C$22)*(AL9:AM9*AL22:AM22)/($B$9:$C$9*AL22:AM22))</f>
        <v>0.96552637946967246</v>
      </c>
      <c r="AM66" s="191"/>
      <c r="AN66" s="191">
        <f t="array" ref="AN66">SQRT((AN9:AO9*$B$22:$C$22)/($B$9:$C$9*$B$22:$C$22)*(AN9:AO9*AN22:AO22)/($B$9:$C$9*AN22:AO22))</f>
        <v>0.96454533095015293</v>
      </c>
      <c r="AO66" s="191"/>
      <c r="AP66" s="191">
        <f t="array" ref="AP66">SQRT((AP9:AQ9*$B$22:$C$22)/($B$9:$C$9*$B$22:$C$22)*(AP9:AQ9*AP22:AQ22)/($B$9:$C$9*AP22:AQ22))</f>
        <v>0.96436806787924356</v>
      </c>
      <c r="AQ66" s="191"/>
      <c r="AR66" s="191">
        <f t="array" ref="AR66">SQRT((AR9:AS9*$B$22:$C$22)/($B$9:$C$9*$B$22:$C$22)*(AR9:AS9*AR22:AS22)/($B$9:$C$9*AR22:AS22))</f>
        <v>0.96419673218190971</v>
      </c>
      <c r="AS66" s="191"/>
      <c r="AT66" s="191">
        <f t="array" ref="AT66">SQRT((AT9:AU9*$B$22:$C$22)/($B$9:$C$9*$B$22:$C$22)*(AT9:AU9*AT22:AU22)/($B$9:$C$9*AT22:AU22))</f>
        <v>0.96403115644194182</v>
      </c>
      <c r="AU66" s="191"/>
      <c r="AV66" s="191">
        <f t="array" ref="AV66">SQRT((AV9:AW9*$B$22:$C$22)/($B$9:$C$9*$B$22:$C$22)*(AV9:AW9*AV22:AW22)/($B$9:$C$9*AV22:AW22))</f>
        <v>0.96387117249445398</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f t="array" ref="AV67">SQRT((AV4:AW4*$B$19:$C$19)/($B$4:$C$4*$B$19:$C$19)*(AV4:AW4*AV19:AW19)/($B$4:$C$4*AV19:AW19))</f>
        <v>1</v>
      </c>
      <c r="XFD67" s="191"/>
    </row>
    <row r="68" spans="1:48 16384:16384" x14ac:dyDescent="0.2">
      <c r="A68" t="s">
        <v>181</v>
      </c>
      <c r="B68" s="191">
        <f>B66/B67</f>
        <v>1</v>
      </c>
      <c r="C68" s="191"/>
      <c r="D68" s="191">
        <f>D66/D67</f>
        <v>0.99824588803334313</v>
      </c>
      <c r="E68" s="191"/>
      <c r="F68" s="191">
        <f>F66/F67</f>
        <v>0.99643265036342477</v>
      </c>
      <c r="G68" s="191"/>
      <c r="H68" s="191">
        <f>H66/H67</f>
        <v>0.99455520465534464</v>
      </c>
      <c r="I68" s="191"/>
      <c r="J68" s="191">
        <f>J66/J67</f>
        <v>0.99260936709919123</v>
      </c>
      <c r="K68" s="191"/>
      <c r="L68" s="191">
        <f>L66/L67</f>
        <v>0.99059275984443507</v>
      </c>
      <c r="M68" s="191"/>
      <c r="N68" s="191">
        <f>N66/N67</f>
        <v>0.9885058720215375</v>
      </c>
      <c r="O68" s="191"/>
      <c r="P68" s="191">
        <f>P66/P67</f>
        <v>0.98635348946474555</v>
      </c>
      <c r="Q68" s="191"/>
      <c r="R68" s="191">
        <f>R66/R67</f>
        <v>0.98414630144873039</v>
      </c>
      <c r="S68" s="191"/>
      <c r="T68" s="191">
        <f>T66/T67</f>
        <v>0.98190242038168651</v>
      </c>
      <c r="U68" s="191"/>
      <c r="V68" s="191">
        <f>V66/V67</f>
        <v>0.97964836475990147</v>
      </c>
      <c r="W68" s="191"/>
      <c r="X68" s="191">
        <f>X66/X67</f>
        <v>0.97741887879043321</v>
      </c>
      <c r="Y68" s="191"/>
      <c r="Z68" s="191">
        <f>Z66/Z67</f>
        <v>0.97525483672418944</v>
      </c>
      <c r="AA68" s="191"/>
      <c r="AB68" s="191">
        <f>AB66/AB67</f>
        <v>0.973199055292155</v>
      </c>
      <c r="AC68" s="191"/>
      <c r="AD68" s="191">
        <f>AD66/AD67</f>
        <v>0.97129057600597013</v>
      </c>
      <c r="AE68" s="191"/>
      <c r="AF68" s="191">
        <f>AF66/AF67</f>
        <v>0.96955904241698976</v>
      </c>
      <c r="AG68" s="191"/>
      <c r="AH68" s="191">
        <f>AH66/AH67</f>
        <v>0.96802105889958923</v>
      </c>
      <c r="AI68" s="191"/>
      <c r="AJ68" s="191">
        <f>AJ66/AJ67</f>
        <v>0.96667962150775122</v>
      </c>
      <c r="AK68" s="191"/>
      <c r="AL68" s="191">
        <f>AL66/AL67</f>
        <v>0.96552637946967246</v>
      </c>
      <c r="AM68" s="191"/>
      <c r="AN68" s="191">
        <f>AN66/AN67</f>
        <v>0.96454533095015293</v>
      </c>
      <c r="AO68" s="191"/>
      <c r="AP68" s="191">
        <f>AP66/AP67</f>
        <v>0.96436806787924356</v>
      </c>
      <c r="AQ68" s="191"/>
      <c r="AR68" s="191">
        <f>AR66/AR67</f>
        <v>0.96419673218190971</v>
      </c>
      <c r="AS68" s="191"/>
      <c r="AT68" s="191">
        <f>AT66/AT67</f>
        <v>0.96403115644194182</v>
      </c>
      <c r="AU68" s="191"/>
      <c r="AV68" s="191">
        <f>AV66/AV67</f>
        <v>0.96387117249445398</v>
      </c>
      <c r="XFD68" s="191"/>
    </row>
    <row r="69" spans="1:48 16384:16384" x14ac:dyDescent="0.2">
      <c r="A69" t="s">
        <v>177</v>
      </c>
      <c r="B69" s="191">
        <f>B32/B65/($B$32)</f>
        <v>1</v>
      </c>
      <c r="C69" s="191"/>
      <c r="D69" s="191">
        <f>D32/D65/($B$32)</f>
        <v>0.99298696118189766</v>
      </c>
      <c r="E69" s="191"/>
      <c r="F69" s="191">
        <f>F32/F65/($B$32)</f>
        <v>0.98459889314893734</v>
      </c>
      <c r="G69" s="191"/>
      <c r="H69" s="191">
        <f>H32/H65/($B$32)</f>
        <v>0.97456566717033899</v>
      </c>
      <c r="I69" s="191"/>
      <c r="J69" s="191">
        <f>J32/J65/($B$32)</f>
        <v>0.96255700663117028</v>
      </c>
      <c r="K69" s="191"/>
      <c r="L69" s="191">
        <f>L32/L65/($B$32)</f>
        <v>0.94816838304044671</v>
      </c>
      <c r="M69" s="191"/>
      <c r="N69" s="191">
        <f>N32/N65/($B$32)</f>
        <v>0.93090782410637685</v>
      </c>
      <c r="O69" s="191"/>
      <c r="P69" s="191">
        <f>P32/P65/($B$32)</f>
        <v>0.91018184012775549</v>
      </c>
      <c r="Q69" s="191"/>
      <c r="R69" s="191">
        <f>R32/R65/($B$32)</f>
        <v>0.88528507055616956</v>
      </c>
      <c r="S69" s="191"/>
      <c r="T69" s="191">
        <f>T32/T65/($B$32)</f>
        <v>0.85539914595301592</v>
      </c>
      <c r="U69" s="191"/>
      <c r="V69" s="191">
        <f>V32/V65/($B$32)</f>
        <v>0.819608221766159</v>
      </c>
      <c r="W69" s="191"/>
      <c r="X69" s="191">
        <f>X32/X65/($B$32)</f>
        <v>0.77694129679095414</v>
      </c>
      <c r="Y69" s="191"/>
      <c r="Z69" s="191">
        <f>Z32/Z65/($B$32)</f>
        <v>0.72644594060153866</v>
      </c>
      <c r="AA69" s="191"/>
      <c r="AB69" s="191">
        <f>AB32/AB65/($B$32)</f>
        <v>0.66729125538126677</v>
      </c>
      <c r="AC69" s="191"/>
      <c r="AD69" s="191">
        <f>AD32/AD65/($B$32)</f>
        <v>0.59887920538059736</v>
      </c>
      <c r="AE69" s="191"/>
      <c r="AF69" s="191">
        <f>AF32/AF65/($B$32)</f>
        <v>0.52093176699448485</v>
      </c>
      <c r="AG69" s="191"/>
      <c r="AH69" s="191">
        <f>AH32/AH65/($B$32)</f>
        <v>0.43352254923432515</v>
      </c>
      <c r="AI69" s="191"/>
      <c r="AJ69" s="191">
        <f>AJ32/AJ65/($B$32)</f>
        <v>0.33704223321509436</v>
      </c>
      <c r="AK69" s="191"/>
      <c r="AL69" s="191">
        <f>AL32/AL65/($B$32)</f>
        <v>0.2321157542186065</v>
      </c>
      <c r="AM69" s="191"/>
      <c r="AN69" s="191">
        <f>AN32/AN65/($B$32)</f>
        <v>0.11950116152349721</v>
      </c>
      <c r="AO69" s="191"/>
      <c r="AP69" s="191">
        <f>AP32/AP65/($B$32)</f>
        <v>9.6126294591539568E-2</v>
      </c>
      <c r="AQ69" s="191"/>
      <c r="AR69" s="191">
        <f>AR32/AR65/($B$32)</f>
        <v>7.2482398200464315E-2</v>
      </c>
      <c r="AS69" s="191"/>
      <c r="AT69" s="191">
        <f>AT32/AT65/($B$32)</f>
        <v>4.8575895143304862E-2</v>
      </c>
      <c r="AU69" s="191"/>
      <c r="AV69" s="191">
        <f>AV32/AV65/($B$32)</f>
        <v>2.4413035282760044E-2</v>
      </c>
    </row>
    <row r="70" spans="1:48 16384:16384" x14ac:dyDescent="0.2">
      <c r="A70" t="s">
        <v>178</v>
      </c>
      <c r="B70" s="138">
        <f>B18/$B$18</f>
        <v>1</v>
      </c>
      <c r="C70" s="138"/>
      <c r="D70" s="138">
        <f>D18/$B$18</f>
        <v>0.99233206831162635</v>
      </c>
      <c r="E70" s="138"/>
      <c r="F70" s="138">
        <f>F18/$B$18</f>
        <v>0.98333461747591189</v>
      </c>
      <c r="G70" s="138"/>
      <c r="H70" s="138">
        <f>H18/$B$18</f>
        <v>0.97274556010550162</v>
      </c>
      <c r="I70" s="138"/>
      <c r="J70" s="138">
        <f>J18/$B$18</f>
        <v>0.96024331864180035</v>
      </c>
      <c r="K70" s="138"/>
      <c r="L70" s="138">
        <f>L18/$B$18</f>
        <v>0.94543240386845473</v>
      </c>
      <c r="M70" s="138"/>
      <c r="N70" s="138">
        <f>N18/$B$18</f>
        <v>0.9278296372247129</v>
      </c>
      <c r="O70" s="138"/>
      <c r="P70" s="138">
        <f>P18/$B$18</f>
        <v>0.90684925522665427</v>
      </c>
      <c r="Q70" s="138"/>
      <c r="R70" s="138">
        <f>R18/$B$18</f>
        <v>0.8817915211896542</v>
      </c>
      <c r="S70" s="138"/>
      <c r="T70" s="138">
        <f>T18/$B$18</f>
        <v>0.85184043749694061</v>
      </c>
      <c r="U70" s="138"/>
      <c r="V70" s="138">
        <f>V18/$B$18</f>
        <v>0.81607832691873572</v>
      </c>
      <c r="W70" s="138"/>
      <c r="X70" s="138">
        <f>X18/$B$18</f>
        <v>0.77352756791373678</v>
      </c>
      <c r="Y70" s="138"/>
      <c r="Z70" s="138">
        <f>Z18/$B$18</f>
        <v>0.72322498682844261</v>
      </c>
      <c r="AA70" s="138"/>
      <c r="AB70" s="138">
        <f>AB18/$B$18</f>
        <v>0.66432649661589804</v>
      </c>
      <c r="AC70" s="138"/>
      <c r="AD70" s="138">
        <f>AD18/$B$18</f>
        <v>0.59622113481295613</v>
      </c>
      <c r="AE70" s="138"/>
      <c r="AF70" s="138">
        <f>AF18/$B$18</f>
        <v>0.51862093991463443</v>
      </c>
      <c r="AG70" s="138"/>
      <c r="AH70" s="138">
        <f>AH18/$B$18</f>
        <v>0.43159434777691574</v>
      </c>
      <c r="AI70" s="138"/>
      <c r="AJ70" s="138">
        <f>AJ18/$B$18</f>
        <v>0.33553187440012011</v>
      </c>
      <c r="AK70" s="138"/>
      <c r="AL70" s="138">
        <f>AL18/$B$18</f>
        <v>0.23106212159685185</v>
      </c>
      <c r="AM70" s="138"/>
      <c r="AN70" s="138">
        <f>AN18/$B$18</f>
        <v>0.11894891338161505</v>
      </c>
      <c r="AO70" s="138"/>
      <c r="AP70" s="138">
        <f>AP18/$B$18</f>
        <v>9.5680235578312164E-2</v>
      </c>
      <c r="AQ70" s="138"/>
      <c r="AR70" s="138">
        <f>AR18/$B$18</f>
        <v>7.2144612273820921E-2</v>
      </c>
      <c r="AS70" s="138"/>
      <c r="AT70" s="138">
        <f>AT18/$B$18</f>
        <v>4.834851424345938E-2</v>
      </c>
      <c r="AU70" s="138"/>
      <c r="AV70" s="138">
        <f>AV18/$B$18</f>
        <v>2.4298235465448473E-2</v>
      </c>
    </row>
    <row r="71" spans="1:48 16384:16384" x14ac:dyDescent="0.2">
      <c r="A71" t="s">
        <v>179</v>
      </c>
      <c r="B71" s="138">
        <f>C18/$C$18</f>
        <v>1</v>
      </c>
      <c r="D71" s="138">
        <f>E18/$C$18</f>
        <v>0.92856400966847774</v>
      </c>
      <c r="E71" s="138"/>
      <c r="F71" s="138">
        <f>G18/$C$18</f>
        <v>0.85753837500762253</v>
      </c>
      <c r="G71" s="138"/>
      <c r="H71" s="138">
        <f>I18/$C$18</f>
        <v>0.78706111459647377</v>
      </c>
      <c r="I71" s="138"/>
      <c r="J71" s="138">
        <f>K18/$C$18</f>
        <v>0.71731171585038567</v>
      </c>
      <c r="K71" s="138"/>
      <c r="L71" s="138">
        <f>M18/$C$18</f>
        <v>0.64852614779291873</v>
      </c>
      <c r="M71" s="138"/>
      <c r="N71" s="138">
        <f>O18/$C$18</f>
        <v>0.58100568527467511</v>
      </c>
      <c r="O71" s="138"/>
      <c r="P71" s="138">
        <f>Q18/$C$18</f>
        <v>0.51512796114429793</v>
      </c>
      <c r="Q71" s="138"/>
      <c r="R71" s="138">
        <f>S18/$C$18</f>
        <v>0.45135340758029835</v>
      </c>
      <c r="S71" s="138"/>
      <c r="T71" s="138">
        <f>U18/$C$18</f>
        <v>0.39022125624783721</v>
      </c>
      <c r="U71" s="138"/>
      <c r="V71" s="138">
        <f>W18/$C$18</f>
        <v>0.33233073726245954</v>
      </c>
      <c r="W71" s="138"/>
      <c r="X71" s="138">
        <f>Y18/$C$18</f>
        <v>0.27829588165694424</v>
      </c>
      <c r="Y71" s="138"/>
      <c r="Z71" s="138">
        <f>AA18/$C$18</f>
        <v>0.22868377316868696</v>
      </c>
      <c r="AA71" s="138"/>
      <c r="AB71" s="138">
        <f>AC18/$C$18</f>
        <v>0.18393323827018199</v>
      </c>
      <c r="AC71" s="138"/>
      <c r="AD71" s="138">
        <f>AE18/$C$18</f>
        <v>0.14428179877526234</v>
      </c>
      <c r="AE71" s="138"/>
      <c r="AF71" s="138">
        <f>AG18/$C$18</f>
        <v>0.10972338678528708</v>
      </c>
      <c r="AG71" s="138"/>
      <c r="AH71" s="138">
        <f>AI18/$C$18</f>
        <v>8.0015410728124875E-2</v>
      </c>
      <c r="AI71" s="138"/>
      <c r="AJ71" s="138">
        <f>AK18/$C$18</f>
        <v>5.4732032031590799E-2</v>
      </c>
      <c r="AK71" s="138"/>
      <c r="AL71" s="138">
        <f>AM18/$C$18</f>
        <v>3.3340408208324096E-2</v>
      </c>
      <c r="AM71" s="138"/>
      <c r="AN71" s="138">
        <f>AO18/$C$18</f>
        <v>1.5276379575611317E-2</v>
      </c>
      <c r="AO71" s="138"/>
      <c r="AP71" s="138">
        <f>AQ18/$C$18</f>
        <v>1.2014485008469977E-2</v>
      </c>
      <c r="AQ71" s="138"/>
      <c r="AR71" s="138">
        <f>AS18/$C$18</f>
        <v>8.8598440953049223E-3</v>
      </c>
      <c r="AS71" s="138"/>
      <c r="AT71" s="138">
        <f>AU18/$C$18</f>
        <v>5.808441658613178E-3</v>
      </c>
      <c r="AU71" s="138"/>
      <c r="AV71" s="138">
        <f>AW18/$C$18</f>
        <v>2.8564133988562721E-3</v>
      </c>
      <c r="XFD71" s="138"/>
    </row>
    <row r="72" spans="1:48 16384:16384" x14ac:dyDescent="0.2">
      <c r="A72" t="s">
        <v>180</v>
      </c>
      <c r="B72" s="138">
        <f>C19/$C$19</f>
        <v>1</v>
      </c>
      <c r="D72" s="138">
        <f>E19/$C$19</f>
        <v>1.0300317598485607</v>
      </c>
      <c r="E72" s="138"/>
      <c r="F72" s="138">
        <f>G19/$C$19</f>
        <v>1.0627140149669874</v>
      </c>
      <c r="G72" s="138"/>
      <c r="H72" s="138">
        <f>I19/$C$19</f>
        <v>1.0978442803047139</v>
      </c>
      <c r="I72" s="138"/>
      <c r="J72" s="138">
        <f>K19/$C$19</f>
        <v>1.1349985075003055</v>
      </c>
      <c r="K72" s="138"/>
      <c r="L72" s="138">
        <f>M19/$C$19</f>
        <v>1.173434158937823</v>
      </c>
      <c r="M72" s="138"/>
      <c r="N72" s="138">
        <f>O19/$C$19</f>
        <v>1.2119775835475108</v>
      </c>
      <c r="O72" s="138"/>
      <c r="P72" s="138">
        <f>Q19/$C$19</f>
        <v>1.2488885912990235</v>
      </c>
      <c r="Q72" s="138"/>
      <c r="R72" s="138">
        <f>S19/$C$19</f>
        <v>1.28172241413763</v>
      </c>
      <c r="S72" s="138"/>
      <c r="T72" s="138">
        <f>U19/$C$19</f>
        <v>1.307222036108912</v>
      </c>
      <c r="U72" s="138"/>
      <c r="V72" s="138">
        <f>W19/$C$19</f>
        <v>1.3212923743721274</v>
      </c>
      <c r="W72" s="138"/>
      <c r="X72" s="138">
        <f>Y19/$C$19</f>
        <v>1.3191216181818293</v>
      </c>
      <c r="Y72" s="138"/>
      <c r="Z72" s="138">
        <f>AA19/$C$19</f>
        <v>1.2955194598876159</v>
      </c>
      <c r="AA72" s="138"/>
      <c r="AB72" s="138">
        <f>AC19/$C$19</f>
        <v>1.2454696357230326</v>
      </c>
      <c r="AC72" s="138"/>
      <c r="AD72" s="138">
        <f>AE19/$C$19</f>
        <v>1.1648072306101067</v>
      </c>
      <c r="AE72" s="138"/>
      <c r="AF72" s="138">
        <f>AG19/$C$19</f>
        <v>1.0508228501428101</v>
      </c>
      <c r="AG72" s="138"/>
      <c r="AH72" s="138">
        <f>AI19/$C$19</f>
        <v>0.9025849018997486</v>
      </c>
      <c r="AI72" s="138"/>
      <c r="AJ72" s="138">
        <f>AK19/$C$19</f>
        <v>0.72088117466666746</v>
      </c>
      <c r="AK72" s="138"/>
      <c r="AL72" s="138">
        <f>AM19/$C$19</f>
        <v>0.50784580951315539</v>
      </c>
      <c r="AM72" s="138"/>
      <c r="AN72" s="138">
        <f>AO19/$C$19</f>
        <v>0.26644666632399649</v>
      </c>
      <c r="AO72" s="138"/>
      <c r="AP72" s="138">
        <f>AQ19/$C$19</f>
        <v>0.21505345799504574</v>
      </c>
      <c r="AQ72" s="138"/>
      <c r="AR72" s="138">
        <f>AS19/$C$19</f>
        <v>0.16268545981398935</v>
      </c>
      <c r="AS72" s="138"/>
      <c r="AT72" s="138">
        <f>AU19/$C$19</f>
        <v>0.10936951569588767</v>
      </c>
      <c r="AU72" s="138"/>
      <c r="AV72" s="138">
        <f>AW19/$C$19</f>
        <v>5.5132252540191461E-2</v>
      </c>
      <c r="XFD72" s="138"/>
    </row>
    <row r="73" spans="1:48 16384:16384" x14ac:dyDescent="0.2">
      <c r="A73" t="s">
        <v>184</v>
      </c>
      <c r="B73" s="193">
        <f t="array" ref="B73">SUM(B9:C9*B22:C22)/B32</f>
        <v>0.47641153352875065</v>
      </c>
      <c r="D73" s="193">
        <f t="array" ref="D73">SUM(D9:E9*D22:E22)/D32</f>
        <v>0.47399748826720628</v>
      </c>
      <c r="E73" s="138"/>
      <c r="F73" s="193">
        <f t="array" ref="F73">SUM(F9:G9*F22:G22)/F32</f>
        <v>0.47151124599910649</v>
      </c>
      <c r="G73" s="138"/>
      <c r="H73" s="193">
        <f t="array" ref="H73">SUM(H9:I9*H22:I22)/H32</f>
        <v>0.4689464026296149</v>
      </c>
      <c r="I73" s="138"/>
      <c r="J73" s="193">
        <f t="array" ref="J73">SUM(J9:K9*J22:K22)/J32</f>
        <v>0.46629658770624255</v>
      </c>
      <c r="K73" s="138"/>
      <c r="L73" s="193">
        <f t="array" ref="L73">SUM(L9:M9*L22:M22)/L32</f>
        <v>0.46355585038302477</v>
      </c>
      <c r="M73" s="138"/>
      <c r="N73" s="193">
        <f t="array" ref="N73">SUM(N9:O9*N22:O22)/N32</f>
        <v>0.46071905163800442</v>
      </c>
      <c r="O73" s="138"/>
      <c r="P73" s="193">
        <f t="array" ref="P73">SUM(P9:Q9*P22:Q22)/P32</f>
        <v>0.45778257229810182</v>
      </c>
      <c r="Q73" s="138"/>
      <c r="R73" s="193">
        <f t="array" ref="R73">SUM(R9:S9*R22:S22)/R32</f>
        <v>0.45474526609126359</v>
      </c>
      <c r="S73" s="138"/>
      <c r="T73" s="193">
        <f t="array" ref="T73">SUM(T9:U9*T22:U22)/T32</f>
        <v>0.45160970010274559</v>
      </c>
      <c r="U73" s="138"/>
      <c r="V73" s="193">
        <f t="array" ref="V73">SUM(V9:W9*V22:W22)/V32</f>
        <v>0.44838364220942706</v>
      </c>
      <c r="W73" s="138"/>
      <c r="X73" s="193">
        <f t="array" ref="X73">SUM(X9:Y9*X22:Y22)/X32</f>
        <v>0.44508162134567592</v>
      </c>
      <c r="Y73" s="138"/>
      <c r="Z73" s="193">
        <f t="array" ref="Z73">SUM(Z9:AA9*Z22:AA22)/Z32</f>
        <v>0.44172594503708484</v>
      </c>
      <c r="AA73" s="138"/>
      <c r="AB73" s="193">
        <f t="array" ref="AB73">SUM(AB9:AC9*AB22:AC22)/AB32</f>
        <v>0.4383466377235008</v>
      </c>
      <c r="AC73" s="138"/>
      <c r="AD73" s="193">
        <f t="array" ref="AD73">SUM(AD9:AE9*AD22:AE22)/AD32</f>
        <v>0.43497961743651703</v>
      </c>
      <c r="AE73" s="138"/>
      <c r="AF73" s="193">
        <f t="array" ref="AF73">SUM(AF9:AG9*AF22:AG22)/AF32</f>
        <v>0.43166316006021244</v>
      </c>
      <c r="AG73" s="138"/>
      <c r="AH73" s="193">
        <f t="array" ref="AH73">SUM(AH9:AI9*AH22:AI22)/AH32</f>
        <v>0.42843344487666257</v>
      </c>
      <c r="AI73" s="138"/>
      <c r="AJ73" s="193">
        <f t="array" ref="AJ73">SUM(AJ9:AK9*AJ22:AK22)/AJ32</f>
        <v>0.4253205805022508</v>
      </c>
      <c r="AK73" s="138"/>
      <c r="AL73" s="193">
        <f t="array" ref="AL73">SUM(AL9:AM9*AL22:AM22)/AL32</f>
        <v>0.42234621668085409</v>
      </c>
      <c r="AM73" s="138"/>
      <c r="AN73" s="193">
        <f t="array" ref="AN73">SUM(AN9:AO9*AN22:AO22)/AN32</f>
        <v>0.41952312259279229</v>
      </c>
      <c r="AO73" s="138"/>
      <c r="AP73" s="193">
        <f t="array" ref="AP73">SUM(AP9:AQ9*AP22:AQ22)/AP32</f>
        <v>0.41897717207740975</v>
      </c>
      <c r="AQ73" s="138"/>
      <c r="AR73" s="193">
        <f t="array" ref="AR73">SUM(AR9:AS9*AR22:AS22)/AR32</f>
        <v>0.41843757490869699</v>
      </c>
      <c r="AS73" s="138"/>
      <c r="AT73" s="193">
        <f t="array" ref="AT73">SUM(AT9:AU9*AT22:AU22)/AT32</f>
        <v>0.41790420341112</v>
      </c>
      <c r="AU73" s="138"/>
      <c r="AV73" s="193">
        <f t="array" ref="AV73">SUM(AV9:AW9*AV22:AW22)/AV32</f>
        <v>0.41737707017796771</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0.22604620456442481</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0.22604620456442487</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0.22604620456442484</v>
      </c>
      <c r="AI74" s="138"/>
      <c r="AJ74" s="193">
        <f t="array" ref="AJ74">SUM(AJ10:AK10*AJ23:AK23)/AJ32</f>
        <v>0.22604620456442481</v>
      </c>
      <c r="AK74" s="138"/>
      <c r="AL74" s="193">
        <f t="array" ref="AL74">SUM(AL10:AM10*AL23:AM23)/AL32</f>
        <v>0.22604620456442484</v>
      </c>
      <c r="AM74" s="138"/>
      <c r="AN74" s="193">
        <f t="array" ref="AN74">SUM(AN10:AO10*AN23:AO23)/AN32</f>
        <v>0.22604620456442484</v>
      </c>
      <c r="AO74" s="138"/>
      <c r="AP74" s="193">
        <f t="array" ref="AP74">SUM(AP10:AQ10*AP23:AQ23)/AP32</f>
        <v>0.22604620456442487</v>
      </c>
      <c r="AQ74" s="138"/>
      <c r="AR74" s="193">
        <f t="array" ref="AR74">SUM(AR10:AS10*AR23:AS23)/AR32</f>
        <v>0.22604620456442484</v>
      </c>
      <c r="AS74" s="138"/>
      <c r="AT74" s="193">
        <f t="array" ref="AT74">SUM(AT10:AU10*AT23:AU23)/AT32</f>
        <v>0.22604620456442484</v>
      </c>
      <c r="AU74" s="138"/>
      <c r="AV74" s="193">
        <f t="array" ref="AV74">SUM(AV10:AW10*AV23:AW23)/AV32</f>
        <v>0.22604620456442484</v>
      </c>
      <c r="XFD74" s="193"/>
    </row>
    <row r="75" spans="1:48 16384:16384" x14ac:dyDescent="0.2">
      <c r="A75" t="s">
        <v>186</v>
      </c>
      <c r="B75" s="193">
        <f t="array" ref="B75">SUM(B11:C11*B24:C24)/B32</f>
        <v>0.22038438833194082</v>
      </c>
      <c r="D75" s="193">
        <f t="array" ref="D75">SUM(D11:E11*D24:E24)/D32</f>
        <v>0.22279843408227626</v>
      </c>
      <c r="E75" s="138"/>
      <c r="F75" s="193">
        <f t="array" ref="F75">SUM(F11:G11*F24:G24)/F32</f>
        <v>0.22528467420247456</v>
      </c>
      <c r="G75" s="138"/>
      <c r="H75" s="193">
        <f t="array" ref="H75">SUM(H11:I11*H24:I24)/H32</f>
        <v>0.22784951410902043</v>
      </c>
      <c r="I75" s="138"/>
      <c r="J75" s="193">
        <f t="array" ref="J75">SUM(J11:K11*J24:K24)/J32</f>
        <v>0.23049933160353142</v>
      </c>
      <c r="K75" s="138"/>
      <c r="L75" s="193">
        <f t="array" ref="L75">SUM(L11:M11*L24:M24)/L32</f>
        <v>0.23324006965466446</v>
      </c>
      <c r="M75" s="138"/>
      <c r="N75" s="193">
        <f t="array" ref="N75">SUM(N11:O11*N24:O24)/N32</f>
        <v>0.23607686771076791</v>
      </c>
      <c r="O75" s="138"/>
      <c r="P75" s="193">
        <f t="array" ref="P75">SUM(P11:Q11*P24:Q24)/P32</f>
        <v>0.23901334812060396</v>
      </c>
      <c r="Q75" s="138"/>
      <c r="R75" s="193">
        <f t="array" ref="R75">SUM(R11:S11*R24:S24)/R32</f>
        <v>0.24205065477047819</v>
      </c>
      <c r="S75" s="138"/>
      <c r="T75" s="193">
        <f t="array" ref="T75">SUM(T11:U11*T24:U24)/T32</f>
        <v>0.24518621900403731</v>
      </c>
      <c r="U75" s="138"/>
      <c r="V75" s="193">
        <f t="array" ref="V75">SUM(V11:W11*V24:W24)/V32</f>
        <v>0.2484122793324631</v>
      </c>
      <c r="W75" s="138"/>
      <c r="X75" s="193">
        <f t="array" ref="X75">SUM(X11:Y11*X24:Y24)/X32</f>
        <v>0.25171430000888173</v>
      </c>
      <c r="Y75" s="138"/>
      <c r="Z75" s="193">
        <f t="array" ref="Z75">SUM(Z11:AA11*Z24:AA24)/Z32</f>
        <v>0.25506997622877353</v>
      </c>
      <c r="AA75" s="138"/>
      <c r="AB75" s="193">
        <f t="array" ref="AB75">SUM(AB11:AC11*AB24:AC24)/AB32</f>
        <v>0.25844928389226834</v>
      </c>
      <c r="AC75" s="138"/>
      <c r="AD75" s="193">
        <f t="array" ref="AD75">SUM(AD11:AE11*AD24:AE24)/AD32</f>
        <v>0.26181630448082449</v>
      </c>
      <c r="AE75" s="138"/>
      <c r="AF75" s="193">
        <f t="array" ref="AF75">SUM(AF11:AG11*AF24:AG24)/AF32</f>
        <v>0.26513276310564732</v>
      </c>
      <c r="AG75" s="138"/>
      <c r="AH75" s="193">
        <f t="array" ref="AH75">SUM(AH11:AI11*AH24:AI24)/AH32</f>
        <v>0.26836247644841021</v>
      </c>
      <c r="AI75" s="138"/>
      <c r="AJ75" s="193">
        <f t="array" ref="AJ75">SUM(AJ11:AK11*AJ24:AK24)/AJ32</f>
        <v>0.27147534247211991</v>
      </c>
      <c r="AK75" s="138"/>
      <c r="AL75" s="193">
        <f t="array" ref="AL75">SUM(AL11:AM11*AL24:AM24)/AL32</f>
        <v>0.27444970227267135</v>
      </c>
      <c r="AM75" s="138"/>
      <c r="AN75" s="193">
        <f t="array" ref="AN75">SUM(AN11:AO11*AN24:AO24)/AN32</f>
        <v>0.27727279834623142</v>
      </c>
      <c r="AO75" s="138"/>
      <c r="AP75" s="193">
        <f t="array" ref="AP75">SUM(AP11:AQ11*AP24:AQ24)/AP32</f>
        <v>0.2778187388214361</v>
      </c>
      <c r="AQ75" s="138"/>
      <c r="AR75" s="193">
        <f t="array" ref="AR75">SUM(AR11:AS11*AR24:AS24)/AR32</f>
        <v>0.27835835044141966</v>
      </c>
      <c r="AS75" s="138"/>
      <c r="AT75" s="193">
        <f t="array" ref="AT75">SUM(AT11:AU11*AT24:AU24)/AT32</f>
        <v>0.27889172321276212</v>
      </c>
      <c r="AU75" s="138"/>
      <c r="AV75" s="193">
        <f t="array" ref="AV75">SUM(AV11:AW11*AV24:AW24)/AV32</f>
        <v>0.27941885167334662</v>
      </c>
      <c r="XFD75" s="193"/>
    </row>
    <row r="76" spans="1:48 16384:16384" x14ac:dyDescent="0.2">
      <c r="A76" t="s">
        <v>187</v>
      </c>
      <c r="B76" s="193">
        <f t="array" ref="B76">SUM(B12:C12*B25:C25)/B32</f>
        <v>0.22301874374724867</v>
      </c>
      <c r="D76" s="193">
        <f t="array" ref="D76">SUM(D12:E12*D25:E25)/D32</f>
        <v>0.22329471976850551</v>
      </c>
      <c r="E76" s="138"/>
      <c r="F76" s="193">
        <f t="array" ref="F76">SUM(F12:G12*F25:G25)/F32</f>
        <v>0.22365185614479585</v>
      </c>
      <c r="G76" s="138"/>
      <c r="H76" s="193">
        <f t="array" ref="H76">SUM(H12:I12*H25:I25)/H32</f>
        <v>0.22409779729278551</v>
      </c>
      <c r="I76" s="138"/>
      <c r="J76" s="193">
        <f t="array" ref="J76">SUM(J12:K12*J25:K25)/J32</f>
        <v>0.22463980106886516</v>
      </c>
      <c r="K76" s="138"/>
      <c r="L76" s="193">
        <f t="array" ref="L76">SUM(L12:M12*L25:M25)/L32</f>
        <v>0.22528406551146635</v>
      </c>
      <c r="M76" s="138"/>
      <c r="N76" s="193">
        <f t="array" ref="N76">SUM(N12:O12*N25:O25)/N32</f>
        <v>0.22603479779338045</v>
      </c>
      <c r="O76" s="138"/>
      <c r="P76" s="193">
        <f t="array" ref="P76">SUM(P12:Q12*P25:Q25)/P32</f>
        <v>0.2268929811449755</v>
      </c>
      <c r="Q76" s="138"/>
      <c r="R76" s="193">
        <f t="array" ref="R76">SUM(R12:S12*R25:S25)/R32</f>
        <v>0.22785490264135669</v>
      </c>
      <c r="S76" s="138"/>
      <c r="T76" s="193">
        <f t="array" ref="T76">SUM(T12:U12*T25:U25)/T32</f>
        <v>0.2289106119694255</v>
      </c>
      <c r="U76" s="138"/>
      <c r="V76" s="193">
        <f t="array" ref="V76">SUM(V12:W12*V25:W25)/V32</f>
        <v>0.23004268556719165</v>
      </c>
      <c r="W76" s="138"/>
      <c r="X76" s="193">
        <f t="array" ref="X76">SUM(X12:Y12*X25:Y25)/X32</f>
        <v>0.23122574626850695</v>
      </c>
      <c r="Y76" s="138"/>
      <c r="Z76" s="193">
        <f t="array" ref="Z76">SUM(Z12:AA12*Z25:AA25)/Z32</f>
        <v>0.23242758699676294</v>
      </c>
      <c r="AA76" s="138"/>
      <c r="AB76" s="193">
        <f t="array" ref="AB76">SUM(AB12:AC12*AB25:AC25)/AB32</f>
        <v>0.23361206819212524</v>
      </c>
      <c r="AC76" s="138"/>
      <c r="AD76" s="193">
        <f t="array" ref="AD76">SUM(AD12:AE12*AD25:AE25)/AD32</f>
        <v>0.23474363916842972</v>
      </c>
      <c r="AE76" s="138"/>
      <c r="AF76" s="193">
        <f t="array" ref="AF76">SUM(AF12:AG12*AF25:AG25)/AF32</f>
        <v>0.23579223354789472</v>
      </c>
      <c r="AG76" s="138"/>
      <c r="AH76" s="193">
        <f t="array" ref="AH76">SUM(AH12:AI12*AH25:AI25)/AH32</f>
        <v>0.2367369658498284</v>
      </c>
      <c r="AI76" s="138"/>
      <c r="AJ76" s="193">
        <f t="array" ref="AJ76">SUM(AJ12:AK12*AJ25:AK25)/AJ32</f>
        <v>0.23756751268302331</v>
      </c>
      <c r="AK76" s="138"/>
      <c r="AL76" s="193">
        <f t="array" ref="AL76">SUM(AL12:AM12*AL25:AM25)/AL32</f>
        <v>0.23828305510540967</v>
      </c>
      <c r="AM76" s="138"/>
      <c r="AN76" s="193">
        <f t="array" ref="AN76">SUM(AN12:AO12*AN25:AO25)/AN32</f>
        <v>0.23888982128764039</v>
      </c>
      <c r="AO76" s="138"/>
      <c r="AP76" s="193">
        <f t="array" ref="AP76">SUM(AP12:AQ12*AP25:AQ25)/AP32</f>
        <v>0.23899899270257877</v>
      </c>
      <c r="AQ76" s="138"/>
      <c r="AR76" s="193">
        <f t="array" ref="AR76">SUM(AR12:AS12*AR25:AS25)/AR32</f>
        <v>0.23910431686353853</v>
      </c>
      <c r="AS76" s="138"/>
      <c r="AT76" s="193">
        <f t="array" ref="AT76">SUM(AT12:AU12*AT25:AU25)/AT32</f>
        <v>0.23920589510668858</v>
      </c>
      <c r="AU76" s="138"/>
      <c r="AV76" s="193">
        <f t="array" ref="AV76">SUM(AV12:AW12*AV25:AW25)/AV32</f>
        <v>0.23930382549804</v>
      </c>
      <c r="XFD76" s="193"/>
    </row>
    <row r="77" spans="1:48 16384:16384" x14ac:dyDescent="0.2">
      <c r="A77" t="s">
        <v>188</v>
      </c>
      <c r="B77" s="193">
        <f t="array" ref="B77">SUM(B4:C4*B19:C19)/B32</f>
        <v>0.14586087017236485</v>
      </c>
      <c r="D77" s="193">
        <f t="array" ref="D77">SUM(D4:E4*D19:E19)/D32</f>
        <v>0.1461368466824127</v>
      </c>
      <c r="E77" s="138"/>
      <c r="F77" s="193">
        <f t="array" ref="F77">SUM(F4:G4*F19:G19)/F32</f>
        <v>0.14649398091080162</v>
      </c>
      <c r="G77" s="138"/>
      <c r="H77" s="193">
        <f t="array" ref="H77">SUM(H4:I4*H19:I19)/H32</f>
        <v>0.14693991859584568</v>
      </c>
      <c r="I77" s="138"/>
      <c r="J77" s="193">
        <f t="array" ref="J77">SUM(J4:K4*J19:K19)/J32</f>
        <v>0.14748192494306395</v>
      </c>
      <c r="K77" s="138"/>
      <c r="L77" s="193">
        <f t="array" ref="L77">SUM(L4:M4*L19:M19)/L32</f>
        <v>0.14812619011358033</v>
      </c>
      <c r="M77" s="138"/>
      <c r="N77" s="193">
        <f t="array" ref="N77">SUM(N4:O4*N19:O19)/N32</f>
        <v>0.14887692170657743</v>
      </c>
      <c r="O77" s="138"/>
      <c r="P77" s="193">
        <f t="array" ref="P77">SUM(P4:Q4*P19:Q19)/P32</f>
        <v>0.149735106128106</v>
      </c>
      <c r="Q77" s="138"/>
      <c r="R77" s="193">
        <f t="array" ref="R77">SUM(R4:S4*R19:S19)/R32</f>
        <v>0.15069702806752308</v>
      </c>
      <c r="S77" s="138"/>
      <c r="T77" s="193">
        <f t="array" ref="T77">SUM(T4:U4*T19:U19)/T32</f>
        <v>0.15175273564063313</v>
      </c>
      <c r="U77" s="138"/>
      <c r="V77" s="193">
        <f t="array" ref="V77">SUM(V4:W4*V19:W19)/V32</f>
        <v>0.15288481167350657</v>
      </c>
      <c r="W77" s="138"/>
      <c r="X77" s="193">
        <f t="array" ref="X77">SUM(X4:Y4*X19:Y19)/X32</f>
        <v>0.1540678721874893</v>
      </c>
      <c r="Y77" s="138"/>
      <c r="Z77" s="193">
        <f t="array" ref="Z77">SUM(Z4:AA4*Z19:AA19)/Z32</f>
        <v>0.15526971282704607</v>
      </c>
      <c r="AA77" s="138"/>
      <c r="AB77" s="193">
        <f t="array" ref="AB77">SUM(AB4:AC4*AB19:AC19)/AB32</f>
        <v>0.15645419437231933</v>
      </c>
      <c r="AC77" s="138"/>
      <c r="AD77" s="193">
        <f t="array" ref="AD77">SUM(AD4:AE4*AD19:AE19)/AD32</f>
        <v>0.15758576565019591</v>
      </c>
      <c r="AE77" s="138"/>
      <c r="AF77" s="193">
        <f t="array" ref="AF77">SUM(AF4:AG4*AF19:AG19)/AF32</f>
        <v>0.15863436127817923</v>
      </c>
      <c r="AG77" s="138"/>
      <c r="AH77" s="193">
        <f t="array" ref="AH77">SUM(AH4:AI4*AH19:AI19)/AH32</f>
        <v>0.15957909173932583</v>
      </c>
      <c r="AI77" s="138"/>
      <c r="AJ77" s="193">
        <f t="array" ref="AJ77">SUM(AJ4:AK4*AJ19:AK19)/AJ32</f>
        <v>0.16040964022181872</v>
      </c>
      <c r="AK77" s="138"/>
      <c r="AL77" s="193">
        <f t="array" ref="AL77">SUM(AL4:AM4*AL19:AM19)/AL32</f>
        <v>0.1611251786233597</v>
      </c>
      <c r="AM77" s="138"/>
      <c r="AN77" s="193">
        <f t="array" ref="AN77">SUM(AN4:AO4*AN19:AO19)/AN32</f>
        <v>0.16173194679108896</v>
      </c>
      <c r="AO77" s="138"/>
      <c r="AP77" s="193">
        <f t="array" ref="AP77">SUM(AP4:AQ4*AP19:AQ19)/AP32</f>
        <v>0.16184110816584943</v>
      </c>
      <c r="AQ77" s="138"/>
      <c r="AR77" s="193">
        <f t="array" ref="AR77">SUM(AR4:AS4*AR19:AS19)/AR32</f>
        <v>0.16194644677807996</v>
      </c>
      <c r="AS77" s="138"/>
      <c r="AT77" s="193">
        <f t="array" ref="AT77">SUM(AT4:AU4*AT19:AU19)/AT32</f>
        <v>0.16204802629499537</v>
      </c>
      <c r="AU77" s="138"/>
      <c r="AV77" s="193">
        <f t="array" ref="AV77">SUM(AV4:AW4*AV19:AW19)/AV32</f>
        <v>0.16214595191377901</v>
      </c>
      <c r="XFD77" s="193"/>
    </row>
    <row r="78" spans="1:48 16384:16384" x14ac:dyDescent="0.2">
      <c r="A78" t="s">
        <v>189</v>
      </c>
      <c r="B78" s="193">
        <f t="array" ref="B78">SUM(B13:C13*B26:C26)/B32</f>
        <v>0.346887593115773</v>
      </c>
      <c r="D78" s="193">
        <f t="array" ref="D78">SUM(D13:E13*D26:E26)/D32</f>
        <v>0.34562045795471047</v>
      </c>
      <c r="E78" s="138"/>
      <c r="F78" s="193">
        <f t="array" ref="F78">SUM(F13:G13*F26:G26)/F32</f>
        <v>0.3442997236260793</v>
      </c>
      <c r="G78" s="138"/>
      <c r="H78" s="193">
        <f t="array" ref="H78">SUM(H13:I13*H26:I26)/H32</f>
        <v>0.34292317536209899</v>
      </c>
      <c r="I78" s="138"/>
      <c r="J78" s="193">
        <f t="array" ref="J78">SUM(J13:K13*J26:K26)/J32</f>
        <v>0.34148914601059627</v>
      </c>
      <c r="K78" s="138"/>
      <c r="L78" s="193">
        <f t="array" ref="L78">SUM(L13:M13*L26:M26)/L32</f>
        <v>0.33999687354956126</v>
      </c>
      <c r="M78" s="138"/>
      <c r="N78" s="193">
        <f t="array" ref="N78">SUM(N13:O13*N26:O26)/N32</f>
        <v>0.33844670432769947</v>
      </c>
      <c r="O78" s="138"/>
      <c r="P78" s="193">
        <f t="array" ref="P78">SUM(P13:Q13*P26:Q26)/P32</f>
        <v>0.3368404746926128</v>
      </c>
      <c r="Q78" s="138"/>
      <c r="R78" s="193">
        <f t="array" ref="R78">SUM(R13:S13*R26:S26)/R32</f>
        <v>0.33518193798839074</v>
      </c>
      <c r="S78" s="138"/>
      <c r="T78" s="193">
        <f t="array" ref="T78">SUM(T13:U13*T26:U26)/T32</f>
        <v>0.33347719367181777</v>
      </c>
      <c r="U78" s="138"/>
      <c r="V78" s="193">
        <f t="array" ref="V78">SUM(V13:W13*V26:W26)/V32</f>
        <v>0.33173512129006105</v>
      </c>
      <c r="W78" s="138"/>
      <c r="X78" s="193">
        <f t="array" ref="X78">SUM(X13:Y13*X26:Y26)/X32</f>
        <v>0.32996760943756859</v>
      </c>
      <c r="Y78" s="138"/>
      <c r="Z78" s="193">
        <f t="array" ref="Z78">SUM(Z13:AA13*Z26:AA26)/Z32</f>
        <v>0.32818954787470189</v>
      </c>
      <c r="AA78" s="138"/>
      <c r="AB78" s="193">
        <f t="array" ref="AB78">SUM(AB13:AC13*AB26:AC26)/AB32</f>
        <v>0.32641821938809767</v>
      </c>
      <c r="AC78" s="138"/>
      <c r="AD78" s="193">
        <f t="array" ref="AD78">SUM(AD13:AE13*AD26:AE26)/AD32</f>
        <v>0.32467208777303869</v>
      </c>
      <c r="AE78" s="138"/>
      <c r="AF78" s="193">
        <f t="array" ref="AF78">SUM(AF13:AG13*AF26:AG26)/AF32</f>
        <v>0.32296905797476355</v>
      </c>
      <c r="AG78" s="138"/>
      <c r="AH78" s="193">
        <f t="array" ref="AH78">SUM(AH13:AI13*AH26:AI26)/AH32</f>
        <v>0.3213246637873991</v>
      </c>
      <c r="AI78" s="138"/>
      <c r="AJ78" s="193">
        <f t="array" ref="AJ78">SUM(AJ13:AK13*AJ26:AK26)/AJ32</f>
        <v>0.31975071826783258</v>
      </c>
      <c r="AK78" s="138"/>
      <c r="AL78" s="193">
        <f t="array" ref="AL78">SUM(AL13:AM13*AL26:AM26)/AL32</f>
        <v>0.31825471619362733</v>
      </c>
      <c r="AM78" s="138"/>
      <c r="AN78" s="193">
        <f t="array" ref="AN78">SUM(AN13:AO13*AN26:AO26)/AN32</f>
        <v>0.31684007609908216</v>
      </c>
      <c r="AO78" s="138"/>
      <c r="AP78" s="193">
        <f t="array" ref="AP78">SUM(AP13:AQ13*AP26:AQ26)/AP32</f>
        <v>0.3165669676449322</v>
      </c>
      <c r="AQ78" s="138"/>
      <c r="AR78" s="193">
        <f t="array" ref="AR78">SUM(AR13:AS13*AR26:AS26)/AR32</f>
        <v>0.31629709969776681</v>
      </c>
      <c r="AS78" s="138"/>
      <c r="AT78" s="193">
        <f t="array" ref="AT78">SUM(AT13:AU13*AT26:AU26)/AT32</f>
        <v>0.31603047149898589</v>
      </c>
      <c r="AU78" s="138"/>
      <c r="AV78" s="193">
        <f t="array" ref="AV78">SUM(AV13:AW13*AV26:AW26)/AV32</f>
        <v>0.31576705933586796</v>
      </c>
      <c r="XFD78" s="193"/>
    </row>
    <row r="79" spans="1:48 16384:16384" x14ac:dyDescent="0.2">
      <c r="A79" t="s">
        <v>190</v>
      </c>
      <c r="B79" s="193">
        <f t="array" ref="B79">SUM(B15:C15*B27:C27)/B32</f>
        <v>0.45460968782440642</v>
      </c>
      <c r="D79" s="193">
        <f t="array" ref="D79">SUM(D15:E15*D27:E27)/D32</f>
        <v>0.45180870148641677</v>
      </c>
      <c r="F79" s="193">
        <f t="array" ref="F79">SUM(F15:G15*F27:G27)/F32</f>
        <v>0.44893986359359678</v>
      </c>
      <c r="H79" s="193">
        <f t="array" ref="H79">SUM(H15:I15*H27:I27)/H32</f>
        <v>0.44599459007999881</v>
      </c>
      <c r="J79" s="193">
        <f t="array" ref="J79">SUM(J15:K15*J27:K27)/J32</f>
        <v>0.44296375605170935</v>
      </c>
      <c r="L79" s="193">
        <f t="array" ref="L79">SUM(L15:M15*L27:M27)/L32</f>
        <v>0.43983808793331025</v>
      </c>
      <c r="N79" s="193">
        <f t="array" ref="N79">SUM(N15:O15*N27:O27)/N32</f>
        <v>0.43660855376344637</v>
      </c>
      <c r="P79" s="193">
        <f t="array" ref="P79">SUM(P15:Q15*P27:Q27)/P32</f>
        <v>0.43326715756899736</v>
      </c>
      <c r="R79" s="193">
        <f t="array" ref="R79">SUM(R15:S15*R27:S27)/R32</f>
        <v>0.42980814415949437</v>
      </c>
      <c r="T79" s="193">
        <f t="array" ref="T79">SUM(T15:U15*T27:U27)/T32</f>
        <v>0.42622966018859493</v>
      </c>
      <c r="V79" s="193">
        <f t="array" ref="V79">SUM(V15:W15*V27:W27)/V32</f>
        <v>0.42253591519387379</v>
      </c>
      <c r="X79" s="193">
        <f t="array" ref="X79">SUM(X15:Y15*X27:Y27)/X32</f>
        <v>0.41873937216515961</v>
      </c>
      <c r="Z79" s="193">
        <f t="array" ref="Z79">SUM(Z15:AA15*Z27:AA27)/Z32</f>
        <v>0.4148627078110812</v>
      </c>
      <c r="AB79" s="193">
        <f t="array" ref="AB79">SUM(AB15:AC15*AB27:AC27)/AB32</f>
        <v>0.41093920539070405</v>
      </c>
      <c r="AD79" s="193">
        <f t="array" ref="AD79">SUM(AD15:AE15*AD27:AE27)/AD32</f>
        <v>0.40701095691115768</v>
      </c>
      <c r="AF79" s="193">
        <f t="array" ref="AF79">SUM(AF15:AG15*AF27:AG27)/AF32</f>
        <v>0.40312459186058691</v>
      </c>
      <c r="AH79" s="193">
        <f t="array" ref="AH79">SUM(AH15:AI15*AH27:AI27)/AH32</f>
        <v>0.39932558412581337</v>
      </c>
      <c r="AJ79" s="193">
        <f t="array" ref="AJ79">SUM(AJ15:AK15*AJ27:AK27)/AJ32</f>
        <v>0.39565292154120579</v>
      </c>
      <c r="AL79" s="193">
        <f t="array" ref="AL79">SUM(AL15:AM15*AL27:AM27)/AL32</f>
        <v>0.39213563956512254</v>
      </c>
      <c r="AN79" s="193">
        <f t="array" ref="AN79">SUM(AN15:AO15*AN27:AO27)/AN32</f>
        <v>0.38879189098513717</v>
      </c>
      <c r="AP79" s="193">
        <f t="array" ref="AP79">SUM(AP15:AQ15*AP27:AQ27)/AP32</f>
        <v>0.38814483795721028</v>
      </c>
      <c r="AR79" s="193">
        <f t="array" ref="AR79">SUM(AR15:AS15*AR27:AS27)/AR32</f>
        <v>0.38750511312467012</v>
      </c>
      <c r="AT79" s="193">
        <f t="array" ref="AT79">SUM(AT15:AU15*AT27:AU27)/AT32</f>
        <v>0.38687271555822583</v>
      </c>
      <c r="AV79" s="193">
        <f t="array" ref="AV79">SUM(AV15:AW15*AV27:AW27)/AV32</f>
        <v>0.38624764795910732</v>
      </c>
      <c r="XFD79" s="193"/>
    </row>
    <row r="80" spans="1:48 16384:16384" x14ac:dyDescent="0.2">
      <c r="A80" t="s">
        <v>169</v>
      </c>
      <c r="B80" s="236">
        <f>B55</f>
        <v>0.19850271905982084</v>
      </c>
      <c r="D80" s="236">
        <f>D55</f>
        <v>0.20257086060440568</v>
      </c>
      <c r="F80" s="236">
        <f>F55</f>
        <v>0.20676043664890167</v>
      </c>
      <c r="H80" s="236">
        <f>H55</f>
        <v>0.21108226874347003</v>
      </c>
      <c r="J80" s="236">
        <f>J55</f>
        <v>0.21554710963234594</v>
      </c>
      <c r="L80" s="236">
        <f>L55</f>
        <v>0.22016503004758289</v>
      </c>
      <c r="N80" s="236">
        <f>N55</f>
        <v>0.22494472900972715</v>
      </c>
      <c r="P80" s="236">
        <f>P55</f>
        <v>0.22989235911821893</v>
      </c>
      <c r="R80" s="236">
        <f>R55</f>
        <v>0.2350099102259732</v>
      </c>
      <c r="T80" s="236">
        <f>T55</f>
        <v>0.24029311597829317</v>
      </c>
      <c r="V80" s="236">
        <f>V55</f>
        <v>0.24572897339409747</v>
      </c>
      <c r="X80" s="236">
        <f>X55</f>
        <v>0.25129303673036479</v>
      </c>
      <c r="Z80" s="236">
        <f>Z55</f>
        <v>0.2569477656476486</v>
      </c>
      <c r="AB80" s="236">
        <f>AB55</f>
        <v>0.26264258372547966</v>
      </c>
      <c r="AD80" s="236">
        <f>AD55</f>
        <v>0.26831695708104381</v>
      </c>
      <c r="AF80" s="236">
        <f>AF55</f>
        <v>0.27390635992331169</v>
      </c>
      <c r="AH80" s="236">
        <f>AH55</f>
        <v>0.27934974760554632</v>
      </c>
      <c r="AJ80" s="236">
        <f>AJ55</f>
        <v>0.28459636844920694</v>
      </c>
      <c r="AL80" s="236">
        <f>AL55</f>
        <v>0.28960962682937447</v>
      </c>
      <c r="AN80" s="236">
        <f>AN55</f>
        <v>0.29436803041730947</v>
      </c>
      <c r="AP80" s="236">
        <f>AP55</f>
        <v>0.29528816903940841</v>
      </c>
      <c r="AR80" s="236">
        <f>AR55</f>
        <v>0.29619779572042282</v>
      </c>
      <c r="AT80" s="236">
        <f>AT55</f>
        <v>0.29709682534368725</v>
      </c>
      <c r="AV80" s="236">
        <f>AV55</f>
        <v>0.29798529268221113</v>
      </c>
      <c r="XFD80" s="236"/>
    </row>
    <row r="81" spans="1:48 16384:16384" x14ac:dyDescent="0.2">
      <c r="A81" t="s">
        <v>191</v>
      </c>
      <c r="B81" s="236">
        <f>B51/B$32</f>
        <v>-2.7543485504603994E-2</v>
      </c>
      <c r="D81" s="236">
        <f>D51/D$32</f>
        <v>-2.347534396001915E-2</v>
      </c>
      <c r="F81" s="236">
        <f>F51/F$32</f>
        <v>-1.928576791552317E-2</v>
      </c>
      <c r="H81" s="236">
        <f>H51/H$32</f>
        <v>-1.4963935820954793E-2</v>
      </c>
      <c r="J81" s="236">
        <f>J51/J$32</f>
        <v>-1.0499094932078904E-2</v>
      </c>
      <c r="L81" s="236">
        <f>L51/L$32</f>
        <v>-5.8811745168419376E-3</v>
      </c>
      <c r="N81" s="236">
        <f>N51/N$32</f>
        <v>-1.1014755546976921E-3</v>
      </c>
      <c r="P81" s="236">
        <f>P51/P$32</f>
        <v>3.8461545537940563E-3</v>
      </c>
      <c r="R81" s="236">
        <f>R51/R$32</f>
        <v>8.9637056615483688E-3</v>
      </c>
      <c r="T81" s="236">
        <f>T51/T$32</f>
        <v>1.4246911413868307E-2</v>
      </c>
      <c r="V81" s="236">
        <f>V51/V$32</f>
        <v>1.9682768829672629E-2</v>
      </c>
      <c r="X81" s="236">
        <f>X51/X$32</f>
        <v>2.5246832165939925E-2</v>
      </c>
      <c r="Z81" s="236">
        <f>Z51/Z$32</f>
        <v>3.0901561083223787E-2</v>
      </c>
      <c r="AB81" s="236">
        <f>AB51/AB$32</f>
        <v>3.65963791610548E-2</v>
      </c>
      <c r="AD81" s="236">
        <f>AD51/AD$32</f>
        <v>4.2270752516618944E-2</v>
      </c>
      <c r="AF81" s="236">
        <f>AF51/AF$32</f>
        <v>4.7860155358886873E-2</v>
      </c>
      <c r="AH81" s="236">
        <f>AH51/AH$32</f>
        <v>5.3303543041121448E-2</v>
      </c>
      <c r="AJ81" s="236">
        <f>AJ51/AJ$32</f>
        <v>5.8550163884782097E-2</v>
      </c>
      <c r="AL81" s="236">
        <f>AL51/AL$32</f>
        <v>6.356342226494964E-2</v>
      </c>
      <c r="AN81" s="236">
        <f>AN51/AN$32</f>
        <v>6.8321825852884613E-2</v>
      </c>
      <c r="AP81" s="236">
        <f>AP51/AP$32</f>
        <v>6.9241964474983542E-2</v>
      </c>
      <c r="AR81" s="236">
        <f>AR51/AR$32</f>
        <v>7.015159115599795E-2</v>
      </c>
      <c r="AT81" s="236">
        <f>AT51/AT$32</f>
        <v>7.1050620779262413E-2</v>
      </c>
      <c r="AV81" s="236">
        <f>AV51/AV$32</f>
        <v>7.1939088117786293E-2</v>
      </c>
      <c r="XFD81" s="236"/>
    </row>
    <row r="82" spans="1:48 16384:16384" x14ac:dyDescent="0.2">
      <c r="A82" t="s">
        <v>192</v>
      </c>
      <c r="B82" s="236">
        <f>B52/B$32</f>
        <v>0.13907860278212886</v>
      </c>
      <c r="D82" s="236">
        <f>D52/D$32</f>
        <v>0.13857056677497806</v>
      </c>
      <c r="F82" s="236">
        <f>F52/F$32</f>
        <v>0.13804104110522858</v>
      </c>
      <c r="H82" s="236">
        <f>H52/H$32</f>
        <v>0.13748913779990438</v>
      </c>
      <c r="J82" s="236">
        <f>J52/J$32</f>
        <v>0.13691418844307052</v>
      </c>
      <c r="L82" s="236">
        <f>L52/L$32</f>
        <v>0.13631588751513354</v>
      </c>
      <c r="N82" s="236">
        <f>N52/N$32</f>
        <v>0.13569437387863847</v>
      </c>
      <c r="P82" s="236">
        <f>P52/P$32</f>
        <v>0.13505038378551185</v>
      </c>
      <c r="R82" s="236">
        <f>R52/R$32</f>
        <v>0.13438542207438747</v>
      </c>
      <c r="T82" s="236">
        <f>T52/T$32</f>
        <v>0.13370193421735532</v>
      </c>
      <c r="V82" s="236">
        <f>V52/V$32</f>
        <v>0.13300348031583684</v>
      </c>
      <c r="X82" s="236">
        <f>X52/X$32</f>
        <v>0.13229482689690797</v>
      </c>
      <c r="Z82" s="236">
        <f>Z52/Z$32</f>
        <v>0.13158194375340052</v>
      </c>
      <c r="AB82" s="236">
        <f>AB52/AB$32</f>
        <v>0.13087176012079396</v>
      </c>
      <c r="AD82" s="236">
        <f>AD52/AD$32</f>
        <v>0.13017167873963295</v>
      </c>
      <c r="AF82" s="236">
        <f>AF52/AF$32</f>
        <v>0.12948887828916719</v>
      </c>
      <c r="AH82" s="236">
        <f>AH52/AH$32</f>
        <v>0.1288295867764685</v>
      </c>
      <c r="AJ82" s="236">
        <f>AJ52/AJ$32</f>
        <v>0.12819854044312951</v>
      </c>
      <c r="AL82" s="236">
        <f>AL52/AL$32</f>
        <v>0.12759874419106179</v>
      </c>
      <c r="AN82" s="236">
        <f>AN52/AN$32</f>
        <v>0.12703156862268319</v>
      </c>
      <c r="AP82" s="236">
        <f>AP52/AP$32</f>
        <v>0.12692207049428372</v>
      </c>
      <c r="AR82" s="236">
        <f>AR52/AR$32</f>
        <v>0.12681387159131832</v>
      </c>
      <c r="AT82" s="236">
        <f>AT52/AT$32</f>
        <v>0.12670697160963926</v>
      </c>
      <c r="AV82" s="236">
        <f>AV52/AV$32</f>
        <v>0.12660136104203953</v>
      </c>
    </row>
    <row r="83" spans="1:48 16384:16384" x14ac:dyDescent="0.2">
      <c r="A83" t="s">
        <v>193</v>
      </c>
      <c r="B83" s="236">
        <f>B53/B$32</f>
        <v>0.18600714462929935</v>
      </c>
      <c r="D83" s="236">
        <f>D53/D$32</f>
        <v>0.18486109894477282</v>
      </c>
      <c r="F83" s="236">
        <f>F53/F$32</f>
        <v>0.18368729126064381</v>
      </c>
      <c r="H83" s="236">
        <f>H53/H$32</f>
        <v>0.1824822093385263</v>
      </c>
      <c r="J83" s="236">
        <f>J53/J$32</f>
        <v>0.18124211965600023</v>
      </c>
      <c r="L83" s="236">
        <f>L53/L$32</f>
        <v>0.17996322785643346</v>
      </c>
      <c r="N83" s="236">
        <f>N53/N$32</f>
        <v>0.17864183844149614</v>
      </c>
      <c r="P83" s="236">
        <f>P53/P$32</f>
        <v>0.17727467979562775</v>
      </c>
      <c r="R83" s="236">
        <f>R53/R$32</f>
        <v>0.17585939713718904</v>
      </c>
      <c r="T83" s="236">
        <f>T53/T$32</f>
        <v>0.17439523215488489</v>
      </c>
      <c r="V83" s="236">
        <f>V53/V$32</f>
        <v>0.17288390721426411</v>
      </c>
      <c r="X83" s="236">
        <f>X53/X$32</f>
        <v>0.17133052164605742</v>
      </c>
      <c r="Z83" s="236">
        <f>Z53/Z$32</f>
        <v>0.1697443538047182</v>
      </c>
      <c r="AB83" s="236">
        <f>AB53/AB$32</f>
        <v>0.16813902179858994</v>
      </c>
      <c r="AD83" s="236">
        <f>AD53/AD$32</f>
        <v>0.16653174790486458</v>
      </c>
      <c r="AF83" s="236">
        <f>AF53/AF$32</f>
        <v>0.16494161094693205</v>
      </c>
      <c r="AH83" s="236">
        <f>AH53/AH$32</f>
        <v>0.16338721692477301</v>
      </c>
      <c r="AJ83" s="236">
        <f>AJ53/AJ$32</f>
        <v>0.16188451801877524</v>
      </c>
      <c r="AL83" s="236">
        <f>AL53/AL$32</f>
        <v>0.16044539431607041</v>
      </c>
      <c r="AN83" s="236">
        <f>AN53/AN$32</f>
        <v>0.15907727317307888</v>
      </c>
      <c r="AP83" s="236">
        <f>AP53/AP$32</f>
        <v>0.15881252631578155</v>
      </c>
      <c r="AR83" s="236">
        <f>AR53/AR$32</f>
        <v>0.15855077784751043</v>
      </c>
      <c r="AT83" s="236">
        <f>AT53/AT$32</f>
        <v>0.15829202738803883</v>
      </c>
      <c r="AV83" s="236">
        <f>AV53/AV$32</f>
        <v>0.15803627604259621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6"/>
  <dimension ref="A1:XFD83"/>
  <sheetViews>
    <sheetView showGridLines="0" workbookViewId="0">
      <pane xSplit="1" ySplit="1" topLeftCell="B2"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c r="AJ1" s="94"/>
      <c r="AL1" s="94"/>
      <c r="AN1" s="94"/>
      <c r="AP1" s="94"/>
      <c r="AR1" s="94"/>
      <c r="AT1" s="94"/>
      <c r="AV1" s="94"/>
    </row>
    <row r="2" spans="1:49" x14ac:dyDescent="0.2">
      <c r="A2" s="229" t="s">
        <v>155</v>
      </c>
      <c r="B2" s="226">
        <v>5.7716594496607888E-3</v>
      </c>
      <c r="C2" s="227"/>
      <c r="D2" s="226">
        <v>5.1353973852621859E-2</v>
      </c>
      <c r="E2" s="227"/>
      <c r="F2" s="226">
        <v>9.9276483540202118E-2</v>
      </c>
      <c r="G2" s="227"/>
      <c r="H2" s="226">
        <v>0.14947829182498587</v>
      </c>
      <c r="I2" s="227"/>
      <c r="J2" s="226">
        <v>0.20183501411398905</v>
      </c>
      <c r="K2" s="227"/>
      <c r="L2" s="226">
        <v>0.25615112250610694</v>
      </c>
      <c r="M2" s="227"/>
      <c r="N2" s="226">
        <v>0.31217657830602502</v>
      </c>
      <c r="O2" s="227"/>
      <c r="P2" s="226">
        <v>0.36965717093078665</v>
      </c>
      <c r="Q2" s="227"/>
      <c r="R2" s="226">
        <v>0.42844472267597306</v>
      </c>
      <c r="S2" s="227"/>
      <c r="T2" s="226">
        <v>0.48871716201232729</v>
      </c>
      <c r="U2" s="227"/>
      <c r="V2" s="226">
        <v>0.55138657797265089</v>
      </c>
      <c r="W2" s="227"/>
      <c r="X2" s="226">
        <v>0.61883369790154408</v>
      </c>
      <c r="Y2" s="227"/>
      <c r="Z2" s="226">
        <v>0.69627278876399967</v>
      </c>
      <c r="AA2" s="227"/>
      <c r="AB2" s="226">
        <v>0.794440591572806</v>
      </c>
      <c r="AC2" s="227"/>
      <c r="AD2" s="226">
        <v>0.93554443503153817</v>
      </c>
      <c r="AE2" s="227"/>
      <c r="AF2" s="226">
        <v>1.1689934778369546</v>
      </c>
      <c r="AG2" s="227"/>
      <c r="AH2" s="226"/>
      <c r="AI2" s="227"/>
      <c r="AJ2" s="226"/>
      <c r="AK2" s="227"/>
      <c r="AL2" s="226"/>
      <c r="AM2" s="227"/>
      <c r="AN2" s="226"/>
      <c r="AO2" s="227"/>
      <c r="AP2" s="226"/>
      <c r="AQ2" s="227"/>
      <c r="AR2" s="226"/>
      <c r="AS2" s="227"/>
      <c r="AT2" s="226"/>
      <c r="AU2" s="227"/>
      <c r="AV2" s="226"/>
      <c r="AW2" s="227"/>
    </row>
    <row r="3" spans="1:49" x14ac:dyDescent="0.2">
      <c r="A3" t="s">
        <v>12</v>
      </c>
      <c r="B3" s="84">
        <v>1000</v>
      </c>
      <c r="C3" s="85">
        <v>1000</v>
      </c>
      <c r="D3" s="84">
        <v>998.9607773812686</v>
      </c>
      <c r="E3" s="85">
        <v>1022.1387444783622</v>
      </c>
      <c r="F3" s="84">
        <v>998.4800373880272</v>
      </c>
      <c r="G3" s="85">
        <v>1046.4554057673488</v>
      </c>
      <c r="H3" s="84">
        <v>998.71899738468255</v>
      </c>
      <c r="I3" s="85">
        <v>1073.1431826523585</v>
      </c>
      <c r="J3" s="84">
        <v>999.89062350251811</v>
      </c>
      <c r="K3" s="85">
        <v>1102.4080640237366</v>
      </c>
      <c r="L3" s="84">
        <v>1002.2787398963253</v>
      </c>
      <c r="M3" s="85">
        <v>1134.4772156551328</v>
      </c>
      <c r="N3" s="84">
        <v>1006.2621231047139</v>
      </c>
      <c r="O3" s="85">
        <v>1169.6249346542002</v>
      </c>
      <c r="P3" s="84">
        <v>1012.3482047639963</v>
      </c>
      <c r="Q3" s="85">
        <v>1208.2260844363543</v>
      </c>
      <c r="R3" s="84">
        <v>1021.2228228077765</v>
      </c>
      <c r="S3" s="85">
        <v>1250.8586108987154</v>
      </c>
      <c r="T3" s="84">
        <v>1033.8227179795083</v>
      </c>
      <c r="U3" s="85">
        <v>1298.4904683275133</v>
      </c>
      <c r="V3" s="84">
        <v>1051.4484176954386</v>
      </c>
      <c r="W3" s="85">
        <v>1352.8082412751617</v>
      </c>
      <c r="X3" s="84">
        <v>1075.9434251120526</v>
      </c>
      <c r="Y3" s="85">
        <v>1416.7859658740786</v>
      </c>
      <c r="Z3" s="84">
        <v>1109.9969364323731</v>
      </c>
      <c r="AA3" s="85">
        <v>1495.6996083583401</v>
      </c>
      <c r="AB3" s="84">
        <v>1157.7016749514551</v>
      </c>
      <c r="AC3" s="85">
        <v>1599.0595386514062</v>
      </c>
      <c r="AD3" s="84">
        <v>1225.7415679938217</v>
      </c>
      <c r="AE3" s="85">
        <v>1744.7664816042088</v>
      </c>
      <c r="AF3" s="84">
        <v>1326.3797049304401</v>
      </c>
      <c r="AG3" s="85">
        <v>1969.7599694294877</v>
      </c>
      <c r="AH3" s="84"/>
      <c r="AI3" s="85"/>
      <c r="AJ3" s="84"/>
      <c r="AK3" s="85"/>
      <c r="AL3" s="84"/>
      <c r="AM3" s="85"/>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c r="AI4" s="102"/>
      <c r="AJ4" s="101"/>
      <c r="AK4" s="102"/>
      <c r="AL4" s="101"/>
      <c r="AM4" s="102"/>
      <c r="AN4" s="101"/>
      <c r="AO4" s="102"/>
      <c r="AP4" s="101"/>
      <c r="AQ4" s="102"/>
      <c r="AR4" s="101"/>
      <c r="AS4" s="102"/>
      <c r="AT4" s="101"/>
      <c r="AU4" s="102"/>
      <c r="AV4" s="101"/>
      <c r="AW4" s="102"/>
    </row>
    <row r="5" spans="1:49" x14ac:dyDescent="0.2">
      <c r="A5" t="s">
        <v>128</v>
      </c>
      <c r="B5" s="41">
        <v>1000</v>
      </c>
      <c r="C5" s="42">
        <v>1000</v>
      </c>
      <c r="D5" s="41">
        <v>998.90931395886878</v>
      </c>
      <c r="E5" s="42">
        <v>1019.232092326505</v>
      </c>
      <c r="F5" s="41">
        <v>998.40460474938345</v>
      </c>
      <c r="G5" s="42">
        <v>1039.8830021461213</v>
      </c>
      <c r="H5" s="41">
        <v>998.65549032767171</v>
      </c>
      <c r="I5" s="42">
        <v>1061.9834393896065</v>
      </c>
      <c r="J5" s="41">
        <v>999.88522760814635</v>
      </c>
      <c r="K5" s="42">
        <v>1085.5467401925246</v>
      </c>
      <c r="L5" s="41">
        <v>1002.3899252879457</v>
      </c>
      <c r="M5" s="42">
        <v>1110.5710887284363</v>
      </c>
      <c r="N5" s="41">
        <v>1006.5622273850454</v>
      </c>
      <c r="O5" s="42">
        <v>1137.0532306038067</v>
      </c>
      <c r="P5" s="41">
        <v>1012.9237596298582</v>
      </c>
      <c r="Q5" s="42">
        <v>1165.0163154748232</v>
      </c>
      <c r="R5" s="41">
        <v>1022.1720145933914</v>
      </c>
      <c r="S5" s="42">
        <v>1194.560251102615</v>
      </c>
      <c r="T5" s="41">
        <v>1035.2469000615301</v>
      </c>
      <c r="U5" s="42">
        <v>1225.9426412511893</v>
      </c>
      <c r="V5" s="41">
        <v>1053.4319644730419</v>
      </c>
      <c r="W5" s="42">
        <v>1259.6928807843765</v>
      </c>
      <c r="X5" s="41">
        <v>1078.5112131016112</v>
      </c>
      <c r="Y5" s="42">
        <v>1296.7610138328557</v>
      </c>
      <c r="Z5" s="41">
        <v>1113.0285034627616</v>
      </c>
      <c r="AA5" s="42">
        <v>1338.6764326662478</v>
      </c>
      <c r="AB5" s="41">
        <v>1160.7587817295605</v>
      </c>
      <c r="AC5" s="42">
        <v>1387.6515808560853</v>
      </c>
      <c r="AD5" s="41">
        <v>1227.7070730870842</v>
      </c>
      <c r="AE5" s="42">
        <v>1446.4501570424563</v>
      </c>
      <c r="AF5" s="41">
        <v>1324.609404324643</v>
      </c>
      <c r="AG5" s="42">
        <v>1517.5635073029018</v>
      </c>
      <c r="AH5" s="41"/>
      <c r="AI5" s="42"/>
      <c r="AJ5" s="41"/>
      <c r="AK5" s="42"/>
      <c r="AL5" s="41"/>
      <c r="AM5" s="42"/>
      <c r="AN5" s="41"/>
      <c r="AO5" s="42"/>
      <c r="AP5" s="41"/>
      <c r="AQ5" s="42"/>
      <c r="AR5" s="41"/>
      <c r="AS5" s="42"/>
      <c r="AT5" s="41"/>
      <c r="AU5" s="42"/>
      <c r="AV5" s="41"/>
      <c r="AW5" s="42"/>
    </row>
    <row r="6" spans="1:49" x14ac:dyDescent="0.2">
      <c r="A6" t="s">
        <v>77</v>
      </c>
      <c r="B6" s="41">
        <v>999.99999999999943</v>
      </c>
      <c r="C6" s="42">
        <v>999.99999999999909</v>
      </c>
      <c r="D6" s="41">
        <v>998.82598398612924</v>
      </c>
      <c r="E6" s="42">
        <v>1023.8566256751561</v>
      </c>
      <c r="F6" s="41">
        <v>998.28278178246649</v>
      </c>
      <c r="G6" s="42">
        <v>1049.9723500884529</v>
      </c>
      <c r="H6" s="41">
        <v>998.55279818930183</v>
      </c>
      <c r="I6" s="42">
        <v>1078.5391050136498</v>
      </c>
      <c r="J6" s="41">
        <v>999.87645162555975</v>
      </c>
      <c r="K6" s="42">
        <v>1109.7613833535108</v>
      </c>
      <c r="L6" s="41">
        <v>1002.5732017903669</v>
      </c>
      <c r="M6" s="42">
        <v>1143.8652743247321</v>
      </c>
      <c r="N6" s="41">
        <v>1007.067720722948</v>
      </c>
      <c r="O6" s="42">
        <v>1181.125960326606</v>
      </c>
      <c r="P6" s="41">
        <v>1013.926065564437</v>
      </c>
      <c r="Q6" s="42">
        <v>1221.9237662572607</v>
      </c>
      <c r="R6" s="41">
        <v>1023.9085045233818</v>
      </c>
      <c r="S6" s="42">
        <v>1266.8509888549438</v>
      </c>
      <c r="T6" s="41">
        <v>1038.0455087606981</v>
      </c>
      <c r="U6" s="42">
        <v>1316.9057582942589</v>
      </c>
      <c r="V6" s="41">
        <v>1057.7550241319564</v>
      </c>
      <c r="W6" s="42">
        <v>1373.8315424847756</v>
      </c>
      <c r="X6" s="41">
        <v>1085.0271575454383</v>
      </c>
      <c r="Y6" s="42">
        <v>1440.7028566156555</v>
      </c>
      <c r="Z6" s="41">
        <v>1122.7351708561685</v>
      </c>
      <c r="AA6" s="42">
        <v>1522.9670980555859</v>
      </c>
      <c r="AB6" s="41">
        <v>1175.209685306558</v>
      </c>
      <c r="AC6" s="42">
        <v>1630.4253153352163</v>
      </c>
      <c r="AD6" s="41">
        <v>1249.4694806085229</v>
      </c>
      <c r="AE6" s="42">
        <v>1781.4886046137126</v>
      </c>
      <c r="AF6" s="41">
        <v>1358.3360406405941</v>
      </c>
      <c r="AG6" s="42">
        <v>2014.0863882376179</v>
      </c>
      <c r="AH6" s="41"/>
      <c r="AI6" s="42"/>
      <c r="AJ6" s="41"/>
      <c r="AK6" s="42"/>
      <c r="AL6" s="41"/>
      <c r="AM6" s="42"/>
      <c r="AN6" s="41"/>
      <c r="AO6" s="42"/>
      <c r="AP6" s="41"/>
      <c r="AQ6" s="42"/>
      <c r="AR6" s="41"/>
      <c r="AS6" s="42"/>
      <c r="AT6" s="41"/>
      <c r="AU6" s="42"/>
      <c r="AV6" s="41"/>
      <c r="AW6" s="42"/>
    </row>
    <row r="7" spans="1:49" x14ac:dyDescent="0.2">
      <c r="A7" t="s">
        <v>13</v>
      </c>
      <c r="B7" s="33">
        <v>1015.9116825427475</v>
      </c>
      <c r="C7" s="34">
        <v>1015.9116825427475</v>
      </c>
      <c r="D7" s="33">
        <v>1014.8036418515759</v>
      </c>
      <c r="E7" s="34">
        <v>1014.8036418515759</v>
      </c>
      <c r="F7" s="33">
        <v>1014.2909018693729</v>
      </c>
      <c r="G7" s="34">
        <v>1014.2909018693729</v>
      </c>
      <c r="H7" s="33">
        <v>1014.5457794593374</v>
      </c>
      <c r="I7" s="34">
        <v>1014.5457794593374</v>
      </c>
      <c r="J7" s="33">
        <v>1015.7950839290299</v>
      </c>
      <c r="K7" s="34">
        <v>1015.7950839290299</v>
      </c>
      <c r="L7" s="33">
        <v>1018.3396355631759</v>
      </c>
      <c r="M7" s="34">
        <v>1018.3396355631759</v>
      </c>
      <c r="N7" s="33">
        <v>1022.578326006717</v>
      </c>
      <c r="O7" s="34">
        <v>1022.578326006717</v>
      </c>
      <c r="P7" s="33">
        <v>1029.0410809330947</v>
      </c>
      <c r="Q7" s="34">
        <v>1029.0410809330947</v>
      </c>
      <c r="R7" s="33">
        <v>1038.4364911936821</v>
      </c>
      <c r="S7" s="34">
        <v>1038.4364911936821</v>
      </c>
      <c r="T7" s="33">
        <v>1051.7194200886727</v>
      </c>
      <c r="U7" s="34">
        <v>1051.7194200886727</v>
      </c>
      <c r="V7" s="33">
        <v>1070.1938394721199</v>
      </c>
      <c r="W7" s="34">
        <v>1070.1938394721199</v>
      </c>
      <c r="X7" s="33">
        <v>1095.6721411432775</v>
      </c>
      <c r="Y7" s="34">
        <v>1095.6721411432775</v>
      </c>
      <c r="Z7" s="33">
        <v>1130.7386596708902</v>
      </c>
      <c r="AA7" s="34">
        <v>1130.7386596708902</v>
      </c>
      <c r="AB7" s="33">
        <v>1179.2284069731475</v>
      </c>
      <c r="AC7" s="34">
        <v>1179.2284069731475</v>
      </c>
      <c r="AD7" s="33">
        <v>1247.2419582895316</v>
      </c>
      <c r="AE7" s="34">
        <v>1247.2419582895316</v>
      </c>
      <c r="AF7" s="33">
        <v>1345.6861686593945</v>
      </c>
      <c r="AG7" s="34">
        <v>1345.6861686593945</v>
      </c>
      <c r="AH7" s="33"/>
      <c r="AI7" s="34"/>
      <c r="AJ7" s="33"/>
      <c r="AK7" s="34"/>
      <c r="AL7" s="33"/>
      <c r="AM7" s="34"/>
      <c r="AN7" s="33"/>
      <c r="AO7" s="34"/>
      <c r="AP7" s="33"/>
      <c r="AQ7" s="34"/>
      <c r="AR7" s="33"/>
      <c r="AS7" s="34"/>
      <c r="AT7" s="33"/>
      <c r="AU7" s="34"/>
      <c r="AV7" s="33"/>
      <c r="AW7" s="34"/>
    </row>
    <row r="8" spans="1:49" x14ac:dyDescent="0.2">
      <c r="B8" s="35">
        <v>1005.7716594496609</v>
      </c>
      <c r="C8" s="36">
        <v>1005.7716594496609</v>
      </c>
      <c r="D8" s="35">
        <v>1071.5737105455935</v>
      </c>
      <c r="E8" s="36">
        <v>1071.5737105455935</v>
      </c>
      <c r="F8" s="35">
        <v>1143.1189298924166</v>
      </c>
      <c r="G8" s="36">
        <v>1143.1189298924166</v>
      </c>
      <c r="H8" s="35">
        <v>1220.7269098559884</v>
      </c>
      <c r="I8" s="36">
        <v>1220.7269098559884</v>
      </c>
      <c r="J8" s="35">
        <v>1304.6480818206776</v>
      </c>
      <c r="K8" s="36">
        <v>1304.6480818206776</v>
      </c>
      <c r="L8" s="35">
        <v>1395.0451197290547</v>
      </c>
      <c r="M8" s="36">
        <v>1395.0451197290547</v>
      </c>
      <c r="N8" s="35">
        <v>1492.0146174855147</v>
      </c>
      <c r="O8" s="36">
        <v>1492.0146174855147</v>
      </c>
      <c r="P8" s="35">
        <v>1595.672950741455</v>
      </c>
      <c r="Q8" s="36">
        <v>1595.672950741455</v>
      </c>
      <c r="R8" s="35">
        <v>1706.3632866060157</v>
      </c>
      <c r="S8" s="36">
        <v>1706.3632866060157</v>
      </c>
      <c r="T8" s="35">
        <v>1825.0818496733675</v>
      </c>
      <c r="U8" s="36">
        <v>1825.0818496733675</v>
      </c>
      <c r="V8" s="35">
        <v>1954.2706276165845</v>
      </c>
      <c r="W8" s="36">
        <v>1954.2706276165845</v>
      </c>
      <c r="X8" s="35">
        <v>2099.2404273175971</v>
      </c>
      <c r="Y8" s="36">
        <v>2099.2404273175971</v>
      </c>
      <c r="Z8" s="35">
        <v>2270.7604056914188</v>
      </c>
      <c r="AA8" s="36">
        <v>2270.7604056914188</v>
      </c>
      <c r="AB8" s="35">
        <v>2490.058323648333</v>
      </c>
      <c r="AC8" s="36">
        <v>2490.058323648333</v>
      </c>
      <c r="AD8" s="35">
        <v>2799.6685520140209</v>
      </c>
      <c r="AE8" s="36">
        <v>2799.6685520140209</v>
      </c>
      <c r="AF8" s="35">
        <v>3291.5853495433676</v>
      </c>
      <c r="AG8" s="36">
        <v>3291.5853495433676</v>
      </c>
      <c r="AH8" s="35"/>
      <c r="AI8" s="36"/>
      <c r="AJ8" s="35"/>
      <c r="AK8" s="36"/>
      <c r="AL8" s="35"/>
      <c r="AM8" s="36"/>
      <c r="AN8" s="35"/>
      <c r="AO8" s="36"/>
      <c r="AP8" s="35"/>
      <c r="AQ8" s="36"/>
      <c r="AR8" s="35"/>
      <c r="AS8" s="36"/>
      <c r="AT8" s="35"/>
      <c r="AU8" s="36"/>
      <c r="AV8" s="35"/>
      <c r="AW8" s="36"/>
    </row>
    <row r="9" spans="1:49" x14ac:dyDescent="0.2">
      <c r="A9" t="s">
        <v>14</v>
      </c>
      <c r="B9" s="41">
        <v>1015.9116825427475</v>
      </c>
      <c r="C9" s="42">
        <v>1005.7716594496609</v>
      </c>
      <c r="D9" s="41">
        <v>1014.8036418515759</v>
      </c>
      <c r="E9" s="42">
        <v>1071.5737105455935</v>
      </c>
      <c r="F9" s="41">
        <v>1014.2909018693729</v>
      </c>
      <c r="G9" s="42">
        <v>1143.1189298924166</v>
      </c>
      <c r="H9" s="41">
        <v>1014.5457794593374</v>
      </c>
      <c r="I9" s="42">
        <v>1220.7269098559884</v>
      </c>
      <c r="J9" s="41">
        <v>1015.7950839290299</v>
      </c>
      <c r="K9" s="42">
        <v>1304.6480818206776</v>
      </c>
      <c r="L9" s="41">
        <v>1018.3396355631759</v>
      </c>
      <c r="M9" s="42">
        <v>1395.0451197290547</v>
      </c>
      <c r="N9" s="41">
        <v>1022.578326006717</v>
      </c>
      <c r="O9" s="42">
        <v>1492.0146174855147</v>
      </c>
      <c r="P9" s="41">
        <v>1029.0410809330947</v>
      </c>
      <c r="Q9" s="42">
        <v>1595.672950741455</v>
      </c>
      <c r="R9" s="41">
        <v>1038.4364911936821</v>
      </c>
      <c r="S9" s="42">
        <v>1706.3632866060157</v>
      </c>
      <c r="T9" s="41">
        <v>1051.7194200886727</v>
      </c>
      <c r="U9" s="42">
        <v>1825.0818496733675</v>
      </c>
      <c r="V9" s="41">
        <v>1070.1938394721199</v>
      </c>
      <c r="W9" s="42">
        <v>1954.2706276165845</v>
      </c>
      <c r="X9" s="41">
        <v>1095.6721411432775</v>
      </c>
      <c r="Y9" s="42">
        <v>2099.2404273175971</v>
      </c>
      <c r="Z9" s="41">
        <v>1130.7386596708902</v>
      </c>
      <c r="AA9" s="42">
        <v>2270.7604056914188</v>
      </c>
      <c r="AB9" s="41">
        <v>1179.2284069731475</v>
      </c>
      <c r="AC9" s="42">
        <v>2490.058323648333</v>
      </c>
      <c r="AD9" s="41">
        <v>1247.2419582895316</v>
      </c>
      <c r="AE9" s="42">
        <v>2799.6685520140209</v>
      </c>
      <c r="AF9" s="41">
        <v>1345.6861686593945</v>
      </c>
      <c r="AG9" s="42">
        <v>3291.5853495433676</v>
      </c>
      <c r="AH9" s="41"/>
      <c r="AI9" s="42"/>
      <c r="AJ9" s="41"/>
      <c r="AK9" s="42"/>
      <c r="AL9" s="41"/>
      <c r="AM9" s="42"/>
      <c r="AN9" s="41"/>
      <c r="AO9" s="42"/>
      <c r="AP9" s="41"/>
      <c r="AQ9" s="42"/>
      <c r="AR9" s="41"/>
      <c r="AS9" s="42"/>
      <c r="AT9" s="41"/>
      <c r="AU9" s="42"/>
      <c r="AV9" s="41"/>
      <c r="AW9" s="42"/>
    </row>
    <row r="10" spans="1:49" x14ac:dyDescent="0.2">
      <c r="A10" t="s">
        <v>15</v>
      </c>
      <c r="B10" s="41">
        <v>1015.9116825427475</v>
      </c>
      <c r="C10" s="42">
        <v>1005.7716594496609</v>
      </c>
      <c r="D10" s="41">
        <v>1014.8036418515759</v>
      </c>
      <c r="E10" s="42">
        <v>1071.5737105455935</v>
      </c>
      <c r="F10" s="41">
        <v>1014.2909018693729</v>
      </c>
      <c r="G10" s="42">
        <v>1143.1189298924166</v>
      </c>
      <c r="H10" s="41">
        <v>1014.5457794593374</v>
      </c>
      <c r="I10" s="42">
        <v>1220.7269098559884</v>
      </c>
      <c r="J10" s="41">
        <v>1015.7950839290299</v>
      </c>
      <c r="K10" s="42">
        <v>1304.6480818206776</v>
      </c>
      <c r="L10" s="41">
        <v>1018.3396355631759</v>
      </c>
      <c r="M10" s="42">
        <v>1395.0451197290547</v>
      </c>
      <c r="N10" s="41">
        <v>1022.578326006717</v>
      </c>
      <c r="O10" s="42">
        <v>1492.0146174855147</v>
      </c>
      <c r="P10" s="41">
        <v>1029.0410809330947</v>
      </c>
      <c r="Q10" s="42">
        <v>1595.672950741455</v>
      </c>
      <c r="R10" s="41">
        <v>1038.4364911936821</v>
      </c>
      <c r="S10" s="42">
        <v>1706.3632866060157</v>
      </c>
      <c r="T10" s="41">
        <v>1051.7194200886727</v>
      </c>
      <c r="U10" s="42">
        <v>1825.0818496733675</v>
      </c>
      <c r="V10" s="41">
        <v>1070.1938394721199</v>
      </c>
      <c r="W10" s="42">
        <v>1954.2706276165845</v>
      </c>
      <c r="X10" s="41">
        <v>1095.6721411432775</v>
      </c>
      <c r="Y10" s="42">
        <v>2099.2404273175971</v>
      </c>
      <c r="Z10" s="41">
        <v>1130.7386596708902</v>
      </c>
      <c r="AA10" s="42">
        <v>2270.7604056914188</v>
      </c>
      <c r="AB10" s="41">
        <v>1179.2284069731475</v>
      </c>
      <c r="AC10" s="42">
        <v>2490.058323648333</v>
      </c>
      <c r="AD10" s="41">
        <v>1247.2419582895316</v>
      </c>
      <c r="AE10" s="42">
        <v>2799.6685520140209</v>
      </c>
      <c r="AF10" s="41">
        <v>1345.6861686593945</v>
      </c>
      <c r="AG10" s="42">
        <v>3291.5853495433676</v>
      </c>
      <c r="AH10" s="41"/>
      <c r="AI10" s="42"/>
      <c r="AJ10" s="41"/>
      <c r="AK10" s="42"/>
      <c r="AL10" s="41"/>
      <c r="AM10" s="42"/>
      <c r="AN10" s="41"/>
      <c r="AO10" s="42"/>
      <c r="AP10" s="41"/>
      <c r="AQ10" s="42"/>
      <c r="AR10" s="41"/>
      <c r="AS10" s="42"/>
      <c r="AT10" s="41"/>
      <c r="AU10" s="42"/>
      <c r="AV10" s="41"/>
      <c r="AW10" s="42"/>
    </row>
    <row r="11" spans="1:49" x14ac:dyDescent="0.2">
      <c r="A11" t="s">
        <v>29</v>
      </c>
      <c r="B11" s="41">
        <v>1015.9116825427475</v>
      </c>
      <c r="C11" s="42">
        <v>1005.7716594496609</v>
      </c>
      <c r="D11" s="41">
        <v>1014.8036418515759</v>
      </c>
      <c r="E11" s="42">
        <v>1071.5737105455935</v>
      </c>
      <c r="F11" s="41">
        <v>1014.2909018693729</v>
      </c>
      <c r="G11" s="42">
        <v>1143.1189298924166</v>
      </c>
      <c r="H11" s="41">
        <v>1014.5457794593374</v>
      </c>
      <c r="I11" s="42">
        <v>1220.7269098559884</v>
      </c>
      <c r="J11" s="41">
        <v>1015.7950839290299</v>
      </c>
      <c r="K11" s="42">
        <v>1304.6480818206776</v>
      </c>
      <c r="L11" s="41">
        <v>1018.3396355631759</v>
      </c>
      <c r="M11" s="42">
        <v>1395.0451197290547</v>
      </c>
      <c r="N11" s="41">
        <v>1022.578326006717</v>
      </c>
      <c r="O11" s="42">
        <v>1492.0146174855147</v>
      </c>
      <c r="P11" s="41">
        <v>1029.0410809330947</v>
      </c>
      <c r="Q11" s="42">
        <v>1595.672950741455</v>
      </c>
      <c r="R11" s="41">
        <v>1038.4364911936821</v>
      </c>
      <c r="S11" s="42">
        <v>1706.3632866060157</v>
      </c>
      <c r="T11" s="41">
        <v>1051.7194200886727</v>
      </c>
      <c r="U11" s="42">
        <v>1825.0818496733675</v>
      </c>
      <c r="V11" s="41">
        <v>1070.1938394721199</v>
      </c>
      <c r="W11" s="42">
        <v>1954.2706276165845</v>
      </c>
      <c r="X11" s="41">
        <v>1095.6721411432775</v>
      </c>
      <c r="Y11" s="42">
        <v>2099.2404273175971</v>
      </c>
      <c r="Z11" s="41">
        <v>1130.7386596708902</v>
      </c>
      <c r="AA11" s="42">
        <v>2270.7604056914188</v>
      </c>
      <c r="AB11" s="41">
        <v>1179.2284069731475</v>
      </c>
      <c r="AC11" s="42">
        <v>2490.058323648333</v>
      </c>
      <c r="AD11" s="41">
        <v>1247.2419582895316</v>
      </c>
      <c r="AE11" s="42">
        <v>2799.6685520140209</v>
      </c>
      <c r="AF11" s="41">
        <v>1345.6861686593945</v>
      </c>
      <c r="AG11" s="42">
        <v>3291.5853495433676</v>
      </c>
      <c r="AH11" s="41"/>
      <c r="AI11" s="42"/>
      <c r="AJ11" s="41"/>
      <c r="AK11" s="42"/>
      <c r="AL11" s="41"/>
      <c r="AM11" s="42"/>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c r="AI12" s="42"/>
      <c r="AJ12" s="41"/>
      <c r="AK12" s="42"/>
      <c r="AL12" s="41"/>
      <c r="AM12" s="42"/>
      <c r="AN12" s="41"/>
      <c r="AO12" s="42"/>
      <c r="AP12" s="41"/>
      <c r="AQ12" s="42"/>
      <c r="AR12" s="41"/>
      <c r="AS12" s="42"/>
      <c r="AT12" s="41"/>
      <c r="AU12" s="42"/>
      <c r="AV12" s="41"/>
      <c r="AW12" s="42"/>
    </row>
    <row r="13" spans="1:49" x14ac:dyDescent="0.2">
      <c r="A13" t="s">
        <v>17</v>
      </c>
      <c r="B13" s="97">
        <v>1000</v>
      </c>
      <c r="C13" s="98">
        <v>1000</v>
      </c>
      <c r="D13" s="97">
        <v>993.71568441658712</v>
      </c>
      <c r="E13" s="98">
        <v>993.71568441658712</v>
      </c>
      <c r="F13" s="97">
        <v>987.60013662735309</v>
      </c>
      <c r="G13" s="98">
        <v>987.60013662735309</v>
      </c>
      <c r="H13" s="97">
        <v>981.79406765871909</v>
      </c>
      <c r="I13" s="98">
        <v>981.79406765871909</v>
      </c>
      <c r="J13" s="97">
        <v>976.49379246953026</v>
      </c>
      <c r="K13" s="98">
        <v>976.49379246953026</v>
      </c>
      <c r="L13" s="97">
        <v>971.97179777873805</v>
      </c>
      <c r="M13" s="98">
        <v>971.97179777873805</v>
      </c>
      <c r="N13" s="97">
        <v>968.60066244649022</v>
      </c>
      <c r="O13" s="98">
        <v>968.60066244649022</v>
      </c>
      <c r="P13" s="97">
        <v>966.88479930671645</v>
      </c>
      <c r="Q13" s="98">
        <v>966.88479930671645</v>
      </c>
      <c r="R13" s="97">
        <v>967.50539994678491</v>
      </c>
      <c r="S13" s="98">
        <v>967.50539994678491</v>
      </c>
      <c r="T13" s="97">
        <v>971.38333908427899</v>
      </c>
      <c r="U13" s="98">
        <v>971.38333908427899</v>
      </c>
      <c r="V13" s="97">
        <v>979.77655546293465</v>
      </c>
      <c r="W13" s="98">
        <v>979.77655546293465</v>
      </c>
      <c r="X13" s="97">
        <v>994.43612425978961</v>
      </c>
      <c r="Y13" s="98">
        <v>994.43612425978961</v>
      </c>
      <c r="Z13" s="97">
        <v>1017.8745845629147</v>
      </c>
      <c r="AA13" s="98">
        <v>1017.8745845629147</v>
      </c>
      <c r="AB13" s="97">
        <v>1053.8675680078697</v>
      </c>
      <c r="AC13" s="98">
        <v>1053.8675680078697</v>
      </c>
      <c r="AD13" s="97">
        <v>1108.5324737788028</v>
      </c>
      <c r="AE13" s="98">
        <v>1108.5324737788028</v>
      </c>
      <c r="AF13" s="97">
        <v>1193.0647583458506</v>
      </c>
      <c r="AG13" s="98">
        <v>1193.0647583458506</v>
      </c>
      <c r="AH13" s="97"/>
      <c r="AI13" s="98"/>
      <c r="AJ13" s="97"/>
      <c r="AK13" s="98"/>
      <c r="AL13" s="97"/>
      <c r="AM13" s="98"/>
      <c r="AN13" s="97"/>
      <c r="AO13" s="98"/>
      <c r="AP13" s="97"/>
      <c r="AQ13" s="98"/>
      <c r="AR13" s="97"/>
      <c r="AS13" s="98"/>
      <c r="AT13" s="97"/>
      <c r="AU13" s="98"/>
      <c r="AV13" s="97"/>
      <c r="AW13" s="98"/>
    </row>
    <row r="14" spans="1:49" x14ac:dyDescent="0.2">
      <c r="A14" t="s">
        <v>36</v>
      </c>
      <c r="B14" s="41">
        <v>1457.0034251455234</v>
      </c>
      <c r="C14" s="42">
        <v>1457.0034251455236</v>
      </c>
      <c r="D14" s="41">
        <v>1447.8471558157953</v>
      </c>
      <c r="E14" s="42">
        <v>1447.8471558157955</v>
      </c>
      <c r="F14" s="41">
        <v>1438.9367817402401</v>
      </c>
      <c r="G14" s="42">
        <v>1438.9367817402403</v>
      </c>
      <c r="H14" s="41">
        <v>1430.4773193663093</v>
      </c>
      <c r="I14" s="42">
        <v>1430.4773193663095</v>
      </c>
      <c r="J14" s="41">
        <v>1422.7548002614474</v>
      </c>
      <c r="K14" s="42">
        <v>1422.7548002614476</v>
      </c>
      <c r="L14" s="41">
        <v>1416.1662385084733</v>
      </c>
      <c r="M14" s="42">
        <v>1416.1662385084735</v>
      </c>
      <c r="N14" s="41">
        <v>1411.2544827827592</v>
      </c>
      <c r="O14" s="42">
        <v>1411.2544827827594</v>
      </c>
      <c r="P14" s="41">
        <v>1408.7544643110277</v>
      </c>
      <c r="Q14" s="42">
        <v>1408.754464311028</v>
      </c>
      <c r="R14" s="41">
        <v>1409.6586815692549</v>
      </c>
      <c r="S14" s="42">
        <v>1409.6586815692551</v>
      </c>
      <c r="T14" s="41">
        <v>1415.3088521750897</v>
      </c>
      <c r="U14" s="42">
        <v>1415.3088521750899</v>
      </c>
      <c r="V14" s="41">
        <v>1427.5377971867786</v>
      </c>
      <c r="W14" s="42">
        <v>1427.5377971867788</v>
      </c>
      <c r="X14" s="41">
        <v>1448.8968391349526</v>
      </c>
      <c r="Y14" s="42">
        <v>1448.8968391349529</v>
      </c>
      <c r="Z14" s="41">
        <v>1483.0467560767433</v>
      </c>
      <c r="AA14" s="42">
        <v>1483.0467560767436</v>
      </c>
      <c r="AB14" s="41">
        <v>1535.488656237249</v>
      </c>
      <c r="AC14" s="42">
        <v>1535.4886562372492</v>
      </c>
      <c r="AD14" s="41">
        <v>1615.1356111807556</v>
      </c>
      <c r="AE14" s="42">
        <v>1615.1356111807559</v>
      </c>
      <c r="AF14" s="41">
        <v>1738.2994393303204</v>
      </c>
      <c r="AG14" s="42">
        <v>1738.2994393303206</v>
      </c>
      <c r="AH14" s="41"/>
      <c r="AI14" s="42"/>
      <c r="AJ14" s="41"/>
      <c r="AK14" s="42"/>
      <c r="AL14" s="41"/>
      <c r="AM14" s="42"/>
      <c r="AN14" s="41"/>
      <c r="AO14" s="42"/>
      <c r="AP14" s="41"/>
      <c r="AQ14" s="42"/>
      <c r="AR14" s="41"/>
      <c r="AS14" s="42"/>
      <c r="AT14" s="41"/>
      <c r="AU14" s="42"/>
      <c r="AV14" s="41"/>
      <c r="AW14" s="42"/>
    </row>
    <row r="15" spans="1:49" x14ac:dyDescent="0.2">
      <c r="A15" t="s">
        <v>18</v>
      </c>
      <c r="B15" s="154">
        <v>1000</v>
      </c>
      <c r="C15" s="155">
        <v>1000</v>
      </c>
      <c r="D15" s="154">
        <v>998.90931395886878</v>
      </c>
      <c r="E15" s="155">
        <v>998.90931395886878</v>
      </c>
      <c r="F15" s="154">
        <v>998.40460474938345</v>
      </c>
      <c r="G15" s="155">
        <v>998.40460474938345</v>
      </c>
      <c r="H15" s="154">
        <v>998.65549032767171</v>
      </c>
      <c r="I15" s="155">
        <v>998.65549032767171</v>
      </c>
      <c r="J15" s="154">
        <v>999.88522760814635</v>
      </c>
      <c r="K15" s="155">
        <v>999.88522760814635</v>
      </c>
      <c r="L15" s="154">
        <v>1002.3899252879457</v>
      </c>
      <c r="M15" s="155">
        <v>1002.3899252879457</v>
      </c>
      <c r="N15" s="154">
        <v>1006.5622273850454</v>
      </c>
      <c r="O15" s="155">
        <v>1006.5622273850454</v>
      </c>
      <c r="P15" s="154">
        <v>1012.9237596298582</v>
      </c>
      <c r="Q15" s="155">
        <v>1012.9237596298582</v>
      </c>
      <c r="R15" s="154">
        <v>1022.1720145933914</v>
      </c>
      <c r="S15" s="155">
        <v>1022.1720145933914</v>
      </c>
      <c r="T15" s="154">
        <v>1035.2469000615301</v>
      </c>
      <c r="U15" s="155">
        <v>1035.2469000615301</v>
      </c>
      <c r="V15" s="154">
        <v>1053.4319644730419</v>
      </c>
      <c r="W15" s="155">
        <v>1053.4319644730419</v>
      </c>
      <c r="X15" s="154">
        <v>1078.5112131016112</v>
      </c>
      <c r="Y15" s="155">
        <v>1078.5112131016112</v>
      </c>
      <c r="Z15" s="154">
        <v>1113.0285034627616</v>
      </c>
      <c r="AA15" s="155">
        <v>1113.0285034627616</v>
      </c>
      <c r="AB15" s="154">
        <v>1160.7587817295605</v>
      </c>
      <c r="AC15" s="155">
        <v>1160.7587817295605</v>
      </c>
      <c r="AD15" s="154">
        <v>1227.7070730870842</v>
      </c>
      <c r="AE15" s="155">
        <v>1227.7070730870842</v>
      </c>
      <c r="AF15" s="154">
        <v>1324.609404324643</v>
      </c>
      <c r="AG15" s="155">
        <v>1324.609404324643</v>
      </c>
      <c r="AH15" s="154"/>
      <c r="AI15" s="155"/>
      <c r="AJ15" s="154"/>
      <c r="AK15" s="155"/>
      <c r="AL15" s="154"/>
      <c r="AM15" s="155"/>
      <c r="AN15" s="154"/>
      <c r="AO15" s="155"/>
      <c r="AP15" s="154"/>
      <c r="AQ15" s="155"/>
      <c r="AR15" s="154"/>
      <c r="AS15" s="155"/>
      <c r="AT15" s="154"/>
      <c r="AU15" s="155"/>
      <c r="AV15" s="154"/>
      <c r="AW15" s="155"/>
    </row>
    <row r="16" spans="1:49" s="29" customFormat="1" x14ac:dyDescent="0.2">
      <c r="A16" t="s">
        <v>61</v>
      </c>
      <c r="B16" s="41">
        <v>1000</v>
      </c>
      <c r="C16" s="42">
        <v>1000</v>
      </c>
      <c r="D16" s="41">
        <v>996.13928050766151</v>
      </c>
      <c r="E16" s="42">
        <v>997.42650322859686</v>
      </c>
      <c r="F16" s="41">
        <v>992.63973191229309</v>
      </c>
      <c r="G16" s="42">
        <v>995.31893170493481</v>
      </c>
      <c r="H16" s="41">
        <v>989.65497558716163</v>
      </c>
      <c r="I16" s="42">
        <v>993.83841428596588</v>
      </c>
      <c r="J16" s="41">
        <v>987.39323244324669</v>
      </c>
      <c r="K16" s="42">
        <v>993.20024453801091</v>
      </c>
      <c r="L16" s="41">
        <v>986.13727087051529</v>
      </c>
      <c r="M16" s="42">
        <v>993.69348561739332</v>
      </c>
      <c r="N16" s="41">
        <v>986.26823902283604</v>
      </c>
      <c r="O16" s="42">
        <v>995.70473071954893</v>
      </c>
      <c r="P16" s="41">
        <v>988.29777186093656</v>
      </c>
      <c r="Q16" s="42">
        <v>999.75036329766522</v>
      </c>
      <c r="R16" s="41">
        <v>992.91389706114035</v>
      </c>
      <c r="S16" s="42">
        <v>1006.5229109088044</v>
      </c>
      <c r="T16" s="41">
        <v>1001.045712328142</v>
      </c>
      <c r="U16" s="42">
        <v>1016.9565826066403</v>
      </c>
      <c r="V16" s="41">
        <v>1013.9626643661823</v>
      </c>
      <c r="W16" s="42">
        <v>1032.3274387825993</v>
      </c>
      <c r="X16" s="41">
        <v>1033.4311372000511</v>
      </c>
      <c r="Y16" s="42">
        <v>1054.4100630343739</v>
      </c>
      <c r="Z16" s="41">
        <v>1061.9789279365525</v>
      </c>
      <c r="AA16" s="42">
        <v>1085.7396353465713</v>
      </c>
      <c r="AB16" s="41">
        <v>1103.3833157357049</v>
      </c>
      <c r="AC16" s="42">
        <v>1130.0920971356234</v>
      </c>
      <c r="AD16" s="41">
        <v>1163.7138230843134</v>
      </c>
      <c r="AE16" s="42">
        <v>1193.5064060476923</v>
      </c>
      <c r="AF16" s="41">
        <v>1253.9616181386502</v>
      </c>
      <c r="AG16" s="42">
        <v>1286.8538514216038</v>
      </c>
      <c r="AH16" s="41"/>
      <c r="AI16" s="42"/>
      <c r="AJ16" s="41"/>
      <c r="AK16" s="42"/>
      <c r="AL16" s="41"/>
      <c r="AM16" s="42"/>
      <c r="AN16" s="41"/>
      <c r="AO16" s="42"/>
      <c r="AP16" s="41"/>
      <c r="AQ16" s="42"/>
      <c r="AR16" s="41"/>
      <c r="AS16" s="42"/>
      <c r="AT16" s="41"/>
      <c r="AU16" s="42"/>
      <c r="AV16" s="41"/>
      <c r="AW16" s="42"/>
    </row>
    <row r="17" spans="1:49" x14ac:dyDescent="0.2">
      <c r="A17" t="s">
        <v>62</v>
      </c>
      <c r="B17" s="35">
        <v>999.99999999999977</v>
      </c>
      <c r="C17" s="36">
        <v>999.99999999999977</v>
      </c>
      <c r="D17" s="35">
        <v>999.00864115655963</v>
      </c>
      <c r="E17" s="36">
        <v>1033.5411801388357</v>
      </c>
      <c r="F17" s="35">
        <v>998.55019431890196</v>
      </c>
      <c r="G17" s="36">
        <v>1070.187294515142</v>
      </c>
      <c r="H17" s="35">
        <v>998.77806700736619</v>
      </c>
      <c r="I17" s="36">
        <v>1110.1652465423383</v>
      </c>
      <c r="J17" s="35">
        <v>999.89564764398813</v>
      </c>
      <c r="K17" s="36">
        <v>1153.6929516814489</v>
      </c>
      <c r="L17" s="35">
        <v>1002.1753518640539</v>
      </c>
      <c r="M17" s="36">
        <v>1200.9805846108579</v>
      </c>
      <c r="N17" s="35">
        <v>1005.9830997861023</v>
      </c>
      <c r="O17" s="36">
        <v>1252.2550352209278</v>
      </c>
      <c r="P17" s="35">
        <v>1011.8131777176543</v>
      </c>
      <c r="Q17" s="36">
        <v>1307.821549431326</v>
      </c>
      <c r="R17" s="35">
        <v>1020.3406812826961</v>
      </c>
      <c r="S17" s="36">
        <v>1368.1940556623194</v>
      </c>
      <c r="T17" s="35">
        <v>1032.4995439583049</v>
      </c>
      <c r="U17" s="36">
        <v>1434.3462605209118</v>
      </c>
      <c r="V17" s="35">
        <v>1049.606183577047</v>
      </c>
      <c r="W17" s="36">
        <v>1508.1653769966888</v>
      </c>
      <c r="X17" s="35">
        <v>1073.5593766109</v>
      </c>
      <c r="Y17" s="36">
        <v>1593.2528503154128</v>
      </c>
      <c r="Z17" s="35">
        <v>1107.1829492737043</v>
      </c>
      <c r="AA17" s="36">
        <v>1696.3676879929462</v>
      </c>
      <c r="AB17" s="35">
        <v>1154.8638066037697</v>
      </c>
      <c r="AC17" s="36">
        <v>1830.1968468867342</v>
      </c>
      <c r="AD17" s="35">
        <v>1223.915740869837</v>
      </c>
      <c r="AE17" s="36">
        <v>2019.3446706521315</v>
      </c>
      <c r="AF17" s="35">
        <v>1328.0274666838986</v>
      </c>
      <c r="AG17" s="36">
        <v>2315.7956672073933</v>
      </c>
      <c r="AH17" s="35"/>
      <c r="AI17" s="36"/>
      <c r="AJ17" s="35"/>
      <c r="AK17" s="36"/>
      <c r="AL17" s="35"/>
      <c r="AM17" s="36"/>
      <c r="AN17" s="35"/>
      <c r="AO17" s="36"/>
      <c r="AP17" s="35"/>
      <c r="AQ17" s="36"/>
      <c r="AR17" s="35"/>
      <c r="AS17" s="36"/>
      <c r="AT17" s="35"/>
      <c r="AU17" s="36"/>
      <c r="AV17" s="35"/>
      <c r="AW17" s="36"/>
    </row>
    <row r="18" spans="1:49" x14ac:dyDescent="0.2">
      <c r="A18" t="s">
        <v>19</v>
      </c>
      <c r="B18" s="33">
        <v>27857.010133999996</v>
      </c>
      <c r="C18" s="34">
        <v>1236.7674480000003</v>
      </c>
      <c r="D18" s="33">
        <v>27533.050816406158</v>
      </c>
      <c r="E18" s="34">
        <v>1149.9766110535431</v>
      </c>
      <c r="F18" s="33">
        <v>27153.773270799087</v>
      </c>
      <c r="G18" s="34">
        <v>1063.7581596287857</v>
      </c>
      <c r="H18" s="33">
        <v>26709.000941659997</v>
      </c>
      <c r="I18" s="34">
        <v>978.31365340066486</v>
      </c>
      <c r="J18" s="33">
        <v>26187.178682821428</v>
      </c>
      <c r="K18" s="34">
        <v>893.88030370413378</v>
      </c>
      <c r="L18" s="33">
        <v>25575.575998315828</v>
      </c>
      <c r="M18" s="34">
        <v>810.73140174758316</v>
      </c>
      <c r="N18" s="33">
        <v>24860.917479034757</v>
      </c>
      <c r="O18" s="34">
        <v>729.16392611549816</v>
      </c>
      <c r="P18" s="33">
        <v>24030.461709628176</v>
      </c>
      <c r="Q18" s="34">
        <v>649.47308349402101</v>
      </c>
      <c r="R18" s="33">
        <v>23073.593599625008</v>
      </c>
      <c r="S18" s="34">
        <v>571.91932751518448</v>
      </c>
      <c r="T18" s="33">
        <v>21983.936877743159</v>
      </c>
      <c r="U18" s="34">
        <v>496.68468231639002</v>
      </c>
      <c r="V18" s="33">
        <v>20761.738772774384</v>
      </c>
      <c r="W18" s="34">
        <v>423.82689134280434</v>
      </c>
      <c r="X18" s="33">
        <v>19415.985043683901</v>
      </c>
      <c r="Y18" s="34">
        <v>353.26664615760433</v>
      </c>
      <c r="Z18" s="33">
        <v>17965.403867831385</v>
      </c>
      <c r="AA18" s="34">
        <v>284.83693788525215</v>
      </c>
      <c r="AB18" s="33">
        <v>16436.869378159929</v>
      </c>
      <c r="AC18" s="34">
        <v>218.47507360092501</v>
      </c>
      <c r="AD18" s="33">
        <v>14859.076555149624</v>
      </c>
      <c r="AE18" s="34">
        <v>154.6676781200689</v>
      </c>
      <c r="AF18" s="33">
        <v>13249.043786946131</v>
      </c>
      <c r="AG18" s="34">
        <v>95.317723564430949</v>
      </c>
      <c r="AH18" s="33"/>
      <c r="AI18" s="34"/>
      <c r="AJ18" s="33"/>
      <c r="AK18" s="34"/>
      <c r="AL18" s="33"/>
      <c r="AM18" s="34"/>
      <c r="AN18" s="33"/>
      <c r="AO18" s="34"/>
      <c r="AP18" s="33"/>
      <c r="AQ18" s="34"/>
      <c r="AR18" s="33"/>
      <c r="AS18" s="34"/>
      <c r="AT18" s="33"/>
      <c r="AU18" s="34"/>
      <c r="AV18" s="33"/>
      <c r="AW18" s="34"/>
    </row>
    <row r="19" spans="1:49" x14ac:dyDescent="0.2">
      <c r="A19" t="s">
        <v>3</v>
      </c>
      <c r="B19" s="41">
        <v>1886.3937399999918</v>
      </c>
      <c r="C19" s="42">
        <v>262.78711299999759</v>
      </c>
      <c r="D19" s="41">
        <v>1859.5789932524692</v>
      </c>
      <c r="E19" s="42">
        <v>269.41392841494633</v>
      </c>
      <c r="F19" s="41">
        <v>1831.7389282028134</v>
      </c>
      <c r="G19" s="42">
        <v>276.55688016218255</v>
      </c>
      <c r="H19" s="41">
        <v>1802.8225607369104</v>
      </c>
      <c r="I19" s="42">
        <v>284.11480825608891</v>
      </c>
      <c r="J19" s="41">
        <v>1772.8292709329746</v>
      </c>
      <c r="K19" s="42">
        <v>291.93627635328937</v>
      </c>
      <c r="L19" s="41">
        <v>1741.8493737980029</v>
      </c>
      <c r="M19" s="42">
        <v>299.81323460956628</v>
      </c>
      <c r="N19" s="41">
        <v>1710.123387578956</v>
      </c>
      <c r="O19" s="42">
        <v>307.48598311930652</v>
      </c>
      <c r="P19" s="41">
        <v>1678.1287394546189</v>
      </c>
      <c r="Q19" s="42">
        <v>314.66286538739695</v>
      </c>
      <c r="R19" s="41">
        <v>1646.7082195081016</v>
      </c>
      <c r="S19" s="42">
        <v>321.06117944388956</v>
      </c>
      <c r="T19" s="41">
        <v>1617.2484521164522</v>
      </c>
      <c r="U19" s="42">
        <v>326.47304753051662</v>
      </c>
      <c r="V19" s="41">
        <v>1591.9374836316949</v>
      </c>
      <c r="W19" s="42">
        <v>330.85120464226827</v>
      </c>
      <c r="X19" s="41">
        <v>1574.1308595566961</v>
      </c>
      <c r="Y19" s="42">
        <v>334.39229983385997</v>
      </c>
      <c r="Z19" s="41">
        <v>1568.9192061548213</v>
      </c>
      <c r="AA19" s="42">
        <v>337.57203098429903</v>
      </c>
      <c r="AB19" s="41">
        <v>1584.1090351541602</v>
      </c>
      <c r="AC19" s="42">
        <v>341.03102961257036</v>
      </c>
      <c r="AD19" s="41">
        <v>1632.2791877701166</v>
      </c>
      <c r="AE19" s="42">
        <v>345.09554945963919</v>
      </c>
      <c r="AF19" s="41">
        <v>1736.1032131789573</v>
      </c>
      <c r="AG19" s="42">
        <v>348.44278114745623</v>
      </c>
      <c r="AH19" s="41"/>
      <c r="AI19" s="42"/>
      <c r="AJ19" s="41"/>
      <c r="AK19" s="42"/>
      <c r="AL19" s="41"/>
      <c r="AM19" s="42"/>
      <c r="AN19" s="41"/>
      <c r="AO19" s="42"/>
      <c r="AP19" s="41"/>
      <c r="AQ19" s="42"/>
      <c r="AR19" s="41"/>
      <c r="AS19" s="42"/>
      <c r="AT19" s="41"/>
      <c r="AU19" s="42"/>
      <c r="AV19" s="41"/>
      <c r="AW19" s="42"/>
    </row>
    <row r="20" spans="1:49" x14ac:dyDescent="0.2">
      <c r="A20" t="s">
        <v>127</v>
      </c>
      <c r="B20" s="82">
        <v>26548.356269999993</v>
      </c>
      <c r="C20" s="83">
        <v>1408.5418709999938</v>
      </c>
      <c r="D20" s="82">
        <v>26228.158410834043</v>
      </c>
      <c r="E20" s="83">
        <v>1338.1147774499941</v>
      </c>
      <c r="F20" s="82">
        <v>25861.619375247799</v>
      </c>
      <c r="G20" s="83">
        <v>1267.6876838999945</v>
      </c>
      <c r="H20" s="82">
        <v>25440.572861162618</v>
      </c>
      <c r="I20" s="83">
        <v>1197.2605903499946</v>
      </c>
      <c r="J20" s="82">
        <v>24955.823100614733</v>
      </c>
      <c r="K20" s="83">
        <v>1126.8334967999949</v>
      </c>
      <c r="L20" s="82">
        <v>24397.341240633163</v>
      </c>
      <c r="M20" s="83">
        <v>1056.4064032499953</v>
      </c>
      <c r="N20" s="82">
        <v>23754.805480908009</v>
      </c>
      <c r="O20" s="83">
        <v>985.97930969999561</v>
      </c>
      <c r="P20" s="82">
        <v>23018.501533094688</v>
      </c>
      <c r="Q20" s="83">
        <v>915.55221614999596</v>
      </c>
      <c r="R20" s="82">
        <v>22180.634573641124</v>
      </c>
      <c r="S20" s="83">
        <v>845.12512259999642</v>
      </c>
      <c r="T20" s="82">
        <v>21237.048384663609</v>
      </c>
      <c r="U20" s="83">
        <v>774.69802904999653</v>
      </c>
      <c r="V20" s="82">
        <v>20189.162934343396</v>
      </c>
      <c r="W20" s="83">
        <v>704.27093549999688</v>
      </c>
      <c r="X20" s="82">
        <v>19045.693455373337</v>
      </c>
      <c r="Y20" s="83">
        <v>633.84384194999723</v>
      </c>
      <c r="Z20" s="82">
        <v>17823.512514015336</v>
      </c>
      <c r="AA20" s="83">
        <v>563.41674839999746</v>
      </c>
      <c r="AB20" s="82">
        <v>16546.509785601964</v>
      </c>
      <c r="AC20" s="83">
        <v>492.98965484999781</v>
      </c>
      <c r="AD20" s="82">
        <v>15240.8860574588</v>
      </c>
      <c r="AE20" s="83">
        <v>422.56256129999809</v>
      </c>
      <c r="AF20" s="82">
        <v>13925.319344938443</v>
      </c>
      <c r="AG20" s="83">
        <v>352.13546774999827</v>
      </c>
      <c r="AH20" s="82"/>
      <c r="AI20" s="83"/>
      <c r="AJ20" s="82"/>
      <c r="AK20" s="83"/>
      <c r="AL20" s="82"/>
      <c r="AM20" s="83"/>
      <c r="AN20" s="82"/>
      <c r="AO20" s="83"/>
      <c r="AP20" s="82"/>
      <c r="AQ20" s="83"/>
      <c r="AR20" s="82"/>
      <c r="AS20" s="83"/>
      <c r="AT20" s="82"/>
      <c r="AU20" s="83"/>
      <c r="AV20" s="82"/>
      <c r="AW20" s="83"/>
    </row>
    <row r="21" spans="1:49" x14ac:dyDescent="0.2">
      <c r="A21" t="s">
        <v>76</v>
      </c>
      <c r="B21" s="82">
        <v>24661.962529999968</v>
      </c>
      <c r="C21" s="83">
        <v>1145.7547579999991</v>
      </c>
      <c r="D21" s="82">
        <v>24368.581804145124</v>
      </c>
      <c r="E21" s="83">
        <v>1068.9344401650628</v>
      </c>
      <c r="F21" s="82">
        <v>24029.885482020742</v>
      </c>
      <c r="G21" s="83">
        <v>992.11181769728989</v>
      </c>
      <c r="H21" s="82">
        <v>23637.753818128211</v>
      </c>
      <c r="I21" s="83">
        <v>915.45687657327869</v>
      </c>
      <c r="J21" s="82">
        <v>23182.993854825974</v>
      </c>
      <c r="K21" s="83">
        <v>839.18407939628901</v>
      </c>
      <c r="L21" s="82">
        <v>22655.502525826229</v>
      </c>
      <c r="M21" s="83">
        <v>763.55249818413972</v>
      </c>
      <c r="N21" s="82">
        <v>22044.760338735647</v>
      </c>
      <c r="O21" s="83">
        <v>688.8554017360824</v>
      </c>
      <c r="P21" s="82">
        <v>21340.666869629527</v>
      </c>
      <c r="Q21" s="83">
        <v>615.39880894812882</v>
      </c>
      <c r="R21" s="82">
        <v>20534.760398537332</v>
      </c>
      <c r="S21" s="83">
        <v>543.46710652734782</v>
      </c>
      <c r="T21" s="82">
        <v>19621.818023545322</v>
      </c>
      <c r="U21" s="83">
        <v>473.2778204374676</v>
      </c>
      <c r="V21" s="82">
        <v>18601.634300991478</v>
      </c>
      <c r="W21" s="83">
        <v>404.93600377983546</v>
      </c>
      <c r="X21" s="82">
        <v>17480.542360051368</v>
      </c>
      <c r="Y21" s="83">
        <v>338.41235076991597</v>
      </c>
      <c r="Z21" s="82">
        <v>16272.010333206576</v>
      </c>
      <c r="AA21" s="83">
        <v>273.58480843297411</v>
      </c>
      <c r="AB21" s="82">
        <v>14995.109245534024</v>
      </c>
      <c r="AC21" s="83">
        <v>210.41556480400595</v>
      </c>
      <c r="AD21" s="82">
        <v>13669.052927235016</v>
      </c>
      <c r="AE21" s="83">
        <v>149.38079598686033</v>
      </c>
      <c r="AF21" s="82">
        <v>12301.452103468244</v>
      </c>
      <c r="AG21" s="83">
        <v>92.322317899856017</v>
      </c>
      <c r="AH21" s="82"/>
      <c r="AI21" s="83"/>
      <c r="AJ21" s="82"/>
      <c r="AK21" s="83"/>
      <c r="AL21" s="82"/>
      <c r="AM21" s="83"/>
      <c r="AN21" s="82"/>
      <c r="AO21" s="83"/>
      <c r="AP21" s="82"/>
      <c r="AQ21" s="83"/>
      <c r="AR21" s="82"/>
      <c r="AS21" s="83"/>
      <c r="AT21" s="82"/>
      <c r="AU21" s="83"/>
      <c r="AV21" s="82"/>
      <c r="AW21" s="83"/>
    </row>
    <row r="22" spans="1:49" x14ac:dyDescent="0.2">
      <c r="A22" t="s">
        <v>28</v>
      </c>
      <c r="B22" s="41">
        <v>6533.6044688320644</v>
      </c>
      <c r="C22" s="42">
        <v>379.90788307663382</v>
      </c>
      <c r="D22" s="41">
        <v>6426.3310988099365</v>
      </c>
      <c r="E22" s="42">
        <v>359.26146870225182</v>
      </c>
      <c r="F22" s="41">
        <v>6306.0190186892723</v>
      </c>
      <c r="G22" s="42">
        <v>338.80250986961801</v>
      </c>
      <c r="H22" s="41">
        <v>6170.5976588167341</v>
      </c>
      <c r="I22" s="42">
        <v>318.55439634845811</v>
      </c>
      <c r="J22" s="41">
        <v>6017.7759978138783</v>
      </c>
      <c r="K22" s="42">
        <v>298.5415234290881</v>
      </c>
      <c r="L22" s="41">
        <v>5845.105231167161</v>
      </c>
      <c r="M22" s="42">
        <v>278.7892207388872</v>
      </c>
      <c r="N22" s="41">
        <v>5650.1258529822053</v>
      </c>
      <c r="O22" s="42">
        <v>259.32203649083436</v>
      </c>
      <c r="P22" s="41">
        <v>5430.5997141867347</v>
      </c>
      <c r="Q22" s="42">
        <v>240.16180678689804</v>
      </c>
      <c r="R22" s="41">
        <v>5184.8378759702045</v>
      </c>
      <c r="S22" s="42">
        <v>221.32541879936684</v>
      </c>
      <c r="T22" s="41">
        <v>4912.1119992098729</v>
      </c>
      <c r="U22" s="42">
        <v>202.82100383315009</v>
      </c>
      <c r="V22" s="41">
        <v>4613.1085060652704</v>
      </c>
      <c r="W22" s="42">
        <v>184.64308858138668</v>
      </c>
      <c r="X22" s="41">
        <v>4290.2963605079003</v>
      </c>
      <c r="Y22" s="42">
        <v>166.76407684520217</v>
      </c>
      <c r="Z22" s="41">
        <v>3948.0638686565871</v>
      </c>
      <c r="AA22" s="42">
        <v>149.12092857053165</v>
      </c>
      <c r="AB22" s="41">
        <v>3592.3200268654991</v>
      </c>
      <c r="AC22" s="42">
        <v>131.59212952000715</v>
      </c>
      <c r="AD22" s="41">
        <v>3229.1396411929022</v>
      </c>
      <c r="AE22" s="42">
        <v>113.95927739361233</v>
      </c>
      <c r="AF22" s="41">
        <v>2861.9840200941912</v>
      </c>
      <c r="AG22" s="42">
        <v>95.845947637873238</v>
      </c>
      <c r="AH22" s="41"/>
      <c r="AI22" s="42"/>
      <c r="AJ22" s="41"/>
      <c r="AK22" s="42"/>
      <c r="AL22" s="41"/>
      <c r="AM22" s="42"/>
      <c r="AN22" s="41"/>
      <c r="AO22" s="42"/>
      <c r="AP22" s="41"/>
      <c r="AQ22" s="42"/>
      <c r="AR22" s="41"/>
      <c r="AS22" s="42"/>
      <c r="AT22" s="41"/>
      <c r="AU22" s="42"/>
      <c r="AV22" s="41"/>
      <c r="AW22" s="42"/>
    </row>
    <row r="23" spans="1:49" x14ac:dyDescent="0.2">
      <c r="A23" t="s">
        <v>7</v>
      </c>
      <c r="B23" s="116">
        <v>3278.5018080150408</v>
      </c>
      <c r="C23" s="8">
        <v>0</v>
      </c>
      <c r="D23" s="116">
        <v>3242.6014847753831</v>
      </c>
      <c r="E23" s="8">
        <v>0</v>
      </c>
      <c r="F23" s="116">
        <v>3199.881094555667</v>
      </c>
      <c r="G23" s="8">
        <v>0</v>
      </c>
      <c r="H23" s="116">
        <v>3149.0886293973349</v>
      </c>
      <c r="I23" s="8">
        <v>0</v>
      </c>
      <c r="J23" s="116">
        <v>3088.8083779303861</v>
      </c>
      <c r="K23" s="8">
        <v>0</v>
      </c>
      <c r="L23" s="116">
        <v>3017.4892500018282</v>
      </c>
      <c r="M23" s="8">
        <v>0</v>
      </c>
      <c r="N23" s="116">
        <v>2933.5281673261629</v>
      </c>
      <c r="O23" s="8">
        <v>0</v>
      </c>
      <c r="P23" s="116">
        <v>2835.4113728687134</v>
      </c>
      <c r="Q23" s="8">
        <v>0</v>
      </c>
      <c r="R23" s="116">
        <v>2721.9203189094387</v>
      </c>
      <c r="S23" s="8">
        <v>0</v>
      </c>
      <c r="T23" s="116">
        <v>2592.4060908080478</v>
      </c>
      <c r="U23" s="8">
        <v>0</v>
      </c>
      <c r="V23" s="116">
        <v>2447.1017762896058</v>
      </c>
      <c r="W23" s="8">
        <v>0</v>
      </c>
      <c r="X23" s="116">
        <v>2287.4105318482493</v>
      </c>
      <c r="Y23" s="8">
        <v>0</v>
      </c>
      <c r="Z23" s="116">
        <v>2116.0713998973511</v>
      </c>
      <c r="AA23" s="8">
        <v>0</v>
      </c>
      <c r="AB23" s="116">
        <v>1937.0374478374149</v>
      </c>
      <c r="AC23" s="8">
        <v>0</v>
      </c>
      <c r="AD23" s="116">
        <v>1754.8518945664823</v>
      </c>
      <c r="AE23" s="8">
        <v>0</v>
      </c>
      <c r="AF23" s="116">
        <v>1573.3541848545244</v>
      </c>
      <c r="AG23" s="8">
        <v>0</v>
      </c>
      <c r="AH23" s="116"/>
      <c r="AI23" s="8"/>
      <c r="AJ23" s="116"/>
      <c r="AK23" s="8"/>
      <c r="AL23" s="116"/>
      <c r="AM23" s="8"/>
      <c r="AN23" s="116"/>
      <c r="AO23" s="8"/>
      <c r="AP23" s="116"/>
      <c r="AQ23" s="8"/>
      <c r="AR23" s="116"/>
      <c r="AS23" s="8"/>
      <c r="AT23" s="116"/>
      <c r="AU23" s="8"/>
      <c r="AV23" s="116"/>
      <c r="AW23" s="8"/>
    </row>
    <row r="24" spans="1:49" x14ac:dyDescent="0.2">
      <c r="A24" t="s">
        <v>8</v>
      </c>
      <c r="B24" s="97">
        <v>3196.3846373657216</v>
      </c>
      <c r="C24" s="8">
        <v>0</v>
      </c>
      <c r="D24" s="97">
        <v>3196.3846373657216</v>
      </c>
      <c r="E24" s="8">
        <v>0</v>
      </c>
      <c r="F24" s="97">
        <v>3196.3846373657216</v>
      </c>
      <c r="G24" s="8">
        <v>0</v>
      </c>
      <c r="H24" s="97">
        <v>3196.3846373657216</v>
      </c>
      <c r="I24" s="8">
        <v>0</v>
      </c>
      <c r="J24" s="97">
        <v>3196.3846373657216</v>
      </c>
      <c r="K24" s="8">
        <v>0</v>
      </c>
      <c r="L24" s="97">
        <v>3196.3846373657216</v>
      </c>
      <c r="M24" s="8">
        <v>0</v>
      </c>
      <c r="N24" s="97">
        <v>3196.3846373657216</v>
      </c>
      <c r="O24" s="8">
        <v>0</v>
      </c>
      <c r="P24" s="97">
        <v>3196.3846373657216</v>
      </c>
      <c r="Q24" s="8">
        <v>0</v>
      </c>
      <c r="R24" s="97">
        <v>3196.3846373657216</v>
      </c>
      <c r="S24" s="8">
        <v>0</v>
      </c>
      <c r="T24" s="97">
        <v>3196.3846373657216</v>
      </c>
      <c r="U24" s="8">
        <v>0</v>
      </c>
      <c r="V24" s="97">
        <v>3196.3846373657216</v>
      </c>
      <c r="W24" s="8">
        <v>0</v>
      </c>
      <c r="X24" s="97">
        <v>3196.3846373657216</v>
      </c>
      <c r="Y24" s="8">
        <v>0</v>
      </c>
      <c r="Z24" s="97">
        <v>3196.3846373657216</v>
      </c>
      <c r="AA24" s="8">
        <v>0</v>
      </c>
      <c r="AB24" s="97">
        <v>3196.3846373657216</v>
      </c>
      <c r="AC24" s="8">
        <v>0</v>
      </c>
      <c r="AD24" s="97">
        <v>3196.3846373657216</v>
      </c>
      <c r="AE24" s="8">
        <v>0</v>
      </c>
      <c r="AF24" s="97">
        <v>3196.3846373657216</v>
      </c>
      <c r="AG24" s="8">
        <v>0</v>
      </c>
      <c r="AH24" s="97"/>
      <c r="AI24" s="8"/>
      <c r="AJ24" s="97"/>
      <c r="AK24" s="8"/>
      <c r="AL24" s="97"/>
      <c r="AM24" s="8"/>
      <c r="AN24" s="97"/>
      <c r="AO24" s="8"/>
      <c r="AP24" s="97"/>
      <c r="AQ24" s="8"/>
      <c r="AR24" s="97"/>
      <c r="AS24" s="8"/>
      <c r="AT24" s="97"/>
      <c r="AU24" s="8"/>
      <c r="AV24" s="97"/>
      <c r="AW24" s="8"/>
    </row>
    <row r="25" spans="1:49" x14ac:dyDescent="0.2">
      <c r="A25" t="s">
        <v>0</v>
      </c>
      <c r="B25" s="41">
        <v>3195.0476040000012</v>
      </c>
      <c r="C25" s="42">
        <v>91.012690000004397</v>
      </c>
      <c r="D25" s="41">
        <v>3164.4649812354569</v>
      </c>
      <c r="E25" s="42">
        <v>80.999662790208532</v>
      </c>
      <c r="F25" s="41">
        <v>3123.8793017149414</v>
      </c>
      <c r="G25" s="42">
        <v>71.485071762642818</v>
      </c>
      <c r="H25" s="41">
        <v>3071.240686252524</v>
      </c>
      <c r="I25" s="42">
        <v>62.51391204301509</v>
      </c>
      <c r="J25" s="41">
        <v>3004.1841537531241</v>
      </c>
      <c r="K25" s="42">
        <v>54.126321118711772</v>
      </c>
      <c r="L25" s="41">
        <v>2920.056252567821</v>
      </c>
      <c r="M25" s="42">
        <v>46.355294352371402</v>
      </c>
      <c r="N25" s="41">
        <v>2816.0329477990899</v>
      </c>
      <c r="O25" s="42">
        <v>39.223454736812442</v>
      </c>
      <c r="P25" s="41">
        <v>2689.3362892328573</v>
      </c>
      <c r="Q25" s="42">
        <v>32.739997866330768</v>
      </c>
      <c r="R25" s="41">
        <v>2537.5642425792948</v>
      </c>
      <c r="S25" s="42">
        <v>26.898758322996283</v>
      </c>
      <c r="T25" s="41">
        <v>2359.1532668261302</v>
      </c>
      <c r="U25" s="42">
        <v>21.67789654406182</v>
      </c>
      <c r="V25" s="41">
        <v>2153.925162889559</v>
      </c>
      <c r="W25" s="42">
        <v>17.042367762190576</v>
      </c>
      <c r="X25" s="41">
        <v>1923.6381779449464</v>
      </c>
      <c r="Y25" s="42">
        <v>12.951141472696758</v>
      </c>
      <c r="Z25" s="41">
        <v>1672.3849687039376</v>
      </c>
      <c r="AA25" s="42">
        <v>9.3696086815875752</v>
      </c>
      <c r="AB25" s="41">
        <v>1406.5935178596326</v>
      </c>
      <c r="AC25" s="42">
        <v>6.2876235266263896</v>
      </c>
      <c r="AD25" s="41">
        <v>1134.3232205193358</v>
      </c>
      <c r="AE25" s="42">
        <v>3.7388569708958994</v>
      </c>
      <c r="AF25" s="41">
        <v>863.75710009522993</v>
      </c>
      <c r="AG25" s="42">
        <v>1.8078439989982942</v>
      </c>
      <c r="AH25" s="41"/>
      <c r="AI25" s="42"/>
      <c r="AJ25" s="41"/>
      <c r="AK25" s="42"/>
      <c r="AL25" s="41"/>
      <c r="AM25" s="42"/>
      <c r="AN25" s="41"/>
      <c r="AO25" s="42"/>
      <c r="AP25" s="41"/>
      <c r="AQ25" s="42"/>
      <c r="AR25" s="41"/>
      <c r="AS25" s="42"/>
      <c r="AT25" s="41"/>
      <c r="AU25" s="42"/>
      <c r="AV25" s="41"/>
      <c r="AW25" s="42"/>
    </row>
    <row r="26" spans="1:49" x14ac:dyDescent="0.2">
      <c r="A26" t="s">
        <v>27</v>
      </c>
      <c r="B26" s="33">
        <v>5036.2953101960647</v>
      </c>
      <c r="C26" s="34">
        <v>74.905331803938267</v>
      </c>
      <c r="D26" s="33">
        <v>4984.781464347855</v>
      </c>
      <c r="E26" s="34">
        <v>69.727015905167093</v>
      </c>
      <c r="F26" s="33">
        <v>4923.7186024620696</v>
      </c>
      <c r="G26" s="34">
        <v>64.580776926987213</v>
      </c>
      <c r="H26" s="33">
        <v>4851.2277310236914</v>
      </c>
      <c r="I26" s="34">
        <v>59.477209738808817</v>
      </c>
      <c r="J26" s="33">
        <v>4765.1458468240508</v>
      </c>
      <c r="K26" s="34">
        <v>54.428838917047337</v>
      </c>
      <c r="L26" s="33">
        <v>4663.0510272496713</v>
      </c>
      <c r="M26" s="34">
        <v>49.45018023065559</v>
      </c>
      <c r="N26" s="33">
        <v>4542.3661702093877</v>
      </c>
      <c r="O26" s="34">
        <v>44.557094060760427</v>
      </c>
      <c r="P26" s="33">
        <v>4400.5459903754581</v>
      </c>
      <c r="Q26" s="34">
        <v>39.765403346790983</v>
      </c>
      <c r="R26" s="33">
        <v>4235.3616527279064</v>
      </c>
      <c r="S26" s="34">
        <v>35.089058115738844</v>
      </c>
      <c r="T26" s="33">
        <v>4045.288162897145</v>
      </c>
      <c r="U26" s="34">
        <v>30.537664683864019</v>
      </c>
      <c r="V26" s="33">
        <v>3829.9499865320622</v>
      </c>
      <c r="W26" s="34">
        <v>26.113868965617797</v>
      </c>
      <c r="X26" s="33">
        <v>3590.5253669011695</v>
      </c>
      <c r="Y26" s="34">
        <v>21.812649517771895</v>
      </c>
      <c r="Z26" s="33">
        <v>3329.9499515297393</v>
      </c>
      <c r="AA26" s="34">
        <v>17.624366457243056</v>
      </c>
      <c r="AB26" s="33">
        <v>3052.6366585219766</v>
      </c>
      <c r="AC26" s="34">
        <v>13.546500827965799</v>
      </c>
      <c r="AD26" s="33">
        <v>2763.2955971357728</v>
      </c>
      <c r="AE26" s="34">
        <v>9.6109942594803695</v>
      </c>
      <c r="AF26" s="33">
        <v>2464.3396231489301</v>
      </c>
      <c r="AG26" s="34">
        <v>5.9377795775618392</v>
      </c>
      <c r="AH26" s="33"/>
      <c r="AI26" s="34"/>
      <c r="AJ26" s="33"/>
      <c r="AK26" s="34"/>
      <c r="AL26" s="33"/>
      <c r="AM26" s="34"/>
      <c r="AN26" s="33"/>
      <c r="AO26" s="34"/>
      <c r="AP26" s="33"/>
      <c r="AQ26" s="34"/>
      <c r="AR26" s="33"/>
      <c r="AS26" s="34"/>
      <c r="AT26" s="33"/>
      <c r="AU26" s="34"/>
      <c r="AV26" s="33"/>
      <c r="AW26" s="34"/>
    </row>
    <row r="27" spans="1:49" x14ac:dyDescent="0.2">
      <c r="A27" t="s">
        <v>2</v>
      </c>
      <c r="B27" s="35">
        <v>6425.1981590000069</v>
      </c>
      <c r="C27" s="36">
        <v>273.22915400000028</v>
      </c>
      <c r="D27" s="35">
        <v>6349.5404787198904</v>
      </c>
      <c r="E27" s="36">
        <v>254.14163468018072</v>
      </c>
      <c r="F27" s="35">
        <v>6261.1043676907047</v>
      </c>
      <c r="G27" s="36">
        <v>235.18454687051295</v>
      </c>
      <c r="H27" s="35">
        <v>6157.5568205673335</v>
      </c>
      <c r="I27" s="36">
        <v>216.39919554321608</v>
      </c>
      <c r="J27" s="35">
        <v>6036.2517475486929</v>
      </c>
      <c r="K27" s="36">
        <v>197.83417005817111</v>
      </c>
      <c r="L27" s="35">
        <v>5894.2777782524727</v>
      </c>
      <c r="M27" s="36">
        <v>179.54557955125847</v>
      </c>
      <c r="N27" s="35">
        <v>5728.6029188927778</v>
      </c>
      <c r="O27" s="36">
        <v>161.5945737001185</v>
      </c>
      <c r="P27" s="35">
        <v>5536.3214178479866</v>
      </c>
      <c r="Q27" s="36">
        <v>144.04207997452835</v>
      </c>
      <c r="R27" s="35">
        <v>5315.017086237056</v>
      </c>
      <c r="S27" s="36">
        <v>126.94201601206828</v>
      </c>
      <c r="T27" s="35">
        <v>5063.2435161798012</v>
      </c>
      <c r="U27" s="36">
        <v>110.33216691521446</v>
      </c>
      <c r="V27" s="35">
        <v>4781.0645267232967</v>
      </c>
      <c r="W27" s="36">
        <v>94.224455488764306</v>
      </c>
      <c r="X27" s="35">
        <v>4470.529885604039</v>
      </c>
      <c r="Y27" s="36">
        <v>78.60236319746717</v>
      </c>
      <c r="Z27" s="35">
        <v>4135.894362792239</v>
      </c>
      <c r="AA27" s="36">
        <v>63.431654510422959</v>
      </c>
      <c r="AB27" s="35">
        <v>3783.238059830609</v>
      </c>
      <c r="AC27" s="36">
        <v>48.702140806207851</v>
      </c>
      <c r="AD27" s="35">
        <v>3418.9974935134169</v>
      </c>
      <c r="AE27" s="36">
        <v>34.524759829399265</v>
      </c>
      <c r="AF27" s="35">
        <v>3046.8337194062315</v>
      </c>
      <c r="AG27" s="36">
        <v>21.321846731802999</v>
      </c>
      <c r="AH27" s="35"/>
      <c r="AI27" s="36"/>
      <c r="AJ27" s="35"/>
      <c r="AK27" s="36"/>
      <c r="AL27" s="35"/>
      <c r="AM27" s="36"/>
      <c r="AN27" s="35"/>
      <c r="AO27" s="36"/>
      <c r="AP27" s="35"/>
      <c r="AQ27" s="36"/>
      <c r="AR27" s="35"/>
      <c r="AS27" s="36"/>
      <c r="AT27" s="35"/>
      <c r="AU27" s="36"/>
      <c r="AV27" s="35"/>
      <c r="AW27" s="36"/>
    </row>
    <row r="28" spans="1:49" x14ac:dyDescent="0.2">
      <c r="A28" t="s">
        <v>35</v>
      </c>
      <c r="B28" s="41">
        <v>13763.097676000023</v>
      </c>
      <c r="C28" s="42">
        <v>382.36647899999997</v>
      </c>
      <c r="D28" s="41">
        <v>13612.370335312853</v>
      </c>
      <c r="E28" s="42">
        <v>355.733987905763</v>
      </c>
      <c r="F28" s="41">
        <v>13434.919847393681</v>
      </c>
      <c r="G28" s="42">
        <v>329.27836442591575</v>
      </c>
      <c r="H28" s="41">
        <v>13225.669042873595</v>
      </c>
      <c r="I28" s="42">
        <v>303.05635204037668</v>
      </c>
      <c r="J28" s="41">
        <v>12978.813976543113</v>
      </c>
      <c r="K28" s="42">
        <v>277.13480495011612</v>
      </c>
      <c r="L28" s="41">
        <v>12687.909143798282</v>
      </c>
      <c r="M28" s="42">
        <v>251.59101818697647</v>
      </c>
      <c r="N28" s="41">
        <v>12346.164514799402</v>
      </c>
      <c r="O28" s="42">
        <v>226.50931126179887</v>
      </c>
      <c r="P28" s="41">
        <v>11946.966441674902</v>
      </c>
      <c r="Q28" s="42">
        <v>201.97375474740718</v>
      </c>
      <c r="R28" s="41">
        <v>11484.657511944009</v>
      </c>
      <c r="S28" s="42">
        <v>178.05871054338206</v>
      </c>
      <c r="T28" s="41">
        <v>10955.582912850841</v>
      </c>
      <c r="U28" s="42">
        <v>154.8161087905417</v>
      </c>
      <c r="V28" s="41">
        <v>10359.281394719219</v>
      </c>
      <c r="W28" s="42">
        <v>132.2618997591434</v>
      </c>
      <c r="X28" s="41">
        <v>9699.5504631336298</v>
      </c>
      <c r="Y28" s="42">
        <v>110.37243773174434</v>
      </c>
      <c r="Z28" s="41">
        <v>8984.9615051968303</v>
      </c>
      <c r="AA28" s="42">
        <v>89.099629271859953</v>
      </c>
      <c r="AB28" s="41">
        <v>8228.0705471263409</v>
      </c>
      <c r="AC28" s="42">
        <v>68.429764423576145</v>
      </c>
      <c r="AD28" s="41">
        <v>7442.2287997579833</v>
      </c>
      <c r="AE28" s="42">
        <v>48.520351992385351</v>
      </c>
      <c r="AF28" s="41">
        <v>6634.6725952667075</v>
      </c>
      <c r="AG28" s="42">
        <v>29.968249748376806</v>
      </c>
      <c r="AH28" s="41"/>
      <c r="AI28" s="42"/>
      <c r="AJ28" s="41"/>
      <c r="AK28" s="42"/>
      <c r="AL28" s="41"/>
      <c r="AM28" s="42"/>
      <c r="AN28" s="41"/>
      <c r="AO28" s="42"/>
      <c r="AP28" s="41"/>
      <c r="AQ28" s="42"/>
      <c r="AR28" s="41"/>
      <c r="AS28" s="42"/>
      <c r="AT28" s="41"/>
      <c r="AU28" s="42"/>
      <c r="AV28" s="41"/>
      <c r="AW28" s="42"/>
    </row>
    <row r="29" spans="1:49" x14ac:dyDescent="0.2">
      <c r="A29" t="s">
        <v>53</v>
      </c>
      <c r="B29" s="35">
        <v>14362.768558000025</v>
      </c>
      <c r="C29" s="36">
        <v>817.26650999999993</v>
      </c>
      <c r="D29" s="35">
        <v>14195.26261381686</v>
      </c>
      <c r="E29" s="36">
        <v>756.96951832679156</v>
      </c>
      <c r="F29" s="35">
        <v>13999.498827904714</v>
      </c>
      <c r="G29" s="36">
        <v>697.44488893614061</v>
      </c>
      <c r="H29" s="35">
        <v>13770.297560183873</v>
      </c>
      <c r="I29" s="36">
        <v>638.84912016932435</v>
      </c>
      <c r="J29" s="35">
        <v>13501.774337474619</v>
      </c>
      <c r="K29" s="36">
        <v>581.35750690384998</v>
      </c>
      <c r="L29" s="35">
        <v>13187.438409029879</v>
      </c>
      <c r="M29" s="36">
        <v>525.16234702370377</v>
      </c>
      <c r="N29" s="35">
        <v>12820.504654810353</v>
      </c>
      <c r="O29" s="36">
        <v>470.46213310908564</v>
      </c>
      <c r="P29" s="35">
        <v>12394.427894196211</v>
      </c>
      <c r="Q29" s="36">
        <v>417.4425505128786</v>
      </c>
      <c r="R29" s="35">
        <v>11903.690194993174</v>
      </c>
      <c r="S29" s="36">
        <v>366.25335407178488</v>
      </c>
      <c r="T29" s="35">
        <v>11344.842489201012</v>
      </c>
      <c r="U29" s="36">
        <v>316.97943660307277</v>
      </c>
      <c r="V29" s="35">
        <v>10717.672848103839</v>
      </c>
      <c r="W29" s="36">
        <v>269.61230562106999</v>
      </c>
      <c r="X29" s="35">
        <v>10026.224975661995</v>
      </c>
      <c r="Y29" s="36">
        <v>224.04493501276593</v>
      </c>
      <c r="Z29" s="35">
        <v>9279.238100447792</v>
      </c>
      <c r="AA29" s="36">
        <v>180.10903545935912</v>
      </c>
      <c r="AB29" s="35">
        <v>8489.2414788903352</v>
      </c>
      <c r="AC29" s="36">
        <v>137.70697558599096</v>
      </c>
      <c r="AD29" s="35">
        <v>7669.1751440125636</v>
      </c>
      <c r="AE29" s="36">
        <v>97.109031186678195</v>
      </c>
      <c r="AF29" s="35">
        <v>6825.1274112011661</v>
      </c>
      <c r="AG29" s="36">
        <v>59.518077408934978</v>
      </c>
      <c r="AH29" s="35"/>
      <c r="AI29" s="36"/>
      <c r="AJ29" s="35"/>
      <c r="AK29" s="36"/>
      <c r="AL29" s="35"/>
      <c r="AM29" s="36"/>
      <c r="AN29" s="35"/>
      <c r="AO29" s="36"/>
      <c r="AP29" s="35"/>
      <c r="AQ29" s="36"/>
      <c r="AR29" s="35"/>
      <c r="AS29" s="36"/>
      <c r="AT29" s="35"/>
      <c r="AU29" s="36"/>
      <c r="AV29" s="35"/>
      <c r="AW29" s="36"/>
    </row>
    <row r="30" spans="1:49" x14ac:dyDescent="0.2">
      <c r="A30" t="s">
        <v>48</v>
      </c>
      <c r="B30" s="119">
        <v>2924829.9599999995</v>
      </c>
      <c r="D30" s="119">
        <v>2937994.0499694743</v>
      </c>
      <c r="F30" s="119">
        <v>2945802.5789810806</v>
      </c>
      <c r="H30" s="119">
        <v>2947125.9585534153</v>
      </c>
      <c r="J30" s="119">
        <v>2940677.634305289</v>
      </c>
      <c r="L30" s="119">
        <v>2925051.2844707039</v>
      </c>
      <c r="N30" s="119">
        <v>2898824.3192097414</v>
      </c>
      <c r="P30" s="119">
        <v>2860735.7572199171</v>
      </c>
      <c r="R30" s="119">
        <v>2809961.5892427694</v>
      </c>
      <c r="T30" s="119">
        <v>2746504.4286872204</v>
      </c>
      <c r="V30" s="119">
        <v>2671700.1238679225</v>
      </c>
      <c r="X30" s="119">
        <v>2588814.6039925497</v>
      </c>
      <c r="Z30" s="119">
        <v>2503728.8396236636</v>
      </c>
      <c r="AB30" s="119">
        <v>2425747.0436198255</v>
      </c>
      <c r="AD30" s="119">
        <v>2368873.3362212935</v>
      </c>
      <c r="AF30" s="119">
        <v>2355099.2876216723</v>
      </c>
      <c r="AH30" s="119"/>
      <c r="AJ30" s="119"/>
      <c r="AL30" s="119"/>
      <c r="AN30" s="119"/>
      <c r="AP30" s="119"/>
      <c r="AR30" s="119"/>
      <c r="AT30" s="119"/>
      <c r="AV30" s="119"/>
    </row>
    <row r="31" spans="1:49" x14ac:dyDescent="0.2">
      <c r="A31" t="s">
        <v>47</v>
      </c>
      <c r="B31" s="80">
        <v>1</v>
      </c>
      <c r="D31" s="80">
        <v>0.98145304126183353</v>
      </c>
      <c r="F31" s="80">
        <v>0.96092212649832265</v>
      </c>
      <c r="H31" s="80">
        <v>0.93812007795385211</v>
      </c>
      <c r="J31" s="80">
        <v>0.91273347170440944</v>
      </c>
      <c r="L31" s="80">
        <v>0.88443251641861309</v>
      </c>
      <c r="N31" s="80">
        <v>0.85289228160143837</v>
      </c>
      <c r="P31" s="80">
        <v>0.81782512290382992</v>
      </c>
      <c r="R31" s="80">
        <v>0.77902539627170142</v>
      </c>
      <c r="T31" s="80">
        <v>0.73642409248146512</v>
      </c>
      <c r="V31" s="80">
        <v>0.6901476212752361</v>
      </c>
      <c r="X31" s="80">
        <v>0.64056225007252565</v>
      </c>
      <c r="Z31" s="80">
        <v>0.58828413802012824</v>
      </c>
      <c r="AB31" s="80">
        <v>0.53411127191337038</v>
      </c>
      <c r="AD31" s="80">
        <v>0.47881533800671722</v>
      </c>
      <c r="AF31" s="80">
        <v>0.4227191200107458</v>
      </c>
      <c r="AH31" s="80"/>
      <c r="AJ31" s="80"/>
      <c r="AL31" s="80"/>
      <c r="AN31" s="80"/>
      <c r="AP31" s="80"/>
      <c r="AR31" s="80"/>
      <c r="AT31" s="80"/>
      <c r="AV31" s="80"/>
    </row>
    <row r="32" spans="1:49" x14ac:dyDescent="0.2">
      <c r="A32" t="s">
        <v>64</v>
      </c>
      <c r="B32" s="86">
        <v>14734457.915000005</v>
      </c>
      <c r="D32" s="86">
        <v>14557217.63682849</v>
      </c>
      <c r="F32" s="86">
        <v>14358171.983138079</v>
      </c>
      <c r="H32" s="86">
        <v>14133812.086138729</v>
      </c>
      <c r="J32" s="86">
        <v>13880331.994719466</v>
      </c>
      <c r="L32" s="86">
        <v>13593808.881170059</v>
      </c>
      <c r="N32" s="86">
        <v>13270571.511776859</v>
      </c>
      <c r="P32" s="86">
        <v>12907780.467489464</v>
      </c>
      <c r="R32" s="86">
        <v>12504263.854921397</v>
      </c>
      <c r="T32" s="86">
        <v>12061621.807420857</v>
      </c>
      <c r="V32" s="86">
        <v>11585566.104030821</v>
      </c>
      <c r="X32" s="86">
        <v>11087343.846065568</v>
      </c>
      <c r="Z32" s="86">
        <v>10585109.106779499</v>
      </c>
      <c r="AB32" s="86">
        <v>10105056.124530634</v>
      </c>
      <c r="AD32" s="86">
        <v>9682643.9431031961</v>
      </c>
      <c r="AF32" s="86">
        <v>9366407.9387702364</v>
      </c>
      <c r="AH32" s="86"/>
      <c r="AJ32" s="86"/>
      <c r="AL32" s="86"/>
      <c r="AN32" s="86"/>
      <c r="AP32" s="86"/>
      <c r="AR32" s="86"/>
      <c r="AT32" s="86"/>
      <c r="AV32" s="86"/>
    </row>
    <row r="33" spans="1:49 16319:16321" x14ac:dyDescent="0.2">
      <c r="A33" t="s">
        <v>54</v>
      </c>
      <c r="B33" s="117">
        <v>7019665.6909999885</v>
      </c>
      <c r="D33" s="117">
        <v>6906439.3478896907</v>
      </c>
      <c r="F33" s="117">
        <v>6783429.2801987818</v>
      </c>
      <c r="H33" s="117">
        <v>6649221.7353696767</v>
      </c>
      <c r="J33" s="117">
        <v>6502318.9006510321</v>
      </c>
      <c r="L33" s="117">
        <v>6341225.8727600295</v>
      </c>
      <c r="N33" s="117">
        <v>6164608.5055502523</v>
      </c>
      <c r="P33" s="117">
        <v>5971529.8988927202</v>
      </c>
      <c r="R33" s="117">
        <v>5761786.4203625415</v>
      </c>
      <c r="T33" s="117">
        <v>5536328.5160480319</v>
      </c>
      <c r="V33" s="117">
        <v>5297762.8686144957</v>
      </c>
      <c r="X33" s="117">
        <v>5050836.091394648</v>
      </c>
      <c r="Z33" s="117">
        <v>4802846.3473977186</v>
      </c>
      <c r="AB33" s="117">
        <v>4563837.9000562383</v>
      </c>
      <c r="AD33" s="117">
        <v>4346566.6548009291</v>
      </c>
      <c r="AF33" s="117">
        <v>4166817.427822886</v>
      </c>
      <c r="AH33" s="117"/>
      <c r="AJ33" s="117"/>
      <c r="AL33" s="117"/>
      <c r="AN33" s="117"/>
      <c r="AP33" s="117"/>
      <c r="AR33" s="117"/>
      <c r="AT33" s="117"/>
      <c r="AV33" s="117"/>
    </row>
    <row r="34" spans="1:49 16319:16321" x14ac:dyDescent="0.2">
      <c r="A34" t="s">
        <v>75</v>
      </c>
      <c r="B34" s="117">
        <v>1136879.4410000162</v>
      </c>
      <c r="D34" s="117">
        <v>1116471.7223582501</v>
      </c>
      <c r="F34" s="117">
        <v>1087068.5651125882</v>
      </c>
      <c r="H34" s="117">
        <v>1046817.2293025398</v>
      </c>
      <c r="J34" s="117">
        <v>993544.927585572</v>
      </c>
      <c r="L34" s="117">
        <v>924748.93851262331</v>
      </c>
      <c r="N34" s="117">
        <v>837647.03183763963</v>
      </c>
      <c r="P34" s="117">
        <v>729284.68225717242</v>
      </c>
      <c r="R34" s="117">
        <v>596693.60195029993</v>
      </c>
      <c r="T34" s="117">
        <v>437109.66372322349</v>
      </c>
      <c r="V34" s="117">
        <v>248178.84237778623</v>
      </c>
      <c r="X34" s="117">
        <v>28066.160027086968</v>
      </c>
      <c r="Z34" s="117">
        <v>-224736.65975359495</v>
      </c>
      <c r="AB34" s="117">
        <v>-512258.92338047147</v>
      </c>
      <c r="AD34" s="117">
        <v>-839312.65973952413</v>
      </c>
      <c r="AF34" s="117">
        <v>-1218981.0502321853</v>
      </c>
      <c r="AH34" s="117"/>
      <c r="AJ34" s="117"/>
      <c r="AL34" s="117"/>
      <c r="AN34" s="117"/>
      <c r="AP34" s="117"/>
      <c r="AR34" s="117"/>
      <c r="AT34" s="117"/>
      <c r="AV34" s="117"/>
    </row>
    <row r="35" spans="1:49 16319:16321" x14ac:dyDescent="0.2">
      <c r="A35" t="s">
        <v>78</v>
      </c>
      <c r="B35" s="233">
        <v>1</v>
      </c>
      <c r="D35" s="233">
        <v>1.0024637765825737</v>
      </c>
      <c r="F35" s="233">
        <v>1.0056533348510883</v>
      </c>
      <c r="H35" s="233">
        <v>1.0097373390590691</v>
      </c>
      <c r="J35" s="233">
        <v>1.0149339479806234</v>
      </c>
      <c r="L35" s="233">
        <v>1.0215292430195684</v>
      </c>
      <c r="N35" s="233">
        <v>1.0299018634085584</v>
      </c>
      <c r="P35" s="233">
        <v>1.0405586642502862</v>
      </c>
      <c r="R35" s="233">
        <v>1.0541889312139932</v>
      </c>
      <c r="T35" s="233">
        <v>1.0717457979295766</v>
      </c>
      <c r="V35" s="233">
        <v>1.094574684162646</v>
      </c>
      <c r="X35" s="233">
        <v>1.12461873388556</v>
      </c>
      <c r="Z35" s="233">
        <v>1.1647664607772563</v>
      </c>
      <c r="AB35" s="233">
        <v>1.2194922297147905</v>
      </c>
      <c r="AD35" s="233">
        <v>1.296216097010825</v>
      </c>
      <c r="AF35" s="233">
        <v>1.4087194342455087</v>
      </c>
      <c r="AH35" s="233"/>
      <c r="AJ35" s="233"/>
      <c r="AL35" s="233"/>
      <c r="AN35" s="233"/>
      <c r="AP35" s="233"/>
      <c r="AR35" s="233"/>
      <c r="AT35" s="233"/>
      <c r="AV35" s="233"/>
    </row>
    <row r="36" spans="1:49 16319:16321" x14ac:dyDescent="0.2">
      <c r="A36" t="s">
        <v>21</v>
      </c>
      <c r="B36" s="37">
        <v>0.47195767671988198</v>
      </c>
      <c r="C36" s="38">
        <v>0.31738834428178964</v>
      </c>
      <c r="D36" s="37">
        <v>0.47197469785683488</v>
      </c>
      <c r="E36" s="38">
        <v>0.31995234983548837</v>
      </c>
      <c r="F36" s="37">
        <v>0.47198263790318379</v>
      </c>
      <c r="G36" s="38">
        <v>0.32265316825021217</v>
      </c>
      <c r="H36" s="37">
        <v>0.4719786872065182</v>
      </c>
      <c r="I36" s="38">
        <v>0.32548102891984804</v>
      </c>
      <c r="J36" s="37">
        <v>0.47195946063846789</v>
      </c>
      <c r="K36" s="38">
        <v>0.32841899247663237</v>
      </c>
      <c r="L36" s="37">
        <v>0.47192103133995245</v>
      </c>
      <c r="M36" s="38">
        <v>0.33144132434314905</v>
      </c>
      <c r="N36" s="37">
        <v>0.47185917307678288</v>
      </c>
      <c r="O36" s="38">
        <v>0.33451305446864094</v>
      </c>
      <c r="P36" s="37">
        <v>0.47176994040619347</v>
      </c>
      <c r="Q36" s="38">
        <v>0.33759109401490822</v>
      </c>
      <c r="R36" s="37">
        <v>0.47165085060155726</v>
      </c>
      <c r="S36" s="38">
        <v>0.34062808552450186</v>
      </c>
      <c r="T36" s="37">
        <v>0.47150309460025075</v>
      </c>
      <c r="U36" s="38">
        <v>0.34358101862565793</v>
      </c>
      <c r="V36" s="37">
        <v>0.47133543399248878</v>
      </c>
      <c r="W36" s="38">
        <v>0.34642672217638149</v>
      </c>
      <c r="X36" s="37">
        <v>0.47117082867376392</v>
      </c>
      <c r="Y36" s="38">
        <v>0.34918761022691286</v>
      </c>
      <c r="Z36" s="37">
        <v>0.4710574754956206</v>
      </c>
      <c r="AA36" s="38">
        <v>0.35197296448075255</v>
      </c>
      <c r="AB36" s="37">
        <v>0.47108723125644769</v>
      </c>
      <c r="AC36" s="38">
        <v>0.3550454091749537</v>
      </c>
      <c r="AD36" s="37">
        <v>0.47142864100311421</v>
      </c>
      <c r="AE36" s="38">
        <v>0.35893504697980877</v>
      </c>
      <c r="AF36" s="37">
        <v>0.47239911847977434</v>
      </c>
      <c r="AG36" s="38">
        <v>0.36467407517044992</v>
      </c>
      <c r="AH36" s="37"/>
      <c r="AI36" s="38"/>
      <c r="AJ36" s="37"/>
      <c r="AK36" s="38"/>
      <c r="AL36" s="37"/>
      <c r="AM36" s="38"/>
      <c r="AN36" s="37"/>
      <c r="AO36" s="38"/>
      <c r="AP36" s="37"/>
      <c r="AQ36" s="38"/>
      <c r="AR36" s="37"/>
      <c r="AS36" s="38"/>
      <c r="AT36" s="37"/>
      <c r="AU36" s="38"/>
      <c r="AV36" s="37"/>
      <c r="AW36" s="38"/>
    </row>
    <row r="37" spans="1:49 16319:16321" x14ac:dyDescent="0.2">
      <c r="B37" s="39">
        <v>2.1403217525954466E-2</v>
      </c>
      <c r="C37" s="40">
        <v>0.34962461301992515</v>
      </c>
      <c r="D37" s="39">
        <v>2.1060862241750154E-2</v>
      </c>
      <c r="E37" s="40">
        <v>0.34694958090876959</v>
      </c>
      <c r="F37" s="39">
        <v>2.0720592786834958E-2</v>
      </c>
      <c r="G37" s="40">
        <v>0.3442918993339687</v>
      </c>
      <c r="H37" s="39">
        <v>2.0384429196591496E-2</v>
      </c>
      <c r="I37" s="40">
        <v>0.34166861819900574</v>
      </c>
      <c r="J37" s="39">
        <v>2.0054771208104206E-2</v>
      </c>
      <c r="K37" s="40">
        <v>0.33909961014483181</v>
      </c>
      <c r="L37" s="39">
        <v>1.9734409706792425E-2</v>
      </c>
      <c r="M37" s="40">
        <v>0.336607523473063</v>
      </c>
      <c r="N37" s="39">
        <v>1.9426413295926474E-2</v>
      </c>
      <c r="O37" s="40">
        <v>0.33421676287137952</v>
      </c>
      <c r="P37" s="39">
        <v>1.9133910395649403E-2</v>
      </c>
      <c r="Q37" s="40">
        <v>0.33195170230364818</v>
      </c>
      <c r="R37" s="39">
        <v>1.8859711982669766E-2</v>
      </c>
      <c r="S37" s="40">
        <v>0.32983377733581726</v>
      </c>
      <c r="T37" s="39">
        <v>1.8605662402812743E-2</v>
      </c>
      <c r="U37" s="40">
        <v>0.32787669304057404</v>
      </c>
      <c r="V37" s="39">
        <v>1.8371619692295706E-2</v>
      </c>
      <c r="W37" s="40">
        <v>0.32607912767267139</v>
      </c>
      <c r="X37" s="39">
        <v>1.8153870886225422E-2</v>
      </c>
      <c r="Y37" s="40">
        <v>0.32441361808120051</v>
      </c>
      <c r="Z37" s="39">
        <v>1.7942692182699435E-2</v>
      </c>
      <c r="AA37" s="40">
        <v>0.32280967543806288</v>
      </c>
      <c r="AB37" s="39">
        <v>1.7718638597338375E-2</v>
      </c>
      <c r="AC37" s="40">
        <v>0.3211284975525065</v>
      </c>
      <c r="AD37" s="39">
        <v>1.7446901727969977E-2</v>
      </c>
      <c r="AE37" s="40">
        <v>0.319125714992751</v>
      </c>
      <c r="AF37" s="39">
        <v>1.7067777225425469E-2</v>
      </c>
      <c r="AG37" s="40">
        <v>0.31639228713484979</v>
      </c>
      <c r="AH37" s="39"/>
      <c r="AI37" s="40"/>
      <c r="AJ37" s="39"/>
      <c r="AK37" s="40"/>
      <c r="AL37" s="39"/>
      <c r="AM37" s="40"/>
      <c r="AN37" s="39"/>
      <c r="AO37" s="40"/>
      <c r="AP37" s="39"/>
      <c r="AQ37" s="40"/>
      <c r="AR37" s="39"/>
      <c r="AS37" s="40"/>
      <c r="AT37" s="39"/>
      <c r="AU37" s="40"/>
      <c r="AV37" s="39"/>
      <c r="AW37" s="40"/>
    </row>
    <row r="38" spans="1:49 16319:16321" x14ac:dyDescent="0.2">
      <c r="A38" t="s">
        <v>22</v>
      </c>
      <c r="B38" s="37">
        <v>0.18079094942242827</v>
      </c>
      <c r="C38" s="38">
        <v>6.0565413429233668E-2</v>
      </c>
      <c r="D38" s="37">
        <v>0.18104718934298289</v>
      </c>
      <c r="E38" s="38">
        <v>6.0633420919132583E-2</v>
      </c>
      <c r="F38" s="37">
        <v>0.18132723409593282</v>
      </c>
      <c r="G38" s="38">
        <v>6.0710017913774346E-2</v>
      </c>
      <c r="H38" s="37">
        <v>0.18163269160161188</v>
      </c>
      <c r="I38" s="38">
        <v>6.079564517173322E-2</v>
      </c>
      <c r="J38" s="37">
        <v>0.18196484258725995</v>
      </c>
      <c r="K38" s="38">
        <v>6.0890522692468661E-2</v>
      </c>
      <c r="L38" s="37">
        <v>0.18232437961736372</v>
      </c>
      <c r="M38" s="38">
        <v>6.0994529290542561E-2</v>
      </c>
      <c r="N38" s="37">
        <v>0.18271112375639278</v>
      </c>
      <c r="O38" s="38">
        <v>6.1107101523975652E-2</v>
      </c>
      <c r="P38" s="37">
        <v>0.18312365544821435</v>
      </c>
      <c r="Q38" s="38">
        <v>6.1227176856755848E-2</v>
      </c>
      <c r="R38" s="37">
        <v>0.18355882166515836</v>
      </c>
      <c r="S38" s="38">
        <v>6.1353160188151235E-2</v>
      </c>
      <c r="T38" s="37">
        <v>0.18401108888702508</v>
      </c>
      <c r="U38" s="38">
        <v>6.1483000726830168E-2</v>
      </c>
      <c r="V38" s="37">
        <v>0.18447154298822088</v>
      </c>
      <c r="W38" s="38">
        <v>6.1614469253901329E-2</v>
      </c>
      <c r="X38" s="37">
        <v>0.18492625323015388</v>
      </c>
      <c r="Y38" s="38">
        <v>6.1745567420595171E-2</v>
      </c>
      <c r="Z38" s="37">
        <v>0.18535347026026527</v>
      </c>
      <c r="AA38" s="38">
        <v>6.1875284112003451E-2</v>
      </c>
      <c r="AB38" s="37">
        <v>0.18571886095159276</v>
      </c>
      <c r="AC38" s="38">
        <v>6.2004788943155864E-2</v>
      </c>
      <c r="AD38" s="37">
        <v>0.1859668457107527</v>
      </c>
      <c r="AE38" s="38">
        <v>6.2139642724961135E-2</v>
      </c>
      <c r="AF38" s="37">
        <v>0.18600131924818356</v>
      </c>
      <c r="AG38" s="38">
        <v>6.2294601208642365E-2</v>
      </c>
      <c r="AH38" s="37"/>
      <c r="AI38" s="38"/>
      <c r="AJ38" s="37"/>
      <c r="AK38" s="38"/>
      <c r="AL38" s="37"/>
      <c r="AM38" s="38"/>
      <c r="AN38" s="37"/>
      <c r="AO38" s="38"/>
      <c r="AP38" s="37"/>
      <c r="AQ38" s="38"/>
      <c r="AR38" s="37"/>
      <c r="AS38" s="38"/>
      <c r="AT38" s="37"/>
      <c r="AU38" s="38"/>
      <c r="AV38" s="37"/>
      <c r="AW38" s="38"/>
    </row>
    <row r="39" spans="1:49 16319:16321" x14ac:dyDescent="0.2">
      <c r="A39" t="s">
        <v>23</v>
      </c>
      <c r="B39" s="39">
        <v>0.23064923795098646</v>
      </c>
      <c r="C39" s="40">
        <v>0.22092201281804777</v>
      </c>
      <c r="D39" s="39">
        <v>0.23061521663761217</v>
      </c>
      <c r="E39" s="40">
        <v>0.22099722049768525</v>
      </c>
      <c r="F39" s="39">
        <v>0.23057953328437922</v>
      </c>
      <c r="G39" s="40">
        <v>0.22108835992626755</v>
      </c>
      <c r="H39" s="39">
        <v>0.23054238659159049</v>
      </c>
      <c r="I39" s="40">
        <v>0.22119613151774195</v>
      </c>
      <c r="J39" s="39">
        <v>0.2305040883044199</v>
      </c>
      <c r="K39" s="40">
        <v>0.22132065024631353</v>
      </c>
      <c r="L39" s="39">
        <v>0.23046510384128263</v>
      </c>
      <c r="M39" s="40">
        <v>0.22146123754949734</v>
      </c>
      <c r="N39" s="39">
        <v>0.23042604617161519</v>
      </c>
      <c r="O39" s="40">
        <v>0.22161624829822182</v>
      </c>
      <c r="P39" s="39">
        <v>0.23038764234936751</v>
      </c>
      <c r="Q39" s="40">
        <v>0.22178298629346413</v>
      </c>
      <c r="R39" s="39">
        <v>0.2303506414502956</v>
      </c>
      <c r="S39" s="40">
        <v>0.2219579054332588</v>
      </c>
      <c r="T39" s="39">
        <v>0.2303155956249992</v>
      </c>
      <c r="U39" s="40">
        <v>0.2221372449028586</v>
      </c>
      <c r="V39" s="39">
        <v>0.2302824719571599</v>
      </c>
      <c r="W39" s="40">
        <v>0.22231825637640495</v>
      </c>
      <c r="X39" s="39">
        <v>0.23024996545608284</v>
      </c>
      <c r="Y39" s="40">
        <v>0.22250151281590272</v>
      </c>
      <c r="Z39" s="39">
        <v>0.23021438277810816</v>
      </c>
      <c r="AA39" s="40">
        <v>0.22269462304069806</v>
      </c>
      <c r="AB39" s="39">
        <v>0.23016779976711929</v>
      </c>
      <c r="AC39" s="40">
        <v>0.22291852339717738</v>
      </c>
      <c r="AD39" s="39">
        <v>0.23009488381217841</v>
      </c>
      <c r="AE39" s="40">
        <v>0.22321897017551146</v>
      </c>
      <c r="AF39" s="39">
        <v>0.22996631065618348</v>
      </c>
      <c r="AG39" s="40">
        <v>0.22369236207566673</v>
      </c>
      <c r="AH39" s="39"/>
      <c r="AI39" s="40"/>
      <c r="AJ39" s="39"/>
      <c r="AK39" s="40"/>
      <c r="AL39" s="39"/>
      <c r="AM39" s="40"/>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0.11789384135358849</v>
      </c>
      <c r="E42" s="135"/>
      <c r="F42" s="177">
        <f>10.8%+(1-10.8%)*(1-SUM(F26:G26)/SUM($B$26:$C$26))</f>
        <v>0.12944856637951654</v>
      </c>
      <c r="G42" s="135"/>
      <c r="H42" s="177">
        <f>10.8%+(1-10.8%)*(1-SUM(H26:I26)/SUM($B$26:$C$26))</f>
        <v>0.14299024554705655</v>
      </c>
      <c r="I42" s="135"/>
      <c r="J42" s="177">
        <f>10.8%+(1-10.8%)*(1-SUM(J26:K26)/SUM($B$26:$C$26))</f>
        <v>0.1588941775529977</v>
      </c>
      <c r="K42" s="135"/>
      <c r="L42" s="177">
        <f>10.8%+(1-10.8%)*(1-SUM(L26:M26)/SUM($B$26:$C$26))</f>
        <v>0.17758049986712907</v>
      </c>
      <c r="M42" s="135"/>
      <c r="N42" s="177">
        <f>10.8%+(1-10.8%)*(1-SUM(N26:O26)/SUM($B$26:$C$26))</f>
        <v>0.1994961970172312</v>
      </c>
      <c r="O42" s="135"/>
      <c r="P42" s="177">
        <f>10.8%+(1-10.8%)*(1-SUM(P26:Q26)/SUM($B$26:$C$26))</f>
        <v>0.22508270744573849</v>
      </c>
      <c r="Q42" s="135"/>
      <c r="R42" s="177">
        <f>10.8%+(1-10.8%)*(1-SUM(R26:S26)/SUM($B$26:$C$26))</f>
        <v>0.25472656996263365</v>
      </c>
      <c r="S42" s="135"/>
      <c r="T42" s="177">
        <f>10.8%+(1-10.8%)*(1-SUM(T26:U26)/SUM($B$26:$C$26))</f>
        <v>0.28869224809385646</v>
      </c>
      <c r="U42" s="135"/>
      <c r="V42" s="177">
        <f>10.8%+(1-10.8%)*(1-SUM(V26:W26)/SUM($B$26:$C$26))</f>
        <v>0.32704481783794381</v>
      </c>
      <c r="W42" s="135"/>
      <c r="X42" s="177">
        <f>10.8%+(1-10.8%)*(1-SUM(X26:Y26)/SUM($B$26:$C$26))</f>
        <v>0.36957953006813438</v>
      </c>
      <c r="Y42" s="162"/>
      <c r="Z42" s="177">
        <f>10.8%+(1-10.8%)*(1-SUM(Z26:AA26)/SUM($B$26:$C$26))</f>
        <v>0.41578574178689298</v>
      </c>
      <c r="AA42" s="135"/>
      <c r="AB42" s="177">
        <f>10.8%+(1-10.8%)*(1-SUM(AB26:AC26)/SUM($B$26:$C$26))</f>
        <v>0.4648937559473435</v>
      </c>
      <c r="AC42" s="135"/>
      <c r="AD42" s="177">
        <f>10.8%+(1-10.8%)*(1-SUM(AD26:AE26)/SUM($B$26:$C$26))</f>
        <v>0.51607599607815124</v>
      </c>
      <c r="AE42" s="135"/>
      <c r="AF42" s="177">
        <f>10.8%+(1-10.8%)*(1-SUM(AF26:AG26)/SUM($B$26:$C$26))</f>
        <v>0.56889044325017735</v>
      </c>
      <c r="AG42" s="135"/>
      <c r="AH42" s="177">
        <f>10.8%+(1-10.8%)*(1-SUM(AH26:AI26)/SUM($B$26:$C$26))</f>
        <v>1</v>
      </c>
      <c r="AI42" s="135"/>
      <c r="AJ42" s="177">
        <f>10.8%+(1-10.8%)*(1-SUM(AJ26:AK26)/SUM($B$26:$C$26))</f>
        <v>1</v>
      </c>
      <c r="AK42" s="135"/>
      <c r="AL42" s="177">
        <f>10.8%+(1-10.8%)*(1-SUM(AL26:AM26)/SUM($B$26:$C$26))</f>
        <v>1</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0.56058995943839085</v>
      </c>
      <c r="C43" s="135"/>
      <c r="D43" s="162">
        <f t="array" ref="D43">SUM(D15:E15*D27:E27)/SUM(D15:E15*D27:E27,D13:E13*D26:E26)</f>
        <v>0.56772118456608844</v>
      </c>
      <c r="E43" s="135"/>
      <c r="F43" s="162">
        <f t="array" ref="F43">SUM(F15:G15*F27:G27)/SUM(F15:G15*F27:G27,F13:G13*F26:G26)</f>
        <v>0.56832409171421849</v>
      </c>
      <c r="G43" s="135"/>
      <c r="H43" s="162">
        <f t="array" ref="H43">SUM(H15:I15*H27:I27)/SUM(H15:I15*H27:I27,H13:I13*H26:I26)</f>
        <v>0.56901440842598339</v>
      </c>
      <c r="I43" s="135"/>
      <c r="J43" s="162">
        <f t="array" ref="J43">SUM(J15:K15*J27:K27)/SUM(J15:K15*J27:K27,J13:K13*J26:K26)</f>
        <v>0.56979587695459799</v>
      </c>
      <c r="K43" s="135"/>
      <c r="L43" s="162">
        <f t="array" ref="L43">SUM(L15:M15*L27:M27)/SUM(L15:M15*L27:M27,L13:M13*L26:M26)</f>
        <v>0.57066994705192975</v>
      </c>
      <c r="M43" s="135"/>
      <c r="N43" s="162">
        <f t="array" ref="N43">SUM(N15:O15*N27:O27)/SUM(N15:O15*N27:O27,N13:O13*N26:O26)</f>
        <v>0.57163467080157371</v>
      </c>
      <c r="O43" s="135"/>
      <c r="P43" s="162">
        <f t="array" ref="P43">SUM(P15:Q15*P27:Q27)/SUM(P15:Q15*P27:Q27,P13:Q13*P26:Q26)</f>
        <v>0.57268334107898422</v>
      </c>
      <c r="Q43" s="135"/>
      <c r="R43" s="162">
        <f t="array" ref="R43">SUM(R15:S15*R27:S27)/SUM(R15:S15*R27:S27,R13:S13*R26:S26)</f>
        <v>0.57380284385965652</v>
      </c>
      <c r="S43" s="135"/>
      <c r="T43" s="162">
        <f t="array" ref="T43">SUM(T15:U15*T27:U27)/SUM(T15:U15*T27:U27,T13:U13*T26:U26)</f>
        <v>0.57497161939845465</v>
      </c>
      <c r="U43" s="135"/>
      <c r="V43" s="162">
        <f t="array" ref="V43">SUM(V15:W15*V27:W27)/SUM(V15:W15*V27:W27,V13:W13*V26:W26)</f>
        <v>0.5761568692892074</v>
      </c>
      <c r="W43" s="135"/>
      <c r="X43" s="162">
        <f t="array" ref="X43">SUM(X15:Y15*X27:Y27)/SUM(X15:Y15*X27:Y27,X13:Y13*X26:Y26)</f>
        <v>0.57731047558706927</v>
      </c>
      <c r="Y43" s="135"/>
      <c r="Z43" s="162">
        <f t="array" ref="Z43">SUM(Z15:AA15*Z27:AA27)/SUM(Z15:AA15*Z27:AA27,Z13:AA13*Z26:AA26)</f>
        <v>0.57836277196849473</v>
      </c>
      <c r="AA43" s="135"/>
      <c r="AB43" s="162">
        <f t="array" ref="AB43">SUM(AB15:AC15*AB27:AC27)/SUM(AB15:AC15*AB27:AC27,AB13:AC13*AB26:AC26)</f>
        <v>0.57921332593817254</v>
      </c>
      <c r="AC43" s="135"/>
      <c r="AD43" s="162">
        <f t="array" ref="AD43">SUM(AD15:AE15*AD27:AE27)/SUM(AD15:AE15*AD27:AE27,AD13:AE13*AD26:AE26)</f>
        <v>0.57971651982790651</v>
      </c>
      <c r="AE43" s="135"/>
      <c r="AF43" s="162">
        <f t="array" ref="AF43">SUM(AF15:AG15*AF27:AG27)/SUM(AF15:AG15*AF27:AG27,AF13:AG13*AF26:AG26)</f>
        <v>0.57965038078825337</v>
      </c>
      <c r="AG43" s="135"/>
      <c r="AH43" s="162" t="e">
        <f t="array" ref="AH43">SUM(AH15:AI15*AH27:AI27)/SUM(AH15:AI15*AH27:AI27,AH13:AI13*AH26:AI26)</f>
        <v>#DIV/0!</v>
      </c>
      <c r="AI43" s="135"/>
      <c r="AJ43" s="162" t="e">
        <f t="array" ref="AJ43">SUM(AJ15:AK15*AJ27:AK27)/SUM(AJ15:AK15*AJ27:AK27,AJ13:AK13*AJ26:AK26)</f>
        <v>#DIV/0!</v>
      </c>
      <c r="AK43" s="135"/>
      <c r="AL43" s="162" t="e">
        <f t="array" ref="AL43">SUM(AL15:AM15*AL27:AM27)/SUM(AL15:AM15*AL27:AM27,AL13:AM13*AL26:AM26)</f>
        <v>#DIV/0!</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0.29754226190682465</v>
      </c>
      <c r="D44" s="193">
        <f>(SUM(D11:E11*D24:E24)+D34)/D32</f>
        <v>0.29951977100930005</v>
      </c>
      <c r="F44" s="193">
        <f>(SUM(F11:G11*F24:G24)+F34)/F32</f>
        <v>0.30150999909680093</v>
      </c>
      <c r="H44" s="193">
        <f>(SUM(H11:I11*H24:I24)+H34)/H32</f>
        <v>0.30350592936477305</v>
      </c>
      <c r="J44" s="193">
        <f>(SUM(J11:K11*J24:K24)+J34)/J32</f>
        <v>0.30549822080488709</v>
      </c>
      <c r="L44" s="193">
        <f>(SUM(L11:M11*L24:M24)+L34)/L32</f>
        <v>0.30747483224051347</v>
      </c>
      <c r="N44" s="193">
        <f>(SUM(N11:O11*N24:O24)+N34)/N32</f>
        <v>0.30942154073354361</v>
      </c>
      <c r="P44" s="193">
        <f>(SUM(P11:Q11*P24:Q24)+P34)/P32</f>
        <v>0.31132353038473398</v>
      </c>
      <c r="R44" s="193">
        <f>(SUM(R11:S11*R24:S24)+R34)/R32</f>
        <v>0.31316805968873773</v>
      </c>
      <c r="T44" s="193">
        <f>(SUM(T11:U11*T24:U24)+T34)/T32</f>
        <v>0.31495013867676092</v>
      </c>
      <c r="V44" s="193">
        <f>(SUM(V11:W11*V24:W24)+V34)/V32</f>
        <v>0.3166811148393881</v>
      </c>
      <c r="X44" s="193">
        <f>(SUM(X11:Y11*X24:Y24)+X34)/X32</f>
        <v>0.31840410188232826</v>
      </c>
      <c r="Z44" s="193">
        <f>(SUM(Z11:AA11*Z24:AA24)+Z34)/Z32</f>
        <v>0.32021767434811133</v>
      </c>
      <c r="AB44" s="193">
        <f>(SUM(AB11:AC11*AB24:AC24)+AB34)/AB32</f>
        <v>0.32231475020778605</v>
      </c>
      <c r="AD44" s="193">
        <f>(SUM(AD11:AE11*AD24:AE24)+AD34)/AD32</f>
        <v>0.32505092548165887</v>
      </c>
      <c r="AF44" s="193">
        <f>(SUM(AF11:AG11*AF24:AG24)+AF34)/AF32</f>
        <v>0.32908555404975648</v>
      </c>
      <c r="AH44" s="193" t="e">
        <f>(SUM(AH11:AI11*AH24:AI24)+AH34)/AH32</f>
        <v>#DIV/0!</v>
      </c>
      <c r="AJ44" s="193" t="e">
        <f>(SUM(AJ11:AK11*AJ24:AK24)+AJ34)/AJ32</f>
        <v>#DIV/0!</v>
      </c>
      <c r="AL44" s="193" t="e">
        <f>(SUM(AL11:AM11*AL24:AM24)+AL34)/AL32</f>
        <v>#DIV/0!</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0.22282436463345015</v>
      </c>
      <c r="F45" s="193">
        <f>SUM(F11:G11*F24:G24)/F32</f>
        <v>0.22579920761239625</v>
      </c>
      <c r="H45" s="193">
        <f>SUM(H11:I11*H24:I24)/H32</f>
        <v>0.22944118144519579</v>
      </c>
      <c r="J45" s="193">
        <f>SUM(J11:K11*J24:K24)/J32</f>
        <v>0.23391888624980958</v>
      </c>
      <c r="L45" s="193">
        <f>SUM(L11:M11*L24:M24)/L32</f>
        <v>0.23944761877912876</v>
      </c>
      <c r="N45" s="193">
        <f>SUM(N11:O11*N24:O24)/N32</f>
        <v>0.24630089584690276</v>
      </c>
      <c r="P45" s="193">
        <f>SUM(P11:Q11*P24:Q24)/P32</f>
        <v>0.2548239110974363</v>
      </c>
      <c r="R45" s="193">
        <f>SUM(R11:S11*R24:S24)/R32</f>
        <v>0.26544884895603599</v>
      </c>
      <c r="T45" s="193">
        <f>SUM(T11:U11*T24:U24)/T32</f>
        <v>0.27871042973029952</v>
      </c>
      <c r="V45" s="193">
        <f>SUM(V11:W11*V24:W24)/V32</f>
        <v>0.29525973239253123</v>
      </c>
      <c r="X45" s="193">
        <f>SUM(X11:Y11*X24:Y24)/X32</f>
        <v>0.31587273274498101</v>
      </c>
      <c r="Z45" s="193">
        <f>SUM(Z11:AA11*Z24:AA24)/Z32</f>
        <v>0.34144907191676338</v>
      </c>
      <c r="AB45" s="193">
        <f>SUM(AB11:AC11*AB24:AC24)/AB32</f>
        <v>0.37300807808915548</v>
      </c>
      <c r="AD45" s="193">
        <f>SUM(AD11:AE11*AD24:AE24)/AD32</f>
        <v>0.41173310285712195</v>
      </c>
      <c r="AF45" s="193">
        <f>SUM(AF11:AG11*AF24:AG24)/AF32</f>
        <v>0.45922947455811641</v>
      </c>
      <c r="AH45" s="193" t="e">
        <f>SUM(AH11:AI11*AH24:AI24)/AH32</f>
        <v>#DIV/0!</v>
      </c>
      <c r="AJ45" s="193" t="e">
        <f>SUM(AJ11:AK11*AJ24:AK24)/AJ32</f>
        <v>#DIV/0!</v>
      </c>
      <c r="AL45" s="193" t="e">
        <f>SUM(AL11:AM11*AL24:AM24)/AL32</f>
        <v>#DIV/0!</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7.7157873574883795E-2</v>
      </c>
      <c r="D46" s="193">
        <f>D34/D32</f>
        <v>7.6695406375849873E-2</v>
      </c>
      <c r="F46" s="193">
        <f>F34/F32</f>
        <v>7.5710791484404669E-2</v>
      </c>
      <c r="H46" s="193">
        <f>H34/H32</f>
        <v>7.406474791957729E-2</v>
      </c>
      <c r="J46" s="193">
        <f>J34/J32</f>
        <v>7.1579334555077576E-2</v>
      </c>
      <c r="L46" s="193">
        <f>L34/L32</f>
        <v>6.8027213461384739E-2</v>
      </c>
      <c r="N46" s="193">
        <f>N34/N32</f>
        <v>6.3120644886640848E-2</v>
      </c>
      <c r="P46" s="193">
        <f>P34/P32</f>
        <v>5.6499619287297714E-2</v>
      </c>
      <c r="R46" s="193">
        <f>R34/R32</f>
        <v>4.7719210732701772E-2</v>
      </c>
      <c r="T46" s="193">
        <f>T34/T32</f>
        <v>3.6239708946461391E-2</v>
      </c>
      <c r="V46" s="193">
        <f>V34/V32</f>
        <v>2.1421382446856908E-2</v>
      </c>
      <c r="X46" s="193">
        <f>X34/X32</f>
        <v>2.5313691373472168E-3</v>
      </c>
      <c r="Z46" s="193">
        <f>Z34/Z32</f>
        <v>-2.1231397568652052E-2</v>
      </c>
      <c r="AB46" s="193">
        <f>AB34/AB32</f>
        <v>-5.0693327881369404E-2</v>
      </c>
      <c r="AD46" s="193">
        <f>AD34/AD32</f>
        <v>-8.6682177375463049E-2</v>
      </c>
      <c r="AF46" s="193">
        <f>AF34/AF32</f>
        <v>-0.13014392050835996</v>
      </c>
      <c r="AH46" s="193" t="e">
        <f>AH34/AH32</f>
        <v>#DIV/0!</v>
      </c>
      <c r="AJ46" s="193" t="e">
        <f>AJ34/AJ32</f>
        <v>#DIV/0!</v>
      </c>
      <c r="AL46" s="193" t="e">
        <f>AL34/AL32</f>
        <v>#DIV/0!</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1</v>
      </c>
      <c r="E48" s="191"/>
      <c r="F48" s="191">
        <f>F24/$B$24</f>
        <v>1</v>
      </c>
      <c r="G48" s="191"/>
      <c r="H48" s="191">
        <f>H24/$B$24</f>
        <v>1</v>
      </c>
      <c r="I48" s="191"/>
      <c r="J48" s="191">
        <f>J24/$B$24</f>
        <v>1</v>
      </c>
      <c r="K48" s="191"/>
      <c r="L48" s="191">
        <f>L24/$B$24</f>
        <v>1</v>
      </c>
      <c r="M48" s="191"/>
      <c r="N48" s="191">
        <f>N24/$B$24</f>
        <v>1</v>
      </c>
      <c r="O48" s="191"/>
      <c r="P48" s="191">
        <f>P24/$B$24</f>
        <v>1</v>
      </c>
      <c r="Q48" s="191"/>
      <c r="R48" s="191">
        <f>R24/$B$24</f>
        <v>1</v>
      </c>
      <c r="S48" s="191"/>
      <c r="T48" s="191">
        <f>T24/$B$24</f>
        <v>1</v>
      </c>
      <c r="U48" s="191"/>
      <c r="V48" s="191">
        <f>V24/$B$24</f>
        <v>1</v>
      </c>
      <c r="W48" s="191"/>
      <c r="X48" s="191">
        <f>X24/$B$24</f>
        <v>1</v>
      </c>
      <c r="Y48" s="191"/>
      <c r="Z48" s="191">
        <f>Z24/$B$24</f>
        <v>1</v>
      </c>
      <c r="AA48" s="191"/>
      <c r="AB48" s="191">
        <f>AB24/$B$24</f>
        <v>1</v>
      </c>
      <c r="AC48" s="191"/>
      <c r="AD48" s="191">
        <f>AD24/$B$24</f>
        <v>1</v>
      </c>
      <c r="AE48" s="191"/>
      <c r="AF48" s="191">
        <f>AF24/$B$24</f>
        <v>1</v>
      </c>
      <c r="AG48" s="191"/>
      <c r="AH48" s="191">
        <f>AH24/$B$24</f>
        <v>0</v>
      </c>
      <c r="AI48" s="191"/>
      <c r="AJ48" s="191">
        <f>AJ24/$B$24</f>
        <v>0</v>
      </c>
      <c r="AK48" s="191"/>
      <c r="AL48" s="191">
        <f>AL24/$B$24</f>
        <v>0</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0.99127340820651988</v>
      </c>
      <c r="E49" s="191"/>
      <c r="F49" s="191">
        <f>F13/F35/$B$13*$B$35</f>
        <v>0.98204828881076756</v>
      </c>
      <c r="G49" s="191"/>
      <c r="H49" s="191">
        <f>H13/H35/$B$13*$B$35</f>
        <v>0.9723261977947758</v>
      </c>
      <c r="I49" s="191"/>
      <c r="J49" s="191">
        <f>J13/J35/$B$13*$B$35</f>
        <v>0.96212546088582795</v>
      </c>
      <c r="K49" s="191"/>
      <c r="L49" s="191">
        <f>L13/L35/$B$13*$B$35</f>
        <v>0.95148700286411581</v>
      </c>
      <c r="M49" s="191"/>
      <c r="N49" s="191">
        <f>N13/N35/$B$13*$B$35</f>
        <v>0.94047859981611648</v>
      </c>
      <c r="O49" s="191"/>
      <c r="P49" s="191">
        <f>P13/P35/$B$13*$B$35</f>
        <v>0.92919777858305452</v>
      </c>
      <c r="Q49" s="191"/>
      <c r="R49" s="191">
        <f>R13/R35/$B$13*$B$35</f>
        <v>0.91777229991650133</v>
      </c>
      <c r="S49" s="191"/>
      <c r="T49" s="191">
        <f>T13/T35/$B$13*$B$35</f>
        <v>0.90635609765003966</v>
      </c>
      <c r="U49" s="191"/>
      <c r="V49" s="191">
        <f>V13/V35/$B$13*$B$35</f>
        <v>0.89512078950781471</v>
      </c>
      <c r="W49" s="191"/>
      <c r="X49" s="191">
        <f>X13/X35/$B$13*$B$35</f>
        <v>0.88424289432207026</v>
      </c>
      <c r="Y49" s="191"/>
      <c r="Z49" s="191">
        <f>Z13/Z35/$B$13*$B$35</f>
        <v>0.87388727168850688</v>
      </c>
      <c r="AA49" s="191"/>
      <c r="AB49" s="191">
        <f>AB13/AB35/$B$13*$B$35</f>
        <v>0.86418555389593887</v>
      </c>
      <c r="AC49" s="191"/>
      <c r="AD49" s="191">
        <f>AD13/AD35/$B$13*$B$35</f>
        <v>0.85520653256441181</v>
      </c>
      <c r="AE49" s="191"/>
      <c r="AF49" s="191">
        <f>AF13/AF35/$B$13*$B$35</f>
        <v>0.8469143885878454</v>
      </c>
      <c r="AG49" s="191"/>
      <c r="AH49" s="191" t="e">
        <f>AH13/AH35/$B$13*$B$35</f>
        <v>#DIV/0!</v>
      </c>
      <c r="AI49" s="191"/>
      <c r="AJ49" s="191" t="e">
        <f>AJ13/AJ35/$B$13*$B$35</f>
        <v>#DIV/0!</v>
      </c>
      <c r="AK49" s="191"/>
      <c r="AL49" s="191" t="e">
        <f>AL13/AL35/$B$13*$B$35</f>
        <v>#DIV/0!</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-352609.74585391162</v>
      </c>
      <c r="F51" s="29">
        <f>F30-F10*F23</f>
        <v>-299807.70229054289</v>
      </c>
      <c r="H51" s="29">
        <f>H30-H10*H23</f>
        <v>-247768.61954504019</v>
      </c>
      <c r="J51" s="29">
        <f>J30-J10*J23</f>
        <v>-196918.73119519837</v>
      </c>
      <c r="L51" s="29">
        <f>L30-L10*L23</f>
        <v>-147777.61869195849</v>
      </c>
      <c r="N51" s="29">
        <f>N30-N10*N23</f>
        <v>-100938.00342819886</v>
      </c>
      <c r="P51" s="29">
        <f>P30-P10*P23</f>
        <v>-57019.026806893758</v>
      </c>
      <c r="R51" s="29">
        <f>R30-R10*R23</f>
        <v>-16579.79603433609</v>
      </c>
      <c r="T51" s="29">
        <f>T30-T10*T23</f>
        <v>20020.598228237592</v>
      </c>
      <c r="V51" s="29">
        <f>V30-V10*V23</f>
        <v>52826.878321504686</v>
      </c>
      <c r="X51" s="29">
        <f>X30-X10*X23</f>
        <v>82562.608888695482</v>
      </c>
      <c r="Z51" s="29">
        <f>Z30-Z10*Z23</f>
        <v>111005.10113582853</v>
      </c>
      <c r="AB51" s="29">
        <f>AB30-AB10*AB23</f>
        <v>141537.4597591795</v>
      </c>
      <c r="AD51" s="29">
        <f>AD30-AD10*AD23</f>
        <v>180148.42273409944</v>
      </c>
      <c r="AF51" s="29">
        <f>AF30-AF10*AF23</f>
        <v>237858.32266056258</v>
      </c>
      <c r="AH51" s="29">
        <f>AH30-AH10*AH23</f>
        <v>0</v>
      </c>
      <c r="AJ51" s="29">
        <f>AJ30-AJ10*AJ23</f>
        <v>0</v>
      </c>
      <c r="AL51" s="29">
        <f>AL30-AL10*AL23</f>
        <v>0</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2013782.7951411307</v>
      </c>
      <c r="F52" s="29">
        <f t="array" ref="F52">Calibration!sL*SUM(F13:G13*F26:G26)</f>
        <v>1975173.2882662676</v>
      </c>
      <c r="H52" s="29">
        <f t="array" ref="H52">Calibration!sL*SUM(H13:I13*H26:I26)</f>
        <v>1933017.5452789478</v>
      </c>
      <c r="J52" s="29">
        <f t="array" ref="J52">Calibration!sL*SUM(J13:K13*J26:K26)</f>
        <v>1886903.7755125586</v>
      </c>
      <c r="L52" s="29">
        <f t="array" ref="L52">Calibration!sL*SUM(L13:M13*L26:M26)</f>
        <v>1836439.7743962752</v>
      </c>
      <c r="N52" s="29">
        <f t="array" ref="N52">Calibration!sL*SUM(N13:O13*N26:O26)</f>
        <v>1781302.9555954542</v>
      </c>
      <c r="P52" s="29">
        <f t="array" ref="P52">Calibration!sL*SUM(P13:Q13*P26:Q26)</f>
        <v>1721312.4594317481</v>
      </c>
      <c r="R52" s="29">
        <f t="array" ref="R52">Calibration!sL*SUM(R13:S13*R26:S26)</f>
        <v>1656527.5505973664</v>
      </c>
      <c r="T52" s="29">
        <f t="array" ref="T52">Calibration!sL*SUM(T13:U13*T26:U26)</f>
        <v>1587368.7245926715</v>
      </c>
      <c r="V52" s="29">
        <f t="array" ref="V52">Calibration!sL*SUM(V13:W13*V26:W26)</f>
        <v>1514756.4566116296</v>
      </c>
      <c r="X52" s="29">
        <f t="array" ref="X52">Calibration!sL*SUM(X13:Y13*X26:Y26)</f>
        <v>1440246.4914559857</v>
      </c>
      <c r="Z52" s="29">
        <f t="array" ref="Z52">Calibration!sL*SUM(Z13:AA13*Z26:AA26)</f>
        <v>1366142.6499731231</v>
      </c>
      <c r="AB52" s="29">
        <f t="array" ref="AB52">Calibration!sL*SUM(AB13:AC13*AB26:AC26)</f>
        <v>1295554.4954532264</v>
      </c>
      <c r="AD52" s="29">
        <f t="array" ref="AD52">Calibration!sL*SUM(AD13:AE13*AD26:AE26)</f>
        <v>1232409.9957956702</v>
      </c>
      <c r="AF52" s="29">
        <f t="array" ref="AF52">Calibration!sL*SUM(AF13:AG13*AF26:AG26)</f>
        <v>1181629.4187732432</v>
      </c>
      <c r="AH52" s="29">
        <f t="array" ref="AH52">Calibration!sL*SUM(AH13:AI13*AH26:AI26)</f>
        <v>0</v>
      </c>
      <c r="AJ52" s="29">
        <f t="array" ref="AJ52">Calibration!sL*SUM(AJ13:AK13*AJ26:AK26)</f>
        <v>0</v>
      </c>
      <c r="AL52" s="29">
        <f t="array" ref="AL52">Calibration!sL*SUM(AL13:AM13*AL26:AM26)</f>
        <v>0</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2740714.4444297305</v>
      </c>
      <c r="D53" s="29">
        <f t="array" ref="D53">Calibration!sK*SUM(D15:E15*D27:E27)</f>
        <v>2699001.719914801</v>
      </c>
      <c r="F53" s="29">
        <f t="array" ref="F53">Calibration!sK*SUM(F15:G15*F27:G27)</f>
        <v>2653767.3488494516</v>
      </c>
      <c r="H53" s="29">
        <f t="array" ref="H53">Calibration!sK*SUM(H15:I15*H27:I27)</f>
        <v>2604448.0304007442</v>
      </c>
      <c r="J53" s="29">
        <f t="array" ref="J53">Calibration!sK*SUM(J15:K15*J27:K27)</f>
        <v>2550432.7419141959</v>
      </c>
      <c r="L53" s="29">
        <f t="array" ref="L53">Calibration!sK*SUM(L15:M15*L27:M27)</f>
        <v>2491092.1320873909</v>
      </c>
      <c r="N53" s="29">
        <f t="array" ref="N53">Calibration!sK*SUM(N15:O15*N27:O27)</f>
        <v>2425835.9340763888</v>
      </c>
      <c r="P53" s="29">
        <f t="array" ref="P53">Calibration!sK*SUM(P15:Q15*P27:Q27)</f>
        <v>2354202.5504650529</v>
      </c>
      <c r="R53" s="29">
        <f t="array" ref="R53">Calibration!sK*SUM(R15:S15*R27:S27)</f>
        <v>2275989.2148122527</v>
      </c>
      <c r="T53" s="29">
        <f t="array" ref="T53">Calibration!sK*SUM(T15:U15*T27:U27)</f>
        <v>2191420.3234129357</v>
      </c>
      <c r="V53" s="29">
        <f t="array" ref="V53">Calibration!sK*SUM(V15:W15*V27:W27)</f>
        <v>2101347.101369218</v>
      </c>
      <c r="X53" s="29">
        <f t="array" ref="X53">Calibration!sK*SUM(X15:Y15*X27:Y27)</f>
        <v>2007447.3645108338</v>
      </c>
      <c r="Z53" s="29">
        <f t="array" ref="Z53">Calibration!sK*SUM(Z15:AA15*Z27:AA27)</f>
        <v>1912391.5610383316</v>
      </c>
      <c r="AB53" s="29">
        <f t="array" ref="AB53">Calibration!sK*SUM(AB15:AC15*AB27:AC27)</f>
        <v>1819917.2468522976</v>
      </c>
      <c r="AD53" s="29">
        <f t="array" ref="AD53">Calibration!sK*SUM(AD15:AE15*AD27:AE27)</f>
        <v>1734794.1794189743</v>
      </c>
      <c r="AF53" s="29">
        <f t="array" ref="AF53">Calibration!sK*SUM(AF15:AG15*AF27:AG27)</f>
        <v>1662861.7737834507</v>
      </c>
      <c r="AH53" s="29">
        <f t="array" ref="AH53">Calibration!sK*SUM(AH15:AI15*AH27:AI27)</f>
        <v>0</v>
      </c>
      <c r="AJ53" s="29">
        <f t="array" ref="AJ53">Calibration!sK*SUM(AJ15:AK15*AJ27:AK27)</f>
        <v>0</v>
      </c>
      <c r="AL53" s="29">
        <f t="array" ref="AL53">Calibration!sK*SUM(AL15:AM15*AL27:AM27)</f>
        <v>0</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0.20182387343970223</v>
      </c>
      <c r="F55" s="193">
        <f>F30/F32</f>
        <v>0.20516557277908123</v>
      </c>
      <c r="H55" s="193">
        <f>H30/H32</f>
        <v>0.20851599983020236</v>
      </c>
      <c r="J55" s="193">
        <f>J30/J32</f>
        <v>0.21185931542732692</v>
      </c>
      <c r="L55" s="193">
        <f>L30/L32</f>
        <v>0.21517525441470944</v>
      </c>
      <c r="N55" s="193">
        <f>N30/N32</f>
        <v>0.2184400511038431</v>
      </c>
      <c r="P55" s="193">
        <f>P30/P32</f>
        <v>0.22162878927366234</v>
      </c>
      <c r="R55" s="193">
        <f>R30/R32</f>
        <v>0.22472027316800675</v>
      </c>
      <c r="T55" s="193">
        <f>T30/T32</f>
        <v>0.22770606412128144</v>
      </c>
      <c r="V55" s="193">
        <f>V30/V32</f>
        <v>0.23060591945855724</v>
      </c>
      <c r="X55" s="193">
        <f>X30/X32</f>
        <v>0.23349276796454826</v>
      </c>
      <c r="Z55" s="193">
        <f>Z30/Z32</f>
        <v>0.23653311594304566</v>
      </c>
      <c r="AB55" s="193">
        <f>AB30/AB32</f>
        <v>0.24005280264907961</v>
      </c>
      <c r="AD55" s="193">
        <f>AD30/AD32</f>
        <v>0.24465149706435368</v>
      </c>
      <c r="AF55" s="193">
        <f>AF30/AF32</f>
        <v>0.25144103299977399</v>
      </c>
      <c r="AH55" s="193" t="e">
        <f>AH30/AH32</f>
        <v>#DIV/0!</v>
      </c>
      <c r="AJ55" s="193" t="e">
        <f>AJ30/AJ32</f>
        <v>#DIV/0!</v>
      </c>
      <c r="AL55" s="193" t="e">
        <f>AL30/AL32</f>
        <v>#DIV/0!</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3.3448565156188284E-2</v>
      </c>
      <c r="F56" s="193">
        <f>(Model!$C$52*F5*F20+F2*G5*G20)/F32</f>
        <v>3.772877802100514E-2</v>
      </c>
      <c r="H56" s="193">
        <f>(Model!$C$52*H5*H20+H2*I5*I20)/H32</f>
        <v>4.2049190691216681E-2</v>
      </c>
      <c r="J56" s="193">
        <f>(Model!$C$52*J5*J20+J2*K5*K20)/J32</f>
        <v>4.6391850791866168E-2</v>
      </c>
      <c r="L56" s="193">
        <f>(Model!$C$52*L5*L20+L2*M5*M20)/L32</f>
        <v>5.07327062054483E-2</v>
      </c>
      <c r="N56" s="193">
        <f>(Model!$C$52*N5*N20+N2*O5*O20)/N32</f>
        <v>5.5042383809951398E-2</v>
      </c>
      <c r="P56" s="193">
        <f>(Model!$C$52*P5*P20+P2*Q5*Q20)/P32</f>
        <v>5.928867661434923E-2</v>
      </c>
      <c r="R56" s="193">
        <f>(Model!$C$52*R5*R20+R2*S5*S20)/R32</f>
        <v>6.3441880652352386E-2</v>
      </c>
      <c r="T56" s="193">
        <f>(Model!$C$52*T5*T20+T2*U5*U20)/T32</f>
        <v>6.7485092943654151E-2</v>
      </c>
      <c r="V56" s="193">
        <f>(Model!$C$52*V5*V20+V2*W5*W20)/V32</f>
        <v>7.143191256684045E-2</v>
      </c>
      <c r="X56" s="193">
        <f>(Model!$C$52*X5*X20+X2*Y5*Y20)/X32</f>
        <v>7.5355145562363515E-2</v>
      </c>
      <c r="Z56" s="193">
        <f>(Model!$C$52*Z5*Z20+Z2*AA5*AA20)/Z32</f>
        <v>7.9433183317857883E-2</v>
      </c>
      <c r="AB56" s="193">
        <f>(Model!$C$52*AB5*AB20+AB2*AC5*AC20)/AB32</f>
        <v>8.4025555523801143E-2</v>
      </c>
      <c r="AD56" s="193">
        <f>(Model!$C$52*AD5*AD20+AD2*AE5*AE20)/AD32</f>
        <v>8.980485036970319E-2</v>
      </c>
      <c r="AF56" s="193">
        <f>(Model!$C$52*AF5*AF20+AF2*AG5*AG20)/AF32</f>
        <v>9.8030823698678216E-2</v>
      </c>
      <c r="AH56" s="193" t="e">
        <f>(Model!$C$52*AH5*AH20+AH2*AI5*AI20)/AH32</f>
        <v>#DIV/0!</v>
      </c>
      <c r="AJ56" s="193" t="e">
        <f>(Model!$C$52*AJ5*AJ20+AJ2*AK5*AK20)/AJ32</f>
        <v>#DIV/0!</v>
      </c>
      <c r="AL56" s="193" t="e">
        <f>(Model!$C$52*AL5*AL20+AL2*AM5*AM20)/AL32</f>
        <v>#DIV/0!</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0.15768201249735322</v>
      </c>
      <c r="F57" s="193">
        <f t="array" ref="F57">SUM(Model!tauL*F13:G13*F26:G26)/F32</f>
        <v>0.15680285132091687</v>
      </c>
      <c r="H57" s="193">
        <f t="array" ref="H57">SUM(Model!tauL*H13:I13*H26:I26)/H32</f>
        <v>0.15589220003559492</v>
      </c>
      <c r="J57" s="193">
        <f t="array" ref="J57">SUM(Model!tauL*J13:K13*J26:K26)/J32</f>
        <v>0.15495221996170305</v>
      </c>
      <c r="L57" s="193">
        <f t="array" ref="L57">SUM(Model!tauL*L13:M13*L26:M26)/L32</f>
        <v>0.15398677858377779</v>
      </c>
      <c r="N57" s="193">
        <f t="array" ref="N57">SUM(Model!tauL*N13:O13*N26:O26)/N32</f>
        <v>0.1530016325760056</v>
      </c>
      <c r="P57" s="193">
        <f t="array" ref="P57">SUM(Model!tauL*P13:Q13*P26:Q26)/P32</f>
        <v>0.15200435992854236</v>
      </c>
      <c r="R57" s="193">
        <f t="array" ref="R57">SUM(Model!tauL*R13:S13*R26:S26)/R32</f>
        <v>0.15100399493436611</v>
      </c>
      <c r="T57" s="193">
        <f t="array" ref="T57">SUM(Model!tauL*T13:U13*T26:U26)/T32</f>
        <v>0.15000993238442242</v>
      </c>
      <c r="V57" s="193">
        <f t="array" ref="V57">SUM(Model!tauL*V13:W13*V26:W26)/V32</f>
        <v>0.14902991572447732</v>
      </c>
      <c r="X57" s="193">
        <f t="array" ref="X57">SUM(Model!tauL*X13:Y13*X26:Y26)/X32</f>
        <v>0.14806663706880877</v>
      </c>
      <c r="Y57" s="193"/>
      <c r="Z57" s="193">
        <f t="array" ref="Z57">SUM(Model!tauL*Z13:AA13*Z26:AA26)/Z32</f>
        <v>0.14711217419616218</v>
      </c>
      <c r="AB57" s="193">
        <f t="array" ref="AB57">SUM(Model!tauL*AB13:AC13*AB26:AC26)/AB32</f>
        <v>0.14613857179198081</v>
      </c>
      <c r="AD57" s="193">
        <f t="array" ref="AD57">SUM(Model!tauL*AD13:AE13*AD26:AE26)/AD32</f>
        <v>0.14508053659496406</v>
      </c>
      <c r="AF57" s="193">
        <f t="array" ref="AF57">SUM(Model!tauL*AF13:AG13*AF26:AG26)/AF32</f>
        <v>0.1437990871659133</v>
      </c>
      <c r="AH57" s="193" t="e">
        <f t="array" ref="AH57">SUM(Model!tauL*AH13:AI13*AH26:AI26)/AH32</f>
        <v>#DIV/0!</v>
      </c>
      <c r="AJ57" s="193" t="e">
        <f t="array" ref="AJ57">SUM(Model!tauL*AJ13:AK13*AJ26:AK26)/AJ32</f>
        <v>#DIV/0!</v>
      </c>
      <c r="AL57" s="193" t="e">
        <f t="array" ref="AL57">SUM(Model!tauL*AL13:AM13*AL26:AM26)/AL32</f>
        <v>#DIV/0!</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1.0693295786160703E-2</v>
      </c>
      <c r="F58" s="193">
        <f t="array" ref="F58">SUM(Model!tauY/(1+Model!tauY)*F3:G3*F18:G18)/F32</f>
        <v>1.0633943437159208E-2</v>
      </c>
      <c r="H58" s="193">
        <f t="array" ref="H58">SUM(Model!tauY/(1+Model!tauY)*H3:I3*H18:I18)/H32</f>
        <v>1.057460910339076E-2</v>
      </c>
      <c r="J58" s="193">
        <f t="array" ref="J58">SUM(Model!tauY/(1+Model!tauY)*J3:K3*J18:K18)/J32</f>
        <v>1.0515244673757702E-2</v>
      </c>
      <c r="L58" s="193">
        <f t="array" ref="L58">SUM(Model!tauY/(1+Model!tauY)*L3:M3*L18:M18)/L32</f>
        <v>1.0455769625483358E-2</v>
      </c>
      <c r="N58" s="193">
        <f t="array" ref="N58">SUM(Model!tauY/(1+Model!tauY)*N3:O3*N18:O18)/N32</f>
        <v>1.0396034717886063E-2</v>
      </c>
      <c r="P58" s="193">
        <f t="array" ref="P58">SUM(Model!tauY/(1+Model!tauY)*P3:Q3*P18:Q18)/P32</f>
        <v>1.0335752730770757E-2</v>
      </c>
      <c r="R58" s="193">
        <f t="array" ref="R58">SUM(Model!tauY/(1+Model!tauY)*R3:S3*R18:S18)/R32</f>
        <v>1.0274397581288251E-2</v>
      </c>
      <c r="T58" s="193">
        <f t="array" ref="T58">SUM(Model!tauY/(1+Model!tauY)*T3:U3*T18:U18)/T32</f>
        <v>1.0211038793204836E-2</v>
      </c>
      <c r="V58" s="193">
        <f t="array" ref="V58">SUM(Model!tauY/(1+Model!tauY)*V3:W3*V18:W18)/V32</f>
        <v>1.0144091167239465E-2</v>
      </c>
      <c r="X58" s="193">
        <f t="array" ref="X58">SUM(Model!tauY/(1+Model!tauY)*X3:Y3*X18:Y18)/X32</f>
        <v>1.0070985333375993E-2</v>
      </c>
      <c r="Y58" s="193"/>
      <c r="Z58" s="193">
        <f t="array" ref="Z58">SUM(Model!tauY/(1+Model!tauY)*Z3:AA3*Z18:AA18)/Z32</f>
        <v>9.9877584290255506E-3</v>
      </c>
      <c r="AB58" s="193">
        <f t="array" ref="AB58">SUM(Model!tauY/(1+Model!tauY)*AB3:AC3*AB18:AC18)/AB32</f>
        <v>9.8886753332976599E-3</v>
      </c>
      <c r="AD58" s="193">
        <f t="array" ref="AD58">SUM(Model!tauY/(1+Model!tauY)*AD3:AE3*AD18:AE18)/AD32</f>
        <v>9.7661100996863977E-3</v>
      </c>
      <c r="AF58" s="193">
        <f t="array" ref="AF58">SUM(Model!tauY/(1+Model!tauY)*AF3:AG3*AF18:AG18)/AF32</f>
        <v>9.6111221351824483E-3</v>
      </c>
      <c r="AH58" s="193" t="e">
        <f t="array" ref="AH58">SUM(Model!tauY/(1+Model!tauY)*AH3:AI3*AH18:AI18)/AH32</f>
        <v>#DIV/0!</v>
      </c>
      <c r="AJ58" s="193" t="e">
        <f t="array" ref="AJ58">SUM(Model!tauY/(1+Model!tauY)*AJ3:AK3*AJ18:AK18)/AJ32</f>
        <v>#DIV/0!</v>
      </c>
      <c r="AL58" s="193" t="e">
        <f t="array" ref="AL58">SUM(Model!tauY/(1+Model!tauY)*AL3:AM3*AL18:AM18)/AL32</f>
        <v>#DIV/0!</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4.8112966750881881E-3</v>
      </c>
      <c r="F59" s="193">
        <f>(F2*G5*G20)/F32</f>
        <v>9.1147337066069603E-3</v>
      </c>
      <c r="H59" s="193">
        <f>(H2*I5*I20)/H32</f>
        <v>1.3446995050343115E-2</v>
      </c>
      <c r="J59" s="193">
        <f>(J2*K5*K20)/J32</f>
        <v>1.7787091190206925E-2</v>
      </c>
      <c r="L59" s="193">
        <f>(L2*M5*M20)/L32</f>
        <v>2.2107136457072518E-2</v>
      </c>
      <c r="N59" s="193">
        <f>(N2*O5*O20)/N32</f>
        <v>2.6372984983893767E-2</v>
      </c>
      <c r="P59" s="193">
        <f>(P2*Q5*Q20)/P32</f>
        <v>3.0546586828862736E-2</v>
      </c>
      <c r="R59" s="193">
        <f>(R2*S5*S20)/R32</f>
        <v>3.4591208898445046E-2</v>
      </c>
      <c r="T59" s="193">
        <f>(T2*U5*U20)/T32</f>
        <v>3.8481720891436755E-2</v>
      </c>
      <c r="V59" s="193">
        <f>(V2*W5*W20)/V32</f>
        <v>4.2222444302381375E-2</v>
      </c>
      <c r="X59" s="193">
        <f>(X2*Y5*Y20)/X32</f>
        <v>4.5876329046063299E-2</v>
      </c>
      <c r="Z59" s="193">
        <f>(Z2*AA5*AA20)/Z32</f>
        <v>4.9612310654525628E-2</v>
      </c>
      <c r="AB59" s="193">
        <f>(AB2*AC5*AC20)/AB32</f>
        <v>5.3782493925406495E-2</v>
      </c>
      <c r="AD59" s="193">
        <f>(AD2*AE5*AE20)/AD32</f>
        <v>5.9056124994119531E-2</v>
      </c>
      <c r="AF59" s="193">
        <f>(AF2*AG5*AG20)/AF32</f>
        <v>6.6695366601561848E-2</v>
      </c>
      <c r="AH59" s="193" t="e">
        <f>(AH2*AI5*AI20)/AH32</f>
        <v>#DIV/0!</v>
      </c>
      <c r="AJ59" s="193" t="e">
        <f>(AJ2*AK5*AK20)/AJ32</f>
        <v>#DIV/0!</v>
      </c>
      <c r="AL59" s="193" t="e">
        <f>(AL2*AM5*AM20)/AL32</f>
        <v>#DIV/0!</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2.8637268481100098E-2</v>
      </c>
      <c r="F60" s="193">
        <f>Model!$C$52*F5*F20/F32</f>
        <v>2.8614044314398183E-2</v>
      </c>
      <c r="H60" s="193">
        <f>Model!$C$52*H5*H20/H32</f>
        <v>2.8602195640873566E-2</v>
      </c>
      <c r="J60" s="193">
        <f>Model!$C$52*J5*J20/J32</f>
        <v>2.8604759601659244E-2</v>
      </c>
      <c r="L60" s="193">
        <f>Model!$C$52*L5*L20/L32</f>
        <v>2.8625569748375788E-2</v>
      </c>
      <c r="N60" s="193">
        <f>Model!$C$52*N5*N20/N32</f>
        <v>2.8669398826057638E-2</v>
      </c>
      <c r="P60" s="193">
        <f>Model!$C$52*P5*P20/P32</f>
        <v>2.874208978548649E-2</v>
      </c>
      <c r="R60" s="193">
        <f>Model!$C$52*R5*R20/R32</f>
        <v>2.8850671753907341E-2</v>
      </c>
      <c r="T60" s="193">
        <f>Model!$C$52*T5*T20/T32</f>
        <v>2.9003372052217397E-2</v>
      </c>
      <c r="V60" s="193">
        <f>Model!$C$52*V5*V20/V32</f>
        <v>2.9209468264459072E-2</v>
      </c>
      <c r="X60" s="193">
        <f>Model!$C$52*X5*X20/X32</f>
        <v>2.9478816516300226E-2</v>
      </c>
      <c r="Z60" s="193">
        <f>Model!$C$52*Z5*Z20/Z32</f>
        <v>2.9820872663332252E-2</v>
      </c>
      <c r="AB60" s="193">
        <f>Model!$C$52*AB5*AB20/AB32</f>
        <v>3.0243061598394655E-2</v>
      </c>
      <c r="AD60" s="193">
        <f>Model!$C$52*AD5*AD20/AD32</f>
        <v>3.0748725375583659E-2</v>
      </c>
      <c r="AF60" s="193">
        <f>Model!$C$52*AF5*AF20/AF32</f>
        <v>3.1335457097116375E-2</v>
      </c>
      <c r="AH60" s="193" t="e">
        <f>Model!$C$52*AH5*AH20/AH32</f>
        <v>#DIV/0!</v>
      </c>
      <c r="AJ60" s="193" t="e">
        <f>Model!$C$52*AJ5*AJ20/AJ32</f>
        <v>#DIV/0!</v>
      </c>
      <c r="AL60" s="193" t="e">
        <f>Model!$C$52*AL5*AL20/AL32</f>
        <v>#DIV/0!</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0.99480069965340667</v>
      </c>
      <c r="F62">
        <f>F13/F15</f>
        <v>0.98917826693643662</v>
      </c>
      <c r="H62">
        <f>H13/H15</f>
        <v>0.98311587646364396</v>
      </c>
      <c r="J62">
        <f>J13/J15</f>
        <v>0.97660587986226044</v>
      </c>
      <c r="L62">
        <f>L13/L15</f>
        <v>0.96965439621665206</v>
      </c>
      <c r="N62">
        <f>N13/N15</f>
        <v>0.96228592340766073</v>
      </c>
      <c r="P62">
        <f>P13/P15</f>
        <v>0.95454844465296651</v>
      </c>
      <c r="R62">
        <f>R13/R15</f>
        <v>0.94651916324636198</v>
      </c>
      <c r="T62">
        <f>T13/T15</f>
        <v>0.93831079235933434</v>
      </c>
      <c r="V62">
        <f>V13/V15</f>
        <v>0.93008052584871781</v>
      </c>
      <c r="X62">
        <f>X13/X15</f>
        <v>0.92204523437448904</v>
      </c>
      <c r="Z62">
        <f>Z13/Z15</f>
        <v>0.91450900079933983</v>
      </c>
      <c r="AB62">
        <f>AB13/AB15</f>
        <v>0.90791263834987312</v>
      </c>
      <c r="AD62">
        <f>AD13/AD15</f>
        <v>0.9029291254235301</v>
      </c>
      <c r="AF62">
        <f>AF13/AF15</f>
        <v>0.90069174690341192</v>
      </c>
      <c r="AH62" t="e">
        <f>AH13/AH15</f>
        <v>#DIV/0!</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0.99900795411573129</v>
      </c>
      <c r="E65" s="191"/>
      <c r="F65" s="191">
        <f t="array" ref="F65">SQRT((F9:G9*$B$22:$C$22+F10:G10*$B$23:$C$23+F11:G11*$B$24:$C$24+F4:G4*($B$25:$C$25-$B$19:$C$19))/($B$9:$C$9*$B$22:$C$22+$B$10:$C$10*$B$23:$C$23+$B$11:$C$11*$B$24:$C$24+$B$4:$C$4*($B$25:$C$25-$B$19:$C$19))*(F9:G9*F22:G22+F10:G10*F23:G23+F11:G11*F24:G24+F4:G4*(F25:G25-F19:G19))/($B$9:$C$9*F22:G22+$B$10:$C$10*F23:G23+$B$11:$C$11*F24:G24+$B$4:$C$4*(F25:G25-F19:G19)))</f>
        <v>0.99854908375660911</v>
      </c>
      <c r="G65" s="191"/>
      <c r="H65" s="191">
        <f t="array" ref="H65">SQRT((H9:I9*$B$22:$C$22+H10:I10*$B$23:$C$23+H11:I11*$B$24:$C$24+H4:I4*($B$25:$C$25-$B$19:$C$19))/($B$9:$C$9*$B$22:$C$22+$B$10:$C$10*$B$23:$C$23+$B$11:$C$11*$B$24:$C$24+$B$4:$C$4*($B$25:$C$25-$B$19:$C$19))*(H9:I9*H22:I22+H10:I10*H23:I23+H11:I11*H24:I24+H4:I4*(H25:I25-H19:I19))/($B$9:$C$9*H22:I22+$B$10:$C$10*H23:I23+$B$11:$C$11*H24:I24+$B$4:$C$4*(H25:I25-H19:I19)))</f>
        <v>0.9987770402707048</v>
      </c>
      <c r="I65" s="191"/>
      <c r="J65" s="191">
        <f t="array" ref="J65">SQRT((J9:K9*$B$22:$C$22+J10:K10*$B$23:$C$23+J11:K11*$B$24:$C$24+J4:K4*($B$25:$C$25-$B$19:$C$19))/($B$9:$C$9*$B$22:$C$22+$B$10:$C$10*$B$23:$C$23+$B$11:$C$11*$B$24:$C$24+$B$4:$C$4*($B$25:$C$25-$B$19:$C$19))*(J9:K9*J22:K22+J10:K10*J23:K23+J11:K11*J24:K24+J4:K4*(J25:K25-J19:K19))/($B$9:$C$9*J22:K22+$B$10:$C$10*J23:K23+$B$11:$C$11*J24:K24+$B$4:$C$4*(J25:K25-J19:K19)))</f>
        <v>0.99989554478621434</v>
      </c>
      <c r="K65" s="191"/>
      <c r="L65" s="191">
        <f t="array" ref="L65">SQRT((L9:M9*$B$22:$C$22+L10:M10*$B$23:$C$23+L11:M11*$B$24:$C$24+L4:M4*($B$25:$C$25-$B$19:$C$19))/($B$9:$C$9*$B$22:$C$22+$B$10:$C$10*$B$23:$C$23+$B$11:$C$11*$B$24:$C$24+$B$4:$C$4*($B$25:$C$25-$B$19:$C$19))*(L9:M9*L22:M22+L10:M10*L23:M23+L11:M11*L24:M24+L4:M4*(L25:M25-L19:M19))/($B$9:$C$9*L22:M22+$B$10:$C$10*L23:M23+$B$11:$C$11*L24:M24+$B$4:$C$4*(L25:M25-L19:M19)))</f>
        <v>1.0021774159651697</v>
      </c>
      <c r="M65" s="191"/>
      <c r="N65" s="191">
        <f t="array" ref="N65">SQRT((N9:O9*$B$22:$C$22+N10:O10*$B$23:$C$23+N11:O11*$B$24:$C$24+N4:O4*($B$25:$C$25-$B$19:$C$19))/($B$9:$C$9*$B$22:$C$22+$B$10:$C$10*$B$23:$C$23+$B$11:$C$11*$B$24:$C$24+$B$4:$C$4*($B$25:$C$25-$B$19:$C$19))*(N9:O9*N22:O22+N10:O10*N23:O23+N11:O11*N24:O24+N4:O4*(N25:O25-N19:O19))/($B$9:$C$9*N22:O22+$B$10:$C$10*N23:O23+$B$11:$C$11*N24:O24+$B$4:$C$4*(N25:O25-N19:O19)))</f>
        <v>1.0059890348478049</v>
      </c>
      <c r="O65" s="191"/>
      <c r="P65" s="191">
        <f t="array" ref="P65">SQRT((P9:Q9*$B$22:$C$22+P10:Q10*$B$23:$C$23+P11:Q11*$B$24:$C$24+P4:Q4*($B$25:$C$25-$B$19:$C$19))/($B$9:$C$9*$B$22:$C$22+$B$10:$C$10*$B$23:$C$23+$B$11:$C$11*$B$24:$C$24+$B$4:$C$4*($B$25:$C$25-$B$19:$C$19))*(P9:Q9*P22:Q22+P10:Q10*P23:Q23+P11:Q11*P24:Q24+P4:Q4*(P25:Q25-P19:Q19))/($B$9:$C$9*P22:Q22+$B$10:$C$10*P23:Q23+$B$11:$C$11*P24:Q24+$B$4:$C$4*(P25:Q25-P19:Q19)))</f>
        <v>1.0118252278075828</v>
      </c>
      <c r="Q65" s="191"/>
      <c r="R65" s="191">
        <f t="array" ref="R65">SQRT((R9:S9*$B$22:$C$22+R10:S10*$B$23:$C$23+R11:S11*$B$24:$C$24+R4:S4*($B$25:$C$25-$B$19:$C$19))/($B$9:$C$9*$B$22:$C$22+$B$10:$C$10*$B$23:$C$23+$B$11:$C$11*$B$24:$C$24+$B$4:$C$4*($B$25:$C$25-$B$19:$C$19))*(R9:S9*R22:S22+R10:S10*R23:S23+R11:S11*R24:S24+R4:S4*(R25:S25-R19:S19))/($B$9:$C$9*R22:S22+$B$10:$C$10*R23:S23+$B$11:$C$11*R24:S24+$B$4:$C$4*(R25:S25-R19:S19)))</f>
        <v>1.0203616634276336</v>
      </c>
      <c r="S65" s="191"/>
      <c r="T65" s="191">
        <f t="array" ref="T65">SQRT((T9:U9*$B$22:$C$22+T10:U10*$B$23:$C$23+T11:U11*$B$24:$C$24+T4:U4*($B$25:$C$25-$B$19:$C$19))/($B$9:$C$9*$B$22:$C$22+$B$10:$C$10*$B$23:$C$23+$B$11:$C$11*$B$24:$C$24+$B$4:$C$4*($B$25:$C$25-$B$19:$C$19))*(T9:U9*T22:U22+T10:U10*T23:U23+T11:U11*T24:U24+T4:U4*(T25:U25-T19:U19))/($B$9:$C$9*T22:U22+$B$10:$C$10*T23:U23+$B$11:$C$11*T24:U24+$B$4:$C$4*(T25:U25-T19:U19)))</f>
        <v>1.0325330086741649</v>
      </c>
      <c r="U65" s="191"/>
      <c r="V65" s="191">
        <f t="array" ref="V65">SQRT((V9:W9*$B$22:$C$22+V10:W10*$B$23:$C$23+V11:W11*$B$24:$C$24+V4:W4*($B$25:$C$25-$B$19:$C$19))/($B$9:$C$9*$B$22:$C$22+$B$10:$C$10*$B$23:$C$23+$B$11:$C$11*$B$24:$C$24+$B$4:$C$4*($B$25:$C$25-$B$19:$C$19))*(V9:W9*V22:W22+V10:W10*V23:W23+V11:W11*V24:W24+V4:W4*(V25:W25-V19:W19))/($B$9:$C$9*V22:W22+$B$10:$C$10*V23:W23+$B$11:$C$11*V24:W24+$B$4:$C$4*(V25:W25-V19:W19)))</f>
        <v>1.049657106681158</v>
      </c>
      <c r="W65" s="191"/>
      <c r="X65" s="191">
        <f t="array" ref="X65">SQRT((X9:Y9*$B$22:$C$22+X10:Y10*$B$23:$C$23+X11:Y11*$B$24:$C$24+X4:Y4*($B$25:$C$25-$B$19:$C$19))/($B$9:$C$9*$B$22:$C$22+$B$10:$C$10*$B$23:$C$23+$B$11:$C$11*$B$24:$C$24+$B$4:$C$4*($B$25:$C$25-$B$19:$C$19))*(X9:Y9*X22:Y22+X10:Y10*X23:Y23+X11:Y11*X24:Y24+X4:Y4*(X25:Y25-X19:Y19))/($B$9:$C$9*X22:Y22+$B$10:$C$10*X23:Y23+$B$11:$C$11*X24:Y24+$B$4:$C$4*(X25:Y25-X19:Y19)))</f>
        <v>1.0736371880158064</v>
      </c>
      <c r="Y65" s="191"/>
      <c r="Z65" s="191">
        <f t="array" ref="Z65">SQRT((Z9:AA9*$B$22:$C$22+Z10:AA10*$B$23:$C$23+Z11:AA11*$B$24:$C$24+Z4:AA4*($B$25:$C$25-$B$19:$C$19))/($B$9:$C$9*$B$22:$C$22+$B$10:$C$10*$B$23:$C$23+$B$11:$C$11*$B$24:$C$24+$B$4:$C$4*($B$25:$C$25-$B$19:$C$19))*(Z9:AA9*Z22:AA22+Z10:AA10*Z23:AA23+Z11:AA11*Z24:AA24+Z4:AA4*(Z25:AA25-Z19:AA19))/($B$9:$C$9*Z22:AA22+$B$10:$C$10*Z23:AA23+$B$11:$C$11*Z24:AA24+$B$4:$C$4*(Z25:AA25-Z19:AA19)))</f>
        <v>1.1073126319812643</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1.1551247748235332</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1.2245801441000261</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1.3300966259557683</v>
      </c>
      <c r="AG65" s="191"/>
      <c r="AH65" s="191" t="e">
        <f t="array" ref="AH65">SQRT((AH9:AI9*$B$22:$C$22+AH10:AI10*$B$23:$C$23+AH11:AI11*$B$24:$C$24+AH4:AI4*($B$25:$C$25-$B$19:$C$19))/($B$9:$C$9*$B$22:$C$22+$B$10:$C$10*$B$23:$C$23+$B$11:$C$11*$B$24:$C$24+$B$4:$C$4*($B$25:$C$25-$B$19:$C$19))*(AH9:AI9*AH22:AI22+AH10:AI10*AH23:AI23+AH11:AI11*AH24:AI24+AH4:AI4*(AH25:AI25-AH19:AI19))/($B$9:$C$9*AH22:AI22+$B$10:$C$10*AH23:AI23+$B$11:$C$11*AH24:AI24+$B$4:$C$4*(AH25:AI25-AH19:AI19)))</f>
        <v>#DIV/0!</v>
      </c>
      <c r="AI65" s="191"/>
      <c r="AJ65" s="19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91"/>
      <c r="AL65" s="19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0.99890931395886873</v>
      </c>
      <c r="E66" s="191"/>
      <c r="F66" s="191">
        <f t="array" ref="F66">SQRT((F9:G9*$B$22:$C$22)/($B$9:$C$9*$B$22:$C$22)*(F9:G9*F22:G22)/($B$9:$C$9*F22:G22))</f>
        <v>0.99840460474938331</v>
      </c>
      <c r="G66" s="191"/>
      <c r="H66" s="191">
        <f t="array" ref="H66">SQRT((H9:I9*$B$22:$C$22)/($B$9:$C$9*$B$22:$C$22)*(H9:I9*H22:I22)/($B$9:$C$9*H22:I22))</f>
        <v>0.99865549032767165</v>
      </c>
      <c r="I66" s="191"/>
      <c r="J66" s="191">
        <f t="array" ref="J66">SQRT((J9:K9*$B$22:$C$22)/($B$9:$C$9*$B$22:$C$22)*(J9:K9*J22:K22)/($B$9:$C$9*J22:K22))</f>
        <v>0.99988522760814635</v>
      </c>
      <c r="K66" s="191"/>
      <c r="L66" s="191">
        <f t="array" ref="L66">SQRT((L9:M9*$B$22:$C$22)/($B$9:$C$9*$B$22:$C$22)*(L9:M9*L22:M22)/($B$9:$C$9*L22:M22))</f>
        <v>1.0023899252879458</v>
      </c>
      <c r="M66" s="191"/>
      <c r="N66" s="191">
        <f t="array" ref="N66">SQRT((N9:O9*$B$22:$C$22)/($B$9:$C$9*$B$22:$C$22)*(N9:O9*N22:O22)/($B$9:$C$9*N22:O22))</f>
        <v>1.0065622273850454</v>
      </c>
      <c r="O66" s="191"/>
      <c r="P66" s="191">
        <f t="array" ref="P66">SQRT((P9:Q9*$B$22:$C$22)/($B$9:$C$9*$B$22:$C$22)*(P9:Q9*P22:Q22)/($B$9:$C$9*P22:Q22))</f>
        <v>1.0129237596298581</v>
      </c>
      <c r="Q66" s="191"/>
      <c r="R66" s="191">
        <f t="array" ref="R66">SQRT((R9:S9*$B$22:$C$22)/($B$9:$C$9*$B$22:$C$22)*(R9:S9*R22:S22)/($B$9:$C$9*R22:S22))</f>
        <v>1.0221720145933912</v>
      </c>
      <c r="S66" s="191"/>
      <c r="T66" s="191">
        <f t="array" ref="T66">SQRT((T9:U9*$B$22:$C$22)/($B$9:$C$9*$B$22:$C$22)*(T9:U9*T22:U22)/($B$9:$C$9*T22:U22))</f>
        <v>1.0352469000615303</v>
      </c>
      <c r="U66" s="191"/>
      <c r="V66" s="191">
        <f t="array" ref="V66">SQRT((V9:W9*$B$22:$C$22)/($B$9:$C$9*$B$22:$C$22)*(V9:W9*V22:W22)/($B$9:$C$9*V22:W22))</f>
        <v>1.0534319644730419</v>
      </c>
      <c r="W66" s="191"/>
      <c r="X66" s="191">
        <f t="array" ref="X66">SQRT((X9:Y9*$B$22:$C$22)/($B$9:$C$9*$B$22:$C$22)*(X9:Y9*X22:Y22)/($B$9:$C$9*X22:Y22))</f>
        <v>1.0785112131016112</v>
      </c>
      <c r="Y66" s="191"/>
      <c r="Z66" s="191">
        <f t="array" ref="Z66">SQRT((Z9:AA9*$B$22:$C$22)/($B$9:$C$9*$B$22:$C$22)*(Z9:AA9*Z22:AA22)/($B$9:$C$9*Z22:AA22))</f>
        <v>1.1130285034627616</v>
      </c>
      <c r="AA66" s="191"/>
      <c r="AB66" s="191">
        <f t="array" ref="AB66">SQRT((AB9:AC9*$B$22:$C$22)/($B$9:$C$9*$B$22:$C$22)*(AB9:AC9*AB22:AC22)/($B$9:$C$9*AB22:AC22))</f>
        <v>1.1607587817295604</v>
      </c>
      <c r="AC66" s="191"/>
      <c r="AD66" s="191">
        <f t="array" ref="AD66">SQRT((AD9:AE9*$B$22:$C$22)/($B$9:$C$9*$B$22:$C$22)*(AD9:AE9*AD22:AE22)/($B$9:$C$9*AD22:AE22))</f>
        <v>1.227707073087084</v>
      </c>
      <c r="AE66" s="191"/>
      <c r="AF66" s="191">
        <f t="array" ref="AF66">SQRT((AF9:AG9*$B$22:$C$22)/($B$9:$C$9*$B$22:$C$22)*(AF9:AG9*AF22:AG22)/($B$9:$C$9*AF22:AG22))</f>
        <v>1.324609404324643</v>
      </c>
      <c r="AG66" s="191"/>
      <c r="AH66" s="191" t="e">
        <f t="array" ref="AH66">SQRT((AH9:AI9*$B$22:$C$22)/($B$9:$C$9*$B$22:$C$22)*(AH9:AI9*AH22:AI22)/($B$9:$C$9*AH22:AI22))</f>
        <v>#DIV/0!</v>
      </c>
      <c r="AI66" s="191"/>
      <c r="AJ66" s="191" t="e">
        <f t="array" ref="AJ66">SQRT((AJ9:AK9*$B$22:$C$22)/($B$9:$C$9*$B$22:$C$22)*(AJ9:AK9*AJ22:AK22)/($B$9:$C$9*AJ22:AK22))</f>
        <v>#DIV/0!</v>
      </c>
      <c r="AK66" s="191"/>
      <c r="AL66" s="191" t="e">
        <f t="array" ref="AL66">SQRT((AL9:AM9*$B$22:$C$22)/($B$9:$C$9*$B$22:$C$22)*(AL9:AM9*AL22:AM22)/($B$9:$C$9*AL22:AM22))</f>
        <v>#DIV/0!</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t="e">
        <f t="array" ref="AH67">SQRT((AH4:AI4*$B$19:$C$19)/($B$4:$C$4*$B$19:$C$19)*(AH4:AI4*AH19:AI19)/($B$4:$C$4*AH19:AI19))</f>
        <v>#DIV/0!</v>
      </c>
      <c r="AI67" s="191"/>
      <c r="AJ67" s="191" t="e">
        <f t="array" ref="AJ67">SQRT((AJ4:AK4*$B$19:$C$19)/($B$4:$C$4*$B$19:$C$19)*(AJ4:AK4*AJ19:AK19)/($B$4:$C$4*AJ19:AK19))</f>
        <v>#DIV/0!</v>
      </c>
      <c r="AK67" s="191"/>
      <c r="AL67" s="191" t="e">
        <f t="array" ref="AL67">SQRT((AL4:AM4*$B$19:$C$19)/($B$4:$C$4*$B$19:$C$19)*(AL4:AM4*AL19:AM19)/($B$4:$C$4*AL19:AM19))</f>
        <v>#DIV/0!</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0.99890931395886873</v>
      </c>
      <c r="E68" s="191"/>
      <c r="F68" s="191">
        <f>F66/F67</f>
        <v>0.99840460474938331</v>
      </c>
      <c r="G68" s="191"/>
      <c r="H68" s="191">
        <f>H66/H67</f>
        <v>0.99865549032767165</v>
      </c>
      <c r="I68" s="191"/>
      <c r="J68" s="191">
        <f>J66/J67</f>
        <v>0.99988522760814635</v>
      </c>
      <c r="K68" s="191"/>
      <c r="L68" s="191">
        <f>L66/L67</f>
        <v>1.0023899252879458</v>
      </c>
      <c r="M68" s="191"/>
      <c r="N68" s="191">
        <f>N66/N67</f>
        <v>1.0065622273850454</v>
      </c>
      <c r="O68" s="191"/>
      <c r="P68" s="191">
        <f>P66/P67</f>
        <v>1.0129237596298581</v>
      </c>
      <c r="Q68" s="191"/>
      <c r="R68" s="191">
        <f>R66/R67</f>
        <v>1.0221720145933912</v>
      </c>
      <c r="S68" s="191"/>
      <c r="T68" s="191">
        <f>T66/T67</f>
        <v>1.0352469000615303</v>
      </c>
      <c r="U68" s="191"/>
      <c r="V68" s="191">
        <f>V66/V67</f>
        <v>1.0534319644730419</v>
      </c>
      <c r="W68" s="191"/>
      <c r="X68" s="191">
        <f>X66/X67</f>
        <v>1.0785112131016112</v>
      </c>
      <c r="Y68" s="191"/>
      <c r="Z68" s="191">
        <f>Z66/Z67</f>
        <v>1.1130285034627616</v>
      </c>
      <c r="AA68" s="191"/>
      <c r="AB68" s="191">
        <f>AB66/AB67</f>
        <v>1.1607587817295604</v>
      </c>
      <c r="AC68" s="191"/>
      <c r="AD68" s="191">
        <f>AD66/AD67</f>
        <v>1.227707073087084</v>
      </c>
      <c r="AE68" s="191"/>
      <c r="AF68" s="191">
        <f>AF66/AF67</f>
        <v>1.324609404324643</v>
      </c>
      <c r="AG68" s="191"/>
      <c r="AH68" s="191" t="e">
        <f>AH66/AH67</f>
        <v>#DIV/0!</v>
      </c>
      <c r="AI68" s="191"/>
      <c r="AJ68" s="191" t="e">
        <f>AJ66/AJ67</f>
        <v>#DIV/0!</v>
      </c>
      <c r="AK68" s="191"/>
      <c r="AL68" s="191" t="e">
        <f>AL66/AL67</f>
        <v>#DIV/0!</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0.98895212090720985</v>
      </c>
      <c r="E69" s="191"/>
      <c r="F69" s="191">
        <f>F32/F65/($B$32)</f>
        <v>0.97587809753047683</v>
      </c>
      <c r="G69" s="191"/>
      <c r="H69" s="191">
        <f>H32/H65/($B$32)</f>
        <v>0.9604098376486272</v>
      </c>
      <c r="I69" s="191"/>
      <c r="J69" s="191">
        <f>J32/J65/($B$32)</f>
        <v>0.94213048754892093</v>
      </c>
      <c r="K69" s="191"/>
      <c r="L69" s="191">
        <f>L32/L65/($B$32)</f>
        <v>0.92058180172349791</v>
      </c>
      <c r="M69" s="191"/>
      <c r="N69" s="191">
        <f>N32/N65/($B$32)</f>
        <v>0.89528687345410818</v>
      </c>
      <c r="O69" s="191"/>
      <c r="P69" s="191">
        <f>P32/P65/($B$32)</f>
        <v>0.86578868217312721</v>
      </c>
      <c r="Q69" s="191"/>
      <c r="R69" s="191">
        <f>R32/R65/($B$32)</f>
        <v>0.83170599793590472</v>
      </c>
      <c r="S69" s="191"/>
      <c r="T69" s="191">
        <f>T32/T65/($B$32)</f>
        <v>0.79280722630505207</v>
      </c>
      <c r="U69" s="191"/>
      <c r="V69" s="191">
        <f>V32/V65/($B$32)</f>
        <v>0.74909284061083115</v>
      </c>
      <c r="W69" s="191"/>
      <c r="X69" s="191">
        <f>X32/X65/($B$32)</f>
        <v>0.70086731597694929</v>
      </c>
      <c r="Y69" s="191"/>
      <c r="Z69" s="191">
        <f>Z32/Z65/($B$32)</f>
        <v>0.64877024298331532</v>
      </c>
      <c r="AA69" s="191"/>
      <c r="AB69" s="191">
        <f>AB32/AB65/($B$32)</f>
        <v>0.59371178376537437</v>
      </c>
      <c r="AC69" s="191"/>
      <c r="AD69" s="191">
        <f>AD32/AD65/($B$32)</f>
        <v>0.53662708143106697</v>
      </c>
      <c r="AE69" s="191"/>
      <c r="AF69" s="191">
        <f>AF32/AF65/($B$32)</f>
        <v>0.47792056028735125</v>
      </c>
      <c r="AG69" s="191"/>
      <c r="AH69" s="191" t="e">
        <f>AH32/AH65/($B$32)</f>
        <v>#DIV/0!</v>
      </c>
      <c r="AI69" s="191"/>
      <c r="AJ69" s="191" t="e">
        <f>AJ32/AJ65/($B$32)</f>
        <v>#DIV/0!</v>
      </c>
      <c r="AK69" s="191"/>
      <c r="AL69" s="191" t="e">
        <f>AL32/AL65/($B$32)</f>
        <v>#DIV/0!</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0.9883706357561165</v>
      </c>
      <c r="E70" s="138"/>
      <c r="F70" s="138">
        <f>F18/$B$18</f>
        <v>0.97475547950702024</v>
      </c>
      <c r="G70" s="138"/>
      <c r="H70" s="138">
        <f>H18/$B$18</f>
        <v>0.95878921726280908</v>
      </c>
      <c r="I70" s="138"/>
      <c r="J70" s="138">
        <f>J18/$B$18</f>
        <v>0.94005704692835979</v>
      </c>
      <c r="K70" s="138"/>
      <c r="L70" s="138">
        <f>L18/$B$18</f>
        <v>0.91810197416342121</v>
      </c>
      <c r="M70" s="138"/>
      <c r="N70" s="138">
        <f>N18/$B$18</f>
        <v>0.89244744355000061</v>
      </c>
      <c r="O70" s="138"/>
      <c r="P70" s="138">
        <f>P18/$B$18</f>
        <v>0.86263606876814658</v>
      </c>
      <c r="Q70" s="138"/>
      <c r="R70" s="138">
        <f>R18/$B$18</f>
        <v>0.82828679347261536</v>
      </c>
      <c r="S70" s="138"/>
      <c r="T70" s="138">
        <f>T18/$B$18</f>
        <v>0.78917072478325145</v>
      </c>
      <c r="U70" s="138"/>
      <c r="V70" s="138">
        <f>V18/$B$18</f>
        <v>0.74529673762204285</v>
      </c>
      <c r="W70" s="138"/>
      <c r="X70" s="138">
        <f>X18/$B$18</f>
        <v>0.69698739923227915</v>
      </c>
      <c r="Y70" s="138"/>
      <c r="Z70" s="138">
        <f>Z18/$B$18</f>
        <v>0.64491500636330945</v>
      </c>
      <c r="AA70" s="138"/>
      <c r="AB70" s="138">
        <f>AB18/$B$18</f>
        <v>0.59004427607607557</v>
      </c>
      <c r="AC70" s="138"/>
      <c r="AD70" s="138">
        <f>AD18/$B$18</f>
        <v>0.53340528950067922</v>
      </c>
      <c r="AE70" s="138"/>
      <c r="AF70" s="138">
        <f>AF18/$B$18</f>
        <v>0.47560896604533404</v>
      </c>
      <c r="AG70" s="138"/>
      <c r="AH70" s="138">
        <f>AH18/$B$18</f>
        <v>0</v>
      </c>
      <c r="AI70" s="138"/>
      <c r="AJ70" s="138">
        <f>AJ18/$B$18</f>
        <v>0</v>
      </c>
      <c r="AK70" s="138"/>
      <c r="AL70" s="138">
        <f>AL18/$B$18</f>
        <v>0</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0.92982444914215023</v>
      </c>
      <c r="E71" s="138"/>
      <c r="F71" s="138">
        <f>G18/$C$18</f>
        <v>0.86011170600342768</v>
      </c>
      <c r="G71" s="138"/>
      <c r="H71" s="138">
        <f>I18/$C$18</f>
        <v>0.79102474356251384</v>
      </c>
      <c r="I71" s="138"/>
      <c r="J71" s="138">
        <f>K18/$C$18</f>
        <v>0.72275536128448747</v>
      </c>
      <c r="K71" s="138"/>
      <c r="L71" s="138">
        <f>M18/$C$18</f>
        <v>0.65552453135683031</v>
      </c>
      <c r="M71" s="138"/>
      <c r="N71" s="138">
        <f>O18/$C$18</f>
        <v>0.58957237861866651</v>
      </c>
      <c r="O71" s="138"/>
      <c r="P71" s="138">
        <f>Q18/$C$18</f>
        <v>0.52513759522398173</v>
      </c>
      <c r="Q71" s="138"/>
      <c r="R71" s="138">
        <f>S18/$C$18</f>
        <v>0.46243077341665639</v>
      </c>
      <c r="S71" s="138"/>
      <c r="T71" s="138">
        <f>U18/$C$18</f>
        <v>0.40159909053200593</v>
      </c>
      <c r="U71" s="138"/>
      <c r="V71" s="138">
        <f>W18/$C$18</f>
        <v>0.34268923557794373</v>
      </c>
      <c r="W71" s="138"/>
      <c r="X71" s="138">
        <f>Y18/$C$18</f>
        <v>0.28563708296889478</v>
      </c>
      <c r="Y71" s="138"/>
      <c r="Z71" s="138">
        <f>AA18/$C$18</f>
        <v>0.23030759610132631</v>
      </c>
      <c r="AA71" s="138"/>
      <c r="AB71" s="138">
        <f>AC18/$C$18</f>
        <v>0.17665008401880655</v>
      </c>
      <c r="AC71" s="138"/>
      <c r="AD71" s="138">
        <f>AE18/$C$18</f>
        <v>0.12505801181150497</v>
      </c>
      <c r="AE71" s="138"/>
      <c r="AF71" s="138">
        <f>AG18/$C$18</f>
        <v>7.7070045559956335E-2</v>
      </c>
      <c r="AG71" s="138"/>
      <c r="AH71" s="138">
        <f>AI18/$C$18</f>
        <v>0</v>
      </c>
      <c r="AI71" s="138"/>
      <c r="AJ71" s="138">
        <f>AK18/$C$18</f>
        <v>0</v>
      </c>
      <c r="AK71" s="138"/>
      <c r="AL71" s="138">
        <f>AM18/$C$18</f>
        <v>0</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1.0252174291931462</v>
      </c>
      <c r="E72" s="138"/>
      <c r="F72" s="138">
        <f>G19/$C$19</f>
        <v>1.0523989437875712</v>
      </c>
      <c r="G72" s="138"/>
      <c r="H72" s="138">
        <f>I19/$C$19</f>
        <v>1.0811595934542326</v>
      </c>
      <c r="I72" s="138"/>
      <c r="J72" s="138">
        <f>K19/$C$19</f>
        <v>1.1109231081407407</v>
      </c>
      <c r="K72" s="138"/>
      <c r="L72" s="138">
        <f>M19/$C$19</f>
        <v>1.1408977829501443</v>
      </c>
      <c r="M72" s="138"/>
      <c r="N72" s="138">
        <f>O19/$C$19</f>
        <v>1.1700953658230164</v>
      </c>
      <c r="O72" s="138"/>
      <c r="P72" s="138">
        <f>Q19/$C$19</f>
        <v>1.1974059983200158</v>
      </c>
      <c r="Q72" s="138"/>
      <c r="R72" s="138">
        <f>S19/$C$19</f>
        <v>1.2217538972083937</v>
      </c>
      <c r="S72" s="138"/>
      <c r="T72" s="138">
        <f>U19/$C$19</f>
        <v>1.2423480124404715</v>
      </c>
      <c r="U72" s="138"/>
      <c r="V72" s="138">
        <f>W19/$C$19</f>
        <v>1.2590084835791446</v>
      </c>
      <c r="W72" s="138"/>
      <c r="X72" s="138">
        <f>Y19/$C$19</f>
        <v>1.2724836313942953</v>
      </c>
      <c r="Y72" s="138"/>
      <c r="Z72" s="138">
        <f>AA19/$C$19</f>
        <v>1.2845836583482011</v>
      </c>
      <c r="AA72" s="138"/>
      <c r="AB72" s="138">
        <f>AC19/$C$19</f>
        <v>1.2977463990502971</v>
      </c>
      <c r="AC72" s="138"/>
      <c r="AD72" s="138">
        <f>AE19/$C$19</f>
        <v>1.3132133669722319</v>
      </c>
      <c r="AE72" s="138"/>
      <c r="AF72" s="138">
        <f>AG19/$C$19</f>
        <v>1.3259507940462036</v>
      </c>
      <c r="AG72" s="138"/>
      <c r="AH72" s="138">
        <f>AI19/$C$19</f>
        <v>0</v>
      </c>
      <c r="AI72" s="138"/>
      <c r="AJ72" s="138">
        <f>AK19/$C$19</f>
        <v>0</v>
      </c>
      <c r="AK72" s="138"/>
      <c r="AL72" s="138">
        <f>AM19/$C$19</f>
        <v>0</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0.47641153352875065</v>
      </c>
      <c r="D73" s="193">
        <f t="array" ref="D73">SUM(D9:E9*D22:E22)/D32</f>
        <v>0.47443402442627547</v>
      </c>
      <c r="E73" s="138"/>
      <c r="F73" s="193">
        <f t="array" ref="F73">SUM(F9:G9*F22:G22)/F32</f>
        <v>0.47244379633877431</v>
      </c>
      <c r="G73" s="138"/>
      <c r="H73" s="193">
        <f t="array" ref="H73">SUM(H9:I9*H22:I22)/H32</f>
        <v>0.47044786607080225</v>
      </c>
      <c r="I73" s="138"/>
      <c r="J73" s="193">
        <f t="array" ref="J73">SUM(J9:K9*J22:K22)/J32</f>
        <v>0.4684555746306881</v>
      </c>
      <c r="K73" s="138"/>
      <c r="L73" s="193">
        <f t="array" ref="L73">SUM(L9:M9*L22:M22)/L32</f>
        <v>0.4664789631950616</v>
      </c>
      <c r="M73" s="138"/>
      <c r="N73" s="193">
        <f t="array" ref="N73">SUM(N9:O9*N22:O22)/N32</f>
        <v>0.46453225470203174</v>
      </c>
      <c r="O73" s="138"/>
      <c r="P73" s="193">
        <f t="array" ref="P73">SUM(P9:Q9*P22:Q22)/P32</f>
        <v>0.46263026505084115</v>
      </c>
      <c r="Q73" s="138"/>
      <c r="R73" s="193">
        <f t="array" ref="R73">SUM(R9:S9*R22:S22)/R32</f>
        <v>0.46078573574683757</v>
      </c>
      <c r="S73" s="138"/>
      <c r="T73" s="193">
        <f t="array" ref="T73">SUM(T9:U9*T22:U22)/T32</f>
        <v>0.45900365675881433</v>
      </c>
      <c r="U73" s="138"/>
      <c r="V73" s="193">
        <f t="array" ref="V73">SUM(V9:W9*V22:W22)/V32</f>
        <v>0.45727268059618709</v>
      </c>
      <c r="W73" s="138"/>
      <c r="X73" s="193">
        <f t="array" ref="X73">SUM(X9:Y9*X22:Y22)/X32</f>
        <v>0.45554969355324704</v>
      </c>
      <c r="Y73" s="138"/>
      <c r="Z73" s="193">
        <f t="array" ref="Z73">SUM(Z9:AA9*Z22:AA22)/Z32</f>
        <v>0.45373612108746397</v>
      </c>
      <c r="AA73" s="138"/>
      <c r="AB73" s="193">
        <f t="array" ref="AB73">SUM(AB9:AC9*AB22:AC22)/AB32</f>
        <v>0.4516390452277893</v>
      </c>
      <c r="AC73" s="138"/>
      <c r="AD73" s="193">
        <f t="array" ref="AD73">SUM(AD9:AE9*AD22:AE22)/AD32</f>
        <v>0.44890286995391626</v>
      </c>
      <c r="AE73" s="138"/>
      <c r="AF73" s="193">
        <f t="array" ref="AF73">SUM(AF9:AG9*AF22:AG22)/AF32</f>
        <v>0.44486824138581887</v>
      </c>
      <c r="AG73" s="138"/>
      <c r="AH73" s="193" t="e">
        <f t="array" ref="AH73">SUM(AH9:AI9*AH22:AI22)/AH32</f>
        <v>#DIV/0!</v>
      </c>
      <c r="AI73" s="138"/>
      <c r="AJ73" s="193" t="e">
        <f t="array" ref="AJ73">SUM(AJ9:AK9*AJ22:AK22)/AJ32</f>
        <v>#DIV/0!</v>
      </c>
      <c r="AK73" s="138"/>
      <c r="AL73" s="193" t="e">
        <f t="array" ref="AL73">SUM(AL9:AM9*AL22:AM22)/AL32</f>
        <v>#DIV/0!</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0.22604620456442481</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0.22604620456442487</v>
      </c>
      <c r="W74" s="138"/>
      <c r="X74" s="193">
        <f t="array" ref="X74">SUM(X10:Y10*X23:Y23)/X32</f>
        <v>0.22604620456442484</v>
      </c>
      <c r="Y74" s="138"/>
      <c r="Z74" s="193">
        <f t="array" ref="Z74">SUM(Z10:AA10*Z23:AA23)/Z32</f>
        <v>0.22604620456442484</v>
      </c>
      <c r="AA74" s="138"/>
      <c r="AB74" s="193">
        <f t="array" ref="AB74">SUM(AB10:AC10*AB23:AC23)/AB32</f>
        <v>0.22604620456442487</v>
      </c>
      <c r="AC74" s="138"/>
      <c r="AD74" s="193">
        <f t="array" ref="AD74">SUM(AD10:AE10*AD23:AE23)/AD32</f>
        <v>0.22604620456442484</v>
      </c>
      <c r="AE74" s="138"/>
      <c r="AF74" s="193">
        <f t="array" ref="AF74">SUM(AF10:AG10*AF23:AG23)/AF32</f>
        <v>0.22604620456442484</v>
      </c>
      <c r="AG74" s="138"/>
      <c r="AH74" s="193" t="e">
        <f t="array" ref="AH74">SUM(AH10:AI10*AH23:AI23)/AH32</f>
        <v>#DIV/0!</v>
      </c>
      <c r="AI74" s="138"/>
      <c r="AJ74" s="193" t="e">
        <f t="array" ref="AJ74">SUM(AJ10:AK10*AJ23:AK23)/AJ32</f>
        <v>#DIV/0!</v>
      </c>
      <c r="AK74" s="138"/>
      <c r="AL74" s="193" t="e">
        <f t="array" ref="AL74">SUM(AL10:AM10*AL23:AM23)/AL32</f>
        <v>#DIV/0!</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0.22282436463345015</v>
      </c>
      <c r="E75" s="138"/>
      <c r="F75" s="193">
        <f t="array" ref="F75">SUM(F11:G11*F24:G24)/F32</f>
        <v>0.22579920761239625</v>
      </c>
      <c r="G75" s="138"/>
      <c r="H75" s="193">
        <f t="array" ref="H75">SUM(H11:I11*H24:I24)/H32</f>
        <v>0.22944118144519579</v>
      </c>
      <c r="I75" s="138"/>
      <c r="J75" s="193">
        <f t="array" ref="J75">SUM(J11:K11*J24:K24)/J32</f>
        <v>0.23391888624980958</v>
      </c>
      <c r="K75" s="138"/>
      <c r="L75" s="193">
        <f t="array" ref="L75">SUM(L11:M11*L24:M24)/L32</f>
        <v>0.23944761877912876</v>
      </c>
      <c r="M75" s="138"/>
      <c r="N75" s="193">
        <f t="array" ref="N75">SUM(N11:O11*N24:O24)/N32</f>
        <v>0.24630089584690276</v>
      </c>
      <c r="O75" s="138"/>
      <c r="P75" s="193">
        <f t="array" ref="P75">SUM(P11:Q11*P24:Q24)/P32</f>
        <v>0.2548239110974363</v>
      </c>
      <c r="Q75" s="138"/>
      <c r="R75" s="193">
        <f t="array" ref="R75">SUM(R11:S11*R24:S24)/R32</f>
        <v>0.26544884895603599</v>
      </c>
      <c r="S75" s="138"/>
      <c r="T75" s="193">
        <f t="array" ref="T75">SUM(T11:U11*T24:U24)/T32</f>
        <v>0.27871042973029952</v>
      </c>
      <c r="U75" s="138"/>
      <c r="V75" s="193">
        <f t="array" ref="V75">SUM(V11:W11*V24:W24)/V32</f>
        <v>0.29525973239253123</v>
      </c>
      <c r="W75" s="138"/>
      <c r="X75" s="193">
        <f t="array" ref="X75">SUM(X11:Y11*X24:Y24)/X32</f>
        <v>0.31587273274498101</v>
      </c>
      <c r="Y75" s="138"/>
      <c r="Z75" s="193">
        <f t="array" ref="Z75">SUM(Z11:AA11*Z24:AA24)/Z32</f>
        <v>0.34144907191676338</v>
      </c>
      <c r="AA75" s="138"/>
      <c r="AB75" s="193">
        <f t="array" ref="AB75">SUM(AB11:AC11*AB24:AC24)/AB32</f>
        <v>0.37300807808915548</v>
      </c>
      <c r="AC75" s="138"/>
      <c r="AD75" s="193">
        <f t="array" ref="AD75">SUM(AD11:AE11*AD24:AE24)/AD32</f>
        <v>0.41173310285712195</v>
      </c>
      <c r="AE75" s="138"/>
      <c r="AF75" s="193">
        <f t="array" ref="AF75">SUM(AF11:AG11*AF24:AG24)/AF32</f>
        <v>0.45922947455811641</v>
      </c>
      <c r="AG75" s="138"/>
      <c r="AH75" s="193" t="e">
        <f t="array" ref="AH75">SUM(AH11:AI11*AH24:AI24)/AH32</f>
        <v>#DIV/0!</v>
      </c>
      <c r="AI75" s="138"/>
      <c r="AJ75" s="193" t="e">
        <f t="array" ref="AJ75">SUM(AJ11:AK11*AJ24:AK24)/AJ32</f>
        <v>#DIV/0!</v>
      </c>
      <c r="AK75" s="138"/>
      <c r="AL75" s="193" t="e">
        <f t="array" ref="AL75">SUM(AL11:AM11*AL24:AM24)/AL32</f>
        <v>#DIV/0!</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0.22294539554144766</v>
      </c>
      <c r="E76" s="138"/>
      <c r="F76" s="193">
        <f t="array" ref="F76">SUM(F12:G12*F25:G25)/F32</f>
        <v>0.22254674043674569</v>
      </c>
      <c r="G76" s="138"/>
      <c r="H76" s="193">
        <f t="array" ref="H76">SUM(H12:I12*H25:I25)/H32</f>
        <v>0.2217204091293152</v>
      </c>
      <c r="I76" s="138"/>
      <c r="J76" s="193">
        <f t="array" ref="J76">SUM(J12:K12*J25:K25)/J32</f>
        <v>0.22033410123297612</v>
      </c>
      <c r="K76" s="138"/>
      <c r="L76" s="193">
        <f t="array" ref="L76">SUM(L12:M12*L25:M25)/L32</f>
        <v>0.21821783525507862</v>
      </c>
      <c r="M76" s="138"/>
      <c r="N76" s="193">
        <f t="array" ref="N76">SUM(N12:O12*N25:O25)/N32</f>
        <v>0.21515700360018622</v>
      </c>
      <c r="O76" s="138"/>
      <c r="P76" s="193">
        <f t="array" ref="P76">SUM(P12:Q12*P25:Q25)/P32</f>
        <v>0.21088647222930545</v>
      </c>
      <c r="Q76" s="138"/>
      <c r="R76" s="193">
        <f t="array" ref="R76">SUM(R12:S12*R25:S25)/R32</f>
        <v>0.20508708314668009</v>
      </c>
      <c r="S76" s="138"/>
      <c r="T76" s="193">
        <f t="array" ref="T76">SUM(T12:U12*T25:U25)/T32</f>
        <v>0.19738897483134454</v>
      </c>
      <c r="U76" s="138"/>
      <c r="V76" s="193">
        <f t="array" ref="V76">SUM(V12:W12*V25:W25)/V32</f>
        <v>0.18738553741421682</v>
      </c>
      <c r="W76" s="138"/>
      <c r="X76" s="193">
        <f t="array" ref="X76">SUM(X12:Y12*X25:Y25)/X32</f>
        <v>0.17466666014014323</v>
      </c>
      <c r="Y76" s="138"/>
      <c r="Z76" s="193">
        <f t="array" ref="Z76">SUM(Z12:AA12*Z25:AA25)/Z32</f>
        <v>0.15887928602534698</v>
      </c>
      <c r="AA76" s="138"/>
      <c r="AB76" s="193">
        <f t="array" ref="AB76">SUM(AB12:AC12*AB25:AC25)/AB32</f>
        <v>0.13981922752080564</v>
      </c>
      <c r="AC76" s="138"/>
      <c r="AD76" s="193">
        <f t="array" ref="AD76">SUM(AD12:AE12*AD25:AE25)/AD32</f>
        <v>0.11753629320438416</v>
      </c>
      <c r="AE76" s="138"/>
      <c r="AF76" s="193">
        <f t="array" ref="AF76">SUM(AF12:AG12*AF25:AG25)/AF32</f>
        <v>9.2411621376366479E-2</v>
      </c>
      <c r="AG76" s="138"/>
      <c r="AH76" s="193" t="e">
        <f t="array" ref="AH76">SUM(AH12:AI12*AH25:AI25)/AH32</f>
        <v>#DIV/0!</v>
      </c>
      <c r="AI76" s="138"/>
      <c r="AJ76" s="193" t="e">
        <f t="array" ref="AJ76">SUM(AJ12:AK12*AJ25:AK25)/AJ32</f>
        <v>#DIV/0!</v>
      </c>
      <c r="AK76" s="138"/>
      <c r="AL76" s="193" t="e">
        <f t="array" ref="AL76">SUM(AL12:AM12*AL25:AM25)/AL32</f>
        <v>#DIV/0!</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0.14586087017236485</v>
      </c>
      <c r="D77" s="193">
        <f t="array" ref="D77">SUM(D4:E4*D19:E19)/D32</f>
        <v>0.14624998916559778</v>
      </c>
      <c r="E77" s="138"/>
      <c r="F77" s="193">
        <f t="array" ref="F77">SUM(F4:G4*F19:G19)/F32</f>
        <v>0.14683594895234103</v>
      </c>
      <c r="G77" s="138"/>
      <c r="H77" s="193">
        <f t="array" ref="H77">SUM(H4:I4*H19:I19)/H32</f>
        <v>0.14765566120973792</v>
      </c>
      <c r="I77" s="138"/>
      <c r="J77" s="193">
        <f t="array" ref="J77">SUM(J4:K4*J19:K19)/J32</f>
        <v>0.14875476667789853</v>
      </c>
      <c r="K77" s="138"/>
      <c r="L77" s="193">
        <f t="array" ref="L77">SUM(L4:M4*L19:M19)/L32</f>
        <v>0.15019062179369388</v>
      </c>
      <c r="M77" s="138"/>
      <c r="N77" s="193">
        <f t="array" ref="N77">SUM(N4:O4*N19:O19)/N32</f>
        <v>0.15203635871354537</v>
      </c>
      <c r="O77" s="138"/>
      <c r="P77" s="193">
        <f t="array" ref="P77">SUM(P4:Q4*P19:Q19)/P32</f>
        <v>0.15438685294200774</v>
      </c>
      <c r="Q77" s="138"/>
      <c r="R77" s="193">
        <f t="array" ref="R77">SUM(R4:S4*R19:S19)/R32</f>
        <v>0.15736787241397834</v>
      </c>
      <c r="S77" s="138"/>
      <c r="T77" s="193">
        <f t="array" ref="T77">SUM(T4:U4*T19:U19)/T32</f>
        <v>0.16114926588488315</v>
      </c>
      <c r="U77" s="138"/>
      <c r="V77" s="193">
        <f t="array" ref="V77">SUM(V4:W4*V19:W19)/V32</f>
        <v>0.16596415496735986</v>
      </c>
      <c r="W77" s="138"/>
      <c r="X77" s="193">
        <f t="array" ref="X77">SUM(X4:Y4*X19:Y19)/X32</f>
        <v>0.17213529100279601</v>
      </c>
      <c r="Y77" s="138"/>
      <c r="Z77" s="193">
        <f t="array" ref="Z77">SUM(Z4:AA4*Z19:AA19)/Z32</f>
        <v>0.18011068359399904</v>
      </c>
      <c r="AA77" s="138"/>
      <c r="AB77" s="193">
        <f t="array" ref="AB77">SUM(AB4:AC4*AB19:AC19)/AB32</f>
        <v>0.19051255540217502</v>
      </c>
      <c r="AC77" s="138"/>
      <c r="AD77" s="193">
        <f t="array" ref="AD77">SUM(AD4:AE4*AD19:AE19)/AD32</f>
        <v>0.20421847057984721</v>
      </c>
      <c r="AE77" s="138"/>
      <c r="AF77" s="193">
        <f t="array" ref="AF77">SUM(AF4:AG4*AF19:AG19)/AF32</f>
        <v>0.22255554188472645</v>
      </c>
      <c r="AG77" s="138"/>
      <c r="AH77" s="193" t="e">
        <f t="array" ref="AH77">SUM(AH4:AI4*AH19:AI19)/AH32</f>
        <v>#DIV/0!</v>
      </c>
      <c r="AI77" s="138"/>
      <c r="AJ77" s="193" t="e">
        <f t="array" ref="AJ77">SUM(AJ4:AK4*AJ19:AK19)/AJ32</f>
        <v>#DIV/0!</v>
      </c>
      <c r="AK77" s="138"/>
      <c r="AL77" s="193" t="e">
        <f t="array" ref="AL77">SUM(AL4:AM4*AL19:AM19)/AL32</f>
        <v>#DIV/0!</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0.34503464048905685</v>
      </c>
      <c r="E78" s="138"/>
      <c r="F78" s="193">
        <f t="array" ref="F78">SUM(F13:G13*F26:G26)/F32</f>
        <v>0.34311088865687656</v>
      </c>
      <c r="G78" s="138"/>
      <c r="H78" s="193">
        <f t="array" ref="H78">SUM(H13:I13*H26:I26)/H32</f>
        <v>0.34111823119477558</v>
      </c>
      <c r="I78" s="138"/>
      <c r="J78" s="193">
        <f t="array" ref="J78">SUM(J13:K13*J26:K26)/J32</f>
        <v>0.33906139743342556</v>
      </c>
      <c r="K78" s="138"/>
      <c r="L78" s="193">
        <f t="array" ref="L78">SUM(L13:M13*L26:M26)/L32</f>
        <v>0.33694885007643838</v>
      </c>
      <c r="M78" s="138"/>
      <c r="N78" s="193">
        <f t="array" ref="N78">SUM(N13:O13*N26:O26)/N32</f>
        <v>0.33479318569064426</v>
      </c>
      <c r="O78" s="138"/>
      <c r="P78" s="193">
        <f t="array" ref="P78">SUM(P13:Q13*P26:Q26)/P32</f>
        <v>0.33261098618711599</v>
      </c>
      <c r="Q78" s="138"/>
      <c r="R78" s="193">
        <f t="array" ref="R78">SUM(R13:S13*R26:S26)/R32</f>
        <v>0.3304220201112979</v>
      </c>
      <c r="S78" s="138"/>
      <c r="T78" s="193">
        <f t="array" ref="T78">SUM(T13:U13*T26:U26)/T32</f>
        <v>0.32824684483853678</v>
      </c>
      <c r="U78" s="138"/>
      <c r="V78" s="193">
        <f t="array" ref="V78">SUM(V13:W13*V26:W26)/V32</f>
        <v>0.32610240432447918</v>
      </c>
      <c r="W78" s="138"/>
      <c r="X78" s="193">
        <f t="array" ref="X78">SUM(X13:Y13*X26:Y26)/X32</f>
        <v>0.32399458936584552</v>
      </c>
      <c r="Y78" s="138"/>
      <c r="Z78" s="193">
        <f t="array" ref="Z78">SUM(Z13:AA13*Z26:AA26)/Z32</f>
        <v>0.3219060648162918</v>
      </c>
      <c r="AA78" s="138"/>
      <c r="AB78" s="193">
        <f t="array" ref="AB78">SUM(AB13:AC13*AB26:AC26)/AB32</f>
        <v>0.31977565976763955</v>
      </c>
      <c r="AC78" s="138"/>
      <c r="AD78" s="193">
        <f t="array" ref="AD78">SUM(AD13:AE13*AD26:AE26)/AD32</f>
        <v>0.31746050163358441</v>
      </c>
      <c r="AE78" s="138"/>
      <c r="AF78" s="193">
        <f t="array" ref="AF78">SUM(AF13:AG13*AF26:AG26)/AF32</f>
        <v>0.31465647575863009</v>
      </c>
      <c r="AG78" s="138"/>
      <c r="AH78" s="193" t="e">
        <f t="array" ref="AH78">SUM(AH13:AI13*AH26:AI26)/AH32</f>
        <v>#DIV/0!</v>
      </c>
      <c r="AI78" s="138"/>
      <c r="AJ78" s="193" t="e">
        <f t="array" ref="AJ78">SUM(AJ13:AK13*AJ26:AK26)/AJ32</f>
        <v>#DIV/0!</v>
      </c>
      <c r="AK78" s="138"/>
      <c r="AL78" s="193" t="e">
        <f t="array" ref="AL78">SUM(AL13:AM13*AL26:AM26)/AL32</f>
        <v>#DIV/0!</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0.45460968782440642</v>
      </c>
      <c r="D79" s="193">
        <f t="array" ref="D79">SUM(D15:E15*D27:E27)/D32</f>
        <v>0.45314150918582136</v>
      </c>
      <c r="F79" s="193">
        <f t="array" ref="F79">SUM(F15:G15*F27:G27)/F32</f>
        <v>0.45172357412191616</v>
      </c>
      <c r="H79" s="193">
        <f t="array" ref="H79">SUM(H15:I15*H27:I27)/H32</f>
        <v>0.45036584127494778</v>
      </c>
      <c r="J79" s="193">
        <f t="array" ref="J79">SUM(J15:K15*J27:K27)/J32</f>
        <v>0.449079346158756</v>
      </c>
      <c r="L79" s="193">
        <f t="array" ref="L79">SUM(L15:M15*L27:M27)/L32</f>
        <v>0.44787589667194294</v>
      </c>
      <c r="N79" s="193">
        <f t="array" ref="N79">SUM(N15:O15*N27:O27)/N32</f>
        <v>0.4467667652912013</v>
      </c>
      <c r="P79" s="193">
        <f t="array" ref="P79">SUM(P15:Q15*P27:Q27)/P32</f>
        <v>0.44576022692441175</v>
      </c>
      <c r="R79" s="193">
        <f t="array" ref="R79">SUM(R15:S15*R27:S27)/R32</f>
        <v>0.44485771920843703</v>
      </c>
      <c r="T79" s="193">
        <f t="array" ref="T79">SUM(T15:U15*T27:U27)/T32</f>
        <v>0.44404710027159178</v>
      </c>
      <c r="V79" s="193">
        <f t="array" ref="V79">SUM(V15:W15*V27:W27)/V32</f>
        <v>0.44329169621833148</v>
      </c>
      <c r="X79" s="193">
        <f t="array" ref="X79">SUM(X15:Y15*X27:Y27)/X32</f>
        <v>0.44251267105381681</v>
      </c>
      <c r="Z79" s="193">
        <f t="array" ref="Z79">SUM(Z15:AA15*Z27:AA27)/Z32</f>
        <v>0.44156082903265109</v>
      </c>
      <c r="AB79" s="193">
        <f t="array" ref="AB79">SUM(AB15:AC15*AB27:AC27)/AB32</f>
        <v>0.4401715521553643</v>
      </c>
      <c r="AD79" s="193">
        <f t="array" ref="AD79">SUM(AD15:AE15*AD27:AE27)/AD32</f>
        <v>0.43788801100268154</v>
      </c>
      <c r="AF79" s="193">
        <f t="array" ref="AF79">SUM(AF15:AG15*AF27:AG27)/AF32</f>
        <v>0.43390248891626187</v>
      </c>
      <c r="AH79" s="193" t="e">
        <f t="array" ref="AH79">SUM(AH15:AI15*AH27:AI27)/AH32</f>
        <v>#DIV/0!</v>
      </c>
      <c r="AJ79" s="193" t="e">
        <f t="array" ref="AJ79">SUM(AJ15:AK15*AJ27:AK27)/AJ32</f>
        <v>#DIV/0!</v>
      </c>
      <c r="AL79" s="193" t="e">
        <f t="array" ref="AL79">SUM(AL15:AM15*AL27:AM27)/AL32</f>
        <v>#DIV/0!</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0.20182387343970223</v>
      </c>
      <c r="F80" s="236">
        <f>F55</f>
        <v>0.20516557277908123</v>
      </c>
      <c r="H80" s="236">
        <f>H55</f>
        <v>0.20851599983020236</v>
      </c>
      <c r="J80" s="236">
        <f>J55</f>
        <v>0.21185931542732692</v>
      </c>
      <c r="L80" s="236">
        <f>L55</f>
        <v>0.21517525441470944</v>
      </c>
      <c r="N80" s="236">
        <f>N55</f>
        <v>0.2184400511038431</v>
      </c>
      <c r="P80" s="236">
        <f>P55</f>
        <v>0.22162878927366234</v>
      </c>
      <c r="R80" s="236">
        <f>R55</f>
        <v>0.22472027316800675</v>
      </c>
      <c r="T80" s="236">
        <f>T55</f>
        <v>0.22770606412128144</v>
      </c>
      <c r="V80" s="236">
        <f>V55</f>
        <v>0.23060591945855724</v>
      </c>
      <c r="X80" s="236">
        <f>X55</f>
        <v>0.23349276796454826</v>
      </c>
      <c r="Z80" s="236">
        <f>Z55</f>
        <v>0.23653311594304566</v>
      </c>
      <c r="AB80" s="236">
        <f>AB55</f>
        <v>0.24005280264907961</v>
      </c>
      <c r="AD80" s="236">
        <f>AD55</f>
        <v>0.24465149706435368</v>
      </c>
      <c r="AF80" s="236">
        <f>AF55</f>
        <v>0.25144103299977399</v>
      </c>
      <c r="AH80" s="236" t="e">
        <f>AH55</f>
        <v>#DIV/0!</v>
      </c>
      <c r="AJ80" s="236" t="e">
        <f>AJ55</f>
        <v>#DIV/0!</v>
      </c>
      <c r="AL80" s="236" t="e">
        <f>AL55</f>
        <v>#DIV/0!</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-2.4222331124722607E-2</v>
      </c>
      <c r="F81" s="236">
        <f>F51/F$32</f>
        <v>-2.0880631785343599E-2</v>
      </c>
      <c r="H81" s="236">
        <f>H51/H$32</f>
        <v>-1.7530204734222489E-2</v>
      </c>
      <c r="J81" s="236">
        <f>J51/J$32</f>
        <v>-1.4186889137097926E-2</v>
      </c>
      <c r="L81" s="236">
        <f>L51/L$32</f>
        <v>-1.0870950149715423E-2</v>
      </c>
      <c r="N81" s="236">
        <f>N51/N$32</f>
        <v>-7.6061534605817291E-3</v>
      </c>
      <c r="P81" s="236">
        <f>P51/P$32</f>
        <v>-4.4174152907625209E-3</v>
      </c>
      <c r="R81" s="236">
        <f>R51/R$32</f>
        <v>-1.3259313964180831E-3</v>
      </c>
      <c r="T81" s="236">
        <f>T51/T$32</f>
        <v>1.6598595568566086E-3</v>
      </c>
      <c r="V81" s="236">
        <f>V51/V$32</f>
        <v>4.5597148941323882E-3</v>
      </c>
      <c r="X81" s="236">
        <f>X51/X$32</f>
        <v>7.4465634001234194E-3</v>
      </c>
      <c r="Z81" s="236">
        <f>Z51/Z$32</f>
        <v>1.0486911378620796E-2</v>
      </c>
      <c r="AB81" s="236">
        <f>AB51/AB$32</f>
        <v>1.4006598084654747E-2</v>
      </c>
      <c r="AD81" s="236">
        <f>AD51/AD$32</f>
        <v>1.8605292499928854E-2</v>
      </c>
      <c r="AF81" s="236">
        <f>AF51/AF$32</f>
        <v>2.5394828435349168E-2</v>
      </c>
      <c r="AH81" s="236" t="e">
        <f>AH51/AH$32</f>
        <v>#DIV/0!</v>
      </c>
      <c r="AJ81" s="236" t="e">
        <f>AJ51/AJ$32</f>
        <v>#DIV/0!</v>
      </c>
      <c r="AL81" s="236" t="e">
        <f>AL51/AL$32</f>
        <v>#DIV/0!</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0.13833569335711765</v>
      </c>
      <c r="F82" s="236">
        <f>F52/F$32</f>
        <v>0.13756439821071009</v>
      </c>
      <c r="H82" s="236">
        <f>H52/H$32</f>
        <v>0.13676547653938961</v>
      </c>
      <c r="J82" s="236">
        <f>J52/J$32</f>
        <v>0.13594082448679173</v>
      </c>
      <c r="L82" s="236">
        <f>L52/L$32</f>
        <v>0.13509383502809755</v>
      </c>
      <c r="N82" s="236">
        <f>N52/N$32</f>
        <v>0.13422955853970958</v>
      </c>
      <c r="P82" s="236">
        <f>P52/P$32</f>
        <v>0.13335464325312776</v>
      </c>
      <c r="R82" s="236">
        <f>R52/R$32</f>
        <v>0.13247701502599007</v>
      </c>
      <c r="T82" s="236">
        <f>T52/T$32</f>
        <v>0.13160491598369053</v>
      </c>
      <c r="V82" s="236">
        <f>V52/V$32</f>
        <v>0.13074513951326205</v>
      </c>
      <c r="X82" s="236">
        <f>X52/X$32</f>
        <v>0.12990004742813749</v>
      </c>
      <c r="Z82" s="236">
        <f>Z52/Z$32</f>
        <v>0.1290626895001151</v>
      </c>
      <c r="AB82" s="236">
        <f>AB52/AB$32</f>
        <v>0.12820854030767723</v>
      </c>
      <c r="AD82" s="236">
        <f>AD52/AD$32</f>
        <v>0.12728031754937116</v>
      </c>
      <c r="AF82" s="236">
        <f>AF52/AF$32</f>
        <v>0.12615609169467643</v>
      </c>
      <c r="AH82" s="236" t="e">
        <f>AH52/AH$32</f>
        <v>#DIV/0!</v>
      </c>
      <c r="AJ82" s="236" t="e">
        <f>AJ52/AJ$32</f>
        <v>#DIV/0!</v>
      </c>
      <c r="AL82" s="236" t="e">
        <f>AL52/AL$32</f>
        <v>#DIV/0!</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0.18600714462929935</v>
      </c>
      <c r="D83" s="236">
        <f>D53/D$32</f>
        <v>0.1854064277425215</v>
      </c>
      <c r="F83" s="236">
        <f>F53/F$32</f>
        <v>0.18482626841118616</v>
      </c>
      <c r="H83" s="236">
        <f>H53/H$32</f>
        <v>0.18427074129243382</v>
      </c>
      <c r="J83" s="236">
        <f>J53/J$32</f>
        <v>0.18374436165391897</v>
      </c>
      <c r="L83" s="236">
        <f>L53/L$32</f>
        <v>0.18325196079062245</v>
      </c>
      <c r="N83" s="236">
        <f>N53/N$32</f>
        <v>0.18279815092542176</v>
      </c>
      <c r="P83" s="236">
        <f>P53/P$32</f>
        <v>0.18238631780223796</v>
      </c>
      <c r="R83" s="236">
        <f>R53/R$32</f>
        <v>0.18201704964154883</v>
      </c>
      <c r="T83" s="236">
        <f>T53/T$32</f>
        <v>0.18168537850064859</v>
      </c>
      <c r="V83" s="236">
        <f>V53/V$32</f>
        <v>0.18137629896549659</v>
      </c>
      <c r="X83" s="236">
        <f>X53/X$32</f>
        <v>0.18105755466609727</v>
      </c>
      <c r="Z83" s="236">
        <f>Z53/Z$32</f>
        <v>0.18066810098475908</v>
      </c>
      <c r="AB83" s="236">
        <f>AB53/AB$32</f>
        <v>0.18009966737684302</v>
      </c>
      <c r="AD83" s="236">
        <f>AD53/AD$32</f>
        <v>0.17916533847706365</v>
      </c>
      <c r="AF83" s="236">
        <f>AF53/AF$32</f>
        <v>0.17753463063469518</v>
      </c>
      <c r="AH83" s="236" t="e">
        <f>AH53/AH$32</f>
        <v>#DIV/0!</v>
      </c>
      <c r="AJ83" s="236" t="e">
        <f>AJ53/AJ$32</f>
        <v>#DIV/0!</v>
      </c>
      <c r="AL83" s="236" t="e">
        <f>AL53/AL$32</f>
        <v>#DIV/0!</v>
      </c>
      <c r="AN83" s="236" t="e">
        <f>AN53/AN$32</f>
        <v>#DIV/0!</v>
      </c>
      <c r="AP83" s="236" t="e">
        <f>AP53/AP$32</f>
        <v>#DIV/0!</v>
      </c>
      <c r="AR83" s="236" t="e">
        <f>AR53/AR$32</f>
        <v>#DIV/0!</v>
      </c>
      <c r="AT83" s="236" t="e">
        <f>AT53/AT$32</f>
        <v>#DIV/0!</v>
      </c>
      <c r="AV83" s="236" t="e">
        <f>AV53/AV$32</f>
        <v>#DIV/0!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4"/>
  <dimension ref="A1:XFD83"/>
  <sheetViews>
    <sheetView workbookViewId="0">
      <pane xSplit="1" ySplit="1" topLeftCell="B59" activePane="bottomRight" state="frozen"/>
      <selection pane="topRight" activeCell="B1" sqref="B1"/>
      <selection pane="bottomLeft" activeCell="A2" sqref="A2"/>
      <selection pane="bottomRight" activeCell="AT54" sqref="A51:AT54"/>
    </sheetView>
  </sheetViews>
  <sheetFormatPr baseColWidth="10" defaultRowHeight="10" x14ac:dyDescent="0.2"/>
  <sheetData>
    <row r="1" spans="1:97"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c r="AX1" s="94"/>
      <c r="AZ1" s="94"/>
      <c r="BB1" s="94"/>
      <c r="BD1" s="94"/>
      <c r="BF1" s="94"/>
      <c r="BH1" s="94"/>
      <c r="BJ1" s="94"/>
      <c r="BL1" s="94"/>
      <c r="BN1" s="94"/>
      <c r="BP1" s="94"/>
      <c r="BR1" s="94"/>
      <c r="BT1" s="94"/>
      <c r="BV1" s="94"/>
      <c r="BX1" s="94"/>
      <c r="BZ1" s="94"/>
      <c r="CB1" s="94"/>
      <c r="CD1" s="94"/>
      <c r="CF1" s="94"/>
      <c r="CH1" s="94"/>
      <c r="CJ1" s="94"/>
      <c r="CL1" s="94"/>
      <c r="CN1" s="94"/>
      <c r="CP1" s="94"/>
      <c r="CR1" s="94"/>
    </row>
    <row r="2" spans="1:97" x14ac:dyDescent="0.2">
      <c r="A2" s="81" t="s">
        <v>155</v>
      </c>
      <c r="B2" s="95">
        <v>8.6827325972948285E-3</v>
      </c>
      <c r="C2" s="81"/>
      <c r="D2" s="95">
        <v>5.4995561909206597E-2</v>
      </c>
      <c r="E2" s="81"/>
      <c r="F2" s="95">
        <v>0.10590495885417066</v>
      </c>
      <c r="G2" s="81"/>
      <c r="H2" s="95">
        <v>0.16220408576695314</v>
      </c>
      <c r="I2" s="81"/>
      <c r="J2" s="95">
        <v>0.22489155262613042</v>
      </c>
      <c r="K2" s="81"/>
      <c r="L2" s="95">
        <v>0.2952482365843303</v>
      </c>
      <c r="M2" s="81"/>
      <c r="N2" s="95">
        <v>0.37495185091212635</v>
      </c>
      <c r="O2" s="81"/>
      <c r="P2" s="95">
        <v>0.46625336978538245</v>
      </c>
      <c r="Q2" s="81"/>
      <c r="R2" s="95">
        <v>0.57225880883340152</v>
      </c>
      <c r="S2" s="81"/>
      <c r="T2" s="95">
        <v>0.69740479658125121</v>
      </c>
      <c r="U2" s="81"/>
      <c r="V2" s="95">
        <v>0.84828183669145607</v>
      </c>
      <c r="W2" s="81"/>
      <c r="X2" s="95">
        <v>1.035158231149079</v>
      </c>
      <c r="Y2" s="81"/>
      <c r="Z2" s="95">
        <v>1.2749576073063682</v>
      </c>
      <c r="AA2" s="81"/>
      <c r="AB2" s="95">
        <v>1.597492736180363</v>
      </c>
      <c r="AC2" s="81"/>
      <c r="AD2" s="95">
        <v>2.0595297870258498</v>
      </c>
      <c r="AE2" s="81"/>
      <c r="AF2" s="95">
        <v>2.7790317446744317</v>
      </c>
      <c r="AG2" s="81"/>
      <c r="AH2" s="95">
        <v>4.0250992266236496</v>
      </c>
      <c r="AI2" s="81"/>
      <c r="AJ2" s="95">
        <v>6.4815483937825933</v>
      </c>
      <c r="AK2" s="81"/>
      <c r="AL2" s="95">
        <v>12.25655510876787</v>
      </c>
      <c r="AM2" s="81"/>
      <c r="AN2" s="95">
        <v>31.481870647785311</v>
      </c>
      <c r="AO2" s="81"/>
      <c r="AP2" s="95">
        <v>40.923779933765381</v>
      </c>
      <c r="AQ2" s="81"/>
      <c r="AR2" s="95">
        <v>55.683972901289032</v>
      </c>
      <c r="AS2" s="81"/>
      <c r="AT2" s="95">
        <v>81.094779006669967</v>
      </c>
      <c r="AU2" s="81"/>
      <c r="AV2" s="95">
        <v>132.20301626109219</v>
      </c>
      <c r="AW2" s="81"/>
      <c r="AX2" s="95"/>
      <c r="AZ2" s="95"/>
      <c r="BB2" s="95"/>
      <c r="BD2" s="95"/>
      <c r="BF2" s="95"/>
      <c r="BH2" s="95"/>
      <c r="BJ2" s="95"/>
      <c r="BL2" s="95"/>
      <c r="BN2" s="95"/>
      <c r="BP2" s="95"/>
      <c r="BR2" s="95"/>
      <c r="BT2" s="95"/>
      <c r="BV2" s="95"/>
      <c r="BX2" s="95"/>
      <c r="BZ2" s="95"/>
      <c r="CB2" s="95"/>
      <c r="CD2" s="95"/>
      <c r="CF2" s="95"/>
      <c r="CH2" s="95"/>
      <c r="CJ2" s="95"/>
      <c r="CL2" s="95"/>
      <c r="CN2" s="95"/>
      <c r="CP2" s="95"/>
      <c r="CR2" s="95"/>
    </row>
    <row r="3" spans="1:97" x14ac:dyDescent="0.2">
      <c r="A3" t="s">
        <v>12</v>
      </c>
      <c r="B3" s="84">
        <v>1000</v>
      </c>
      <c r="C3" s="85">
        <v>1000</v>
      </c>
      <c r="D3" s="84">
        <v>997.14372327780904</v>
      </c>
      <c r="E3" s="85">
        <v>1017.7961527932962</v>
      </c>
      <c r="F3" s="84">
        <v>994.28417791049253</v>
      </c>
      <c r="G3" s="85">
        <v>1037.8819813387163</v>
      </c>
      <c r="H3" s="84">
        <v>991.4194459434068</v>
      </c>
      <c r="I3" s="85">
        <v>1060.6746678751244</v>
      </c>
      <c r="J3" s="84">
        <v>988.54708399580204</v>
      </c>
      <c r="K3" s="85">
        <v>1086.6984776046306</v>
      </c>
      <c r="L3" s="84">
        <v>985.66434751316456</v>
      </c>
      <c r="M3" s="85">
        <v>1116.622983200984</v>
      </c>
      <c r="N3" s="84">
        <v>982.76868528787998</v>
      </c>
      <c r="O3" s="85">
        <v>1151.3193237623068</v>
      </c>
      <c r="P3" s="84">
        <v>979.85861582647169</v>
      </c>
      <c r="Q3" s="85">
        <v>1191.9442203430299</v>
      </c>
      <c r="R3" s="84">
        <v>976.93555566915791</v>
      </c>
      <c r="S3" s="85">
        <v>1240.0723418744224</v>
      </c>
      <c r="T3" s="84">
        <v>974.00725406450567</v>
      </c>
      <c r="U3" s="85">
        <v>1297.912618181349</v>
      </c>
      <c r="V3" s="84">
        <v>971.09412910185358</v>
      </c>
      <c r="W3" s="85">
        <v>1368.6745317972618</v>
      </c>
      <c r="X3" s="84">
        <v>968.24117033089954</v>
      </c>
      <c r="Y3" s="85">
        <v>1457.2261899253544</v>
      </c>
      <c r="Z3" s="84">
        <v>965.54010886607307</v>
      </c>
      <c r="AA3" s="85">
        <v>1571.3426460978085</v>
      </c>
      <c r="AB3" s="84">
        <v>963.1703584759739</v>
      </c>
      <c r="AC3" s="85">
        <v>1724.2366390334487</v>
      </c>
      <c r="AD3" s="84">
        <v>961.47061448728584</v>
      </c>
      <c r="AE3" s="85">
        <v>1940.071875763733</v>
      </c>
      <c r="AF3" s="84">
        <v>961.04024737577538</v>
      </c>
      <c r="AG3" s="85">
        <v>2266.9068544090451</v>
      </c>
      <c r="AH3" s="84">
        <v>962.7761454497504</v>
      </c>
      <c r="AI3" s="85">
        <v>2809.6040255054877</v>
      </c>
      <c r="AJ3" s="84">
        <v>967.51113156017345</v>
      </c>
      <c r="AK3" s="85">
        <v>3824.8994907832844</v>
      </c>
      <c r="AL3" s="84">
        <v>975.12943529750191</v>
      </c>
      <c r="AM3" s="85">
        <v>6088.3765923086612</v>
      </c>
      <c r="AN3" s="84">
        <v>984.66733140778535</v>
      </c>
      <c r="AO3" s="85">
        <v>13293.322262585707</v>
      </c>
      <c r="AP3" s="84">
        <v>986.8601167712128</v>
      </c>
      <c r="AQ3" s="85">
        <v>16771.380309975044</v>
      </c>
      <c r="AR3" s="84">
        <v>989.3017217926722</v>
      </c>
      <c r="AS3" s="85">
        <v>22175.959145506742</v>
      </c>
      <c r="AT3" s="84">
        <v>992.25792918498621</v>
      </c>
      <c r="AU3" s="85">
        <v>31430.181180897169</v>
      </c>
      <c r="AV3" s="84">
        <v>996.47204962446233</v>
      </c>
      <c r="AW3" s="85">
        <v>49958.206456102693</v>
      </c>
      <c r="AX3" s="84"/>
      <c r="AY3" s="85"/>
      <c r="AZ3" s="84"/>
      <c r="BA3" s="85"/>
      <c r="BB3" s="84"/>
      <c r="BC3" s="85"/>
      <c r="BD3" s="84"/>
      <c r="BE3" s="85"/>
      <c r="BF3" s="84"/>
      <c r="BG3" s="85"/>
      <c r="BH3" s="84"/>
      <c r="BI3" s="85"/>
      <c r="BJ3" s="84"/>
      <c r="BK3" s="85"/>
      <c r="BL3" s="84"/>
      <c r="BM3" s="85"/>
      <c r="BN3" s="84"/>
      <c r="BO3" s="85"/>
      <c r="BP3" s="84"/>
      <c r="BQ3" s="85"/>
      <c r="BR3" s="84"/>
      <c r="BS3" s="85"/>
      <c r="BT3" s="84"/>
      <c r="BU3" s="85"/>
      <c r="BV3" s="84"/>
      <c r="BW3" s="85"/>
      <c r="BX3" s="84"/>
      <c r="BY3" s="85"/>
      <c r="BZ3" s="84"/>
      <c r="CA3" s="85"/>
      <c r="CB3" s="84"/>
      <c r="CC3" s="85"/>
      <c r="CD3" s="84"/>
      <c r="CE3" s="85"/>
      <c r="CF3" s="84"/>
      <c r="CG3" s="85"/>
      <c r="CH3" s="84"/>
      <c r="CI3" s="85"/>
      <c r="CJ3" s="84"/>
      <c r="CK3" s="85"/>
      <c r="CL3" s="84"/>
      <c r="CM3" s="85"/>
      <c r="CN3" s="84"/>
      <c r="CO3" s="85"/>
      <c r="CP3" s="84"/>
      <c r="CQ3" s="85"/>
      <c r="CR3" s="84"/>
      <c r="CS3" s="85"/>
    </row>
    <row r="4" spans="1:97"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c r="AX4" s="59"/>
      <c r="AY4" s="60"/>
      <c r="AZ4" s="59"/>
      <c r="BA4" s="60"/>
      <c r="BB4" s="59"/>
      <c r="BC4" s="60"/>
      <c r="BD4" s="59"/>
      <c r="BE4" s="60"/>
      <c r="BF4" s="59"/>
      <c r="BG4" s="60"/>
      <c r="BH4" s="59"/>
      <c r="BI4" s="60"/>
      <c r="BJ4" s="59"/>
      <c r="BK4" s="60"/>
      <c r="BL4" s="59"/>
      <c r="BM4" s="60"/>
      <c r="BN4" s="59"/>
      <c r="BO4" s="60"/>
      <c r="BP4" s="59"/>
      <c r="BQ4" s="60"/>
      <c r="BR4" s="59"/>
      <c r="BS4" s="60"/>
      <c r="BT4" s="59"/>
      <c r="BU4" s="60"/>
      <c r="BV4" s="59"/>
      <c r="BW4" s="60"/>
      <c r="BX4" s="59"/>
      <c r="BY4" s="60"/>
      <c r="BZ4" s="59"/>
      <c r="CA4" s="60"/>
      <c r="CB4" s="59"/>
      <c r="CC4" s="60"/>
      <c r="CD4" s="59"/>
      <c r="CE4" s="60"/>
      <c r="CF4" s="59"/>
      <c r="CG4" s="60"/>
      <c r="CH4" s="59"/>
      <c r="CI4" s="60"/>
      <c r="CJ4" s="59"/>
      <c r="CK4" s="60"/>
      <c r="CL4" s="59"/>
      <c r="CM4" s="60"/>
      <c r="CN4" s="59"/>
      <c r="CO4" s="60"/>
      <c r="CP4" s="59"/>
      <c r="CQ4" s="60"/>
      <c r="CR4" s="59"/>
      <c r="CS4" s="60"/>
    </row>
    <row r="5" spans="1:97" x14ac:dyDescent="0.2">
      <c r="A5" t="s">
        <v>128</v>
      </c>
      <c r="B5" s="41">
        <v>1000</v>
      </c>
      <c r="C5" s="42">
        <v>1000</v>
      </c>
      <c r="D5" s="41">
        <v>996.99082399845292</v>
      </c>
      <c r="E5" s="42">
        <v>1016.3266274279071</v>
      </c>
      <c r="F5" s="41">
        <v>993.97506265331708</v>
      </c>
      <c r="G5" s="42">
        <v>1034.2765443930705</v>
      </c>
      <c r="H5" s="41">
        <v>990.9506495353321</v>
      </c>
      <c r="I5" s="42">
        <v>1054.050902330373</v>
      </c>
      <c r="J5" s="41">
        <v>987.91495280820084</v>
      </c>
      <c r="K5" s="42">
        <v>1075.8807996453907</v>
      </c>
      <c r="L5" s="41">
        <v>984.86500983069186</v>
      </c>
      <c r="M5" s="42">
        <v>1100.0316236368972</v>
      </c>
      <c r="N5" s="41">
        <v>981.79804895482539</v>
      </c>
      <c r="O5" s="42">
        <v>1126.8083530166016</v>
      </c>
      <c r="P5" s="41">
        <v>978.71242007789533</v>
      </c>
      <c r="Q5" s="42">
        <v>1156.558132045745</v>
      </c>
      <c r="R5" s="41">
        <v>975.60954223032184</v>
      </c>
      <c r="S5" s="42">
        <v>1189.673549054851</v>
      </c>
      <c r="T5" s="41">
        <v>972.49757319561331</v>
      </c>
      <c r="U5" s="42">
        <v>1226.5867520544143</v>
      </c>
      <c r="V5" s="41">
        <v>969.39819361228535</v>
      </c>
      <c r="W5" s="42">
        <v>1267.7540531644111</v>
      </c>
      <c r="X5" s="41">
        <v>966.35937055277043</v>
      </c>
      <c r="Y5" s="42">
        <v>1313.6090931163692</v>
      </c>
      <c r="Z5" s="41">
        <v>963.47915669625809</v>
      </c>
      <c r="AA5" s="42">
        <v>1364.4533071618557</v>
      </c>
      <c r="AB5" s="41">
        <v>960.94965408268399</v>
      </c>
      <c r="AC5" s="42">
        <v>1420.2082076925217</v>
      </c>
      <c r="AD5" s="41">
        <v>959.13383096118866</v>
      </c>
      <c r="AE5" s="42">
        <v>1479.8803931934303</v>
      </c>
      <c r="AF5" s="41">
        <v>958.67387406883631</v>
      </c>
      <c r="AG5" s="42">
        <v>1540.5386592609275</v>
      </c>
      <c r="AH5" s="41">
        <v>960.52863094841643</v>
      </c>
      <c r="AI5" s="42">
        <v>1595.9962257360105</v>
      </c>
      <c r="AJ5" s="41">
        <v>965.58121743869458</v>
      </c>
      <c r="AK5" s="42">
        <v>1637.4021858652916</v>
      </c>
      <c r="AL5" s="41">
        <v>973.69055883830742</v>
      </c>
      <c r="AM5" s="42">
        <v>1659.3670414460257</v>
      </c>
      <c r="AN5" s="41">
        <v>983.80939303856098</v>
      </c>
      <c r="AO5" s="42">
        <v>1666.1265225096988</v>
      </c>
      <c r="AP5" s="41">
        <v>986.13053797979546</v>
      </c>
      <c r="AQ5" s="42">
        <v>1666.4900689570652</v>
      </c>
      <c r="AR5" s="41">
        <v>988.71281733005696</v>
      </c>
      <c r="AS5" s="42">
        <v>1666.6948072398231</v>
      </c>
      <c r="AT5" s="41">
        <v>991.83620155374808</v>
      </c>
      <c r="AU5" s="42">
        <v>1666.796099998895</v>
      </c>
      <c r="AV5" s="41">
        <v>996.28274050827542</v>
      </c>
      <c r="AW5" s="42">
        <v>1666.8372911713345</v>
      </c>
      <c r="AX5" s="41"/>
      <c r="AY5" s="42"/>
      <c r="AZ5" s="41"/>
      <c r="BA5" s="42"/>
      <c r="BB5" s="41"/>
      <c r="BC5" s="42"/>
      <c r="BD5" s="41"/>
      <c r="BE5" s="42"/>
      <c r="BF5" s="41"/>
      <c r="BG5" s="42"/>
      <c r="BH5" s="41"/>
      <c r="BI5" s="42"/>
      <c r="BJ5" s="41"/>
      <c r="BK5" s="42"/>
      <c r="BL5" s="41"/>
      <c r="BM5" s="42"/>
      <c r="BN5" s="41"/>
      <c r="BO5" s="42"/>
      <c r="BP5" s="41"/>
      <c r="BQ5" s="42"/>
      <c r="BR5" s="41"/>
      <c r="BS5" s="42"/>
      <c r="BT5" s="41"/>
      <c r="BU5" s="42"/>
      <c r="BV5" s="41"/>
      <c r="BW5" s="42"/>
      <c r="BX5" s="41"/>
      <c r="BY5" s="42"/>
      <c r="BZ5" s="41"/>
      <c r="CA5" s="42"/>
      <c r="CB5" s="41"/>
      <c r="CC5" s="42"/>
      <c r="CD5" s="41"/>
      <c r="CE5" s="42"/>
      <c r="CF5" s="41"/>
      <c r="CG5" s="42"/>
      <c r="CH5" s="41"/>
      <c r="CI5" s="42"/>
      <c r="CJ5" s="41"/>
      <c r="CK5" s="42"/>
      <c r="CL5" s="41"/>
      <c r="CM5" s="42"/>
      <c r="CN5" s="41"/>
      <c r="CO5" s="42"/>
      <c r="CP5" s="41"/>
      <c r="CQ5" s="42"/>
      <c r="CR5" s="41"/>
      <c r="CS5" s="42"/>
    </row>
    <row r="6" spans="1:97" x14ac:dyDescent="0.2">
      <c r="A6" t="s">
        <v>77</v>
      </c>
      <c r="B6" s="41">
        <v>999.99999999999932</v>
      </c>
      <c r="C6" s="42">
        <v>1000.0000000000007</v>
      </c>
      <c r="D6" s="41">
        <v>996.80874383105891</v>
      </c>
      <c r="E6" s="42">
        <v>1021.0142795880407</v>
      </c>
      <c r="F6" s="41">
        <v>993.61167331084175</v>
      </c>
      <c r="G6" s="42">
        <v>1044.5800611719692</v>
      </c>
      <c r="H6" s="41">
        <v>990.4066056883305</v>
      </c>
      <c r="I6" s="42">
        <v>1071.1438569805737</v>
      </c>
      <c r="J6" s="41">
        <v>987.19076301723487</v>
      </c>
      <c r="K6" s="42">
        <v>1101.2651160161915</v>
      </c>
      <c r="L6" s="41">
        <v>983.96102114039934</v>
      </c>
      <c r="M6" s="42">
        <v>1135.6565743794711</v>
      </c>
      <c r="N6" s="41">
        <v>980.71446276465792</v>
      </c>
      <c r="O6" s="42">
        <v>1175.2436696464099</v>
      </c>
      <c r="P6" s="41">
        <v>977.44936148411705</v>
      </c>
      <c r="Q6" s="42">
        <v>1221.2532120175504</v>
      </c>
      <c r="R6" s="41">
        <v>974.1672395444657</v>
      </c>
      <c r="S6" s="42">
        <v>1275.3532369721761</v>
      </c>
      <c r="T6" s="41">
        <v>970.87674099839251</v>
      </c>
      <c r="U6" s="42">
        <v>1339.8816602428967</v>
      </c>
      <c r="V6" s="41">
        <v>967.60078748757803</v>
      </c>
      <c r="W6" s="42">
        <v>1418.233366793813</v>
      </c>
      <c r="X6" s="41">
        <v>964.39003478758775</v>
      </c>
      <c r="Y6" s="42">
        <v>1515.555704142432</v>
      </c>
      <c r="Z6" s="41">
        <v>961.34795601717565</v>
      </c>
      <c r="AA6" s="42">
        <v>1640.0673717105649</v>
      </c>
      <c r="AB6" s="41">
        <v>958.67717333435212</v>
      </c>
      <c r="AC6" s="42">
        <v>1805.7313514587954</v>
      </c>
      <c r="AD6" s="41">
        <v>956.76043567537613</v>
      </c>
      <c r="AE6" s="42">
        <v>2038.0763879930498</v>
      </c>
      <c r="AF6" s="41">
        <v>956.27498353951944</v>
      </c>
      <c r="AG6" s="42">
        <v>2387.8641229680356</v>
      </c>
      <c r="AH6" s="41">
        <v>958.23271426344866</v>
      </c>
      <c r="AI6" s="42">
        <v>2965.8552762854056</v>
      </c>
      <c r="AJ6" s="41">
        <v>963.56804565656171</v>
      </c>
      <c r="AK6" s="42">
        <v>4043.35565806462</v>
      </c>
      <c r="AL6" s="41">
        <v>972.13801993178913</v>
      </c>
      <c r="AM6" s="42">
        <v>6440.612346575218</v>
      </c>
      <c r="AN6" s="41">
        <v>982.84345244109329</v>
      </c>
      <c r="AO6" s="42">
        <v>14065.318821956978</v>
      </c>
      <c r="AP6" s="41">
        <v>985.3010091510622</v>
      </c>
      <c r="AQ6" s="42">
        <v>17745.558676468107</v>
      </c>
      <c r="AR6" s="41">
        <v>988.0358601459925</v>
      </c>
      <c r="AS6" s="42">
        <v>23464.213196971454</v>
      </c>
      <c r="AT6" s="41">
        <v>991.3449318242192</v>
      </c>
      <c r="AU6" s="42">
        <v>33256.137707156013</v>
      </c>
      <c r="AV6" s="41">
        <v>996.057984949927</v>
      </c>
      <c r="AW6" s="42">
        <v>52860.626908508217</v>
      </c>
      <c r="AX6" s="41"/>
      <c r="AY6" s="42"/>
      <c r="AZ6" s="41"/>
      <c r="BA6" s="42"/>
      <c r="BB6" s="41"/>
      <c r="BC6" s="42"/>
      <c r="BD6" s="41"/>
      <c r="BE6" s="42"/>
      <c r="BF6" s="41"/>
      <c r="BG6" s="42"/>
      <c r="BH6" s="41"/>
      <c r="BI6" s="42"/>
      <c r="BJ6" s="41"/>
      <c r="BK6" s="42"/>
      <c r="BL6" s="41"/>
      <c r="BM6" s="42"/>
      <c r="BN6" s="41"/>
      <c r="BO6" s="42"/>
      <c r="BP6" s="41"/>
      <c r="BQ6" s="42"/>
      <c r="BR6" s="41"/>
      <c r="BS6" s="42"/>
      <c r="BT6" s="41"/>
      <c r="BU6" s="42"/>
      <c r="BV6" s="41"/>
      <c r="BW6" s="42"/>
      <c r="BX6" s="41"/>
      <c r="BY6" s="42"/>
      <c r="BZ6" s="41"/>
      <c r="CA6" s="42"/>
      <c r="CB6" s="41"/>
      <c r="CC6" s="42"/>
      <c r="CD6" s="41"/>
      <c r="CE6" s="42"/>
      <c r="CF6" s="41"/>
      <c r="CG6" s="42"/>
      <c r="CH6" s="41"/>
      <c r="CI6" s="42"/>
      <c r="CJ6" s="41"/>
      <c r="CK6" s="42"/>
      <c r="CL6" s="41"/>
      <c r="CM6" s="42"/>
      <c r="CN6" s="41"/>
      <c r="CO6" s="42"/>
      <c r="CP6" s="41"/>
      <c r="CQ6" s="42"/>
      <c r="CR6" s="41"/>
      <c r="CS6" s="42"/>
    </row>
    <row r="7" spans="1:97" x14ac:dyDescent="0.2">
      <c r="A7" t="s">
        <v>13</v>
      </c>
      <c r="B7" s="33">
        <v>1016.8034022777628</v>
      </c>
      <c r="C7" s="34">
        <v>1016.8034022777628</v>
      </c>
      <c r="D7" s="33">
        <v>1013.7436618813372</v>
      </c>
      <c r="E7" s="34">
        <v>1013.7436618813372</v>
      </c>
      <c r="F7" s="33">
        <v>1010.6772254851452</v>
      </c>
      <c r="G7" s="34">
        <v>1010.6772254851452</v>
      </c>
      <c r="H7" s="33">
        <v>1007.6019919368846</v>
      </c>
      <c r="I7" s="34">
        <v>1007.6019919368846</v>
      </c>
      <c r="J7" s="33">
        <v>1004.5152851764541</v>
      </c>
      <c r="K7" s="34">
        <v>1004.5152851764541</v>
      </c>
      <c r="L7" s="33">
        <v>1001.4140927801698</v>
      </c>
      <c r="M7" s="34">
        <v>1001.4140927801698</v>
      </c>
      <c r="N7" s="33">
        <v>998.29559652693592</v>
      </c>
      <c r="O7" s="34">
        <v>998.29559652693592</v>
      </c>
      <c r="P7" s="33">
        <v>995.15811858670691</v>
      </c>
      <c r="Q7" s="34">
        <v>995.15811858670691</v>
      </c>
      <c r="R7" s="33">
        <v>992.00310183444196</v>
      </c>
      <c r="S7" s="34">
        <v>992.00310183444196</v>
      </c>
      <c r="T7" s="33">
        <v>988.8388411321672</v>
      </c>
      <c r="U7" s="34">
        <v>988.8388411321672</v>
      </c>
      <c r="V7" s="33">
        <v>985.68738142688915</v>
      </c>
      <c r="W7" s="34">
        <v>985.68738142688915</v>
      </c>
      <c r="X7" s="33">
        <v>982.59749580105427</v>
      </c>
      <c r="Y7" s="34">
        <v>982.59749580105427</v>
      </c>
      <c r="Z7" s="33">
        <v>979.66888455246499</v>
      </c>
      <c r="AA7" s="34">
        <v>979.66888455246499</v>
      </c>
      <c r="AB7" s="33">
        <v>977.09687768891229</v>
      </c>
      <c r="AC7" s="34">
        <v>977.09687768891229</v>
      </c>
      <c r="AD7" s="33">
        <v>975.25054256104124</v>
      </c>
      <c r="AE7" s="34">
        <v>975.25054256104124</v>
      </c>
      <c r="AF7" s="33">
        <v>974.78285682799628</v>
      </c>
      <c r="AG7" s="34">
        <v>974.78285682799628</v>
      </c>
      <c r="AH7" s="33">
        <v>976.66877993355138</v>
      </c>
      <c r="AI7" s="34">
        <v>976.66877993355138</v>
      </c>
      <c r="AJ7" s="33">
        <v>981.80626706716885</v>
      </c>
      <c r="AK7" s="34">
        <v>981.80626706716885</v>
      </c>
      <c r="AL7" s="33">
        <v>990.05187299252714</v>
      </c>
      <c r="AM7" s="34">
        <v>990.05187299252714</v>
      </c>
      <c r="AN7" s="33">
        <v>1000.3407380344296</v>
      </c>
      <c r="AO7" s="34">
        <v>1000.3407380344296</v>
      </c>
      <c r="AP7" s="33">
        <v>1002.7008861078566</v>
      </c>
      <c r="AQ7" s="34">
        <v>1002.7008861078566</v>
      </c>
      <c r="AR7" s="33">
        <v>1005.3265565368341</v>
      </c>
      <c r="AS7" s="34">
        <v>1005.3265565368341</v>
      </c>
      <c r="AT7" s="33">
        <v>1008.5024242421039</v>
      </c>
      <c r="AU7" s="34">
        <v>1008.5024242421039</v>
      </c>
      <c r="AV7" s="33">
        <v>1013.023680179428</v>
      </c>
      <c r="AW7" s="34">
        <v>1013.023680179428</v>
      </c>
      <c r="AX7" s="33"/>
      <c r="AY7" s="34"/>
      <c r="AZ7" s="33"/>
      <c r="BA7" s="34"/>
      <c r="BB7" s="33"/>
      <c r="BC7" s="34"/>
      <c r="BD7" s="33"/>
      <c r="BE7" s="34"/>
      <c r="BF7" s="33"/>
      <c r="BG7" s="34"/>
      <c r="BH7" s="33"/>
      <c r="BI7" s="34"/>
      <c r="BJ7" s="33"/>
      <c r="BK7" s="34"/>
      <c r="BL7" s="33"/>
      <c r="BM7" s="34"/>
      <c r="BN7" s="33"/>
      <c r="BO7" s="34"/>
      <c r="BP7" s="33"/>
      <c r="BQ7" s="34"/>
      <c r="BR7" s="33"/>
      <c r="BS7" s="34"/>
      <c r="BT7" s="33"/>
      <c r="BU7" s="34"/>
      <c r="BV7" s="33"/>
      <c r="BW7" s="34"/>
      <c r="BX7" s="33"/>
      <c r="BY7" s="34"/>
      <c r="BZ7" s="33"/>
      <c r="CA7" s="34"/>
      <c r="CB7" s="33"/>
      <c r="CC7" s="34"/>
      <c r="CD7" s="33"/>
      <c r="CE7" s="34"/>
      <c r="CF7" s="33"/>
      <c r="CG7" s="34"/>
      <c r="CH7" s="33"/>
      <c r="CI7" s="34"/>
      <c r="CJ7" s="33"/>
      <c r="CK7" s="34"/>
      <c r="CL7" s="33"/>
      <c r="CM7" s="34"/>
      <c r="CN7" s="33"/>
      <c r="CO7" s="34"/>
      <c r="CP7" s="33"/>
      <c r="CQ7" s="34"/>
      <c r="CR7" s="33"/>
      <c r="CS7" s="34"/>
    </row>
    <row r="8" spans="1:97" x14ac:dyDescent="0.2">
      <c r="B8" s="35">
        <v>1008.6827325972949</v>
      </c>
      <c r="C8" s="36">
        <v>1008.6827325972949</v>
      </c>
      <c r="D8" s="35">
        <v>1072.2200813865936</v>
      </c>
      <c r="E8" s="36">
        <v>1072.2200813865936</v>
      </c>
      <c r="F8" s="35">
        <v>1143.8115592708525</v>
      </c>
      <c r="G8" s="36">
        <v>1143.8115592708525</v>
      </c>
      <c r="H8" s="35">
        <v>1225.0222652947032</v>
      </c>
      <c r="I8" s="36">
        <v>1225.0222652947032</v>
      </c>
      <c r="J8" s="35">
        <v>1317.8373031182853</v>
      </c>
      <c r="K8" s="36">
        <v>1317.8373031182853</v>
      </c>
      <c r="L8" s="35">
        <v>1424.8140207026888</v>
      </c>
      <c r="M8" s="36">
        <v>1424.8140207026888</v>
      </c>
      <c r="N8" s="35">
        <v>1549.307230603421</v>
      </c>
      <c r="O8" s="36">
        <v>1549.307230603421</v>
      </c>
      <c r="P8" s="35">
        <v>1695.8072584647607</v>
      </c>
      <c r="Q8" s="36">
        <v>1695.8072584647607</v>
      </c>
      <c r="R8" s="35">
        <v>1870.4747171375855</v>
      </c>
      <c r="S8" s="36">
        <v>1870.4747171375855</v>
      </c>
      <c r="T8" s="35">
        <v>2082.0142363601808</v>
      </c>
      <c r="U8" s="36">
        <v>2082.0142363601808</v>
      </c>
      <c r="V8" s="35">
        <v>2343.1667898557557</v>
      </c>
      <c r="W8" s="36">
        <v>2343.1667898557557</v>
      </c>
      <c r="X8" s="35">
        <v>2673.402358368056</v>
      </c>
      <c r="Y8" s="36">
        <v>2673.402358368056</v>
      </c>
      <c r="Z8" s="35">
        <v>3104.0734309421969</v>
      </c>
      <c r="AA8" s="36">
        <v>3104.0734309421969</v>
      </c>
      <c r="AB8" s="35">
        <v>3688.9805033450571</v>
      </c>
      <c r="AC8" s="36">
        <v>3688.9805033450571</v>
      </c>
      <c r="AD8" s="35">
        <v>4527.7381442108272</v>
      </c>
      <c r="AE8" s="36">
        <v>4527.7381442108272</v>
      </c>
      <c r="AF8" s="35">
        <v>5821.7444972452331</v>
      </c>
      <c r="AG8" s="36">
        <v>5821.7444972452331</v>
      </c>
      <c r="AH8" s="35">
        <v>8020.03939964029</v>
      </c>
      <c r="AI8" s="36">
        <v>8020.03939964029</v>
      </c>
      <c r="AJ8" s="35">
        <v>12250.303693636579</v>
      </c>
      <c r="AK8" s="36">
        <v>12250.303693636579</v>
      </c>
      <c r="AL8" s="35">
        <v>21997.490630602337</v>
      </c>
      <c r="AM8" s="36">
        <v>21997.490630602337</v>
      </c>
      <c r="AN8" s="35">
        <v>54118.906187004402</v>
      </c>
      <c r="AO8" s="36">
        <v>54118.906187004402</v>
      </c>
      <c r="AP8" s="35">
        <v>69865.562912761496</v>
      </c>
      <c r="AQ8" s="36">
        <v>69865.562912761496</v>
      </c>
      <c r="AR8" s="35">
        <v>94474.88328830128</v>
      </c>
      <c r="AS8" s="36">
        <v>94474.88328830128</v>
      </c>
      <c r="AT8" s="35">
        <v>136835.25747858867</v>
      </c>
      <c r="AU8" s="36">
        <v>136835.25747858867</v>
      </c>
      <c r="AV8" s="35">
        <v>222027.75480049013</v>
      </c>
      <c r="AW8" s="36">
        <v>222027.75480049013</v>
      </c>
      <c r="AX8" s="35"/>
      <c r="AY8" s="36"/>
      <c r="AZ8" s="35"/>
      <c r="BA8" s="36"/>
      <c r="BB8" s="35"/>
      <c r="BC8" s="36"/>
      <c r="BD8" s="35"/>
      <c r="BE8" s="36"/>
      <c r="BF8" s="35"/>
      <c r="BG8" s="36"/>
      <c r="BH8" s="35"/>
      <c r="BI8" s="36"/>
      <c r="BJ8" s="35"/>
      <c r="BK8" s="36"/>
      <c r="BL8" s="35"/>
      <c r="BM8" s="36"/>
      <c r="BN8" s="35"/>
      <c r="BO8" s="36"/>
      <c r="BP8" s="35"/>
      <c r="BQ8" s="36"/>
      <c r="BR8" s="35"/>
      <c r="BS8" s="36"/>
      <c r="BT8" s="35"/>
      <c r="BU8" s="36"/>
      <c r="BV8" s="35"/>
      <c r="BW8" s="36"/>
      <c r="BX8" s="35"/>
      <c r="BY8" s="36"/>
      <c r="BZ8" s="35"/>
      <c r="CA8" s="36"/>
      <c r="CB8" s="35"/>
      <c r="CC8" s="36"/>
      <c r="CD8" s="35"/>
      <c r="CE8" s="36"/>
      <c r="CF8" s="35"/>
      <c r="CG8" s="36"/>
      <c r="CH8" s="35"/>
      <c r="CI8" s="36"/>
      <c r="CJ8" s="35"/>
      <c r="CK8" s="36"/>
      <c r="CL8" s="35"/>
      <c r="CM8" s="36"/>
      <c r="CN8" s="35"/>
      <c r="CO8" s="36"/>
      <c r="CP8" s="35"/>
      <c r="CQ8" s="36"/>
      <c r="CR8" s="35"/>
      <c r="CS8" s="36"/>
    </row>
    <row r="9" spans="1:97" x14ac:dyDescent="0.2">
      <c r="A9" t="s">
        <v>14</v>
      </c>
      <c r="B9" s="41">
        <v>1016.8034022777628</v>
      </c>
      <c r="C9" s="42">
        <v>1008.6827325972949</v>
      </c>
      <c r="D9" s="41">
        <v>1013.7436618813372</v>
      </c>
      <c r="E9" s="42">
        <v>1072.2200813865936</v>
      </c>
      <c r="F9" s="41">
        <v>1010.6772254851452</v>
      </c>
      <c r="G9" s="42">
        <v>1143.8115592708525</v>
      </c>
      <c r="H9" s="41">
        <v>1007.6019919368846</v>
      </c>
      <c r="I9" s="42">
        <v>1225.0222652947032</v>
      </c>
      <c r="J9" s="41">
        <v>1004.5152851764541</v>
      </c>
      <c r="K9" s="42">
        <v>1317.8373031182853</v>
      </c>
      <c r="L9" s="41">
        <v>1001.4140927801698</v>
      </c>
      <c r="M9" s="42">
        <v>1424.8140207026888</v>
      </c>
      <c r="N9" s="41">
        <v>998.29559652693592</v>
      </c>
      <c r="O9" s="42">
        <v>1549.307230603421</v>
      </c>
      <c r="P9" s="41">
        <v>995.15811858670691</v>
      </c>
      <c r="Q9" s="42">
        <v>1695.8072584647607</v>
      </c>
      <c r="R9" s="41">
        <v>992.00310183444196</v>
      </c>
      <c r="S9" s="42">
        <v>1870.4747171375855</v>
      </c>
      <c r="T9" s="41">
        <v>988.8388411321672</v>
      </c>
      <c r="U9" s="42">
        <v>2082.0142363601808</v>
      </c>
      <c r="V9" s="41">
        <v>985.68738142688915</v>
      </c>
      <c r="W9" s="42">
        <v>2343.1667898557557</v>
      </c>
      <c r="X9" s="41">
        <v>982.59749580105427</v>
      </c>
      <c r="Y9" s="42">
        <v>2673.402358368056</v>
      </c>
      <c r="Z9" s="41">
        <v>979.66888455246499</v>
      </c>
      <c r="AA9" s="42">
        <v>3104.0734309421969</v>
      </c>
      <c r="AB9" s="41">
        <v>977.09687768891229</v>
      </c>
      <c r="AC9" s="42">
        <v>3688.9805033450571</v>
      </c>
      <c r="AD9" s="41">
        <v>975.25054256104124</v>
      </c>
      <c r="AE9" s="42">
        <v>4527.7381442108272</v>
      </c>
      <c r="AF9" s="41">
        <v>974.78285682799628</v>
      </c>
      <c r="AG9" s="42">
        <v>5821.7444972452331</v>
      </c>
      <c r="AH9" s="41">
        <v>976.66877993355138</v>
      </c>
      <c r="AI9" s="42">
        <v>8020.03939964029</v>
      </c>
      <c r="AJ9" s="41">
        <v>981.80626706716885</v>
      </c>
      <c r="AK9" s="42">
        <v>12250.303693636579</v>
      </c>
      <c r="AL9" s="41">
        <v>990.05187299252714</v>
      </c>
      <c r="AM9" s="42">
        <v>21997.490630602337</v>
      </c>
      <c r="AN9" s="41">
        <v>1000.3407380344296</v>
      </c>
      <c r="AO9" s="42">
        <v>54118.906187004402</v>
      </c>
      <c r="AP9" s="41">
        <v>1002.7008861078566</v>
      </c>
      <c r="AQ9" s="42">
        <v>69865.562912761496</v>
      </c>
      <c r="AR9" s="41">
        <v>1005.3265565368341</v>
      </c>
      <c r="AS9" s="42">
        <v>94474.88328830128</v>
      </c>
      <c r="AT9" s="41">
        <v>1008.5024242421039</v>
      </c>
      <c r="AU9" s="42">
        <v>136835.25747858867</v>
      </c>
      <c r="AV9" s="41">
        <v>1013.023680179428</v>
      </c>
      <c r="AW9" s="42">
        <v>222027.75480049013</v>
      </c>
      <c r="AX9" s="41"/>
      <c r="AY9" s="42"/>
      <c r="AZ9" s="41"/>
      <c r="BA9" s="42"/>
      <c r="BB9" s="41"/>
      <c r="BC9" s="42"/>
      <c r="BD9" s="41"/>
      <c r="BE9" s="42"/>
      <c r="BF9" s="41"/>
      <c r="BG9" s="42"/>
      <c r="BH9" s="41"/>
      <c r="BI9" s="42"/>
      <c r="BJ9" s="41"/>
      <c r="BK9" s="42"/>
      <c r="BL9" s="41"/>
      <c r="BM9" s="42"/>
      <c r="BN9" s="41"/>
      <c r="BO9" s="42"/>
      <c r="BP9" s="41"/>
      <c r="BQ9" s="42"/>
      <c r="BR9" s="41"/>
      <c r="BS9" s="42"/>
      <c r="BT9" s="41"/>
      <c r="BU9" s="42"/>
      <c r="BV9" s="41"/>
      <c r="BW9" s="42"/>
      <c r="BX9" s="41"/>
      <c r="BY9" s="42"/>
      <c r="BZ9" s="41"/>
      <c r="CA9" s="42"/>
      <c r="CB9" s="41"/>
      <c r="CC9" s="42"/>
      <c r="CD9" s="41"/>
      <c r="CE9" s="42"/>
      <c r="CF9" s="41"/>
      <c r="CG9" s="42"/>
      <c r="CH9" s="41"/>
      <c r="CI9" s="42"/>
      <c r="CJ9" s="41"/>
      <c r="CK9" s="42"/>
      <c r="CL9" s="41"/>
      <c r="CM9" s="42"/>
      <c r="CN9" s="41"/>
      <c r="CO9" s="42"/>
      <c r="CP9" s="41"/>
      <c r="CQ9" s="42"/>
      <c r="CR9" s="41"/>
      <c r="CS9" s="42"/>
    </row>
    <row r="10" spans="1:97" x14ac:dyDescent="0.2">
      <c r="A10" t="s">
        <v>15</v>
      </c>
      <c r="B10" s="41">
        <v>1016.8034022777628</v>
      </c>
      <c r="C10" s="42">
        <v>1008.6827325972949</v>
      </c>
      <c r="D10" s="41">
        <v>1013.7436618813372</v>
      </c>
      <c r="E10" s="42">
        <v>1072.2200813865936</v>
      </c>
      <c r="F10" s="41">
        <v>1010.6772254851452</v>
      </c>
      <c r="G10" s="42">
        <v>1143.8115592708525</v>
      </c>
      <c r="H10" s="41">
        <v>1007.6019919368846</v>
      </c>
      <c r="I10" s="42">
        <v>1225.0222652947032</v>
      </c>
      <c r="J10" s="41">
        <v>1004.5152851764541</v>
      </c>
      <c r="K10" s="42">
        <v>1317.8373031182853</v>
      </c>
      <c r="L10" s="41">
        <v>1001.4140927801698</v>
      </c>
      <c r="M10" s="42">
        <v>1424.8140207026888</v>
      </c>
      <c r="N10" s="41">
        <v>998.29559652693592</v>
      </c>
      <c r="O10" s="42">
        <v>1549.307230603421</v>
      </c>
      <c r="P10" s="41">
        <v>995.15811858670691</v>
      </c>
      <c r="Q10" s="42">
        <v>1695.8072584647607</v>
      </c>
      <c r="R10" s="41">
        <v>992.00310183444196</v>
      </c>
      <c r="S10" s="42">
        <v>1870.4747171375855</v>
      </c>
      <c r="T10" s="41">
        <v>988.8388411321672</v>
      </c>
      <c r="U10" s="42">
        <v>2082.0142363601808</v>
      </c>
      <c r="V10" s="41">
        <v>985.68738142688915</v>
      </c>
      <c r="W10" s="42">
        <v>2343.1667898557557</v>
      </c>
      <c r="X10" s="41">
        <v>982.59749580105427</v>
      </c>
      <c r="Y10" s="42">
        <v>2673.402358368056</v>
      </c>
      <c r="Z10" s="41">
        <v>979.66888455246499</v>
      </c>
      <c r="AA10" s="42">
        <v>3104.0734309421969</v>
      </c>
      <c r="AB10" s="41">
        <v>977.09687768891229</v>
      </c>
      <c r="AC10" s="42">
        <v>3688.9805033450571</v>
      </c>
      <c r="AD10" s="41">
        <v>975.25054256104124</v>
      </c>
      <c r="AE10" s="42">
        <v>4527.7381442108272</v>
      </c>
      <c r="AF10" s="41">
        <v>974.78285682799628</v>
      </c>
      <c r="AG10" s="42">
        <v>5821.7444972452331</v>
      </c>
      <c r="AH10" s="41">
        <v>976.66877993355138</v>
      </c>
      <c r="AI10" s="42">
        <v>8020.03939964029</v>
      </c>
      <c r="AJ10" s="41">
        <v>981.80626706716885</v>
      </c>
      <c r="AK10" s="42">
        <v>12250.303693636579</v>
      </c>
      <c r="AL10" s="41">
        <v>990.05187299252714</v>
      </c>
      <c r="AM10" s="42">
        <v>21997.490630602337</v>
      </c>
      <c r="AN10" s="41">
        <v>1000.3407380344296</v>
      </c>
      <c r="AO10" s="42">
        <v>54118.906187004402</v>
      </c>
      <c r="AP10" s="41">
        <v>1002.7008861078566</v>
      </c>
      <c r="AQ10" s="42">
        <v>69865.562912761496</v>
      </c>
      <c r="AR10" s="41">
        <v>1005.3265565368341</v>
      </c>
      <c r="AS10" s="42">
        <v>94474.88328830128</v>
      </c>
      <c r="AT10" s="41">
        <v>1008.5024242421039</v>
      </c>
      <c r="AU10" s="42">
        <v>136835.25747858867</v>
      </c>
      <c r="AV10" s="41">
        <v>1013.023680179428</v>
      </c>
      <c r="AW10" s="42">
        <v>222027.75480049013</v>
      </c>
      <c r="AX10" s="41"/>
      <c r="AY10" s="42"/>
      <c r="AZ10" s="41"/>
      <c r="BA10" s="42"/>
      <c r="BB10" s="41"/>
      <c r="BC10" s="42"/>
      <c r="BD10" s="41"/>
      <c r="BE10" s="42"/>
      <c r="BF10" s="41"/>
      <c r="BG10" s="42"/>
      <c r="BH10" s="41"/>
      <c r="BI10" s="42"/>
      <c r="BJ10" s="41"/>
      <c r="BK10" s="42"/>
      <c r="BL10" s="41"/>
      <c r="BM10" s="42"/>
      <c r="BN10" s="41"/>
      <c r="BO10" s="42"/>
      <c r="BP10" s="41"/>
      <c r="BQ10" s="42"/>
      <c r="BR10" s="41"/>
      <c r="BS10" s="42"/>
      <c r="BT10" s="41"/>
      <c r="BU10" s="42"/>
      <c r="BV10" s="41"/>
      <c r="BW10" s="42"/>
      <c r="BX10" s="41"/>
      <c r="BY10" s="42"/>
      <c r="BZ10" s="41"/>
      <c r="CA10" s="42"/>
      <c r="CB10" s="41"/>
      <c r="CC10" s="42"/>
      <c r="CD10" s="41"/>
      <c r="CE10" s="42"/>
      <c r="CF10" s="41"/>
      <c r="CG10" s="42"/>
      <c r="CH10" s="41"/>
      <c r="CI10" s="42"/>
      <c r="CJ10" s="41"/>
      <c r="CK10" s="42"/>
      <c r="CL10" s="41"/>
      <c r="CM10" s="42"/>
      <c r="CN10" s="41"/>
      <c r="CO10" s="42"/>
      <c r="CP10" s="41"/>
      <c r="CQ10" s="42"/>
      <c r="CR10" s="41"/>
      <c r="CS10" s="42"/>
    </row>
    <row r="11" spans="1:97" x14ac:dyDescent="0.2">
      <c r="A11" t="s">
        <v>29</v>
      </c>
      <c r="B11" s="41">
        <v>1016.8034022777628</v>
      </c>
      <c r="C11" s="42">
        <v>1008.6827325972949</v>
      </c>
      <c r="D11" s="41">
        <v>1013.7436618813372</v>
      </c>
      <c r="E11" s="42">
        <v>1072.2200813865936</v>
      </c>
      <c r="F11" s="41">
        <v>1010.6772254851452</v>
      </c>
      <c r="G11" s="42">
        <v>1143.8115592708525</v>
      </c>
      <c r="H11" s="41">
        <v>1007.6019919368846</v>
      </c>
      <c r="I11" s="42">
        <v>1225.0222652947032</v>
      </c>
      <c r="J11" s="41">
        <v>1004.5152851764541</v>
      </c>
      <c r="K11" s="42">
        <v>1317.8373031182853</v>
      </c>
      <c r="L11" s="41">
        <v>1001.4140927801698</v>
      </c>
      <c r="M11" s="42">
        <v>1424.8140207026888</v>
      </c>
      <c r="N11" s="41">
        <v>998.29559652693592</v>
      </c>
      <c r="O11" s="42">
        <v>1549.307230603421</v>
      </c>
      <c r="P11" s="41">
        <v>995.15811858670691</v>
      </c>
      <c r="Q11" s="42">
        <v>1695.8072584647607</v>
      </c>
      <c r="R11" s="41">
        <v>992.00310183444196</v>
      </c>
      <c r="S11" s="42">
        <v>1870.4747171375855</v>
      </c>
      <c r="T11" s="41">
        <v>988.8388411321672</v>
      </c>
      <c r="U11" s="42">
        <v>2082.0142363601808</v>
      </c>
      <c r="V11" s="41">
        <v>985.68738142688915</v>
      </c>
      <c r="W11" s="42">
        <v>2343.1667898557557</v>
      </c>
      <c r="X11" s="41">
        <v>982.59749580105427</v>
      </c>
      <c r="Y11" s="42">
        <v>2673.402358368056</v>
      </c>
      <c r="Z11" s="41">
        <v>979.66888455246499</v>
      </c>
      <c r="AA11" s="42">
        <v>3104.0734309421969</v>
      </c>
      <c r="AB11" s="41">
        <v>977.09687768891229</v>
      </c>
      <c r="AC11" s="42">
        <v>3688.9805033450571</v>
      </c>
      <c r="AD11" s="41">
        <v>975.25054256104124</v>
      </c>
      <c r="AE11" s="42">
        <v>4527.7381442108272</v>
      </c>
      <c r="AF11" s="41">
        <v>974.78285682799628</v>
      </c>
      <c r="AG11" s="42">
        <v>5821.7444972452331</v>
      </c>
      <c r="AH11" s="41">
        <v>976.66877993355138</v>
      </c>
      <c r="AI11" s="42">
        <v>8020.03939964029</v>
      </c>
      <c r="AJ11" s="41">
        <v>981.80626706716885</v>
      </c>
      <c r="AK11" s="42">
        <v>12250.303693636579</v>
      </c>
      <c r="AL11" s="41">
        <v>990.05187299252714</v>
      </c>
      <c r="AM11" s="42">
        <v>21997.490630602337</v>
      </c>
      <c r="AN11" s="41">
        <v>1000.3407380344296</v>
      </c>
      <c r="AO11" s="42">
        <v>54118.906187004402</v>
      </c>
      <c r="AP11" s="41">
        <v>1002.7008861078566</v>
      </c>
      <c r="AQ11" s="42">
        <v>69865.562912761496</v>
      </c>
      <c r="AR11" s="41">
        <v>1005.3265565368341</v>
      </c>
      <c r="AS11" s="42">
        <v>94474.88328830128</v>
      </c>
      <c r="AT11" s="41">
        <v>1008.5024242421039</v>
      </c>
      <c r="AU11" s="42">
        <v>136835.25747858867</v>
      </c>
      <c r="AV11" s="41">
        <v>1013.023680179428</v>
      </c>
      <c r="AW11" s="42">
        <v>222027.75480049013</v>
      </c>
      <c r="AX11" s="41"/>
      <c r="AY11" s="42"/>
      <c r="AZ11" s="41"/>
      <c r="BA11" s="42"/>
      <c r="BB11" s="41"/>
      <c r="BC11" s="42"/>
      <c r="BD11" s="41"/>
      <c r="BE11" s="42"/>
      <c r="BF11" s="41"/>
      <c r="BG11" s="42"/>
      <c r="BH11" s="41"/>
      <c r="BI11" s="42"/>
      <c r="BJ11" s="41"/>
      <c r="BK11" s="42"/>
      <c r="BL11" s="41"/>
      <c r="BM11" s="42"/>
      <c r="BN11" s="41"/>
      <c r="BO11" s="42"/>
      <c r="BP11" s="41"/>
      <c r="BQ11" s="42"/>
      <c r="BR11" s="41"/>
      <c r="BS11" s="42"/>
      <c r="BT11" s="41"/>
      <c r="BU11" s="42"/>
      <c r="BV11" s="41"/>
      <c r="BW11" s="42"/>
      <c r="BX11" s="41"/>
      <c r="BY11" s="42"/>
      <c r="BZ11" s="41"/>
      <c r="CA11" s="42"/>
      <c r="CB11" s="41"/>
      <c r="CC11" s="42"/>
      <c r="CD11" s="41"/>
      <c r="CE11" s="42"/>
      <c r="CF11" s="41"/>
      <c r="CG11" s="42"/>
      <c r="CH11" s="41"/>
      <c r="CI11" s="42"/>
      <c r="CJ11" s="41"/>
      <c r="CK11" s="42"/>
      <c r="CL11" s="41"/>
      <c r="CM11" s="42"/>
      <c r="CN11" s="41"/>
      <c r="CO11" s="42"/>
      <c r="CP11" s="41"/>
      <c r="CQ11" s="42"/>
      <c r="CR11" s="41"/>
      <c r="CS11" s="42"/>
    </row>
    <row r="12" spans="1:97"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c r="AX12" s="41"/>
      <c r="AY12" s="42"/>
      <c r="AZ12" s="41"/>
      <c r="BA12" s="42"/>
      <c r="BB12" s="41"/>
      <c r="BC12" s="42"/>
      <c r="BD12" s="41"/>
      <c r="BE12" s="42"/>
      <c r="BF12" s="41"/>
      <c r="BG12" s="42"/>
      <c r="BH12" s="41"/>
      <c r="BI12" s="42"/>
      <c r="BJ12" s="41"/>
      <c r="BK12" s="42"/>
      <c r="BL12" s="41"/>
      <c r="BM12" s="42"/>
      <c r="BN12" s="41"/>
      <c r="BO12" s="42"/>
      <c r="BP12" s="41"/>
      <c r="BQ12" s="42"/>
      <c r="BR12" s="41"/>
      <c r="BS12" s="42"/>
      <c r="BT12" s="41"/>
      <c r="BU12" s="42"/>
      <c r="BV12" s="41"/>
      <c r="BW12" s="42"/>
      <c r="BX12" s="41"/>
      <c r="BY12" s="42"/>
      <c r="BZ12" s="41"/>
      <c r="CA12" s="42"/>
      <c r="CB12" s="41"/>
      <c r="CC12" s="42"/>
      <c r="CD12" s="41"/>
      <c r="CE12" s="42"/>
      <c r="CF12" s="41"/>
      <c r="CG12" s="42"/>
      <c r="CH12" s="41"/>
      <c r="CI12" s="42"/>
      <c r="CJ12" s="41"/>
      <c r="CK12" s="42"/>
      <c r="CL12" s="41"/>
      <c r="CM12" s="42"/>
      <c r="CN12" s="41"/>
      <c r="CO12" s="42"/>
      <c r="CP12" s="41"/>
      <c r="CQ12" s="42"/>
      <c r="CR12" s="41"/>
      <c r="CS12" s="42"/>
    </row>
    <row r="13" spans="1:97" x14ac:dyDescent="0.2">
      <c r="A13" t="s">
        <v>17</v>
      </c>
      <c r="B13" s="97">
        <v>1000</v>
      </c>
      <c r="C13" s="98">
        <v>1000</v>
      </c>
      <c r="D13" s="97">
        <v>996.82162637402269</v>
      </c>
      <c r="E13" s="98">
        <v>996.82162637402269</v>
      </c>
      <c r="F13" s="97">
        <v>993.33368843116239</v>
      </c>
      <c r="G13" s="98">
        <v>993.33368843116239</v>
      </c>
      <c r="H13" s="97">
        <v>989.4898601374407</v>
      </c>
      <c r="I13" s="98">
        <v>989.4898601374407</v>
      </c>
      <c r="J13" s="97">
        <v>985.233665486419</v>
      </c>
      <c r="K13" s="98">
        <v>985.233665486419</v>
      </c>
      <c r="L13" s="97">
        <v>980.49558215649688</v>
      </c>
      <c r="M13" s="98">
        <v>980.49558215649688</v>
      </c>
      <c r="N13" s="97">
        <v>975.18887390924522</v>
      </c>
      <c r="O13" s="98">
        <v>975.18887390924522</v>
      </c>
      <c r="P13" s="97">
        <v>969.20416720978028</v>
      </c>
      <c r="Q13" s="98">
        <v>969.20416720978028</v>
      </c>
      <c r="R13" s="97">
        <v>962.40098946956778</v>
      </c>
      <c r="S13" s="98">
        <v>962.40098946956778</v>
      </c>
      <c r="T13" s="97">
        <v>954.59554242036575</v>
      </c>
      <c r="U13" s="98">
        <v>954.59554242036575</v>
      </c>
      <c r="V13" s="97">
        <v>945.54103284267273</v>
      </c>
      <c r="W13" s="98">
        <v>945.54103284267273</v>
      </c>
      <c r="X13" s="97">
        <v>934.89546430929238</v>
      </c>
      <c r="Y13" s="98">
        <v>934.89546430929238</v>
      </c>
      <c r="Z13" s="97">
        <v>922.16512812541032</v>
      </c>
      <c r="AA13" s="98">
        <v>922.16512812541032</v>
      </c>
      <c r="AB13" s="97">
        <v>906.59897613018188</v>
      </c>
      <c r="AC13" s="98">
        <v>906.59897613018188</v>
      </c>
      <c r="AD13" s="97">
        <v>886.97633761631596</v>
      </c>
      <c r="AE13" s="98">
        <v>886.97633761631596</v>
      </c>
      <c r="AF13" s="97">
        <v>861.14708284211076</v>
      </c>
      <c r="AG13" s="98">
        <v>861.14708284211076</v>
      </c>
      <c r="AH13" s="97">
        <v>824.96776738799201</v>
      </c>
      <c r="AI13" s="98">
        <v>824.96776738799201</v>
      </c>
      <c r="AJ13" s="97">
        <v>769.68954216691861</v>
      </c>
      <c r="AK13" s="98">
        <v>769.68954216691861</v>
      </c>
      <c r="AL13" s="97">
        <v>674.64553632142918</v>
      </c>
      <c r="AM13" s="98">
        <v>674.64553632142918</v>
      </c>
      <c r="AN13" s="97">
        <v>478.82720971220948</v>
      </c>
      <c r="AO13" s="98">
        <v>478.82720971220948</v>
      </c>
      <c r="AP13" s="97">
        <v>412.97289858560202</v>
      </c>
      <c r="AQ13" s="98">
        <v>412.97289858560202</v>
      </c>
      <c r="AR13" s="97">
        <v>330.99142264495589</v>
      </c>
      <c r="AS13" s="98">
        <v>330.99142264495589</v>
      </c>
      <c r="AT13" s="97">
        <v>227.73401952118127</v>
      </c>
      <c r="AU13" s="98">
        <v>227.73401952118127</v>
      </c>
      <c r="AV13" s="97">
        <v>101.15574272558386</v>
      </c>
      <c r="AW13" s="98">
        <v>101.15574272558386</v>
      </c>
      <c r="AX13" s="97"/>
      <c r="AY13" s="98"/>
      <c r="AZ13" s="97"/>
      <c r="BA13" s="98"/>
      <c r="BB13" s="97"/>
      <c r="BC13" s="98"/>
      <c r="BD13" s="97"/>
      <c r="BE13" s="98"/>
      <c r="BF13" s="97"/>
      <c r="BG13" s="98"/>
      <c r="BH13" s="97"/>
      <c r="BI13" s="98"/>
      <c r="BJ13" s="97"/>
      <c r="BK13" s="98"/>
      <c r="BL13" s="97"/>
      <c r="BM13" s="98"/>
      <c r="BN13" s="97"/>
      <c r="BO13" s="98"/>
      <c r="BP13" s="97"/>
      <c r="BQ13" s="98"/>
      <c r="BR13" s="97"/>
      <c r="BS13" s="98"/>
      <c r="BT13" s="97"/>
      <c r="BU13" s="98"/>
      <c r="BV13" s="97"/>
      <c r="BW13" s="98"/>
      <c r="BX13" s="97"/>
      <c r="BY13" s="98"/>
      <c r="BZ13" s="97"/>
      <c r="CA13" s="98"/>
      <c r="CB13" s="97"/>
      <c r="CC13" s="98"/>
      <c r="CD13" s="97"/>
      <c r="CE13" s="98"/>
      <c r="CF13" s="97"/>
      <c r="CG13" s="98"/>
      <c r="CH13" s="97"/>
      <c r="CI13" s="98"/>
      <c r="CJ13" s="97"/>
      <c r="CK13" s="98"/>
      <c r="CL13" s="97"/>
      <c r="CM13" s="98"/>
      <c r="CN13" s="97"/>
      <c r="CO13" s="98"/>
      <c r="CP13" s="97"/>
      <c r="CQ13" s="98"/>
      <c r="CR13" s="97"/>
      <c r="CS13" s="98"/>
    </row>
    <row r="14" spans="1:97" x14ac:dyDescent="0.2">
      <c r="A14" t="s">
        <v>36</v>
      </c>
      <c r="B14" s="41">
        <v>1458.0317178388773</v>
      </c>
      <c r="C14" s="42">
        <v>1458.0310870324465</v>
      </c>
      <c r="D14" s="41">
        <v>1453.3975482810599</v>
      </c>
      <c r="E14" s="42">
        <v>1453.3969194795675</v>
      </c>
      <c r="F14" s="41">
        <v>1448.3120241305157</v>
      </c>
      <c r="G14" s="42">
        <v>1448.3113975292372</v>
      </c>
      <c r="H14" s="41">
        <v>1442.7076005603431</v>
      </c>
      <c r="I14" s="42">
        <v>1442.706976383776</v>
      </c>
      <c r="J14" s="41">
        <v>1436.5019337618573</v>
      </c>
      <c r="K14" s="42">
        <v>1436.5013122701253</v>
      </c>
      <c r="L14" s="41">
        <v>1429.5936579850672</v>
      </c>
      <c r="M14" s="42">
        <v>1429.5930394821485</v>
      </c>
      <c r="N14" s="41">
        <v>1421.8563090432572</v>
      </c>
      <c r="O14" s="42">
        <v>1421.8556938878442</v>
      </c>
      <c r="P14" s="41">
        <v>1413.1304168534743</v>
      </c>
      <c r="Q14" s="42">
        <v>1413.1298054732529</v>
      </c>
      <c r="R14" s="41">
        <v>1403.2111679261491</v>
      </c>
      <c r="S14" s="42">
        <v>1403.2105608374159</v>
      </c>
      <c r="T14" s="41">
        <v>1391.8305785565008</v>
      </c>
      <c r="U14" s="42">
        <v>1391.8299763914938</v>
      </c>
      <c r="V14" s="41">
        <v>1378.6288164027485</v>
      </c>
      <c r="W14" s="42">
        <v>1378.6282199493842</v>
      </c>
      <c r="X14" s="41">
        <v>1363.1072398266524</v>
      </c>
      <c r="Y14" s="42">
        <v>1363.1066500885813</v>
      </c>
      <c r="Z14" s="41">
        <v>1344.5460058918004</v>
      </c>
      <c r="AA14" s="42">
        <v>1344.5454241841073</v>
      </c>
      <c r="AB14" s="41">
        <v>1321.8500625580564</v>
      </c>
      <c r="AC14" s="42">
        <v>1321.8494906695921</v>
      </c>
      <c r="AD14" s="41">
        <v>1293.2396332171531</v>
      </c>
      <c r="AE14" s="42">
        <v>1293.2390737067753</v>
      </c>
      <c r="AF14" s="41">
        <v>1255.5797605082207</v>
      </c>
      <c r="AG14" s="42">
        <v>1255.5792172911029</v>
      </c>
      <c r="AH14" s="41">
        <v>1202.8291710464173</v>
      </c>
      <c r="AI14" s="42">
        <v>1202.8286506514444</v>
      </c>
      <c r="AJ14" s="41">
        <v>1122.2317653682514</v>
      </c>
      <c r="AK14" s="42">
        <v>1122.2312798431383</v>
      </c>
      <c r="AL14" s="41">
        <v>983.65459025506402</v>
      </c>
      <c r="AM14" s="42">
        <v>983.65416468432124</v>
      </c>
      <c r="AN14" s="41">
        <v>698.14525912468912</v>
      </c>
      <c r="AO14" s="42">
        <v>698.14495707740593</v>
      </c>
      <c r="AP14" s="41">
        <v>602.12758474566579</v>
      </c>
      <c r="AQ14" s="42">
        <v>602.12732423970556</v>
      </c>
      <c r="AR14" s="41">
        <v>482.59599254895892</v>
      </c>
      <c r="AS14" s="42">
        <v>482.59578375744093</v>
      </c>
      <c r="AT14" s="41">
        <v>332.04342369282034</v>
      </c>
      <c r="AU14" s="42">
        <v>332.04328003673629</v>
      </c>
      <c r="AV14" s="41">
        <v>147.48828133545055</v>
      </c>
      <c r="AW14" s="42">
        <v>147.48821752575753</v>
      </c>
      <c r="AX14" s="41"/>
      <c r="AY14" s="42"/>
      <c r="AZ14" s="41"/>
      <c r="BA14" s="42"/>
      <c r="BB14" s="41"/>
      <c r="BC14" s="42"/>
      <c r="BD14" s="41"/>
      <c r="BE14" s="42"/>
      <c r="BF14" s="41"/>
      <c r="BG14" s="42"/>
      <c r="BH14" s="41"/>
      <c r="BI14" s="42"/>
      <c r="BJ14" s="41"/>
      <c r="BK14" s="42"/>
      <c r="BL14" s="41"/>
      <c r="BM14" s="42"/>
      <c r="BN14" s="41"/>
      <c r="BO14" s="42"/>
      <c r="BP14" s="41"/>
      <c r="BQ14" s="42"/>
      <c r="BR14" s="41"/>
      <c r="BS14" s="42"/>
      <c r="BT14" s="41"/>
      <c r="BU14" s="42"/>
      <c r="BV14" s="41"/>
      <c r="BW14" s="42"/>
      <c r="BX14" s="41"/>
      <c r="BY14" s="42"/>
      <c r="BZ14" s="41"/>
      <c r="CA14" s="42"/>
      <c r="CB14" s="41"/>
      <c r="CC14" s="42"/>
      <c r="CD14" s="41"/>
      <c r="CE14" s="42"/>
      <c r="CF14" s="41"/>
      <c r="CG14" s="42"/>
      <c r="CH14" s="41"/>
      <c r="CI14" s="42"/>
      <c r="CJ14" s="41"/>
      <c r="CK14" s="42"/>
      <c r="CL14" s="41"/>
      <c r="CM14" s="42"/>
      <c r="CN14" s="41"/>
      <c r="CO14" s="42"/>
      <c r="CP14" s="41"/>
      <c r="CQ14" s="42"/>
      <c r="CR14" s="41"/>
      <c r="CS14" s="42"/>
    </row>
    <row r="15" spans="1:97" x14ac:dyDescent="0.2">
      <c r="A15" t="s">
        <v>18</v>
      </c>
      <c r="B15" s="154">
        <v>1000</v>
      </c>
      <c r="C15" s="155">
        <v>1000</v>
      </c>
      <c r="D15" s="154">
        <v>990.7742632859796</v>
      </c>
      <c r="E15" s="155">
        <v>990.7742632859796</v>
      </c>
      <c r="F15" s="154">
        <v>981.33649407781741</v>
      </c>
      <c r="G15" s="155">
        <v>981.33649407781741</v>
      </c>
      <c r="H15" s="154">
        <v>971.64841669033638</v>
      </c>
      <c r="I15" s="155">
        <v>971.64841669033638</v>
      </c>
      <c r="J15" s="154">
        <v>961.66310718300895</v>
      </c>
      <c r="K15" s="155">
        <v>961.66310718300895</v>
      </c>
      <c r="L15" s="154">
        <v>951.32277508023583</v>
      </c>
      <c r="M15" s="155">
        <v>951.32277508023583</v>
      </c>
      <c r="N15" s="154">
        <v>940.55593770010353</v>
      </c>
      <c r="O15" s="155">
        <v>940.55593770010353</v>
      </c>
      <c r="P15" s="154">
        <v>929.27297792388526</v>
      </c>
      <c r="Q15" s="155">
        <v>929.27297792388526</v>
      </c>
      <c r="R15" s="154">
        <v>917.36042210386302</v>
      </c>
      <c r="S15" s="155">
        <v>917.36042210386302</v>
      </c>
      <c r="T15" s="154">
        <v>904.67185684733329</v>
      </c>
      <c r="U15" s="155">
        <v>904.67185684733329</v>
      </c>
      <c r="V15" s="154">
        <v>891.01399082205819</v>
      </c>
      <c r="W15" s="155">
        <v>891.01399082205819</v>
      </c>
      <c r="X15" s="154">
        <v>876.12300438202908</v>
      </c>
      <c r="Y15" s="155">
        <v>876.12300438202908</v>
      </c>
      <c r="Z15" s="154">
        <v>859.62187263119699</v>
      </c>
      <c r="AA15" s="155">
        <v>859.62187263119699</v>
      </c>
      <c r="AB15" s="154">
        <v>840.93647319995341</v>
      </c>
      <c r="AC15" s="155">
        <v>840.93647319995341</v>
      </c>
      <c r="AD15" s="154">
        <v>819.11549646081608</v>
      </c>
      <c r="AE15" s="155">
        <v>819.11549646081608</v>
      </c>
      <c r="AF15" s="154">
        <v>792.4103018928339</v>
      </c>
      <c r="AG15" s="155">
        <v>792.4103018928339</v>
      </c>
      <c r="AH15" s="154">
        <v>757.23881634531006</v>
      </c>
      <c r="AI15" s="155">
        <v>757.23881634531006</v>
      </c>
      <c r="AJ15" s="154">
        <v>705.60382592076974</v>
      </c>
      <c r="AK15" s="155">
        <v>705.60382592076974</v>
      </c>
      <c r="AL15" s="154">
        <v>618.22981406860129</v>
      </c>
      <c r="AM15" s="155">
        <v>618.22981406860129</v>
      </c>
      <c r="AN15" s="154">
        <v>438.76220539616344</v>
      </c>
      <c r="AO15" s="155">
        <v>438.76220539616344</v>
      </c>
      <c r="AP15" s="154">
        <v>378.41772338697979</v>
      </c>
      <c r="AQ15" s="155">
        <v>378.41772338697979</v>
      </c>
      <c r="AR15" s="154">
        <v>303.29585483950569</v>
      </c>
      <c r="AS15" s="155">
        <v>303.29585483950569</v>
      </c>
      <c r="AT15" s="154">
        <v>208.67844450652817</v>
      </c>
      <c r="AU15" s="155">
        <v>208.67844450652817</v>
      </c>
      <c r="AV15" s="154">
        <v>92.691564004554593</v>
      </c>
      <c r="AW15" s="155">
        <v>92.691564004554593</v>
      </c>
      <c r="AX15" s="99"/>
      <c r="AY15" s="100"/>
      <c r="AZ15" s="99"/>
      <c r="BA15" s="100"/>
      <c r="BB15" s="99"/>
      <c r="BC15" s="100"/>
      <c r="BD15" s="99"/>
      <c r="BE15" s="100"/>
      <c r="BF15" s="99"/>
      <c r="BG15" s="100"/>
      <c r="BH15" s="99"/>
      <c r="BI15" s="100"/>
      <c r="BJ15" s="99"/>
      <c r="BK15" s="100"/>
      <c r="BL15" s="99"/>
      <c r="BM15" s="100"/>
      <c r="BN15" s="99"/>
      <c r="BO15" s="100"/>
      <c r="BP15" s="99"/>
      <c r="BQ15" s="100"/>
      <c r="BR15" s="99"/>
      <c r="BS15" s="100"/>
      <c r="BT15" s="99"/>
      <c r="BU15" s="100"/>
      <c r="BV15" s="99"/>
      <c r="BW15" s="100"/>
      <c r="BX15" s="99"/>
      <c r="BY15" s="100"/>
      <c r="BZ15" s="99"/>
      <c r="CA15" s="100"/>
      <c r="CB15" s="99"/>
      <c r="CC15" s="100"/>
      <c r="CD15" s="99"/>
      <c r="CE15" s="100"/>
      <c r="CF15" s="99"/>
      <c r="CG15" s="100"/>
      <c r="CH15" s="99"/>
      <c r="CI15" s="100"/>
      <c r="CJ15" s="99"/>
      <c r="CK15" s="100"/>
      <c r="CL15" s="99"/>
      <c r="CM15" s="100"/>
      <c r="CN15" s="99"/>
      <c r="CO15" s="100"/>
      <c r="CP15" s="99"/>
      <c r="CQ15" s="100"/>
      <c r="CR15" s="99"/>
      <c r="CS15" s="100"/>
    </row>
    <row r="16" spans="1:97" s="29" customFormat="1" x14ac:dyDescent="0.2">
      <c r="A16" t="s">
        <v>61</v>
      </c>
      <c r="B16" s="41">
        <v>1000</v>
      </c>
      <c r="C16" s="42">
        <v>1000</v>
      </c>
      <c r="D16" s="41">
        <v>994.06404816217207</v>
      </c>
      <c r="E16" s="42">
        <v>992.92169813017063</v>
      </c>
      <c r="F16" s="41">
        <v>987.86029956821812</v>
      </c>
      <c r="G16" s="42">
        <v>985.59547946312398</v>
      </c>
      <c r="H16" s="41">
        <v>981.34618240725285</v>
      </c>
      <c r="I16" s="42">
        <v>977.98024717847306</v>
      </c>
      <c r="J16" s="41">
        <v>974.46967166855256</v>
      </c>
      <c r="K16" s="42">
        <v>970.02572856346819</v>
      </c>
      <c r="L16" s="41">
        <v>967.16670396924258</v>
      </c>
      <c r="M16" s="42">
        <v>961.67001683993294</v>
      </c>
      <c r="N16" s="41">
        <v>959.35762561437764</v>
      </c>
      <c r="O16" s="42">
        <v>952.83627068787598</v>
      </c>
      <c r="P16" s="41">
        <v>950.9422265243802</v>
      </c>
      <c r="Q16" s="42">
        <v>943.42792826884511</v>
      </c>
      <c r="R16" s="41">
        <v>941.79253995929469</v>
      </c>
      <c r="S16" s="42">
        <v>933.32201777365253</v>
      </c>
      <c r="T16" s="41">
        <v>931.74207088026196</v>
      </c>
      <c r="U16" s="42">
        <v>922.35896830622573</v>
      </c>
      <c r="V16" s="41">
        <v>920.56877527118775</v>
      </c>
      <c r="W16" s="42">
        <v>910.32665257934445</v>
      </c>
      <c r="X16" s="41">
        <v>907.96681082280872</v>
      </c>
      <c r="Y16" s="42">
        <v>896.93372414568523</v>
      </c>
      <c r="Z16" s="41">
        <v>893.49642610689239</v>
      </c>
      <c r="AA16" s="42">
        <v>881.76207076519404</v>
      </c>
      <c r="AB16" s="41">
        <v>876.4883836602429</v>
      </c>
      <c r="AC16" s="42">
        <v>864.17526864345984</v>
      </c>
      <c r="AD16" s="41">
        <v>855.84654496943745</v>
      </c>
      <c r="AE16" s="42">
        <v>843.12714815904747</v>
      </c>
      <c r="AF16" s="41">
        <v>829.60629572405787</v>
      </c>
      <c r="AG16" s="42">
        <v>816.72763037581649</v>
      </c>
      <c r="AH16" s="41">
        <v>793.8831976336229</v>
      </c>
      <c r="AI16" s="42">
        <v>781.19670081673507</v>
      </c>
      <c r="AJ16" s="41">
        <v>740.27403700226807</v>
      </c>
      <c r="AK16" s="42">
        <v>728.2715796869777</v>
      </c>
      <c r="AL16" s="41">
        <v>648.74975235962177</v>
      </c>
      <c r="AM16" s="42">
        <v>638.18423119804049</v>
      </c>
      <c r="AN16" s="41">
        <v>460.43660375840392</v>
      </c>
      <c r="AO16" s="42">
        <v>452.93328445604203</v>
      </c>
      <c r="AP16" s="41">
        <v>397.11140855091259</v>
      </c>
      <c r="AQ16" s="42">
        <v>390.63996326972591</v>
      </c>
      <c r="AR16" s="41">
        <v>318.27862390860474</v>
      </c>
      <c r="AS16" s="42">
        <v>313.09183661567454</v>
      </c>
      <c r="AT16" s="41">
        <v>218.98714369629712</v>
      </c>
      <c r="AU16" s="42">
        <v>215.41844224567788</v>
      </c>
      <c r="AV16" s="41">
        <v>97.270521715701449</v>
      </c>
      <c r="AW16" s="42">
        <v>95.685362161797613</v>
      </c>
      <c r="AX16" s="41"/>
      <c r="AY16" s="42"/>
      <c r="AZ16" s="41"/>
      <c r="BA16" s="42"/>
      <c r="BB16" s="41"/>
      <c r="BC16" s="42"/>
      <c r="BD16" s="41"/>
      <c r="BE16" s="42"/>
      <c r="BF16" s="41"/>
      <c r="BG16" s="42"/>
      <c r="BH16" s="41"/>
      <c r="BI16" s="42"/>
      <c r="BJ16" s="41"/>
      <c r="BK16" s="42"/>
      <c r="BL16" s="41"/>
      <c r="BM16" s="42"/>
      <c r="BN16" s="41"/>
      <c r="BO16" s="42"/>
      <c r="BP16" s="41"/>
      <c r="BQ16" s="42"/>
      <c r="BR16" s="41"/>
      <c r="BS16" s="42"/>
      <c r="BT16" s="41"/>
      <c r="BU16" s="42"/>
      <c r="BV16" s="41"/>
      <c r="BW16" s="42"/>
      <c r="BX16" s="41"/>
      <c r="BY16" s="42"/>
      <c r="BZ16" s="41"/>
      <c r="CA16" s="42"/>
      <c r="CB16" s="41"/>
      <c r="CC16" s="42"/>
      <c r="CD16" s="41"/>
      <c r="CE16" s="42"/>
      <c r="CF16" s="41"/>
      <c r="CG16" s="42"/>
      <c r="CH16" s="41"/>
      <c r="CI16" s="42"/>
      <c r="CJ16" s="41"/>
      <c r="CK16" s="42"/>
      <c r="CL16" s="41"/>
      <c r="CM16" s="42"/>
      <c r="CN16" s="41"/>
      <c r="CO16" s="42"/>
      <c r="CP16" s="41"/>
      <c r="CQ16" s="42"/>
      <c r="CR16" s="41"/>
      <c r="CS16" s="42"/>
    </row>
    <row r="17" spans="1:97" x14ac:dyDescent="0.2">
      <c r="A17" t="s">
        <v>62</v>
      </c>
      <c r="B17" s="35">
        <v>1000</v>
      </c>
      <c r="C17" s="36">
        <v>999.99999999999977</v>
      </c>
      <c r="D17" s="35">
        <v>997.26952245858104</v>
      </c>
      <c r="E17" s="36">
        <v>1027.8821350207249</v>
      </c>
      <c r="F17" s="35">
        <v>994.53852233407088</v>
      </c>
      <c r="G17" s="36">
        <v>1059.2903422999827</v>
      </c>
      <c r="H17" s="35">
        <v>991.80521819244234</v>
      </c>
      <c r="I17" s="36">
        <v>1094.8847162672059</v>
      </c>
      <c r="J17" s="35">
        <v>989.06732163733989</v>
      </c>
      <c r="K17" s="36">
        <v>1135.4985240718768</v>
      </c>
      <c r="L17" s="35">
        <v>986.32226388569347</v>
      </c>
      <c r="M17" s="36">
        <v>1182.200496102306</v>
      </c>
      <c r="N17" s="35">
        <v>983.56768339257337</v>
      </c>
      <c r="O17" s="36">
        <v>1236.3869291349065</v>
      </c>
      <c r="P17" s="35">
        <v>980.80224136277207</v>
      </c>
      <c r="Q17" s="36">
        <v>1299.9194148668307</v>
      </c>
      <c r="R17" s="35">
        <v>978.02734704708087</v>
      </c>
      <c r="S17" s="36">
        <v>1375.3428497897899</v>
      </c>
      <c r="T17" s="35">
        <v>975.25042436631213</v>
      </c>
      <c r="U17" s="36">
        <v>1466.2409948447792</v>
      </c>
      <c r="V17" s="35">
        <v>972.49084854612124</v>
      </c>
      <c r="W17" s="36">
        <v>1577.842576253337</v>
      </c>
      <c r="X17" s="35">
        <v>969.7911558950824</v>
      </c>
      <c r="Y17" s="36">
        <v>1718.1122829176957</v>
      </c>
      <c r="Z17" s="35">
        <v>967.23786487845166</v>
      </c>
      <c r="AA17" s="36">
        <v>1899.8316523464337</v>
      </c>
      <c r="AB17" s="35">
        <v>964.99991371544002</v>
      </c>
      <c r="AC17" s="36">
        <v>2144.8457975750684</v>
      </c>
      <c r="AD17" s="35">
        <v>963.39595552360652</v>
      </c>
      <c r="AE17" s="36">
        <v>2493.3988521601987</v>
      </c>
      <c r="AF17" s="35">
        <v>962.99000957483008</v>
      </c>
      <c r="AG17" s="36">
        <v>3026.3235558290407</v>
      </c>
      <c r="AH17" s="35">
        <v>964.6278219699949</v>
      </c>
      <c r="AI17" s="36">
        <v>3922.3577336418984</v>
      </c>
      <c r="AJ17" s="35">
        <v>969.10079918832662</v>
      </c>
      <c r="AK17" s="36">
        <v>5626.3605425913365</v>
      </c>
      <c r="AL17" s="35">
        <v>976.31424303466054</v>
      </c>
      <c r="AM17" s="36">
        <v>9504.1012430603023</v>
      </c>
      <c r="AN17" s="35">
        <v>985.37350734411984</v>
      </c>
      <c r="AO17" s="36">
        <v>22146.471287053362</v>
      </c>
      <c r="AP17" s="35">
        <v>987.46058831186758</v>
      </c>
      <c r="AQ17" s="36">
        <v>28322.113316427625</v>
      </c>
      <c r="AR17" s="35">
        <v>989.78636836410226</v>
      </c>
      <c r="AS17" s="36">
        <v>37965.874917965426</v>
      </c>
      <c r="AT17" s="35">
        <v>992.6049577048326</v>
      </c>
      <c r="AU17" s="36">
        <v>54561.069577770366</v>
      </c>
      <c r="AV17" s="35">
        <v>996.62780373217095</v>
      </c>
      <c r="AW17" s="36">
        <v>87954.258193590693</v>
      </c>
      <c r="AX17" s="35"/>
      <c r="AY17" s="36"/>
      <c r="AZ17" s="35"/>
      <c r="BA17" s="36"/>
      <c r="BB17" s="35"/>
      <c r="BC17" s="36"/>
      <c r="BD17" s="35"/>
      <c r="BE17" s="36"/>
      <c r="BF17" s="35"/>
      <c r="BG17" s="36"/>
      <c r="BH17" s="35"/>
      <c r="BI17" s="36"/>
      <c r="BJ17" s="35"/>
      <c r="BK17" s="36"/>
      <c r="BL17" s="35"/>
      <c r="BM17" s="36"/>
      <c r="BN17" s="35"/>
      <c r="BO17" s="36"/>
      <c r="BP17" s="35"/>
      <c r="BQ17" s="36"/>
      <c r="BR17" s="35"/>
      <c r="BS17" s="36"/>
      <c r="BT17" s="35"/>
      <c r="BU17" s="36"/>
      <c r="BV17" s="35"/>
      <c r="BW17" s="36"/>
      <c r="BX17" s="35"/>
      <c r="BY17" s="36"/>
      <c r="BZ17" s="35"/>
      <c r="CA17" s="36"/>
      <c r="CB17" s="35"/>
      <c r="CC17" s="36"/>
      <c r="CD17" s="35"/>
      <c r="CE17" s="36"/>
      <c r="CF17" s="35"/>
      <c r="CG17" s="36"/>
      <c r="CH17" s="35"/>
      <c r="CI17" s="36"/>
      <c r="CJ17" s="35"/>
      <c r="CK17" s="36"/>
      <c r="CL17" s="35"/>
      <c r="CM17" s="36"/>
      <c r="CN17" s="35"/>
      <c r="CO17" s="36"/>
      <c r="CP17" s="35"/>
      <c r="CQ17" s="36"/>
      <c r="CR17" s="35"/>
      <c r="CS17" s="36"/>
    </row>
    <row r="18" spans="1:97" x14ac:dyDescent="0.2">
      <c r="A18" t="s">
        <v>19</v>
      </c>
      <c r="B18" s="33">
        <v>22996.762337</v>
      </c>
      <c r="C18" s="34">
        <v>1272.8228859999999</v>
      </c>
      <c r="D18" s="33">
        <v>23017.758401206938</v>
      </c>
      <c r="E18" s="34">
        <v>1179.6571495680494</v>
      </c>
      <c r="F18" s="33">
        <v>23035.167464099039</v>
      </c>
      <c r="G18" s="34">
        <v>1086.9329220405587</v>
      </c>
      <c r="H18" s="33">
        <v>23048.415922755317</v>
      </c>
      <c r="I18" s="34">
        <v>994.74285052885489</v>
      </c>
      <c r="J18" s="33">
        <v>23056.803661272512</v>
      </c>
      <c r="K18" s="34">
        <v>903.1950980273873</v>
      </c>
      <c r="L18" s="33">
        <v>23059.461689579333</v>
      </c>
      <c r="M18" s="34">
        <v>812.42061398399142</v>
      </c>
      <c r="N18" s="33">
        <v>23055.288483836659</v>
      </c>
      <c r="O18" s="34">
        <v>722.58730033593133</v>
      </c>
      <c r="P18" s="33">
        <v>23042.86280876445</v>
      </c>
      <c r="Q18" s="34">
        <v>633.9120045614286</v>
      </c>
      <c r="R18" s="33">
        <v>23020.301431615437</v>
      </c>
      <c r="S18" s="34">
        <v>546.69058249667592</v>
      </c>
      <c r="T18" s="33">
        <v>22985.041240082512</v>
      </c>
      <c r="U18" s="34">
        <v>461.33468871586319</v>
      </c>
      <c r="V18" s="33">
        <v>22933.478100700457</v>
      </c>
      <c r="W18" s="34">
        <v>378.43586480939558</v>
      </c>
      <c r="X18" s="33">
        <v>22860.355557525145</v>
      </c>
      <c r="Y18" s="34">
        <v>298.85986639346112</v>
      </c>
      <c r="Z18" s="33">
        <v>22757.680634291719</v>
      </c>
      <c r="AA18" s="34">
        <v>223.88983151070187</v>
      </c>
      <c r="AB18" s="33">
        <v>22612.719746418523</v>
      </c>
      <c r="AC18" s="34">
        <v>155.42433554090789</v>
      </c>
      <c r="AD18" s="33">
        <v>22404.149650708245</v>
      </c>
      <c r="AE18" s="34">
        <v>96.185270244073948</v>
      </c>
      <c r="AF18" s="33">
        <v>22094.472206331095</v>
      </c>
      <c r="AG18" s="34">
        <v>49.68303980131406</v>
      </c>
      <c r="AH18" s="33">
        <v>21614.787603429879</v>
      </c>
      <c r="AI18" s="34">
        <v>19.15648823364555</v>
      </c>
      <c r="AJ18" s="33">
        <v>20830.374502387051</v>
      </c>
      <c r="AK18" s="34">
        <v>4.5948254723010047</v>
      </c>
      <c r="AL18" s="33">
        <v>19425.258232608074</v>
      </c>
      <c r="AM18" s="34">
        <v>0.50116172464786179</v>
      </c>
      <c r="AN18" s="33">
        <v>16284.174240007513</v>
      </c>
      <c r="AO18" s="34">
        <v>1.1192821793621223E-2</v>
      </c>
      <c r="AP18" s="33">
        <v>15105.834379499602</v>
      </c>
      <c r="AQ18" s="34">
        <v>3.5370285687323839E-3</v>
      </c>
      <c r="AR18" s="33">
        <v>13506.582221730843</v>
      </c>
      <c r="AS18" s="34">
        <v>8.6824522925129093E-4</v>
      </c>
      <c r="AT18" s="33">
        <v>11186.416562647646</v>
      </c>
      <c r="AU18" s="34">
        <v>1.4347978765832958E-4</v>
      </c>
      <c r="AV18" s="33">
        <v>7439.3542052027533</v>
      </c>
      <c r="AW18" s="34">
        <v>1.1239853674828986E-5</v>
      </c>
      <c r="AX18" s="41"/>
      <c r="AY18" s="42"/>
      <c r="AZ18" s="41"/>
      <c r="BA18" s="42"/>
      <c r="BB18" s="41"/>
      <c r="BC18" s="42"/>
      <c r="BD18" s="41"/>
      <c r="BE18" s="42"/>
      <c r="BF18" s="41"/>
      <c r="BG18" s="42"/>
      <c r="BH18" s="41"/>
      <c r="BI18" s="42"/>
      <c r="BJ18" s="41"/>
      <c r="BK18" s="42"/>
      <c r="BL18" s="41"/>
      <c r="BM18" s="42"/>
      <c r="BN18" s="41"/>
      <c r="BO18" s="42"/>
      <c r="BP18" s="41"/>
      <c r="BQ18" s="42"/>
      <c r="BR18" s="41"/>
      <c r="BS18" s="42"/>
      <c r="BT18" s="41"/>
      <c r="BU18" s="42"/>
      <c r="BV18" s="41"/>
      <c r="BW18" s="42"/>
      <c r="BX18" s="41"/>
      <c r="BY18" s="42"/>
      <c r="BZ18" s="41"/>
      <c r="CA18" s="42"/>
      <c r="CB18" s="41"/>
      <c r="CC18" s="42"/>
      <c r="CD18" s="41"/>
      <c r="CE18" s="42"/>
      <c r="CF18" s="41"/>
      <c r="CG18" s="42"/>
      <c r="CH18" s="41"/>
      <c r="CI18" s="42"/>
      <c r="CJ18" s="41"/>
      <c r="CK18" s="42"/>
      <c r="CL18" s="41"/>
      <c r="CM18" s="42"/>
      <c r="CN18" s="41"/>
      <c r="CO18" s="42"/>
      <c r="CP18" s="41"/>
      <c r="CQ18" s="42"/>
      <c r="CR18" s="41"/>
      <c r="CS18" s="42"/>
    </row>
    <row r="19" spans="1:97" x14ac:dyDescent="0.2">
      <c r="A19" t="s">
        <v>3</v>
      </c>
      <c r="B19" s="41">
        <v>1249.8384379999975</v>
      </c>
      <c r="C19" s="42">
        <v>295.90000800000013</v>
      </c>
      <c r="D19" s="41">
        <v>1242.1728802270429</v>
      </c>
      <c r="E19" s="42">
        <v>299.91755738505026</v>
      </c>
      <c r="F19" s="41">
        <v>1234.3099710914919</v>
      </c>
      <c r="G19" s="42">
        <v>304.74333436465048</v>
      </c>
      <c r="H19" s="41">
        <v>1226.2174993809954</v>
      </c>
      <c r="I19" s="42">
        <v>310.46331547743182</v>
      </c>
      <c r="J19" s="41">
        <v>1217.8558735924653</v>
      </c>
      <c r="K19" s="42">
        <v>317.16965395902014</v>
      </c>
      <c r="L19" s="41">
        <v>1209.1768586187932</v>
      </c>
      <c r="M19" s="42">
        <v>324.95784958840431</v>
      </c>
      <c r="N19" s="41">
        <v>1200.1221216836584</v>
      </c>
      <c r="O19" s="42">
        <v>333.92061438157896</v>
      </c>
      <c r="P19" s="41">
        <v>1190.6218595265912</v>
      </c>
      <c r="Q19" s="42">
        <v>344.13471852436101</v>
      </c>
      <c r="R19" s="41">
        <v>1180.5936309285114</v>
      </c>
      <c r="S19" s="42">
        <v>355.63745442064902</v>
      </c>
      <c r="T19" s="41">
        <v>1169.9423780541968</v>
      </c>
      <c r="U19" s="42">
        <v>368.3841154498603</v>
      </c>
      <c r="V19" s="41">
        <v>1158.5620552040277</v>
      </c>
      <c r="W19" s="42">
        <v>382.16872574002656</v>
      </c>
      <c r="X19" s="41">
        <v>1146.3412670558259</v>
      </c>
      <c r="Y19" s="42">
        <v>396.48072020183145</v>
      </c>
      <c r="Z19" s="41">
        <v>1133.1749596844006</v>
      </c>
      <c r="AA19" s="42">
        <v>410.24157682246926</v>
      </c>
      <c r="AB19" s="41">
        <v>1118.9825387736955</v>
      </c>
      <c r="AC19" s="42">
        <v>421.32871206055097</v>
      </c>
      <c r="AD19" s="41">
        <v>1103.7137316192752</v>
      </c>
      <c r="AE19" s="42">
        <v>425.76771653527288</v>
      </c>
      <c r="AF19" s="41">
        <v>1087.2235187516101</v>
      </c>
      <c r="AG19" s="42">
        <v>416.65377590855098</v>
      </c>
      <c r="AH19" s="41">
        <v>1068.4925156964255</v>
      </c>
      <c r="AI19" s="42">
        <v>383.97453220416099</v>
      </c>
      <c r="AJ19" s="41">
        <v>1042.5619588443728</v>
      </c>
      <c r="AK19" s="42">
        <v>319.04923653231913</v>
      </c>
      <c r="AL19" s="41">
        <v>991.6106044742088</v>
      </c>
      <c r="AM19" s="42">
        <v>224.34418408978823</v>
      </c>
      <c r="AN19" s="41">
        <v>851.74826387207213</v>
      </c>
      <c r="AO19" s="42">
        <v>114.01103603460874</v>
      </c>
      <c r="AP19" s="41">
        <v>794.50459616853323</v>
      </c>
      <c r="AQ19" s="42">
        <v>91.288461471226341</v>
      </c>
      <c r="AR19" s="41">
        <v>714.76939097358218</v>
      </c>
      <c r="AS19" s="42">
        <v>68.499998337436551</v>
      </c>
      <c r="AT19" s="41">
        <v>596.38700814745584</v>
      </c>
      <c r="AU19" s="42">
        <v>45.677768070130831</v>
      </c>
      <c r="AV19" s="41">
        <v>400.80271930197011</v>
      </c>
      <c r="AW19" s="42">
        <v>22.841141767672358</v>
      </c>
      <c r="AX19" s="82"/>
      <c r="AY19" s="83"/>
      <c r="AZ19" s="82"/>
      <c r="BA19" s="83"/>
      <c r="BB19" s="82"/>
      <c r="BC19" s="83"/>
      <c r="BD19" s="82"/>
      <c r="BE19" s="83"/>
      <c r="BF19" s="82"/>
      <c r="BG19" s="83"/>
      <c r="BH19" s="82"/>
      <c r="BI19" s="83"/>
      <c r="BJ19" s="82"/>
      <c r="BK19" s="83"/>
      <c r="BL19" s="82"/>
      <c r="BM19" s="83"/>
      <c r="BN19" s="82"/>
      <c r="BO19" s="83"/>
      <c r="BP19" s="82"/>
      <c r="BQ19" s="83"/>
      <c r="BR19" s="82"/>
      <c r="BS19" s="83"/>
      <c r="BT19" s="82"/>
      <c r="BU19" s="83"/>
      <c r="BV19" s="82"/>
      <c r="BW19" s="83"/>
      <c r="BX19" s="82"/>
      <c r="BY19" s="83"/>
      <c r="BZ19" s="82"/>
      <c r="CA19" s="83"/>
      <c r="CB19" s="82"/>
      <c r="CC19" s="83"/>
      <c r="CD19" s="82"/>
      <c r="CE19" s="83"/>
      <c r="CF19" s="82"/>
      <c r="CG19" s="83"/>
      <c r="CH19" s="82"/>
      <c r="CI19" s="83"/>
      <c r="CJ19" s="82"/>
      <c r="CK19" s="83"/>
      <c r="CL19" s="82"/>
      <c r="CM19" s="83"/>
      <c r="CN19" s="82"/>
      <c r="CO19" s="83"/>
      <c r="CP19" s="82"/>
      <c r="CQ19" s="83"/>
      <c r="CR19" s="82"/>
      <c r="CS19" s="83"/>
    </row>
    <row r="20" spans="1:97" x14ac:dyDescent="0.2">
      <c r="A20" t="s">
        <v>127</v>
      </c>
      <c r="B20" s="82">
        <v>21839.581944999998</v>
      </c>
      <c r="C20" s="83">
        <v>1370.3619069999993</v>
      </c>
      <c r="D20" s="82">
        <v>21836.858742113956</v>
      </c>
      <c r="E20" s="83">
        <v>1301.8438116499992</v>
      </c>
      <c r="F20" s="82">
        <v>21830.501052265328</v>
      </c>
      <c r="G20" s="83">
        <v>1233.3257162999994</v>
      </c>
      <c r="H20" s="82">
        <v>21819.957491206478</v>
      </c>
      <c r="I20" s="83">
        <v>1164.8076209499993</v>
      </c>
      <c r="J20" s="82">
        <v>21804.554669916422</v>
      </c>
      <c r="K20" s="83">
        <v>1096.2895255999997</v>
      </c>
      <c r="L20" s="82">
        <v>21783.45959838845</v>
      </c>
      <c r="M20" s="83">
        <v>1027.7714302499994</v>
      </c>
      <c r="N20" s="82">
        <v>21755.624557466879</v>
      </c>
      <c r="O20" s="83">
        <v>959.25333489999946</v>
      </c>
      <c r="P20" s="82">
        <v>21719.71370417003</v>
      </c>
      <c r="Q20" s="83">
        <v>890.73523954999951</v>
      </c>
      <c r="R20" s="82">
        <v>21673.986621988355</v>
      </c>
      <c r="S20" s="83">
        <v>822.21714419999955</v>
      </c>
      <c r="T20" s="82">
        <v>21616.12602850933</v>
      </c>
      <c r="U20" s="83">
        <v>753.69904884999971</v>
      </c>
      <c r="V20" s="82">
        <v>21542.957870024671</v>
      </c>
      <c r="W20" s="83">
        <v>685.18095349999953</v>
      </c>
      <c r="X20" s="82">
        <v>21449.987633121567</v>
      </c>
      <c r="Y20" s="83">
        <v>616.66285814999969</v>
      </c>
      <c r="Z20" s="82">
        <v>21330.584949407759</v>
      </c>
      <c r="AA20" s="83">
        <v>548.14476279999974</v>
      </c>
      <c r="AB20" s="82">
        <v>21174.46683994136</v>
      </c>
      <c r="AC20" s="83">
        <v>479.62666744999973</v>
      </c>
      <c r="AD20" s="82">
        <v>20964.691200221325</v>
      </c>
      <c r="AE20" s="83">
        <v>411.10857209999972</v>
      </c>
      <c r="AF20" s="82">
        <v>20671.286113422135</v>
      </c>
      <c r="AG20" s="83">
        <v>342.59047674999965</v>
      </c>
      <c r="AH20" s="82">
        <v>20236.774813315213</v>
      </c>
      <c r="AI20" s="83">
        <v>274.07238139999964</v>
      </c>
      <c r="AJ20" s="82">
        <v>19539.556389395271</v>
      </c>
      <c r="AK20" s="83">
        <v>205.5542860499996</v>
      </c>
      <c r="AL20" s="82">
        <v>18276.359342191023</v>
      </c>
      <c r="AM20" s="83">
        <v>137.03619069999962</v>
      </c>
      <c r="AN20" s="82">
        <v>15377.288817318826</v>
      </c>
      <c r="AO20" s="83">
        <v>68.51809534999957</v>
      </c>
      <c r="AP20" s="82">
        <v>14276.378109395093</v>
      </c>
      <c r="AQ20" s="83">
        <v>54.81447627999956</v>
      </c>
      <c r="AR20" s="82">
        <v>12776.622448751557</v>
      </c>
      <c r="AS20" s="83">
        <v>41.110857209999551</v>
      </c>
      <c r="AT20" s="82">
        <v>10593.481349988189</v>
      </c>
      <c r="AU20" s="83">
        <v>27.407238139999553</v>
      </c>
      <c r="AV20" s="82">
        <v>7055.9564202155743</v>
      </c>
      <c r="AW20" s="83">
        <v>13.703619069999549</v>
      </c>
      <c r="AX20" s="41"/>
      <c r="AY20" s="42"/>
      <c r="AZ20" s="41"/>
      <c r="BA20" s="42"/>
      <c r="BB20" s="41"/>
      <c r="BC20" s="42"/>
      <c r="BD20" s="41"/>
      <c r="BE20" s="42"/>
      <c r="BF20" s="41"/>
      <c r="BG20" s="42"/>
      <c r="BH20" s="41"/>
      <c r="BI20" s="42"/>
      <c r="BJ20" s="41"/>
      <c r="BK20" s="42"/>
      <c r="BL20" s="41"/>
      <c r="BM20" s="42"/>
      <c r="BN20" s="41"/>
      <c r="BO20" s="42"/>
      <c r="BP20" s="41"/>
      <c r="BQ20" s="42"/>
      <c r="BR20" s="41"/>
      <c r="BS20" s="42"/>
      <c r="BT20" s="41"/>
      <c r="BU20" s="42"/>
      <c r="BV20" s="41"/>
      <c r="BW20" s="42"/>
      <c r="BX20" s="41"/>
      <c r="BY20" s="42"/>
      <c r="BZ20" s="41"/>
      <c r="CA20" s="42"/>
      <c r="CB20" s="41"/>
      <c r="CC20" s="42"/>
      <c r="CD20" s="41"/>
      <c r="CE20" s="42"/>
      <c r="CF20" s="41"/>
      <c r="CG20" s="42"/>
      <c r="CH20" s="41"/>
      <c r="CI20" s="42"/>
      <c r="CJ20" s="41"/>
      <c r="CK20" s="42"/>
      <c r="CL20" s="41"/>
      <c r="CM20" s="42"/>
      <c r="CN20" s="41"/>
      <c r="CO20" s="42"/>
      <c r="CP20" s="41"/>
      <c r="CQ20" s="42"/>
      <c r="CR20" s="41"/>
      <c r="CS20" s="42"/>
    </row>
    <row r="21" spans="1:97" x14ac:dyDescent="0.2">
      <c r="A21" t="s">
        <v>76</v>
      </c>
      <c r="B21" s="82">
        <v>20589.743506999988</v>
      </c>
      <c r="C21" s="83">
        <v>1074.4618989999965</v>
      </c>
      <c r="D21" s="82">
        <v>20594.697864845715</v>
      </c>
      <c r="E21" s="83">
        <v>1002.1221676591656</v>
      </c>
      <c r="F21" s="82">
        <v>20596.239184124512</v>
      </c>
      <c r="G21" s="83">
        <v>929.42281842122225</v>
      </c>
      <c r="H21" s="82">
        <v>20593.848457334716</v>
      </c>
      <c r="I21" s="83">
        <v>856.37726291673971</v>
      </c>
      <c r="J21" s="82">
        <v>20586.892103005597</v>
      </c>
      <c r="K21" s="83">
        <v>783.01510641475113</v>
      </c>
      <c r="L21" s="82">
        <v>20574.585636150052</v>
      </c>
      <c r="M21" s="83">
        <v>709.38989431515779</v>
      </c>
      <c r="N21" s="82">
        <v>20555.939968345461</v>
      </c>
      <c r="O21" s="83">
        <v>635.59078400959038</v>
      </c>
      <c r="P21" s="82">
        <v>20529.689305723576</v>
      </c>
      <c r="Q21" s="83">
        <v>561.76109190672651</v>
      </c>
      <c r="R21" s="82">
        <v>20494.175666388412</v>
      </c>
      <c r="S21" s="83">
        <v>488.12559514140383</v>
      </c>
      <c r="T21" s="82">
        <v>20447.176132912868</v>
      </c>
      <c r="U21" s="83">
        <v>415.03160263650631</v>
      </c>
      <c r="V21" s="82">
        <v>20385.62043778431</v>
      </c>
      <c r="W21" s="83">
        <v>343.01285154662844</v>
      </c>
      <c r="X21" s="82">
        <v>20305.119893456467</v>
      </c>
      <c r="Y21" s="83">
        <v>272.88552698534858</v>
      </c>
      <c r="Z21" s="82">
        <v>20199.136969692972</v>
      </c>
      <c r="AA21" s="83">
        <v>205.89175766330976</v>
      </c>
      <c r="AB21" s="82">
        <v>20057.44434234377</v>
      </c>
      <c r="AC21" s="83">
        <v>143.89792947568313</v>
      </c>
      <c r="AD21" s="82">
        <v>19863.102763817336</v>
      </c>
      <c r="AE21" s="83">
        <v>89.605969099688593</v>
      </c>
      <c r="AF21" s="82">
        <v>19586.205583109717</v>
      </c>
      <c r="AG21" s="83">
        <v>46.535343405984023</v>
      </c>
      <c r="AH21" s="82">
        <v>19170.196150805314</v>
      </c>
      <c r="AI21" s="83">
        <v>18.019745062205214</v>
      </c>
      <c r="AJ21" s="82">
        <v>18498.399535131164</v>
      </c>
      <c r="AK21" s="83">
        <v>4.3344697505407952</v>
      </c>
      <c r="AL21" s="82">
        <v>17285.516657534492</v>
      </c>
      <c r="AM21" s="83">
        <v>0.47342612220608715</v>
      </c>
      <c r="AN21" s="82">
        <v>14525.785239362638</v>
      </c>
      <c r="AO21" s="83">
        <v>1.0577781982704565E-2</v>
      </c>
      <c r="AP21" s="82">
        <v>13482.040214997474</v>
      </c>
      <c r="AQ21" s="83">
        <v>3.3427448174803594E-3</v>
      </c>
      <c r="AR21" s="82">
        <v>12061.951865323077</v>
      </c>
      <c r="AS21" s="83">
        <v>8.205643027259955E-4</v>
      </c>
      <c r="AT21" s="82">
        <v>9997.1371992776767</v>
      </c>
      <c r="AU21" s="83">
        <v>1.3560124551567095E-4</v>
      </c>
      <c r="AV21" s="82">
        <v>6655.1596193173427</v>
      </c>
      <c r="AW21" s="83">
        <v>1.0622692613888296E-5</v>
      </c>
      <c r="AX21" s="41"/>
      <c r="AY21" s="42"/>
      <c r="AZ21" s="41"/>
      <c r="BA21" s="42"/>
      <c r="BB21" s="41"/>
      <c r="BC21" s="42"/>
      <c r="BD21" s="41"/>
      <c r="BE21" s="42"/>
      <c r="BF21" s="41"/>
      <c r="BG21" s="42"/>
      <c r="BH21" s="41"/>
      <c r="BI21" s="42"/>
      <c r="BJ21" s="41"/>
      <c r="BK21" s="42"/>
      <c r="BL21" s="41"/>
      <c r="BM21" s="42"/>
      <c r="BN21" s="41"/>
      <c r="BO21" s="42"/>
      <c r="BP21" s="41"/>
      <c r="BQ21" s="42"/>
      <c r="BR21" s="41"/>
      <c r="BS21" s="42"/>
      <c r="BT21" s="41"/>
      <c r="BU21" s="42"/>
      <c r="BV21" s="41"/>
      <c r="BW21" s="42"/>
      <c r="BX21" s="41"/>
      <c r="BY21" s="42"/>
      <c r="BZ21" s="41"/>
      <c r="CA21" s="42"/>
      <c r="CB21" s="41"/>
      <c r="CC21" s="42"/>
      <c r="CD21" s="41"/>
      <c r="CE21" s="42"/>
      <c r="CF21" s="41"/>
      <c r="CG21" s="42"/>
      <c r="CH21" s="41"/>
      <c r="CI21" s="42"/>
      <c r="CJ21" s="41"/>
      <c r="CK21" s="42"/>
      <c r="CL21" s="41"/>
      <c r="CM21" s="42"/>
      <c r="CN21" s="41"/>
      <c r="CO21" s="42"/>
      <c r="CP21" s="41"/>
      <c r="CQ21" s="42"/>
      <c r="CR21" s="41"/>
      <c r="CS21" s="42"/>
    </row>
    <row r="22" spans="1:97" x14ac:dyDescent="0.2">
      <c r="A22" t="s">
        <v>28</v>
      </c>
      <c r="B22" s="41">
        <v>5694.0816809131766</v>
      </c>
      <c r="C22" s="42">
        <v>359.80623566884782</v>
      </c>
      <c r="D22" s="41">
        <v>5675.686645477811</v>
      </c>
      <c r="E22" s="42">
        <v>344.89119537081399</v>
      </c>
      <c r="F22" s="41">
        <v>5655.0003338221959</v>
      </c>
      <c r="G22" s="42">
        <v>329.73932158183254</v>
      </c>
      <c r="H22" s="41">
        <v>5631.6841612041917</v>
      </c>
      <c r="I22" s="42">
        <v>314.33843612018279</v>
      </c>
      <c r="J22" s="41">
        <v>5605.3270214639952</v>
      </c>
      <c r="K22" s="42">
        <v>298.67541817462774</v>
      </c>
      <c r="L22" s="41">
        <v>5575.4244507787407</v>
      </c>
      <c r="M22" s="42">
        <v>282.73562141153508</v>
      </c>
      <c r="N22" s="41">
        <v>5541.3457223967562</v>
      </c>
      <c r="O22" s="42">
        <v>266.50180412640549</v>
      </c>
      <c r="P22" s="41">
        <v>5502.2902201792713</v>
      </c>
      <c r="Q22" s="42">
        <v>249.95322019656749</v>
      </c>
      <c r="R22" s="41">
        <v>5457.2148389743206</v>
      </c>
      <c r="S22" s="42">
        <v>233.06341308672563</v>
      </c>
      <c r="T22" s="41">
        <v>5404.7296201473528</v>
      </c>
      <c r="U22" s="42">
        <v>215.79740123336487</v>
      </c>
      <c r="V22" s="41">
        <v>5342.9202931460004</v>
      </c>
      <c r="W22" s="42">
        <v>198.1072537157832</v>
      </c>
      <c r="X22" s="41">
        <v>5269.0572658808032</v>
      </c>
      <c r="Y22" s="42">
        <v>179.92584618134728</v>
      </c>
      <c r="Z22" s="41">
        <v>5179.0843990893754</v>
      </c>
      <c r="AA22" s="42">
        <v>161.15863664539455</v>
      </c>
      <c r="AB22" s="41">
        <v>5066.6922863984209</v>
      </c>
      <c r="AC22" s="42">
        <v>141.6753608442196</v>
      </c>
      <c r="AD22" s="41">
        <v>4921.5913344568116</v>
      </c>
      <c r="AE22" s="42">
        <v>121.31082701007458</v>
      </c>
      <c r="AF22" s="41">
        <v>4726.2870143861319</v>
      </c>
      <c r="AG22" s="42">
        <v>99.906146976109483</v>
      </c>
      <c r="AH22" s="41">
        <v>4450.2944115533555</v>
      </c>
      <c r="AI22" s="42">
        <v>77.465380653114735</v>
      </c>
      <c r="AJ22" s="41">
        <v>4039.5629241674492</v>
      </c>
      <c r="AK22" s="42">
        <v>54.478013124899633</v>
      </c>
      <c r="AL22" s="41">
        <v>3387.7748411429338</v>
      </c>
      <c r="AM22" s="42">
        <v>32.132091704462717</v>
      </c>
      <c r="AN22" s="41">
        <v>2219.4162057311291</v>
      </c>
      <c r="AO22" s="42">
        <v>12.232263718270298</v>
      </c>
      <c r="AP22" s="41">
        <v>1865.2341884930761</v>
      </c>
      <c r="AQ22" s="42">
        <v>8.809841956266709</v>
      </c>
      <c r="AR22" s="41">
        <v>1446.7234188728823</v>
      </c>
      <c r="AS22" s="42">
        <v>5.6933858851635684</v>
      </c>
      <c r="AT22" s="41">
        <v>952.65239259196665</v>
      </c>
      <c r="AU22" s="42">
        <v>2.9965210835884859</v>
      </c>
      <c r="AV22" s="41">
        <v>396.85119210920999</v>
      </c>
      <c r="AW22" s="42">
        <v>0.93168249730414598</v>
      </c>
      <c r="AX22" s="116"/>
      <c r="AY22" s="8"/>
      <c r="AZ22" s="116"/>
      <c r="BA22" s="8"/>
      <c r="BB22" s="116"/>
      <c r="BC22" s="8"/>
      <c r="BD22" s="116"/>
      <c r="BE22" s="8"/>
      <c r="BF22" s="116"/>
      <c r="BG22" s="8"/>
      <c r="BH22" s="116"/>
      <c r="BI22" s="8"/>
      <c r="BJ22" s="116"/>
      <c r="BK22" s="8"/>
      <c r="BL22" s="116"/>
      <c r="BM22" s="8"/>
      <c r="BN22" s="116"/>
      <c r="BO22" s="8"/>
      <c r="BP22" s="116"/>
      <c r="BQ22" s="8"/>
      <c r="BR22" s="116"/>
      <c r="BS22" s="8"/>
      <c r="BT22" s="116"/>
      <c r="BU22" s="8"/>
      <c r="BV22" s="116"/>
      <c r="BW22" s="8"/>
      <c r="BX22" s="116"/>
      <c r="BY22" s="8"/>
      <c r="BZ22" s="116"/>
      <c r="CA22" s="8"/>
      <c r="CB22" s="116"/>
      <c r="CC22" s="8"/>
      <c r="CD22" s="116"/>
      <c r="CE22" s="8"/>
      <c r="CF22" s="116"/>
      <c r="CG22" s="8"/>
      <c r="CH22" s="116"/>
      <c r="CI22" s="8"/>
      <c r="CJ22" s="116"/>
      <c r="CK22" s="8"/>
      <c r="CL22" s="116"/>
      <c r="CM22" s="8"/>
      <c r="CN22" s="116"/>
      <c r="CO22" s="8"/>
      <c r="CP22" s="116"/>
      <c r="CQ22" s="8"/>
      <c r="CR22" s="116"/>
      <c r="CS22" s="8"/>
    </row>
    <row r="23" spans="1:97" x14ac:dyDescent="0.2">
      <c r="A23" t="s">
        <v>7</v>
      </c>
      <c r="B23" s="116">
        <v>2967.2154944027398</v>
      </c>
      <c r="C23" s="8">
        <v>0</v>
      </c>
      <c r="D23" s="116">
        <v>2972.7329720879052</v>
      </c>
      <c r="E23" s="8">
        <v>0</v>
      </c>
      <c r="F23" s="116">
        <v>2977.8646503705045</v>
      </c>
      <c r="G23" s="8">
        <v>0</v>
      </c>
      <c r="H23" s="116">
        <v>2982.5495576104927</v>
      </c>
      <c r="I23" s="8">
        <v>0</v>
      </c>
      <c r="J23" s="116">
        <v>2986.7125563076752</v>
      </c>
      <c r="K23" s="8">
        <v>0</v>
      </c>
      <c r="L23" s="116">
        <v>2990.2599555928673</v>
      </c>
      <c r="M23" s="8">
        <v>0</v>
      </c>
      <c r="N23" s="116">
        <v>2993.0727963458767</v>
      </c>
      <c r="O23" s="8">
        <v>0</v>
      </c>
      <c r="P23" s="116">
        <v>2994.9987765152473</v>
      </c>
      <c r="Q23" s="8">
        <v>0</v>
      </c>
      <c r="R23" s="116">
        <v>2995.838584517649</v>
      </c>
      <c r="S23" s="8">
        <v>0</v>
      </c>
      <c r="T23" s="116">
        <v>2995.3270702121249</v>
      </c>
      <c r="U23" s="8">
        <v>0</v>
      </c>
      <c r="V23" s="116">
        <v>2993.1022533790497</v>
      </c>
      <c r="W23" s="8">
        <v>0</v>
      </c>
      <c r="X23" s="116">
        <v>2988.6554331023794</v>
      </c>
      <c r="Y23" s="8">
        <v>0</v>
      </c>
      <c r="Z23" s="116">
        <v>2981.2437209003324</v>
      </c>
      <c r="AA23" s="8">
        <v>0</v>
      </c>
      <c r="AB23" s="116">
        <v>2969.7255396370215</v>
      </c>
      <c r="AC23" s="8">
        <v>0</v>
      </c>
      <c r="AD23" s="116">
        <v>2952.2205437489447</v>
      </c>
      <c r="AE23" s="8">
        <v>0</v>
      </c>
      <c r="AF23" s="116">
        <v>2925.3223136422384</v>
      </c>
      <c r="AG23" s="8">
        <v>0</v>
      </c>
      <c r="AH23" s="116">
        <v>2882.0546283576659</v>
      </c>
      <c r="AI23" s="8">
        <v>0</v>
      </c>
      <c r="AJ23" s="116">
        <v>2806.0335858809622</v>
      </c>
      <c r="AK23" s="8">
        <v>0</v>
      </c>
      <c r="AL23" s="116">
        <v>2652.3585762033831</v>
      </c>
      <c r="AM23" s="8">
        <v>0</v>
      </c>
      <c r="AN23" s="116">
        <v>2254.7236833052602</v>
      </c>
      <c r="AO23" s="8">
        <v>0</v>
      </c>
      <c r="AP23" s="116">
        <v>2094.7224552382027</v>
      </c>
      <c r="AQ23" s="8">
        <v>0</v>
      </c>
      <c r="AR23" s="116">
        <v>1872.5620888983283</v>
      </c>
      <c r="AS23" s="8">
        <v>0</v>
      </c>
      <c r="AT23" s="116">
        <v>1544.7005342458319</v>
      </c>
      <c r="AU23" s="8">
        <v>0</v>
      </c>
      <c r="AV23" s="116">
        <v>1013.3530502596534</v>
      </c>
      <c r="AW23" s="8">
        <v>0</v>
      </c>
      <c r="AX23" s="59"/>
      <c r="AY23" s="8"/>
      <c r="AZ23" s="59"/>
      <c r="BA23" s="8"/>
      <c r="BB23" s="59"/>
      <c r="BC23" s="8"/>
      <c r="BD23" s="59"/>
      <c r="BE23" s="8"/>
      <c r="BF23" s="59"/>
      <c r="BG23" s="8"/>
      <c r="BH23" s="59"/>
      <c r="BI23" s="8"/>
      <c r="BJ23" s="59"/>
      <c r="BK23" s="8"/>
      <c r="BL23" s="59"/>
      <c r="BM23" s="8"/>
      <c r="BN23" s="59"/>
      <c r="BO23" s="8"/>
      <c r="BP23" s="59"/>
      <c r="BQ23" s="8"/>
      <c r="BR23" s="59"/>
      <c r="BS23" s="8"/>
      <c r="BT23" s="59"/>
      <c r="BU23" s="8"/>
      <c r="BV23" s="59"/>
      <c r="BW23" s="8"/>
      <c r="BX23" s="59"/>
      <c r="BY23" s="8"/>
      <c r="BZ23" s="59"/>
      <c r="CA23" s="8"/>
      <c r="CB23" s="59"/>
      <c r="CC23" s="8"/>
      <c r="CD23" s="59"/>
      <c r="CE23" s="8"/>
      <c r="CF23" s="59"/>
      <c r="CG23" s="8"/>
      <c r="CH23" s="59"/>
      <c r="CI23" s="8"/>
      <c r="CJ23" s="59"/>
      <c r="CK23" s="8"/>
      <c r="CL23" s="59"/>
      <c r="CM23" s="8"/>
      <c r="CN23" s="59"/>
      <c r="CO23" s="8"/>
      <c r="CP23" s="59"/>
      <c r="CQ23" s="8"/>
      <c r="CR23" s="59"/>
      <c r="CS23" s="8"/>
    </row>
    <row r="24" spans="1:97" x14ac:dyDescent="0.2">
      <c r="A24" t="s">
        <v>8</v>
      </c>
      <c r="B24" s="97">
        <v>2640.90721174284</v>
      </c>
      <c r="C24" s="8">
        <v>0</v>
      </c>
      <c r="D24" s="97">
        <v>2667.6117931941976</v>
      </c>
      <c r="E24" s="8">
        <v>0</v>
      </c>
      <c r="F24" s="97">
        <v>2694.9408267608719</v>
      </c>
      <c r="G24" s="8">
        <v>0</v>
      </c>
      <c r="H24" s="97">
        <v>2722.989408236695</v>
      </c>
      <c r="I24" s="8">
        <v>0</v>
      </c>
      <c r="J24" s="97">
        <v>2751.8713736830969</v>
      </c>
      <c r="K24" s="8">
        <v>0</v>
      </c>
      <c r="L24" s="97">
        <v>2781.7248793755939</v>
      </c>
      <c r="M24" s="8">
        <v>0</v>
      </c>
      <c r="N24" s="97">
        <v>2812.7220098834073</v>
      </c>
      <c r="O24" s="8">
        <v>0</v>
      </c>
      <c r="P24" s="97">
        <v>2845.0827567608294</v>
      </c>
      <c r="Q24" s="8">
        <v>0</v>
      </c>
      <c r="R24" s="97">
        <v>2879.0994098306846</v>
      </c>
      <c r="S24" s="8">
        <v>0</v>
      </c>
      <c r="T24" s="97">
        <v>2915.175269337095</v>
      </c>
      <c r="U24" s="8">
        <v>0</v>
      </c>
      <c r="V24" s="97">
        <v>2953.8931782131222</v>
      </c>
      <c r="W24" s="8">
        <v>0</v>
      </c>
      <c r="X24" s="97">
        <v>2996.1354221642709</v>
      </c>
      <c r="Y24" s="8">
        <v>0</v>
      </c>
      <c r="Z24" s="97">
        <v>3043.3003890376781</v>
      </c>
      <c r="AA24" s="8">
        <v>0</v>
      </c>
      <c r="AB24" s="97">
        <v>3097.6937281782307</v>
      </c>
      <c r="AC24" s="8">
        <v>0</v>
      </c>
      <c r="AD24" s="97">
        <v>3163.2025975742067</v>
      </c>
      <c r="AE24" s="8">
        <v>0</v>
      </c>
      <c r="AF24" s="97">
        <v>3246.2415415579126</v>
      </c>
      <c r="AG24" s="8">
        <v>0</v>
      </c>
      <c r="AH24" s="97">
        <v>3356.0469831500909</v>
      </c>
      <c r="AI24" s="8">
        <v>0</v>
      </c>
      <c r="AJ24" s="97">
        <v>3500.4661520720447</v>
      </c>
      <c r="AK24" s="8">
        <v>0</v>
      </c>
      <c r="AL24" s="97">
        <v>3667.9026366340054</v>
      </c>
      <c r="AM24" s="8">
        <v>0</v>
      </c>
      <c r="AN24" s="97">
        <v>3723.6181020291997</v>
      </c>
      <c r="AO24" s="8">
        <v>0</v>
      </c>
      <c r="AP24" s="97">
        <v>3657.0300419514792</v>
      </c>
      <c r="AQ24" s="8">
        <v>0</v>
      </c>
      <c r="AR24" s="97">
        <v>3503.5767171157145</v>
      </c>
      <c r="AS24" s="8">
        <v>0</v>
      </c>
      <c r="AT24" s="97">
        <v>3165.6957806124683</v>
      </c>
      <c r="AU24" s="8">
        <v>0</v>
      </c>
      <c r="AV24" s="97">
        <v>2367.3834940215729</v>
      </c>
      <c r="AW24" s="8">
        <v>0</v>
      </c>
      <c r="AX24" s="41"/>
      <c r="AY24" s="42"/>
      <c r="AZ24" s="41"/>
      <c r="BA24" s="42"/>
      <c r="BB24" s="41"/>
      <c r="BC24" s="42"/>
      <c r="BD24" s="41"/>
      <c r="BE24" s="42"/>
      <c r="BF24" s="41"/>
      <c r="BG24" s="42"/>
      <c r="BH24" s="41"/>
      <c r="BI24" s="42"/>
      <c r="BJ24" s="41"/>
      <c r="BK24" s="42"/>
      <c r="BL24" s="41"/>
      <c r="BM24" s="42"/>
      <c r="BN24" s="41"/>
      <c r="BO24" s="42"/>
      <c r="BP24" s="41"/>
      <c r="BQ24" s="42"/>
      <c r="BR24" s="41"/>
      <c r="BS24" s="42"/>
      <c r="BT24" s="41"/>
      <c r="BU24" s="42"/>
      <c r="BV24" s="41"/>
      <c r="BW24" s="42"/>
      <c r="BX24" s="41"/>
      <c r="BY24" s="42"/>
      <c r="BZ24" s="41"/>
      <c r="CA24" s="42"/>
      <c r="CB24" s="41"/>
      <c r="CC24" s="42"/>
      <c r="CD24" s="41"/>
      <c r="CE24" s="42"/>
      <c r="CF24" s="41"/>
      <c r="CG24" s="42"/>
      <c r="CH24" s="41"/>
      <c r="CI24" s="42"/>
      <c r="CJ24" s="41"/>
      <c r="CK24" s="42"/>
      <c r="CL24" s="41"/>
      <c r="CM24" s="42"/>
      <c r="CN24" s="41"/>
      <c r="CO24" s="42"/>
      <c r="CP24" s="41"/>
      <c r="CQ24" s="42"/>
      <c r="CR24" s="41"/>
      <c r="CS24" s="42"/>
    </row>
    <row r="25" spans="1:97" x14ac:dyDescent="0.2">
      <c r="A25" t="s">
        <v>0</v>
      </c>
      <c r="B25" s="41">
        <v>2407.0188299999995</v>
      </c>
      <c r="C25" s="42">
        <v>198.3609869999998</v>
      </c>
      <c r="D25" s="41">
        <v>2423.0384087986818</v>
      </c>
      <c r="E25" s="42">
        <v>177.46899068080586</v>
      </c>
      <c r="F25" s="41">
        <v>2438.8388670937102</v>
      </c>
      <c r="G25" s="42">
        <v>157.25160392769732</v>
      </c>
      <c r="H25" s="41">
        <v>2454.3641979426643</v>
      </c>
      <c r="I25" s="42">
        <v>137.79539943738058</v>
      </c>
      <c r="J25" s="41">
        <v>2469.5463030373812</v>
      </c>
      <c r="K25" s="42">
        <v>119.19327138166237</v>
      </c>
      <c r="L25" s="41">
        <v>2484.2989715471017</v>
      </c>
      <c r="M25" s="42">
        <v>101.54442724045767</v>
      </c>
      <c r="N25" s="41">
        <v>2498.5079291091374</v>
      </c>
      <c r="O25" s="42">
        <v>84.954623911285552</v>
      </c>
      <c r="P25" s="41">
        <v>2512.015955416919</v>
      </c>
      <c r="Q25" s="42">
        <v>69.535310297657304</v>
      </c>
      <c r="R25" s="41">
        <v>2524.5964353884619</v>
      </c>
      <c r="S25" s="42">
        <v>55.403325726084681</v>
      </c>
      <c r="T25" s="41">
        <v>2535.9091771866169</v>
      </c>
      <c r="U25" s="42">
        <v>42.678926501950684</v>
      </c>
      <c r="V25" s="41">
        <v>2545.4235551432994</v>
      </c>
      <c r="W25" s="42">
        <v>31.483296634018071</v>
      </c>
      <c r="X25" s="41">
        <v>2552.2821388087505</v>
      </c>
      <c r="Y25" s="42">
        <v>21.933197386267974</v>
      </c>
      <c r="Z25" s="41">
        <v>2555.0543980696953</v>
      </c>
      <c r="AA25" s="42">
        <v>14.131259113915048</v>
      </c>
      <c r="AB25" s="41">
        <v>2551.2873377915857</v>
      </c>
      <c r="AC25" s="42">
        <v>8.1472973264499551</v>
      </c>
      <c r="AD25" s="41">
        <v>2536.7006776003377</v>
      </c>
      <c r="AE25" s="42">
        <v>3.9825497950833531</v>
      </c>
      <c r="AF25" s="41">
        <v>2503.8786131312318</v>
      </c>
      <c r="AG25" s="42">
        <v>1.5067079977548778</v>
      </c>
      <c r="AH25" s="41">
        <v>2440.6928029915616</v>
      </c>
      <c r="AI25" s="42">
        <v>0.37819340327537343</v>
      </c>
      <c r="AJ25" s="41">
        <v>2329.1525177760732</v>
      </c>
      <c r="AK25" s="42">
        <v>4.8946004995892078E-2</v>
      </c>
      <c r="AL25" s="41">
        <v>2138.2331539178717</v>
      </c>
      <c r="AM25" s="42">
        <v>2.1069933503668516E-3</v>
      </c>
      <c r="AN25" s="41">
        <v>1757.9214790144486</v>
      </c>
      <c r="AO25" s="42">
        <v>9.8709921779199539E-6</v>
      </c>
      <c r="AP25" s="41">
        <v>1623.4776504272404</v>
      </c>
      <c r="AQ25" s="42">
        <v>1.9596984013297534E-6</v>
      </c>
      <c r="AR25" s="41">
        <v>1444.4440611985769</v>
      </c>
      <c r="AS25" s="42">
        <v>2.7514768618780493E-7</v>
      </c>
      <c r="AT25" s="41">
        <v>1189.199238198089</v>
      </c>
      <c r="AU25" s="42">
        <v>2.2635247170602822E-8</v>
      </c>
      <c r="AV25" s="41">
        <v>784.18365280338662</v>
      </c>
      <c r="AW25" s="42">
        <v>7.018353931086876E-10</v>
      </c>
      <c r="AX25" s="41"/>
      <c r="AY25" s="42"/>
      <c r="AZ25" s="41"/>
      <c r="BA25" s="42"/>
      <c r="BB25" s="41"/>
      <c r="BC25" s="42"/>
      <c r="BD25" s="41"/>
      <c r="BE25" s="42"/>
      <c r="BF25" s="41"/>
      <c r="BG25" s="42"/>
      <c r="BH25" s="41"/>
      <c r="BI25" s="42"/>
      <c r="BJ25" s="41"/>
      <c r="BK25" s="42"/>
      <c r="BL25" s="41"/>
      <c r="BM25" s="42"/>
      <c r="BN25" s="41"/>
      <c r="BO25" s="42"/>
      <c r="BP25" s="41"/>
      <c r="BQ25" s="42"/>
      <c r="BR25" s="41"/>
      <c r="BS25" s="42"/>
      <c r="BT25" s="41"/>
      <c r="BU25" s="42"/>
      <c r="BV25" s="41"/>
      <c r="BW25" s="42"/>
      <c r="BX25" s="41"/>
      <c r="BY25" s="42"/>
      <c r="BZ25" s="41"/>
      <c r="CA25" s="42"/>
      <c r="CB25" s="41"/>
      <c r="CC25" s="42"/>
      <c r="CD25" s="41"/>
      <c r="CE25" s="42"/>
      <c r="CF25" s="41"/>
      <c r="CG25" s="42"/>
      <c r="CH25" s="41"/>
      <c r="CI25" s="42"/>
      <c r="CJ25" s="41"/>
      <c r="CK25" s="42"/>
      <c r="CL25" s="41"/>
      <c r="CM25" s="42"/>
      <c r="CN25" s="41"/>
      <c r="CO25" s="42"/>
      <c r="CP25" s="41"/>
      <c r="CQ25" s="42"/>
      <c r="CR25" s="41"/>
      <c r="CS25" s="42"/>
    </row>
    <row r="26" spans="1:97" x14ac:dyDescent="0.2">
      <c r="A26" t="s">
        <v>27</v>
      </c>
      <c r="B26" s="33">
        <v>4453.9220762806681</v>
      </c>
      <c r="C26" s="34">
        <v>103.68339971933386</v>
      </c>
      <c r="D26" s="33">
        <v>4461.0671328768431</v>
      </c>
      <c r="E26" s="34">
        <v>96.538343123152046</v>
      </c>
      <c r="F26" s="33">
        <v>4468.2008178018013</v>
      </c>
      <c r="G26" s="34">
        <v>89.404658198201304</v>
      </c>
      <c r="H26" s="33">
        <v>4475.3197866263836</v>
      </c>
      <c r="I26" s="34">
        <v>82.285689373615767</v>
      </c>
      <c r="J26" s="33">
        <v>4482.4201485699004</v>
      </c>
      <c r="K26" s="34">
        <v>75.1853274300978</v>
      </c>
      <c r="L26" s="33">
        <v>4489.4970337668428</v>
      </c>
      <c r="M26" s="34">
        <v>68.108442233164837</v>
      </c>
      <c r="N26" s="33">
        <v>4496.543687992923</v>
      </c>
      <c r="O26" s="34">
        <v>61.061788007078782</v>
      </c>
      <c r="P26" s="33">
        <v>4503.5505828400583</v>
      </c>
      <c r="Q26" s="34">
        <v>54.054893159937372</v>
      </c>
      <c r="R26" s="33">
        <v>4510.5032265604432</v>
      </c>
      <c r="S26" s="34">
        <v>47.102249439560559</v>
      </c>
      <c r="T26" s="33">
        <v>4517.3791990596492</v>
      </c>
      <c r="U26" s="34">
        <v>40.2262769403536</v>
      </c>
      <c r="V26" s="33">
        <v>4524.1428156207294</v>
      </c>
      <c r="W26" s="34">
        <v>33.462660379276073</v>
      </c>
      <c r="X26" s="33">
        <v>4530.7367150280088</v>
      </c>
      <c r="Y26" s="34">
        <v>26.868760971992057</v>
      </c>
      <c r="Z26" s="33">
        <v>4537.0682174774229</v>
      </c>
      <c r="AA26" s="34">
        <v>20.537258522579911</v>
      </c>
      <c r="AB26" s="33">
        <v>4542.9885152499064</v>
      </c>
      <c r="AC26" s="34">
        <v>14.616960750098752</v>
      </c>
      <c r="AD26" s="33">
        <v>4548.2658216643431</v>
      </c>
      <c r="AE26" s="34">
        <v>9.3396543356545898</v>
      </c>
      <c r="AF26" s="33">
        <v>4552.570582594617</v>
      </c>
      <c r="AG26" s="34">
        <v>5.0348934053852874</v>
      </c>
      <c r="AH26" s="33">
        <v>4555.5439603228069</v>
      </c>
      <c r="AI26" s="34">
        <v>2.0615156771933112</v>
      </c>
      <c r="AJ26" s="33">
        <v>4557.0648114712467</v>
      </c>
      <c r="AK26" s="34">
        <v>0.54066452875170912</v>
      </c>
      <c r="AL26" s="33">
        <v>4557.5374229485114</v>
      </c>
      <c r="AM26" s="34">
        <v>6.805305148708736E-2</v>
      </c>
      <c r="AN26" s="33">
        <v>4557.6034761757501</v>
      </c>
      <c r="AO26" s="34">
        <v>1.9998242502344676E-3</v>
      </c>
      <c r="AP26" s="33">
        <v>4557.6047819346195</v>
      </c>
      <c r="AQ26" s="34">
        <v>6.9406538159727169E-4</v>
      </c>
      <c r="AR26" s="33">
        <v>4557.6052831749384</v>
      </c>
      <c r="AS26" s="34">
        <v>1.9282506148392986E-4</v>
      </c>
      <c r="AT26" s="33">
        <v>4557.6054378782665</v>
      </c>
      <c r="AU26" s="34">
        <v>3.8121735664324505E-5</v>
      </c>
      <c r="AV26" s="33">
        <v>4557.6054718983833</v>
      </c>
      <c r="AW26" s="34">
        <v>4.1016203938403884E-6</v>
      </c>
      <c r="AX26" s="41"/>
      <c r="AY26" s="42"/>
      <c r="AZ26" s="41"/>
      <c r="BA26" s="42"/>
      <c r="BB26" s="41"/>
      <c r="BC26" s="42"/>
      <c r="BD26" s="41"/>
      <c r="BE26" s="42"/>
      <c r="BF26" s="41"/>
      <c r="BG26" s="42"/>
      <c r="BH26" s="41"/>
      <c r="BI26" s="42"/>
      <c r="BJ26" s="41"/>
      <c r="BK26" s="42"/>
      <c r="BL26" s="41"/>
      <c r="BM26" s="42"/>
      <c r="BN26" s="41"/>
      <c r="BO26" s="42"/>
      <c r="BP26" s="41"/>
      <c r="BQ26" s="42"/>
      <c r="BR26" s="41"/>
      <c r="BS26" s="42"/>
      <c r="BT26" s="41"/>
      <c r="BU26" s="42"/>
      <c r="BV26" s="41"/>
      <c r="BW26" s="42"/>
      <c r="BX26" s="41"/>
      <c r="BY26" s="42"/>
      <c r="BZ26" s="41"/>
      <c r="CA26" s="42"/>
      <c r="CB26" s="41"/>
      <c r="CC26" s="42"/>
      <c r="CD26" s="41"/>
      <c r="CE26" s="42"/>
      <c r="CF26" s="41"/>
      <c r="CG26" s="42"/>
      <c r="CH26" s="41"/>
      <c r="CI26" s="42"/>
      <c r="CJ26" s="41"/>
      <c r="CK26" s="42"/>
      <c r="CL26" s="41"/>
      <c r="CM26" s="42"/>
      <c r="CN26" s="41"/>
      <c r="CO26" s="42"/>
      <c r="CP26" s="41"/>
      <c r="CQ26" s="42"/>
      <c r="CR26" s="41"/>
      <c r="CS26" s="42"/>
    </row>
    <row r="27" spans="1:97" x14ac:dyDescent="0.2">
      <c r="A27" t="s">
        <v>2</v>
      </c>
      <c r="B27" s="35">
        <v>5438.4286200000097</v>
      </c>
      <c r="C27" s="36">
        <v>274.41908699999959</v>
      </c>
      <c r="D27" s="35">
        <v>5457.1061106803663</v>
      </c>
      <c r="E27" s="36">
        <v>255.74161892438983</v>
      </c>
      <c r="F27" s="35">
        <v>5475.7885123892656</v>
      </c>
      <c r="G27" s="36">
        <v>237.05919484518381</v>
      </c>
      <c r="H27" s="35">
        <v>5494.4667793997814</v>
      </c>
      <c r="I27" s="36">
        <v>218.38092785370955</v>
      </c>
      <c r="J27" s="35">
        <v>5513.1304252805048</v>
      </c>
      <c r="K27" s="36">
        <v>199.71729380349828</v>
      </c>
      <c r="L27" s="35">
        <v>5531.7663887569388</v>
      </c>
      <c r="M27" s="36">
        <v>181.0813180189848</v>
      </c>
      <c r="N27" s="35">
        <v>5550.3563629914861</v>
      </c>
      <c r="O27" s="36">
        <v>162.49134545923232</v>
      </c>
      <c r="P27" s="35">
        <v>5568.8747762249814</v>
      </c>
      <c r="Q27" s="36">
        <v>143.97293661752246</v>
      </c>
      <c r="R27" s="35">
        <v>5587.2825522988769</v>
      </c>
      <c r="S27" s="36">
        <v>125.56515549726443</v>
      </c>
      <c r="T27" s="35">
        <v>5605.5194327796171</v>
      </c>
      <c r="U27" s="36">
        <v>107.32827664528467</v>
      </c>
      <c r="V27" s="35">
        <v>5623.4894057411102</v>
      </c>
      <c r="W27" s="36">
        <v>89.358303242237994</v>
      </c>
      <c r="X27" s="35">
        <v>5641.0381214094041</v>
      </c>
      <c r="Y27" s="36">
        <v>71.809586518038202</v>
      </c>
      <c r="Z27" s="35">
        <v>5657.9160454557541</v>
      </c>
      <c r="AA27" s="36">
        <v>54.931664352602915</v>
      </c>
      <c r="AB27" s="35">
        <v>5673.7221994010752</v>
      </c>
      <c r="AC27" s="36">
        <v>39.125509674650559</v>
      </c>
      <c r="AD27" s="35">
        <v>5687.8315325149069</v>
      </c>
      <c r="AE27" s="36">
        <v>25.016173067833698</v>
      </c>
      <c r="AF27" s="35">
        <v>5699.3545234810881</v>
      </c>
      <c r="AG27" s="36">
        <v>13.493187168261455</v>
      </c>
      <c r="AH27" s="35">
        <v>5707.3209248519643</v>
      </c>
      <c r="AI27" s="36">
        <v>5.5267819770700211</v>
      </c>
      <c r="AJ27" s="35">
        <v>5711.3979466648852</v>
      </c>
      <c r="AK27" s="36">
        <v>1.4497600337996424</v>
      </c>
      <c r="AL27" s="35">
        <v>5712.6652160151416</v>
      </c>
      <c r="AM27" s="36">
        <v>0.182491048206715</v>
      </c>
      <c r="AN27" s="35">
        <v>5712.8423442741969</v>
      </c>
      <c r="AO27" s="36">
        <v>5.3627732569982867E-3</v>
      </c>
      <c r="AP27" s="35">
        <v>5712.8458458112373</v>
      </c>
      <c r="AQ27" s="36">
        <v>1.8612215371099452E-3</v>
      </c>
      <c r="AR27" s="35">
        <v>5712.847189914959</v>
      </c>
      <c r="AS27" s="36">
        <v>5.1708400263775884E-4</v>
      </c>
      <c r="AT27" s="35">
        <v>5712.847604769895</v>
      </c>
      <c r="AU27" s="36">
        <v>1.0222808764019749E-4</v>
      </c>
      <c r="AV27" s="35">
        <v>5712.8476959978943</v>
      </c>
      <c r="AW27" s="36">
        <v>1.0998998281757267E-5</v>
      </c>
      <c r="AX27" s="41"/>
      <c r="AY27" s="42"/>
      <c r="AZ27" s="41"/>
      <c r="BA27" s="42"/>
      <c r="BB27" s="41"/>
      <c r="BC27" s="42"/>
      <c r="BD27" s="41"/>
      <c r="BE27" s="42"/>
      <c r="BF27" s="41"/>
      <c r="BG27" s="42"/>
      <c r="BH27" s="41"/>
      <c r="BI27" s="42"/>
      <c r="BJ27" s="41"/>
      <c r="BK27" s="42"/>
      <c r="BL27" s="41"/>
      <c r="BM27" s="42"/>
      <c r="BN27" s="41"/>
      <c r="BO27" s="42"/>
      <c r="BP27" s="41"/>
      <c r="BQ27" s="42"/>
      <c r="BR27" s="41"/>
      <c r="BS27" s="42"/>
      <c r="BT27" s="41"/>
      <c r="BU27" s="42"/>
      <c r="BV27" s="41"/>
      <c r="BW27" s="42"/>
      <c r="BX27" s="41"/>
      <c r="BY27" s="42"/>
      <c r="BZ27" s="41"/>
      <c r="CA27" s="42"/>
      <c r="CB27" s="41"/>
      <c r="CC27" s="42"/>
      <c r="CD27" s="41"/>
      <c r="CE27" s="42"/>
      <c r="CF27" s="41"/>
      <c r="CG27" s="42"/>
      <c r="CH27" s="41"/>
      <c r="CI27" s="42"/>
      <c r="CJ27" s="41"/>
      <c r="CK27" s="42"/>
      <c r="CL27" s="41"/>
      <c r="CM27" s="42"/>
      <c r="CN27" s="41"/>
      <c r="CO27" s="42"/>
      <c r="CP27" s="41"/>
      <c r="CQ27" s="42"/>
      <c r="CR27" s="41"/>
      <c r="CS27" s="42"/>
    </row>
    <row r="28" spans="1:97" x14ac:dyDescent="0.2">
      <c r="A28" t="s">
        <v>35</v>
      </c>
      <c r="B28" s="41">
        <v>11932.388276000003</v>
      </c>
      <c r="C28" s="42">
        <v>425.59270699999968</v>
      </c>
      <c r="D28" s="41">
        <v>11961.467007517605</v>
      </c>
      <c r="E28" s="42">
        <v>396.49727189381673</v>
      </c>
      <c r="F28" s="41">
        <v>11990.501164290545</v>
      </c>
      <c r="G28" s="42">
        <v>367.4130332073679</v>
      </c>
      <c r="H28" s="41">
        <v>12019.476949136866</v>
      </c>
      <c r="I28" s="42">
        <v>338.35409443540243</v>
      </c>
      <c r="J28" s="41">
        <v>12048.378401141877</v>
      </c>
      <c r="K28" s="42">
        <v>309.33671755006822</v>
      </c>
      <c r="L28" s="41">
        <v>12077.185651843422</v>
      </c>
      <c r="M28" s="42">
        <v>280.38114135795951</v>
      </c>
      <c r="N28" s="41">
        <v>12105.870985828515</v>
      </c>
      <c r="O28" s="42">
        <v>251.51566761600168</v>
      </c>
      <c r="P28" s="41">
        <v>12134.395589837957</v>
      </c>
      <c r="Q28" s="42">
        <v>222.77985834198793</v>
      </c>
      <c r="R28" s="41">
        <v>12162.700271113175</v>
      </c>
      <c r="S28" s="42">
        <v>194.2340097516259</v>
      </c>
      <c r="T28" s="41">
        <v>12190.69368348056</v>
      </c>
      <c r="U28" s="42">
        <v>165.97118331702274</v>
      </c>
      <c r="V28" s="41">
        <v>12218.230397429214</v>
      </c>
      <c r="W28" s="42">
        <v>138.13949744768288</v>
      </c>
      <c r="X28" s="41">
        <v>12245.076749748743</v>
      </c>
      <c r="Y28" s="42">
        <v>110.97700394596991</v>
      </c>
      <c r="Z28" s="41">
        <v>12270.855278283792</v>
      </c>
      <c r="AA28" s="42">
        <v>84.868401159844211</v>
      </c>
      <c r="AB28" s="41">
        <v>12294.959967790075</v>
      </c>
      <c r="AC28" s="42">
        <v>60.431595459236476</v>
      </c>
      <c r="AD28" s="41">
        <v>12316.446954770337</v>
      </c>
      <c r="AE28" s="42">
        <v>38.629453475595184</v>
      </c>
      <c r="AF28" s="41">
        <v>12333.974287644358</v>
      </c>
      <c r="AG28" s="42">
        <v>20.831728235701664</v>
      </c>
      <c r="AH28" s="41">
        <v>12346.080804221549</v>
      </c>
      <c r="AI28" s="42">
        <v>8.5314543134203173</v>
      </c>
      <c r="AJ28" s="41">
        <v>12352.273176871822</v>
      </c>
      <c r="AK28" s="42">
        <v>2.2377735422385601</v>
      </c>
      <c r="AL28" s="41">
        <v>12354.197487589827</v>
      </c>
      <c r="AM28" s="42">
        <v>0.28167739898448119</v>
      </c>
      <c r="AN28" s="41">
        <v>12354.466433562326</v>
      </c>
      <c r="AO28" s="42">
        <v>8.2774871383716232E-3</v>
      </c>
      <c r="AP28" s="41">
        <v>12354.471750149249</v>
      </c>
      <c r="AQ28" s="42">
        <v>2.8728114206950338E-3</v>
      </c>
      <c r="AR28" s="41">
        <v>12354.473790995342</v>
      </c>
      <c r="AS28" s="42">
        <v>7.9812363995280795E-4</v>
      </c>
      <c r="AT28" s="41">
        <v>12354.474420893095</v>
      </c>
      <c r="AU28" s="42">
        <v>1.57789946440828E-4</v>
      </c>
      <c r="AV28" s="41">
        <v>12354.474559410242</v>
      </c>
      <c r="AW28" s="42">
        <v>1.6977048499092251E-5</v>
      </c>
      <c r="AX28" s="35"/>
      <c r="AY28" s="36"/>
      <c r="AZ28" s="35"/>
      <c r="BA28" s="36"/>
      <c r="BB28" s="35"/>
      <c r="BC28" s="36"/>
      <c r="BD28" s="35"/>
      <c r="BE28" s="36"/>
      <c r="BF28" s="35"/>
      <c r="BG28" s="36"/>
      <c r="BH28" s="35"/>
      <c r="BI28" s="36"/>
      <c r="BJ28" s="35"/>
      <c r="BK28" s="36"/>
      <c r="BL28" s="35"/>
      <c r="BM28" s="36"/>
      <c r="BN28" s="35"/>
      <c r="BO28" s="36"/>
      <c r="BP28" s="35"/>
      <c r="BQ28" s="36"/>
      <c r="BR28" s="35"/>
      <c r="BS28" s="36"/>
      <c r="BT28" s="35"/>
      <c r="BU28" s="36"/>
      <c r="BV28" s="35"/>
      <c r="BW28" s="36"/>
      <c r="BX28" s="35"/>
      <c r="BY28" s="36"/>
      <c r="BZ28" s="35"/>
      <c r="CA28" s="36"/>
      <c r="CB28" s="35"/>
      <c r="CC28" s="36"/>
      <c r="CD28" s="35"/>
      <c r="CE28" s="36"/>
      <c r="CF28" s="35"/>
      <c r="CG28" s="36"/>
      <c r="CH28" s="35"/>
      <c r="CI28" s="36"/>
      <c r="CJ28" s="35"/>
      <c r="CK28" s="36"/>
      <c r="CL28" s="35"/>
      <c r="CM28" s="36"/>
      <c r="CN28" s="35"/>
      <c r="CO28" s="36"/>
      <c r="CP28" s="35"/>
      <c r="CQ28" s="36"/>
      <c r="CR28" s="35"/>
      <c r="CS28" s="36"/>
    </row>
    <row r="29" spans="1:97" x14ac:dyDescent="0.2">
      <c r="A29" t="s">
        <v>53</v>
      </c>
      <c r="B29" s="35">
        <v>12524.290636000003</v>
      </c>
      <c r="C29" s="36">
        <v>853.02040299999965</v>
      </c>
      <c r="D29" s="35">
        <v>12534.618412563153</v>
      </c>
      <c r="E29" s="36">
        <v>787.85875620573586</v>
      </c>
      <c r="F29" s="35">
        <v>12542.960578994167</v>
      </c>
      <c r="G29" s="36">
        <v>723.25379679851653</v>
      </c>
      <c r="H29" s="35">
        <v>12549.00388080544</v>
      </c>
      <c r="I29" s="36">
        <v>659.29092901039553</v>
      </c>
      <c r="J29" s="35">
        <v>12552.366071841117</v>
      </c>
      <c r="K29" s="36">
        <v>596.06810584019593</v>
      </c>
      <c r="L29" s="35">
        <v>12552.572925282026</v>
      </c>
      <c r="M29" s="36">
        <v>533.70070399127405</v>
      </c>
      <c r="N29" s="35">
        <v>12549.023780054064</v>
      </c>
      <c r="O29" s="36">
        <v>472.33078702799656</v>
      </c>
      <c r="P29" s="35">
        <v>12540.944651678425</v>
      </c>
      <c r="Q29" s="36">
        <v>412.13475500118648</v>
      </c>
      <c r="R29" s="35">
        <v>12527.311849696294</v>
      </c>
      <c r="S29" s="36">
        <v>353.34231645444908</v>
      </c>
      <c r="T29" s="35">
        <v>12506.735296616702</v>
      </c>
      <c r="U29" s="36">
        <v>296.25902305586908</v>
      </c>
      <c r="V29" s="35">
        <v>12477.265867678974</v>
      </c>
      <c r="W29" s="36">
        <v>241.30510525041063</v>
      </c>
      <c r="X29" s="35">
        <v>12436.069755299826</v>
      </c>
      <c r="Y29" s="36">
        <v>189.07122604391438</v>
      </c>
      <c r="Z29" s="35">
        <v>12378.851686189801</v>
      </c>
      <c r="AA29" s="36">
        <v>140.40104361148539</v>
      </c>
      <c r="AB29" s="35">
        <v>12298.788258774288</v>
      </c>
      <c r="AC29" s="36">
        <v>96.500761791122059</v>
      </c>
      <c r="AD29" s="35">
        <v>12184.472798482941</v>
      </c>
      <c r="AE29" s="36">
        <v>59.041738262001758</v>
      </c>
      <c r="AF29" s="35">
        <v>12015.83422454521</v>
      </c>
      <c r="AG29" s="36">
        <v>30.09407614496175</v>
      </c>
      <c r="AH29" s="35">
        <v>11755.829774352746</v>
      </c>
      <c r="AI29" s="36">
        <v>11.423300756658769</v>
      </c>
      <c r="AJ29" s="35">
        <v>11331.42246225191</v>
      </c>
      <c r="AK29" s="36">
        <v>2.690282133209899</v>
      </c>
      <c r="AL29" s="35">
        <v>10570.221545001643</v>
      </c>
      <c r="AM29" s="36">
        <v>0.28739287522140616</v>
      </c>
      <c r="AN29" s="35">
        <v>8864.0915795827132</v>
      </c>
      <c r="AO29" s="36">
        <v>6.2740240783828232E-3</v>
      </c>
      <c r="AP29" s="35">
        <v>8223.3019560538523</v>
      </c>
      <c r="AQ29" s="36">
        <v>1.9732636421163842E-3</v>
      </c>
      <c r="AR29" s="35">
        <v>7353.3123587138689</v>
      </c>
      <c r="AS29" s="36">
        <v>4.8206433203137731E-4</v>
      </c>
      <c r="AT29" s="35">
        <v>6090.7549177587571</v>
      </c>
      <c r="AU29" s="36">
        <v>7.9276518950485887E-5</v>
      </c>
      <c r="AV29" s="35">
        <v>4051.1111877185876</v>
      </c>
      <c r="AW29" s="36">
        <v>6.1798024156211636E-6</v>
      </c>
      <c r="AX29" s="118"/>
      <c r="AZ29" s="119"/>
      <c r="BB29" s="119"/>
      <c r="BD29" s="119"/>
      <c r="BF29" s="119"/>
      <c r="BH29" s="119"/>
      <c r="BJ29" s="119"/>
      <c r="BL29" s="119"/>
      <c r="BN29" s="119"/>
      <c r="BP29" s="119"/>
      <c r="BR29" s="119"/>
      <c r="BT29" s="119"/>
      <c r="BV29" s="119"/>
      <c r="BX29" s="119"/>
      <c r="BZ29" s="119"/>
      <c r="CB29" s="119"/>
      <c r="CD29" s="119"/>
      <c r="CF29" s="119"/>
      <c r="CH29" s="119"/>
      <c r="CJ29" s="119"/>
      <c r="CL29" s="119"/>
      <c r="CN29" s="119"/>
      <c r="CP29" s="119"/>
      <c r="CR29" s="119"/>
    </row>
    <row r="30" spans="1:97" x14ac:dyDescent="0.2">
      <c r="A30" t="s">
        <v>48</v>
      </c>
      <c r="B30" s="119">
        <v>2644238.3989999997</v>
      </c>
      <c r="D30" s="119">
        <v>2696509.5136803398</v>
      </c>
      <c r="F30" s="119">
        <v>2749503.1352341655</v>
      </c>
      <c r="H30" s="119">
        <v>2803375.0876560411</v>
      </c>
      <c r="J30" s="119">
        <v>2858310.5649861498</v>
      </c>
      <c r="L30" s="119">
        <v>2914535.6899144724</v>
      </c>
      <c r="N30" s="119">
        <v>2972334.4617331983</v>
      </c>
      <c r="P30" s="119">
        <v>3032075.330870246</v>
      </c>
      <c r="R30" s="119">
        <v>3094254.2638507271</v>
      </c>
      <c r="T30" s="119">
        <v>3159573.3443008591</v>
      </c>
      <c r="V30" s="119">
        <v>3229071.6793757076</v>
      </c>
      <c r="X30" s="119">
        <v>3304368.5389664415</v>
      </c>
      <c r="Z30" s="119">
        <v>3388109.9558894048</v>
      </c>
      <c r="AB30" s="119">
        <v>3484804.2259479193</v>
      </c>
      <c r="AD30" s="119">
        <v>3602349.4810089329</v>
      </c>
      <c r="AF30" s="119">
        <v>3754486.2864077725</v>
      </c>
      <c r="AH30" s="119">
        <v>3963034.4060182013</v>
      </c>
      <c r="AJ30" s="119">
        <v>4253843.162585279</v>
      </c>
      <c r="AL30" s="119">
        <v>4633944.1708323471</v>
      </c>
      <c r="AN30" s="119">
        <v>4965823.0288037285</v>
      </c>
      <c r="AP30" s="119">
        <v>4946738.0941845495</v>
      </c>
      <c r="AR30" s="119">
        <v>4817049.8762456281</v>
      </c>
      <c r="AT30" s="119">
        <v>4438292.5584348664</v>
      </c>
      <c r="AV30" s="119">
        <v>3403624.2398615004</v>
      </c>
      <c r="AX30" s="86"/>
      <c r="AZ30" s="86"/>
      <c r="BB30" s="86"/>
      <c r="BD30" s="86"/>
      <c r="BF30" s="86"/>
      <c r="BH30" s="86"/>
      <c r="BJ30" s="86"/>
      <c r="BL30" s="86"/>
      <c r="BN30" s="86"/>
      <c r="BP30" s="86"/>
      <c r="BR30" s="86"/>
      <c r="BT30" s="86"/>
      <c r="BV30" s="86"/>
      <c r="BX30" s="86"/>
      <c r="BZ30" s="86"/>
      <c r="CB30" s="86"/>
      <c r="CD30" s="86"/>
      <c r="CF30" s="86"/>
      <c r="CH30" s="86"/>
      <c r="CJ30" s="86"/>
      <c r="CL30" s="86"/>
      <c r="CN30" s="86"/>
      <c r="CP30" s="86"/>
      <c r="CR30" s="86"/>
    </row>
    <row r="31" spans="1:97" x14ac:dyDescent="0.2">
      <c r="A31" t="s">
        <v>47</v>
      </c>
      <c r="B31" s="80">
        <v>0.99999999999999956</v>
      </c>
      <c r="D31" s="80">
        <v>0.99444591610775457</v>
      </c>
      <c r="F31" s="80">
        <v>0.98832398885785544</v>
      </c>
      <c r="H31" s="80">
        <v>0.98155485786275998</v>
      </c>
      <c r="J31" s="80">
        <v>0.97404297476950719</v>
      </c>
      <c r="L31" s="80">
        <v>0.96567204220783953</v>
      </c>
      <c r="N31" s="80">
        <v>0.95629799805413807</v>
      </c>
      <c r="P31" s="80">
        <v>0.94573972610617074</v>
      </c>
      <c r="R31" s="80">
        <v>0.93376390646056395</v>
      </c>
      <c r="T31" s="80">
        <v>0.92006316660733312</v>
      </c>
      <c r="V31" s="80">
        <v>0.90421972939464912</v>
      </c>
      <c r="X31" s="80">
        <v>0.88564636602078417</v>
      </c>
      <c r="Z31" s="80">
        <v>0.86348466526882439</v>
      </c>
      <c r="AB31" s="80">
        <v>0.83642519107603419</v>
      </c>
      <c r="AD31" s="80">
        <v>0.80238481689363084</v>
      </c>
      <c r="AF31" s="80">
        <v>0.75794214216834832</v>
      </c>
      <c r="AH31" s="80">
        <v>0.69744648234885309</v>
      </c>
      <c r="AJ31" s="80">
        <v>0.61173763947405335</v>
      </c>
      <c r="AL31" s="80">
        <v>0.48516789846608083</v>
      </c>
      <c r="AN31" s="80">
        <v>0.28500358745058368</v>
      </c>
      <c r="AP31" s="80">
        <v>0.23086212220297583</v>
      </c>
      <c r="AR31" s="80">
        <v>0.17080624919208309</v>
      </c>
      <c r="AT31" s="80">
        <v>0.10553097572575747</v>
      </c>
      <c r="AV31" s="80">
        <v>4.0042490619631235E-2</v>
      </c>
      <c r="AX31" s="70"/>
      <c r="AZ31" s="70"/>
      <c r="BB31" s="70"/>
      <c r="BD31" s="70"/>
      <c r="BF31" s="70"/>
      <c r="BH31" s="70"/>
      <c r="BJ31" s="70"/>
      <c r="BL31" s="70"/>
      <c r="BN31" s="70"/>
      <c r="BP31" s="70"/>
      <c r="BR31" s="70"/>
      <c r="BT31" s="70"/>
      <c r="BV31" s="70"/>
      <c r="BX31" s="70"/>
      <c r="BZ31" s="70"/>
      <c r="CB31" s="70"/>
      <c r="CD31" s="70"/>
      <c r="CF31" s="70"/>
      <c r="CH31" s="70"/>
      <c r="CJ31" s="70"/>
      <c r="CL31" s="70"/>
      <c r="CN31" s="70"/>
      <c r="CP31" s="70"/>
      <c r="CR31" s="70"/>
    </row>
    <row r="32" spans="1:97" x14ac:dyDescent="0.2">
      <c r="A32" t="s">
        <v>64</v>
      </c>
      <c r="B32" s="86">
        <v>12914691.582000002</v>
      </c>
      <c r="C32" s="38"/>
      <c r="D32" s="86">
        <v>12899771.347745398</v>
      </c>
      <c r="E32" s="38"/>
      <c r="F32" s="86">
        <v>12882952.160985757</v>
      </c>
      <c r="G32" s="38"/>
      <c r="H32" s="86">
        <v>12863958.971456643</v>
      </c>
      <c r="I32" s="38"/>
      <c r="J32" s="86">
        <v>12842451.598879423</v>
      </c>
      <c r="K32" s="38"/>
      <c r="L32" s="86">
        <v>12818009.943411415</v>
      </c>
      <c r="M32" s="38"/>
      <c r="N32" s="86">
        <v>12790113.411956787</v>
      </c>
      <c r="O32" s="38"/>
      <c r="P32" s="86">
        <v>12758120.507229235</v>
      </c>
      <c r="Q32" s="38"/>
      <c r="R32" s="86">
        <v>12721238.658551933</v>
      </c>
      <c r="S32" s="38"/>
      <c r="T32" s="86">
        <v>12678495.729889927</v>
      </c>
      <c r="U32" s="38"/>
      <c r="V32" s="86">
        <v>12628701.875817044</v>
      </c>
      <c r="W32" s="38"/>
      <c r="X32" s="86">
        <v>12570410.512414832</v>
      </c>
      <c r="Y32" s="38"/>
      <c r="Z32" s="86">
        <v>12501863.607233634</v>
      </c>
      <c r="AA32" s="38"/>
      <c r="AB32" s="86">
        <v>12420866.663704714</v>
      </c>
      <c r="AC32" s="38"/>
      <c r="AD32" s="86">
        <v>12324319.793758623</v>
      </c>
      <c r="AE32" s="38"/>
      <c r="AF32" s="86">
        <v>12206174.291808745</v>
      </c>
      <c r="AG32" s="38"/>
      <c r="AH32" s="86">
        <v>12048902.056730084</v>
      </c>
      <c r="AI32" s="38"/>
      <c r="AJ32" s="86">
        <v>11792791.634949818</v>
      </c>
      <c r="AK32" s="38"/>
      <c r="AL32" s="86">
        <v>11240565.136880001</v>
      </c>
      <c r="AM32" s="38"/>
      <c r="AN32" s="86">
        <v>9654710.2006127238</v>
      </c>
      <c r="AO32" s="38"/>
      <c r="AP32" s="86">
        <v>8990748.4614000637</v>
      </c>
      <c r="AQ32" s="38"/>
      <c r="AR32" s="86">
        <v>8058261.2254496114</v>
      </c>
      <c r="AS32" s="38"/>
      <c r="AT32" s="86">
        <v>6668362.5460806945</v>
      </c>
      <c r="AU32" s="38"/>
      <c r="AV32" s="86">
        <v>4394184.9957167143</v>
      </c>
      <c r="AW32" s="38"/>
      <c r="AX32" s="37"/>
      <c r="AY32" s="38"/>
      <c r="AZ32" s="37"/>
      <c r="BA32" s="38"/>
      <c r="BB32" s="37"/>
      <c r="BC32" s="38"/>
      <c r="BD32" s="37"/>
      <c r="BE32" s="38"/>
      <c r="BF32" s="37"/>
      <c r="BG32" s="38"/>
      <c r="BH32" s="37"/>
      <c r="BI32" s="38"/>
      <c r="BJ32" s="37"/>
      <c r="BK32" s="38"/>
      <c r="BL32" s="37"/>
      <c r="BM32" s="38"/>
      <c r="BN32" s="37"/>
      <c r="BO32" s="38"/>
      <c r="BP32" s="37"/>
      <c r="BQ32" s="38"/>
      <c r="BR32" s="37"/>
      <c r="BS32" s="38"/>
      <c r="BT32" s="37"/>
      <c r="BU32" s="38"/>
      <c r="BV32" s="37"/>
      <c r="BW32" s="38"/>
      <c r="BX32" s="37"/>
      <c r="BY32" s="38"/>
      <c r="BZ32" s="37"/>
      <c r="CA32" s="38"/>
      <c r="CB32" s="37"/>
      <c r="CC32" s="38"/>
      <c r="CD32" s="37"/>
      <c r="CE32" s="38"/>
      <c r="CF32" s="37"/>
      <c r="CG32" s="38"/>
      <c r="CH32" s="37"/>
      <c r="CI32" s="38"/>
      <c r="CJ32" s="37"/>
      <c r="CK32" s="38"/>
      <c r="CL32" s="37"/>
      <c r="CM32" s="38"/>
      <c r="CN32" s="37"/>
      <c r="CO32" s="38"/>
      <c r="CP32" s="37"/>
      <c r="CQ32" s="38"/>
      <c r="CR32" s="37"/>
      <c r="CS32" s="38"/>
    </row>
    <row r="33" spans="1:97 16384:16384" x14ac:dyDescent="0.2">
      <c r="A33" t="s">
        <v>54</v>
      </c>
      <c r="B33" s="117">
        <v>6152691.9630000014</v>
      </c>
      <c r="C33" s="40"/>
      <c r="D33" s="117">
        <v>6123490.6292476933</v>
      </c>
      <c r="E33" s="40"/>
      <c r="F33" s="117">
        <v>6092539.6950764162</v>
      </c>
      <c r="G33" s="40"/>
      <c r="H33" s="117">
        <v>6059567.7618738869</v>
      </c>
      <c r="I33" s="40"/>
      <c r="J33" s="117">
        <v>6024242.2790681683</v>
      </c>
      <c r="K33" s="40"/>
      <c r="L33" s="117">
        <v>5986154.2957802135</v>
      </c>
      <c r="M33" s="40"/>
      <c r="N33" s="117">
        <v>5944794.2056039525</v>
      </c>
      <c r="O33" s="40"/>
      <c r="P33" s="117">
        <v>5899521.2685176199</v>
      </c>
      <c r="Q33" s="40"/>
      <c r="R33" s="117">
        <v>5849513.2693079859</v>
      </c>
      <c r="S33" s="40"/>
      <c r="T33" s="117">
        <v>5793699.8357566027</v>
      </c>
      <c r="U33" s="40"/>
      <c r="V33" s="117">
        <v>5730647.450660021</v>
      </c>
      <c r="W33" s="40"/>
      <c r="X33" s="117">
        <v>5658376.6561994106</v>
      </c>
      <c r="Y33" s="40"/>
      <c r="Z33" s="117">
        <v>5574036.0784368003</v>
      </c>
      <c r="AA33" s="40"/>
      <c r="AB33" s="117">
        <v>5473286.8572090948</v>
      </c>
      <c r="AC33" s="40"/>
      <c r="AD33" s="117">
        <v>5349048.2779520005</v>
      </c>
      <c r="AE33" s="40"/>
      <c r="AF33" s="117">
        <v>5188731.6194715137</v>
      </c>
      <c r="AG33" s="40"/>
      <c r="AH33" s="117">
        <v>4967739.0182230314</v>
      </c>
      <c r="AI33" s="40"/>
      <c r="AJ33" s="117">
        <v>4633440.4005657211</v>
      </c>
      <c r="AK33" s="40"/>
      <c r="AL33" s="117">
        <v>4060898.2129610982</v>
      </c>
      <c r="AM33" s="40"/>
      <c r="AN33" s="117">
        <v>2882169.1778704207</v>
      </c>
      <c r="AO33" s="40"/>
      <c r="AP33" s="117">
        <v>2485776.5410477137</v>
      </c>
      <c r="AQ33" s="40"/>
      <c r="AR33" s="117">
        <v>1992311.4399727611</v>
      </c>
      <c r="AS33" s="40"/>
      <c r="AT33" s="117">
        <v>1370781.9814018896</v>
      </c>
      <c r="AU33" s="40"/>
      <c r="AV33" s="117">
        <v>608879.02817741875</v>
      </c>
      <c r="AW33" s="40"/>
      <c r="AX33" s="39"/>
      <c r="AY33" s="40"/>
      <c r="AZ33" s="39"/>
      <c r="BA33" s="40"/>
      <c r="BB33" s="39"/>
      <c r="BC33" s="40"/>
      <c r="BD33" s="39"/>
      <c r="BE33" s="40"/>
      <c r="BF33" s="39"/>
      <c r="BG33" s="40"/>
      <c r="BH33" s="39"/>
      <c r="BI33" s="40"/>
      <c r="BJ33" s="39"/>
      <c r="BK33" s="40"/>
      <c r="BL33" s="39"/>
      <c r="BM33" s="40"/>
      <c r="BN33" s="39"/>
      <c r="BO33" s="40"/>
      <c r="BP33" s="39"/>
      <c r="BQ33" s="40"/>
      <c r="BR33" s="39"/>
      <c r="BS33" s="40"/>
      <c r="BT33" s="39"/>
      <c r="BU33" s="40"/>
      <c r="BV33" s="39"/>
      <c r="BW33" s="40"/>
      <c r="BX33" s="39"/>
      <c r="BY33" s="40"/>
      <c r="BZ33" s="39"/>
      <c r="CA33" s="40"/>
      <c r="CB33" s="39"/>
      <c r="CC33" s="40"/>
      <c r="CD33" s="39"/>
      <c r="CE33" s="40"/>
      <c r="CF33" s="39"/>
      <c r="CG33" s="40"/>
      <c r="CH33" s="39"/>
      <c r="CI33" s="40"/>
      <c r="CJ33" s="39"/>
      <c r="CK33" s="40"/>
      <c r="CL33" s="39"/>
      <c r="CM33" s="40"/>
      <c r="CN33" s="39"/>
      <c r="CO33" s="40"/>
      <c r="CP33" s="39"/>
      <c r="CQ33" s="40"/>
      <c r="CR33" s="39"/>
      <c r="CS33" s="40"/>
    </row>
    <row r="34" spans="1:97 16384:16384" x14ac:dyDescent="0.2">
      <c r="A34" t="s">
        <v>75</v>
      </c>
      <c r="B34" s="70">
        <v>1059641.3710000017</v>
      </c>
      <c r="C34" s="38"/>
      <c r="D34" s="70">
        <v>1058416.9618673944</v>
      </c>
      <c r="E34" s="38"/>
      <c r="F34" s="70">
        <v>1057037.1655652651</v>
      </c>
      <c r="G34" s="38"/>
      <c r="H34" s="70">
        <v>1055478.7825216178</v>
      </c>
      <c r="I34" s="38"/>
      <c r="J34" s="70">
        <v>1053714.0468675583</v>
      </c>
      <c r="K34" s="38"/>
      <c r="L34" s="70">
        <v>1051708.690580362</v>
      </c>
      <c r="M34" s="38"/>
      <c r="N34" s="70">
        <v>1049419.8169551857</v>
      </c>
      <c r="O34" s="38"/>
      <c r="P34" s="70">
        <v>1046794.6876636243</v>
      </c>
      <c r="Q34" s="38"/>
      <c r="R34" s="70">
        <v>1043768.6757653863</v>
      </c>
      <c r="S34" s="38"/>
      <c r="T34" s="70">
        <v>1040261.6101845108</v>
      </c>
      <c r="U34" s="38"/>
      <c r="V34" s="70">
        <v>1036176.0708332632</v>
      </c>
      <c r="W34" s="38"/>
      <c r="X34" s="70">
        <v>1031393.348937361</v>
      </c>
      <c r="Y34" s="38"/>
      <c r="Z34" s="70">
        <v>1025769.1206767403</v>
      </c>
      <c r="AA34" s="38"/>
      <c r="AB34" s="70">
        <v>1019123.3842837893</v>
      </c>
      <c r="AC34" s="38"/>
      <c r="AD34" s="70">
        <v>1011201.7792408729</v>
      </c>
      <c r="AE34" s="38"/>
      <c r="AF34" s="70">
        <v>1001508.0264688254</v>
      </c>
      <c r="AG34" s="38"/>
      <c r="AH34" s="70">
        <v>988603.94849425054</v>
      </c>
      <c r="AI34" s="38"/>
      <c r="AJ34" s="70">
        <v>967590.26840437669</v>
      </c>
      <c r="AK34" s="38"/>
      <c r="AL34" s="70">
        <v>922280.4723472253</v>
      </c>
      <c r="AM34" s="38"/>
      <c r="AN34" s="70">
        <v>792162.18897875992</v>
      </c>
      <c r="AO34" s="38"/>
      <c r="AP34" s="70">
        <v>737684.5947471793</v>
      </c>
      <c r="AQ34" s="38"/>
      <c r="AR34" s="70">
        <v>661174.67216270603</v>
      </c>
      <c r="AS34" s="38"/>
      <c r="AT34" s="70">
        <v>547134.46200313745</v>
      </c>
      <c r="AU34" s="38"/>
      <c r="AV34" s="70">
        <v>360539.79173444607</v>
      </c>
      <c r="AW34" s="38"/>
      <c r="AX34" s="37"/>
      <c r="AY34" s="38"/>
      <c r="AZ34" s="37"/>
      <c r="BA34" s="38"/>
      <c r="BB34" s="37"/>
      <c r="BC34" s="38"/>
      <c r="BD34" s="37"/>
      <c r="BE34" s="38"/>
      <c r="BF34" s="37"/>
      <c r="BG34" s="38"/>
      <c r="BH34" s="37"/>
      <c r="BI34" s="38"/>
      <c r="BJ34" s="37"/>
      <c r="BK34" s="38"/>
      <c r="BL34" s="37"/>
      <c r="BM34" s="38"/>
      <c r="BN34" s="37"/>
      <c r="BO34" s="38"/>
      <c r="BP34" s="37"/>
      <c r="BQ34" s="38"/>
      <c r="BR34" s="37"/>
      <c r="BS34" s="38"/>
      <c r="BT34" s="37"/>
      <c r="BU34" s="38"/>
      <c r="BV34" s="37"/>
      <c r="BW34" s="38"/>
      <c r="BX34" s="37"/>
      <c r="BY34" s="38"/>
      <c r="BZ34" s="37"/>
      <c r="CA34" s="38"/>
      <c r="CB34" s="37"/>
      <c r="CC34" s="38"/>
      <c r="CD34" s="37"/>
      <c r="CE34" s="38"/>
      <c r="CF34" s="37"/>
      <c r="CG34" s="38"/>
      <c r="CH34" s="37"/>
      <c r="CI34" s="38"/>
      <c r="CJ34" s="37"/>
      <c r="CK34" s="38"/>
      <c r="CL34" s="37"/>
      <c r="CM34" s="38"/>
      <c r="CN34" s="37"/>
      <c r="CO34" s="38"/>
      <c r="CP34" s="37"/>
      <c r="CQ34" s="38"/>
      <c r="CR34" s="37"/>
      <c r="CS34" s="38"/>
    </row>
    <row r="35" spans="1:97 16384:16384" x14ac:dyDescent="0.2">
      <c r="A35" t="s">
        <v>78</v>
      </c>
      <c r="B35" s="37">
        <v>1</v>
      </c>
      <c r="C35" s="38"/>
      <c r="D35" s="37">
        <v>1.0008135558571547</v>
      </c>
      <c r="E35" s="38"/>
      <c r="F35" s="37">
        <v>1.0019312390711139</v>
      </c>
      <c r="G35" s="38"/>
      <c r="H35" s="37">
        <v>1.0034066875845065</v>
      </c>
      <c r="I35" s="38"/>
      <c r="J35" s="37">
        <v>1.0053071085081819</v>
      </c>
      <c r="K35" s="38"/>
      <c r="L35" s="37">
        <v>1.0077184771822096</v>
      </c>
      <c r="M35" s="38"/>
      <c r="N35" s="37">
        <v>1.0107533437344001</v>
      </c>
      <c r="O35" s="38"/>
      <c r="P35" s="37">
        <v>1.0145625335616799</v>
      </c>
      <c r="Q35" s="38"/>
      <c r="R35" s="37">
        <v>1.0193540211780152</v>
      </c>
      <c r="S35" s="38"/>
      <c r="T35" s="37">
        <v>1.0254239211481142</v>
      </c>
      <c r="U35" s="38"/>
      <c r="V35" s="37">
        <v>1.0332092833016544</v>
      </c>
      <c r="W35" s="38"/>
      <c r="X35" s="37">
        <v>1.0433825644327741</v>
      </c>
      <c r="Y35" s="38"/>
      <c r="Z35" s="37">
        <v>1.0570286385055008</v>
      </c>
      <c r="AA35" s="38"/>
      <c r="AB35" s="37">
        <v>1.0759946727496497</v>
      </c>
      <c r="AC35" s="38"/>
      <c r="AD35" s="37">
        <v>1.1036194121071281</v>
      </c>
      <c r="AE35" s="38"/>
      <c r="AF35" s="37">
        <v>1.1463237949530087</v>
      </c>
      <c r="AG35" s="38"/>
      <c r="AH35" s="37">
        <v>1.2172078899871204</v>
      </c>
      <c r="AI35" s="38"/>
      <c r="AJ35" s="37">
        <v>1.3449590358426946</v>
      </c>
      <c r="AK35" s="38"/>
      <c r="AL35" s="37">
        <v>1.6038921161928019</v>
      </c>
      <c r="AM35" s="38"/>
      <c r="AN35" s="37">
        <v>2.2794631093842601</v>
      </c>
      <c r="AO35" s="38"/>
      <c r="AP35" s="37">
        <v>2.5574572780352596</v>
      </c>
      <c r="AQ35" s="38"/>
      <c r="AR35" s="37">
        <v>2.9510547359225092</v>
      </c>
      <c r="AS35" s="38"/>
      <c r="AT35" s="37">
        <v>3.5504107188468494</v>
      </c>
      <c r="AU35" s="38"/>
      <c r="AV35" s="37">
        <v>4.5779636503432775</v>
      </c>
      <c r="AW35" s="38"/>
      <c r="AX35" s="39"/>
      <c r="AY35" s="40"/>
      <c r="AZ35" s="39"/>
      <c r="BA35" s="40"/>
      <c r="BB35" s="39"/>
      <c r="BC35" s="40"/>
      <c r="BD35" s="39"/>
      <c r="BE35" s="40"/>
      <c r="BF35" s="39"/>
      <c r="BG35" s="40"/>
      <c r="BH35" s="39"/>
      <c r="BI35" s="40"/>
      <c r="BJ35" s="39"/>
      <c r="BK35" s="40"/>
      <c r="BL35" s="39"/>
      <c r="BM35" s="40"/>
      <c r="BN35" s="39"/>
      <c r="BO35" s="40"/>
      <c r="BP35" s="39"/>
      <c r="BQ35" s="40"/>
      <c r="BR35" s="39"/>
      <c r="BS35" s="40"/>
      <c r="BT35" s="39"/>
      <c r="BU35" s="40"/>
      <c r="BV35" s="39"/>
      <c r="BW35" s="40"/>
      <c r="BX35" s="39"/>
      <c r="BY35" s="40"/>
      <c r="BZ35" s="39"/>
      <c r="CA35" s="40"/>
      <c r="CB35" s="39"/>
      <c r="CC35" s="40"/>
      <c r="CD35" s="39"/>
      <c r="CE35" s="40"/>
      <c r="CF35" s="39"/>
      <c r="CG35" s="40"/>
      <c r="CH35" s="39"/>
      <c r="CI35" s="40"/>
      <c r="CJ35" s="39"/>
      <c r="CK35" s="40"/>
      <c r="CL35" s="39"/>
      <c r="CM35" s="40"/>
      <c r="CN35" s="39"/>
      <c r="CO35" s="40"/>
      <c r="CP35" s="39"/>
      <c r="CQ35" s="40"/>
      <c r="CR35" s="39"/>
      <c r="CS35" s="40"/>
    </row>
    <row r="36" spans="1:97 16384:16384" x14ac:dyDescent="0.2">
      <c r="A36" t="s">
        <v>21</v>
      </c>
      <c r="B36" s="39">
        <v>0.44062059572230788</v>
      </c>
      <c r="C36" s="40">
        <v>0.31782146736791034</v>
      </c>
      <c r="D36" s="39">
        <v>0.44066789708867016</v>
      </c>
      <c r="E36" s="40">
        <v>0.3201272189378106</v>
      </c>
      <c r="F36" s="39">
        <v>0.44071651097194475</v>
      </c>
      <c r="G36" s="40">
        <v>0.32266629129162866</v>
      </c>
      <c r="H36" s="39">
        <v>0.44076649878947971</v>
      </c>
      <c r="I36" s="40">
        <v>0.32547586312489496</v>
      </c>
      <c r="J36" s="39">
        <v>0.44081793326939261</v>
      </c>
      <c r="K36" s="40">
        <v>0.32860150856415671</v>
      </c>
      <c r="L36" s="39">
        <v>0.44087089736537127</v>
      </c>
      <c r="M36" s="40">
        <v>0.33209984767766065</v>
      </c>
      <c r="N36" s="39">
        <v>0.44092547850057967</v>
      </c>
      <c r="O36" s="40">
        <v>0.33604233903427627</v>
      </c>
      <c r="P36" s="39">
        <v>0.44098174842450022</v>
      </c>
      <c r="Q36" s="40">
        <v>0.34052069747886704</v>
      </c>
      <c r="R36" s="39">
        <v>0.44103972335604791</v>
      </c>
      <c r="S36" s="40">
        <v>0.3456551813728661</v>
      </c>
      <c r="T36" s="39">
        <v>0.44109929040328655</v>
      </c>
      <c r="U36" s="40">
        <v>0.35160751686475744</v>
      </c>
      <c r="V36" s="39">
        <v>0.44116005196431118</v>
      </c>
      <c r="W36" s="40">
        <v>0.35860184500324083</v>
      </c>
      <c r="X36" s="39">
        <v>0.44122103742680119</v>
      </c>
      <c r="Y36" s="40">
        <v>0.36696034514423481</v>
      </c>
      <c r="Z36" s="39">
        <v>0.44128014807565857</v>
      </c>
      <c r="AA36" s="40">
        <v>0.3771666025596867</v>
      </c>
      <c r="AB36" s="39">
        <v>0.44133312479841702</v>
      </c>
      <c r="AC36" s="40">
        <v>0.38998410932606797</v>
      </c>
      <c r="AD36" s="39">
        <v>0.44137177481097656</v>
      </c>
      <c r="AE36" s="40">
        <v>0.40668835912215973</v>
      </c>
      <c r="AF36" s="39">
        <v>0.4413816482984978</v>
      </c>
      <c r="AG36" s="40">
        <v>0.42953662839926315</v>
      </c>
      <c r="AH36" s="39">
        <v>0.4413420398695756</v>
      </c>
      <c r="AI36" s="40">
        <v>0.46273293238174362</v>
      </c>
      <c r="AJ36" s="39">
        <v>0.44123688113090581</v>
      </c>
      <c r="AK36" s="40">
        <v>0.51454593875358923</v>
      </c>
      <c r="AL36" s="39">
        <v>0.44107628537741828</v>
      </c>
      <c r="AM36" s="40">
        <v>0.60368643946830836</v>
      </c>
      <c r="AN36" s="39">
        <v>0.44088953310479762</v>
      </c>
      <c r="AO36" s="40">
        <v>0.79056234984112284</v>
      </c>
      <c r="AP36" s="39">
        <v>0.44084876251999977</v>
      </c>
      <c r="AQ36" s="40">
        <v>0.85685092154212161</v>
      </c>
      <c r="AR36" s="39">
        <v>0.44080429130860993</v>
      </c>
      <c r="AS36" s="40">
        <v>0.9439902646523296</v>
      </c>
      <c r="AT36" s="39">
        <v>0.44075173332455087</v>
      </c>
      <c r="AU36" s="40">
        <v>1.0653704667828783</v>
      </c>
      <c r="AV36" s="39">
        <v>0.44067920135747002</v>
      </c>
      <c r="AW36" s="40">
        <v>1.2510126739762957</v>
      </c>
    </row>
    <row r="37" spans="1:97 16384:16384" x14ac:dyDescent="0.2">
      <c r="B37" s="37">
        <v>2.5516951507977208E-2</v>
      </c>
      <c r="C37" s="38">
        <v>0.33292016241876865</v>
      </c>
      <c r="D37" s="37">
        <v>2.4713373697344169E-2</v>
      </c>
      <c r="E37" s="38">
        <v>0.32899909868723665</v>
      </c>
      <c r="F37" s="37">
        <v>2.3892516187126286E-2</v>
      </c>
      <c r="G37" s="38">
        <v>0.3249678617469417</v>
      </c>
      <c r="H37" s="37">
        <v>2.3053083094975026E-2</v>
      </c>
      <c r="I37" s="38">
        <v>0.32081870229298548</v>
      </c>
      <c r="J37" s="37">
        <v>2.219362095493534E-2</v>
      </c>
      <c r="K37" s="38">
        <v>0.31654306841470181</v>
      </c>
      <c r="L37" s="37">
        <v>2.1312458848714532E-2</v>
      </c>
      <c r="M37" s="38">
        <v>0.31213134334690212</v>
      </c>
      <c r="N37" s="37">
        <v>2.0407620723080146E-2</v>
      </c>
      <c r="O37" s="38">
        <v>0.30757245925788707</v>
      </c>
      <c r="P37" s="37">
        <v>1.9476725259026866E-2</v>
      </c>
      <c r="Q37" s="38">
        <v>0.30285346693923565</v>
      </c>
      <c r="R37" s="37">
        <v>1.8516807084503942E-2</v>
      </c>
      <c r="S37" s="38">
        <v>0.29795874964835634</v>
      </c>
      <c r="T37" s="37">
        <v>1.7524052219313625E-2</v>
      </c>
      <c r="U37" s="38">
        <v>0.29286885666695323</v>
      </c>
      <c r="V37" s="37">
        <v>1.6493404315508931E-2</v>
      </c>
      <c r="W37" s="38">
        <v>0.28755878493774334</v>
      </c>
      <c r="X37" s="37">
        <v>1.5417954365132953E-2</v>
      </c>
      <c r="Y37" s="38">
        <v>0.28199535023732997</v>
      </c>
      <c r="Z37" s="37">
        <v>1.4288039884206037E-2</v>
      </c>
      <c r="AA37" s="38">
        <v>0.27613347005809574</v>
      </c>
      <c r="AB37" s="37">
        <v>1.3089999283649749E-2</v>
      </c>
      <c r="AC37" s="38">
        <v>0.26991153926833678</v>
      </c>
      <c r="AD37" s="37">
        <v>1.1804828373024517E-2</v>
      </c>
      <c r="AE37" s="38">
        <v>0.26324824218644549</v>
      </c>
      <c r="AF37" s="37">
        <v>1.0408167140247273E-2</v>
      </c>
      <c r="AG37" s="38">
        <v>0.25605054873713795</v>
      </c>
      <c r="AH37" s="37">
        <v>8.8759244852702358E-3</v>
      </c>
      <c r="AI37" s="38">
        <v>0.24825939324634483</v>
      </c>
      <c r="AJ37" s="37">
        <v>7.1997603818668389E-3</v>
      </c>
      <c r="AK37" s="38">
        <v>0.23995858053696928</v>
      </c>
      <c r="AL37" s="37">
        <v>5.3944251583815618E-3</v>
      </c>
      <c r="AM37" s="38">
        <v>0.23145676633261286</v>
      </c>
      <c r="AN37" s="37">
        <v>3.4563210039341738E-3</v>
      </c>
      <c r="AO37" s="38">
        <v>0.22319413319358367</v>
      </c>
      <c r="AP37" s="37">
        <v>3.0454359095801672E-3</v>
      </c>
      <c r="AQ37" s="38">
        <v>0.22161516249144342</v>
      </c>
      <c r="AR37" s="37">
        <v>2.622223717662046E-3</v>
      </c>
      <c r="AS37" s="38">
        <v>0.22007421257649423</v>
      </c>
      <c r="AT37" s="37">
        <v>2.1821720617826871E-3</v>
      </c>
      <c r="AU37" s="38">
        <v>0.21858097711183674</v>
      </c>
      <c r="AV37" s="37">
        <v>1.7168068329108963E-3</v>
      </c>
      <c r="AW37" s="38">
        <v>0.21715190020106931</v>
      </c>
    </row>
    <row r="38" spans="1:97 16384:16384" x14ac:dyDescent="0.2">
      <c r="A38" t="s">
        <v>22</v>
      </c>
      <c r="B38" s="39">
        <v>0.19367604930693458</v>
      </c>
      <c r="C38" s="40">
        <v>8.1459408736097999E-2</v>
      </c>
      <c r="D38" s="39">
        <v>0.19380979916110888</v>
      </c>
      <c r="E38" s="40">
        <v>8.1835932718672649E-2</v>
      </c>
      <c r="F38" s="39">
        <v>0.19397301212442319</v>
      </c>
      <c r="G38" s="40">
        <v>8.2254071419933669E-2</v>
      </c>
      <c r="H38" s="39">
        <v>0.19417038470778267</v>
      </c>
      <c r="I38" s="40">
        <v>8.2720563741542449E-2</v>
      </c>
      <c r="J38" s="39">
        <v>0.19440769910786995</v>
      </c>
      <c r="K38" s="40">
        <v>8.3243728397447495E-2</v>
      </c>
      <c r="L38" s="39">
        <v>0.19469218727667287</v>
      </c>
      <c r="M38" s="40">
        <v>8.383396612645147E-2</v>
      </c>
      <c r="N38" s="39">
        <v>0.19503306979417365</v>
      </c>
      <c r="O38" s="40">
        <v>8.4504374736023055E-2</v>
      </c>
      <c r="P38" s="39">
        <v>0.19544232069667636</v>
      </c>
      <c r="Q38" s="40">
        <v>8.5271919084944914E-2</v>
      </c>
      <c r="R38" s="39">
        <v>0.19593588902210657</v>
      </c>
      <c r="S38" s="40">
        <v>8.6158882094602318E-2</v>
      </c>
      <c r="T38" s="39">
        <v>0.1965356142664651</v>
      </c>
      <c r="U38" s="40">
        <v>8.7195430832059176E-2</v>
      </c>
      <c r="V38" s="39">
        <v>0.19727242399758582</v>
      </c>
      <c r="W38" s="40">
        <v>8.842359694457079E-2</v>
      </c>
      <c r="X38" s="39">
        <v>0.19819187429639895</v>
      </c>
      <c r="Y38" s="40">
        <v>8.9904212620567275E-2</v>
      </c>
      <c r="Z38" s="39">
        <v>0.19936426257080345</v>
      </c>
      <c r="AA38" s="40">
        <v>9.1729304470883205E-2</v>
      </c>
      <c r="AB38" s="39">
        <v>0.20090411795641874</v>
      </c>
      <c r="AC38" s="40">
        <v>9.4045509020378268E-2</v>
      </c>
      <c r="AD38" s="39">
        <v>0.20300997326718723</v>
      </c>
      <c r="AE38" s="40">
        <v>9.7100671568056574E-2</v>
      </c>
      <c r="AF38" s="39">
        <v>0.20605020749443806</v>
      </c>
      <c r="AG38" s="40">
        <v>0.10134028484408718</v>
      </c>
      <c r="AH38" s="39">
        <v>0.21076052394796255</v>
      </c>
      <c r="AI38" s="40">
        <v>0.10761448821149601</v>
      </c>
      <c r="AJ38" s="39">
        <v>0.21877018154181679</v>
      </c>
      <c r="AK38" s="40">
        <v>0.11766813168661099</v>
      </c>
      <c r="AL38" s="39">
        <v>0.23461914216913901</v>
      </c>
      <c r="AM38" s="40">
        <v>0.13579060039931107</v>
      </c>
      <c r="AN38" s="39">
        <v>0.27987931159434998</v>
      </c>
      <c r="AO38" s="40">
        <v>0.17867024840636392</v>
      </c>
      <c r="AP38" s="39">
        <v>0.30171155511408404</v>
      </c>
      <c r="AQ38" s="40">
        <v>0.19622837873939308</v>
      </c>
      <c r="AR38" s="39">
        <v>0.33743586707243911</v>
      </c>
      <c r="AS38" s="40">
        <v>0.22208594414069815</v>
      </c>
      <c r="AT38" s="39">
        <v>0.40742318260312971</v>
      </c>
      <c r="AU38" s="40">
        <v>0.26569411822036093</v>
      </c>
      <c r="AV38" s="39">
        <v>0.61263455754143237</v>
      </c>
      <c r="AW38" s="40">
        <v>0.36491759701691973</v>
      </c>
    </row>
    <row r="39" spans="1:97 16384:16384" x14ac:dyDescent="0.2">
      <c r="A39" t="s">
        <v>23</v>
      </c>
      <c r="B39" s="135">
        <v>0.23648670801150132</v>
      </c>
      <c r="C39" s="135">
        <v>0.21559880013031099</v>
      </c>
      <c r="D39" s="135">
        <v>0.23708243068509324</v>
      </c>
      <c r="E39" s="135">
        <v>0.21679317504923679</v>
      </c>
      <c r="F39" s="135">
        <v>0.23771429145993564</v>
      </c>
      <c r="G39" s="135">
        <v>0.21809919456679958</v>
      </c>
      <c r="H39" s="135">
        <v>0.23838804357809187</v>
      </c>
      <c r="I39" s="135">
        <v>0.21953505645967433</v>
      </c>
      <c r="J39" s="135">
        <v>0.2391107850972711</v>
      </c>
      <c r="K39" s="135">
        <v>0.22112309316081155</v>
      </c>
      <c r="L39" s="135">
        <v>0.23989139309599614</v>
      </c>
      <c r="M39" s="135">
        <v>0.2228910922520646</v>
      </c>
      <c r="N39" s="135">
        <v>0.24074113697959873</v>
      </c>
      <c r="O39" s="135">
        <v>0.22487434443380058</v>
      </c>
      <c r="P39" s="135">
        <v>0.24167460538396454</v>
      </c>
      <c r="Q39" s="135">
        <v>0.22711817347130064</v>
      </c>
      <c r="R39" s="135">
        <v>0.24271109433108723</v>
      </c>
      <c r="S39" s="135">
        <v>0.22968230936743439</v>
      </c>
      <c r="T39" s="135">
        <v>0.24387684904408266</v>
      </c>
      <c r="U39" s="135">
        <v>0.23264731499821886</v>
      </c>
      <c r="V39" s="135">
        <v>0.24520874596729189</v>
      </c>
      <c r="W39" s="135">
        <v>0.23612535584396718</v>
      </c>
      <c r="X39" s="135">
        <v>0.24676073419831362</v>
      </c>
      <c r="Y39" s="135">
        <v>0.24027845352610167</v>
      </c>
      <c r="Z39" s="135">
        <v>0.24861567118269054</v>
      </c>
      <c r="AA39" s="135">
        <v>0.24535131400095408</v>
      </c>
      <c r="AB39" s="135">
        <v>0.25090843839338245</v>
      </c>
      <c r="AC39" s="135">
        <v>0.25173348522601646</v>
      </c>
      <c r="AD39" s="135">
        <v>0.25387401982181912</v>
      </c>
      <c r="AE39" s="135">
        <v>0.26008320197421253</v>
      </c>
      <c r="AF39" s="135">
        <v>0.257953866028443</v>
      </c>
      <c r="AG39" s="135">
        <v>0.27158537847566599</v>
      </c>
      <c r="AH39" s="135">
        <v>0.26404705100809389</v>
      </c>
      <c r="AI39" s="135">
        <v>0.2885070535717002</v>
      </c>
      <c r="AJ39" s="135">
        <v>0.27418604240698552</v>
      </c>
      <c r="AK39" s="135">
        <v>0.31552015251487431</v>
      </c>
      <c r="AL39" s="135">
        <v>0.29408438990147456</v>
      </c>
      <c r="AM39" s="135">
        <v>0.36413604477664613</v>
      </c>
      <c r="AN39" s="135">
        <v>0.35082174018002654</v>
      </c>
      <c r="AO39" s="135">
        <v>0.47912611813890627</v>
      </c>
      <c r="AP39" s="135">
        <v>0.3781880366412757</v>
      </c>
      <c r="AQ39" s="135">
        <v>0.52621049022993283</v>
      </c>
      <c r="AR39" s="135">
        <v>0.42296763875049864</v>
      </c>
      <c r="AS39" s="135">
        <v>0.5955506407834259</v>
      </c>
      <c r="AT39" s="135">
        <v>0.510695053485274</v>
      </c>
      <c r="AU39" s="135">
        <v>0.7124912108431235</v>
      </c>
      <c r="AV39" s="135">
        <v>0.76792252908223979</v>
      </c>
      <c r="AW39" s="135">
        <v>0.97857130528210512</v>
      </c>
    </row>
    <row r="40" spans="1:97 16384:16384"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c r="AV40" s="135"/>
      <c r="AW40" s="135"/>
    </row>
    <row r="41" spans="1:97 16384:16384" x14ac:dyDescent="0.2">
      <c r="B41" s="162"/>
      <c r="C41" s="135"/>
      <c r="D41" s="162"/>
      <c r="E41" s="135"/>
      <c r="F41" s="162"/>
      <c r="G41" s="135"/>
      <c r="H41" s="162"/>
      <c r="I41" s="135"/>
      <c r="J41" s="162"/>
      <c r="K41" s="135"/>
      <c r="L41" s="162"/>
      <c r="M41" s="135"/>
      <c r="N41" s="162"/>
      <c r="O41" s="135"/>
      <c r="P41" s="162"/>
      <c r="Q41" s="135"/>
      <c r="R41" s="162"/>
      <c r="S41" s="135"/>
      <c r="T41" s="162"/>
      <c r="U41" s="135"/>
      <c r="V41" s="162"/>
      <c r="W41" s="135"/>
      <c r="X41" s="162"/>
      <c r="Y41" s="135"/>
      <c r="Z41" s="162"/>
      <c r="AA41" s="162"/>
      <c r="AB41" s="162"/>
      <c r="AC41" s="135"/>
      <c r="AD41" s="162"/>
      <c r="AE41" s="135"/>
      <c r="AF41" s="162"/>
      <c r="AG41" s="135"/>
      <c r="AH41" s="162"/>
      <c r="AI41" s="135"/>
      <c r="AJ41" s="162"/>
      <c r="AK41" s="135"/>
      <c r="AL41" s="162"/>
      <c r="AM41" s="135"/>
      <c r="AN41" s="162"/>
      <c r="AO41" s="135"/>
      <c r="AP41" s="162"/>
      <c r="AQ41" s="135"/>
      <c r="AR41" s="162"/>
      <c r="AS41" s="135"/>
      <c r="AT41" s="162"/>
      <c r="AU41" s="135"/>
      <c r="AV41" s="162"/>
      <c r="AW41" s="135"/>
    </row>
    <row r="42" spans="1:97 16384:16384" x14ac:dyDescent="0.2">
      <c r="A42" t="s">
        <v>107</v>
      </c>
      <c r="B42" s="162">
        <v>0.10800000000000001</v>
      </c>
      <c r="C42" s="135"/>
      <c r="D42" s="162">
        <v>0.1080000000000013</v>
      </c>
      <c r="E42" s="135"/>
      <c r="F42" s="162">
        <v>0.10799999999999982</v>
      </c>
      <c r="G42" s="135"/>
      <c r="H42" s="162">
        <v>0.10800000000000042</v>
      </c>
      <c r="I42" s="135"/>
      <c r="J42" s="162">
        <v>0.10800000000000071</v>
      </c>
      <c r="K42" s="135"/>
      <c r="L42" s="162">
        <v>0.10799999999999882</v>
      </c>
      <c r="M42" s="135"/>
      <c r="N42" s="162">
        <v>0.10800000000000001</v>
      </c>
      <c r="O42" s="135"/>
      <c r="P42" s="162">
        <v>0.1080000000000011</v>
      </c>
      <c r="Q42" s="135"/>
      <c r="R42" s="162">
        <v>0.10799999999999961</v>
      </c>
      <c r="S42" s="135"/>
      <c r="T42" s="162">
        <v>0.10799999999999982</v>
      </c>
      <c r="U42" s="135"/>
      <c r="V42" s="162">
        <v>0.10799999999999922</v>
      </c>
      <c r="W42" s="135"/>
      <c r="X42" s="162">
        <v>0.10800000000000021</v>
      </c>
      <c r="Y42" s="135"/>
      <c r="Z42" s="162">
        <v>0.10799999999999982</v>
      </c>
      <c r="AA42" s="135"/>
      <c r="AB42" s="162">
        <v>0.10799999999999922</v>
      </c>
      <c r="AC42" s="135"/>
      <c r="AD42" s="162">
        <v>0.10800000000000071</v>
      </c>
      <c r="AE42" s="135"/>
      <c r="AF42" s="162">
        <v>0.10799999999999982</v>
      </c>
      <c r="AG42" s="135"/>
      <c r="AH42" s="162">
        <v>0.10800000000000021</v>
      </c>
      <c r="AI42" s="135"/>
      <c r="AJ42" s="162">
        <v>0.10800000000000051</v>
      </c>
      <c r="AK42" s="135"/>
      <c r="AL42" s="162">
        <v>0.10800000000000051</v>
      </c>
      <c r="AM42" s="135"/>
      <c r="AN42" s="162">
        <v>0.10800000000000021</v>
      </c>
      <c r="AO42" s="135"/>
      <c r="AP42" s="162">
        <v>0.10800000000000001</v>
      </c>
      <c r="AQ42" s="135"/>
      <c r="AR42" s="162">
        <v>0.10800000000000042</v>
      </c>
      <c r="AS42" s="135"/>
      <c r="AT42" s="162">
        <v>0.10799999999999982</v>
      </c>
      <c r="AU42" s="135"/>
      <c r="AV42" s="162">
        <v>0.10799999999999961</v>
      </c>
      <c r="AW42" s="135"/>
      <c r="AX42" s="162"/>
      <c r="AZ42" s="162"/>
      <c r="BB42" s="162"/>
      <c r="BD42" s="162"/>
      <c r="BF42" s="162"/>
      <c r="BH42" s="162"/>
      <c r="BJ42" s="162"/>
      <c r="BL42" s="162"/>
      <c r="BN42" s="162"/>
      <c r="BP42" s="162"/>
      <c r="BR42" s="162"/>
      <c r="BT42" s="162"/>
    </row>
    <row r="43" spans="1:97 16384:16384" x14ac:dyDescent="0.2">
      <c r="A43" t="s">
        <v>108</v>
      </c>
      <c r="B43" s="193">
        <v>0.54976100089584856</v>
      </c>
      <c r="D43" s="193">
        <v>0.55473851280726327</v>
      </c>
      <c r="F43" s="193">
        <v>0.55323966610629616</v>
      </c>
      <c r="H43" s="193">
        <v>0.55174525860819879</v>
      </c>
      <c r="J43" s="193">
        <v>0.55025612697075443</v>
      </c>
      <c r="L43" s="193">
        <v>0.54877329324834589</v>
      </c>
      <c r="N43" s="193">
        <v>0.54729820679883767</v>
      </c>
      <c r="P43" s="193">
        <v>0.54583285219997313</v>
      </c>
      <c r="R43" s="193">
        <v>0.54438027159045932</v>
      </c>
      <c r="T43" s="193">
        <v>0.54294512749884749</v>
      </c>
      <c r="V43" s="193">
        <v>0.54153483851841067</v>
      </c>
      <c r="X43" s="193">
        <v>0.54016130139610863</v>
      </c>
      <c r="Z43" s="193">
        <v>0.53884370991275787</v>
      </c>
      <c r="AB43" s="193">
        <v>0.53761284956708855</v>
      </c>
      <c r="AD43" s="193">
        <v>0.53651662694319457</v>
      </c>
      <c r="AF43" s="193">
        <v>0.53562310368348887</v>
      </c>
      <c r="AH43" s="193">
        <v>0.53500628787398263</v>
      </c>
      <c r="AJ43" s="193">
        <v>0.53469090739676806</v>
      </c>
      <c r="AL43" s="193">
        <v>0.53459291726924829</v>
      </c>
      <c r="AN43" s="193">
        <v>0.53457922254190515</v>
      </c>
      <c r="AP43" s="193">
        <v>0.53457895182145287</v>
      </c>
      <c r="AR43" s="193">
        <v>0.53457884789903787</v>
      </c>
      <c r="AT43" s="193">
        <v>0.53457881582474287</v>
      </c>
      <c r="AV43" s="193">
        <v>0.53457880877139341</v>
      </c>
    </row>
    <row r="44" spans="1:97 16384:16384" x14ac:dyDescent="0.2">
      <c r="A44" t="s">
        <v>142</v>
      </c>
      <c r="B44" s="193">
        <v>0.28997400249337218</v>
      </c>
      <c r="D44" s="193">
        <v>0.29168668251128016</v>
      </c>
      <c r="F44" s="193">
        <v>0.29346941880697763</v>
      </c>
      <c r="H44" s="193">
        <v>0.29533430126089355</v>
      </c>
      <c r="J44" s="193">
        <v>0.29729611010602508</v>
      </c>
      <c r="L44" s="193">
        <v>0.29937308552305691</v>
      </c>
      <c r="N44" s="193">
        <v>0.30158824159214709</v>
      </c>
      <c r="P44" s="193">
        <v>0.30397125414419263</v>
      </c>
      <c r="R44" s="193">
        <v>0.30656167417985208</v>
      </c>
      <c r="T44" s="193">
        <v>0.30941368982477979</v>
      </c>
      <c r="V44" s="193">
        <v>0.31260467952296922</v>
      </c>
      <c r="X44" s="193">
        <v>0.3162496966913389</v>
      </c>
      <c r="Z44" s="193">
        <v>0.32052787840724672</v>
      </c>
      <c r="AB44" s="193">
        <v>0.32573171934497863</v>
      </c>
      <c r="AD44" s="193">
        <v>0.33236047889880305</v>
      </c>
      <c r="AF44" s="193">
        <v>0.34129355608972328</v>
      </c>
      <c r="AH44" s="193">
        <v>0.35408622634990178</v>
      </c>
      <c r="AJ44" s="193">
        <v>0.37347983501312404</v>
      </c>
      <c r="AL44" s="193">
        <v>0.40511258039512604</v>
      </c>
      <c r="AN44" s="193">
        <v>0.46785962244981133</v>
      </c>
      <c r="AP44" s="193">
        <v>0.48990269022041855</v>
      </c>
      <c r="AR44" s="193">
        <v>0.51914591395116494</v>
      </c>
      <c r="AT44" s="193">
        <v>0.56081928739190001</v>
      </c>
      <c r="AV44" s="193">
        <v>0.62781956925649307</v>
      </c>
      <c r="XFD44" s="193"/>
    </row>
    <row r="45" spans="1:97 16384:16384" x14ac:dyDescent="0.2">
      <c r="A45" t="s">
        <v>82</v>
      </c>
      <c r="B45">
        <v>0.2079247050500721</v>
      </c>
      <c r="D45">
        <v>0.20963740168799</v>
      </c>
      <c r="F45">
        <v>0.21142012200322513</v>
      </c>
      <c r="H45">
        <v>0.21328500486127192</v>
      </c>
      <c r="J45">
        <v>0.21524681922456279</v>
      </c>
      <c r="L45">
        <v>0.21732378963208665</v>
      </c>
      <c r="N45">
        <v>0.21953894436119836</v>
      </c>
      <c r="P45">
        <v>0.2219219674118349</v>
      </c>
      <c r="R45">
        <v>0.22451237821261497</v>
      </c>
      <c r="T45">
        <v>0.22736439688444593</v>
      </c>
      <c r="V45">
        <v>0.23055538569828418</v>
      </c>
      <c r="X45">
        <v>0.23420039942147383</v>
      </c>
      <c r="Z45">
        <v>0.23847858136618594</v>
      </c>
      <c r="AB45">
        <v>0.24368242183003211</v>
      </c>
      <c r="AD45">
        <v>0.25031118156127585</v>
      </c>
      <c r="AF45">
        <v>0.25924425853537719</v>
      </c>
      <c r="AH45">
        <v>0.27203692892515824</v>
      </c>
      <c r="AJ45">
        <v>0.2914305375815669</v>
      </c>
      <c r="AL45">
        <v>0.32306328295177539</v>
      </c>
      <c r="AN45">
        <v>0.38581032500652962</v>
      </c>
      <c r="AP45">
        <v>0.40785339277713256</v>
      </c>
      <c r="AR45">
        <v>0.43709661650786746</v>
      </c>
      <c r="AT45">
        <v>0.47876998994859982</v>
      </c>
      <c r="AV45">
        <v>0.54577027181319326</v>
      </c>
    </row>
    <row r="46" spans="1:97 16384:16384" x14ac:dyDescent="0.2">
      <c r="A46" t="s">
        <v>139</v>
      </c>
      <c r="B46">
        <v>8.204929744330007E-2</v>
      </c>
      <c r="D46">
        <v>8.204928082329016E-2</v>
      </c>
      <c r="F46">
        <v>8.2049296803752503E-2</v>
      </c>
      <c r="H46">
        <v>8.2049296399621621E-2</v>
      </c>
      <c r="J46">
        <v>8.2049290881462289E-2</v>
      </c>
      <c r="L46">
        <v>8.204929589097025E-2</v>
      </c>
      <c r="N46">
        <v>8.2049297230948698E-2</v>
      </c>
      <c r="P46">
        <v>8.2049286732357701E-2</v>
      </c>
      <c r="R46">
        <v>8.2049295967237132E-2</v>
      </c>
      <c r="T46">
        <v>8.2049292940333876E-2</v>
      </c>
      <c r="V46">
        <v>8.2049293824684996E-2</v>
      </c>
      <c r="X46">
        <v>8.204929726986504E-2</v>
      </c>
      <c r="Z46">
        <v>8.2049297041060801E-2</v>
      </c>
      <c r="AB46">
        <v>8.2049297514946523E-2</v>
      </c>
      <c r="AD46">
        <v>8.204929733752718E-2</v>
      </c>
      <c r="AF46">
        <v>8.204929755434609E-2</v>
      </c>
      <c r="AH46">
        <v>8.2049297424743511E-2</v>
      </c>
      <c r="AJ46">
        <v>8.2049297431557144E-2</v>
      </c>
      <c r="AL46">
        <v>8.2049297443350697E-2</v>
      </c>
      <c r="AN46">
        <v>8.2049297443281766E-2</v>
      </c>
      <c r="AP46">
        <v>8.2049297443285943E-2</v>
      </c>
      <c r="AR46">
        <v>8.2049297443297475E-2</v>
      </c>
      <c r="AT46">
        <v>8.2049297443300181E-2</v>
      </c>
      <c r="AV46">
        <v>8.2049297443299876E-2</v>
      </c>
    </row>
    <row r="48" spans="1:97 16384:16384" x14ac:dyDescent="0.2">
      <c r="A48" t="s">
        <v>159</v>
      </c>
      <c r="B48">
        <v>1</v>
      </c>
      <c r="D48">
        <v>1.0101118969014191</v>
      </c>
      <c r="F48">
        <v>1.0204602474398838</v>
      </c>
      <c r="H48">
        <v>1.031081060375342</v>
      </c>
      <c r="J48">
        <v>1.0420174406154268</v>
      </c>
      <c r="L48">
        <v>1.0533217021054757</v>
      </c>
      <c r="N48">
        <v>1.0650590060024032</v>
      </c>
      <c r="P48">
        <v>1.0773126538146132</v>
      </c>
      <c r="R48">
        <v>1.0901933233506724</v>
      </c>
      <c r="T48">
        <v>1.1038537273762279</v>
      </c>
      <c r="V48">
        <v>1.1185145638887215</v>
      </c>
      <c r="X48">
        <v>1.1345099172140174</v>
      </c>
      <c r="Z48">
        <v>1.1523692977570699</v>
      </c>
      <c r="AB48">
        <v>1.1729657575261567</v>
      </c>
      <c r="AD48">
        <v>1.1977711990443933</v>
      </c>
      <c r="AF48">
        <v>1.2292145392778069</v>
      </c>
      <c r="AH48">
        <v>1.2707932214457855</v>
      </c>
      <c r="AJ48">
        <v>1.325478659949566</v>
      </c>
      <c r="AL48">
        <v>1.3888797835549134</v>
      </c>
      <c r="AN48">
        <v>1.409976876685431</v>
      </c>
      <c r="AP48">
        <v>1.384762791244778</v>
      </c>
      <c r="AR48">
        <v>1.3266564995305399</v>
      </c>
      <c r="AT48">
        <v>1.1987152621402777</v>
      </c>
      <c r="AV48">
        <v>0.89642812269017291</v>
      </c>
    </row>
    <row r="49" spans="1:48 16321:16384" x14ac:dyDescent="0.2">
      <c r="A49" t="s">
        <v>160</v>
      </c>
      <c r="B49">
        <v>1</v>
      </c>
      <c r="D49">
        <v>0.9960113155344773</v>
      </c>
      <c r="F49">
        <v>0.99141902128141812</v>
      </c>
      <c r="H49">
        <v>0.98613042187254341</v>
      </c>
      <c r="J49">
        <v>0.98003252652659467</v>
      </c>
      <c r="L49">
        <v>0.97298561488935509</v>
      </c>
      <c r="N49">
        <v>0.96481389841981047</v>
      </c>
      <c r="P49">
        <v>0.9552926854171655</v>
      </c>
      <c r="R49">
        <v>0.94412831015996801</v>
      </c>
      <c r="T49">
        <v>0.93092770973350647</v>
      </c>
      <c r="V49">
        <v>0.91514957146064846</v>
      </c>
      <c r="X49">
        <v>0.89602366013997958</v>
      </c>
      <c r="Z49">
        <v>0.87241262396563857</v>
      </c>
      <c r="AB49">
        <v>0.84256827574565429</v>
      </c>
      <c r="AD49">
        <v>0.80369765870901277</v>
      </c>
      <c r="AF49">
        <v>0.75122499125773778</v>
      </c>
      <c r="AH49">
        <v>0.67775420630630423</v>
      </c>
      <c r="AJ49">
        <v>0.57227731228606793</v>
      </c>
      <c r="AL49">
        <v>0.42063024657970877</v>
      </c>
      <c r="AN49">
        <v>0.21006139899388529</v>
      </c>
      <c r="AP49">
        <v>0.16147792658451141</v>
      </c>
      <c r="AR49">
        <v>0.11216038069910178</v>
      </c>
      <c r="AT49">
        <v>6.41430069800904E-2</v>
      </c>
      <c r="AV49">
        <v>2.209623108693725E-2</v>
      </c>
    </row>
    <row r="51" spans="1:48 16321:16384" x14ac:dyDescent="0.2">
      <c r="A51" t="s">
        <v>166</v>
      </c>
      <c r="B51" s="29">
        <v>-372836.41099999985</v>
      </c>
      <c r="D51" s="29">
        <v>-317079.69523944426</v>
      </c>
      <c r="F51" s="29">
        <v>-260156.84747258807</v>
      </c>
      <c r="H51" s="29">
        <v>-201847.78764276532</v>
      </c>
      <c r="J51" s="29">
        <v>-141887.85025335057</v>
      </c>
      <c r="L51" s="29">
        <v>-79952.770692429505</v>
      </c>
      <c r="N51" s="29">
        <v>-15636.930943452753</v>
      </c>
      <c r="P51" s="29">
        <v>51577.983263843693</v>
      </c>
      <c r="R51" s="29">
        <v>122373.09541391535</v>
      </c>
      <c r="T51" s="29">
        <v>197677.59538049204</v>
      </c>
      <c r="V51" s="29">
        <v>278808.55689959088</v>
      </c>
      <c r="X51" s="29">
        <v>367723.19458782813</v>
      </c>
      <c r="Z51" s="29">
        <v>467478.24525593594</v>
      </c>
      <c r="AB51" s="29">
        <v>583094.67357556568</v>
      </c>
      <c r="AD51" s="29">
        <v>723194.79395792261</v>
      </c>
      <c r="AF51" s="29">
        <v>902932.24437290756</v>
      </c>
      <c r="AH51" s="29">
        <v>1148221.6284382748</v>
      </c>
      <c r="AJ51" s="29">
        <v>1498861.8023663894</v>
      </c>
      <c r="AL51" s="29">
        <v>2007971.5946143949</v>
      </c>
      <c r="AN51" s="29">
        <v>2710331.0753824371</v>
      </c>
      <c r="AP51" s="29">
        <v>2846358.0321671786</v>
      </c>
      <c r="AQ51" s="29"/>
      <c r="AR51" s="29">
        <v>2934513.4795120507</v>
      </c>
      <c r="AT51" s="29">
        <v>2880458.324919872</v>
      </c>
      <c r="AV51" s="29">
        <v>2377073.6035664175</v>
      </c>
      <c r="XFD51" s="29"/>
    </row>
    <row r="52" spans="1:48 16321:16384" x14ac:dyDescent="0.2">
      <c r="A52" t="s">
        <v>167</v>
      </c>
      <c r="B52" s="29">
        <v>0</v>
      </c>
      <c r="D52" s="29">
        <v>0</v>
      </c>
      <c r="F52" s="29">
        <v>0</v>
      </c>
      <c r="H52" s="29">
        <v>0</v>
      </c>
      <c r="J52" s="29">
        <v>0</v>
      </c>
      <c r="L52" s="29">
        <v>0</v>
      </c>
      <c r="N52" s="29">
        <v>0</v>
      </c>
      <c r="P52" s="29">
        <v>0</v>
      </c>
      <c r="R52" s="29">
        <v>0</v>
      </c>
      <c r="T52" s="29">
        <v>0</v>
      </c>
      <c r="V52" s="29">
        <v>0</v>
      </c>
      <c r="X52" s="29">
        <v>0</v>
      </c>
      <c r="Z52" s="29">
        <v>0</v>
      </c>
      <c r="AB52" s="29">
        <v>0</v>
      </c>
      <c r="AD52" s="29">
        <v>0</v>
      </c>
      <c r="AF52" s="29">
        <v>0</v>
      </c>
      <c r="AH52" s="29">
        <v>0</v>
      </c>
      <c r="AJ52" s="29">
        <v>0</v>
      </c>
      <c r="AL52" s="29">
        <v>0</v>
      </c>
      <c r="AN52" s="29">
        <v>0</v>
      </c>
      <c r="AP52" s="29">
        <v>0</v>
      </c>
      <c r="AQ52" s="29"/>
      <c r="AR52" s="29">
        <v>0</v>
      </c>
      <c r="AT52" s="29">
        <v>0</v>
      </c>
      <c r="AV52" s="29">
        <v>0</v>
      </c>
    </row>
    <row r="53" spans="1:48 16321:16384" x14ac:dyDescent="0.2">
      <c r="A53" t="s">
        <v>168</v>
      </c>
      <c r="B53" s="29">
        <v>4117761.2200000053</v>
      </c>
      <c r="D53" s="29">
        <v>4079771.855276031</v>
      </c>
      <c r="F53" s="29">
        <v>4040909.3592502298</v>
      </c>
      <c r="H53" s="29">
        <v>4001016.1698994003</v>
      </c>
      <c r="J53" s="29">
        <v>3959899.0578390048</v>
      </c>
      <c r="L53" s="29">
        <v>3917320.0307745263</v>
      </c>
      <c r="N53" s="29">
        <v>3872984.7664857255</v>
      </c>
      <c r="P53" s="29">
        <v>3826524.2352022598</v>
      </c>
      <c r="R53" s="29">
        <v>3777471.1714285449</v>
      </c>
      <c r="T53" s="29">
        <v>3725222.6905325647</v>
      </c>
      <c r="V53" s="29">
        <v>3668982.8591582794</v>
      </c>
      <c r="X53" s="29">
        <v>3607665.331979889</v>
      </c>
      <c r="Z53" s="29">
        <v>3539717.6127245985</v>
      </c>
      <c r="AB53" s="29">
        <v>3462775.5990845133</v>
      </c>
      <c r="AD53" s="29">
        <v>3372922.0251906309</v>
      </c>
      <c r="AF53" s="29">
        <v>3262956.4135471699</v>
      </c>
      <c r="AH53" s="29">
        <v>3118128.6321321041</v>
      </c>
      <c r="AJ53" s="29">
        <v>2905508.0709069292</v>
      </c>
      <c r="AL53" s="29">
        <v>2545722.7534477254</v>
      </c>
      <c r="AN53" s="29">
        <v>1806717.9941970038</v>
      </c>
      <c r="AP53" s="29">
        <v>1558233.8263325316</v>
      </c>
      <c r="AQ53" s="29"/>
      <c r="AR53" s="29">
        <v>1248899.9092446386</v>
      </c>
      <c r="AT53" s="29">
        <v>859288.00623860012</v>
      </c>
      <c r="AV53" s="29">
        <v>381681.72767889517</v>
      </c>
      <c r="XFD53" s="29"/>
    </row>
    <row r="55" spans="1:48 16321:16384" x14ac:dyDescent="0.2">
      <c r="A55" t="s">
        <v>169</v>
      </c>
      <c r="B55" s="193">
        <v>0.20474653863863362</v>
      </c>
      <c r="D55" s="193">
        <v>0.20903545039591973</v>
      </c>
      <c r="F55" s="193">
        <v>0.21342182295457529</v>
      </c>
      <c r="H55" s="193">
        <v>0.21792475348190593</v>
      </c>
      <c r="J55" s="193">
        <v>0.22256736130004598</v>
      </c>
      <c r="L55" s="193">
        <v>0.22737817358400261</v>
      </c>
      <c r="N55" s="193">
        <v>0.23239312787911037</v>
      </c>
      <c r="P55" s="193">
        <v>0.23765846459532633</v>
      </c>
      <c r="R55" s="193">
        <v>0.24323529704165994</v>
      </c>
      <c r="T55" s="193">
        <v>0.24920727281960367</v>
      </c>
      <c r="V55" s="193">
        <v>0.25569308002741931</v>
      </c>
      <c r="X55" s="193">
        <v>0.2628687850490618</v>
      </c>
      <c r="Z55" s="193">
        <v>0.27100839221514378</v>
      </c>
      <c r="AB55" s="193">
        <v>0.28056047297657111</v>
      </c>
      <c r="AD55" s="193">
        <v>0.29229600832276864</v>
      </c>
      <c r="AF55" s="193">
        <v>0.30758910995784433</v>
      </c>
      <c r="AH55" s="193">
        <v>0.3289124923880174</v>
      </c>
      <c r="AJ55" s="193">
        <v>0.36071553659765654</v>
      </c>
      <c r="AL55" s="193">
        <v>0.41225188541708613</v>
      </c>
      <c r="AN55" s="193">
        <v>0.51434200774753225</v>
      </c>
      <c r="AP55" s="193">
        <v>0.5502031466481746</v>
      </c>
      <c r="AR55" s="193">
        <v>0.597777825944934</v>
      </c>
      <c r="AT55" s="193">
        <v>0.66557457363254136</v>
      </c>
      <c r="AV55" s="193">
        <v>0.77457463515514824</v>
      </c>
      <c r="XCS55" s="193"/>
      <c r="XFD55" s="193"/>
    </row>
    <row r="56" spans="1:48 16321:16384" x14ac:dyDescent="0.2">
      <c r="A56" t="s">
        <v>170</v>
      </c>
      <c r="B56" s="193">
        <v>2.933695819171285E-2</v>
      </c>
      <c r="D56" s="193">
        <v>3.4000129901728439E-2</v>
      </c>
      <c r="F56" s="193">
        <v>3.878838698731666E-2</v>
      </c>
      <c r="H56" s="193">
        <v>4.3725289482540057E-2</v>
      </c>
      <c r="J56" s="193">
        <v>4.8839369199976071E-2</v>
      </c>
      <c r="L56" s="193">
        <v>5.4165845684145342E-2</v>
      </c>
      <c r="N56" s="193">
        <v>5.9749111192402921E-2</v>
      </c>
      <c r="P56" s="193">
        <v>6.564635148256219E-2</v>
      </c>
      <c r="R56" s="193">
        <v>7.1933261241059185E-2</v>
      </c>
      <c r="T56" s="193">
        <v>7.8713580043320908E-2</v>
      </c>
      <c r="V56" s="193">
        <v>8.6134712962235682E-2</v>
      </c>
      <c r="X56" s="193">
        <v>9.441549948045376E-2</v>
      </c>
      <c r="Z56" s="193">
        <v>0.10389651225316084</v>
      </c>
      <c r="AB56" s="193">
        <v>0.11513468302117419</v>
      </c>
      <c r="AD56" s="193">
        <v>0.12908479790051208</v>
      </c>
      <c r="AF56" s="193">
        <v>0.14744126191270543</v>
      </c>
      <c r="AH56" s="193">
        <v>0.17323382342443513</v>
      </c>
      <c r="AJ56" s="193">
        <v>0.21187160274080724</v>
      </c>
      <c r="AL56" s="193">
        <v>0.27454885069002616</v>
      </c>
      <c r="AN56" s="193">
        <v>0.39857973414058107</v>
      </c>
      <c r="AP56" s="193">
        <v>0.44210568597936417</v>
      </c>
      <c r="AR56" s="193">
        <v>0.49982143109860899</v>
      </c>
      <c r="AT56" s="193">
        <v>0.58202407299005054</v>
      </c>
      <c r="AV56" s="193">
        <v>0.71409497216778117</v>
      </c>
      <c r="XFD56" s="193"/>
    </row>
    <row r="57" spans="1:48 16321:16384" x14ac:dyDescent="0.2">
      <c r="A57" t="s">
        <v>171</v>
      </c>
      <c r="B57" s="193">
        <v>0.16163977178591823</v>
      </c>
      <c r="D57" s="193">
        <v>0.16131238338216744</v>
      </c>
      <c r="F57" s="193">
        <v>0.16095780472610263</v>
      </c>
      <c r="H57" s="193">
        <v>0.16057168782909073</v>
      </c>
      <c r="J57" s="193">
        <v>0.16014875883118559</v>
      </c>
      <c r="L57" s="193">
        <v>0.15968249490898312</v>
      </c>
      <c r="N57" s="193">
        <v>0.15916464891171808</v>
      </c>
      <c r="P57" s="193">
        <v>0.15858454010696199</v>
      </c>
      <c r="R57" s="193">
        <v>0.15792792734569289</v>
      </c>
      <c r="T57" s="193">
        <v>0.15717517387116337</v>
      </c>
      <c r="V57" s="193">
        <v>0.15629818910864798</v>
      </c>
      <c r="X57" s="193">
        <v>0.1552550980902816</v>
      </c>
      <c r="Y57" s="193"/>
      <c r="Z57" s="193">
        <v>0.1539806744016361</v>
      </c>
      <c r="AB57" s="193">
        <v>0.15236864449963261</v>
      </c>
      <c r="AD57" s="193">
        <v>0.15023854025925579</v>
      </c>
      <c r="AF57" s="193">
        <v>0.14727534491423214</v>
      </c>
      <c r="AH57" s="193">
        <v>0.1429294713577621</v>
      </c>
      <c r="AJ57" s="193">
        <v>0.13624834699523108</v>
      </c>
      <c r="AL57" s="193">
        <v>0.12529097417814167</v>
      </c>
      <c r="AN57" s="193">
        <v>0.10353134607022341</v>
      </c>
      <c r="AP57" s="193">
        <v>9.588661468566323E-2</v>
      </c>
      <c r="AR57" s="193">
        <v>8.5744777769042463E-2</v>
      </c>
      <c r="AT57" s="193">
        <v>7.1292031344391951E-2</v>
      </c>
      <c r="AV57" s="193">
        <v>4.805565352645505E-2</v>
      </c>
      <c r="XFD57" s="193"/>
    </row>
    <row r="58" spans="1:48 16321:16384" x14ac:dyDescent="0.2">
      <c r="A58" t="s">
        <v>172</v>
      </c>
      <c r="B58" s="193">
        <v>1.3769808661002522E-2</v>
      </c>
      <c r="D58" s="193">
        <v>1.3722937112023889E-2</v>
      </c>
      <c r="F58" s="193">
        <v>1.3675631241156002E-2</v>
      </c>
      <c r="H58" s="193">
        <v>1.3627776170275142E-2</v>
      </c>
      <c r="J58" s="193">
        <v>1.3579233268884333E-2</v>
      </c>
      <c r="L58" s="193">
        <v>1.3529832990874164E-2</v>
      </c>
      <c r="N58" s="193">
        <v>1.3479367774989339E-2</v>
      </c>
      <c r="P58" s="193">
        <v>1.3427573005802142E-2</v>
      </c>
      <c r="R58" s="193">
        <v>1.3374108454907869E-2</v>
      </c>
      <c r="T58" s="193">
        <v>1.3318518905119384E-2</v>
      </c>
      <c r="V58" s="193">
        <v>1.3260177956535635E-2</v>
      </c>
      <c r="X58" s="193">
        <v>1.3198187478326481E-2</v>
      </c>
      <c r="Y58" s="193"/>
      <c r="Z58" s="193">
        <v>1.3131205560346809E-2</v>
      </c>
      <c r="AB58" s="193">
        <v>1.3057145455764304E-2</v>
      </c>
      <c r="AD58" s="193">
        <v>1.2972670163000775E-2</v>
      </c>
      <c r="AF58" s="193">
        <v>1.2872503130906725E-2</v>
      </c>
      <c r="AH58" s="193">
        <v>1.2749197605820184E-2</v>
      </c>
      <c r="AJ58" s="193">
        <v>1.2595586861618187E-2</v>
      </c>
      <c r="AL58" s="193">
        <v>1.2412060548918242E-2</v>
      </c>
      <c r="AN58" s="193">
        <v>1.2230927536727798E-2</v>
      </c>
      <c r="AP58" s="193">
        <v>1.22108459831472E-2</v>
      </c>
      <c r="AR58" s="193">
        <v>1.2211617077282511E-2</v>
      </c>
      <c r="AT58" s="193">
        <v>1.2258469298098802E-2</v>
      </c>
      <c r="AV58" s="193">
        <v>1.2424009460911984E-2</v>
      </c>
      <c r="XFD58" s="193"/>
    </row>
    <row r="59" spans="1:48 16321:16384" x14ac:dyDescent="0.2">
      <c r="A59" t="s">
        <v>173</v>
      </c>
      <c r="B59" s="193">
        <v>9.2131398759716778E-4</v>
      </c>
      <c r="D59" s="193">
        <v>5.6407625520105047E-3</v>
      </c>
      <c r="F59" s="193">
        <v>1.0486133069187361E-2</v>
      </c>
      <c r="H59" s="193">
        <v>1.5481139747642534E-2</v>
      </c>
      <c r="J59" s="193">
        <v>2.0654497185823874E-2</v>
      </c>
      <c r="L59" s="193">
        <v>2.6041645327628211E-2</v>
      </c>
      <c r="N59" s="193">
        <v>3.1687245004237849E-2</v>
      </c>
      <c r="P59" s="193">
        <v>3.7648821354665678E-2</v>
      </c>
      <c r="R59" s="193">
        <v>4.4002506926690131E-2</v>
      </c>
      <c r="T59" s="193">
        <v>5.0852632285186862E-2</v>
      </c>
      <c r="V59" s="193">
        <v>5.8347432030463296E-2</v>
      </c>
      <c r="X59" s="193">
        <v>6.670697035829258E-2</v>
      </c>
      <c r="Z59" s="193">
        <v>7.6273721268239142E-2</v>
      </c>
      <c r="AB59" s="193">
        <v>8.7607710865012206E-2</v>
      </c>
      <c r="AD59" s="193">
        <v>0.10166893337344526</v>
      </c>
      <c r="AF59" s="193">
        <v>0.12016052810946592</v>
      </c>
      <c r="AH59" s="193">
        <v>0.1461255807872486</v>
      </c>
      <c r="AJ59" s="193">
        <v>0.18498820804088384</v>
      </c>
      <c r="AL59" s="193">
        <v>0.24794651769771942</v>
      </c>
      <c r="AN59" s="193">
        <v>0.37224986392613624</v>
      </c>
      <c r="AP59" s="193">
        <v>0.41579368800765476</v>
      </c>
      <c r="AR59" s="193">
        <v>0.47347983365366281</v>
      </c>
      <c r="AT59" s="193">
        <v>0.55554781018883015</v>
      </c>
      <c r="AV59" s="193">
        <v>0.6872132316702253</v>
      </c>
      <c r="XFD59" s="193"/>
    </row>
    <row r="60" spans="1:48 16321:16384" x14ac:dyDescent="0.2">
      <c r="A60" t="s">
        <v>174</v>
      </c>
      <c r="B60" s="193">
        <v>2.8415644204115683E-2</v>
      </c>
      <c r="D60" s="193">
        <v>2.8359367349717932E-2</v>
      </c>
      <c r="F60" s="193">
        <v>2.8302253918129301E-2</v>
      </c>
      <c r="H60" s="193">
        <v>2.8244149734897524E-2</v>
      </c>
      <c r="J60" s="193">
        <v>2.8184872014152203E-2</v>
      </c>
      <c r="L60" s="193">
        <v>2.8124200356517123E-2</v>
      </c>
      <c r="N60" s="193">
        <v>2.8061866188165082E-2</v>
      </c>
      <c r="P60" s="193">
        <v>2.7997530127896502E-2</v>
      </c>
      <c r="R60" s="193">
        <v>2.793075431436905E-2</v>
      </c>
      <c r="T60" s="193">
        <v>2.7860947758134042E-2</v>
      </c>
      <c r="V60" s="193">
        <v>2.7787280931772382E-2</v>
      </c>
      <c r="X60" s="193">
        <v>2.770852912216118E-2</v>
      </c>
      <c r="Z60" s="193">
        <v>2.7622790984921694E-2</v>
      </c>
      <c r="AB60" s="193">
        <v>2.7526972156161979E-2</v>
      </c>
      <c r="AD60" s="193">
        <v>2.7415864527066815E-2</v>
      </c>
      <c r="AF60" s="193">
        <v>2.7280733803239504E-2</v>
      </c>
      <c r="AH60" s="193">
        <v>2.7108242637186527E-2</v>
      </c>
      <c r="AJ60" s="193">
        <v>2.6883394699923398E-2</v>
      </c>
      <c r="AL60" s="193">
        <v>2.6602332992306771E-2</v>
      </c>
      <c r="AN60" s="193">
        <v>2.6329870214444811E-2</v>
      </c>
      <c r="AP60" s="193">
        <v>2.6311997971709411E-2</v>
      </c>
      <c r="AR60" s="193">
        <v>2.6341597444946224E-2</v>
      </c>
      <c r="AT60" s="193">
        <v>2.6476262801220396E-2</v>
      </c>
      <c r="AV60" s="193">
        <v>2.6881740497555817E-2</v>
      </c>
      <c r="XFD60" s="193"/>
    </row>
    <row r="62" spans="1:48 16321:16384" x14ac:dyDescent="0.2">
      <c r="A62" t="s">
        <v>175</v>
      </c>
      <c r="B62">
        <v>1</v>
      </c>
      <c r="D62">
        <v>1.0061036739771445</v>
      </c>
      <c r="F62">
        <v>1.0122253624783606</v>
      </c>
      <c r="H62">
        <v>1.0183620362475108</v>
      </c>
      <c r="J62">
        <v>1.0245102033418492</v>
      </c>
      <c r="L62">
        <v>1.0306655194645167</v>
      </c>
      <c r="N62">
        <v>1.0368217719127135</v>
      </c>
      <c r="P62">
        <v>1.0429703544970246</v>
      </c>
      <c r="R62">
        <v>1.0490980058442125</v>
      </c>
      <c r="T62">
        <v>1.0551843026785537</v>
      </c>
      <c r="V62">
        <v>1.0611966170927432</v>
      </c>
      <c r="X62">
        <v>1.067082429788176</v>
      </c>
      <c r="Z62">
        <v>1.0727567055765765</v>
      </c>
      <c r="AB62">
        <v>1.0780825960376861</v>
      </c>
      <c r="AD62">
        <v>1.0828464867881378</v>
      </c>
      <c r="AF62">
        <v>1.0867439264546221</v>
      </c>
      <c r="AH62">
        <v>1.0894419958152235</v>
      </c>
      <c r="AJ62">
        <v>1.0908239353188327</v>
      </c>
      <c r="AL62">
        <v>1.0912536422039454</v>
      </c>
      <c r="AN62">
        <v>1.0913137089368736</v>
      </c>
      <c r="AP62">
        <v>1.0913148963778454</v>
      </c>
      <c r="AR62">
        <v>1.0913153521999361</v>
      </c>
      <c r="AT62">
        <v>1.0913154928853084</v>
      </c>
      <c r="AV62">
        <v>1.0913155238227867</v>
      </c>
    </row>
    <row r="65" spans="1:48 16384:16384" x14ac:dyDescent="0.2">
      <c r="A65" t="s">
        <v>176</v>
      </c>
      <c r="B65" s="191">
        <v>1</v>
      </c>
      <c r="C65" s="191"/>
      <c r="D65" s="191">
        <v>0.99726850813279255</v>
      </c>
      <c r="E65" s="191"/>
      <c r="F65" s="191">
        <v>0.99453585621008889</v>
      </c>
      <c r="G65" s="191"/>
      <c r="H65" s="191">
        <v>0.99180021429672749</v>
      </c>
      <c r="I65" s="191"/>
      <c r="J65" s="191">
        <v>0.98905925793059657</v>
      </c>
      <c r="K65" s="191"/>
      <c r="L65" s="191">
        <v>0.98631038445622887</v>
      </c>
      <c r="M65" s="191"/>
      <c r="N65" s="191">
        <v>0.98355118523659113</v>
      </c>
      <c r="O65" s="191"/>
      <c r="P65" s="191">
        <v>0.98078027911842602</v>
      </c>
      <c r="Q65" s="191"/>
      <c r="R65" s="191">
        <v>0.97799904668722515</v>
      </c>
      <c r="S65" s="191"/>
      <c r="T65" s="191">
        <v>0.97521488162105219</v>
      </c>
      <c r="U65" s="191"/>
      <c r="V65" s="191">
        <v>0.972447179406424</v>
      </c>
      <c r="W65" s="191"/>
      <c r="X65" s="191">
        <v>0.96973857441490252</v>
      </c>
      <c r="Y65" s="191"/>
      <c r="Z65" s="191">
        <v>0.96717585435200248</v>
      </c>
      <c r="AA65" s="191"/>
      <c r="AB65" s="191">
        <v>0.96492857429225731</v>
      </c>
      <c r="AC65" s="191"/>
      <c r="AD65" s="191">
        <v>0.96331663609919704</v>
      </c>
      <c r="AE65" s="191"/>
      <c r="AF65" s="191">
        <v>0.96290630094033502</v>
      </c>
      <c r="AG65" s="191"/>
      <c r="AH65" s="191">
        <v>0.96454649018718819</v>
      </c>
      <c r="AI65" s="191"/>
      <c r="AJ65" s="191">
        <v>0.96903087613170236</v>
      </c>
      <c r="AK65" s="191"/>
      <c r="AL65" s="191">
        <v>0.97626297548599528</v>
      </c>
      <c r="AM65" s="191"/>
      <c r="AN65" s="191">
        <v>0.98534373189139335</v>
      </c>
      <c r="AO65" s="191"/>
      <c r="AP65" s="191">
        <v>0.98743542374770066</v>
      </c>
      <c r="AQ65" s="191"/>
      <c r="AR65" s="191">
        <v>0.98976619514919162</v>
      </c>
      <c r="AS65" s="191"/>
      <c r="AT65" s="191">
        <v>0.99259063056003505</v>
      </c>
      <c r="AU65" s="191"/>
      <c r="AV65" s="191">
        <v>0.99662144741949998</v>
      </c>
    </row>
    <row r="66" spans="1:48 16384:16384" x14ac:dyDescent="0.2">
      <c r="A66" t="s">
        <v>182</v>
      </c>
      <c r="B66" s="191">
        <v>1</v>
      </c>
      <c r="C66" s="191"/>
      <c r="D66" s="191">
        <v>0.99699082399845296</v>
      </c>
      <c r="E66" s="191"/>
      <c r="F66" s="191">
        <v>0.99397506265331714</v>
      </c>
      <c r="G66" s="191"/>
      <c r="H66" s="191">
        <v>0.99095064953533207</v>
      </c>
      <c r="I66" s="191"/>
      <c r="J66" s="191">
        <v>0.98791495280820085</v>
      </c>
      <c r="K66" s="191"/>
      <c r="L66" s="191">
        <v>0.98486500983069192</v>
      </c>
      <c r="M66" s="191"/>
      <c r="N66" s="191">
        <v>0.98179804895482536</v>
      </c>
      <c r="O66" s="191"/>
      <c r="P66" s="191">
        <v>0.97871242007789538</v>
      </c>
      <c r="Q66" s="191"/>
      <c r="R66" s="191">
        <v>0.97560954223032181</v>
      </c>
      <c r="S66" s="191"/>
      <c r="T66" s="191">
        <v>0.97249757319561325</v>
      </c>
      <c r="U66" s="191"/>
      <c r="V66" s="191">
        <v>0.96939819361228541</v>
      </c>
      <c r="W66" s="191"/>
      <c r="X66" s="191">
        <v>0.96635937055277044</v>
      </c>
      <c r="Y66" s="191"/>
      <c r="Z66" s="191">
        <v>0.96347915669625805</v>
      </c>
      <c r="AA66" s="191"/>
      <c r="AB66" s="191">
        <v>0.96094965408268385</v>
      </c>
      <c r="AC66" s="191"/>
      <c r="AD66" s="191">
        <v>0.95913383096118865</v>
      </c>
      <c r="AE66" s="191"/>
      <c r="AF66" s="191">
        <v>0.95867387406883642</v>
      </c>
      <c r="AG66" s="191"/>
      <c r="AH66" s="191">
        <v>0.96052863094841634</v>
      </c>
      <c r="AI66" s="191"/>
      <c r="AJ66" s="191">
        <v>0.96558121743869452</v>
      </c>
      <c r="AK66" s="191"/>
      <c r="AL66" s="191">
        <v>0.97369055883830735</v>
      </c>
      <c r="AM66" s="191"/>
      <c r="AN66" s="191">
        <v>0.98380939303856108</v>
      </c>
      <c r="AO66" s="191"/>
      <c r="AP66" s="191">
        <v>0.98613053797979544</v>
      </c>
      <c r="AQ66" s="191"/>
      <c r="AR66" s="191">
        <v>0.988712817330057</v>
      </c>
      <c r="AS66" s="191"/>
      <c r="AT66" s="191">
        <v>0.99183620155374808</v>
      </c>
      <c r="AU66" s="191"/>
      <c r="AV66" s="191">
        <v>0.99628274050827548</v>
      </c>
      <c r="XFD66" s="191"/>
    </row>
    <row r="67" spans="1:48 16384:16384" x14ac:dyDescent="0.2">
      <c r="A67" t="s">
        <v>183</v>
      </c>
      <c r="B67" s="191">
        <v>1</v>
      </c>
      <c r="C67" s="191"/>
      <c r="D67" s="191">
        <v>1</v>
      </c>
      <c r="E67" s="191"/>
      <c r="F67" s="191">
        <v>1</v>
      </c>
      <c r="G67" s="191"/>
      <c r="H67" s="191">
        <v>1</v>
      </c>
      <c r="I67" s="191"/>
      <c r="J67" s="191">
        <v>1</v>
      </c>
      <c r="K67" s="191"/>
      <c r="L67" s="191">
        <v>1</v>
      </c>
      <c r="M67" s="191"/>
      <c r="N67" s="191">
        <v>1</v>
      </c>
      <c r="O67" s="191"/>
      <c r="P67" s="191">
        <v>1</v>
      </c>
      <c r="Q67" s="191"/>
      <c r="R67" s="191">
        <v>1</v>
      </c>
      <c r="S67" s="191"/>
      <c r="T67" s="191">
        <v>1</v>
      </c>
      <c r="U67" s="191"/>
      <c r="V67" s="191">
        <v>1</v>
      </c>
      <c r="W67" s="191"/>
      <c r="X67" s="191">
        <v>1</v>
      </c>
      <c r="Y67" s="191"/>
      <c r="Z67" s="191">
        <v>1</v>
      </c>
      <c r="AA67" s="191"/>
      <c r="AB67" s="191">
        <v>1</v>
      </c>
      <c r="AC67" s="191"/>
      <c r="AD67" s="191">
        <v>1</v>
      </c>
      <c r="AE67" s="191"/>
      <c r="AF67" s="191">
        <v>1</v>
      </c>
      <c r="AG67" s="191"/>
      <c r="AH67" s="191">
        <v>1</v>
      </c>
      <c r="AI67" s="191"/>
      <c r="AJ67" s="191">
        <v>1</v>
      </c>
      <c r="AK67" s="191"/>
      <c r="AL67" s="191">
        <v>1</v>
      </c>
      <c r="AM67" s="191"/>
      <c r="AN67" s="191">
        <v>1</v>
      </c>
      <c r="AO67" s="191"/>
      <c r="AP67" s="191">
        <v>1</v>
      </c>
      <c r="AQ67" s="191"/>
      <c r="AR67" s="191">
        <v>1</v>
      </c>
      <c r="AS67" s="191"/>
      <c r="AT67" s="191">
        <v>1</v>
      </c>
      <c r="AU67" s="191"/>
      <c r="AV67" s="191">
        <v>1</v>
      </c>
      <c r="XFD67" s="191"/>
    </row>
    <row r="68" spans="1:48 16384:16384" x14ac:dyDescent="0.2">
      <c r="A68" t="s">
        <v>181</v>
      </c>
      <c r="B68" s="191">
        <v>1</v>
      </c>
      <c r="C68" s="191"/>
      <c r="D68" s="191">
        <v>0.99699082399845296</v>
      </c>
      <c r="E68" s="191"/>
      <c r="F68" s="191">
        <v>0.99397506265331714</v>
      </c>
      <c r="G68" s="191"/>
      <c r="H68" s="191">
        <v>0.99095064953533207</v>
      </c>
      <c r="I68" s="191"/>
      <c r="J68" s="191">
        <v>0.98791495280820085</v>
      </c>
      <c r="K68" s="191"/>
      <c r="L68" s="191">
        <v>0.98486500983069192</v>
      </c>
      <c r="M68" s="191"/>
      <c r="N68" s="191">
        <v>0.98179804895482536</v>
      </c>
      <c r="O68" s="191"/>
      <c r="P68" s="191">
        <v>0.97871242007789538</v>
      </c>
      <c r="Q68" s="191"/>
      <c r="R68" s="191">
        <v>0.97560954223032181</v>
      </c>
      <c r="S68" s="191"/>
      <c r="T68" s="191">
        <v>0.97249757319561325</v>
      </c>
      <c r="U68" s="191"/>
      <c r="V68" s="191">
        <v>0.96939819361228541</v>
      </c>
      <c r="W68" s="191"/>
      <c r="X68" s="191">
        <v>0.96635937055277044</v>
      </c>
      <c r="Y68" s="191"/>
      <c r="Z68" s="191">
        <v>0.96347915669625805</v>
      </c>
      <c r="AA68" s="191"/>
      <c r="AB68" s="191">
        <v>0.96094965408268385</v>
      </c>
      <c r="AC68" s="191"/>
      <c r="AD68" s="191">
        <v>0.95913383096118865</v>
      </c>
      <c r="AE68" s="191"/>
      <c r="AF68" s="191">
        <v>0.95867387406883642</v>
      </c>
      <c r="AG68" s="191"/>
      <c r="AH68" s="191">
        <v>0.96052863094841634</v>
      </c>
      <c r="AI68" s="191"/>
      <c r="AJ68" s="191">
        <v>0.96558121743869452</v>
      </c>
      <c r="AK68" s="191"/>
      <c r="AL68" s="191">
        <v>0.97369055883830735</v>
      </c>
      <c r="AM68" s="191"/>
      <c r="AN68" s="191">
        <v>0.98380939303856108</v>
      </c>
      <c r="AO68" s="191"/>
      <c r="AP68" s="191">
        <v>0.98613053797979544</v>
      </c>
      <c r="AQ68" s="191"/>
      <c r="AR68" s="191">
        <v>0.988712817330057</v>
      </c>
      <c r="AS68" s="191"/>
      <c r="AT68" s="191">
        <v>0.99183620155374808</v>
      </c>
      <c r="AU68" s="191"/>
      <c r="AV68" s="191">
        <v>0.99628274050827548</v>
      </c>
      <c r="XFD68" s="191"/>
    </row>
    <row r="69" spans="1:48 16384:16384" x14ac:dyDescent="0.2">
      <c r="A69" t="s">
        <v>177</v>
      </c>
      <c r="B69" s="191">
        <v>1</v>
      </c>
      <c r="C69" s="191"/>
      <c r="D69" s="191">
        <v>1.0015805174724155</v>
      </c>
      <c r="E69" s="191"/>
      <c r="F69" s="191">
        <v>1.0030230408274654</v>
      </c>
      <c r="G69" s="191"/>
      <c r="H69" s="191">
        <v>1.00430681400417</v>
      </c>
      <c r="I69" s="191"/>
      <c r="J69" s="191">
        <v>1.005406262384495</v>
      </c>
      <c r="K69" s="191"/>
      <c r="L69" s="191">
        <v>1.0062895421643236</v>
      </c>
      <c r="M69" s="191"/>
      <c r="N69" s="191">
        <v>1.0069163438668665</v>
      </c>
      <c r="O69" s="191"/>
      <c r="P69" s="191">
        <v>1.0072352958537298</v>
      </c>
      <c r="Q69" s="191"/>
      <c r="R69" s="191">
        <v>1.0071796208099033</v>
      </c>
      <c r="S69" s="191"/>
      <c r="T69" s="191">
        <v>1.006661292254263</v>
      </c>
      <c r="U69" s="191"/>
      <c r="V69" s="191">
        <v>1.0055615318245588</v>
      </c>
      <c r="W69" s="191"/>
      <c r="X69" s="191">
        <v>1.0037157756804849</v>
      </c>
      <c r="Y69" s="191"/>
      <c r="Z69" s="191">
        <v>1.0008875141997091</v>
      </c>
      <c r="AA69" s="191"/>
      <c r="AB69" s="191">
        <v>0.99671889937252622</v>
      </c>
      <c r="AC69" s="191"/>
      <c r="AD69" s="191">
        <v>0.99062631255835853</v>
      </c>
      <c r="AE69" s="191"/>
      <c r="AF69" s="191">
        <v>0.98154790216121934</v>
      </c>
      <c r="AG69" s="191"/>
      <c r="AH69" s="191">
        <v>0.96725341088504102</v>
      </c>
      <c r="AI69" s="191"/>
      <c r="AJ69" s="191">
        <v>0.94231254041164447</v>
      </c>
      <c r="AK69" s="191"/>
      <c r="AL69" s="191">
        <v>0.89153272316993593</v>
      </c>
      <c r="AM69" s="191"/>
      <c r="AN69" s="191">
        <v>0.7586953895718932</v>
      </c>
      <c r="AO69" s="191"/>
      <c r="AP69" s="191">
        <v>0.70502270730935146</v>
      </c>
      <c r="AQ69" s="191"/>
      <c r="AR69" s="191">
        <v>0.63041231147556687</v>
      </c>
      <c r="AS69" s="191"/>
      <c r="AT69" s="191">
        <v>0.52019358593262055</v>
      </c>
      <c r="AU69" s="191"/>
      <c r="AV69" s="191">
        <v>0.34140043382028828</v>
      </c>
    </row>
    <row r="70" spans="1:48 16384:16384" x14ac:dyDescent="0.2">
      <c r="A70" t="s">
        <v>178</v>
      </c>
      <c r="B70" s="138">
        <v>1</v>
      </c>
      <c r="C70" s="138"/>
      <c r="D70" s="138">
        <v>1.0009130008780913</v>
      </c>
      <c r="E70" s="138"/>
      <c r="F70" s="138">
        <v>1.0016700232204969</v>
      </c>
      <c r="G70" s="138"/>
      <c r="H70" s="138">
        <v>1.00224612425864</v>
      </c>
      <c r="I70" s="138"/>
      <c r="J70" s="138">
        <v>1.0026108598850851</v>
      </c>
      <c r="K70" s="138"/>
      <c r="L70" s="138">
        <v>1.0027264426035509</v>
      </c>
      <c r="M70" s="138"/>
      <c r="N70" s="138">
        <v>1.0025449733305498</v>
      </c>
      <c r="O70" s="138"/>
      <c r="P70" s="138">
        <v>1.0020046505281432</v>
      </c>
      <c r="Q70" s="138"/>
      <c r="R70" s="138">
        <v>1.0010235829840084</v>
      </c>
      <c r="S70" s="138"/>
      <c r="T70" s="138">
        <v>0.99949031534327637</v>
      </c>
      <c r="U70" s="138"/>
      <c r="V70" s="138">
        <v>0.99724812408928865</v>
      </c>
      <c r="W70" s="138"/>
      <c r="X70" s="138">
        <v>0.99406843548339896</v>
      </c>
      <c r="Y70" s="138"/>
      <c r="Z70" s="138">
        <v>0.98960367989177256</v>
      </c>
      <c r="AA70" s="138"/>
      <c r="AB70" s="138">
        <v>0.98330014525724851</v>
      </c>
      <c r="AC70" s="138"/>
      <c r="AD70" s="138">
        <v>0.97423060352551072</v>
      </c>
      <c r="AE70" s="138"/>
      <c r="AF70" s="138">
        <v>0.96076447121353292</v>
      </c>
      <c r="AG70" s="138"/>
      <c r="AH70" s="138">
        <v>0.93990568266444052</v>
      </c>
      <c r="AI70" s="138"/>
      <c r="AJ70" s="138">
        <v>0.90579596367235571</v>
      </c>
      <c r="AK70" s="138"/>
      <c r="AL70" s="138">
        <v>0.84469535093443771</v>
      </c>
      <c r="AM70" s="138"/>
      <c r="AN70" s="138">
        <v>0.70810725446370959</v>
      </c>
      <c r="AO70" s="138"/>
      <c r="AP70" s="138">
        <v>0.65686787375262345</v>
      </c>
      <c r="AQ70" s="138"/>
      <c r="AR70" s="138">
        <v>0.58732538188646688</v>
      </c>
      <c r="AS70" s="138"/>
      <c r="AT70" s="138">
        <v>0.48643441188456221</v>
      </c>
      <c r="AU70" s="138"/>
      <c r="AV70" s="138">
        <v>0.32349572066644405</v>
      </c>
    </row>
    <row r="71" spans="1:48 16384:16384" x14ac:dyDescent="0.2">
      <c r="A71" t="s">
        <v>179</v>
      </c>
      <c r="B71" s="138">
        <v>1</v>
      </c>
      <c r="D71" s="138">
        <v>0.92680384878627131</v>
      </c>
      <c r="E71" s="138"/>
      <c r="F71" s="138">
        <v>0.85395457136725206</v>
      </c>
      <c r="G71" s="138"/>
      <c r="H71" s="138">
        <v>0.78152495643361253</v>
      </c>
      <c r="I71" s="138"/>
      <c r="J71" s="138">
        <v>0.70959998281126713</v>
      </c>
      <c r="K71" s="138"/>
      <c r="L71" s="138">
        <v>0.6382825316231715</v>
      </c>
      <c r="M71" s="138"/>
      <c r="N71" s="138">
        <v>0.56770451591010396</v>
      </c>
      <c r="O71" s="138"/>
      <c r="P71" s="138">
        <v>0.49803630303472451</v>
      </c>
      <c r="Q71" s="138"/>
      <c r="R71" s="138">
        <v>0.42951033369200114</v>
      </c>
      <c r="S71" s="138"/>
      <c r="T71" s="138">
        <v>0.3624500264649258</v>
      </c>
      <c r="U71" s="138"/>
      <c r="V71" s="138">
        <v>0.29732012911763089</v>
      </c>
      <c r="W71" s="138"/>
      <c r="X71" s="138">
        <v>0.23480082710695471</v>
      </c>
      <c r="Y71" s="138"/>
      <c r="Z71" s="138">
        <v>0.17590022459000779</v>
      </c>
      <c r="AA71" s="138"/>
      <c r="AB71" s="138">
        <v>0.12210994730723902</v>
      </c>
      <c r="AC71" s="138"/>
      <c r="AD71" s="138">
        <v>7.5568463846802603E-2</v>
      </c>
      <c r="AE71" s="138"/>
      <c r="AF71" s="138">
        <v>3.9033741730908872E-2</v>
      </c>
      <c r="AG71" s="138"/>
      <c r="AH71" s="138">
        <v>1.5050395812607625E-2</v>
      </c>
      <c r="AI71" s="138"/>
      <c r="AJ71" s="138">
        <v>3.6099488175772832E-3</v>
      </c>
      <c r="AK71" s="138"/>
      <c r="AL71" s="138">
        <v>3.9374034687797232E-4</v>
      </c>
      <c r="AM71" s="138"/>
      <c r="AN71" s="138">
        <v>8.7936993565507154E-6</v>
      </c>
      <c r="AO71" s="138"/>
      <c r="AP71" s="138">
        <v>2.7788851124824793E-6</v>
      </c>
      <c r="AQ71" s="138"/>
      <c r="AR71" s="138">
        <v>6.8214143444564919E-7</v>
      </c>
      <c r="AS71" s="138"/>
      <c r="AT71" s="138">
        <v>1.1272565039212343E-7</v>
      </c>
      <c r="AU71" s="138"/>
      <c r="AV71" s="138">
        <v>8.8306502015779967E-9</v>
      </c>
      <c r="XFD71" s="138"/>
    </row>
    <row r="72" spans="1:48 16384:16384" x14ac:dyDescent="0.2">
      <c r="A72" t="s">
        <v>180</v>
      </c>
      <c r="B72" s="138">
        <v>1</v>
      </c>
      <c r="D72" s="138">
        <v>1.0135773885651607</v>
      </c>
      <c r="E72" s="138"/>
      <c r="F72" s="138">
        <v>1.0298861984642134</v>
      </c>
      <c r="G72" s="138"/>
      <c r="H72" s="138">
        <v>1.0492169891304353</v>
      </c>
      <c r="I72" s="138"/>
      <c r="J72" s="138">
        <v>1.071881194268234</v>
      </c>
      <c r="K72" s="138"/>
      <c r="L72" s="138">
        <v>1.0982015572923005</v>
      </c>
      <c r="M72" s="138"/>
      <c r="N72" s="138">
        <v>1.1284914003164841</v>
      </c>
      <c r="O72" s="138"/>
      <c r="P72" s="138">
        <v>1.1630101697204445</v>
      </c>
      <c r="Q72" s="138"/>
      <c r="R72" s="138">
        <v>1.2018838959296305</v>
      </c>
      <c r="S72" s="138"/>
      <c r="T72" s="138">
        <v>1.244961492024901</v>
      </c>
      <c r="U72" s="138"/>
      <c r="V72" s="138">
        <v>1.291546858423966</v>
      </c>
      <c r="W72" s="138"/>
      <c r="X72" s="138">
        <v>1.3399145301876141</v>
      </c>
      <c r="Y72" s="138"/>
      <c r="Z72" s="138">
        <v>1.3864196205850359</v>
      </c>
      <c r="AA72" s="138"/>
      <c r="AB72" s="138">
        <v>1.423888816050829</v>
      </c>
      <c r="AC72" s="138"/>
      <c r="AD72" s="138">
        <v>1.4388905205277072</v>
      </c>
      <c r="AE72" s="138"/>
      <c r="AF72" s="138">
        <v>1.408089775747998</v>
      </c>
      <c r="AG72" s="138"/>
      <c r="AH72" s="138">
        <v>1.2976496175159307</v>
      </c>
      <c r="AI72" s="138"/>
      <c r="AJ72" s="138">
        <v>1.0782332811978801</v>
      </c>
      <c r="AK72" s="138"/>
      <c r="AL72" s="138">
        <v>0.75817566077858345</v>
      </c>
      <c r="AM72" s="138"/>
      <c r="AN72" s="138">
        <v>0.38530257841226112</v>
      </c>
      <c r="AO72" s="138"/>
      <c r="AP72" s="138">
        <v>0.30851118284263884</v>
      </c>
      <c r="AQ72" s="138"/>
      <c r="AR72" s="138">
        <v>0.23149711553044811</v>
      </c>
      <c r="AS72" s="138"/>
      <c r="AT72" s="138">
        <v>0.15436893151463116</v>
      </c>
      <c r="AU72" s="138"/>
      <c r="AV72" s="138">
        <v>7.719209580985327E-2</v>
      </c>
      <c r="XFD72" s="138"/>
    </row>
    <row r="73" spans="1:48 16384:16384" x14ac:dyDescent="0.2">
      <c r="A73" t="s">
        <v>184</v>
      </c>
      <c r="B73" s="193">
        <v>0.47641029008972879</v>
      </c>
      <c r="D73" s="193">
        <v>0.47469761007182087</v>
      </c>
      <c r="E73" s="138"/>
      <c r="F73" s="193">
        <v>0.4729148737761234</v>
      </c>
      <c r="G73" s="138"/>
      <c r="H73" s="193">
        <v>0.47104999132220771</v>
      </c>
      <c r="I73" s="138"/>
      <c r="J73" s="193">
        <v>0.46908818247707595</v>
      </c>
      <c r="K73" s="138"/>
      <c r="L73" s="193">
        <v>0.46701120706004401</v>
      </c>
      <c r="M73" s="138"/>
      <c r="N73" s="193">
        <v>0.46479605099095395</v>
      </c>
      <c r="O73" s="138"/>
      <c r="P73" s="193">
        <v>0.46241303843890863</v>
      </c>
      <c r="Q73" s="138"/>
      <c r="R73" s="193">
        <v>0.45982261840324895</v>
      </c>
      <c r="S73" s="138"/>
      <c r="T73" s="193">
        <v>0.45697060275832119</v>
      </c>
      <c r="U73" s="138"/>
      <c r="V73" s="193">
        <v>0.45377961306013181</v>
      </c>
      <c r="W73" s="138"/>
      <c r="X73" s="193">
        <v>0.45013459589176213</v>
      </c>
      <c r="Y73" s="138"/>
      <c r="Z73" s="193">
        <v>0.44585641417585425</v>
      </c>
      <c r="AA73" s="138"/>
      <c r="AB73" s="193">
        <v>0.4406525732381224</v>
      </c>
      <c r="AC73" s="138"/>
      <c r="AD73" s="193">
        <v>0.4340238136842981</v>
      </c>
      <c r="AE73" s="138"/>
      <c r="AF73" s="193">
        <v>0.42509073649337781</v>
      </c>
      <c r="AG73" s="138"/>
      <c r="AH73" s="193">
        <v>0.4122980662331992</v>
      </c>
      <c r="AI73" s="138"/>
      <c r="AJ73" s="193">
        <v>0.39290445756997694</v>
      </c>
      <c r="AK73" s="138"/>
      <c r="AL73" s="193">
        <v>0.36127171218797494</v>
      </c>
      <c r="AM73" s="138"/>
      <c r="AN73" s="193">
        <v>0.29852467013328959</v>
      </c>
      <c r="AO73" s="138"/>
      <c r="AP73" s="193">
        <v>0.27648160236268271</v>
      </c>
      <c r="AQ73" s="138"/>
      <c r="AR73" s="193">
        <v>0.24723837863193612</v>
      </c>
      <c r="AS73" s="138"/>
      <c r="AT73" s="193">
        <v>0.20556500519120105</v>
      </c>
      <c r="AU73" s="138"/>
      <c r="AV73" s="193">
        <v>0.13856472332660791</v>
      </c>
      <c r="XFD73" s="193"/>
    </row>
    <row r="74" spans="1:48 16384:16384" x14ac:dyDescent="0.2">
      <c r="A74" t="s">
        <v>185</v>
      </c>
      <c r="B74" s="193">
        <v>0.23361570741689888</v>
      </c>
      <c r="D74" s="193">
        <v>0.23361570741689885</v>
      </c>
      <c r="E74" s="138"/>
      <c r="F74" s="193">
        <v>0.23361570741689885</v>
      </c>
      <c r="G74" s="138"/>
      <c r="H74" s="193">
        <v>0.23361570741689888</v>
      </c>
      <c r="I74" s="138"/>
      <c r="J74" s="193">
        <v>0.23361570741689885</v>
      </c>
      <c r="K74" s="138"/>
      <c r="L74" s="193">
        <v>0.23361570741689888</v>
      </c>
      <c r="M74" s="138"/>
      <c r="N74" s="193">
        <v>0.23361570741689888</v>
      </c>
      <c r="O74" s="138"/>
      <c r="P74" s="193">
        <v>0.23361570741689888</v>
      </c>
      <c r="Q74" s="138"/>
      <c r="R74" s="193">
        <v>0.23361570741689888</v>
      </c>
      <c r="S74" s="138"/>
      <c r="T74" s="193">
        <v>0.23361570741689888</v>
      </c>
      <c r="U74" s="138"/>
      <c r="V74" s="193">
        <v>0.23361570741689891</v>
      </c>
      <c r="W74" s="138"/>
      <c r="X74" s="193">
        <v>0.23361570741689888</v>
      </c>
      <c r="Y74" s="138"/>
      <c r="Z74" s="193">
        <v>0.23361570741689888</v>
      </c>
      <c r="AA74" s="138"/>
      <c r="AB74" s="193">
        <v>0.23361570741689891</v>
      </c>
      <c r="AC74" s="138"/>
      <c r="AD74" s="193">
        <v>0.23361570741689891</v>
      </c>
      <c r="AE74" s="138"/>
      <c r="AF74" s="193">
        <v>0.23361570741689891</v>
      </c>
      <c r="AG74" s="138"/>
      <c r="AH74" s="193">
        <v>0.23361570741689888</v>
      </c>
      <c r="AI74" s="138"/>
      <c r="AJ74" s="193">
        <v>0.23361570741689891</v>
      </c>
      <c r="AK74" s="138"/>
      <c r="AL74" s="193">
        <v>0.23361570741689888</v>
      </c>
      <c r="AM74" s="138"/>
      <c r="AN74" s="193">
        <v>0.23361570741689891</v>
      </c>
      <c r="AO74" s="138"/>
      <c r="AP74" s="193">
        <v>0.23361570741689885</v>
      </c>
      <c r="AQ74" s="138"/>
      <c r="AR74" s="193">
        <v>0.23361570741689888</v>
      </c>
      <c r="AS74" s="138"/>
      <c r="AT74" s="193">
        <v>0.23361570741689888</v>
      </c>
      <c r="AU74" s="138"/>
      <c r="AV74" s="193">
        <v>0.23361570741689888</v>
      </c>
      <c r="XFD74" s="193"/>
    </row>
    <row r="75" spans="1:48 16384:16384" x14ac:dyDescent="0.2">
      <c r="A75" t="s">
        <v>186</v>
      </c>
      <c r="B75" s="193">
        <v>0.2079247050500721</v>
      </c>
      <c r="D75" s="193">
        <v>0.20963740168799</v>
      </c>
      <c r="E75" s="138"/>
      <c r="F75" s="193">
        <v>0.21142012200322513</v>
      </c>
      <c r="G75" s="138"/>
      <c r="H75" s="193">
        <v>0.21328500486127192</v>
      </c>
      <c r="I75" s="138"/>
      <c r="J75" s="193">
        <v>0.21524681922456279</v>
      </c>
      <c r="K75" s="138"/>
      <c r="L75" s="193">
        <v>0.21732378963208665</v>
      </c>
      <c r="M75" s="138"/>
      <c r="N75" s="193">
        <v>0.21953894436119836</v>
      </c>
      <c r="O75" s="138"/>
      <c r="P75" s="193">
        <v>0.2219219674118349</v>
      </c>
      <c r="Q75" s="138"/>
      <c r="R75" s="193">
        <v>0.22451237821261497</v>
      </c>
      <c r="S75" s="138"/>
      <c r="T75" s="193">
        <v>0.22736439688444593</v>
      </c>
      <c r="U75" s="138"/>
      <c r="V75" s="193">
        <v>0.23055538569828418</v>
      </c>
      <c r="W75" s="138"/>
      <c r="X75" s="193">
        <v>0.23420039942147383</v>
      </c>
      <c r="Y75" s="138"/>
      <c r="Z75" s="193">
        <v>0.23847858136618594</v>
      </c>
      <c r="AA75" s="138"/>
      <c r="AB75" s="193">
        <v>0.24368242183003211</v>
      </c>
      <c r="AC75" s="138"/>
      <c r="AD75" s="193">
        <v>0.25031118156127585</v>
      </c>
      <c r="AE75" s="138"/>
      <c r="AF75" s="193">
        <v>0.25924425853537719</v>
      </c>
      <c r="AG75" s="138"/>
      <c r="AH75" s="193">
        <v>0.27203692892515824</v>
      </c>
      <c r="AI75" s="138"/>
      <c r="AJ75" s="193">
        <v>0.2914305375815669</v>
      </c>
      <c r="AK75" s="138"/>
      <c r="AL75" s="193">
        <v>0.32306328295177539</v>
      </c>
      <c r="AM75" s="138"/>
      <c r="AN75" s="193">
        <v>0.38581032500652962</v>
      </c>
      <c r="AO75" s="138"/>
      <c r="AP75" s="193">
        <v>0.40785339277713256</v>
      </c>
      <c r="AQ75" s="138"/>
      <c r="AR75" s="193">
        <v>0.43709661650786746</v>
      </c>
      <c r="AS75" s="138"/>
      <c r="AT75" s="193">
        <v>0.47876998994859982</v>
      </c>
      <c r="AU75" s="138"/>
      <c r="AV75" s="193">
        <v>0.54577027181319326</v>
      </c>
      <c r="XFD75" s="193"/>
    </row>
    <row r="76" spans="1:48 16384:16384" x14ac:dyDescent="0.2">
      <c r="A76" t="s">
        <v>187</v>
      </c>
      <c r="B76" s="193">
        <v>0.20173767220514016</v>
      </c>
      <c r="D76" s="193">
        <v>0.20159329412718621</v>
      </c>
      <c r="E76" s="138"/>
      <c r="F76" s="193">
        <v>0.20151363123766847</v>
      </c>
      <c r="G76" s="138"/>
      <c r="H76" s="193">
        <v>0.20150558650969663</v>
      </c>
      <c r="I76" s="138"/>
      <c r="J76" s="193">
        <v>0.20157674369938258</v>
      </c>
      <c r="K76" s="138"/>
      <c r="L76" s="193">
        <v>0.20173516873551098</v>
      </c>
      <c r="M76" s="138"/>
      <c r="N76" s="193">
        <v>0.20198902619622461</v>
      </c>
      <c r="O76" s="138"/>
      <c r="P76" s="193">
        <v>0.20234573456582194</v>
      </c>
      <c r="Q76" s="138"/>
      <c r="R76" s="193">
        <v>0.20281042046012759</v>
      </c>
      <c r="S76" s="138"/>
      <c r="T76" s="193">
        <v>0.20338281122810734</v>
      </c>
      <c r="U76" s="138"/>
      <c r="V76" s="193">
        <v>0.20405160222460303</v>
      </c>
      <c r="W76" s="138"/>
      <c r="X76" s="193">
        <v>0.20478371280338564</v>
      </c>
      <c r="Y76" s="138"/>
      <c r="Z76" s="193">
        <v>0.20550421424347232</v>
      </c>
      <c r="AA76" s="138"/>
      <c r="AB76" s="193">
        <v>0.20605926336823305</v>
      </c>
      <c r="AC76" s="138"/>
      <c r="AD76" s="193">
        <v>0.20615200432255038</v>
      </c>
      <c r="AE76" s="138"/>
      <c r="AF76" s="193">
        <v>0.20525557486183751</v>
      </c>
      <c r="AG76" s="138"/>
      <c r="AH76" s="193">
        <v>0.20259696567384264</v>
      </c>
      <c r="AI76" s="138"/>
      <c r="AJ76" s="193">
        <v>0.19751060952167671</v>
      </c>
      <c r="AK76" s="138"/>
      <c r="AL76" s="193">
        <v>0.19022488948493593</v>
      </c>
      <c r="AM76" s="138"/>
      <c r="AN76" s="193">
        <v>0.18207915642811076</v>
      </c>
      <c r="AO76" s="138"/>
      <c r="AP76" s="193">
        <v>0.18057202460473759</v>
      </c>
      <c r="AQ76" s="138"/>
      <c r="AR76" s="193">
        <v>0.17925009143559154</v>
      </c>
      <c r="AS76" s="138"/>
      <c r="AT76" s="193">
        <v>0.17833452065674979</v>
      </c>
      <c r="AU76" s="138"/>
      <c r="AV76" s="193">
        <v>0.17845940796040249</v>
      </c>
      <c r="XFD76" s="193"/>
    </row>
    <row r="77" spans="1:48 16384:16384" x14ac:dyDescent="0.2">
      <c r="A77" t="s">
        <v>188</v>
      </c>
      <c r="B77" s="193">
        <v>0.11968837476184009</v>
      </c>
      <c r="D77" s="193">
        <v>0.11954401330389605</v>
      </c>
      <c r="E77" s="138"/>
      <c r="F77" s="193">
        <v>0.11946433443391594</v>
      </c>
      <c r="G77" s="138"/>
      <c r="H77" s="193">
        <v>0.11945629011007503</v>
      </c>
      <c r="I77" s="138"/>
      <c r="J77" s="193">
        <v>0.11952745281792029</v>
      </c>
      <c r="K77" s="138"/>
      <c r="L77" s="193">
        <v>0.11968587284454074</v>
      </c>
      <c r="M77" s="138"/>
      <c r="N77" s="193">
        <v>0.11993972896527591</v>
      </c>
      <c r="O77" s="138"/>
      <c r="P77" s="193">
        <v>0.12029644783346426</v>
      </c>
      <c r="Q77" s="138"/>
      <c r="R77" s="193">
        <v>0.12076112449289043</v>
      </c>
      <c r="S77" s="138"/>
      <c r="T77" s="193">
        <v>0.12133351828777343</v>
      </c>
      <c r="U77" s="138"/>
      <c r="V77" s="193">
        <v>0.12200230839991805</v>
      </c>
      <c r="W77" s="138"/>
      <c r="X77" s="193">
        <v>0.1227344155335206</v>
      </c>
      <c r="Y77" s="138"/>
      <c r="Z77" s="193">
        <v>0.1234549172024115</v>
      </c>
      <c r="AA77" s="138"/>
      <c r="AB77" s="193">
        <v>0.12400996585328652</v>
      </c>
      <c r="AC77" s="138"/>
      <c r="AD77" s="193">
        <v>0.12410270698502322</v>
      </c>
      <c r="AE77" s="138"/>
      <c r="AF77" s="193">
        <v>0.12320627730749142</v>
      </c>
      <c r="AG77" s="138"/>
      <c r="AH77" s="193">
        <v>0.12054766824909913</v>
      </c>
      <c r="AI77" s="138"/>
      <c r="AJ77" s="193">
        <v>0.11546131209011953</v>
      </c>
      <c r="AK77" s="138"/>
      <c r="AL77" s="193">
        <v>0.10817559204158526</v>
      </c>
      <c r="AM77" s="138"/>
      <c r="AN77" s="193">
        <v>0.100029858984829</v>
      </c>
      <c r="AO77" s="138"/>
      <c r="AP77" s="193">
        <v>9.8522727161451634E-2</v>
      </c>
      <c r="AQ77" s="138"/>
      <c r="AR77" s="193">
        <v>9.720079399229406E-2</v>
      </c>
      <c r="AS77" s="138"/>
      <c r="AT77" s="193">
        <v>9.6285223213449594E-2</v>
      </c>
      <c r="AU77" s="138"/>
      <c r="AV77" s="193">
        <v>9.6410110517102604E-2</v>
      </c>
      <c r="XFD77" s="193"/>
    </row>
    <row r="78" spans="1:48 16384:16384" x14ac:dyDescent="0.2">
      <c r="A78" t="s">
        <v>189</v>
      </c>
      <c r="B78" s="193">
        <v>0.35290083755094986</v>
      </c>
      <c r="D78" s="193">
        <v>0.35218606442597966</v>
      </c>
      <c r="E78" s="138"/>
      <c r="F78" s="193">
        <v>0.35141192805164778</v>
      </c>
      <c r="G78" s="138"/>
      <c r="H78" s="193">
        <v>0.35056893566088693</v>
      </c>
      <c r="I78" s="138"/>
      <c r="J78" s="193">
        <v>0.34964557307362243</v>
      </c>
      <c r="K78" s="138"/>
      <c r="L78" s="193">
        <v>0.34862759930430764</v>
      </c>
      <c r="M78" s="138"/>
      <c r="N78" s="193">
        <v>0.34749700872144762</v>
      </c>
      <c r="O78" s="138"/>
      <c r="P78" s="193">
        <v>0.34623048256475775</v>
      </c>
      <c r="Q78" s="138"/>
      <c r="R78" s="193">
        <v>0.34479692877750112</v>
      </c>
      <c r="S78" s="138"/>
      <c r="T78" s="193">
        <v>0.34315347531674595</v>
      </c>
      <c r="U78" s="138"/>
      <c r="V78" s="193">
        <v>0.34123879330136286</v>
      </c>
      <c r="W78" s="138"/>
      <c r="X78" s="193">
        <v>0.33896145900847435</v>
      </c>
      <c r="Y78" s="138"/>
      <c r="Z78" s="193">
        <v>0.33617906655843044</v>
      </c>
      <c r="AA78" s="138"/>
      <c r="AB78" s="193">
        <v>0.3326595937319648</v>
      </c>
      <c r="AC78" s="138"/>
      <c r="AD78" s="193">
        <v>0.32800903263235448</v>
      </c>
      <c r="AE78" s="138"/>
      <c r="AF78" s="193">
        <v>0.32153962138951636</v>
      </c>
      <c r="AG78" s="138"/>
      <c r="AH78" s="193">
        <v>0.3120514712849603</v>
      </c>
      <c r="AI78" s="138"/>
      <c r="AJ78" s="193">
        <v>0.29746487352524204</v>
      </c>
      <c r="AK78" s="138"/>
      <c r="AL78" s="193">
        <v>0.27354213540467526</v>
      </c>
      <c r="AM78" s="138"/>
      <c r="AN78" s="193">
        <v>0.22603532034588353</v>
      </c>
      <c r="AO78" s="138"/>
      <c r="AP78" s="193">
        <v>0.20934492296320309</v>
      </c>
      <c r="AQ78" s="138"/>
      <c r="AR78" s="193">
        <v>0.18720270765006294</v>
      </c>
      <c r="AS78" s="138"/>
      <c r="AT78" s="193">
        <v>0.15564867795786866</v>
      </c>
      <c r="AU78" s="138"/>
      <c r="AV78" s="193">
        <v>0.10491774183935387</v>
      </c>
      <c r="XFD78" s="193"/>
    </row>
    <row r="79" spans="1:48 16384:16384" x14ac:dyDescent="0.2">
      <c r="A79" t="s">
        <v>190</v>
      </c>
      <c r="B79" s="193">
        <v>0.44235262381041718</v>
      </c>
      <c r="D79" s="193">
        <v>0.43877851381865024</v>
      </c>
      <c r="F79" s="193">
        <v>0.43516624684795718</v>
      </c>
      <c r="H79" s="193">
        <v>0.43150630702900339</v>
      </c>
      <c r="J79" s="193">
        <v>0.42778708146948013</v>
      </c>
      <c r="L79" s="193">
        <v>0.42399422047681856</v>
      </c>
      <c r="N79" s="193">
        <v>0.42010986613586931</v>
      </c>
      <c r="P79" s="193">
        <v>0.41611105676033133</v>
      </c>
      <c r="R79" s="193">
        <v>0.41196777493957587</v>
      </c>
      <c r="T79" s="193">
        <v>0.40763925431525383</v>
      </c>
      <c r="V79" s="193">
        <v>0.4030681289489686</v>
      </c>
      <c r="X79" s="193">
        <v>0.39816975686698292</v>
      </c>
      <c r="Z79" s="193">
        <v>0.3928125438451307</v>
      </c>
      <c r="AB79" s="193">
        <v>0.38677993528719395</v>
      </c>
      <c r="AD79" s="193">
        <v>0.37969495784532142</v>
      </c>
      <c r="AF79" s="193">
        <v>0.37087127144344784</v>
      </c>
      <c r="AH79" s="193">
        <v>0.35903603623899438</v>
      </c>
      <c r="AJ79" s="193">
        <v>0.34181958975708138</v>
      </c>
      <c r="AL79" s="193">
        <v>0.31420597921292165</v>
      </c>
      <c r="AN79" s="193">
        <v>0.2596226719345216</v>
      </c>
      <c r="AP79" s="193">
        <v>0.24045193040749605</v>
      </c>
      <c r="AR79" s="193">
        <v>0.21501946640672287</v>
      </c>
      <c r="AT79" s="193">
        <v>0.17877674840875379</v>
      </c>
      <c r="AV79" s="193">
        <v>0.12050762300575511</v>
      </c>
      <c r="XFD79" s="193"/>
    </row>
    <row r="80" spans="1:48 16384:16384" x14ac:dyDescent="0.2">
      <c r="A80" t="s">
        <v>169</v>
      </c>
      <c r="B80" s="236">
        <v>0.20474653863863362</v>
      </c>
      <c r="D80" s="236">
        <v>0.20903545039591973</v>
      </c>
      <c r="F80" s="236">
        <v>0.21342182295457529</v>
      </c>
      <c r="H80" s="236">
        <v>0.21792475348190593</v>
      </c>
      <c r="J80" s="236">
        <v>0.22256736130004598</v>
      </c>
      <c r="L80" s="236">
        <v>0.22737817358400261</v>
      </c>
      <c r="N80" s="236">
        <v>0.23239312787911037</v>
      </c>
      <c r="P80" s="236">
        <v>0.23765846459532633</v>
      </c>
      <c r="R80" s="236">
        <v>0.24323529704165994</v>
      </c>
      <c r="T80" s="236">
        <v>0.24920727281960367</v>
      </c>
      <c r="V80" s="236">
        <v>0.25569308002741931</v>
      </c>
      <c r="X80" s="236">
        <v>0.2628687850490618</v>
      </c>
      <c r="Z80" s="236">
        <v>0.27100839221514378</v>
      </c>
      <c r="AB80" s="236">
        <v>0.28056047297657111</v>
      </c>
      <c r="AD80" s="236">
        <v>0.29229600832276864</v>
      </c>
      <c r="AF80" s="236">
        <v>0.30758910995784433</v>
      </c>
      <c r="AH80" s="236">
        <v>0.3289124923880174</v>
      </c>
      <c r="AJ80" s="236">
        <v>0.36071553659765654</v>
      </c>
      <c r="AL80" s="236">
        <v>0.41225188541708613</v>
      </c>
      <c r="AN80" s="236">
        <v>0.51434200774753225</v>
      </c>
      <c r="AP80" s="236">
        <v>0.5502031466481746</v>
      </c>
      <c r="AR80" s="236">
        <v>0.597777825944934</v>
      </c>
      <c r="AT80" s="236">
        <v>0.66557457363254136</v>
      </c>
      <c r="AV80" s="236">
        <v>0.77457463515514824</v>
      </c>
      <c r="XFD80" s="236"/>
    </row>
    <row r="81" spans="1:48 16384:16384" x14ac:dyDescent="0.2">
      <c r="A81" t="s">
        <v>191</v>
      </c>
      <c r="B81" s="236">
        <v>-2.8869168778265276E-2</v>
      </c>
      <c r="D81" s="236">
        <v>-2.4580257020979133E-2</v>
      </c>
      <c r="F81" s="236">
        <v>-2.0193884462323564E-2</v>
      </c>
      <c r="H81" s="236">
        <v>-1.5690953934992938E-2</v>
      </c>
      <c r="J81" s="236">
        <v>-1.1048346116852882E-2</v>
      </c>
      <c r="L81" s="236">
        <v>-6.2375338328962701E-3</v>
      </c>
      <c r="N81" s="236">
        <v>-1.2225795377885102E-3</v>
      </c>
      <c r="P81" s="236">
        <v>4.0427571784274691E-3</v>
      </c>
      <c r="R81" s="236">
        <v>9.6195896247610498E-3</v>
      </c>
      <c r="T81" s="236">
        <v>1.5591565402704777E-2</v>
      </c>
      <c r="V81" s="236">
        <v>2.2077372610520406E-2</v>
      </c>
      <c r="X81" s="236">
        <v>2.9253077632162935E-2</v>
      </c>
      <c r="Z81" s="236">
        <v>3.7392684798244875E-2</v>
      </c>
      <c r="AB81" s="236">
        <v>4.6944765559672211E-2</v>
      </c>
      <c r="AD81" s="236">
        <v>5.8680300905869745E-2</v>
      </c>
      <c r="AF81" s="236">
        <v>7.3973402540945407E-2</v>
      </c>
      <c r="AH81" s="236">
        <v>9.5296784971118542E-2</v>
      </c>
      <c r="AJ81" s="236">
        <v>0.12709982918075763</v>
      </c>
      <c r="AL81" s="236">
        <v>0.17863617800018725</v>
      </c>
      <c r="AN81" s="236">
        <v>0.28072630033063339</v>
      </c>
      <c r="AP81" s="236">
        <v>0.31658743923127575</v>
      </c>
      <c r="AR81" s="236">
        <v>0.36416211852803509</v>
      </c>
      <c r="AT81" s="236">
        <v>0.4319588662156425</v>
      </c>
      <c r="AV81" s="236">
        <v>0.54095892773824927</v>
      </c>
      <c r="XFD81" s="236"/>
    </row>
    <row r="82" spans="1:48 16384:16384" x14ac:dyDescent="0.2">
      <c r="A82" t="s">
        <v>192</v>
      </c>
      <c r="B82" s="236">
        <v>0</v>
      </c>
      <c r="D82" s="236">
        <v>0</v>
      </c>
      <c r="F82" s="236">
        <v>0</v>
      </c>
      <c r="H82" s="236">
        <v>0</v>
      </c>
      <c r="J82" s="236">
        <v>0</v>
      </c>
      <c r="L82" s="236">
        <v>0</v>
      </c>
      <c r="N82" s="236">
        <v>0</v>
      </c>
      <c r="P82" s="236">
        <v>0</v>
      </c>
      <c r="R82" s="236">
        <v>0</v>
      </c>
      <c r="T82" s="236">
        <v>0</v>
      </c>
      <c r="V82" s="236">
        <v>0</v>
      </c>
      <c r="X82" s="236">
        <v>0</v>
      </c>
      <c r="Z82" s="236">
        <v>0</v>
      </c>
      <c r="AB82" s="236">
        <v>0</v>
      </c>
      <c r="AD82" s="236">
        <v>0</v>
      </c>
      <c r="AF82" s="236">
        <v>0</v>
      </c>
      <c r="AH82" s="236">
        <v>0</v>
      </c>
      <c r="AJ82" s="236">
        <v>0</v>
      </c>
      <c r="AL82" s="236">
        <v>0</v>
      </c>
      <c r="AN82" s="236">
        <v>0</v>
      </c>
      <c r="AP82" s="236">
        <v>0</v>
      </c>
      <c r="AR82" s="236">
        <v>0</v>
      </c>
      <c r="AT82" s="236">
        <v>0</v>
      </c>
      <c r="AV82" s="236">
        <v>0</v>
      </c>
    </row>
    <row r="83" spans="1:48 16384:16384" x14ac:dyDescent="0.2">
      <c r="A83" t="s">
        <v>193</v>
      </c>
      <c r="B83" s="236">
        <v>0.31884317127163775</v>
      </c>
      <c r="D83" s="236">
        <v>0.31626698995630548</v>
      </c>
      <c r="F83" s="236">
        <v>0.31366330548735299</v>
      </c>
      <c r="H83" s="236">
        <v>0.31102525892511823</v>
      </c>
      <c r="J83" s="236">
        <v>0.30834447981758628</v>
      </c>
      <c r="L83" s="236">
        <v>0.30561062505557407</v>
      </c>
      <c r="N83" s="236">
        <v>0.30281082283954425</v>
      </c>
      <c r="P83" s="236">
        <v>0.29992852262478681</v>
      </c>
      <c r="R83" s="236">
        <v>0.29694208817386786</v>
      </c>
      <c r="T83" s="236">
        <v>0.29382213551961389</v>
      </c>
      <c r="V83" s="236">
        <v>0.29052731589016989</v>
      </c>
      <c r="X83" s="236">
        <v>0.28699662023104766</v>
      </c>
      <c r="Z83" s="236">
        <v>0.28313519679390053</v>
      </c>
      <c r="AB83" s="236">
        <v>0.27878695527769937</v>
      </c>
      <c r="AD83" s="236">
        <v>0.27368017721341281</v>
      </c>
      <c r="AF83" s="236">
        <v>0.26732015581137963</v>
      </c>
      <c r="AH83" s="236">
        <v>0.25878944134917498</v>
      </c>
      <c r="AJ83" s="236">
        <v>0.24638000575673641</v>
      </c>
      <c r="AL83" s="236">
        <v>0.22647640242706973</v>
      </c>
      <c r="AN83" s="236">
        <v>0.18713332214594516</v>
      </c>
      <c r="AP83" s="236">
        <v>0.17331525100746498</v>
      </c>
      <c r="AR83" s="236">
        <v>0.15498379542479476</v>
      </c>
      <c r="AT83" s="236">
        <v>0.12886042117545685</v>
      </c>
      <c r="AV83" s="236">
        <v>8.6860641518494125E-2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8"/>
  <dimension ref="A1:XFD83"/>
  <sheetViews>
    <sheetView workbookViewId="0">
      <pane xSplit="1" ySplit="1" topLeftCell="B35" activePane="bottomRight" state="frozen"/>
      <selection pane="topRight" activeCell="B1" sqref="B1"/>
      <selection pane="bottomLeft" activeCell="A2" sqref="A2"/>
      <selection pane="bottomRight" activeCell="B76" sqref="B76"/>
    </sheetView>
  </sheetViews>
  <sheetFormatPr baseColWidth="10" defaultRowHeight="10" x14ac:dyDescent="0.2"/>
  <sheetData>
    <row r="1" spans="1:95" ht="10.5" x14ac:dyDescent="0.25">
      <c r="B1" s="94">
        <v>0</v>
      </c>
      <c r="D1" s="94">
        <v>0.05</v>
      </c>
      <c r="F1" s="94">
        <v>0.1</v>
      </c>
      <c r="H1" s="94">
        <v>0.15000000000000002</v>
      </c>
      <c r="J1" s="94">
        <v>0.2</v>
      </c>
      <c r="L1" s="94">
        <v>0.25</v>
      </c>
      <c r="N1" s="94">
        <v>0.3</v>
      </c>
      <c r="P1" s="94">
        <v>0.35</v>
      </c>
      <c r="R1" s="196">
        <v>0.25</v>
      </c>
      <c r="S1" s="96"/>
      <c r="T1" s="94"/>
      <c r="V1" s="94"/>
      <c r="X1" s="94"/>
      <c r="Z1" s="94"/>
      <c r="AB1" s="94"/>
      <c r="AD1" s="94"/>
      <c r="AF1" s="94"/>
      <c r="AH1" s="94"/>
      <c r="AJ1" s="94"/>
      <c r="AL1" s="94"/>
      <c r="AN1" s="94"/>
      <c r="AP1" s="94"/>
      <c r="AR1" s="94"/>
      <c r="AT1" s="94"/>
      <c r="AV1" s="94"/>
      <c r="AX1" s="94"/>
      <c r="AZ1" s="94"/>
      <c r="BB1" s="94"/>
      <c r="BD1" s="94"/>
      <c r="BF1" s="94"/>
      <c r="BH1" s="94"/>
      <c r="BJ1" s="94"/>
      <c r="BL1" s="94"/>
      <c r="BN1" s="94"/>
      <c r="BP1" s="94"/>
      <c r="BR1" s="94"/>
      <c r="BT1" s="94"/>
      <c r="BV1" s="94"/>
      <c r="BX1" s="94"/>
      <c r="BZ1" s="94"/>
      <c r="CB1" s="94"/>
      <c r="CD1" s="94"/>
      <c r="CF1" s="94"/>
      <c r="CH1" s="94"/>
      <c r="CJ1" s="94"/>
      <c r="CL1" s="94"/>
      <c r="CN1" s="94"/>
      <c r="CP1" s="94"/>
    </row>
    <row r="2" spans="1:95" ht="10.5" x14ac:dyDescent="0.25">
      <c r="A2" s="229" t="s">
        <v>155</v>
      </c>
      <c r="B2" s="226">
        <v>0.16485636072655629</v>
      </c>
      <c r="C2" s="227"/>
      <c r="D2" s="226">
        <v>0.21619906140400463</v>
      </c>
      <c r="E2" s="227"/>
      <c r="F2" s="226">
        <v>0.27562774659217937</v>
      </c>
      <c r="G2" s="227"/>
      <c r="H2" s="226">
        <v>0.34574277892140087</v>
      </c>
      <c r="I2" s="227"/>
      <c r="J2" s="226">
        <v>0.43063217032492157</v>
      </c>
      <c r="K2" s="227"/>
      <c r="L2" s="226">
        <v>0.53736709746979761</v>
      </c>
      <c r="M2" s="227"/>
      <c r="N2" s="226">
        <v>0.68053136476396725</v>
      </c>
      <c r="O2" s="227"/>
      <c r="P2" s="226">
        <v>0.91048066948024797</v>
      </c>
      <c r="Q2" s="227"/>
      <c r="R2" s="230">
        <v>1.0292118005842956</v>
      </c>
      <c r="S2" s="231"/>
      <c r="T2" s="226"/>
      <c r="U2" s="227"/>
      <c r="V2" s="226"/>
      <c r="W2" s="227"/>
      <c r="X2" s="226"/>
      <c r="Y2" s="227"/>
      <c r="Z2" s="226"/>
      <c r="AA2" s="227"/>
      <c r="AB2" s="226"/>
      <c r="AC2" s="227"/>
      <c r="AD2" s="226"/>
      <c r="AE2" s="227"/>
      <c r="AF2" s="226"/>
      <c r="AG2" s="227"/>
      <c r="AH2" s="226"/>
      <c r="AI2" s="227"/>
      <c r="AJ2" s="226"/>
      <c r="AK2" s="227"/>
      <c r="AL2" s="226"/>
      <c r="AM2" s="227"/>
      <c r="AN2" s="226"/>
      <c r="AO2" s="227"/>
      <c r="AP2" s="226"/>
      <c r="AQ2" s="227"/>
      <c r="AR2" s="226"/>
      <c r="AS2" s="227"/>
      <c r="AT2" s="226"/>
      <c r="AU2" s="227"/>
      <c r="AV2" s="226"/>
      <c r="AW2" s="227"/>
      <c r="AX2" s="226"/>
      <c r="AY2" s="228"/>
      <c r="AZ2" s="226"/>
      <c r="BA2" s="228"/>
      <c r="BB2" s="226"/>
      <c r="BC2" s="228"/>
      <c r="BD2" s="226"/>
      <c r="BE2" s="228"/>
      <c r="BF2" s="226"/>
      <c r="BG2" s="228"/>
      <c r="BH2" s="226"/>
      <c r="BI2" s="228"/>
      <c r="BJ2" s="226"/>
      <c r="BK2" s="228"/>
      <c r="BL2" s="226"/>
      <c r="BM2" s="228"/>
      <c r="BN2" s="226"/>
      <c r="BO2" s="228"/>
      <c r="BP2" s="226"/>
      <c r="BQ2" s="228"/>
      <c r="BR2" s="226"/>
      <c r="BS2" s="228"/>
      <c r="BT2" s="226"/>
      <c r="BU2" s="228"/>
      <c r="BV2" s="226"/>
      <c r="BW2" s="228"/>
      <c r="BX2" s="226"/>
      <c r="BY2" s="228"/>
      <c r="BZ2" s="226"/>
      <c r="CA2" s="228"/>
      <c r="CB2" s="226"/>
      <c r="CC2" s="228"/>
      <c r="CD2" s="226"/>
      <c r="CE2" s="228"/>
      <c r="CF2" s="226"/>
      <c r="CG2" s="228"/>
      <c r="CH2" s="226"/>
      <c r="CI2" s="228"/>
      <c r="CJ2" s="226"/>
      <c r="CK2" s="228"/>
      <c r="CL2" s="226"/>
      <c r="CM2" s="228"/>
      <c r="CN2" s="226"/>
      <c r="CO2" s="228"/>
      <c r="CP2" s="226"/>
      <c r="CQ2" s="228"/>
    </row>
    <row r="3" spans="1:95" ht="10.5" x14ac:dyDescent="0.25">
      <c r="A3" t="s">
        <v>12</v>
      </c>
      <c r="B3" s="84">
        <v>1000</v>
      </c>
      <c r="C3" s="85">
        <v>1000</v>
      </c>
      <c r="D3" s="84">
        <v>997.53897519251655</v>
      </c>
      <c r="E3" s="85">
        <v>1036.1433634716275</v>
      </c>
      <c r="F3" s="84">
        <v>995.07871411152269</v>
      </c>
      <c r="G3" s="85">
        <v>1078.126149738353</v>
      </c>
      <c r="H3" s="84">
        <v>992.62011076227543</v>
      </c>
      <c r="I3" s="85">
        <v>1127.6730055754865</v>
      </c>
      <c r="J3" s="84">
        <v>990.16831798891076</v>
      </c>
      <c r="K3" s="85">
        <v>1187.4177746182463</v>
      </c>
      <c r="L3" s="84">
        <v>987.73555616561418</v>
      </c>
      <c r="M3" s="85">
        <v>1261.7641138864394</v>
      </c>
      <c r="N3" s="84">
        <v>985.34460616661079</v>
      </c>
      <c r="O3" s="85">
        <v>1359.4026256680206</v>
      </c>
      <c r="P3" s="84">
        <v>982.99867912623461</v>
      </c>
      <c r="Q3" s="85">
        <v>1508.3632485211906</v>
      </c>
      <c r="R3" s="197">
        <v>984.549858024336</v>
      </c>
      <c r="S3" s="198">
        <v>1481.6852299582974</v>
      </c>
      <c r="T3" s="84"/>
      <c r="U3" s="85"/>
      <c r="V3" s="84"/>
      <c r="W3" s="85"/>
      <c r="X3" s="84"/>
      <c r="Y3" s="85"/>
      <c r="Z3" s="84"/>
      <c r="AA3" s="85"/>
      <c r="AB3" s="84"/>
      <c r="AC3" s="85"/>
      <c r="AD3" s="84"/>
      <c r="AE3" s="85"/>
      <c r="AF3" s="84"/>
      <c r="AG3" s="85"/>
      <c r="AH3" s="84"/>
      <c r="AI3" s="85"/>
      <c r="AJ3" s="84"/>
      <c r="AK3" s="85"/>
      <c r="AL3" s="84"/>
      <c r="AM3" s="85"/>
      <c r="AN3" s="84"/>
      <c r="AO3" s="85"/>
      <c r="AP3" s="84"/>
      <c r="AQ3" s="85"/>
      <c r="AR3" s="84"/>
      <c r="AS3" s="85"/>
      <c r="AT3" s="84"/>
      <c r="AU3" s="85"/>
      <c r="AV3" s="84"/>
      <c r="AW3" s="85"/>
      <c r="AX3" s="84"/>
      <c r="AY3" s="85"/>
      <c r="AZ3" s="84"/>
      <c r="BA3" s="85"/>
      <c r="BB3" s="84"/>
      <c r="BC3" s="85"/>
      <c r="BD3" s="84"/>
      <c r="BE3" s="85"/>
      <c r="BF3" s="84"/>
      <c r="BG3" s="85"/>
      <c r="BH3" s="84"/>
      <c r="BI3" s="85"/>
      <c r="BJ3" s="84"/>
      <c r="BK3" s="85"/>
      <c r="BL3" s="84"/>
      <c r="BM3" s="85"/>
      <c r="BN3" s="84"/>
      <c r="BO3" s="85"/>
      <c r="BP3" s="84"/>
      <c r="BQ3" s="85"/>
      <c r="BR3" s="84"/>
      <c r="BS3" s="85"/>
      <c r="BT3" s="84"/>
      <c r="BU3" s="85"/>
      <c r="BV3" s="84"/>
      <c r="BW3" s="85"/>
      <c r="BX3" s="84"/>
      <c r="BY3" s="85"/>
      <c r="BZ3" s="84"/>
      <c r="CA3" s="85"/>
      <c r="CB3" s="84"/>
      <c r="CC3" s="85"/>
      <c r="CD3" s="84"/>
      <c r="CE3" s="85"/>
      <c r="CF3" s="84"/>
      <c r="CG3" s="85"/>
      <c r="CH3" s="84"/>
      <c r="CI3" s="85"/>
      <c r="CJ3" s="84"/>
      <c r="CK3" s="85"/>
      <c r="CL3" s="84"/>
      <c r="CM3" s="85"/>
      <c r="CN3" s="84"/>
      <c r="CO3" s="85"/>
      <c r="CP3" s="84"/>
      <c r="CQ3" s="85"/>
    </row>
    <row r="4" spans="1:95" ht="10.5" x14ac:dyDescent="0.25">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99">
        <v>1000</v>
      </c>
      <c r="S4" s="200">
        <v>1000</v>
      </c>
      <c r="T4" s="101"/>
      <c r="U4" s="102"/>
      <c r="V4" s="101"/>
      <c r="W4" s="102"/>
      <c r="X4" s="101"/>
      <c r="Y4" s="102"/>
      <c r="Z4" s="101"/>
      <c r="AA4" s="102"/>
      <c r="AB4" s="101"/>
      <c r="AC4" s="102"/>
      <c r="AD4" s="101"/>
      <c r="AE4" s="102"/>
      <c r="AF4" s="101"/>
      <c r="AG4" s="102"/>
      <c r="AH4" s="101"/>
      <c r="AI4" s="102"/>
      <c r="AJ4" s="101"/>
      <c r="AK4" s="102"/>
      <c r="AL4" s="101"/>
      <c r="AM4" s="102"/>
      <c r="AN4" s="101"/>
      <c r="AO4" s="102"/>
      <c r="AP4" s="101"/>
      <c r="AQ4" s="102"/>
      <c r="AR4" s="101"/>
      <c r="AS4" s="102"/>
      <c r="AT4" s="101"/>
      <c r="AU4" s="102"/>
      <c r="AV4" s="101"/>
      <c r="AW4" s="102"/>
      <c r="AX4" s="59"/>
      <c r="AY4" s="60"/>
      <c r="AZ4" s="59"/>
      <c r="BA4" s="60"/>
      <c r="BB4" s="59"/>
      <c r="BC4" s="60"/>
      <c r="BD4" s="59"/>
      <c r="BE4" s="60"/>
      <c r="BF4" s="59"/>
      <c r="BG4" s="60"/>
      <c r="BH4" s="59"/>
      <c r="BI4" s="60"/>
      <c r="BJ4" s="59"/>
      <c r="BK4" s="60"/>
      <c r="BL4" s="59"/>
      <c r="BM4" s="60"/>
      <c r="BN4" s="59"/>
      <c r="BO4" s="60"/>
      <c r="BP4" s="59"/>
      <c r="BQ4" s="60"/>
      <c r="BR4" s="59"/>
      <c r="BS4" s="60"/>
      <c r="BT4" s="59"/>
      <c r="BU4" s="60"/>
      <c r="BV4" s="59"/>
      <c r="BW4" s="60"/>
      <c r="BX4" s="59"/>
      <c r="BY4" s="60"/>
      <c r="BZ4" s="59"/>
      <c r="CA4" s="60"/>
      <c r="CB4" s="59"/>
      <c r="CC4" s="60"/>
      <c r="CD4" s="59"/>
      <c r="CE4" s="60"/>
      <c r="CF4" s="59"/>
      <c r="CG4" s="60"/>
      <c r="CH4" s="59"/>
      <c r="CI4" s="60"/>
      <c r="CJ4" s="59"/>
      <c r="CK4" s="60"/>
      <c r="CL4" s="59"/>
      <c r="CM4" s="60"/>
      <c r="CN4" s="59"/>
      <c r="CO4" s="60"/>
      <c r="CP4" s="59"/>
      <c r="CQ4" s="60"/>
    </row>
    <row r="5" spans="1:95" ht="10.5" x14ac:dyDescent="0.25">
      <c r="A5" t="s">
        <v>128</v>
      </c>
      <c r="B5" s="41">
        <v>1000</v>
      </c>
      <c r="C5" s="42">
        <v>1000</v>
      </c>
      <c r="D5" s="41">
        <v>997.47592950676517</v>
      </c>
      <c r="E5" s="42">
        <v>1023.9381286111591</v>
      </c>
      <c r="F5" s="41">
        <v>994.94994810101866</v>
      </c>
      <c r="G5" s="42">
        <v>1049.9906700940173</v>
      </c>
      <c r="H5" s="41">
        <v>992.42295752232599</v>
      </c>
      <c r="I5" s="42">
        <v>1078.4635187551071</v>
      </c>
      <c r="J5" s="41">
        <v>989.90024728530022</v>
      </c>
      <c r="K5" s="42">
        <v>1109.7652980451057</v>
      </c>
      <c r="L5" s="41">
        <v>987.39441387602869</v>
      </c>
      <c r="M5" s="42">
        <v>1144.5148002636829</v>
      </c>
      <c r="N5" s="41">
        <v>984.9290032633387</v>
      </c>
      <c r="O5" s="42">
        <v>1183.909558046636</v>
      </c>
      <c r="P5" s="41">
        <v>982.50745017301369</v>
      </c>
      <c r="Q5" s="42">
        <v>1232.6216043482586</v>
      </c>
      <c r="R5" s="201">
        <v>984.10892047887853</v>
      </c>
      <c r="S5" s="202">
        <v>1224.7846071517033</v>
      </c>
      <c r="T5" s="41"/>
      <c r="U5" s="42"/>
      <c r="V5" s="41"/>
      <c r="W5" s="42"/>
      <c r="X5" s="41"/>
      <c r="Y5" s="42"/>
      <c r="Z5" s="41"/>
      <c r="AA5" s="42"/>
      <c r="AB5" s="41"/>
      <c r="AC5" s="42"/>
      <c r="AD5" s="41"/>
      <c r="AE5" s="42"/>
      <c r="AF5" s="41"/>
      <c r="AG5" s="42"/>
      <c r="AH5" s="41"/>
      <c r="AI5" s="42"/>
      <c r="AJ5" s="41"/>
      <c r="AK5" s="42"/>
      <c r="AL5" s="41"/>
      <c r="AM5" s="42"/>
      <c r="AN5" s="41"/>
      <c r="AO5" s="42"/>
      <c r="AP5" s="41"/>
      <c r="AQ5" s="42"/>
      <c r="AR5" s="41"/>
      <c r="AS5" s="42"/>
      <c r="AT5" s="41"/>
      <c r="AU5" s="42"/>
      <c r="AV5" s="41"/>
      <c r="AW5" s="42"/>
      <c r="AX5" s="41"/>
      <c r="AY5" s="42"/>
      <c r="AZ5" s="41"/>
      <c r="BA5" s="42"/>
      <c r="BB5" s="41"/>
      <c r="BC5" s="42"/>
      <c r="BD5" s="41"/>
      <c r="BE5" s="42"/>
      <c r="BF5" s="41"/>
      <c r="BG5" s="42"/>
      <c r="BH5" s="41"/>
      <c r="BI5" s="42"/>
      <c r="BJ5" s="41"/>
      <c r="BK5" s="42"/>
      <c r="BL5" s="41"/>
      <c r="BM5" s="42"/>
      <c r="BN5" s="41"/>
      <c r="BO5" s="42"/>
      <c r="BP5" s="41"/>
      <c r="BQ5" s="42"/>
      <c r="BR5" s="41"/>
      <c r="BS5" s="42"/>
      <c r="BT5" s="41"/>
      <c r="BU5" s="42"/>
      <c r="BV5" s="41"/>
      <c r="BW5" s="42"/>
      <c r="BX5" s="41"/>
      <c r="BY5" s="42"/>
      <c r="BZ5" s="41"/>
      <c r="CA5" s="42"/>
      <c r="CB5" s="41"/>
      <c r="CC5" s="42"/>
      <c r="CD5" s="41"/>
      <c r="CE5" s="42"/>
      <c r="CF5" s="41"/>
      <c r="CG5" s="42"/>
      <c r="CH5" s="41"/>
      <c r="CI5" s="42"/>
      <c r="CJ5" s="41"/>
      <c r="CK5" s="42"/>
      <c r="CL5" s="41"/>
      <c r="CM5" s="42"/>
      <c r="CN5" s="41"/>
      <c r="CO5" s="42"/>
      <c r="CP5" s="41"/>
      <c r="CQ5" s="42"/>
    </row>
    <row r="6" spans="1:95" ht="10.5" x14ac:dyDescent="0.25">
      <c r="A6" t="s">
        <v>77</v>
      </c>
      <c r="B6" s="41">
        <v>999.99999999999886</v>
      </c>
      <c r="C6" s="42">
        <v>999.99999999999909</v>
      </c>
      <c r="D6" s="41">
        <v>997.24216904602997</v>
      </c>
      <c r="E6" s="42">
        <v>1038.9402804605138</v>
      </c>
      <c r="F6" s="41">
        <v>994.48354397357502</v>
      </c>
      <c r="G6" s="42">
        <v>1083.9293856860827</v>
      </c>
      <c r="H6" s="41">
        <v>991.72511078078526</v>
      </c>
      <c r="I6" s="42">
        <v>1136.7423409699143</v>
      </c>
      <c r="J6" s="41">
        <v>988.97264027499853</v>
      </c>
      <c r="K6" s="42">
        <v>1200.091423258222</v>
      </c>
      <c r="L6" s="41">
        <v>986.23985894048405</v>
      </c>
      <c r="M6" s="42">
        <v>1278.5147210976229</v>
      </c>
      <c r="N6" s="41">
        <v>983.5524009692424</v>
      </c>
      <c r="O6" s="42">
        <v>1380.9781275478822</v>
      </c>
      <c r="P6" s="41">
        <v>980.91394663633878</v>
      </c>
      <c r="Q6" s="42">
        <v>1536.4681509320303</v>
      </c>
      <c r="R6" s="201">
        <v>982.658729751598</v>
      </c>
      <c r="S6" s="202">
        <v>1508.6798045582641</v>
      </c>
      <c r="T6" s="41"/>
      <c r="U6" s="42"/>
      <c r="V6" s="41"/>
      <c r="W6" s="42"/>
      <c r="X6" s="41"/>
      <c r="Y6" s="42"/>
      <c r="Z6" s="41"/>
      <c r="AA6" s="42"/>
      <c r="AB6" s="41"/>
      <c r="AC6" s="42"/>
      <c r="AD6" s="41"/>
      <c r="AE6" s="42"/>
      <c r="AF6" s="41"/>
      <c r="AG6" s="42"/>
      <c r="AH6" s="41"/>
      <c r="AI6" s="42"/>
      <c r="AJ6" s="41"/>
      <c r="AK6" s="42"/>
      <c r="AL6" s="41"/>
      <c r="AM6" s="42"/>
      <c r="AN6" s="41"/>
      <c r="AO6" s="42"/>
      <c r="AP6" s="41"/>
      <c r="AQ6" s="42"/>
      <c r="AR6" s="41"/>
      <c r="AS6" s="42"/>
      <c r="AT6" s="41"/>
      <c r="AU6" s="42"/>
      <c r="AV6" s="41"/>
      <c r="AW6" s="42"/>
      <c r="AX6" s="41"/>
      <c r="AY6" s="42"/>
      <c r="AZ6" s="41"/>
      <c r="BA6" s="42"/>
      <c r="BB6" s="41"/>
      <c r="BC6" s="42"/>
      <c r="BD6" s="41"/>
      <c r="BE6" s="42"/>
      <c r="BF6" s="41"/>
      <c r="BG6" s="42"/>
      <c r="BH6" s="41"/>
      <c r="BI6" s="42"/>
      <c r="BJ6" s="41"/>
      <c r="BK6" s="42"/>
      <c r="BL6" s="41"/>
      <c r="BM6" s="42"/>
      <c r="BN6" s="41"/>
      <c r="BO6" s="42"/>
      <c r="BP6" s="41"/>
      <c r="BQ6" s="42"/>
      <c r="BR6" s="41"/>
      <c r="BS6" s="42"/>
      <c r="BT6" s="41"/>
      <c r="BU6" s="42"/>
      <c r="BV6" s="41"/>
      <c r="BW6" s="42"/>
      <c r="BX6" s="41"/>
      <c r="BY6" s="42"/>
      <c r="BZ6" s="41"/>
      <c r="CA6" s="42"/>
      <c r="CB6" s="41"/>
      <c r="CC6" s="42"/>
      <c r="CD6" s="41"/>
      <c r="CE6" s="42"/>
      <c r="CF6" s="41"/>
      <c r="CG6" s="42"/>
      <c r="CH6" s="41"/>
      <c r="CI6" s="42"/>
      <c r="CJ6" s="41"/>
      <c r="CK6" s="42"/>
      <c r="CL6" s="41"/>
      <c r="CM6" s="42"/>
      <c r="CN6" s="41"/>
      <c r="CO6" s="42"/>
      <c r="CP6" s="41"/>
      <c r="CQ6" s="42"/>
    </row>
    <row r="7" spans="1:95" ht="10.5" x14ac:dyDescent="0.25">
      <c r="A7" t="s">
        <v>13</v>
      </c>
      <c r="B7" s="33">
        <v>1059.2664648168009</v>
      </c>
      <c r="C7" s="34">
        <v>1059.2664648168009</v>
      </c>
      <c r="D7" s="33">
        <v>1056.5928015884836</v>
      </c>
      <c r="E7" s="34">
        <v>1056.5928015884836</v>
      </c>
      <c r="F7" s="33">
        <v>1053.9171141946256</v>
      </c>
      <c r="G7" s="34">
        <v>1053.9171141946256</v>
      </c>
      <c r="H7" s="33">
        <v>1051.2403578177084</v>
      </c>
      <c r="I7" s="34">
        <v>1051.2403578177084</v>
      </c>
      <c r="J7" s="33">
        <v>1048.568135463177</v>
      </c>
      <c r="K7" s="34">
        <v>1048.568135463177</v>
      </c>
      <c r="L7" s="33">
        <v>1045.913790166318</v>
      </c>
      <c r="M7" s="34">
        <v>1045.913790166318</v>
      </c>
      <c r="N7" s="33">
        <v>1043.302263382292</v>
      </c>
      <c r="O7" s="34">
        <v>1043.302263382292</v>
      </c>
      <c r="P7" s="33">
        <v>1040.7371934009373</v>
      </c>
      <c r="Q7" s="34">
        <v>1040.7371934009373</v>
      </c>
      <c r="R7" s="203">
        <v>1042.43357719034</v>
      </c>
      <c r="S7" s="204">
        <v>1042.43357719034</v>
      </c>
      <c r="T7" s="33"/>
      <c r="U7" s="34"/>
      <c r="V7" s="33"/>
      <c r="W7" s="34"/>
      <c r="X7" s="33"/>
      <c r="Y7" s="34"/>
      <c r="Z7" s="33"/>
      <c r="AA7" s="34"/>
      <c r="AB7" s="33"/>
      <c r="AC7" s="34"/>
      <c r="AD7" s="33"/>
      <c r="AE7" s="34"/>
      <c r="AF7" s="33"/>
      <c r="AG7" s="34"/>
      <c r="AH7" s="33"/>
      <c r="AI7" s="34"/>
      <c r="AJ7" s="33"/>
      <c r="AK7" s="34"/>
      <c r="AL7" s="33"/>
      <c r="AM7" s="34"/>
      <c r="AN7" s="33"/>
      <c r="AO7" s="34"/>
      <c r="AP7" s="33"/>
      <c r="AQ7" s="34"/>
      <c r="AR7" s="33"/>
      <c r="AS7" s="34"/>
      <c r="AT7" s="33"/>
      <c r="AU7" s="34"/>
      <c r="AV7" s="33"/>
      <c r="AW7" s="34"/>
      <c r="AX7" s="33"/>
      <c r="AY7" s="34"/>
      <c r="AZ7" s="33"/>
      <c r="BA7" s="34"/>
      <c r="BB7" s="33"/>
      <c r="BC7" s="34"/>
      <c r="BD7" s="33"/>
      <c r="BE7" s="34"/>
      <c r="BF7" s="33"/>
      <c r="BG7" s="34"/>
      <c r="BH7" s="33"/>
      <c r="BI7" s="34"/>
      <c r="BJ7" s="33"/>
      <c r="BK7" s="34"/>
      <c r="BL7" s="33"/>
      <c r="BM7" s="34"/>
      <c r="BN7" s="33"/>
      <c r="BO7" s="34"/>
      <c r="BP7" s="33"/>
      <c r="BQ7" s="34"/>
      <c r="BR7" s="33"/>
      <c r="BS7" s="34"/>
      <c r="BT7" s="33"/>
      <c r="BU7" s="34"/>
      <c r="BV7" s="33"/>
      <c r="BW7" s="34"/>
      <c r="BX7" s="33"/>
      <c r="BY7" s="34"/>
      <c r="BZ7" s="33"/>
      <c r="CA7" s="34"/>
      <c r="CB7" s="33"/>
      <c r="CC7" s="34"/>
      <c r="CD7" s="33"/>
      <c r="CE7" s="34"/>
      <c r="CF7" s="33"/>
      <c r="CG7" s="34"/>
      <c r="CH7" s="33"/>
      <c r="CI7" s="34"/>
      <c r="CJ7" s="33"/>
      <c r="CK7" s="34"/>
      <c r="CL7" s="33"/>
      <c r="CM7" s="34"/>
      <c r="CN7" s="33"/>
      <c r="CO7" s="34"/>
      <c r="CP7" s="33"/>
      <c r="CQ7" s="34"/>
    </row>
    <row r="8" spans="1:95" ht="10.5" x14ac:dyDescent="0.25">
      <c r="B8" s="35">
        <v>1164.8563607265562</v>
      </c>
      <c r="C8" s="36">
        <v>1164.8563607265562</v>
      </c>
      <c r="D8" s="35">
        <v>1245.3125909526646</v>
      </c>
      <c r="E8" s="36">
        <v>1245.3125909526646</v>
      </c>
      <c r="F8" s="35">
        <v>1339.3972324348435</v>
      </c>
      <c r="G8" s="36">
        <v>1339.3972324348435</v>
      </c>
      <c r="H8" s="35">
        <v>1451.3344926948503</v>
      </c>
      <c r="I8" s="36">
        <v>1451.3344926948503</v>
      </c>
      <c r="J8" s="35">
        <v>1587.6659368935532</v>
      </c>
      <c r="K8" s="36">
        <v>1587.6659368935532</v>
      </c>
      <c r="L8" s="35">
        <v>1759.5393964926034</v>
      </c>
      <c r="M8" s="36">
        <v>1759.5393964926034</v>
      </c>
      <c r="N8" s="35">
        <v>1989.5971453412185</v>
      </c>
      <c r="O8" s="36">
        <v>1989.5971453412185</v>
      </c>
      <c r="P8" s="35">
        <v>2354.8997478910783</v>
      </c>
      <c r="Q8" s="36">
        <v>2354.8997478910783</v>
      </c>
      <c r="R8" s="205">
        <v>2485.3473780062372</v>
      </c>
      <c r="S8" s="206">
        <v>2485.3473780062372</v>
      </c>
      <c r="T8" s="35"/>
      <c r="U8" s="36"/>
      <c r="V8" s="35"/>
      <c r="W8" s="36"/>
      <c r="X8" s="35"/>
      <c r="Y8" s="36"/>
      <c r="Z8" s="35"/>
      <c r="AA8" s="36"/>
      <c r="AB8" s="35"/>
      <c r="AC8" s="36"/>
      <c r="AD8" s="35"/>
      <c r="AE8" s="36"/>
      <c r="AF8" s="35"/>
      <c r="AG8" s="36"/>
      <c r="AH8" s="35"/>
      <c r="AI8" s="36"/>
      <c r="AJ8" s="35"/>
      <c r="AK8" s="36"/>
      <c r="AL8" s="35"/>
      <c r="AM8" s="36"/>
      <c r="AN8" s="35"/>
      <c r="AO8" s="36"/>
      <c r="AP8" s="35"/>
      <c r="AQ8" s="36"/>
      <c r="AR8" s="35"/>
      <c r="AS8" s="36"/>
      <c r="AT8" s="35"/>
      <c r="AU8" s="36"/>
      <c r="AV8" s="35"/>
      <c r="AW8" s="36"/>
      <c r="AX8" s="35"/>
      <c r="AY8" s="36"/>
      <c r="AZ8" s="35"/>
      <c r="BA8" s="36"/>
      <c r="BB8" s="35"/>
      <c r="BC8" s="36"/>
      <c r="BD8" s="35"/>
      <c r="BE8" s="36"/>
      <c r="BF8" s="35"/>
      <c r="BG8" s="36"/>
      <c r="BH8" s="35"/>
      <c r="BI8" s="36"/>
      <c r="BJ8" s="35"/>
      <c r="BK8" s="36"/>
      <c r="BL8" s="35"/>
      <c r="BM8" s="36"/>
      <c r="BN8" s="35"/>
      <c r="BO8" s="36"/>
      <c r="BP8" s="35"/>
      <c r="BQ8" s="36"/>
      <c r="BR8" s="35"/>
      <c r="BS8" s="36"/>
      <c r="BT8" s="35"/>
      <c r="BU8" s="36"/>
      <c r="BV8" s="35"/>
      <c r="BW8" s="36"/>
      <c r="BX8" s="35"/>
      <c r="BY8" s="36"/>
      <c r="BZ8" s="35"/>
      <c r="CA8" s="36"/>
      <c r="CB8" s="35"/>
      <c r="CC8" s="36"/>
      <c r="CD8" s="35"/>
      <c r="CE8" s="36"/>
      <c r="CF8" s="35"/>
      <c r="CG8" s="36"/>
      <c r="CH8" s="35"/>
      <c r="CI8" s="36"/>
      <c r="CJ8" s="35"/>
      <c r="CK8" s="36"/>
      <c r="CL8" s="35"/>
      <c r="CM8" s="36"/>
      <c r="CN8" s="35"/>
      <c r="CO8" s="36"/>
      <c r="CP8" s="35"/>
      <c r="CQ8" s="36"/>
    </row>
    <row r="9" spans="1:95" ht="10.5" x14ac:dyDescent="0.25">
      <c r="A9" t="s">
        <v>14</v>
      </c>
      <c r="B9" s="41">
        <v>1059.2664648168009</v>
      </c>
      <c r="C9" s="42">
        <v>1164.8563607265562</v>
      </c>
      <c r="D9" s="41">
        <v>1056.5928015884836</v>
      </c>
      <c r="E9" s="42">
        <v>1245.3125909526646</v>
      </c>
      <c r="F9" s="41">
        <v>1053.9171141946256</v>
      </c>
      <c r="G9" s="42">
        <v>1339.3972324348435</v>
      </c>
      <c r="H9" s="41">
        <v>1051.2403578177084</v>
      </c>
      <c r="I9" s="42">
        <v>1451.3344926948503</v>
      </c>
      <c r="J9" s="41">
        <v>1048.568135463177</v>
      </c>
      <c r="K9" s="42">
        <v>1587.6659368935532</v>
      </c>
      <c r="L9" s="41">
        <v>1045.913790166318</v>
      </c>
      <c r="M9" s="42">
        <v>1759.5393964926034</v>
      </c>
      <c r="N9" s="41">
        <v>1043.302263382292</v>
      </c>
      <c r="O9" s="42">
        <v>1989.5971453412185</v>
      </c>
      <c r="P9" s="41">
        <v>1040.7371934009373</v>
      </c>
      <c r="Q9" s="42">
        <v>2354.8997478910783</v>
      </c>
      <c r="R9" s="201">
        <v>1042.43357719034</v>
      </c>
      <c r="S9" s="202">
        <v>2485.3473780062372</v>
      </c>
      <c r="T9" s="41"/>
      <c r="U9" s="42"/>
      <c r="V9" s="41"/>
      <c r="W9" s="42"/>
      <c r="X9" s="41"/>
      <c r="Y9" s="42"/>
      <c r="Z9" s="41"/>
      <c r="AA9" s="42"/>
      <c r="AB9" s="41"/>
      <c r="AC9" s="42"/>
      <c r="AD9" s="41"/>
      <c r="AE9" s="42"/>
      <c r="AF9" s="41"/>
      <c r="AG9" s="42"/>
      <c r="AH9" s="41"/>
      <c r="AI9" s="42"/>
      <c r="AJ9" s="41"/>
      <c r="AK9" s="42"/>
      <c r="AL9" s="41"/>
      <c r="AM9" s="42"/>
      <c r="AN9" s="41"/>
      <c r="AO9" s="42"/>
      <c r="AP9" s="41"/>
      <c r="AQ9" s="42"/>
      <c r="AR9" s="41"/>
      <c r="AS9" s="42"/>
      <c r="AT9" s="41"/>
      <c r="AU9" s="42"/>
      <c r="AV9" s="41"/>
      <c r="AW9" s="42"/>
      <c r="AX9" s="41"/>
      <c r="AY9" s="42"/>
      <c r="AZ9" s="41"/>
      <c r="BA9" s="42"/>
      <c r="BB9" s="41"/>
      <c r="BC9" s="42"/>
      <c r="BD9" s="41"/>
      <c r="BE9" s="42"/>
      <c r="BF9" s="41"/>
      <c r="BG9" s="42"/>
      <c r="BH9" s="41"/>
      <c r="BI9" s="42"/>
      <c r="BJ9" s="41"/>
      <c r="BK9" s="42"/>
      <c r="BL9" s="41"/>
      <c r="BM9" s="42"/>
      <c r="BN9" s="41"/>
      <c r="BO9" s="42"/>
      <c r="BP9" s="41"/>
      <c r="BQ9" s="42"/>
      <c r="BR9" s="41"/>
      <c r="BS9" s="42"/>
      <c r="BT9" s="41"/>
      <c r="BU9" s="42"/>
      <c r="BV9" s="41"/>
      <c r="BW9" s="42"/>
      <c r="BX9" s="41"/>
      <c r="BY9" s="42"/>
      <c r="BZ9" s="41"/>
      <c r="CA9" s="42"/>
      <c r="CB9" s="41"/>
      <c r="CC9" s="42"/>
      <c r="CD9" s="41"/>
      <c r="CE9" s="42"/>
      <c r="CF9" s="41"/>
      <c r="CG9" s="42"/>
      <c r="CH9" s="41"/>
      <c r="CI9" s="42"/>
      <c r="CJ9" s="41"/>
      <c r="CK9" s="42"/>
      <c r="CL9" s="41"/>
      <c r="CM9" s="42"/>
      <c r="CN9" s="41"/>
      <c r="CO9" s="42"/>
      <c r="CP9" s="41"/>
      <c r="CQ9" s="42"/>
    </row>
    <row r="10" spans="1:95" ht="10.5" x14ac:dyDescent="0.25">
      <c r="A10" t="s">
        <v>15</v>
      </c>
      <c r="B10" s="41">
        <v>1059.2664648168009</v>
      </c>
      <c r="C10" s="42">
        <v>1164.8563607265562</v>
      </c>
      <c r="D10" s="41">
        <v>1056.5928015884836</v>
      </c>
      <c r="E10" s="42">
        <v>1245.3125909526646</v>
      </c>
      <c r="F10" s="41">
        <v>1053.9171141946256</v>
      </c>
      <c r="G10" s="42">
        <v>1339.3972324348435</v>
      </c>
      <c r="H10" s="41">
        <v>1051.2403578177084</v>
      </c>
      <c r="I10" s="42">
        <v>1451.3344926948503</v>
      </c>
      <c r="J10" s="41">
        <v>1048.568135463177</v>
      </c>
      <c r="K10" s="42">
        <v>1587.6659368935532</v>
      </c>
      <c r="L10" s="41">
        <v>1045.913790166318</v>
      </c>
      <c r="M10" s="42">
        <v>1759.5393964926034</v>
      </c>
      <c r="N10" s="41">
        <v>1043.302263382292</v>
      </c>
      <c r="O10" s="42">
        <v>1989.5971453412185</v>
      </c>
      <c r="P10" s="41">
        <v>1040.7371934009373</v>
      </c>
      <c r="Q10" s="42">
        <v>2354.8997478910783</v>
      </c>
      <c r="R10" s="201">
        <v>1042.43357719034</v>
      </c>
      <c r="S10" s="202">
        <v>2485.3473780062372</v>
      </c>
      <c r="T10" s="41"/>
      <c r="U10" s="42"/>
      <c r="V10" s="41"/>
      <c r="W10" s="42"/>
      <c r="X10" s="41"/>
      <c r="Y10" s="42"/>
      <c r="Z10" s="41"/>
      <c r="AA10" s="42"/>
      <c r="AB10" s="41"/>
      <c r="AC10" s="42"/>
      <c r="AD10" s="41"/>
      <c r="AE10" s="42"/>
      <c r="AF10" s="41"/>
      <c r="AG10" s="42"/>
      <c r="AH10" s="41"/>
      <c r="AI10" s="42"/>
      <c r="AJ10" s="41"/>
      <c r="AK10" s="42"/>
      <c r="AL10" s="41"/>
      <c r="AM10" s="42"/>
      <c r="AN10" s="41"/>
      <c r="AO10" s="42"/>
      <c r="AP10" s="41"/>
      <c r="AQ10" s="42"/>
      <c r="AR10" s="41"/>
      <c r="AS10" s="42"/>
      <c r="AT10" s="41"/>
      <c r="AU10" s="42"/>
      <c r="AV10" s="41"/>
      <c r="AW10" s="42"/>
      <c r="AX10" s="41"/>
      <c r="AY10" s="42"/>
      <c r="AZ10" s="41"/>
      <c r="BA10" s="42"/>
      <c r="BB10" s="41"/>
      <c r="BC10" s="42"/>
      <c r="BD10" s="41"/>
      <c r="BE10" s="42"/>
      <c r="BF10" s="41"/>
      <c r="BG10" s="42"/>
      <c r="BH10" s="41"/>
      <c r="BI10" s="42"/>
      <c r="BJ10" s="41"/>
      <c r="BK10" s="42"/>
      <c r="BL10" s="41"/>
      <c r="BM10" s="42"/>
      <c r="BN10" s="41"/>
      <c r="BO10" s="42"/>
      <c r="BP10" s="41"/>
      <c r="BQ10" s="42"/>
      <c r="BR10" s="41"/>
      <c r="BS10" s="42"/>
      <c r="BT10" s="41"/>
      <c r="BU10" s="42"/>
      <c r="BV10" s="41"/>
      <c r="BW10" s="42"/>
      <c r="BX10" s="41"/>
      <c r="BY10" s="42"/>
      <c r="BZ10" s="41"/>
      <c r="CA10" s="42"/>
      <c r="CB10" s="41"/>
      <c r="CC10" s="42"/>
      <c r="CD10" s="41"/>
      <c r="CE10" s="42"/>
      <c r="CF10" s="41"/>
      <c r="CG10" s="42"/>
      <c r="CH10" s="41"/>
      <c r="CI10" s="42"/>
      <c r="CJ10" s="41"/>
      <c r="CK10" s="42"/>
      <c r="CL10" s="41"/>
      <c r="CM10" s="42"/>
      <c r="CN10" s="41"/>
      <c r="CO10" s="42"/>
      <c r="CP10" s="41"/>
      <c r="CQ10" s="42"/>
    </row>
    <row r="11" spans="1:95" ht="10.5" x14ac:dyDescent="0.25">
      <c r="A11" t="s">
        <v>29</v>
      </c>
      <c r="B11" s="41">
        <v>1059.2664648168009</v>
      </c>
      <c r="C11" s="42">
        <v>1164.8563607265562</v>
      </c>
      <c r="D11" s="41">
        <v>1056.5928015884836</v>
      </c>
      <c r="E11" s="42">
        <v>1245.3125909526646</v>
      </c>
      <c r="F11" s="41">
        <v>1053.9171141946256</v>
      </c>
      <c r="G11" s="42">
        <v>1339.3972324348435</v>
      </c>
      <c r="H11" s="41">
        <v>1051.2403578177084</v>
      </c>
      <c r="I11" s="42">
        <v>1451.3344926948503</v>
      </c>
      <c r="J11" s="41">
        <v>1048.568135463177</v>
      </c>
      <c r="K11" s="42">
        <v>1587.6659368935532</v>
      </c>
      <c r="L11" s="41">
        <v>1045.913790166318</v>
      </c>
      <c r="M11" s="42">
        <v>1759.5393964926034</v>
      </c>
      <c r="N11" s="41">
        <v>1043.302263382292</v>
      </c>
      <c r="O11" s="42">
        <v>1989.5971453412185</v>
      </c>
      <c r="P11" s="41">
        <v>1040.7371934009373</v>
      </c>
      <c r="Q11" s="42">
        <v>2354.8997478910783</v>
      </c>
      <c r="R11" s="201">
        <v>1042.43357719034</v>
      </c>
      <c r="S11" s="202">
        <v>2485.3473780062372</v>
      </c>
      <c r="T11" s="41"/>
      <c r="U11" s="42"/>
      <c r="V11" s="41"/>
      <c r="W11" s="42"/>
      <c r="X11" s="41"/>
      <c r="Y11" s="42"/>
      <c r="Z11" s="41"/>
      <c r="AA11" s="42"/>
      <c r="AB11" s="41"/>
      <c r="AC11" s="42"/>
      <c r="AD11" s="41"/>
      <c r="AE11" s="42"/>
      <c r="AF11" s="41"/>
      <c r="AG11" s="42"/>
      <c r="AH11" s="41"/>
      <c r="AI11" s="42"/>
      <c r="AJ11" s="41"/>
      <c r="AK11" s="42"/>
      <c r="AL11" s="41"/>
      <c r="AM11" s="42"/>
      <c r="AN11" s="41"/>
      <c r="AO11" s="42"/>
      <c r="AP11" s="41"/>
      <c r="AQ11" s="42"/>
      <c r="AR11" s="41"/>
      <c r="AS11" s="42"/>
      <c r="AT11" s="41"/>
      <c r="AU11" s="42"/>
      <c r="AV11" s="41"/>
      <c r="AW11" s="42"/>
      <c r="AX11" s="41"/>
      <c r="AY11" s="42"/>
      <c r="AZ11" s="41"/>
      <c r="BA11" s="42"/>
      <c r="BB11" s="41"/>
      <c r="BC11" s="42"/>
      <c r="BD11" s="41"/>
      <c r="BE11" s="42"/>
      <c r="BF11" s="41"/>
      <c r="BG11" s="42"/>
      <c r="BH11" s="41"/>
      <c r="BI11" s="42"/>
      <c r="BJ11" s="41"/>
      <c r="BK11" s="42"/>
      <c r="BL11" s="41"/>
      <c r="BM11" s="42"/>
      <c r="BN11" s="41"/>
      <c r="BO11" s="42"/>
      <c r="BP11" s="41"/>
      <c r="BQ11" s="42"/>
      <c r="BR11" s="41"/>
      <c r="BS11" s="42"/>
      <c r="BT11" s="41"/>
      <c r="BU11" s="42"/>
      <c r="BV11" s="41"/>
      <c r="BW11" s="42"/>
      <c r="BX11" s="41"/>
      <c r="BY11" s="42"/>
      <c r="BZ11" s="41"/>
      <c r="CA11" s="42"/>
      <c r="CB11" s="41"/>
      <c r="CC11" s="42"/>
      <c r="CD11" s="41"/>
      <c r="CE11" s="42"/>
      <c r="CF11" s="41"/>
      <c r="CG11" s="42"/>
      <c r="CH11" s="41"/>
      <c r="CI11" s="42"/>
      <c r="CJ11" s="41"/>
      <c r="CK11" s="42"/>
      <c r="CL11" s="41"/>
      <c r="CM11" s="42"/>
      <c r="CN11" s="41"/>
      <c r="CO11" s="42"/>
      <c r="CP11" s="41"/>
      <c r="CQ11" s="42"/>
    </row>
    <row r="12" spans="1:95" ht="10.5" x14ac:dyDescent="0.25">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201">
        <v>1000</v>
      </c>
      <c r="S12" s="202">
        <v>1000</v>
      </c>
      <c r="T12" s="41"/>
      <c r="U12" s="42"/>
      <c r="V12" s="41"/>
      <c r="W12" s="42"/>
      <c r="X12" s="41"/>
      <c r="Y12" s="42"/>
      <c r="Z12" s="41"/>
      <c r="AA12" s="42"/>
      <c r="AB12" s="41"/>
      <c r="AC12" s="42"/>
      <c r="AD12" s="41"/>
      <c r="AE12" s="42"/>
      <c r="AF12" s="41"/>
      <c r="AG12" s="42"/>
      <c r="AH12" s="41"/>
      <c r="AI12" s="42"/>
      <c r="AJ12" s="41"/>
      <c r="AK12" s="42"/>
      <c r="AL12" s="41"/>
      <c r="AM12" s="42"/>
      <c r="AN12" s="41"/>
      <c r="AO12" s="42"/>
      <c r="AP12" s="41"/>
      <c r="AQ12" s="42"/>
      <c r="AR12" s="41"/>
      <c r="AS12" s="42"/>
      <c r="AT12" s="41"/>
      <c r="AU12" s="42"/>
      <c r="AV12" s="41"/>
      <c r="AW12" s="42"/>
      <c r="AX12" s="41"/>
      <c r="AY12" s="42"/>
      <c r="AZ12" s="41"/>
      <c r="BA12" s="42"/>
      <c r="BB12" s="41"/>
      <c r="BC12" s="42"/>
      <c r="BD12" s="41"/>
      <c r="BE12" s="42"/>
      <c r="BF12" s="41"/>
      <c r="BG12" s="42"/>
      <c r="BH12" s="41"/>
      <c r="BI12" s="42"/>
      <c r="BJ12" s="41"/>
      <c r="BK12" s="42"/>
      <c r="BL12" s="41"/>
      <c r="BM12" s="42"/>
      <c r="BN12" s="41"/>
      <c r="BO12" s="42"/>
      <c r="BP12" s="41"/>
      <c r="BQ12" s="42"/>
      <c r="BR12" s="41"/>
      <c r="BS12" s="42"/>
      <c r="BT12" s="41"/>
      <c r="BU12" s="42"/>
      <c r="BV12" s="41"/>
      <c r="BW12" s="42"/>
      <c r="BX12" s="41"/>
      <c r="BY12" s="42"/>
      <c r="BZ12" s="41"/>
      <c r="CA12" s="42"/>
      <c r="CB12" s="41"/>
      <c r="CC12" s="42"/>
      <c r="CD12" s="41"/>
      <c r="CE12" s="42"/>
      <c r="CF12" s="41"/>
      <c r="CG12" s="42"/>
      <c r="CH12" s="41"/>
      <c r="CI12" s="42"/>
      <c r="CJ12" s="41"/>
      <c r="CK12" s="42"/>
      <c r="CL12" s="41"/>
      <c r="CM12" s="42"/>
      <c r="CN12" s="41"/>
      <c r="CO12" s="42"/>
      <c r="CP12" s="41"/>
      <c r="CQ12" s="42"/>
    </row>
    <row r="13" spans="1:95" ht="10.5" x14ac:dyDescent="0.25">
      <c r="A13" t="s">
        <v>17</v>
      </c>
      <c r="B13" s="97">
        <v>1000</v>
      </c>
      <c r="C13" s="98">
        <v>1000</v>
      </c>
      <c r="D13" s="97">
        <v>1001.6651170904997</v>
      </c>
      <c r="E13" s="98">
        <v>1001.6651170904997</v>
      </c>
      <c r="F13" s="97">
        <v>1003.8190749303536</v>
      </c>
      <c r="G13" s="98">
        <v>1003.8190749303536</v>
      </c>
      <c r="H13" s="97">
        <v>1006.6054052985872</v>
      </c>
      <c r="I13" s="98">
        <v>1006.6054052985872</v>
      </c>
      <c r="J13" s="97">
        <v>1010.2491425453273</v>
      </c>
      <c r="K13" s="98">
        <v>1010.2491425453273</v>
      </c>
      <c r="L13" s="97">
        <v>1015.1363784669835</v>
      </c>
      <c r="M13" s="98">
        <v>1015.1363784669835</v>
      </c>
      <c r="N13" s="97">
        <v>1022.0512779111502</v>
      </c>
      <c r="O13" s="98">
        <v>1022.0512779111502</v>
      </c>
      <c r="P13" s="97">
        <v>1033.6356085060095</v>
      </c>
      <c r="Q13" s="98">
        <v>1033.6356085060095</v>
      </c>
      <c r="R13" s="207">
        <v>1039.9607631746205</v>
      </c>
      <c r="S13" s="208">
        <v>1039.9607631746205</v>
      </c>
      <c r="T13" s="97"/>
      <c r="U13" s="98"/>
      <c r="V13" s="97"/>
      <c r="W13" s="98"/>
      <c r="X13" s="97"/>
      <c r="Y13" s="98"/>
      <c r="Z13" s="97"/>
      <c r="AA13" s="98"/>
      <c r="AB13" s="97"/>
      <c r="AC13" s="98"/>
      <c r="AD13" s="97"/>
      <c r="AE13" s="98"/>
      <c r="AF13" s="97"/>
      <c r="AG13" s="98"/>
      <c r="AH13" s="97"/>
      <c r="AI13" s="98"/>
      <c r="AJ13" s="97"/>
      <c r="AK13" s="98"/>
      <c r="AL13" s="97"/>
      <c r="AM13" s="98"/>
      <c r="AN13" s="97"/>
      <c r="AO13" s="98"/>
      <c r="AP13" s="97"/>
      <c r="AQ13" s="98"/>
      <c r="AR13" s="97"/>
      <c r="AS13" s="98"/>
      <c r="AT13" s="97"/>
      <c r="AU13" s="98"/>
      <c r="AV13" s="97"/>
      <c r="AW13" s="98"/>
      <c r="AX13" s="97"/>
      <c r="AY13" s="98"/>
      <c r="AZ13" s="97"/>
      <c r="BA13" s="98"/>
      <c r="BB13" s="97"/>
      <c r="BC13" s="98"/>
      <c r="BD13" s="97"/>
      <c r="BE13" s="98"/>
      <c r="BF13" s="97"/>
      <c r="BG13" s="98"/>
      <c r="BH13" s="97"/>
      <c r="BI13" s="98"/>
      <c r="BJ13" s="97"/>
      <c r="BK13" s="98"/>
      <c r="BL13" s="97"/>
      <c r="BM13" s="98"/>
      <c r="BN13" s="97"/>
      <c r="BO13" s="98"/>
      <c r="BP13" s="97"/>
      <c r="BQ13" s="98"/>
      <c r="BR13" s="97"/>
      <c r="BS13" s="98"/>
      <c r="BT13" s="97"/>
      <c r="BU13" s="98"/>
      <c r="BV13" s="97"/>
      <c r="BW13" s="98"/>
      <c r="BX13" s="97"/>
      <c r="BY13" s="98"/>
      <c r="BZ13" s="97"/>
      <c r="CA13" s="98"/>
      <c r="CB13" s="97"/>
      <c r="CC13" s="98"/>
      <c r="CD13" s="97"/>
      <c r="CE13" s="98"/>
      <c r="CF13" s="97"/>
      <c r="CG13" s="98"/>
      <c r="CH13" s="97"/>
      <c r="CI13" s="98"/>
      <c r="CJ13" s="97"/>
      <c r="CK13" s="98"/>
      <c r="CL13" s="97"/>
      <c r="CM13" s="98"/>
      <c r="CN13" s="97"/>
      <c r="CO13" s="98"/>
      <c r="CP13" s="97"/>
      <c r="CQ13" s="98"/>
    </row>
    <row r="14" spans="1:95" ht="10.5" x14ac:dyDescent="0.25">
      <c r="A14" t="s">
        <v>36</v>
      </c>
      <c r="B14" s="41">
        <v>1571.7032514685595</v>
      </c>
      <c r="C14" s="42">
        <v>1562.3699911127492</v>
      </c>
      <c r="D14" s="41">
        <v>1574.3203214137739</v>
      </c>
      <c r="E14" s="42">
        <v>1564.9715200866349</v>
      </c>
      <c r="F14" s="41">
        <v>1577.7057039541985</v>
      </c>
      <c r="G14" s="42">
        <v>1568.3367991777445</v>
      </c>
      <c r="H14" s="41">
        <v>1582.0849884536169</v>
      </c>
      <c r="I14" s="42">
        <v>1572.6900781303989</v>
      </c>
      <c r="J14" s="41">
        <v>1587.8118621318154</v>
      </c>
      <c r="K14" s="42">
        <v>1578.3829438602054</v>
      </c>
      <c r="L14" s="41">
        <v>1595.4931467205763</v>
      </c>
      <c r="M14" s="42">
        <v>1586.0186146036892</v>
      </c>
      <c r="N14" s="41">
        <v>1606.3613166605512</v>
      </c>
      <c r="O14" s="42">
        <v>1596.8222459868177</v>
      </c>
      <c r="P14" s="41">
        <v>1624.5684467225783</v>
      </c>
      <c r="Q14" s="42">
        <v>1614.921256475355</v>
      </c>
      <c r="R14" s="201">
        <v>1634.5097128812758</v>
      </c>
      <c r="S14" s="202">
        <v>1624.8034883187397</v>
      </c>
      <c r="T14" s="41"/>
      <c r="U14" s="42"/>
      <c r="V14" s="41"/>
      <c r="W14" s="42"/>
      <c r="X14" s="41"/>
      <c r="Y14" s="42"/>
      <c r="Z14" s="41"/>
      <c r="AA14" s="42"/>
      <c r="AB14" s="41"/>
      <c r="AC14" s="42"/>
      <c r="AD14" s="41"/>
      <c r="AE14" s="42"/>
      <c r="AF14" s="41"/>
      <c r="AG14" s="42"/>
      <c r="AH14" s="41"/>
      <c r="AI14" s="42"/>
      <c r="AJ14" s="41"/>
      <c r="AK14" s="42"/>
      <c r="AL14" s="41"/>
      <c r="AM14" s="42"/>
      <c r="AN14" s="41"/>
      <c r="AO14" s="42"/>
      <c r="AP14" s="41"/>
      <c r="AQ14" s="42"/>
      <c r="AR14" s="41"/>
      <c r="AS14" s="42"/>
      <c r="AT14" s="41"/>
      <c r="AU14" s="42"/>
      <c r="AV14" s="41"/>
      <c r="AW14" s="42"/>
      <c r="AX14" s="41"/>
      <c r="AY14" s="42"/>
      <c r="AZ14" s="41"/>
      <c r="BA14" s="42"/>
      <c r="BB14" s="41"/>
      <c r="BC14" s="42"/>
      <c r="BD14" s="41"/>
      <c r="BE14" s="42"/>
      <c r="BF14" s="41"/>
      <c r="BG14" s="42"/>
      <c r="BH14" s="41"/>
      <c r="BI14" s="42"/>
      <c r="BJ14" s="41"/>
      <c r="BK14" s="42"/>
      <c r="BL14" s="41"/>
      <c r="BM14" s="42"/>
      <c r="BN14" s="41"/>
      <c r="BO14" s="42"/>
      <c r="BP14" s="41"/>
      <c r="BQ14" s="42"/>
      <c r="BR14" s="41"/>
      <c r="BS14" s="42"/>
      <c r="BT14" s="41"/>
      <c r="BU14" s="42"/>
      <c r="BV14" s="41"/>
      <c r="BW14" s="42"/>
      <c r="BX14" s="41"/>
      <c r="BY14" s="42"/>
      <c r="BZ14" s="41"/>
      <c r="CA14" s="42"/>
      <c r="CB14" s="41"/>
      <c r="CC14" s="42"/>
      <c r="CD14" s="41"/>
      <c r="CE14" s="42"/>
      <c r="CF14" s="41"/>
      <c r="CG14" s="42"/>
      <c r="CH14" s="41"/>
      <c r="CI14" s="42"/>
      <c r="CJ14" s="41"/>
      <c r="CK14" s="42"/>
      <c r="CL14" s="41"/>
      <c r="CM14" s="42"/>
      <c r="CN14" s="41"/>
      <c r="CO14" s="42"/>
      <c r="CP14" s="41"/>
      <c r="CQ14" s="42"/>
    </row>
    <row r="15" spans="1:95" ht="10.5" x14ac:dyDescent="0.25">
      <c r="A15" t="s">
        <v>18</v>
      </c>
      <c r="B15" s="154">
        <v>1000</v>
      </c>
      <c r="C15" s="155">
        <v>1000</v>
      </c>
      <c r="D15" s="154">
        <v>984.99249056924634</v>
      </c>
      <c r="E15" s="155">
        <v>984.99249056924634</v>
      </c>
      <c r="F15" s="154">
        <v>967.28863080839244</v>
      </c>
      <c r="G15" s="155">
        <v>967.28863080839244</v>
      </c>
      <c r="H15" s="154">
        <v>945.81911454588612</v>
      </c>
      <c r="I15" s="155">
        <v>945.81911454588612</v>
      </c>
      <c r="J15" s="154">
        <v>918.75450352232974</v>
      </c>
      <c r="K15" s="155">
        <v>918.75450352232974</v>
      </c>
      <c r="L15" s="154">
        <v>882.54172550618603</v>
      </c>
      <c r="M15" s="155">
        <v>882.54172550618603</v>
      </c>
      <c r="N15" s="154">
        <v>828.52604036752211</v>
      </c>
      <c r="O15" s="155">
        <v>828.52604036752211</v>
      </c>
      <c r="P15" s="154">
        <v>717.48174948683447</v>
      </c>
      <c r="Q15" s="155">
        <v>717.48174948683447</v>
      </c>
      <c r="R15" s="209">
        <v>173.49422659234449</v>
      </c>
      <c r="S15" s="210">
        <v>173.49422659234449</v>
      </c>
      <c r="T15" s="154"/>
      <c r="U15" s="155"/>
      <c r="V15" s="154"/>
      <c r="W15" s="155"/>
      <c r="X15" s="154"/>
      <c r="Y15" s="155"/>
      <c r="Z15" s="154"/>
      <c r="AA15" s="155"/>
      <c r="AB15" s="154"/>
      <c r="AC15" s="155"/>
      <c r="AD15" s="154"/>
      <c r="AE15" s="155"/>
      <c r="AF15" s="154"/>
      <c r="AG15" s="155"/>
      <c r="AH15" s="154"/>
      <c r="AI15" s="155"/>
      <c r="AJ15" s="154"/>
      <c r="AK15" s="155"/>
      <c r="AL15" s="154"/>
      <c r="AM15" s="155"/>
      <c r="AN15" s="154"/>
      <c r="AO15" s="155"/>
      <c r="AP15" s="154"/>
      <c r="AQ15" s="155"/>
      <c r="AR15" s="154"/>
      <c r="AS15" s="155"/>
      <c r="AT15" s="154"/>
      <c r="AU15" s="155"/>
      <c r="AV15" s="154"/>
      <c r="AW15" s="155"/>
      <c r="AX15" s="99"/>
      <c r="AY15" s="100"/>
      <c r="AZ15" s="99"/>
      <c r="BA15" s="100"/>
      <c r="BB15" s="99"/>
      <c r="BC15" s="100"/>
      <c r="BD15" s="99"/>
      <c r="BE15" s="100"/>
      <c r="BF15" s="99"/>
      <c r="BG15" s="100"/>
      <c r="BH15" s="99"/>
      <c r="BI15" s="100"/>
      <c r="BJ15" s="99"/>
      <c r="BK15" s="100"/>
      <c r="BL15" s="99"/>
      <c r="BM15" s="100"/>
      <c r="BN15" s="99"/>
      <c r="BO15" s="100"/>
      <c r="BP15" s="99"/>
      <c r="BQ15" s="100"/>
      <c r="BR15" s="99"/>
      <c r="BS15" s="100"/>
      <c r="BT15" s="99"/>
      <c r="BU15" s="100"/>
      <c r="BV15" s="99"/>
      <c r="BW15" s="100"/>
      <c r="BX15" s="99"/>
      <c r="BY15" s="100"/>
      <c r="BZ15" s="99"/>
      <c r="CA15" s="100"/>
      <c r="CB15" s="99"/>
      <c r="CC15" s="100"/>
      <c r="CD15" s="99"/>
      <c r="CE15" s="100"/>
      <c r="CF15" s="99"/>
      <c r="CG15" s="100"/>
      <c r="CH15" s="99"/>
      <c r="CI15" s="100"/>
      <c r="CJ15" s="99"/>
      <c r="CK15" s="100"/>
      <c r="CL15" s="99"/>
      <c r="CM15" s="100"/>
      <c r="CN15" s="99"/>
      <c r="CO15" s="100"/>
      <c r="CP15" s="99"/>
      <c r="CQ15" s="100"/>
    </row>
    <row r="16" spans="1:95" s="29" customFormat="1" ht="10.5" x14ac:dyDescent="0.25">
      <c r="A16" t="s">
        <v>61</v>
      </c>
      <c r="B16" s="41">
        <v>1000</v>
      </c>
      <c r="C16" s="42">
        <v>1000</v>
      </c>
      <c r="D16" s="41">
        <v>993.67888102386951</v>
      </c>
      <c r="E16" s="42">
        <v>989.08155990180262</v>
      </c>
      <c r="F16" s="41">
        <v>986.84038148525974</v>
      </c>
      <c r="G16" s="42">
        <v>976.44150232533286</v>
      </c>
      <c r="H16" s="41">
        <v>979.34077668762995</v>
      </c>
      <c r="I16" s="42">
        <v>961.42636974149957</v>
      </c>
      <c r="J16" s="41">
        <v>970.9649647022178</v>
      </c>
      <c r="K16" s="42">
        <v>942.93389640529847</v>
      </c>
      <c r="L16" s="41">
        <v>961.35513894710209</v>
      </c>
      <c r="M16" s="42">
        <v>918.85710253557795</v>
      </c>
      <c r="N16" s="41">
        <v>949.78866287945812</v>
      </c>
      <c r="O16" s="42">
        <v>884.15257479545562</v>
      </c>
      <c r="P16" s="41">
        <v>933.70181627033094</v>
      </c>
      <c r="Q16" s="42">
        <v>816.44265813206118</v>
      </c>
      <c r="R16" s="201">
        <v>930.55324173583278</v>
      </c>
      <c r="S16" s="202">
        <v>528.61573033406239</v>
      </c>
      <c r="T16" s="41"/>
      <c r="U16" s="42"/>
      <c r="V16" s="41"/>
      <c r="W16" s="42"/>
      <c r="X16" s="41"/>
      <c r="Y16" s="42"/>
      <c r="Z16" s="41"/>
      <c r="AA16" s="42"/>
      <c r="AB16" s="41"/>
      <c r="AC16" s="42"/>
      <c r="AD16" s="41"/>
      <c r="AE16" s="42"/>
      <c r="AF16" s="41"/>
      <c r="AG16" s="42"/>
      <c r="AH16" s="41"/>
      <c r="AI16" s="42"/>
      <c r="AJ16" s="41"/>
      <c r="AK16" s="42"/>
      <c r="AL16" s="41"/>
      <c r="AM16" s="42"/>
      <c r="AN16" s="41"/>
      <c r="AO16" s="42"/>
      <c r="AP16" s="41"/>
      <c r="AQ16" s="42"/>
      <c r="AR16" s="41"/>
      <c r="AS16" s="42"/>
      <c r="AT16" s="41"/>
      <c r="AU16" s="42"/>
      <c r="AV16" s="41"/>
      <c r="AW16" s="42"/>
      <c r="AX16" s="41"/>
      <c r="AY16" s="42"/>
      <c r="AZ16" s="41"/>
      <c r="BA16" s="42"/>
      <c r="BB16" s="41"/>
      <c r="BC16" s="42"/>
      <c r="BD16" s="41"/>
      <c r="BE16" s="42"/>
      <c r="BF16" s="41"/>
      <c r="BG16" s="42"/>
      <c r="BH16" s="41"/>
      <c r="BI16" s="42"/>
      <c r="BJ16" s="41"/>
      <c r="BK16" s="42"/>
      <c r="BL16" s="41"/>
      <c r="BM16" s="42"/>
      <c r="BN16" s="41"/>
      <c r="BO16" s="42"/>
      <c r="BP16" s="41"/>
      <c r="BQ16" s="42"/>
      <c r="BR16" s="41"/>
      <c r="BS16" s="42"/>
      <c r="BT16" s="41"/>
      <c r="BU16" s="42"/>
      <c r="BV16" s="41"/>
      <c r="BW16" s="42"/>
      <c r="BX16" s="41"/>
      <c r="BY16" s="42"/>
      <c r="BZ16" s="41"/>
      <c r="CA16" s="42"/>
      <c r="CB16" s="41"/>
      <c r="CC16" s="42"/>
      <c r="CD16" s="41"/>
      <c r="CE16" s="42"/>
      <c r="CF16" s="41"/>
      <c r="CG16" s="42"/>
      <c r="CH16" s="41"/>
      <c r="CI16" s="42"/>
      <c r="CJ16" s="41"/>
      <c r="CK16" s="42"/>
      <c r="CL16" s="41"/>
      <c r="CM16" s="42"/>
      <c r="CN16" s="41"/>
      <c r="CO16" s="42"/>
      <c r="CP16" s="41"/>
      <c r="CQ16" s="42"/>
    </row>
    <row r="17" spans="1:95" ht="10.5" x14ac:dyDescent="0.25">
      <c r="A17" t="s">
        <v>62</v>
      </c>
      <c r="B17" s="35">
        <v>999.99999999999977</v>
      </c>
      <c r="C17" s="36">
        <v>1000.0000000000007</v>
      </c>
      <c r="D17" s="35">
        <v>997.60447860086924</v>
      </c>
      <c r="E17" s="36">
        <v>1044.7639454027367</v>
      </c>
      <c r="F17" s="35">
        <v>995.21250587218617</v>
      </c>
      <c r="G17" s="36">
        <v>1096.7810842131209</v>
      </c>
      <c r="H17" s="35">
        <v>992.82496953275393</v>
      </c>
      <c r="I17" s="36">
        <v>1158.2085809428968</v>
      </c>
      <c r="J17" s="35">
        <v>990.44687891997251</v>
      </c>
      <c r="K17" s="36">
        <v>1232.3426152635591</v>
      </c>
      <c r="L17" s="35">
        <v>988.09006652108849</v>
      </c>
      <c r="M17" s="36">
        <v>1324.6976940596508</v>
      </c>
      <c r="N17" s="35">
        <v>985.77651854184955</v>
      </c>
      <c r="O17" s="36">
        <v>1446.1600114570927</v>
      </c>
      <c r="P17" s="35">
        <v>983.50921147201518</v>
      </c>
      <c r="Q17" s="36">
        <v>1631.8241648888754</v>
      </c>
      <c r="R17" s="205">
        <v>985.00810599596139</v>
      </c>
      <c r="S17" s="206">
        <v>1598.2276613509266</v>
      </c>
      <c r="T17" s="35"/>
      <c r="U17" s="36"/>
      <c r="V17" s="35"/>
      <c r="W17" s="36"/>
      <c r="X17" s="35"/>
      <c r="Y17" s="36"/>
      <c r="Z17" s="35"/>
      <c r="AA17" s="36"/>
      <c r="AB17" s="35"/>
      <c r="AC17" s="36"/>
      <c r="AD17" s="35"/>
      <c r="AE17" s="36"/>
      <c r="AF17" s="35"/>
      <c r="AG17" s="36"/>
      <c r="AH17" s="35"/>
      <c r="AI17" s="36"/>
      <c r="AJ17" s="35"/>
      <c r="AK17" s="36"/>
      <c r="AL17" s="35"/>
      <c r="AM17" s="36"/>
      <c r="AN17" s="35"/>
      <c r="AO17" s="36"/>
      <c r="AP17" s="35"/>
      <c r="AQ17" s="36"/>
      <c r="AR17" s="35"/>
      <c r="AS17" s="36"/>
      <c r="AT17" s="35"/>
      <c r="AU17" s="36"/>
      <c r="AV17" s="35"/>
      <c r="AW17" s="36"/>
      <c r="AX17" s="35"/>
      <c r="AY17" s="36"/>
      <c r="AZ17" s="35"/>
      <c r="BA17" s="36"/>
      <c r="BB17" s="35"/>
      <c r="BC17" s="36"/>
      <c r="BD17" s="35"/>
      <c r="BE17" s="36"/>
      <c r="BF17" s="35"/>
      <c r="BG17" s="36"/>
      <c r="BH17" s="35"/>
      <c r="BI17" s="36"/>
      <c r="BJ17" s="35"/>
      <c r="BK17" s="36"/>
      <c r="BL17" s="35"/>
      <c r="BM17" s="36"/>
      <c r="BN17" s="35"/>
      <c r="BO17" s="36"/>
      <c r="BP17" s="35"/>
      <c r="BQ17" s="36"/>
      <c r="BR17" s="35"/>
      <c r="BS17" s="36"/>
      <c r="BT17" s="35"/>
      <c r="BU17" s="36"/>
      <c r="BV17" s="35"/>
      <c r="BW17" s="36"/>
      <c r="BX17" s="35"/>
      <c r="BY17" s="36"/>
      <c r="BZ17" s="35"/>
      <c r="CA17" s="36"/>
      <c r="CB17" s="35"/>
      <c r="CC17" s="36"/>
      <c r="CD17" s="35"/>
      <c r="CE17" s="36"/>
      <c r="CF17" s="35"/>
      <c r="CG17" s="36"/>
      <c r="CH17" s="35"/>
      <c r="CI17" s="36"/>
      <c r="CJ17" s="35"/>
      <c r="CK17" s="36"/>
      <c r="CL17" s="35"/>
      <c r="CM17" s="36"/>
      <c r="CN17" s="35"/>
      <c r="CO17" s="36"/>
      <c r="CP17" s="35"/>
      <c r="CQ17" s="36"/>
    </row>
    <row r="18" spans="1:95" ht="10.5" x14ac:dyDescent="0.25">
      <c r="A18" t="s">
        <v>19</v>
      </c>
      <c r="B18" s="33">
        <v>21498.981358265999</v>
      </c>
      <c r="C18" s="34">
        <v>834.03652123400332</v>
      </c>
      <c r="D18" s="33">
        <v>21763.40794483908</v>
      </c>
      <c r="E18" s="34">
        <v>746.12141109633444</v>
      </c>
      <c r="F18" s="33">
        <v>22057.007604283957</v>
      </c>
      <c r="G18" s="34">
        <v>658.877359909147</v>
      </c>
      <c r="H18" s="33">
        <v>22390.302399573804</v>
      </c>
      <c r="I18" s="34">
        <v>572.37770712099302</v>
      </c>
      <c r="J18" s="33">
        <v>22780.776245381323</v>
      </c>
      <c r="K18" s="34">
        <v>486.67930239600338</v>
      </c>
      <c r="L18" s="33">
        <v>23261.371800681849</v>
      </c>
      <c r="M18" s="34">
        <v>401.74095696435126</v>
      </c>
      <c r="N18" s="33">
        <v>23909.770517065965</v>
      </c>
      <c r="O18" s="34">
        <v>317.04016096723802</v>
      </c>
      <c r="P18" s="33">
        <v>25065.045472955684</v>
      </c>
      <c r="Q18" s="34">
        <v>228.11775208366171</v>
      </c>
      <c r="R18" s="203">
        <v>29002.106744765661</v>
      </c>
      <c r="S18" s="204">
        <v>275.45657674683815</v>
      </c>
      <c r="T18" s="33"/>
      <c r="U18" s="34"/>
      <c r="V18" s="33"/>
      <c r="W18" s="34"/>
      <c r="X18" s="33"/>
      <c r="Y18" s="34"/>
      <c r="Z18" s="33"/>
      <c r="AA18" s="34"/>
      <c r="AB18" s="33"/>
      <c r="AC18" s="34"/>
      <c r="AD18" s="33"/>
      <c r="AE18" s="34"/>
      <c r="AF18" s="33"/>
      <c r="AG18" s="34"/>
      <c r="AH18" s="33"/>
      <c r="AI18" s="34"/>
      <c r="AJ18" s="33"/>
      <c r="AK18" s="34"/>
      <c r="AL18" s="33"/>
      <c r="AM18" s="34"/>
      <c r="AN18" s="33"/>
      <c r="AO18" s="34"/>
      <c r="AP18" s="33"/>
      <c r="AQ18" s="34"/>
      <c r="AR18" s="33"/>
      <c r="AS18" s="34"/>
      <c r="AT18" s="33"/>
      <c r="AU18" s="34"/>
      <c r="AV18" s="33"/>
      <c r="AW18" s="34"/>
      <c r="AX18" s="41"/>
      <c r="AY18" s="42"/>
      <c r="AZ18" s="41"/>
      <c r="BA18" s="42"/>
      <c r="BB18" s="41"/>
      <c r="BC18" s="42"/>
      <c r="BD18" s="41"/>
      <c r="BE18" s="42"/>
      <c r="BF18" s="41"/>
      <c r="BG18" s="42"/>
      <c r="BH18" s="41"/>
      <c r="BI18" s="42"/>
      <c r="BJ18" s="41"/>
      <c r="BK18" s="42"/>
      <c r="BL18" s="41"/>
      <c r="BM18" s="42"/>
      <c r="BN18" s="41"/>
      <c r="BO18" s="42"/>
      <c r="BP18" s="41"/>
      <c r="BQ18" s="42"/>
      <c r="BR18" s="41"/>
      <c r="BS18" s="42"/>
      <c r="BT18" s="41"/>
      <c r="BU18" s="42"/>
      <c r="BV18" s="41"/>
      <c r="BW18" s="42"/>
      <c r="BX18" s="41"/>
      <c r="BY18" s="42"/>
      <c r="BZ18" s="41"/>
      <c r="CA18" s="42"/>
      <c r="CB18" s="41"/>
      <c r="CC18" s="42"/>
      <c r="CD18" s="41"/>
      <c r="CE18" s="42"/>
      <c r="CF18" s="41"/>
      <c r="CG18" s="42"/>
      <c r="CH18" s="41"/>
      <c r="CI18" s="42"/>
      <c r="CJ18" s="41"/>
      <c r="CK18" s="42"/>
      <c r="CL18" s="41"/>
      <c r="CM18" s="42"/>
      <c r="CN18" s="41"/>
      <c r="CO18" s="42"/>
      <c r="CP18" s="41"/>
      <c r="CQ18" s="42"/>
    </row>
    <row r="19" spans="1:95" ht="10.5" x14ac:dyDescent="0.25">
      <c r="A19" t="s">
        <v>3</v>
      </c>
      <c r="B19" s="41">
        <v>1782.2320505062355</v>
      </c>
      <c r="C19" s="42">
        <v>450.22976484179208</v>
      </c>
      <c r="D19" s="41">
        <v>1793.1476913887443</v>
      </c>
      <c r="E19" s="42">
        <v>467.51697467327341</v>
      </c>
      <c r="F19" s="41">
        <v>1806.2110343331155</v>
      </c>
      <c r="G19" s="42">
        <v>486.80546744814438</v>
      </c>
      <c r="H19" s="41">
        <v>1822.2393687816011</v>
      </c>
      <c r="I19" s="42">
        <v>508.43381432931989</v>
      </c>
      <c r="J19" s="41">
        <v>1842.6121920511159</v>
      </c>
      <c r="K19" s="42">
        <v>532.89138857087414</v>
      </c>
      <c r="L19" s="41">
        <v>1869.952248295001</v>
      </c>
      <c r="M19" s="42">
        <v>561.01001300902533</v>
      </c>
      <c r="N19" s="41">
        <v>1910.4492200321174</v>
      </c>
      <c r="O19" s="42">
        <v>594.67993565669997</v>
      </c>
      <c r="P19" s="41">
        <v>1990.8229195700892</v>
      </c>
      <c r="Q19" s="42">
        <v>642.6262317141784</v>
      </c>
      <c r="R19" s="201">
        <v>2312.6576733885681</v>
      </c>
      <c r="S19" s="202">
        <v>723.91583889406525</v>
      </c>
      <c r="T19" s="41"/>
      <c r="U19" s="42"/>
      <c r="V19" s="41"/>
      <c r="W19" s="42"/>
      <c r="X19" s="41"/>
      <c r="Y19" s="42"/>
      <c r="Z19" s="41"/>
      <c r="AA19" s="42"/>
      <c r="AB19" s="41"/>
      <c r="AC19" s="42"/>
      <c r="AD19" s="41"/>
      <c r="AE19" s="42"/>
      <c r="AF19" s="41"/>
      <c r="AG19" s="42"/>
      <c r="AH19" s="41"/>
      <c r="AI19" s="42"/>
      <c r="AJ19" s="41"/>
      <c r="AK19" s="42"/>
      <c r="AL19" s="41"/>
      <c r="AM19" s="42"/>
      <c r="AN19" s="41"/>
      <c r="AO19" s="42"/>
      <c r="AP19" s="41"/>
      <c r="AQ19" s="42"/>
      <c r="AR19" s="41"/>
      <c r="AS19" s="42"/>
      <c r="AT19" s="41"/>
      <c r="AU19" s="42"/>
      <c r="AV19" s="41"/>
      <c r="AW19" s="42"/>
      <c r="AX19" s="82"/>
      <c r="AY19" s="83"/>
      <c r="AZ19" s="82"/>
      <c r="BA19" s="83"/>
      <c r="BB19" s="82"/>
      <c r="BC19" s="83"/>
      <c r="BD19" s="82"/>
      <c r="BE19" s="83"/>
      <c r="BF19" s="82"/>
      <c r="BG19" s="83"/>
      <c r="BH19" s="82"/>
      <c r="BI19" s="83"/>
      <c r="BJ19" s="82"/>
      <c r="BK19" s="83"/>
      <c r="BL19" s="82"/>
      <c r="BM19" s="83"/>
      <c r="BN19" s="82"/>
      <c r="BO19" s="83"/>
      <c r="BP19" s="82"/>
      <c r="BQ19" s="83"/>
      <c r="BR19" s="82"/>
      <c r="BS19" s="83"/>
      <c r="BT19" s="82"/>
      <c r="BU19" s="83"/>
      <c r="BV19" s="82"/>
      <c r="BW19" s="83"/>
      <c r="BX19" s="82"/>
      <c r="BY19" s="83"/>
      <c r="BZ19" s="82"/>
      <c r="CA19" s="83"/>
      <c r="CB19" s="82"/>
      <c r="CC19" s="83"/>
      <c r="CD19" s="82"/>
      <c r="CE19" s="83"/>
      <c r="CF19" s="82"/>
      <c r="CG19" s="83"/>
      <c r="CH19" s="82"/>
      <c r="CI19" s="83"/>
      <c r="CJ19" s="82"/>
      <c r="CK19" s="83"/>
      <c r="CL19" s="82"/>
      <c r="CM19" s="83"/>
      <c r="CN19" s="82"/>
      <c r="CO19" s="83"/>
      <c r="CP19" s="82"/>
      <c r="CQ19" s="83"/>
    </row>
    <row r="20" spans="1:95" ht="10.5" x14ac:dyDescent="0.25">
      <c r="A20" t="s">
        <v>127</v>
      </c>
      <c r="B20" s="82">
        <v>20973.127797372959</v>
      </c>
      <c r="C20" s="83">
        <v>1222.2257935314667</v>
      </c>
      <c r="D20" s="82">
        <v>21208.510394412857</v>
      </c>
      <c r="E20" s="83">
        <v>1161.1145038548932</v>
      </c>
      <c r="F20" s="82">
        <v>21471.628150086341</v>
      </c>
      <c r="G20" s="83">
        <v>1100.0032141783201</v>
      </c>
      <c r="H20" s="82">
        <v>21772.624097217824</v>
      </c>
      <c r="I20" s="83">
        <v>1038.8919245017466</v>
      </c>
      <c r="J20" s="82">
        <v>22128.400783908179</v>
      </c>
      <c r="K20" s="83">
        <v>977.78063482517337</v>
      </c>
      <c r="L20" s="82">
        <v>22570.861628802009</v>
      </c>
      <c r="M20" s="83">
        <v>916.66934514860009</v>
      </c>
      <c r="N20" s="82">
        <v>23175.259173199287</v>
      </c>
      <c r="O20" s="83">
        <v>855.55805547202669</v>
      </c>
      <c r="P20" s="82">
        <v>24269.447029347029</v>
      </c>
      <c r="Q20" s="83">
        <v>794.44676579545353</v>
      </c>
      <c r="R20" s="211">
        <v>28101.141944336428</v>
      </c>
      <c r="S20" s="212">
        <v>916.66934514860009</v>
      </c>
      <c r="T20" s="82"/>
      <c r="U20" s="83"/>
      <c r="V20" s="82"/>
      <c r="W20" s="83"/>
      <c r="X20" s="82"/>
      <c r="Y20" s="83"/>
      <c r="Z20" s="82"/>
      <c r="AA20" s="83"/>
      <c r="AB20" s="82"/>
      <c r="AC20" s="83"/>
      <c r="AD20" s="82"/>
      <c r="AE20" s="83"/>
      <c r="AF20" s="82"/>
      <c r="AG20" s="83"/>
      <c r="AH20" s="82"/>
      <c r="AI20" s="83"/>
      <c r="AJ20" s="82"/>
      <c r="AK20" s="83"/>
      <c r="AL20" s="82"/>
      <c r="AM20" s="83"/>
      <c r="AN20" s="82"/>
      <c r="AO20" s="83"/>
      <c r="AP20" s="82"/>
      <c r="AQ20" s="83"/>
      <c r="AR20" s="82"/>
      <c r="AS20" s="83"/>
      <c r="AT20" s="82"/>
      <c r="AU20" s="83"/>
      <c r="AV20" s="82"/>
      <c r="AW20" s="83"/>
      <c r="AX20" s="41"/>
      <c r="AY20" s="42"/>
      <c r="AZ20" s="41"/>
      <c r="BA20" s="42"/>
      <c r="BB20" s="41"/>
      <c r="BC20" s="42"/>
      <c r="BD20" s="41"/>
      <c r="BE20" s="42"/>
      <c r="BF20" s="41"/>
      <c r="BG20" s="42"/>
      <c r="BH20" s="41"/>
      <c r="BI20" s="42"/>
      <c r="BJ20" s="41"/>
      <c r="BK20" s="42"/>
      <c r="BL20" s="41"/>
      <c r="BM20" s="42"/>
      <c r="BN20" s="41"/>
      <c r="BO20" s="42"/>
      <c r="BP20" s="41"/>
      <c r="BQ20" s="42"/>
      <c r="BR20" s="41"/>
      <c r="BS20" s="42"/>
      <c r="BT20" s="41"/>
      <c r="BU20" s="42"/>
      <c r="BV20" s="41"/>
      <c r="BW20" s="42"/>
      <c r="BX20" s="41"/>
      <c r="BY20" s="42"/>
      <c r="BZ20" s="41"/>
      <c r="CA20" s="42"/>
      <c r="CB20" s="41"/>
      <c r="CC20" s="42"/>
      <c r="CD20" s="41"/>
      <c r="CE20" s="42"/>
      <c r="CF20" s="41"/>
      <c r="CG20" s="42"/>
      <c r="CH20" s="41"/>
      <c r="CI20" s="42"/>
      <c r="CJ20" s="41"/>
      <c r="CK20" s="42"/>
      <c r="CL20" s="41"/>
      <c r="CM20" s="42"/>
      <c r="CN20" s="41"/>
      <c r="CO20" s="42"/>
      <c r="CP20" s="41"/>
      <c r="CQ20" s="42"/>
    </row>
    <row r="21" spans="1:95" ht="10.5" x14ac:dyDescent="0.25">
      <c r="A21" t="s">
        <v>76</v>
      </c>
      <c r="B21" s="82">
        <v>19190.895746866718</v>
      </c>
      <c r="C21" s="83">
        <v>771.99602868966781</v>
      </c>
      <c r="D21" s="82">
        <v>19415.37525124395</v>
      </c>
      <c r="E21" s="83">
        <v>694.35418732126766</v>
      </c>
      <c r="F21" s="82">
        <v>19665.467969815796</v>
      </c>
      <c r="G21" s="83">
        <v>616.44961540017687</v>
      </c>
      <c r="H21" s="82">
        <v>19950.500814270032</v>
      </c>
      <c r="I21" s="83">
        <v>538.35700636871547</v>
      </c>
      <c r="J21" s="82">
        <v>20285.998215620242</v>
      </c>
      <c r="K21" s="83">
        <v>460.14474108771805</v>
      </c>
      <c r="L21" s="82">
        <v>20701.242456422464</v>
      </c>
      <c r="M21" s="83">
        <v>381.79585957225976</v>
      </c>
      <c r="N21" s="82">
        <v>21265.298805346582</v>
      </c>
      <c r="O21" s="83">
        <v>302.84582702675425</v>
      </c>
      <c r="P21" s="82">
        <v>22279.313769913348</v>
      </c>
      <c r="Q21" s="83">
        <v>219.09082702077876</v>
      </c>
      <c r="R21" s="211">
        <v>25789.143292737695</v>
      </c>
      <c r="S21" s="212">
        <v>264.34149152414278</v>
      </c>
      <c r="T21" s="82"/>
      <c r="U21" s="83"/>
      <c r="V21" s="82"/>
      <c r="W21" s="83"/>
      <c r="X21" s="82"/>
      <c r="Y21" s="83"/>
      <c r="Z21" s="82"/>
      <c r="AA21" s="83"/>
      <c r="AB21" s="82"/>
      <c r="AC21" s="83"/>
      <c r="AD21" s="82"/>
      <c r="AE21" s="83"/>
      <c r="AF21" s="82"/>
      <c r="AG21" s="83"/>
      <c r="AH21" s="82"/>
      <c r="AI21" s="83"/>
      <c r="AJ21" s="82"/>
      <c r="AK21" s="83"/>
      <c r="AL21" s="82"/>
      <c r="AM21" s="83"/>
      <c r="AN21" s="82"/>
      <c r="AO21" s="83"/>
      <c r="AP21" s="82"/>
      <c r="AQ21" s="83"/>
      <c r="AR21" s="82"/>
      <c r="AS21" s="83"/>
      <c r="AT21" s="82"/>
      <c r="AU21" s="83"/>
      <c r="AV21" s="82"/>
      <c r="AW21" s="83"/>
      <c r="AX21" s="41"/>
      <c r="AY21" s="42"/>
      <c r="AZ21" s="41"/>
      <c r="BA21" s="42"/>
      <c r="BB21" s="41"/>
      <c r="BC21" s="42"/>
      <c r="BD21" s="41"/>
      <c r="BE21" s="42"/>
      <c r="BF21" s="41"/>
      <c r="BG21" s="42"/>
      <c r="BH21" s="41"/>
      <c r="BI21" s="42"/>
      <c r="BJ21" s="41"/>
      <c r="BK21" s="42"/>
      <c r="BL21" s="41"/>
      <c r="BM21" s="42"/>
      <c r="BN21" s="41"/>
      <c r="BO21" s="42"/>
      <c r="BP21" s="41"/>
      <c r="BQ21" s="42"/>
      <c r="BR21" s="41"/>
      <c r="BS21" s="42"/>
      <c r="BT21" s="41"/>
      <c r="BU21" s="42"/>
      <c r="BV21" s="41"/>
      <c r="BW21" s="42"/>
      <c r="BX21" s="41"/>
      <c r="BY21" s="42"/>
      <c r="BZ21" s="41"/>
      <c r="CA21" s="42"/>
      <c r="CB21" s="41"/>
      <c r="CC21" s="42"/>
      <c r="CD21" s="41"/>
      <c r="CE21" s="42"/>
      <c r="CF21" s="41"/>
      <c r="CG21" s="42"/>
      <c r="CH21" s="41"/>
      <c r="CI21" s="42"/>
      <c r="CJ21" s="41"/>
      <c r="CK21" s="42"/>
      <c r="CL21" s="41"/>
      <c r="CM21" s="42"/>
      <c r="CN21" s="41"/>
      <c r="CO21" s="42"/>
      <c r="CP21" s="41"/>
      <c r="CQ21" s="42"/>
    </row>
    <row r="22" spans="1:95" ht="10.5" x14ac:dyDescent="0.25">
      <c r="A22" t="s">
        <v>28</v>
      </c>
      <c r="B22" s="41">
        <v>5896.9295697243906</v>
      </c>
      <c r="C22" s="42">
        <v>340.53228761636638</v>
      </c>
      <c r="D22" s="41">
        <v>5983.3867946688033</v>
      </c>
      <c r="E22" s="42">
        <v>330.81195736351117</v>
      </c>
      <c r="F22" s="41">
        <v>6080.1042115031969</v>
      </c>
      <c r="G22" s="42">
        <v>320.62451404566093</v>
      </c>
      <c r="H22" s="41">
        <v>6190.9272257061448</v>
      </c>
      <c r="I22" s="42">
        <v>309.93102813598279</v>
      </c>
      <c r="J22" s="41">
        <v>6322.3041223809805</v>
      </c>
      <c r="K22" s="42">
        <v>298.68465586173164</v>
      </c>
      <c r="L22" s="41">
        <v>6486.4635378389848</v>
      </c>
      <c r="M22" s="42">
        <v>286.8340756873327</v>
      </c>
      <c r="N22" s="41">
        <v>6712.3412465603524</v>
      </c>
      <c r="O22" s="42">
        <v>274.35528119898134</v>
      </c>
      <c r="P22" s="41">
        <v>7126.0854997996139</v>
      </c>
      <c r="Q22" s="42">
        <v>261.61436651887703</v>
      </c>
      <c r="R22" s="201">
        <v>8614.9896149588421</v>
      </c>
      <c r="S22" s="202">
        <v>306.06258110826951</v>
      </c>
      <c r="T22" s="41"/>
      <c r="U22" s="42"/>
      <c r="V22" s="41"/>
      <c r="W22" s="42"/>
      <c r="X22" s="41"/>
      <c r="Y22" s="42"/>
      <c r="Z22" s="41"/>
      <c r="AA22" s="42"/>
      <c r="AB22" s="41"/>
      <c r="AC22" s="42"/>
      <c r="AD22" s="41"/>
      <c r="AE22" s="42"/>
      <c r="AF22" s="41"/>
      <c r="AG22" s="42"/>
      <c r="AH22" s="41"/>
      <c r="AI22" s="42"/>
      <c r="AJ22" s="41"/>
      <c r="AK22" s="42"/>
      <c r="AL22" s="41"/>
      <c r="AM22" s="42"/>
      <c r="AN22" s="41"/>
      <c r="AO22" s="42"/>
      <c r="AP22" s="41"/>
      <c r="AQ22" s="42"/>
      <c r="AR22" s="41"/>
      <c r="AS22" s="42"/>
      <c r="AT22" s="41"/>
      <c r="AU22" s="42"/>
      <c r="AV22" s="41"/>
      <c r="AW22" s="42"/>
      <c r="AX22" s="116"/>
      <c r="AY22" s="8"/>
      <c r="AZ22" s="116"/>
      <c r="BA22" s="8"/>
      <c r="BB22" s="116"/>
      <c r="BC22" s="8"/>
      <c r="BD22" s="116"/>
      <c r="BE22" s="8"/>
      <c r="BF22" s="116"/>
      <c r="BG22" s="8"/>
      <c r="BH22" s="116"/>
      <c r="BI22" s="8"/>
      <c r="BJ22" s="116"/>
      <c r="BK22" s="8"/>
      <c r="BL22" s="116"/>
      <c r="BM22" s="8"/>
      <c r="BN22" s="116"/>
      <c r="BO22" s="8"/>
      <c r="BP22" s="116"/>
      <c r="BQ22" s="8"/>
      <c r="BR22" s="116"/>
      <c r="BS22" s="8"/>
      <c r="BT22" s="116"/>
      <c r="BU22" s="8"/>
      <c r="BV22" s="116"/>
      <c r="BW22" s="8"/>
      <c r="BX22" s="116"/>
      <c r="BY22" s="8"/>
      <c r="BZ22" s="116"/>
      <c r="CA22" s="8"/>
      <c r="CB22" s="116"/>
      <c r="CC22" s="8"/>
      <c r="CD22" s="116"/>
      <c r="CE22" s="8"/>
      <c r="CF22" s="116"/>
      <c r="CG22" s="8"/>
      <c r="CH22" s="116"/>
      <c r="CI22" s="8"/>
      <c r="CJ22" s="116"/>
      <c r="CK22" s="8"/>
      <c r="CL22" s="116"/>
      <c r="CM22" s="8"/>
      <c r="CN22" s="116"/>
      <c r="CO22" s="8"/>
      <c r="CP22" s="116"/>
      <c r="CQ22" s="8"/>
    </row>
    <row r="23" spans="1:95" ht="10.5" x14ac:dyDescent="0.25">
      <c r="A23" t="s">
        <v>7</v>
      </c>
      <c r="B23" s="116">
        <v>2396.8717103698964</v>
      </c>
      <c r="C23" s="8">
        <v>0</v>
      </c>
      <c r="D23" s="116">
        <v>2427.0977121099995</v>
      </c>
      <c r="E23" s="8">
        <v>0</v>
      </c>
      <c r="F23" s="116">
        <v>2460.8201817339673</v>
      </c>
      <c r="G23" s="8">
        <v>0</v>
      </c>
      <c r="H23" s="116">
        <v>2499.3116709864694</v>
      </c>
      <c r="I23" s="8">
        <v>0</v>
      </c>
      <c r="J23" s="116">
        <v>2544.6902027746714</v>
      </c>
      <c r="K23" s="8">
        <v>0</v>
      </c>
      <c r="L23" s="116">
        <v>2600.9424419333072</v>
      </c>
      <c r="M23" s="8">
        <v>0</v>
      </c>
      <c r="N23" s="116">
        <v>2677.4256880354537</v>
      </c>
      <c r="O23" s="8">
        <v>0</v>
      </c>
      <c r="P23" s="116">
        <v>2814.5552242037861</v>
      </c>
      <c r="Q23" s="8">
        <v>0</v>
      </c>
      <c r="R23" s="213">
        <v>3270.4451200298363</v>
      </c>
      <c r="S23" s="214">
        <v>0</v>
      </c>
      <c r="T23" s="116"/>
      <c r="U23" s="8"/>
      <c r="V23" s="116"/>
      <c r="W23" s="8"/>
      <c r="X23" s="116"/>
      <c r="Y23" s="8"/>
      <c r="Z23" s="116"/>
      <c r="AA23" s="8"/>
      <c r="AB23" s="116"/>
      <c r="AC23" s="8"/>
      <c r="AD23" s="116"/>
      <c r="AE23" s="8"/>
      <c r="AF23" s="116"/>
      <c r="AG23" s="8"/>
      <c r="AH23" s="116"/>
      <c r="AI23" s="8"/>
      <c r="AJ23" s="116"/>
      <c r="AK23" s="8"/>
      <c r="AL23" s="116"/>
      <c r="AM23" s="8"/>
      <c r="AN23" s="116"/>
      <c r="AO23" s="8"/>
      <c r="AP23" s="116"/>
      <c r="AQ23" s="8"/>
      <c r="AR23" s="116"/>
      <c r="AS23" s="8"/>
      <c r="AT23" s="116"/>
      <c r="AU23" s="8"/>
      <c r="AV23" s="116"/>
      <c r="AW23" s="8"/>
      <c r="AX23" s="59"/>
      <c r="AY23" s="8"/>
      <c r="AZ23" s="59"/>
      <c r="BA23" s="8"/>
      <c r="BB23" s="59"/>
      <c r="BC23" s="8"/>
      <c r="BD23" s="59"/>
      <c r="BE23" s="8"/>
      <c r="BF23" s="59"/>
      <c r="BG23" s="8"/>
      <c r="BH23" s="59"/>
      <c r="BI23" s="8"/>
      <c r="BJ23" s="59"/>
      <c r="BK23" s="8"/>
      <c r="BL23" s="59"/>
      <c r="BM23" s="8"/>
      <c r="BN23" s="59"/>
      <c r="BO23" s="8"/>
      <c r="BP23" s="59"/>
      <c r="BQ23" s="8"/>
      <c r="BR23" s="59"/>
      <c r="BS23" s="8"/>
      <c r="BT23" s="59"/>
      <c r="BU23" s="8"/>
      <c r="BV23" s="59"/>
      <c r="BW23" s="8"/>
      <c r="BX23" s="59"/>
      <c r="BY23" s="8"/>
      <c r="BZ23" s="59"/>
      <c r="CA23" s="8"/>
      <c r="CB23" s="59"/>
      <c r="CC23" s="8"/>
      <c r="CD23" s="59"/>
      <c r="CE23" s="8"/>
      <c r="CF23" s="59"/>
      <c r="CG23" s="8"/>
      <c r="CH23" s="59"/>
      <c r="CI23" s="8"/>
      <c r="CJ23" s="59"/>
      <c r="CK23" s="8"/>
      <c r="CL23" s="59"/>
      <c r="CM23" s="8"/>
      <c r="CN23" s="59"/>
      <c r="CO23" s="8"/>
      <c r="CP23" s="59"/>
      <c r="CQ23" s="8"/>
    </row>
    <row r="24" spans="1:95" ht="10.5" x14ac:dyDescent="0.25">
      <c r="A24" t="s">
        <v>8</v>
      </c>
      <c r="B24" s="97">
        <v>2261.1304131516072</v>
      </c>
      <c r="C24" s="8">
        <v>0</v>
      </c>
      <c r="D24" s="97">
        <v>2266.8521078556701</v>
      </c>
      <c r="E24" s="8">
        <v>0</v>
      </c>
      <c r="F24" s="97">
        <v>2272.6071978459699</v>
      </c>
      <c r="G24" s="8">
        <v>0</v>
      </c>
      <c r="H24" s="97">
        <v>2278.3939002065813</v>
      </c>
      <c r="I24" s="8">
        <v>0</v>
      </c>
      <c r="J24" s="97">
        <v>2284.2002710339575</v>
      </c>
      <c r="K24" s="8">
        <v>0</v>
      </c>
      <c r="L24" s="97">
        <v>2289.9971695843901</v>
      </c>
      <c r="M24" s="8">
        <v>0</v>
      </c>
      <c r="N24" s="97">
        <v>2295.7293423651449</v>
      </c>
      <c r="O24" s="8">
        <v>0</v>
      </c>
      <c r="P24" s="97">
        <v>2301.3875495570596</v>
      </c>
      <c r="Q24" s="8">
        <v>0</v>
      </c>
      <c r="R24" s="207">
        <v>2297.6424316491898</v>
      </c>
      <c r="S24" s="214">
        <v>0</v>
      </c>
      <c r="T24" s="97"/>
      <c r="U24" s="8"/>
      <c r="V24" s="97"/>
      <c r="W24" s="8"/>
      <c r="X24" s="97"/>
      <c r="Y24" s="8"/>
      <c r="Z24" s="97"/>
      <c r="AA24" s="8"/>
      <c r="AB24" s="97"/>
      <c r="AC24" s="8"/>
      <c r="AD24" s="97"/>
      <c r="AE24" s="8"/>
      <c r="AF24" s="97"/>
      <c r="AG24" s="8"/>
      <c r="AH24" s="97"/>
      <c r="AI24" s="8"/>
      <c r="AJ24" s="97"/>
      <c r="AK24" s="8"/>
      <c r="AL24" s="97"/>
      <c r="AM24" s="8"/>
      <c r="AN24" s="97"/>
      <c r="AO24" s="8"/>
      <c r="AP24" s="97"/>
      <c r="AQ24" s="8"/>
      <c r="AR24" s="97"/>
      <c r="AS24" s="8"/>
      <c r="AT24" s="97"/>
      <c r="AU24" s="8"/>
      <c r="AV24" s="97"/>
      <c r="AW24" s="8"/>
      <c r="AX24" s="41"/>
      <c r="AY24" s="42"/>
      <c r="AZ24" s="41"/>
      <c r="BA24" s="42"/>
      <c r="BB24" s="41"/>
      <c r="BC24" s="42"/>
      <c r="BD24" s="41"/>
      <c r="BE24" s="42"/>
      <c r="BF24" s="41"/>
      <c r="BG24" s="42"/>
      <c r="BH24" s="41"/>
      <c r="BI24" s="42"/>
      <c r="BJ24" s="41"/>
      <c r="BK24" s="42"/>
      <c r="BL24" s="41"/>
      <c r="BM24" s="42"/>
      <c r="BN24" s="41"/>
      <c r="BO24" s="42"/>
      <c r="BP24" s="41"/>
      <c r="BQ24" s="42"/>
      <c r="BR24" s="41"/>
      <c r="BS24" s="42"/>
      <c r="BT24" s="41"/>
      <c r="BU24" s="42"/>
      <c r="BV24" s="41"/>
      <c r="BW24" s="42"/>
      <c r="BX24" s="41"/>
      <c r="BY24" s="42"/>
      <c r="BZ24" s="41"/>
      <c r="CA24" s="42"/>
      <c r="CB24" s="41"/>
      <c r="CC24" s="42"/>
      <c r="CD24" s="41"/>
      <c r="CE24" s="42"/>
      <c r="CF24" s="41"/>
      <c r="CG24" s="42"/>
      <c r="CH24" s="41"/>
      <c r="CI24" s="42"/>
      <c r="CJ24" s="41"/>
      <c r="CK24" s="42"/>
      <c r="CL24" s="41"/>
      <c r="CM24" s="42"/>
      <c r="CN24" s="41"/>
      <c r="CO24" s="42"/>
      <c r="CP24" s="41"/>
      <c r="CQ24" s="42"/>
    </row>
    <row r="25" spans="1:95" ht="10.5" x14ac:dyDescent="0.25">
      <c r="A25" t="s">
        <v>0</v>
      </c>
      <c r="B25" s="41">
        <v>2308.08561139929</v>
      </c>
      <c r="C25" s="42">
        <v>62.040492544331705</v>
      </c>
      <c r="D25" s="41">
        <v>2348.0167296625482</v>
      </c>
      <c r="E25" s="42">
        <v>51.696360887027261</v>
      </c>
      <c r="F25" s="41">
        <v>2391.4744804227271</v>
      </c>
      <c r="G25" s="42">
        <v>42.165338759831648</v>
      </c>
      <c r="H25" s="41">
        <v>2439.6518218853557</v>
      </c>
      <c r="I25" s="42">
        <v>33.481623678462064</v>
      </c>
      <c r="J25" s="41">
        <v>2494.5056752147029</v>
      </c>
      <c r="K25" s="42">
        <v>25.675916487399686</v>
      </c>
      <c r="L25" s="41">
        <v>2559.6935739484238</v>
      </c>
      <c r="M25" s="42">
        <v>18.770676970095355</v>
      </c>
      <c r="N25" s="41">
        <v>2643.8277163605039</v>
      </c>
      <c r="O25" s="42">
        <v>12.761691442650584</v>
      </c>
      <c r="P25" s="41">
        <v>2784.8169830569391</v>
      </c>
      <c r="Q25" s="42">
        <v>7.4582574011688809</v>
      </c>
      <c r="R25" s="201">
        <v>3212.0932842038865</v>
      </c>
      <c r="S25" s="202">
        <v>9.3332180330221099</v>
      </c>
      <c r="T25" s="41"/>
      <c r="U25" s="42"/>
      <c r="V25" s="41"/>
      <c r="W25" s="42"/>
      <c r="X25" s="41"/>
      <c r="Y25" s="42"/>
      <c r="Z25" s="41"/>
      <c r="AA25" s="42"/>
      <c r="AB25" s="41"/>
      <c r="AC25" s="42"/>
      <c r="AD25" s="41"/>
      <c r="AE25" s="42"/>
      <c r="AF25" s="41"/>
      <c r="AG25" s="42"/>
      <c r="AH25" s="41"/>
      <c r="AI25" s="42"/>
      <c r="AJ25" s="41"/>
      <c r="AK25" s="42"/>
      <c r="AL25" s="41"/>
      <c r="AM25" s="42"/>
      <c r="AN25" s="41"/>
      <c r="AO25" s="42"/>
      <c r="AP25" s="41"/>
      <c r="AQ25" s="42"/>
      <c r="AR25" s="41"/>
      <c r="AS25" s="42"/>
      <c r="AT25" s="41"/>
      <c r="AU25" s="42"/>
      <c r="AV25" s="41"/>
      <c r="AW25" s="42"/>
      <c r="AX25" s="41"/>
      <c r="AY25" s="42"/>
      <c r="AZ25" s="41"/>
      <c r="BA25" s="42"/>
      <c r="BB25" s="41"/>
      <c r="BC25" s="42"/>
      <c r="BD25" s="41"/>
      <c r="BE25" s="42"/>
      <c r="BF25" s="41"/>
      <c r="BG25" s="42"/>
      <c r="BH25" s="41"/>
      <c r="BI25" s="42"/>
      <c r="BJ25" s="41"/>
      <c r="BK25" s="42"/>
      <c r="BL25" s="41"/>
      <c r="BM25" s="42"/>
      <c r="BN25" s="41"/>
      <c r="BO25" s="42"/>
      <c r="BP25" s="41"/>
      <c r="BQ25" s="42"/>
      <c r="BR25" s="41"/>
      <c r="BS25" s="42"/>
      <c r="BT25" s="41"/>
      <c r="BU25" s="42"/>
      <c r="BV25" s="41"/>
      <c r="BW25" s="42"/>
      <c r="BX25" s="41"/>
      <c r="BY25" s="42"/>
      <c r="BZ25" s="41"/>
      <c r="CA25" s="42"/>
      <c r="CB25" s="41"/>
      <c r="CC25" s="42"/>
      <c r="CD25" s="41"/>
      <c r="CE25" s="42"/>
      <c r="CF25" s="41"/>
      <c r="CG25" s="42"/>
      <c r="CH25" s="41"/>
      <c r="CI25" s="42"/>
      <c r="CJ25" s="41"/>
      <c r="CK25" s="42"/>
      <c r="CL25" s="41"/>
      <c r="CM25" s="42"/>
      <c r="CN25" s="41"/>
      <c r="CO25" s="42"/>
      <c r="CP25" s="41"/>
      <c r="CQ25" s="42"/>
    </row>
    <row r="26" spans="1:95" ht="10.5" x14ac:dyDescent="0.25">
      <c r="A26" t="s">
        <v>27</v>
      </c>
      <c r="B26" s="33">
        <v>3209.4420883953348</v>
      </c>
      <c r="C26" s="34">
        <v>31.623872672841795</v>
      </c>
      <c r="D26" s="33">
        <v>3286.7513857545368</v>
      </c>
      <c r="E26" s="34">
        <v>28.89851867081202</v>
      </c>
      <c r="F26" s="33">
        <v>3376.3337419688419</v>
      </c>
      <c r="G26" s="34">
        <v>26.150546443068372</v>
      </c>
      <c r="H26" s="33">
        <v>3483.067379445667</v>
      </c>
      <c r="I26" s="34">
        <v>23.378285069284114</v>
      </c>
      <c r="J26" s="33">
        <v>3615.3140754123424</v>
      </c>
      <c r="K26" s="34">
        <v>20.580096055425937</v>
      </c>
      <c r="L26" s="33">
        <v>3789.3833322195856</v>
      </c>
      <c r="M26" s="34">
        <v>17.754118132836506</v>
      </c>
      <c r="N26" s="33">
        <v>4045.3058653345629</v>
      </c>
      <c r="O26" s="34">
        <v>14.89681404353019</v>
      </c>
      <c r="P26" s="33">
        <v>4567.0383266562712</v>
      </c>
      <c r="Q26" s="34">
        <v>11.995692096444071</v>
      </c>
      <c r="R26" s="203">
        <v>7245.4631734322984</v>
      </c>
      <c r="S26" s="204">
        <v>21.887840202497664</v>
      </c>
      <c r="T26" s="33"/>
      <c r="U26" s="34"/>
      <c r="V26" s="33"/>
      <c r="W26" s="34"/>
      <c r="X26" s="33"/>
      <c r="Y26" s="34"/>
      <c r="Z26" s="33"/>
      <c r="AA26" s="34"/>
      <c r="AB26" s="33"/>
      <c r="AC26" s="34"/>
      <c r="AD26" s="33"/>
      <c r="AE26" s="34"/>
      <c r="AF26" s="33"/>
      <c r="AG26" s="34"/>
      <c r="AH26" s="33"/>
      <c r="AI26" s="34"/>
      <c r="AJ26" s="33"/>
      <c r="AK26" s="34"/>
      <c r="AL26" s="33"/>
      <c r="AM26" s="34"/>
      <c r="AN26" s="33"/>
      <c r="AO26" s="34"/>
      <c r="AP26" s="33"/>
      <c r="AQ26" s="34"/>
      <c r="AR26" s="33"/>
      <c r="AS26" s="34"/>
      <c r="AT26" s="33"/>
      <c r="AU26" s="34"/>
      <c r="AV26" s="33"/>
      <c r="AW26" s="34"/>
      <c r="AX26" s="41"/>
      <c r="AY26" s="42"/>
      <c r="AZ26" s="41"/>
      <c r="BA26" s="42"/>
      <c r="BB26" s="41"/>
      <c r="BC26" s="42"/>
      <c r="BD26" s="41"/>
      <c r="BE26" s="42"/>
      <c r="BF26" s="41"/>
      <c r="BG26" s="42"/>
      <c r="BH26" s="41"/>
      <c r="BI26" s="42"/>
      <c r="BJ26" s="41"/>
      <c r="BK26" s="42"/>
      <c r="BL26" s="41"/>
      <c r="BM26" s="42"/>
      <c r="BN26" s="41"/>
      <c r="BO26" s="42"/>
      <c r="BP26" s="41"/>
      <c r="BQ26" s="42"/>
      <c r="BR26" s="41"/>
      <c r="BS26" s="42"/>
      <c r="BT26" s="41"/>
      <c r="BU26" s="42"/>
      <c r="BV26" s="41"/>
      <c r="BW26" s="42"/>
      <c r="BX26" s="41"/>
      <c r="BY26" s="42"/>
      <c r="BZ26" s="41"/>
      <c r="CA26" s="42"/>
      <c r="CB26" s="41"/>
      <c r="CC26" s="42"/>
      <c r="CD26" s="41"/>
      <c r="CE26" s="42"/>
      <c r="CF26" s="41"/>
      <c r="CG26" s="42"/>
      <c r="CH26" s="41"/>
      <c r="CI26" s="42"/>
      <c r="CJ26" s="41"/>
      <c r="CK26" s="42"/>
      <c r="CL26" s="41"/>
      <c r="CM26" s="42"/>
      <c r="CN26" s="41"/>
      <c r="CO26" s="42"/>
      <c r="CP26" s="41"/>
      <c r="CQ26" s="42"/>
    </row>
    <row r="27" spans="1:95" ht="10.5" x14ac:dyDescent="0.25">
      <c r="A27" t="s">
        <v>2</v>
      </c>
      <c r="B27" s="35">
        <v>4880.3032028967582</v>
      </c>
      <c r="C27" s="36">
        <v>155.9342317514201</v>
      </c>
      <c r="D27" s="35">
        <v>4895.6455517509339</v>
      </c>
      <c r="E27" s="36">
        <v>140.59182899344088</v>
      </c>
      <c r="F27" s="35">
        <v>4910.9888371855686</v>
      </c>
      <c r="G27" s="36">
        <v>125.24842484517568</v>
      </c>
      <c r="H27" s="35">
        <v>4926.3376086121962</v>
      </c>
      <c r="I27" s="36">
        <v>109.89980046148213</v>
      </c>
      <c r="J27" s="35">
        <v>4941.7015781632945</v>
      </c>
      <c r="K27" s="36">
        <v>94.535675806508351</v>
      </c>
      <c r="L27" s="35">
        <v>4957.1132596634316</v>
      </c>
      <c r="M27" s="36">
        <v>79.124113640730002</v>
      </c>
      <c r="N27" s="35">
        <v>4972.6971767846053</v>
      </c>
      <c r="O27" s="36">
        <v>63.539823250486343</v>
      </c>
      <c r="P27" s="35">
        <v>4989.3033698207364</v>
      </c>
      <c r="Q27" s="36">
        <v>46.932988521289424</v>
      </c>
      <c r="R27" s="205">
        <v>4977.3141006784635</v>
      </c>
      <c r="S27" s="206">
        <v>58.92338713384283</v>
      </c>
      <c r="T27" s="35"/>
      <c r="U27" s="36"/>
      <c r="V27" s="35"/>
      <c r="W27" s="36"/>
      <c r="X27" s="35"/>
      <c r="Y27" s="36"/>
      <c r="Z27" s="35"/>
      <c r="AA27" s="36"/>
      <c r="AB27" s="35"/>
      <c r="AC27" s="36"/>
      <c r="AD27" s="35"/>
      <c r="AE27" s="36"/>
      <c r="AF27" s="35"/>
      <c r="AG27" s="36"/>
      <c r="AH27" s="35"/>
      <c r="AI27" s="36"/>
      <c r="AJ27" s="35"/>
      <c r="AK27" s="36"/>
      <c r="AL27" s="35"/>
      <c r="AM27" s="36"/>
      <c r="AN27" s="35"/>
      <c r="AO27" s="36"/>
      <c r="AP27" s="35"/>
      <c r="AQ27" s="36"/>
      <c r="AR27" s="35"/>
      <c r="AS27" s="36"/>
      <c r="AT27" s="35"/>
      <c r="AU27" s="36"/>
      <c r="AV27" s="35"/>
      <c r="AW27" s="36"/>
      <c r="AX27" s="41"/>
      <c r="AY27" s="42"/>
      <c r="AZ27" s="41"/>
      <c r="BA27" s="42"/>
      <c r="BB27" s="41"/>
      <c r="BC27" s="42"/>
      <c r="BD27" s="41"/>
      <c r="BE27" s="42"/>
      <c r="BF27" s="41"/>
      <c r="BG27" s="42"/>
      <c r="BH27" s="41"/>
      <c r="BI27" s="42"/>
      <c r="BJ27" s="41"/>
      <c r="BK27" s="42"/>
      <c r="BL27" s="41"/>
      <c r="BM27" s="42"/>
      <c r="BN27" s="41"/>
      <c r="BO27" s="42"/>
      <c r="BP27" s="41"/>
      <c r="BQ27" s="42"/>
      <c r="BR27" s="41"/>
      <c r="BS27" s="42"/>
      <c r="BT27" s="41"/>
      <c r="BU27" s="42"/>
      <c r="BV27" s="41"/>
      <c r="BW27" s="42"/>
      <c r="BX27" s="41"/>
      <c r="BY27" s="42"/>
      <c r="BZ27" s="41"/>
      <c r="CA27" s="42"/>
      <c r="CB27" s="41"/>
      <c r="CC27" s="42"/>
      <c r="CD27" s="41"/>
      <c r="CE27" s="42"/>
      <c r="CF27" s="41"/>
      <c r="CG27" s="42"/>
      <c r="CH27" s="41"/>
      <c r="CI27" s="42"/>
      <c r="CJ27" s="41"/>
      <c r="CK27" s="42"/>
      <c r="CL27" s="41"/>
      <c r="CM27" s="42"/>
      <c r="CN27" s="41"/>
      <c r="CO27" s="42"/>
      <c r="CP27" s="41"/>
      <c r="CQ27" s="42"/>
    </row>
    <row r="28" spans="1:95" ht="10.5" x14ac:dyDescent="0.25">
      <c r="A28" t="s">
        <v>35</v>
      </c>
      <c r="B28" s="41">
        <v>9924.5937686277503</v>
      </c>
      <c r="C28" s="42">
        <v>205.34242141823873</v>
      </c>
      <c r="D28" s="41">
        <v>10060.165188665113</v>
      </c>
      <c r="E28" s="42">
        <v>185.73518937734448</v>
      </c>
      <c r="F28" s="41">
        <v>10211.585501727768</v>
      </c>
      <c r="G28" s="42">
        <v>166.07675222129274</v>
      </c>
      <c r="H28" s="41">
        <v>10384.467969952895</v>
      </c>
      <c r="I28" s="42">
        <v>146.35767867880924</v>
      </c>
      <c r="J28" s="41">
        <v>10588.074524348609</v>
      </c>
      <c r="K28" s="42">
        <v>126.56067395440473</v>
      </c>
      <c r="L28" s="41">
        <v>10839.692938465474</v>
      </c>
      <c r="M28" s="42">
        <v>106.64192962867348</v>
      </c>
      <c r="N28" s="41">
        <v>11179.573872150342</v>
      </c>
      <c r="O28" s="42">
        <v>86.446580146229891</v>
      </c>
      <c r="P28" s="41">
        <v>11780.208097531613</v>
      </c>
      <c r="Q28" s="42">
        <v>64.971699705878038</v>
      </c>
      <c r="R28" s="201">
        <v>13654.581619379127</v>
      </c>
      <c r="S28" s="202">
        <v>86.615478736872561</v>
      </c>
      <c r="T28" s="41"/>
      <c r="U28" s="42"/>
      <c r="V28" s="41"/>
      <c r="W28" s="42"/>
      <c r="X28" s="41"/>
      <c r="Y28" s="42"/>
      <c r="Z28" s="41"/>
      <c r="AA28" s="42"/>
      <c r="AB28" s="41"/>
      <c r="AC28" s="42"/>
      <c r="AD28" s="41"/>
      <c r="AE28" s="42"/>
      <c r="AF28" s="41"/>
      <c r="AG28" s="42"/>
      <c r="AH28" s="41"/>
      <c r="AI28" s="42"/>
      <c r="AJ28" s="41"/>
      <c r="AK28" s="42"/>
      <c r="AL28" s="41"/>
      <c r="AM28" s="42"/>
      <c r="AN28" s="41"/>
      <c r="AO28" s="42"/>
      <c r="AP28" s="41"/>
      <c r="AQ28" s="42"/>
      <c r="AR28" s="41"/>
      <c r="AS28" s="42"/>
      <c r="AT28" s="41"/>
      <c r="AU28" s="42"/>
      <c r="AV28" s="41"/>
      <c r="AW28" s="42"/>
      <c r="AX28" s="35"/>
      <c r="AY28" s="36"/>
      <c r="AZ28" s="35"/>
      <c r="BA28" s="36"/>
      <c r="BB28" s="35"/>
      <c r="BC28" s="36"/>
      <c r="BD28" s="35"/>
      <c r="BE28" s="36"/>
      <c r="BF28" s="35"/>
      <c r="BG28" s="36"/>
      <c r="BH28" s="35"/>
      <c r="BI28" s="36"/>
      <c r="BJ28" s="35"/>
      <c r="BK28" s="36"/>
      <c r="BL28" s="35"/>
      <c r="BM28" s="36"/>
      <c r="BN28" s="35"/>
      <c r="BO28" s="36"/>
      <c r="BP28" s="35"/>
      <c r="BQ28" s="36"/>
      <c r="BR28" s="35"/>
      <c r="BS28" s="36"/>
      <c r="BT28" s="35"/>
      <c r="BU28" s="36"/>
      <c r="BV28" s="35"/>
      <c r="BW28" s="36"/>
      <c r="BX28" s="35"/>
      <c r="BY28" s="36"/>
      <c r="BZ28" s="35"/>
      <c r="CA28" s="36"/>
      <c r="CB28" s="35"/>
      <c r="CC28" s="36"/>
      <c r="CD28" s="35"/>
      <c r="CE28" s="36"/>
      <c r="CF28" s="35"/>
      <c r="CG28" s="36"/>
      <c r="CH28" s="35"/>
      <c r="CI28" s="36"/>
      <c r="CJ28" s="35"/>
      <c r="CK28" s="36"/>
      <c r="CL28" s="35"/>
      <c r="CM28" s="36"/>
      <c r="CN28" s="35"/>
      <c r="CO28" s="36"/>
      <c r="CP28" s="35"/>
      <c r="CQ28" s="36"/>
    </row>
    <row r="29" spans="1:95" ht="10.5" x14ac:dyDescent="0.25">
      <c r="A29" t="s">
        <v>53</v>
      </c>
      <c r="B29" s="35">
        <v>10476.875482049762</v>
      </c>
      <c r="C29" s="36">
        <v>680.10699657273528</v>
      </c>
      <c r="D29" s="35">
        <v>10605.270667809675</v>
      </c>
      <c r="E29" s="36">
        <v>607.22003279777527</v>
      </c>
      <c r="F29" s="35">
        <v>10747.847551153072</v>
      </c>
      <c r="G29" s="36">
        <v>535.08805839377771</v>
      </c>
      <c r="H29" s="35">
        <v>10909.730071882377</v>
      </c>
      <c r="I29" s="36">
        <v>463.78410784231869</v>
      </c>
      <c r="J29" s="35">
        <v>11099.433992125178</v>
      </c>
      <c r="K29" s="36">
        <v>393.36911840882937</v>
      </c>
      <c r="L29" s="35">
        <v>11333.006599786289</v>
      </c>
      <c r="M29" s="36">
        <v>323.82628018034609</v>
      </c>
      <c r="N29" s="35">
        <v>11648.290676344643</v>
      </c>
      <c r="O29" s="36">
        <v>254.75217923646429</v>
      </c>
      <c r="P29" s="35">
        <v>12210.453639472558</v>
      </c>
      <c r="Q29" s="36">
        <v>182.56905279760042</v>
      </c>
      <c r="R29" s="205">
        <v>14128.904217750893</v>
      </c>
      <c r="S29" s="206">
        <v>220.61076444603907</v>
      </c>
      <c r="T29" s="35"/>
      <c r="U29" s="36"/>
      <c r="V29" s="35"/>
      <c r="W29" s="36"/>
      <c r="X29" s="35"/>
      <c r="Y29" s="36"/>
      <c r="Z29" s="35"/>
      <c r="AA29" s="36"/>
      <c r="AB29" s="35"/>
      <c r="AC29" s="36"/>
      <c r="AD29" s="35"/>
      <c r="AE29" s="36"/>
      <c r="AF29" s="35"/>
      <c r="AG29" s="36"/>
      <c r="AH29" s="35"/>
      <c r="AI29" s="36"/>
      <c r="AJ29" s="35"/>
      <c r="AK29" s="36"/>
      <c r="AL29" s="35"/>
      <c r="AM29" s="36"/>
      <c r="AN29" s="35"/>
      <c r="AO29" s="36"/>
      <c r="AP29" s="35"/>
      <c r="AQ29" s="36"/>
      <c r="AR29" s="35"/>
      <c r="AS29" s="36"/>
      <c r="AT29" s="35"/>
      <c r="AU29" s="36"/>
      <c r="AV29" s="35"/>
      <c r="AW29" s="36"/>
      <c r="AX29" s="119"/>
      <c r="AZ29" s="119"/>
      <c r="BB29" s="119"/>
      <c r="BD29" s="119"/>
      <c r="BF29" s="119"/>
      <c r="BH29" s="119"/>
      <c r="BJ29" s="119"/>
      <c r="BL29" s="119"/>
      <c r="BN29" s="119"/>
      <c r="BP29" s="119"/>
      <c r="BR29" s="119"/>
      <c r="BT29" s="119"/>
      <c r="BV29" s="119"/>
      <c r="BX29" s="119"/>
      <c r="BZ29" s="119"/>
      <c r="CB29" s="119"/>
      <c r="CD29" s="119"/>
      <c r="CF29" s="119"/>
      <c r="CH29" s="119"/>
      <c r="CJ29" s="119"/>
      <c r="CL29" s="119"/>
      <c r="CN29" s="119"/>
      <c r="CP29" s="119"/>
    </row>
    <row r="30" spans="1:95" ht="10.5" x14ac:dyDescent="0.25">
      <c r="A30" t="s">
        <v>48</v>
      </c>
      <c r="B30" s="119">
        <v>3437517.2752293102</v>
      </c>
      <c r="D30" s="119">
        <v>3550782.7451078631</v>
      </c>
      <c r="F30" s="119">
        <v>3679658.9024898587</v>
      </c>
      <c r="H30" s="119">
        <v>3829966.550365054</v>
      </c>
      <c r="J30" s="119">
        <v>4011451.9387970641</v>
      </c>
      <c r="L30" s="119">
        <v>4242527.2852743175</v>
      </c>
      <c r="N30" s="119">
        <v>4566432.1287045078</v>
      </c>
      <c r="P30" s="119">
        <v>5169174.410764141</v>
      </c>
      <c r="R30" s="9">
        <v>7298922.7119947989</v>
      </c>
      <c r="S30" s="96"/>
      <c r="T30" s="119"/>
      <c r="V30" s="119"/>
      <c r="X30" s="119"/>
      <c r="Z30" s="119"/>
      <c r="AB30" s="119"/>
      <c r="AD30" s="119"/>
      <c r="AF30" s="119"/>
      <c r="AH30" s="119"/>
      <c r="AJ30" s="119"/>
      <c r="AL30" s="119"/>
      <c r="AN30" s="119"/>
      <c r="AP30" s="119"/>
      <c r="AR30" s="119"/>
      <c r="AT30" s="119"/>
      <c r="AV30" s="119"/>
      <c r="AX30" s="86"/>
      <c r="AZ30" s="86"/>
      <c r="BB30" s="86"/>
      <c r="BD30" s="86"/>
      <c r="BF30" s="86"/>
      <c r="BH30" s="86"/>
      <c r="BJ30" s="86"/>
      <c r="BL30" s="86"/>
      <c r="BN30" s="86"/>
      <c r="BP30" s="86"/>
      <c r="BR30" s="86"/>
      <c r="BT30" s="86"/>
      <c r="BV30" s="86"/>
      <c r="BX30" s="86"/>
      <c r="BZ30" s="86"/>
      <c r="CB30" s="86"/>
      <c r="CD30" s="86"/>
      <c r="CF30" s="86"/>
      <c r="CH30" s="86"/>
      <c r="CJ30" s="86"/>
      <c r="CL30" s="86"/>
      <c r="CN30" s="86"/>
      <c r="CP30" s="86"/>
    </row>
    <row r="31" spans="1:95" ht="10.5" x14ac:dyDescent="0.25">
      <c r="A31" t="s">
        <v>47</v>
      </c>
      <c r="B31" s="80">
        <v>0.99999999999999845</v>
      </c>
      <c r="D31" s="80">
        <v>1.0119962350786778</v>
      </c>
      <c r="F31" s="80">
        <v>1.0253427343539427</v>
      </c>
      <c r="H31" s="80">
        <v>1.0405790709511853</v>
      </c>
      <c r="J31" s="80">
        <v>1.0586223617299855</v>
      </c>
      <c r="L31" s="80">
        <v>1.0812379798278553</v>
      </c>
      <c r="N31" s="80">
        <v>1.1126750266868091</v>
      </c>
      <c r="P31" s="80">
        <v>1.1718505725835073</v>
      </c>
      <c r="R31" s="215">
        <v>1.4130995186212332</v>
      </c>
      <c r="S31" s="96"/>
      <c r="T31" s="80"/>
      <c r="V31" s="80"/>
      <c r="X31" s="80"/>
      <c r="Z31" s="80"/>
      <c r="AB31" s="80"/>
      <c r="AD31" s="80"/>
      <c r="AF31" s="80"/>
      <c r="AH31" s="80"/>
      <c r="AJ31" s="80"/>
      <c r="AL31" s="80"/>
      <c r="AN31" s="80"/>
      <c r="AP31" s="80"/>
      <c r="AR31" s="80"/>
      <c r="AT31" s="80"/>
      <c r="AV31" s="80"/>
      <c r="AX31" s="70"/>
      <c r="AZ31" s="70"/>
      <c r="BB31" s="70"/>
      <c r="BD31" s="70"/>
      <c r="BF31" s="70"/>
      <c r="BH31" s="70"/>
      <c r="BJ31" s="70"/>
      <c r="BL31" s="70"/>
      <c r="BN31" s="70"/>
      <c r="BP31" s="70"/>
      <c r="BR31" s="70"/>
      <c r="BT31" s="70"/>
      <c r="BV31" s="70"/>
      <c r="BX31" s="70"/>
      <c r="BZ31" s="70"/>
      <c r="CB31" s="70"/>
      <c r="CD31" s="70"/>
      <c r="CF31" s="70"/>
      <c r="CH31" s="70"/>
      <c r="CJ31" s="70"/>
      <c r="CL31" s="70"/>
      <c r="CN31" s="70"/>
      <c r="CP31" s="70"/>
    </row>
    <row r="32" spans="1:95" ht="10.5" x14ac:dyDescent="0.25">
      <c r="A32" t="s">
        <v>64</v>
      </c>
      <c r="B32" s="86">
        <v>11714820.670945669</v>
      </c>
      <c r="C32" s="38"/>
      <c r="D32" s="86">
        <v>11832609.727389965</v>
      </c>
      <c r="E32" s="38"/>
      <c r="F32" s="86">
        <v>11966632.912891578</v>
      </c>
      <c r="G32" s="38"/>
      <c r="H32" s="86">
        <v>12122943.320126388</v>
      </c>
      <c r="I32" s="38"/>
      <c r="J32" s="86">
        <v>12311676.79097815</v>
      </c>
      <c r="K32" s="38"/>
      <c r="L32" s="86">
        <v>12551980.696236745</v>
      </c>
      <c r="M32" s="38"/>
      <c r="N32" s="86">
        <v>12888821.450895822</v>
      </c>
      <c r="O32" s="38"/>
      <c r="P32" s="86">
        <v>13515635.84189406</v>
      </c>
      <c r="Q32" s="38"/>
      <c r="R32" s="216">
        <v>15730440.689802475</v>
      </c>
      <c r="S32" s="217"/>
      <c r="T32" s="86"/>
      <c r="U32" s="38"/>
      <c r="V32" s="86"/>
      <c r="W32" s="38"/>
      <c r="X32" s="86"/>
      <c r="Y32" s="38"/>
      <c r="Z32" s="86"/>
      <c r="AA32" s="38"/>
      <c r="AB32" s="86"/>
      <c r="AC32" s="38"/>
      <c r="AD32" s="86"/>
      <c r="AE32" s="38"/>
      <c r="AF32" s="86"/>
      <c r="AG32" s="38"/>
      <c r="AH32" s="86"/>
      <c r="AI32" s="38"/>
      <c r="AJ32" s="86"/>
      <c r="AK32" s="38"/>
      <c r="AL32" s="86"/>
      <c r="AM32" s="38"/>
      <c r="AN32" s="86"/>
      <c r="AO32" s="38"/>
      <c r="AP32" s="86"/>
      <c r="AQ32" s="38"/>
      <c r="AR32" s="86"/>
      <c r="AS32" s="38"/>
      <c r="AT32" s="86"/>
      <c r="AU32" s="38"/>
      <c r="AV32" s="86"/>
      <c r="AW32" s="38"/>
      <c r="AX32" s="37"/>
      <c r="AY32" s="38"/>
      <c r="AZ32" s="37"/>
      <c r="BA32" s="38"/>
      <c r="BB32" s="37"/>
      <c r="BC32" s="38"/>
      <c r="BD32" s="37"/>
      <c r="BE32" s="38"/>
      <c r="BF32" s="37"/>
      <c r="BG32" s="38"/>
      <c r="BH32" s="37"/>
      <c r="BI32" s="38"/>
      <c r="BJ32" s="37"/>
      <c r="BK32" s="38"/>
      <c r="BL32" s="37"/>
      <c r="BM32" s="38"/>
      <c r="BN32" s="37"/>
      <c r="BO32" s="38"/>
      <c r="BP32" s="37"/>
      <c r="BQ32" s="38"/>
      <c r="BR32" s="37"/>
      <c r="BS32" s="38"/>
      <c r="BT32" s="37"/>
      <c r="BU32" s="38"/>
      <c r="BV32" s="37"/>
      <c r="BW32" s="38"/>
      <c r="BX32" s="37"/>
      <c r="BY32" s="38"/>
      <c r="BZ32" s="37"/>
      <c r="CA32" s="38"/>
      <c r="CB32" s="37"/>
      <c r="CC32" s="38"/>
      <c r="CD32" s="37"/>
      <c r="CE32" s="38"/>
      <c r="CF32" s="37"/>
      <c r="CG32" s="38"/>
      <c r="CH32" s="37"/>
      <c r="CI32" s="38"/>
      <c r="CJ32" s="37"/>
      <c r="CK32" s="38"/>
      <c r="CL32" s="37"/>
      <c r="CM32" s="38"/>
      <c r="CN32" s="37"/>
      <c r="CO32" s="38"/>
      <c r="CP32" s="37"/>
      <c r="CQ32" s="38"/>
    </row>
    <row r="33" spans="1:95 16382:16384" ht="10.5" x14ac:dyDescent="0.25">
      <c r="A33" t="s">
        <v>54</v>
      </c>
      <c r="B33" s="117">
        <v>6643090.9398582997</v>
      </c>
      <c r="C33" s="40"/>
      <c r="D33" s="117">
        <v>6733967.7121091224</v>
      </c>
      <c r="E33" s="40"/>
      <c r="F33" s="117">
        <v>6837369.4713535625</v>
      </c>
      <c r="G33" s="40"/>
      <c r="H33" s="117">
        <v>6957966.1434648503</v>
      </c>
      <c r="I33" s="40"/>
      <c r="J33" s="117">
        <v>7103578.0994206266</v>
      </c>
      <c r="K33" s="40"/>
      <c r="L33" s="117">
        <v>7288977.5200651977</v>
      </c>
      <c r="M33" s="40"/>
      <c r="N33" s="117">
        <v>7548857.2994135087</v>
      </c>
      <c r="O33" s="40"/>
      <c r="P33" s="117">
        <v>8032457.8287565513</v>
      </c>
      <c r="Q33" s="40"/>
      <c r="R33" s="218">
        <v>9741226.2752424311</v>
      </c>
      <c r="S33" s="219"/>
      <c r="T33" s="117"/>
      <c r="U33" s="40"/>
      <c r="V33" s="117"/>
      <c r="W33" s="40"/>
      <c r="X33" s="117"/>
      <c r="Y33" s="40"/>
      <c r="Z33" s="117"/>
      <c r="AA33" s="40"/>
      <c r="AB33" s="117"/>
      <c r="AC33" s="40"/>
      <c r="AD33" s="117"/>
      <c r="AE33" s="40"/>
      <c r="AF33" s="117"/>
      <c r="AG33" s="40"/>
      <c r="AH33" s="117"/>
      <c r="AI33" s="40"/>
      <c r="AJ33" s="117"/>
      <c r="AK33" s="40"/>
      <c r="AL33" s="117"/>
      <c r="AM33" s="40"/>
      <c r="AN33" s="117"/>
      <c r="AO33" s="40"/>
      <c r="AP33" s="117"/>
      <c r="AQ33" s="40"/>
      <c r="AR33" s="117"/>
      <c r="AS33" s="40"/>
      <c r="AT33" s="117"/>
      <c r="AU33" s="40"/>
      <c r="AV33" s="117"/>
      <c r="AW33" s="40"/>
      <c r="AX33" s="39"/>
      <c r="AY33" s="40"/>
      <c r="AZ33" s="39"/>
      <c r="BA33" s="40"/>
      <c r="BB33" s="39"/>
      <c r="BC33" s="40"/>
      <c r="BD33" s="39"/>
      <c r="BE33" s="40"/>
      <c r="BF33" s="39"/>
      <c r="BG33" s="40"/>
      <c r="BH33" s="39"/>
      <c r="BI33" s="40"/>
      <c r="BJ33" s="39"/>
      <c r="BK33" s="40"/>
      <c r="BL33" s="39"/>
      <c r="BM33" s="40"/>
      <c r="BN33" s="39"/>
      <c r="BO33" s="40"/>
      <c r="BP33" s="39"/>
      <c r="BQ33" s="40"/>
      <c r="BR33" s="39"/>
      <c r="BS33" s="40"/>
      <c r="BT33" s="39"/>
      <c r="BU33" s="40"/>
      <c r="BV33" s="39"/>
      <c r="BW33" s="40"/>
      <c r="BX33" s="39"/>
      <c r="BY33" s="40"/>
      <c r="BZ33" s="39"/>
      <c r="CA33" s="40"/>
      <c r="CB33" s="39"/>
      <c r="CC33" s="40"/>
      <c r="CD33" s="39"/>
      <c r="CE33" s="40"/>
      <c r="CF33" s="39"/>
      <c r="CG33" s="40"/>
      <c r="CH33" s="39"/>
      <c r="CI33" s="40"/>
      <c r="CJ33" s="39"/>
      <c r="CK33" s="40"/>
      <c r="CL33" s="39"/>
      <c r="CM33" s="40"/>
      <c r="CN33" s="39"/>
      <c r="CO33" s="40"/>
      <c r="CP33" s="39"/>
      <c r="CQ33" s="40"/>
    </row>
    <row r="34" spans="1:95 16382:16384" ht="10.5" x14ac:dyDescent="0.25">
      <c r="A34" t="s">
        <v>75</v>
      </c>
      <c r="B34" s="70">
        <v>137664.28859559423</v>
      </c>
      <c r="C34" s="38"/>
      <c r="D34" s="70">
        <v>139048.42448755773</v>
      </c>
      <c r="E34" s="38"/>
      <c r="F34" s="70">
        <v>140623.31740129914</v>
      </c>
      <c r="G34" s="38"/>
      <c r="H34" s="70">
        <v>142460.26245289686</v>
      </c>
      <c r="I34" s="38"/>
      <c r="J34" s="70">
        <v>144678.01108011237</v>
      </c>
      <c r="K34" s="38"/>
      <c r="L34" s="70">
        <v>147501.98961449286</v>
      </c>
      <c r="M34" s="38"/>
      <c r="N34" s="70">
        <v>151460.25211433717</v>
      </c>
      <c r="O34" s="38"/>
      <c r="P34" s="70">
        <v>158826.08917384059</v>
      </c>
      <c r="Q34" s="38"/>
      <c r="R34" s="220">
        <v>184852.9899542752</v>
      </c>
      <c r="S34" s="217"/>
      <c r="T34" s="70"/>
      <c r="U34" s="38"/>
      <c r="V34" s="70"/>
      <c r="W34" s="38"/>
      <c r="X34" s="70"/>
      <c r="Y34" s="38"/>
      <c r="Z34" s="70"/>
      <c r="AA34" s="38"/>
      <c r="AB34" s="70"/>
      <c r="AC34" s="38"/>
      <c r="AD34" s="70"/>
      <c r="AE34" s="38"/>
      <c r="AF34" s="70"/>
      <c r="AG34" s="38"/>
      <c r="AH34" s="70"/>
      <c r="AI34" s="38"/>
      <c r="AJ34" s="70"/>
      <c r="AK34" s="38"/>
      <c r="AL34" s="70"/>
      <c r="AM34" s="38"/>
      <c r="AN34" s="70"/>
      <c r="AO34" s="38"/>
      <c r="AP34" s="70"/>
      <c r="AQ34" s="38"/>
      <c r="AR34" s="70"/>
      <c r="AS34" s="38"/>
      <c r="AT34" s="70"/>
      <c r="AU34" s="38"/>
      <c r="AV34" s="70"/>
      <c r="AW34" s="38"/>
      <c r="AX34" s="37"/>
      <c r="AY34" s="38"/>
      <c r="AZ34" s="37"/>
      <c r="BA34" s="38"/>
      <c r="BB34" s="37"/>
      <c r="BC34" s="38"/>
      <c r="BD34" s="37"/>
      <c r="BE34" s="38"/>
      <c r="BF34" s="37"/>
      <c r="BG34" s="38"/>
      <c r="BH34" s="37"/>
      <c r="BI34" s="38"/>
      <c r="BJ34" s="37"/>
      <c r="BK34" s="38"/>
      <c r="BL34" s="37"/>
      <c r="BM34" s="38"/>
      <c r="BN34" s="37"/>
      <c r="BO34" s="38"/>
      <c r="BP34" s="37"/>
      <c r="BQ34" s="38"/>
      <c r="BR34" s="37"/>
      <c r="BS34" s="38"/>
      <c r="BT34" s="37"/>
      <c r="BU34" s="38"/>
      <c r="BV34" s="37"/>
      <c r="BW34" s="38"/>
      <c r="BX34" s="37"/>
      <c r="BY34" s="38"/>
      <c r="BZ34" s="37"/>
      <c r="CA34" s="38"/>
      <c r="CB34" s="37"/>
      <c r="CC34" s="38"/>
      <c r="CD34" s="37"/>
      <c r="CE34" s="38"/>
      <c r="CF34" s="37"/>
      <c r="CG34" s="38"/>
      <c r="CH34" s="37"/>
      <c r="CI34" s="38"/>
      <c r="CJ34" s="37"/>
      <c r="CK34" s="38"/>
      <c r="CL34" s="37"/>
      <c r="CM34" s="38"/>
      <c r="CN34" s="37"/>
      <c r="CO34" s="38"/>
      <c r="CP34" s="37"/>
      <c r="CQ34" s="38"/>
    </row>
    <row r="35" spans="1:95 16382:16384" ht="10.5" x14ac:dyDescent="0.25">
      <c r="A35" t="s">
        <v>21</v>
      </c>
      <c r="B35" s="37">
        <v>0.47796858982439111</v>
      </c>
      <c r="C35" s="38">
        <v>0.17068593284758601</v>
      </c>
      <c r="D35" s="37">
        <v>0.47798876522791123</v>
      </c>
      <c r="E35" s="38">
        <v>0.17223647515977694</v>
      </c>
      <c r="F35" s="37">
        <v>0.47800990071196109</v>
      </c>
      <c r="G35" s="38">
        <v>0.17397565643109691</v>
      </c>
      <c r="H35" s="37">
        <v>0.47803200127449275</v>
      </c>
      <c r="I35" s="38">
        <v>0.17595066054491221</v>
      </c>
      <c r="J35" s="37">
        <v>0.47805502941814199</v>
      </c>
      <c r="K35" s="38">
        <v>0.1782315914764383</v>
      </c>
      <c r="L35" s="37">
        <v>0.47807886925799364</v>
      </c>
      <c r="M35" s="38">
        <v>0.18093292236835945</v>
      </c>
      <c r="N35" s="37">
        <v>0.47810327454562584</v>
      </c>
      <c r="O35" s="38">
        <v>0.18427756195470213</v>
      </c>
      <c r="P35" s="37">
        <v>0.4781281728687749</v>
      </c>
      <c r="Q35" s="38">
        <v>0.18900094424214597</v>
      </c>
      <c r="R35" s="221">
        <v>0.47811160299832639</v>
      </c>
      <c r="S35" s="217">
        <v>0.18812783370144537</v>
      </c>
      <c r="T35" s="37"/>
      <c r="U35" s="38"/>
      <c r="V35" s="37"/>
      <c r="W35" s="38"/>
      <c r="X35" s="37"/>
      <c r="Y35" s="38"/>
      <c r="Z35" s="37"/>
      <c r="AA35" s="38"/>
      <c r="AB35" s="37"/>
      <c r="AC35" s="38"/>
      <c r="AD35" s="37"/>
      <c r="AE35" s="38"/>
      <c r="AF35" s="37"/>
      <c r="AG35" s="38"/>
      <c r="AH35" s="37"/>
      <c r="AI35" s="38"/>
      <c r="AJ35" s="37"/>
      <c r="AK35" s="38"/>
      <c r="AL35" s="37"/>
      <c r="AM35" s="38"/>
      <c r="AN35" s="37"/>
      <c r="AO35" s="38"/>
      <c r="AP35" s="37"/>
      <c r="AQ35" s="38"/>
      <c r="AR35" s="37"/>
      <c r="AS35" s="38"/>
      <c r="AT35" s="37"/>
      <c r="AU35" s="38"/>
      <c r="AV35" s="37"/>
      <c r="AW35" s="38"/>
      <c r="AX35" s="39"/>
      <c r="AY35" s="40"/>
      <c r="AZ35" s="39"/>
      <c r="BA35" s="40"/>
      <c r="BB35" s="39"/>
      <c r="BC35" s="40"/>
      <c r="BD35" s="39"/>
      <c r="BE35" s="40"/>
      <c r="BF35" s="39"/>
      <c r="BG35" s="40"/>
      <c r="BH35" s="39"/>
      <c r="BI35" s="40"/>
      <c r="BJ35" s="39"/>
      <c r="BK35" s="40"/>
      <c r="BL35" s="39"/>
      <c r="BM35" s="40"/>
      <c r="BN35" s="39"/>
      <c r="BO35" s="40"/>
      <c r="BP35" s="39"/>
      <c r="BQ35" s="40"/>
      <c r="BR35" s="39"/>
      <c r="BS35" s="40"/>
      <c r="BT35" s="39"/>
      <c r="BU35" s="40"/>
      <c r="BV35" s="39"/>
      <c r="BW35" s="40"/>
      <c r="BX35" s="39"/>
      <c r="BY35" s="40"/>
      <c r="BZ35" s="39"/>
      <c r="CA35" s="40"/>
      <c r="CB35" s="39"/>
      <c r="CC35" s="40"/>
      <c r="CD35" s="39"/>
      <c r="CE35" s="40"/>
      <c r="CF35" s="39"/>
      <c r="CG35" s="40"/>
      <c r="CH35" s="39"/>
      <c r="CI35" s="40"/>
      <c r="CJ35" s="39"/>
      <c r="CK35" s="40"/>
      <c r="CL35" s="39"/>
      <c r="CM35" s="40"/>
      <c r="CN35" s="39"/>
      <c r="CO35" s="40"/>
      <c r="CP35" s="39"/>
      <c r="CQ35" s="40"/>
    </row>
    <row r="36" spans="1:95 16382:16384" ht="10.5" x14ac:dyDescent="0.25">
      <c r="B36" s="39">
        <v>2.2053138497825992E-2</v>
      </c>
      <c r="C36" s="40">
        <v>0.48867583383045671</v>
      </c>
      <c r="D36" s="39">
        <v>2.1521900021723984E-2</v>
      </c>
      <c r="E36" s="40">
        <v>0.48505862143208489</v>
      </c>
      <c r="F36" s="39">
        <v>2.0958784557205592E-2</v>
      </c>
      <c r="G36" s="40">
        <v>0.48125885929341744</v>
      </c>
      <c r="H36" s="39">
        <v>2.0357065499814832E-2</v>
      </c>
      <c r="I36" s="40">
        <v>0.47723740110026236</v>
      </c>
      <c r="J36" s="39">
        <v>1.9706513390097484E-2</v>
      </c>
      <c r="K36" s="40">
        <v>0.47293215272256661</v>
      </c>
      <c r="L36" s="39">
        <v>1.8989739188550118E-2</v>
      </c>
      <c r="M36" s="40">
        <v>0.46823178080412625</v>
      </c>
      <c r="N36" s="39">
        <v>1.8170363067239341E-2</v>
      </c>
      <c r="O36" s="40">
        <v>0.46288631541333447</v>
      </c>
      <c r="P36" s="39">
        <v>1.7109368627895142E-2</v>
      </c>
      <c r="Q36" s="40">
        <v>0.455840396134708</v>
      </c>
      <c r="R36" s="222">
        <v>1.6797513684740171E-2</v>
      </c>
      <c r="S36" s="219">
        <v>0.44814133077179108</v>
      </c>
      <c r="T36" s="39"/>
      <c r="U36" s="40"/>
      <c r="V36" s="39"/>
      <c r="W36" s="40"/>
      <c r="X36" s="39"/>
      <c r="Y36" s="40"/>
      <c r="Z36" s="39"/>
      <c r="AA36" s="40"/>
      <c r="AB36" s="39"/>
      <c r="AC36" s="40"/>
      <c r="AD36" s="39"/>
      <c r="AE36" s="40"/>
      <c r="AF36" s="39"/>
      <c r="AG36" s="40"/>
      <c r="AH36" s="39"/>
      <c r="AI36" s="40"/>
      <c r="AJ36" s="39"/>
      <c r="AK36" s="40"/>
      <c r="AL36" s="39"/>
      <c r="AM36" s="40"/>
      <c r="AN36" s="39"/>
      <c r="AO36" s="40"/>
      <c r="AP36" s="39"/>
      <c r="AQ36" s="40"/>
      <c r="AR36" s="39"/>
      <c r="AS36" s="40"/>
      <c r="AT36" s="39"/>
      <c r="AU36" s="40"/>
      <c r="AV36" s="39"/>
      <c r="AW36" s="40"/>
    </row>
    <row r="37" spans="1:95 16382:16384" ht="10.5" x14ac:dyDescent="0.25">
      <c r="A37" t="s">
        <v>22</v>
      </c>
      <c r="B37" s="37">
        <v>0.14928344905798796</v>
      </c>
      <c r="C37" s="38">
        <v>3.7916652170162192E-2</v>
      </c>
      <c r="D37" s="37">
        <v>0.15102190769410032</v>
      </c>
      <c r="E37" s="38">
        <v>3.8731657128494905E-2</v>
      </c>
      <c r="F37" s="37">
        <v>0.15307306424073061</v>
      </c>
      <c r="G37" s="38">
        <v>3.968955079390539E-2</v>
      </c>
      <c r="H37" s="37">
        <v>0.15556142642861165</v>
      </c>
      <c r="I37" s="38">
        <v>4.0844157238189321E-2</v>
      </c>
      <c r="J37" s="37">
        <v>0.15870021444705282</v>
      </c>
      <c r="K37" s="38">
        <v>4.2286770680624162E-2</v>
      </c>
      <c r="L37" s="37">
        <v>0.16290455114553945</v>
      </c>
      <c r="M37" s="38">
        <v>4.4192950270718671E-2</v>
      </c>
      <c r="N37" s="37">
        <v>0.16919049316877233</v>
      </c>
      <c r="O37" s="38">
        <v>4.6987151400890131E-2</v>
      </c>
      <c r="P37" s="37">
        <v>0.18220746224394235</v>
      </c>
      <c r="Q37" s="38">
        <v>5.2585526496178495E-2</v>
      </c>
      <c r="R37" s="221">
        <v>0.24982540879517207</v>
      </c>
      <c r="S37" s="217">
        <v>7.9460220049906299E-2</v>
      </c>
      <c r="T37" s="37"/>
      <c r="U37" s="38"/>
      <c r="V37" s="37"/>
      <c r="W37" s="38"/>
      <c r="X37" s="37"/>
      <c r="Y37" s="38"/>
      <c r="Z37" s="37"/>
      <c r="AA37" s="38"/>
      <c r="AB37" s="37"/>
      <c r="AC37" s="38"/>
      <c r="AD37" s="37"/>
      <c r="AE37" s="38"/>
      <c r="AF37" s="37"/>
      <c r="AG37" s="38"/>
      <c r="AH37" s="37"/>
      <c r="AI37" s="38"/>
      <c r="AJ37" s="37"/>
      <c r="AK37" s="38"/>
      <c r="AL37" s="37"/>
      <c r="AM37" s="38"/>
      <c r="AN37" s="37"/>
      <c r="AO37" s="38"/>
      <c r="AP37" s="37"/>
      <c r="AQ37" s="38"/>
      <c r="AR37" s="37"/>
      <c r="AS37" s="38"/>
      <c r="AT37" s="37"/>
      <c r="AU37" s="38"/>
      <c r="AV37" s="37"/>
      <c r="AW37" s="38"/>
    </row>
    <row r="38" spans="1:95 16382:16384" ht="10.5" x14ac:dyDescent="0.25">
      <c r="A38" t="s">
        <v>23</v>
      </c>
      <c r="B38" s="39">
        <v>0.22700160168381014</v>
      </c>
      <c r="C38" s="40">
        <v>0.18696331369363389</v>
      </c>
      <c r="D38" s="39">
        <v>0.22494848068644852</v>
      </c>
      <c r="E38" s="40">
        <v>0.18843022985610122</v>
      </c>
      <c r="F38" s="39">
        <v>0.22264982291758137</v>
      </c>
      <c r="G38" s="40">
        <v>0.1900936842972511</v>
      </c>
      <c r="H38" s="39">
        <v>0.22002103949725879</v>
      </c>
      <c r="I38" s="40">
        <v>0.19200573169466709</v>
      </c>
      <c r="J38" s="39">
        <v>0.21692419630192353</v>
      </c>
      <c r="K38" s="40">
        <v>0.19424634526492796</v>
      </c>
      <c r="L38" s="39">
        <v>0.21310494076355918</v>
      </c>
      <c r="M38" s="40">
        <v>0.19695306706742158</v>
      </c>
      <c r="N38" s="39">
        <v>0.20797762041401721</v>
      </c>
      <c r="O38" s="40">
        <v>0.20041569199509823</v>
      </c>
      <c r="P38" s="39">
        <v>0.19905423172696901</v>
      </c>
      <c r="Q38" s="40">
        <v>0.20574018502548125</v>
      </c>
      <c r="R38" s="222">
        <v>0.17161905321160076</v>
      </c>
      <c r="S38" s="219">
        <v>0.21391170916930807</v>
      </c>
      <c r="T38" s="39"/>
      <c r="U38" s="40"/>
      <c r="V38" s="39"/>
      <c r="W38" s="40"/>
      <c r="X38" s="39"/>
      <c r="Y38" s="40"/>
      <c r="Z38" s="39"/>
      <c r="AA38" s="40"/>
      <c r="AB38" s="39"/>
      <c r="AC38" s="40"/>
      <c r="AD38" s="39"/>
      <c r="AE38" s="40"/>
      <c r="AF38" s="39"/>
      <c r="AG38" s="40"/>
      <c r="AH38" s="39"/>
      <c r="AI38" s="40"/>
      <c r="AJ38" s="39"/>
      <c r="AK38" s="40"/>
      <c r="AL38" s="39"/>
      <c r="AM38" s="40"/>
      <c r="AN38" s="39"/>
      <c r="AO38" s="40"/>
      <c r="AP38" s="39"/>
      <c r="AQ38" s="40"/>
      <c r="AR38" s="39"/>
      <c r="AS38" s="40"/>
      <c r="AT38" s="39"/>
      <c r="AU38" s="40"/>
      <c r="AV38" s="39"/>
      <c r="AW38" s="40"/>
    </row>
    <row r="39" spans="1:95 16382:16384" x14ac:dyDescent="0.2">
      <c r="B39" s="135"/>
      <c r="C39" s="135"/>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5"/>
      <c r="AB39" s="135"/>
      <c r="AC39" s="135"/>
      <c r="AD39" s="135"/>
      <c r="AE39" s="135"/>
      <c r="AF39" s="135"/>
      <c r="AG39" s="135"/>
      <c r="AH39" s="135"/>
      <c r="AI39" s="135"/>
      <c r="AJ39" s="135"/>
      <c r="AK39" s="135"/>
      <c r="AL39" s="135"/>
      <c r="AM39" s="135"/>
      <c r="AN39" s="135"/>
      <c r="AO39" s="135"/>
      <c r="AP39" s="135"/>
      <c r="AQ39" s="135"/>
      <c r="AR39" s="135"/>
      <c r="AS39" s="135"/>
      <c r="AT39" s="135"/>
      <c r="AU39" s="135"/>
    </row>
    <row r="40" spans="1:95 16382:16384"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95 16382:16384" x14ac:dyDescent="0.2">
      <c r="A41" t="s">
        <v>107</v>
      </c>
      <c r="B41" s="162">
        <f>1-SUM(B26:C26)/SUM($B$26:$C$26)</f>
        <v>0</v>
      </c>
      <c r="C41" s="135"/>
      <c r="D41" s="162">
        <f>1-SUM(D26:E26)/SUM($B$26:$C$26)</f>
        <v>-2.3012164594327311E-2</v>
      </c>
      <c r="E41" s="135"/>
      <c r="F41" s="162">
        <f>1-SUM(F26:G26)/SUM($B$26:$C$26)</f>
        <v>-4.9804085841725465E-2</v>
      </c>
      <c r="G41" s="135"/>
      <c r="H41" s="162">
        <f>1-SUM(H26:I26)/SUM($B$26:$C$26)</f>
        <v>-8.1880377207538269E-2</v>
      </c>
      <c r="I41" s="135"/>
      <c r="J41" s="162">
        <f>1-SUM(J26:K26)/SUM($B$26:$C$26)</f>
        <v>-0.12182047978729393</v>
      </c>
      <c r="K41" s="135"/>
      <c r="L41" s="162">
        <f>1-SUM(L26:M26)/SUM($B$26:$C$26)</f>
        <v>-0.17465596074992629</v>
      </c>
      <c r="M41" s="135"/>
      <c r="N41" s="162">
        <f>1-SUM(N26:O26)/SUM($B$26:$C$26)</f>
        <v>-0.25273682428849709</v>
      </c>
      <c r="O41" s="135"/>
      <c r="P41" s="162">
        <f>1-SUM(P26:Q26)/SUM($B$26:$C$26)</f>
        <v>-0.41281728720003508</v>
      </c>
      <c r="Q41" s="135"/>
      <c r="R41" s="162">
        <f>1-SUM(R26:S26)/SUM($B$26:$C$26)</f>
        <v>-1.2422718639270314</v>
      </c>
      <c r="S41" s="135"/>
      <c r="T41" s="162">
        <f>1-SUM(T26:U26)/SUM($B$26:$C$26)</f>
        <v>1</v>
      </c>
      <c r="U41" s="135"/>
      <c r="V41" s="162">
        <f>1-SUM(V26:W26)/SUM($B$26:$C$26)</f>
        <v>1</v>
      </c>
      <c r="W41" s="135"/>
      <c r="X41" s="162">
        <f>1-SUM(X26:Y26)/SUM($B$26:$C$26)</f>
        <v>1</v>
      </c>
      <c r="Y41" s="162"/>
      <c r="Z41" s="162">
        <f>1-SUM(Z26:AA26)/SUM($B$26:$C$26)</f>
        <v>1</v>
      </c>
      <c r="AA41" s="135"/>
      <c r="AB41" s="162">
        <f>1-SUM(AB26:AC26)/SUM($B$26:$C$26)</f>
        <v>1</v>
      </c>
      <c r="AC41" s="135"/>
      <c r="AD41" s="162">
        <f>1-SUM(AD26:AE26)/SUM($B$26:$C$26)</f>
        <v>1</v>
      </c>
      <c r="AE41" s="135"/>
      <c r="AF41" s="162">
        <f>1-SUM(AF26:AG26)/SUM($B$26:$C$26)</f>
        <v>1</v>
      </c>
      <c r="AG41" s="135"/>
      <c r="AH41" s="162">
        <f>1-SUM(AH26:AI26)/SUM($B$26:$C$26)</f>
        <v>1</v>
      </c>
      <c r="AI41" s="135"/>
      <c r="AJ41" s="162">
        <f>1-SUM(AJ26:AK26)/SUM($B$26:$C$26)</f>
        <v>1</v>
      </c>
      <c r="AK41" s="135"/>
      <c r="AL41" s="162">
        <f>1-SUM(AL26:AM26)/SUM($B$26:$C$26)</f>
        <v>1</v>
      </c>
      <c r="AM41" s="135"/>
      <c r="AN41" s="162">
        <f>1-SUM(AN26:AO26)/SUM($B$26:$C$26)</f>
        <v>1</v>
      </c>
      <c r="AO41" s="135"/>
      <c r="AP41" s="162">
        <f>1-SUM(AP26:AQ26)/SUM($B$26:$C$26)</f>
        <v>1</v>
      </c>
      <c r="AQ41" s="135"/>
      <c r="AR41" s="162">
        <f>1-SUM(AR26:AS26)/SUM($B$26:$C$26)</f>
        <v>1</v>
      </c>
      <c r="AS41" s="135"/>
      <c r="AT41" s="162">
        <f>1-SUM(AT26:AU26)/SUM($B$26:$C$26)</f>
        <v>1</v>
      </c>
      <c r="AU41" s="135"/>
    </row>
    <row r="42" spans="1:95 16382:16384" x14ac:dyDescent="0.2">
      <c r="A42" t="s">
        <v>108</v>
      </c>
      <c r="B42" s="162">
        <f t="array" ref="B42">SUM(B15:C15*B27:C27)/SUM(B15:C15*B27:C27,B13:C13*B26:C26)</f>
        <v>0.60843939069027198</v>
      </c>
      <c r="C42" s="135"/>
      <c r="D42" s="162">
        <f t="array" ref="D42">SUM(D15:E15*D27:E27)/SUM(D15:E15*D27:E27,D13:E13*D26:E26)</f>
        <v>0.59898088794926418</v>
      </c>
      <c r="E42" s="135"/>
      <c r="F42" s="162">
        <f t="array" ref="F42">SUM(F15:G15*F27:G27)/SUM(F15:G15*F27:G27,F13:G13*F26:G26)</f>
        <v>0.58784970675667836</v>
      </c>
      <c r="G42" s="135"/>
      <c r="H42" s="162">
        <f t="array" ref="H42">SUM(H15:I15*H27:I27)/SUM(H15:I15*H27:I27,H13:I13*H26:I26)</f>
        <v>0.57438598240368477</v>
      </c>
      <c r="I42" s="135"/>
      <c r="J42" s="162">
        <f t="array" ref="J42">SUM(J15:K15*J27:K27)/SUM(J15:K15*J27:K27,J13:K13*J26:K26)</f>
        <v>0.55746270321875036</v>
      </c>
      <c r="K42" s="135"/>
      <c r="L42" s="162">
        <f t="array" ref="L42">SUM(L15:M15*L27:M27)/SUM(L15:M15*L27:M27,L13:M13*L26:M26)</f>
        <v>0.53489555050903614</v>
      </c>
      <c r="M42" s="135"/>
      <c r="N42" s="162">
        <f t="array" ref="N42">SUM(N15:O15*N27:O27)/SUM(N15:O15*N27:O27,N13:O13*N26:O26)</f>
        <v>0.50137689811204555</v>
      </c>
      <c r="O42" s="135"/>
      <c r="P42" s="162">
        <f t="array" ref="P42">SUM(P15:Q15*P27:Q27)/SUM(P15:Q15*P27:Q27,P13:Q13*P26:Q26)</f>
        <v>0.43292695930033331</v>
      </c>
      <c r="Q42" s="135"/>
      <c r="R42" s="162">
        <f t="array" ref="R42">SUM(R15:S15*R27:S27)/SUM(R15:S15*R27:S27,R13:S13*R26:S26)</f>
        <v>0.10362998979908987</v>
      </c>
      <c r="S42" s="135"/>
      <c r="T42" s="162" t="e">
        <f t="array" ref="T42">SUM(T15:U15*T27:U27)/SUM(T15:U15*T27:U27,T13:U13*T26:U26)</f>
        <v>#DIV/0!</v>
      </c>
      <c r="U42" s="135"/>
      <c r="V42" s="162" t="e">
        <f t="array" ref="V42">SUM(V15:W15*V27:W27)/SUM(V15:W15*V27:W27,V13:W13*V26:W26)</f>
        <v>#DIV/0!</v>
      </c>
      <c r="W42" s="135"/>
      <c r="X42" s="162" t="e">
        <f t="array" ref="X42">SUM(X15:Y15*X27:Y27)/SUM(X15:Y15*X27:Y27,X13:Y13*X26:Y26)</f>
        <v>#DIV/0!</v>
      </c>
      <c r="Y42" s="135"/>
      <c r="Z42" s="162" t="e">
        <f t="array" ref="Z42">SUM(Z15:AA15*Z27:AA27)/SUM(Z15:AA15*Z27:AA27,Z13:AA13*Z26:AA26)</f>
        <v>#DIV/0!</v>
      </c>
      <c r="AA42" s="135"/>
      <c r="AB42" s="162" t="e">
        <f t="array" ref="AB42">SUM(AB15:AC15*AB27:AC27)/SUM(AB15:AC15*AB27:AC27,AB13:AC13*AB26:AC26)</f>
        <v>#DIV/0!</v>
      </c>
      <c r="AC42" s="135"/>
      <c r="AD42" s="162" t="e">
        <f t="array" ref="AD42">SUM(AD15:AE15*AD27:AE27)/SUM(AD15:AE15*AD27:AE27,AD13:AE13*AD26:AE26)</f>
        <v>#DIV/0!</v>
      </c>
      <c r="AE42" s="135"/>
      <c r="AF42" s="162" t="e">
        <f t="array" ref="AF42">SUM(AF15:AG15*AF27:AG27)/SUM(AF15:AG15*AF27:AG27,AF13:AG13*AF26:AG26)</f>
        <v>#DIV/0!</v>
      </c>
      <c r="AG42" s="135"/>
      <c r="AH42" s="162" t="e">
        <f t="array" ref="AH42">SUM(AH15:AI15*AH27:AI27)/SUM(AH15:AI15*AH27:AI27,AH13:AI13*AH26:AI26)</f>
        <v>#DIV/0!</v>
      </c>
      <c r="AI42" s="135"/>
      <c r="AJ42" s="162" t="e">
        <f t="array" ref="AJ42">SUM(AJ15:AK15*AJ27:AK27)/SUM(AJ15:AK15*AJ27:AK27,AJ13:AK13*AJ26:AK26)</f>
        <v>#DIV/0!</v>
      </c>
      <c r="AK42" s="135"/>
      <c r="AL42" s="162" t="e">
        <f t="array" ref="AL42">SUM(AL15:AM15*AL27:AM27)/SUM(AL15:AM15*AL27:AM27,AL13:AM13*AL26:AM26)</f>
        <v>#DIV/0!</v>
      </c>
      <c r="AM42" s="135"/>
      <c r="AN42" s="162" t="e">
        <f t="array" ref="AN42">SUM(AN15:AO15*AN27:AO27)/SUM(AN15:AO15*AN27:AO27,AN13:AO13*AN26:AO26)</f>
        <v>#DIV/0!</v>
      </c>
      <c r="AO42" s="135"/>
      <c r="AP42" s="162" t="e">
        <f t="array" ref="AP42">SUM(AP15:AQ15*AP27:AQ27)/SUM(AP15:AQ15*AP27:AQ27,AP13:AQ13*AP26:AQ26)</f>
        <v>#DIV/0!</v>
      </c>
      <c r="AQ42" s="135"/>
      <c r="AR42" s="162" t="e">
        <f t="array" ref="AR42">SUM(AR15:AS15*AR27:AS27)/SUM(AR15:AS15*AR27:AS27,AR13:AS13*AR26:AS26)</f>
        <v>#DIV/0!</v>
      </c>
      <c r="AS42" s="135"/>
      <c r="AT42" s="162" t="e">
        <f t="array" ref="AT42">SUM(AT15:AU15*AT27:AU27)/SUM(AT15:AU15*AT27:AU27,AT13:AU13*AT26:AU26)</f>
        <v>#DIV/0!</v>
      </c>
      <c r="AU42" s="135"/>
      <c r="AV42" s="162"/>
      <c r="AX42" s="162"/>
      <c r="AZ42" s="162"/>
      <c r="BB42" s="162"/>
      <c r="BD42" s="162"/>
      <c r="BF42" s="162"/>
      <c r="BH42" s="162"/>
      <c r="BJ42" s="162"/>
      <c r="BL42" s="162"/>
      <c r="BN42" s="162"/>
      <c r="BP42" s="162"/>
      <c r="BR42" s="162"/>
    </row>
    <row r="43" spans="1:95 16382:16384" x14ac:dyDescent="0.2">
      <c r="A43" t="s">
        <v>142</v>
      </c>
      <c r="B43" s="193">
        <f>(SUM(B11:C11*B24:C24)+B34)/B32</f>
        <v>0.21620509429616314</v>
      </c>
      <c r="D43" s="193">
        <f>(SUM(D11:E11*D24:E24)+D34)/D32</f>
        <v>0.21416983254737415</v>
      </c>
      <c r="F43" s="193">
        <f>(SUM(F11:G11*F24:G24)+F34)/F32</f>
        <v>0.21190279300046858</v>
      </c>
      <c r="H43" s="193">
        <f>(SUM(H11:I11*H24:I24)+H34)/H32</f>
        <v>0.20932209401184362</v>
      </c>
      <c r="J43" s="193">
        <f>(SUM(J11:K11*J24:K24)+J34)/J32</f>
        <v>0.20629339718890449</v>
      </c>
      <c r="L43" s="193">
        <f>(SUM(L11:M11*L24:M24)+L34)/L32</f>
        <v>0.20256895467397917</v>
      </c>
      <c r="N43" s="193">
        <f>(SUM(N11:O11*N24:O24)+N34)/N32</f>
        <v>0.19758205828353961</v>
      </c>
      <c r="P43" s="193">
        <f>(SUM(P11:Q11*P24:Q24)+P34)/P32</f>
        <v>0.18896378522653406</v>
      </c>
      <c r="R43" s="193">
        <f>(SUM(R11:S11*R24:S24)+R34)/R32</f>
        <v>0.16401273555897103</v>
      </c>
      <c r="T43" s="193" t="e">
        <f>(SUM(T11:U11*T24:U24)+T34)/T32</f>
        <v>#DIV/0!</v>
      </c>
      <c r="V43" s="193" t="e">
        <f>(SUM(V11:W11*V24:W24)+V34)/V32</f>
        <v>#DIV/0!</v>
      </c>
      <c r="X43" s="193" t="e">
        <f>(SUM(X11:Y11*X24:Y24)+X34)/X32</f>
        <v>#DIV/0!</v>
      </c>
      <c r="Z43" s="193" t="e">
        <f>(SUM(Z11:AA11*Z24:AA24)+Z34)/Z32</f>
        <v>#DIV/0!</v>
      </c>
      <c r="AB43" s="193" t="e">
        <f>(SUM(AB11:AC11*AB24:AC24)+AB34)/AB32</f>
        <v>#DIV/0!</v>
      </c>
      <c r="AD43" s="193" t="e">
        <f>(SUM(AD11:AE11*AD24:AE24)+AD34)/AD32</f>
        <v>#DIV/0!</v>
      </c>
      <c r="AF43" s="193" t="e">
        <f>(SUM(AF11:AG11*AF24:AG24)+AF34)/AF32</f>
        <v>#DIV/0!</v>
      </c>
      <c r="AH43" s="193" t="e">
        <f>(SUM(AH11:AI11*AH24:AI24)+AH34)/AH32</f>
        <v>#DIV/0!</v>
      </c>
      <c r="AJ43" s="193" t="e">
        <f>(SUM(AJ11:AK11*AJ24:AK24)+AJ34)/AJ32</f>
        <v>#DIV/0!</v>
      </c>
      <c r="AL43" s="193" t="e">
        <f>(SUM(AL11:AM11*AL24:AM24)+AL34)/AL32</f>
        <v>#DIV/0!</v>
      </c>
      <c r="AN43" s="193" t="e">
        <f>(SUM(AN11:AO11*AN24:AO24)+AN34)/AN32</f>
        <v>#DIV/0!</v>
      </c>
      <c r="AP43" s="193" t="e">
        <f>(SUM(AP11:AQ11*AP24:AQ24)+AP34)/AP32</f>
        <v>#DIV/0!</v>
      </c>
      <c r="AR43" s="193" t="e">
        <f>(SUM(AR11:AS11*AR24:AS24)+AR34)/AR32</f>
        <v>#DIV/0!</v>
      </c>
      <c r="AT43" s="193" t="e">
        <f>(SUM(AT11:AU11*AT24:AU24)+AT34)/AT32</f>
        <v>#DIV/0!</v>
      </c>
    </row>
    <row r="44" spans="1:95 16382:16384" x14ac:dyDescent="0.2">
      <c r="A44" t="s">
        <v>82</v>
      </c>
      <c r="B44" s="193">
        <f>SUM(B11:C11*B24:C24)/B32</f>
        <v>0.20445380142857192</v>
      </c>
      <c r="D44" s="193">
        <f>SUM(D11:E11*D24:E24)/D32</f>
        <v>0.2024185428749285</v>
      </c>
      <c r="F44" s="193">
        <f>SUM(F11:G11*F24:G24)/F32</f>
        <v>0.20015150770368248</v>
      </c>
      <c r="H44" s="193">
        <f>SUM(H11:I11*H24:I24)/H32</f>
        <v>0.19757080072513944</v>
      </c>
      <c r="J44" s="193">
        <f>SUM(J11:K11*J24:K24)/J32</f>
        <v>0.19454211314072914</v>
      </c>
      <c r="L44" s="193">
        <f>SUM(L11:M11*L24:M24)/L32</f>
        <v>0.19081766273176673</v>
      </c>
      <c r="N44" s="193">
        <f>SUM(N11:O11*N24:O24)/N32</f>
        <v>0.18583077034062143</v>
      </c>
      <c r="P44" s="193">
        <f>SUM(P11:Q11*P24:Q24)/P32</f>
        <v>0.17721250019401408</v>
      </c>
      <c r="R44" s="193">
        <f>SUM(R11:S11*R24:S24)/R32</f>
        <v>0.15226144431421212</v>
      </c>
      <c r="T44" s="193" t="e">
        <f>SUM(T11:U11*T24:U24)/T32</f>
        <v>#DIV/0!</v>
      </c>
      <c r="V44" s="193" t="e">
        <f>SUM(V11:W11*V24:W24)/V32</f>
        <v>#DIV/0!</v>
      </c>
      <c r="X44" s="193" t="e">
        <f>SUM(X11:Y11*X24:Y24)/X32</f>
        <v>#DIV/0!</v>
      </c>
      <c r="Z44" s="193" t="e">
        <f>SUM(Z11:AA11*Z24:AA24)/Z32</f>
        <v>#DIV/0!</v>
      </c>
      <c r="AB44" s="193" t="e">
        <f>SUM(AB11:AC11*AB24:AC24)/AB32</f>
        <v>#DIV/0!</v>
      </c>
      <c r="AD44" s="193" t="e">
        <f>SUM(AD11:AE11*AD24:AE24)/AD32</f>
        <v>#DIV/0!</v>
      </c>
      <c r="AF44" s="193" t="e">
        <f>SUM(AF11:AG11*AF24:AG24)/AF32</f>
        <v>#DIV/0!</v>
      </c>
      <c r="AH44" s="193" t="e">
        <f>SUM(AH11:AI11*AH24:AI24)/AH32</f>
        <v>#DIV/0!</v>
      </c>
      <c r="AJ44" s="193" t="e">
        <f>SUM(AJ11:AK11*AJ24:AK24)/AJ32</f>
        <v>#DIV/0!</v>
      </c>
      <c r="AL44" s="193" t="e">
        <f>SUM(AL11:AM11*AL24:AM24)/AL32</f>
        <v>#DIV/0!</v>
      </c>
      <c r="AN44" s="193" t="e">
        <f>SUM(AN11:AO11*AN24:AO24)/AN32</f>
        <v>#DIV/0!</v>
      </c>
      <c r="AP44" s="193" t="e">
        <f>SUM(AP11:AQ11*AP24:AQ24)/AP32</f>
        <v>#DIV/0!</v>
      </c>
      <c r="AR44" s="193" t="e">
        <f>SUM(AR11:AS11*AR24:AS24)/AR32</f>
        <v>#DIV/0!</v>
      </c>
      <c r="AT44" s="193" t="e">
        <f>SUM(AT11:AU11*AT24:AU24)/AT32</f>
        <v>#DIV/0!</v>
      </c>
      <c r="XFB44" s="193"/>
    </row>
    <row r="45" spans="1:95 16382:16384" x14ac:dyDescent="0.2">
      <c r="A45" t="s">
        <v>139</v>
      </c>
      <c r="B45" s="193">
        <f>B34/B32</f>
        <v>1.1751292867591238E-2</v>
      </c>
      <c r="D45" s="193">
        <f>D34/D32</f>
        <v>1.1751289672445658E-2</v>
      </c>
      <c r="F45" s="193">
        <f>F34/F32</f>
        <v>1.1751285296786077E-2</v>
      </c>
      <c r="H45" s="193">
        <f>H34/H32</f>
        <v>1.1751293286704208E-2</v>
      </c>
      <c r="J45" s="193">
        <f>J34/J32</f>
        <v>1.1751284048175362E-2</v>
      </c>
      <c r="L45" s="193">
        <f>L34/L32</f>
        <v>1.1751291942212434E-2</v>
      </c>
      <c r="N45" s="193">
        <f>N34/N32</f>
        <v>1.1751287942918172E-2</v>
      </c>
      <c r="P45" s="193">
        <f>P34/P32</f>
        <v>1.1751285032520006E-2</v>
      </c>
      <c r="R45" s="193">
        <f>R34/R32</f>
        <v>1.1751291244758913E-2</v>
      </c>
      <c r="T45" s="193" t="e">
        <f>T34/T32</f>
        <v>#DIV/0!</v>
      </c>
      <c r="V45" s="193" t="e">
        <f>V34/V32</f>
        <v>#DIV/0!</v>
      </c>
      <c r="X45" s="193" t="e">
        <f>X34/X32</f>
        <v>#DIV/0!</v>
      </c>
      <c r="Z45" s="193" t="e">
        <f>Z34/Z32</f>
        <v>#DIV/0!</v>
      </c>
      <c r="AB45" s="193" t="e">
        <f>AB34/AB32</f>
        <v>#DIV/0!</v>
      </c>
      <c r="AD45" s="193" t="e">
        <f>AD34/AD32</f>
        <v>#DIV/0!</v>
      </c>
      <c r="AF45" s="193" t="e">
        <f>AF34/AF32</f>
        <v>#DIV/0!</v>
      </c>
      <c r="AH45" s="193" t="e">
        <f>AH34/AH32</f>
        <v>#DIV/0!</v>
      </c>
      <c r="AJ45" s="193" t="e">
        <f>AJ34/AJ32</f>
        <v>#DIV/0!</v>
      </c>
      <c r="AL45" s="193" t="e">
        <f>AL34/AL32</f>
        <v>#DIV/0!</v>
      </c>
      <c r="AN45" s="193" t="e">
        <f>AN34/AN32</f>
        <v>#DIV/0!</v>
      </c>
      <c r="AP45" s="193" t="e">
        <f>AP34/AP32</f>
        <v>#DIV/0!</v>
      </c>
      <c r="AR45" s="193" t="e">
        <f>AR34/AR32</f>
        <v>#DIV/0!</v>
      </c>
      <c r="AT45" s="193" t="e">
        <f>AT34/AT32</f>
        <v>#DIV/0!</v>
      </c>
      <c r="AV45" s="193" t="e">
        <f>AV34/AV32</f>
        <v>#DIV/0!</v>
      </c>
      <c r="XFD45" s="193"/>
    </row>
    <row r="51" spans="1:48 16321:16384" x14ac:dyDescent="0.2">
      <c r="A51" t="s">
        <v>166</v>
      </c>
      <c r="B51" s="29">
        <v>898591.45196639095</v>
      </c>
      <c r="D51" s="29">
        <v>986328.77374055982</v>
      </c>
      <c r="F51" s="29">
        <v>1086158.3980049016</v>
      </c>
      <c r="H51" s="29">
        <v>1202589.2550592632</v>
      </c>
      <c r="J51" s="29">
        <v>1343170.8775422131</v>
      </c>
      <c r="L51" s="29">
        <v>1522165.7178274137</v>
      </c>
      <c r="N51" s="29">
        <v>1773067.8483392284</v>
      </c>
      <c r="P51" s="29">
        <v>2239962.106054347</v>
      </c>
      <c r="R51" s="29">
        <v>3889700.906517406</v>
      </c>
      <c r="T51" s="29">
        <v>0</v>
      </c>
      <c r="V51" s="29">
        <v>0</v>
      </c>
      <c r="X51" s="29">
        <v>0</v>
      </c>
      <c r="Z51" s="29">
        <v>0</v>
      </c>
      <c r="AB51" s="29">
        <v>0</v>
      </c>
      <c r="AD51" s="29">
        <v>0</v>
      </c>
      <c r="AF51" s="29">
        <v>0</v>
      </c>
      <c r="AH51" s="29">
        <v>0</v>
      </c>
      <c r="AJ51" s="29">
        <v>0</v>
      </c>
      <c r="AL51" s="29">
        <v>0</v>
      </c>
      <c r="AN51" s="29">
        <v>0</v>
      </c>
      <c r="AP51" s="29">
        <v>0</v>
      </c>
      <c r="AQ51" s="29"/>
      <c r="AR51" s="29">
        <v>0</v>
      </c>
      <c r="AT51" s="29">
        <v>0</v>
      </c>
      <c r="AV51" s="29">
        <v>0</v>
      </c>
      <c r="XFD51" s="29"/>
    </row>
    <row r="52" spans="1:48 16321:16384" x14ac:dyDescent="0.2">
      <c r="A52" t="s">
        <v>167</v>
      </c>
      <c r="B52" s="29">
        <v>639893.22495732247</v>
      </c>
      <c r="D52" s="29">
        <v>655708.56971348159</v>
      </c>
      <c r="F52" s="29">
        <v>674328.03346979595</v>
      </c>
      <c r="H52" s="29">
        <v>696860.76590800134</v>
      </c>
      <c r="J52" s="29">
        <v>725202.62369193556</v>
      </c>
      <c r="L52" s="29">
        <v>763031.71627724427</v>
      </c>
      <c r="N52" s="29">
        <v>819294.50354678871</v>
      </c>
      <c r="P52" s="29">
        <v>934460.55639255641</v>
      </c>
      <c r="R52" s="29">
        <v>1492150.8596400067</v>
      </c>
      <c r="T52" s="29">
        <v>0</v>
      </c>
      <c r="V52" s="29">
        <v>0</v>
      </c>
      <c r="X52" s="29">
        <v>0</v>
      </c>
      <c r="Z52" s="29">
        <v>0</v>
      </c>
      <c r="AB52" s="29">
        <v>0</v>
      </c>
      <c r="AD52" s="29">
        <v>0</v>
      </c>
      <c r="AF52" s="29">
        <v>0</v>
      </c>
      <c r="AH52" s="29">
        <v>0</v>
      </c>
      <c r="AJ52" s="29">
        <v>0</v>
      </c>
      <c r="AL52" s="29">
        <v>0</v>
      </c>
      <c r="AN52" s="29">
        <v>0</v>
      </c>
      <c r="AP52" s="29">
        <v>0</v>
      </c>
      <c r="AQ52" s="29"/>
      <c r="AR52" s="29">
        <v>0</v>
      </c>
      <c r="AT52" s="29">
        <v>0</v>
      </c>
      <c r="AV52" s="29">
        <v>0</v>
      </c>
    </row>
    <row r="53" spans="1:48 16321:16384" x14ac:dyDescent="0.2">
      <c r="A53" t="s">
        <v>168</v>
      </c>
      <c r="B53" s="29">
        <v>994319.23090072128</v>
      </c>
      <c r="D53" s="29">
        <v>979396.96518312744</v>
      </c>
      <c r="F53" s="29">
        <v>961793.65447885811</v>
      </c>
      <c r="H53" s="29">
        <v>940446.12977079034</v>
      </c>
      <c r="J53" s="29">
        <v>913535.23855521006</v>
      </c>
      <c r="L53" s="29">
        <v>877528.19905435189</v>
      </c>
      <c r="N53" s="29">
        <v>823819.30414616584</v>
      </c>
      <c r="P53" s="29">
        <v>713405.74887139932</v>
      </c>
      <c r="R53" s="29">
        <v>172508.64777207168</v>
      </c>
      <c r="T53" s="29">
        <v>0</v>
      </c>
      <c r="V53" s="29">
        <v>0</v>
      </c>
      <c r="X53" s="29">
        <v>0</v>
      </c>
      <c r="Z53" s="29">
        <v>0</v>
      </c>
      <c r="AB53" s="29">
        <v>0</v>
      </c>
      <c r="AD53" s="29">
        <v>0</v>
      </c>
      <c r="AF53" s="29">
        <v>0</v>
      </c>
      <c r="AH53" s="29">
        <v>0</v>
      </c>
      <c r="AJ53" s="29">
        <v>0</v>
      </c>
      <c r="AL53" s="29">
        <v>0</v>
      </c>
      <c r="AN53" s="29">
        <v>0</v>
      </c>
      <c r="AP53" s="29">
        <v>0</v>
      </c>
      <c r="AQ53" s="29"/>
      <c r="AR53" s="29">
        <v>0</v>
      </c>
      <c r="AT53" s="29">
        <v>0</v>
      </c>
      <c r="AV53" s="29">
        <v>0</v>
      </c>
      <c r="XFD53" s="29"/>
    </row>
    <row r="55" spans="1:48 16321:16384" x14ac:dyDescent="0.2">
      <c r="A55" t="s">
        <v>169</v>
      </c>
      <c r="B55" s="193">
        <v>0.29343319644276039</v>
      </c>
      <c r="D55" s="193">
        <v>0.30008449758032324</v>
      </c>
      <c r="F55" s="193">
        <v>0.3074932547254613</v>
      </c>
      <c r="H55" s="193">
        <v>0.31592711845864874</v>
      </c>
      <c r="J55" s="193">
        <v>0.3258249876845864</v>
      </c>
      <c r="L55" s="193">
        <v>0.33799663877321651</v>
      </c>
      <c r="N55" s="193">
        <v>0.35429400167438302</v>
      </c>
      <c r="P55" s="193">
        <v>0.38245884035595185</v>
      </c>
      <c r="R55" s="193">
        <v>0.46399988760177896</v>
      </c>
      <c r="T55" s="193" t="e">
        <v>#DIV/0!</v>
      </c>
      <c r="V55" s="193" t="e">
        <v>#DIV/0!</v>
      </c>
      <c r="X55" s="193" t="e">
        <v>#DIV/0!</v>
      </c>
      <c r="Z55" s="193" t="e">
        <v>#DIV/0!</v>
      </c>
      <c r="AB55" s="193" t="e">
        <v>#DIV/0!</v>
      </c>
      <c r="AD55" s="193" t="e">
        <v>#DIV/0!</v>
      </c>
      <c r="AF55" s="193" t="e">
        <v>#DIV/0!</v>
      </c>
      <c r="AH55" s="193" t="e">
        <v>#DIV/0!</v>
      </c>
      <c r="AJ55" s="193" t="e">
        <v>#DIV/0!</v>
      </c>
      <c r="AL55" s="193" t="e">
        <v>#DIV/0!</v>
      </c>
      <c r="AN55" s="193" t="e">
        <v>#DIV/0!</v>
      </c>
      <c r="AP55" s="193" t="e">
        <v>#DIV/0!</v>
      </c>
      <c r="AR55" s="193" t="e">
        <v>#DIV/0!</v>
      </c>
      <c r="AT55" s="193" t="e">
        <v>#DIV/0!</v>
      </c>
      <c r="AV55" s="193" t="e">
        <v>#DIV/0!</v>
      </c>
      <c r="XCS55" s="193"/>
      <c r="XFD55" s="193"/>
    </row>
    <row r="56" spans="1:48 16321:16384" x14ac:dyDescent="0.2">
      <c r="A56" t="s">
        <v>170</v>
      </c>
      <c r="B56" s="193">
        <v>0.12330490389763608</v>
      </c>
      <c r="D56" s="193">
        <v>0.12768289750492404</v>
      </c>
      <c r="F56" s="193">
        <v>0.13240727143042663</v>
      </c>
      <c r="H56" s="193">
        <v>0.13758884675678404</v>
      </c>
      <c r="J56" s="193">
        <v>0.14340114370740284</v>
      </c>
      <c r="L56" s="193">
        <v>0.15014418714748298</v>
      </c>
      <c r="N56" s="193">
        <v>0.15844178967993133</v>
      </c>
      <c r="P56" s="193">
        <v>0.17052796754992319</v>
      </c>
      <c r="R56" s="193">
        <v>0.17764974051826693</v>
      </c>
      <c r="T56" s="193" t="e">
        <v>#DIV/0!</v>
      </c>
      <c r="V56" s="193" t="e">
        <v>#DIV/0!</v>
      </c>
      <c r="X56" s="193" t="e">
        <v>#DIV/0!</v>
      </c>
      <c r="Z56" s="193" t="e">
        <v>#DIV/0!</v>
      </c>
      <c r="AB56" s="193" t="e">
        <v>#DIV/0!</v>
      </c>
      <c r="AD56" s="193" t="e">
        <v>#DIV/0!</v>
      </c>
      <c r="AF56" s="193" t="e">
        <v>#DIV/0!</v>
      </c>
      <c r="AH56" s="193" t="e">
        <v>#DIV/0!</v>
      </c>
      <c r="AJ56" s="193" t="e">
        <v>#DIV/0!</v>
      </c>
      <c r="AL56" s="193" t="e">
        <v>#DIV/0!</v>
      </c>
      <c r="AN56" s="193" t="e">
        <v>#DIV/0!</v>
      </c>
      <c r="AP56" s="193" t="e">
        <v>#DIV/0!</v>
      </c>
      <c r="AR56" s="193" t="e">
        <v>#DIV/0!</v>
      </c>
      <c r="AT56" s="193" t="e">
        <v>#DIV/0!</v>
      </c>
      <c r="AV56" s="193" t="e">
        <v>#DIV/0!</v>
      </c>
      <c r="XFD56" s="193"/>
    </row>
    <row r="57" spans="1:48 16321:16384" x14ac:dyDescent="0.2">
      <c r="A57" t="s">
        <v>171</v>
      </c>
      <c r="B57" s="193">
        <v>0.15814435802029927</v>
      </c>
      <c r="D57" s="193">
        <v>0.16044254401283303</v>
      </c>
      <c r="F57" s="193">
        <v>0.16315326548544218</v>
      </c>
      <c r="H57" s="193">
        <v>0.1664338600947986</v>
      </c>
      <c r="J57" s="193">
        <v>0.17055051991752559</v>
      </c>
      <c r="L57" s="193">
        <v>0.17601443377647052</v>
      </c>
      <c r="N57" s="193">
        <v>0.18405678844988416</v>
      </c>
      <c r="P57" s="193">
        <v>0.20019671112186291</v>
      </c>
      <c r="R57" s="193">
        <v>0.27466385393861609</v>
      </c>
      <c r="T57" s="193" t="e">
        <v>#DIV/0!</v>
      </c>
      <c r="V57" s="193" t="e">
        <v>#DIV/0!</v>
      </c>
      <c r="X57" s="193" t="e">
        <v>#DIV/0!</v>
      </c>
      <c r="Y57" s="193"/>
      <c r="Z57" s="193" t="e">
        <v>#DIV/0!</v>
      </c>
      <c r="AB57" s="193" t="e">
        <v>#DIV/0!</v>
      </c>
      <c r="AD57" s="193" t="e">
        <v>#DIV/0!</v>
      </c>
      <c r="AF57" s="193" t="e">
        <v>#DIV/0!</v>
      </c>
      <c r="AH57" s="193" t="e">
        <v>#DIV/0!</v>
      </c>
      <c r="AJ57" s="193" t="e">
        <v>#DIV/0!</v>
      </c>
      <c r="AL57" s="193" t="e">
        <v>#DIV/0!</v>
      </c>
      <c r="AN57" s="193" t="e">
        <v>#DIV/0!</v>
      </c>
      <c r="AP57" s="193" t="e">
        <v>#DIV/0!</v>
      </c>
      <c r="AR57" s="193" t="e">
        <v>#DIV/0!</v>
      </c>
      <c r="AT57" s="193" t="e">
        <v>#DIV/0!</v>
      </c>
      <c r="AV57" s="193" t="e">
        <v>#DIV/0!</v>
      </c>
      <c r="XFD57" s="193"/>
    </row>
    <row r="58" spans="1:48 16321:16384" x14ac:dyDescent="0.2">
      <c r="A58" t="s">
        <v>172</v>
      </c>
      <c r="B58" s="193">
        <v>1.1983934524824984E-2</v>
      </c>
      <c r="D58" s="193">
        <v>1.1959056062566149E-2</v>
      </c>
      <c r="F58" s="193">
        <v>1.1932717809592482E-2</v>
      </c>
      <c r="H58" s="193">
        <v>1.1904411607066087E-2</v>
      </c>
      <c r="J58" s="193">
        <v>1.1873324059657964E-2</v>
      </c>
      <c r="L58" s="193">
        <v>1.1838017849262977E-2</v>
      </c>
      <c r="N58" s="193">
        <v>1.1795423544567481E-2</v>
      </c>
      <c r="P58" s="193">
        <v>1.1734161684165731E-2</v>
      </c>
      <c r="R58" s="193">
        <v>1.1686293144895936E-2</v>
      </c>
      <c r="T58" s="193" t="e">
        <v>#DIV/0!</v>
      </c>
      <c r="V58" s="193" t="e">
        <v>#DIV/0!</v>
      </c>
      <c r="X58" s="193" t="e">
        <v>#DIV/0!</v>
      </c>
      <c r="Y58" s="193"/>
      <c r="Z58" s="193" t="e">
        <v>#DIV/0!</v>
      </c>
      <c r="AB58" s="193" t="e">
        <v>#DIV/0!</v>
      </c>
      <c r="AD58" s="193" t="e">
        <v>#DIV/0!</v>
      </c>
      <c r="AF58" s="193" t="e">
        <v>#DIV/0!</v>
      </c>
      <c r="AH58" s="193" t="e">
        <v>#DIV/0!</v>
      </c>
      <c r="AJ58" s="193" t="e">
        <v>#DIV/0!</v>
      </c>
      <c r="AL58" s="193" t="e">
        <v>#DIV/0!</v>
      </c>
      <c r="AN58" s="193" t="e">
        <v>#DIV/0!</v>
      </c>
      <c r="AP58" s="193" t="e">
        <v>#DIV/0!</v>
      </c>
      <c r="AR58" s="193" t="e">
        <v>#DIV/0!</v>
      </c>
      <c r="AT58" s="193" t="e">
        <v>#DIV/0!</v>
      </c>
      <c r="AV58" s="193" t="e">
        <v>#DIV/0!</v>
      </c>
      <c r="XFD58" s="193"/>
    </row>
    <row r="59" spans="1:48 16321:16384" x14ac:dyDescent="0.2">
      <c r="A59" t="s">
        <v>173</v>
      </c>
      <c r="B59" s="193">
        <v>1.7199725200015354E-2</v>
      </c>
      <c r="D59" s="193">
        <v>2.1723111378617155E-2</v>
      </c>
      <c r="F59" s="193">
        <v>2.6602984406436755E-2</v>
      </c>
      <c r="H59" s="193">
        <v>3.1953679356397563E-2</v>
      </c>
      <c r="J59" s="193">
        <v>3.7954374369136248E-2</v>
      </c>
      <c r="L59" s="193">
        <v>4.4915157816046825E-2</v>
      </c>
      <c r="N59" s="193">
        <v>5.3481422496995792E-2</v>
      </c>
      <c r="P59" s="193">
        <v>6.5967317549121898E-2</v>
      </c>
      <c r="R59" s="193">
        <v>7.345752560047572E-2</v>
      </c>
      <c r="T59" s="193" t="e">
        <v>#DIV/0!</v>
      </c>
      <c r="V59" s="193" t="e">
        <v>#DIV/0!</v>
      </c>
      <c r="X59" s="193" t="e">
        <v>#DIV/0!</v>
      </c>
      <c r="Z59" s="193" t="e">
        <v>#DIV/0!</v>
      </c>
      <c r="AB59" s="193" t="e">
        <v>#DIV/0!</v>
      </c>
      <c r="AD59" s="193" t="e">
        <v>#DIV/0!</v>
      </c>
      <c r="AF59" s="193" t="e">
        <v>#DIV/0!</v>
      </c>
      <c r="AH59" s="193" t="e">
        <v>#DIV/0!</v>
      </c>
      <c r="AJ59" s="193" t="e">
        <v>#DIV/0!</v>
      </c>
      <c r="AL59" s="193" t="e">
        <v>#DIV/0!</v>
      </c>
      <c r="AN59" s="193" t="e">
        <v>#DIV/0!</v>
      </c>
      <c r="AP59" s="193" t="e">
        <v>#DIV/0!</v>
      </c>
      <c r="AR59" s="193" t="e">
        <v>#DIV/0!</v>
      </c>
      <c r="AT59" s="193" t="e">
        <v>#DIV/0!</v>
      </c>
      <c r="AV59" s="193" t="e">
        <v>#DIV/0!</v>
      </c>
      <c r="XFD59" s="193"/>
    </row>
    <row r="60" spans="1:48 16321:16384" x14ac:dyDescent="0.2">
      <c r="A60" t="s">
        <v>174</v>
      </c>
      <c r="B60" s="193">
        <v>0.10610517869762073</v>
      </c>
      <c r="D60" s="193">
        <v>0.1059597861263069</v>
      </c>
      <c r="F60" s="193">
        <v>0.10580428702398988</v>
      </c>
      <c r="H60" s="193">
        <v>0.10563516740038648</v>
      </c>
      <c r="J60" s="193">
        <v>0.10544676933826659</v>
      </c>
      <c r="L60" s="193">
        <v>0.10522902933143616</v>
      </c>
      <c r="N60" s="193">
        <v>0.10496036718293554</v>
      </c>
      <c r="P60" s="193">
        <v>0.10456065000080128</v>
      </c>
      <c r="R60" s="193">
        <v>0.10419221491779121</v>
      </c>
      <c r="T60" s="193" t="e">
        <v>#DIV/0!</v>
      </c>
      <c r="V60" s="193" t="e">
        <v>#DIV/0!</v>
      </c>
      <c r="X60" s="193" t="e">
        <v>#DIV/0!</v>
      </c>
      <c r="Z60" s="193" t="e">
        <v>#DIV/0!</v>
      </c>
      <c r="AB60" s="193" t="e">
        <v>#DIV/0!</v>
      </c>
      <c r="AD60" s="193" t="e">
        <v>#DIV/0!</v>
      </c>
      <c r="AF60" s="193" t="e">
        <v>#DIV/0!</v>
      </c>
      <c r="AH60" s="193" t="e">
        <v>#DIV/0!</v>
      </c>
      <c r="AJ60" s="193" t="e">
        <v>#DIV/0!</v>
      </c>
      <c r="AL60" s="193" t="e">
        <v>#DIV/0!</v>
      </c>
      <c r="AN60" s="193" t="e">
        <v>#DIV/0!</v>
      </c>
      <c r="AP60" s="193" t="e">
        <v>#DIV/0!</v>
      </c>
      <c r="AR60" s="193" t="e">
        <v>#DIV/0!</v>
      </c>
      <c r="AT60" s="193" t="e">
        <v>#DIV/0!</v>
      </c>
      <c r="AV60" s="193" t="e">
        <v>#DIV/0!</v>
      </c>
      <c r="XFD60" s="193"/>
    </row>
    <row r="62" spans="1:48 16321:16384" x14ac:dyDescent="0.2">
      <c r="A62" t="s">
        <v>175</v>
      </c>
      <c r="B62">
        <v>1</v>
      </c>
      <c r="D62">
        <v>1.0169266534322692</v>
      </c>
      <c r="F62">
        <v>1.037765815660866</v>
      </c>
      <c r="H62">
        <v>1.0642684101197155</v>
      </c>
      <c r="J62">
        <v>1.0995855135101102</v>
      </c>
      <c r="L62">
        <v>1.1502417949528077</v>
      </c>
      <c r="N62">
        <v>1.2335777369867376</v>
      </c>
      <c r="P62">
        <v>1.4406437644515671</v>
      </c>
      <c r="R62">
        <v>5.9942096264574447</v>
      </c>
      <c r="T62" t="e">
        <v>#DIV/0!</v>
      </c>
      <c r="V62" t="e">
        <v>#DIV/0!</v>
      </c>
      <c r="X62" t="e">
        <v>#DIV/0!</v>
      </c>
      <c r="Z62" t="e">
        <v>#DIV/0!</v>
      </c>
      <c r="AB62" t="e">
        <v>#DIV/0!</v>
      </c>
      <c r="AD62" t="e">
        <v>#DIV/0!</v>
      </c>
      <c r="AF62" t="e">
        <v>#DIV/0!</v>
      </c>
      <c r="AH62" t="e">
        <v>#DIV/0!</v>
      </c>
      <c r="AJ62" t="e">
        <v>#DIV/0!</v>
      </c>
      <c r="AL62" t="e">
        <v>#DIV/0!</v>
      </c>
      <c r="AN62" t="e">
        <v>#DIV/0!</v>
      </c>
      <c r="AP62" t="e">
        <v>#DIV/0!</v>
      </c>
      <c r="AR62" t="e">
        <v>#DIV/0!</v>
      </c>
      <c r="AT62" t="e">
        <v>#DIV/0!</v>
      </c>
      <c r="AV62" t="e">
        <v>#DIV/0!</v>
      </c>
    </row>
    <row r="65" spans="1:48 16384:16384" x14ac:dyDescent="0.2">
      <c r="A65" t="s">
        <v>176</v>
      </c>
      <c r="B65" s="191">
        <v>1</v>
      </c>
      <c r="C65" s="191"/>
      <c r="D65" s="191">
        <v>0.99759163990393218</v>
      </c>
      <c r="E65" s="191"/>
      <c r="F65" s="191">
        <v>0.99518611789009437</v>
      </c>
      <c r="G65" s="191"/>
      <c r="H65" s="191">
        <v>0.99278430119757166</v>
      </c>
      <c r="I65" s="191"/>
      <c r="J65" s="191">
        <v>0.99039120871789965</v>
      </c>
      <c r="K65" s="191"/>
      <c r="L65" s="191">
        <v>0.98801872967897642</v>
      </c>
      <c r="M65" s="191"/>
      <c r="N65" s="191">
        <v>0.98568899010358535</v>
      </c>
      <c r="O65" s="191"/>
      <c r="P65" s="191">
        <v>0.98340495953715934</v>
      </c>
      <c r="Q65" s="191"/>
      <c r="R65" s="191">
        <v>0.98491464673980078</v>
      </c>
      <c r="S65" s="191"/>
      <c r="T65" s="191" t="e">
        <v>#DIV/0!</v>
      </c>
      <c r="U65" s="191"/>
      <c r="V65" s="191" t="e">
        <v>#DIV/0!</v>
      </c>
      <c r="W65" s="191"/>
      <c r="X65" s="191" t="e">
        <v>#DIV/0!</v>
      </c>
      <c r="Y65" s="191"/>
      <c r="Z65" s="191" t="e">
        <v>#DIV/0!</v>
      </c>
      <c r="AA65" s="191"/>
      <c r="AB65" s="191" t="e">
        <v>#DIV/0!</v>
      </c>
      <c r="AC65" s="191"/>
      <c r="AD65" s="191" t="e">
        <v>#DIV/0!</v>
      </c>
      <c r="AE65" s="191"/>
      <c r="AF65" s="191" t="e">
        <v>#DIV/0!</v>
      </c>
      <c r="AG65" s="191"/>
      <c r="AH65" s="191" t="e">
        <v>#DIV/0!</v>
      </c>
      <c r="AI65" s="191"/>
      <c r="AJ65" s="191" t="e">
        <v>#DIV/0!</v>
      </c>
      <c r="AK65" s="191"/>
      <c r="AL65" s="191" t="e">
        <v>#DIV/0!</v>
      </c>
      <c r="AM65" s="191"/>
      <c r="AN65" s="191" t="e">
        <v>#DIV/0!</v>
      </c>
      <c r="AO65" s="191"/>
      <c r="AP65" s="191" t="e">
        <v>#DIV/0!</v>
      </c>
      <c r="AQ65" s="191"/>
      <c r="AR65" s="191" t="e">
        <v>#DIV/0!</v>
      </c>
      <c r="AS65" s="191"/>
      <c r="AT65" s="191" t="e">
        <v>#DIV/0!</v>
      </c>
      <c r="AU65" s="191"/>
      <c r="AV65" s="191" t="e">
        <v>#DIV/0!</v>
      </c>
    </row>
    <row r="66" spans="1:48 16384:16384" x14ac:dyDescent="0.2">
      <c r="A66" t="s">
        <v>182</v>
      </c>
      <c r="B66" s="191">
        <v>1</v>
      </c>
      <c r="C66" s="191"/>
      <c r="D66" s="191">
        <v>0.99747592950676511</v>
      </c>
      <c r="E66" s="191"/>
      <c r="F66" s="191">
        <v>0.99494994810101878</v>
      </c>
      <c r="G66" s="191"/>
      <c r="H66" s="191">
        <v>0.9924229575223259</v>
      </c>
      <c r="I66" s="191"/>
      <c r="J66" s="191">
        <v>0.98990024728530024</v>
      </c>
      <c r="K66" s="191"/>
      <c r="L66" s="191">
        <v>0.98739441387602866</v>
      </c>
      <c r="M66" s="191"/>
      <c r="N66" s="191">
        <v>0.98492900326333865</v>
      </c>
      <c r="O66" s="191"/>
      <c r="P66" s="191">
        <v>0.98250745017301355</v>
      </c>
      <c r="Q66" s="191"/>
      <c r="R66" s="191">
        <v>0.98410892047887866</v>
      </c>
      <c r="S66" s="191"/>
      <c r="T66" s="191" t="e">
        <v>#DIV/0!</v>
      </c>
      <c r="U66" s="191"/>
      <c r="V66" s="191" t="e">
        <v>#DIV/0!</v>
      </c>
      <c r="W66" s="191"/>
      <c r="X66" s="191" t="e">
        <v>#DIV/0!</v>
      </c>
      <c r="Y66" s="191"/>
      <c r="Z66" s="191" t="e">
        <v>#DIV/0!</v>
      </c>
      <c r="AA66" s="191"/>
      <c r="AB66" s="191" t="e">
        <v>#DIV/0!</v>
      </c>
      <c r="AC66" s="191"/>
      <c r="AD66" s="191" t="e">
        <v>#DIV/0!</v>
      </c>
      <c r="AE66" s="191"/>
      <c r="AF66" s="191" t="e">
        <v>#DIV/0!</v>
      </c>
      <c r="AG66" s="191"/>
      <c r="AH66" s="191" t="e">
        <v>#DIV/0!</v>
      </c>
      <c r="AI66" s="191"/>
      <c r="AJ66" s="191" t="e">
        <v>#DIV/0!</v>
      </c>
      <c r="AK66" s="191"/>
      <c r="AL66" s="191" t="e">
        <v>#DIV/0!</v>
      </c>
      <c r="AM66" s="191"/>
      <c r="AN66" s="191" t="e">
        <v>#DIV/0!</v>
      </c>
      <c r="AO66" s="191"/>
      <c r="AP66" s="191" t="e">
        <v>#DIV/0!</v>
      </c>
      <c r="AQ66" s="191"/>
      <c r="AR66" s="191" t="e">
        <v>#DIV/0!</v>
      </c>
      <c r="AS66" s="191"/>
      <c r="AT66" s="191" t="e">
        <v>#DIV/0!</v>
      </c>
      <c r="AU66" s="191"/>
      <c r="AV66" s="191" t="e">
        <v>#DIV/0!</v>
      </c>
      <c r="XFD66" s="191"/>
    </row>
    <row r="67" spans="1:48 16384:16384" x14ac:dyDescent="0.2">
      <c r="A67" t="s">
        <v>183</v>
      </c>
      <c r="B67" s="191">
        <v>1</v>
      </c>
      <c r="C67" s="191"/>
      <c r="D67" s="191">
        <v>1</v>
      </c>
      <c r="E67" s="191"/>
      <c r="F67" s="191">
        <v>1</v>
      </c>
      <c r="G67" s="191"/>
      <c r="H67" s="191">
        <v>1</v>
      </c>
      <c r="I67" s="191"/>
      <c r="J67" s="191">
        <v>1</v>
      </c>
      <c r="K67" s="191"/>
      <c r="L67" s="191">
        <v>1</v>
      </c>
      <c r="M67" s="191"/>
      <c r="N67" s="191">
        <v>1</v>
      </c>
      <c r="O67" s="191"/>
      <c r="P67" s="191">
        <v>1</v>
      </c>
      <c r="Q67" s="191"/>
      <c r="R67" s="191">
        <v>1</v>
      </c>
      <c r="S67" s="191"/>
      <c r="T67" s="191" t="e">
        <v>#DIV/0!</v>
      </c>
      <c r="U67" s="191"/>
      <c r="V67" s="191" t="e">
        <v>#DIV/0!</v>
      </c>
      <c r="W67" s="191"/>
      <c r="X67" s="191" t="e">
        <v>#DIV/0!</v>
      </c>
      <c r="Y67" s="191"/>
      <c r="Z67" s="191" t="e">
        <v>#DIV/0!</v>
      </c>
      <c r="AA67" s="191"/>
      <c r="AB67" s="191" t="e">
        <v>#DIV/0!</v>
      </c>
      <c r="AC67" s="191"/>
      <c r="AD67" s="191" t="e">
        <v>#DIV/0!</v>
      </c>
      <c r="AE67" s="191"/>
      <c r="AF67" s="191" t="e">
        <v>#DIV/0!</v>
      </c>
      <c r="AG67" s="191"/>
      <c r="AH67" s="191" t="e">
        <v>#DIV/0!</v>
      </c>
      <c r="AI67" s="191"/>
      <c r="AJ67" s="191" t="e">
        <v>#DIV/0!</v>
      </c>
      <c r="AK67" s="191"/>
      <c r="AL67" s="191" t="e">
        <v>#DIV/0!</v>
      </c>
      <c r="AM67" s="191"/>
      <c r="AN67" s="191" t="e">
        <v>#DIV/0!</v>
      </c>
      <c r="AO67" s="191"/>
      <c r="AP67" s="191" t="e">
        <v>#DIV/0!</v>
      </c>
      <c r="AQ67" s="191"/>
      <c r="AR67" s="191" t="e">
        <v>#DIV/0!</v>
      </c>
      <c r="AS67" s="191"/>
      <c r="AT67" s="191" t="e">
        <v>#DIV/0!</v>
      </c>
      <c r="AU67" s="191"/>
      <c r="AV67" s="191" t="e">
        <v>#DIV/0!</v>
      </c>
      <c r="XFD67" s="191"/>
    </row>
    <row r="68" spans="1:48 16384:16384" x14ac:dyDescent="0.2">
      <c r="A68" t="s">
        <v>181</v>
      </c>
      <c r="B68" s="191">
        <v>1</v>
      </c>
      <c r="C68" s="191"/>
      <c r="D68" s="191">
        <v>0.99747592950676511</v>
      </c>
      <c r="E68" s="191"/>
      <c r="F68" s="191">
        <v>0.99494994810101878</v>
      </c>
      <c r="G68" s="191"/>
      <c r="H68" s="191">
        <v>0.9924229575223259</v>
      </c>
      <c r="I68" s="191"/>
      <c r="J68" s="191">
        <v>0.98990024728530024</v>
      </c>
      <c r="K68" s="191"/>
      <c r="L68" s="191">
        <v>0.98739441387602866</v>
      </c>
      <c r="M68" s="191"/>
      <c r="N68" s="191">
        <v>0.98492900326333865</v>
      </c>
      <c r="O68" s="191"/>
      <c r="P68" s="191">
        <v>0.98250745017301355</v>
      </c>
      <c r="Q68" s="191"/>
      <c r="R68" s="191">
        <v>0.98410892047887866</v>
      </c>
      <c r="S68" s="191"/>
      <c r="T68" s="191" t="e">
        <v>#DIV/0!</v>
      </c>
      <c r="U68" s="191"/>
      <c r="V68" s="191" t="e">
        <v>#DIV/0!</v>
      </c>
      <c r="W68" s="191"/>
      <c r="X68" s="191" t="e">
        <v>#DIV/0!</v>
      </c>
      <c r="Y68" s="191"/>
      <c r="Z68" s="191" t="e">
        <v>#DIV/0!</v>
      </c>
      <c r="AA68" s="191"/>
      <c r="AB68" s="191" t="e">
        <v>#DIV/0!</v>
      </c>
      <c r="AC68" s="191"/>
      <c r="AD68" s="191" t="e">
        <v>#DIV/0!</v>
      </c>
      <c r="AE68" s="191"/>
      <c r="AF68" s="191" t="e">
        <v>#DIV/0!</v>
      </c>
      <c r="AG68" s="191"/>
      <c r="AH68" s="191" t="e">
        <v>#DIV/0!</v>
      </c>
      <c r="AI68" s="191"/>
      <c r="AJ68" s="191" t="e">
        <v>#DIV/0!</v>
      </c>
      <c r="AK68" s="191"/>
      <c r="AL68" s="191" t="e">
        <v>#DIV/0!</v>
      </c>
      <c r="AM68" s="191"/>
      <c r="AN68" s="191" t="e">
        <v>#DIV/0!</v>
      </c>
      <c r="AO68" s="191"/>
      <c r="AP68" s="191" t="e">
        <v>#DIV/0!</v>
      </c>
      <c r="AQ68" s="191"/>
      <c r="AR68" s="191" t="e">
        <v>#DIV/0!</v>
      </c>
      <c r="AS68" s="191"/>
      <c r="AT68" s="191" t="e">
        <v>#DIV/0!</v>
      </c>
      <c r="AU68" s="191"/>
      <c r="AV68" s="191" t="e">
        <v>#DIV/0!</v>
      </c>
      <c r="XFD68" s="191"/>
    </row>
    <row r="69" spans="1:48 16384:16384" x14ac:dyDescent="0.2">
      <c r="A69" t="s">
        <v>177</v>
      </c>
      <c r="B69" s="191">
        <v>1</v>
      </c>
      <c r="C69" s="191"/>
      <c r="D69" s="191">
        <v>1.0124931522920257</v>
      </c>
      <c r="E69" s="191"/>
      <c r="F69" s="191">
        <v>1.0264363288544951</v>
      </c>
      <c r="G69" s="191"/>
      <c r="H69" s="191">
        <v>1.0423594995827448</v>
      </c>
      <c r="I69" s="191"/>
      <c r="J69" s="191">
        <v>1.061145127567984</v>
      </c>
      <c r="K69" s="191"/>
      <c r="L69" s="191">
        <v>1.084454762427403</v>
      </c>
      <c r="M69" s="191"/>
      <c r="N69" s="191">
        <v>1.1161887910900803</v>
      </c>
      <c r="O69" s="191"/>
      <c r="P69" s="191">
        <v>1.1731902439313193</v>
      </c>
      <c r="Q69" s="191"/>
      <c r="R69" s="191">
        <v>1.3633477596498751</v>
      </c>
      <c r="S69" s="191"/>
      <c r="T69" s="191" t="e">
        <v>#DIV/0!</v>
      </c>
      <c r="U69" s="191"/>
      <c r="V69" s="191" t="e">
        <v>#DIV/0!</v>
      </c>
      <c r="W69" s="191"/>
      <c r="X69" s="191" t="e">
        <v>#DIV/0!</v>
      </c>
      <c r="Y69" s="191"/>
      <c r="Z69" s="191" t="e">
        <v>#DIV/0!</v>
      </c>
      <c r="AA69" s="191"/>
      <c r="AB69" s="191" t="e">
        <v>#DIV/0!</v>
      </c>
      <c r="AC69" s="191"/>
      <c r="AD69" s="191" t="e">
        <v>#DIV/0!</v>
      </c>
      <c r="AE69" s="191"/>
      <c r="AF69" s="191" t="e">
        <v>#DIV/0!</v>
      </c>
      <c r="AG69" s="191"/>
      <c r="AH69" s="191" t="e">
        <v>#DIV/0!</v>
      </c>
      <c r="AI69" s="191"/>
      <c r="AJ69" s="191" t="e">
        <v>#DIV/0!</v>
      </c>
      <c r="AK69" s="191"/>
      <c r="AL69" s="191" t="e">
        <v>#DIV/0!</v>
      </c>
      <c r="AM69" s="191"/>
      <c r="AN69" s="191" t="e">
        <v>#DIV/0!</v>
      </c>
      <c r="AO69" s="191"/>
      <c r="AP69" s="191" t="e">
        <v>#DIV/0!</v>
      </c>
      <c r="AQ69" s="191"/>
      <c r="AR69" s="191" t="e">
        <v>#DIV/0!</v>
      </c>
      <c r="AS69" s="191"/>
      <c r="AT69" s="191" t="e">
        <v>#DIV/0!</v>
      </c>
      <c r="AU69" s="191"/>
      <c r="AV69" s="191" t="e">
        <v>#DIV/0!</v>
      </c>
    </row>
    <row r="70" spans="1:48 16384:16384" x14ac:dyDescent="0.2">
      <c r="A70" t="s">
        <v>178</v>
      </c>
      <c r="B70" s="138">
        <v>1</v>
      </c>
      <c r="C70" s="138"/>
      <c r="D70" s="138">
        <v>1.0122994937372423</v>
      </c>
      <c r="E70" s="138"/>
      <c r="F70" s="138">
        <v>1.0259559388753741</v>
      </c>
      <c r="G70" s="138"/>
      <c r="H70" s="138">
        <v>1.041458756880363</v>
      </c>
      <c r="I70" s="138"/>
      <c r="J70" s="138">
        <v>1.0596211916162481</v>
      </c>
      <c r="K70" s="138"/>
      <c r="L70" s="138">
        <v>1.0819755323774092</v>
      </c>
      <c r="M70" s="138"/>
      <c r="N70" s="138">
        <v>1.1121350411271025</v>
      </c>
      <c r="O70" s="138"/>
      <c r="P70" s="138">
        <v>1.1658713059592749</v>
      </c>
      <c r="Q70" s="138"/>
      <c r="R70" s="138">
        <v>1.3489991112353255</v>
      </c>
      <c r="S70" s="138"/>
      <c r="T70" s="138">
        <v>0</v>
      </c>
      <c r="U70" s="138"/>
      <c r="V70" s="138">
        <v>0</v>
      </c>
      <c r="W70" s="138"/>
      <c r="X70" s="138">
        <v>0</v>
      </c>
      <c r="Y70" s="138"/>
      <c r="Z70" s="138">
        <v>0</v>
      </c>
      <c r="AA70" s="138"/>
      <c r="AB70" s="138">
        <v>0</v>
      </c>
      <c r="AC70" s="138"/>
      <c r="AD70" s="138">
        <v>0</v>
      </c>
      <c r="AE70" s="138"/>
      <c r="AF70" s="138">
        <v>0</v>
      </c>
      <c r="AG70" s="138"/>
      <c r="AH70" s="138">
        <v>0</v>
      </c>
      <c r="AI70" s="138"/>
      <c r="AJ70" s="138">
        <v>0</v>
      </c>
      <c r="AK70" s="138"/>
      <c r="AL70" s="138">
        <v>0</v>
      </c>
      <c r="AM70" s="138"/>
      <c r="AN70" s="138">
        <v>0</v>
      </c>
      <c r="AO70" s="138"/>
      <c r="AP70" s="138">
        <v>0</v>
      </c>
      <c r="AQ70" s="138"/>
      <c r="AR70" s="138">
        <v>0</v>
      </c>
      <c r="AS70" s="138"/>
      <c r="AT70" s="138">
        <v>0</v>
      </c>
      <c r="AU70" s="138"/>
      <c r="AV70" s="138">
        <v>0</v>
      </c>
    </row>
    <row r="71" spans="1:48 16384:16384" x14ac:dyDescent="0.2">
      <c r="A71" t="s">
        <v>179</v>
      </c>
      <c r="B71" s="138">
        <v>1</v>
      </c>
      <c r="D71" s="138">
        <v>0.89459081479118729</v>
      </c>
      <c r="E71" s="138"/>
      <c r="F71" s="138">
        <v>0.78998622138788521</v>
      </c>
      <c r="G71" s="138"/>
      <c r="H71" s="138">
        <v>0.68627415292813365</v>
      </c>
      <c r="I71" s="138"/>
      <c r="J71" s="138">
        <v>0.58352277149198972</v>
      </c>
      <c r="K71" s="138"/>
      <c r="L71" s="138">
        <v>0.48168269222785737</v>
      </c>
      <c r="M71" s="138"/>
      <c r="N71" s="138">
        <v>0.38012743194765564</v>
      </c>
      <c r="O71" s="138"/>
      <c r="P71" s="138">
        <v>0.27351050736501181</v>
      </c>
      <c r="Q71" s="138"/>
      <c r="R71" s="138">
        <v>0.33026920252758818</v>
      </c>
      <c r="S71" s="138"/>
      <c r="T71" s="138">
        <v>0</v>
      </c>
      <c r="U71" s="138"/>
      <c r="V71" s="138">
        <v>0</v>
      </c>
      <c r="W71" s="138"/>
      <c r="X71" s="138">
        <v>0</v>
      </c>
      <c r="Y71" s="138"/>
      <c r="Z71" s="138">
        <v>0</v>
      </c>
      <c r="AA71" s="138"/>
      <c r="AB71" s="138">
        <v>0</v>
      </c>
      <c r="AC71" s="138"/>
      <c r="AD71" s="138">
        <v>0</v>
      </c>
      <c r="AE71" s="138"/>
      <c r="AF71" s="138">
        <v>0</v>
      </c>
      <c r="AG71" s="138"/>
      <c r="AH71" s="138">
        <v>0</v>
      </c>
      <c r="AI71" s="138"/>
      <c r="AJ71" s="138">
        <v>0</v>
      </c>
      <c r="AK71" s="138"/>
      <c r="AL71" s="138">
        <v>0</v>
      </c>
      <c r="AM71" s="138"/>
      <c r="AN71" s="138">
        <v>0</v>
      </c>
      <c r="AO71" s="138"/>
      <c r="AP71" s="138">
        <v>0</v>
      </c>
      <c r="AQ71" s="138"/>
      <c r="AR71" s="138">
        <v>0</v>
      </c>
      <c r="AS71" s="138"/>
      <c r="AT71" s="138">
        <v>0</v>
      </c>
      <c r="AU71" s="138"/>
      <c r="AV71" s="138">
        <v>0</v>
      </c>
      <c r="XFD71" s="138"/>
    </row>
    <row r="72" spans="1:48 16384:16384" x14ac:dyDescent="0.2">
      <c r="A72" t="s">
        <v>180</v>
      </c>
      <c r="B72" s="138">
        <v>1</v>
      </c>
      <c r="D72" s="138">
        <v>1.0383964170773026</v>
      </c>
      <c r="E72" s="138"/>
      <c r="F72" s="138">
        <v>1.0812378600051127</v>
      </c>
      <c r="G72" s="138"/>
      <c r="H72" s="138">
        <v>1.1292763251847207</v>
      </c>
      <c r="I72" s="138"/>
      <c r="J72" s="138">
        <v>1.1835987537566044</v>
      </c>
      <c r="K72" s="138"/>
      <c r="L72" s="138">
        <v>1.2460526975735617</v>
      </c>
      <c r="M72" s="138"/>
      <c r="N72" s="138">
        <v>1.3208365641166944</v>
      </c>
      <c r="O72" s="138"/>
      <c r="P72" s="138">
        <v>1.4273295146090423</v>
      </c>
      <c r="Q72" s="138"/>
      <c r="R72" s="138">
        <v>1.6078808986528128</v>
      </c>
      <c r="S72" s="138"/>
      <c r="T72" s="138">
        <v>0</v>
      </c>
      <c r="U72" s="138"/>
      <c r="V72" s="138">
        <v>0</v>
      </c>
      <c r="W72" s="138"/>
      <c r="X72" s="138">
        <v>0</v>
      </c>
      <c r="Y72" s="138"/>
      <c r="Z72" s="138">
        <v>0</v>
      </c>
      <c r="AA72" s="138"/>
      <c r="AB72" s="138">
        <v>0</v>
      </c>
      <c r="AC72" s="138"/>
      <c r="AD72" s="138">
        <v>0</v>
      </c>
      <c r="AE72" s="138"/>
      <c r="AF72" s="138">
        <v>0</v>
      </c>
      <c r="AG72" s="138"/>
      <c r="AH72" s="138">
        <v>0</v>
      </c>
      <c r="AI72" s="138"/>
      <c r="AJ72" s="138">
        <v>0</v>
      </c>
      <c r="AK72" s="138"/>
      <c r="AL72" s="138">
        <v>0</v>
      </c>
      <c r="AM72" s="138"/>
      <c r="AN72" s="138">
        <v>0</v>
      </c>
      <c r="AO72" s="138"/>
      <c r="AP72" s="138">
        <v>0</v>
      </c>
      <c r="AQ72" s="138"/>
      <c r="AR72" s="138">
        <v>0</v>
      </c>
      <c r="AS72" s="138"/>
      <c r="AT72" s="138">
        <v>0</v>
      </c>
      <c r="AU72" s="138"/>
      <c r="AV72" s="138">
        <v>0</v>
      </c>
      <c r="XFD72" s="138"/>
    </row>
    <row r="73" spans="1:48 16384:16384" x14ac:dyDescent="0.2">
      <c r="A73" t="s">
        <v>184</v>
      </c>
      <c r="B73" s="193">
        <v>0.56706723273486059</v>
      </c>
      <c r="D73" s="193">
        <v>0.56910249448364947</v>
      </c>
      <c r="E73" s="138"/>
      <c r="F73" s="193">
        <v>0.57136953403055502</v>
      </c>
      <c r="G73" s="138"/>
      <c r="H73" s="193">
        <v>0.5739502330191798</v>
      </c>
      <c r="I73" s="138"/>
      <c r="J73" s="193">
        <v>0.57697892984211907</v>
      </c>
      <c r="K73" s="138"/>
      <c r="L73" s="193">
        <v>0.5807033723570445</v>
      </c>
      <c r="M73" s="138"/>
      <c r="N73" s="193">
        <v>0.58569026874748409</v>
      </c>
      <c r="O73" s="138"/>
      <c r="P73" s="193">
        <v>0.59430854180448955</v>
      </c>
      <c r="Q73" s="138"/>
      <c r="R73" s="193">
        <v>0.61925959147205267</v>
      </c>
      <c r="S73" s="138"/>
      <c r="T73" s="193" t="e">
        <v>#DIV/0!</v>
      </c>
      <c r="U73" s="138"/>
      <c r="V73" s="193" t="e">
        <v>#DIV/0!</v>
      </c>
      <c r="W73" s="138"/>
      <c r="X73" s="193" t="e">
        <v>#DIV/0!</v>
      </c>
      <c r="Y73" s="138"/>
      <c r="Z73" s="193" t="e">
        <v>#DIV/0!</v>
      </c>
      <c r="AA73" s="138"/>
      <c r="AB73" s="193" t="e">
        <v>#DIV/0!</v>
      </c>
      <c r="AC73" s="138"/>
      <c r="AD73" s="193" t="e">
        <v>#DIV/0!</v>
      </c>
      <c r="AE73" s="138"/>
      <c r="AF73" s="193" t="e">
        <v>#DIV/0!</v>
      </c>
      <c r="AG73" s="138"/>
      <c r="AH73" s="193" t="e">
        <v>#DIV/0!</v>
      </c>
      <c r="AI73" s="138"/>
      <c r="AJ73" s="193" t="e">
        <v>#DIV/0!</v>
      </c>
      <c r="AK73" s="138"/>
      <c r="AL73" s="193" t="e">
        <v>#DIV/0!</v>
      </c>
      <c r="AM73" s="138"/>
      <c r="AN73" s="193" t="e">
        <v>#DIV/0!</v>
      </c>
      <c r="AO73" s="138"/>
      <c r="AP73" s="193" t="e">
        <v>#DIV/0!</v>
      </c>
      <c r="AQ73" s="138"/>
      <c r="AR73" s="193" t="e">
        <v>#DIV/0!</v>
      </c>
      <c r="AS73" s="138"/>
      <c r="AT73" s="193" t="e">
        <v>#DIV/0!</v>
      </c>
      <c r="AU73" s="138"/>
      <c r="AV73" s="193" t="e">
        <v>#DIV/0!</v>
      </c>
      <c r="XFD73" s="193"/>
    </row>
    <row r="74" spans="1:48 16384:16384" x14ac:dyDescent="0.2">
      <c r="A74" t="s">
        <v>185</v>
      </c>
      <c r="B74" s="193">
        <v>0.21672767296897655</v>
      </c>
      <c r="D74" s="193">
        <v>0.21672767296897655</v>
      </c>
      <c r="E74" s="138"/>
      <c r="F74" s="193">
        <v>0.21672767296897655</v>
      </c>
      <c r="G74" s="138"/>
      <c r="H74" s="193">
        <v>0.21672767296897658</v>
      </c>
      <c r="I74" s="138"/>
      <c r="J74" s="193">
        <v>0.21672767296897655</v>
      </c>
      <c r="K74" s="138"/>
      <c r="L74" s="193">
        <v>0.21672767296897655</v>
      </c>
      <c r="M74" s="138"/>
      <c r="N74" s="193">
        <v>0.21672767296897655</v>
      </c>
      <c r="O74" s="138"/>
      <c r="P74" s="193">
        <v>0.21672767296897655</v>
      </c>
      <c r="Q74" s="138"/>
      <c r="R74" s="193">
        <v>0.21672767296897655</v>
      </c>
      <c r="S74" s="138"/>
      <c r="T74" s="193" t="e">
        <v>#DIV/0!</v>
      </c>
      <c r="U74" s="138"/>
      <c r="V74" s="193" t="e">
        <v>#DIV/0!</v>
      </c>
      <c r="W74" s="138"/>
      <c r="X74" s="193" t="e">
        <v>#DIV/0!</v>
      </c>
      <c r="Y74" s="138"/>
      <c r="Z74" s="193" t="e">
        <v>#DIV/0!</v>
      </c>
      <c r="AA74" s="138"/>
      <c r="AB74" s="193" t="e">
        <v>#DIV/0!</v>
      </c>
      <c r="AC74" s="138"/>
      <c r="AD74" s="193" t="e">
        <v>#DIV/0!</v>
      </c>
      <c r="AE74" s="138"/>
      <c r="AF74" s="193" t="e">
        <v>#DIV/0!</v>
      </c>
      <c r="AG74" s="138"/>
      <c r="AH74" s="193" t="e">
        <v>#DIV/0!</v>
      </c>
      <c r="AI74" s="138"/>
      <c r="AJ74" s="193" t="e">
        <v>#DIV/0!</v>
      </c>
      <c r="AK74" s="138"/>
      <c r="AL74" s="193" t="e">
        <v>#DIV/0!</v>
      </c>
      <c r="AM74" s="138"/>
      <c r="AN74" s="193" t="e">
        <v>#DIV/0!</v>
      </c>
      <c r="AO74" s="138"/>
      <c r="AP74" s="193" t="e">
        <v>#DIV/0!</v>
      </c>
      <c r="AQ74" s="138"/>
      <c r="AR74" s="193" t="e">
        <v>#DIV/0!</v>
      </c>
      <c r="AS74" s="138"/>
      <c r="AT74" s="193" t="e">
        <v>#DIV/0!</v>
      </c>
      <c r="AU74" s="138"/>
      <c r="AV74" s="193" t="e">
        <v>#DIV/0!</v>
      </c>
      <c r="XFD74" s="193"/>
    </row>
    <row r="75" spans="1:48 16384:16384" x14ac:dyDescent="0.2">
      <c r="A75" t="s">
        <v>186</v>
      </c>
      <c r="B75" s="193">
        <v>0.20445380142857192</v>
      </c>
      <c r="D75" s="193">
        <v>0.2024185428749285</v>
      </c>
      <c r="E75" s="138"/>
      <c r="F75" s="193">
        <v>0.20015150770368248</v>
      </c>
      <c r="G75" s="138"/>
      <c r="H75" s="193">
        <v>0.19757080072513944</v>
      </c>
      <c r="I75" s="138"/>
      <c r="J75" s="193">
        <v>0.19454211314072914</v>
      </c>
      <c r="K75" s="138"/>
      <c r="L75" s="193">
        <v>0.19081766273176673</v>
      </c>
      <c r="M75" s="138"/>
      <c r="N75" s="193">
        <v>0.18583077034062143</v>
      </c>
      <c r="O75" s="138"/>
      <c r="P75" s="193">
        <v>0.17721250019401408</v>
      </c>
      <c r="Q75" s="138"/>
      <c r="R75" s="193">
        <v>0.15226144431421212</v>
      </c>
      <c r="S75" s="138"/>
      <c r="T75" s="193" t="e">
        <v>#DIV/0!</v>
      </c>
      <c r="U75" s="138"/>
      <c r="V75" s="193" t="e">
        <v>#DIV/0!</v>
      </c>
      <c r="W75" s="138"/>
      <c r="X75" s="193" t="e">
        <v>#DIV/0!</v>
      </c>
      <c r="Y75" s="138"/>
      <c r="Z75" s="193" t="e">
        <v>#DIV/0!</v>
      </c>
      <c r="AA75" s="138"/>
      <c r="AB75" s="193" t="e">
        <v>#DIV/0!</v>
      </c>
      <c r="AC75" s="138"/>
      <c r="AD75" s="193" t="e">
        <v>#DIV/0!</v>
      </c>
      <c r="AE75" s="138"/>
      <c r="AF75" s="193" t="e">
        <v>#DIV/0!</v>
      </c>
      <c r="AG75" s="138"/>
      <c r="AH75" s="193" t="e">
        <v>#DIV/0!</v>
      </c>
      <c r="AI75" s="138"/>
      <c r="AJ75" s="193" t="e">
        <v>#DIV/0!</v>
      </c>
      <c r="AK75" s="138"/>
      <c r="AL75" s="193" t="e">
        <v>#DIV/0!</v>
      </c>
      <c r="AM75" s="138"/>
      <c r="AN75" s="193" t="e">
        <v>#DIV/0!</v>
      </c>
      <c r="AO75" s="138"/>
      <c r="AP75" s="193" t="e">
        <v>#DIV/0!</v>
      </c>
      <c r="AQ75" s="138"/>
      <c r="AR75" s="193" t="e">
        <v>#DIV/0!</v>
      </c>
      <c r="AS75" s="138"/>
      <c r="AT75" s="193" t="e">
        <v>#DIV/0!</v>
      </c>
      <c r="AU75" s="138"/>
      <c r="AV75" s="193" t="e">
        <v>#DIV/0!</v>
      </c>
      <c r="XFD75" s="193"/>
    </row>
    <row r="76" spans="1:48 16384:16384" x14ac:dyDescent="0.2">
      <c r="A76" t="s">
        <v>187</v>
      </c>
      <c r="B76" s="193">
        <v>0.20231859885161138</v>
      </c>
      <c r="D76" s="193">
        <v>0.20280505702767768</v>
      </c>
      <c r="E76" s="138"/>
      <c r="F76" s="193">
        <v>0.2033688036474165</v>
      </c>
      <c r="G76" s="138"/>
      <c r="H76" s="193">
        <v>0.20400437255678219</v>
      </c>
      <c r="I76" s="138"/>
      <c r="J76" s="193">
        <v>0.20469848538818539</v>
      </c>
      <c r="K76" s="138"/>
      <c r="L76" s="193">
        <v>0.20542289805238292</v>
      </c>
      <c r="M76" s="138"/>
      <c r="N76" s="193">
        <v>0.20611577388392727</v>
      </c>
      <c r="O76" s="138"/>
      <c r="P76" s="193">
        <v>0.20659592142923577</v>
      </c>
      <c r="Q76" s="138"/>
      <c r="R76" s="193">
        <v>0.20478933589732506</v>
      </c>
      <c r="S76" s="138"/>
      <c r="T76" s="193" t="e">
        <v>#DIV/0!</v>
      </c>
      <c r="U76" s="138"/>
      <c r="V76" s="193" t="e">
        <v>#DIV/0!</v>
      </c>
      <c r="W76" s="138"/>
      <c r="X76" s="193" t="e">
        <v>#DIV/0!</v>
      </c>
      <c r="Y76" s="138"/>
      <c r="Z76" s="193" t="e">
        <v>#DIV/0!</v>
      </c>
      <c r="AA76" s="138"/>
      <c r="AB76" s="193" t="e">
        <v>#DIV/0!</v>
      </c>
      <c r="AC76" s="138"/>
      <c r="AD76" s="193" t="e">
        <v>#DIV/0!</v>
      </c>
      <c r="AE76" s="138"/>
      <c r="AF76" s="193" t="e">
        <v>#DIV/0!</v>
      </c>
      <c r="AG76" s="138"/>
      <c r="AH76" s="193" t="e">
        <v>#DIV/0!</v>
      </c>
      <c r="AI76" s="138"/>
      <c r="AJ76" s="193" t="e">
        <v>#DIV/0!</v>
      </c>
      <c r="AK76" s="138"/>
      <c r="AL76" s="193" t="e">
        <v>#DIV/0!</v>
      </c>
      <c r="AM76" s="138"/>
      <c r="AN76" s="193" t="e">
        <v>#DIV/0!</v>
      </c>
      <c r="AO76" s="138"/>
      <c r="AP76" s="193" t="e">
        <v>#DIV/0!</v>
      </c>
      <c r="AQ76" s="138"/>
      <c r="AR76" s="193" t="e">
        <v>#DIV/0!</v>
      </c>
      <c r="AS76" s="138"/>
      <c r="AT76" s="193" t="e">
        <v>#DIV/0!</v>
      </c>
      <c r="AU76" s="138"/>
      <c r="AV76" s="193" t="e">
        <v>#DIV/0!</v>
      </c>
      <c r="XFD76" s="193"/>
    </row>
    <row r="77" spans="1:48 16384:16384" x14ac:dyDescent="0.2">
      <c r="A77" t="s">
        <v>188</v>
      </c>
      <c r="B77" s="193">
        <v>0.19056730598402016</v>
      </c>
      <c r="D77" s="193">
        <v>0.19105376735523202</v>
      </c>
      <c r="E77" s="138"/>
      <c r="F77" s="193">
        <v>0.1916175183506304</v>
      </c>
      <c r="G77" s="138"/>
      <c r="H77" s="193">
        <v>0.19225307927007798</v>
      </c>
      <c r="I77" s="138"/>
      <c r="J77" s="193">
        <v>0.19294720134001003</v>
      </c>
      <c r="K77" s="138"/>
      <c r="L77" s="193">
        <v>0.19367160611017051</v>
      </c>
      <c r="M77" s="138"/>
      <c r="N77" s="193">
        <v>0.19436448594100908</v>
      </c>
      <c r="O77" s="138"/>
      <c r="P77" s="193">
        <v>0.19484463639671576</v>
      </c>
      <c r="Q77" s="138"/>
      <c r="R77" s="193">
        <v>0.19303804465256613</v>
      </c>
      <c r="S77" s="138"/>
      <c r="T77" s="193" t="e">
        <v>#DIV/0!</v>
      </c>
      <c r="U77" s="138"/>
      <c r="V77" s="193" t="e">
        <v>#DIV/0!</v>
      </c>
      <c r="W77" s="138"/>
      <c r="X77" s="193" t="e">
        <v>#DIV/0!</v>
      </c>
      <c r="Y77" s="138"/>
      <c r="Z77" s="193" t="e">
        <v>#DIV/0!</v>
      </c>
      <c r="AA77" s="138"/>
      <c r="AB77" s="193" t="e">
        <v>#DIV/0!</v>
      </c>
      <c r="AC77" s="138"/>
      <c r="AD77" s="193" t="e">
        <v>#DIV/0!</v>
      </c>
      <c r="AE77" s="138"/>
      <c r="AF77" s="193" t="e">
        <v>#DIV/0!</v>
      </c>
      <c r="AG77" s="138"/>
      <c r="AH77" s="193" t="e">
        <v>#DIV/0!</v>
      </c>
      <c r="AI77" s="138"/>
      <c r="AJ77" s="193" t="e">
        <v>#DIV/0!</v>
      </c>
      <c r="AK77" s="138"/>
      <c r="AL77" s="193" t="e">
        <v>#DIV/0!</v>
      </c>
      <c r="AM77" s="138"/>
      <c r="AN77" s="193" t="e">
        <v>#DIV/0!</v>
      </c>
      <c r="AO77" s="138"/>
      <c r="AP77" s="193" t="e">
        <v>#DIV/0!</v>
      </c>
      <c r="AQ77" s="138"/>
      <c r="AR77" s="193" t="e">
        <v>#DIV/0!</v>
      </c>
      <c r="AS77" s="138"/>
      <c r="AT77" s="193" t="e">
        <v>#DIV/0!</v>
      </c>
      <c r="AU77" s="138"/>
      <c r="AV77" s="193" t="e">
        <v>#DIV/0!</v>
      </c>
      <c r="XFD77" s="193"/>
    </row>
    <row r="78" spans="1:48 16384:16384" x14ac:dyDescent="0.2">
      <c r="A78" t="s">
        <v>189</v>
      </c>
      <c r="B78" s="193">
        <v>0.27666372811889955</v>
      </c>
      <c r="D78" s="193">
        <v>0.2806794888248127</v>
      </c>
      <c r="E78" s="138"/>
      <c r="F78" s="193">
        <v>0.28541684663688754</v>
      </c>
      <c r="G78" s="138"/>
      <c r="H78" s="193">
        <v>0.2911510073157505</v>
      </c>
      <c r="I78" s="138"/>
      <c r="J78" s="193">
        <v>0.29834757941359485</v>
      </c>
      <c r="K78" s="138"/>
      <c r="L78" s="193">
        <v>0.3079007064467118</v>
      </c>
      <c r="M78" s="138"/>
      <c r="N78" s="193">
        <v>0.32196390902352318</v>
      </c>
      <c r="O78" s="138"/>
      <c r="P78" s="193">
        <v>0.35019089517581276</v>
      </c>
      <c r="Q78" s="138"/>
      <c r="R78" s="193">
        <v>0.48045442943610223</v>
      </c>
      <c r="S78" s="138"/>
      <c r="T78" s="193" t="e">
        <v>#DIV/0!</v>
      </c>
      <c r="U78" s="138"/>
      <c r="V78" s="193" t="e">
        <v>#DIV/0!</v>
      </c>
      <c r="W78" s="138"/>
      <c r="X78" s="193" t="e">
        <v>#DIV/0!</v>
      </c>
      <c r="Y78" s="138"/>
      <c r="Z78" s="193" t="e">
        <v>#DIV/0!</v>
      </c>
      <c r="AA78" s="138"/>
      <c r="AB78" s="193" t="e">
        <v>#DIV/0!</v>
      </c>
      <c r="AC78" s="138"/>
      <c r="AD78" s="193" t="e">
        <v>#DIV/0!</v>
      </c>
      <c r="AE78" s="138"/>
      <c r="AF78" s="193" t="e">
        <v>#DIV/0!</v>
      </c>
      <c r="AG78" s="138"/>
      <c r="AH78" s="193" t="e">
        <v>#DIV/0!</v>
      </c>
      <c r="AI78" s="138"/>
      <c r="AJ78" s="193" t="e">
        <v>#DIV/0!</v>
      </c>
      <c r="AK78" s="138"/>
      <c r="AL78" s="193" t="e">
        <v>#DIV/0!</v>
      </c>
      <c r="AM78" s="138"/>
      <c r="AN78" s="193" t="e">
        <v>#DIV/0!</v>
      </c>
      <c r="AO78" s="138"/>
      <c r="AP78" s="193" t="e">
        <v>#DIV/0!</v>
      </c>
      <c r="AQ78" s="138"/>
      <c r="AR78" s="193" t="e">
        <v>#DIV/0!</v>
      </c>
      <c r="AS78" s="138"/>
      <c r="AT78" s="193" t="e">
        <v>#DIV/0!</v>
      </c>
      <c r="AU78" s="138"/>
      <c r="AV78" s="193" t="e">
        <v>#DIV/0!</v>
      </c>
      <c r="XFD78" s="193"/>
    </row>
    <row r="79" spans="1:48 16384:16384" x14ac:dyDescent="0.2">
      <c r="A79" t="s">
        <v>190</v>
      </c>
      <c r="B79" s="193">
        <v>0.42990307543833983</v>
      </c>
      <c r="D79" s="193">
        <v>0.41923600245806131</v>
      </c>
      <c r="F79" s="193">
        <v>0.40708987073280195</v>
      </c>
      <c r="H79" s="193">
        <v>0.39292187393014005</v>
      </c>
      <c r="J79" s="193">
        <v>0.37582741461198416</v>
      </c>
      <c r="L79" s="193">
        <v>0.35410264953858445</v>
      </c>
      <c r="N79" s="193">
        <v>0.32374205165992642</v>
      </c>
      <c r="P79" s="193">
        <v>0.2673501798570258</v>
      </c>
      <c r="R79" s="193">
        <v>5.5545686552176288E-2</v>
      </c>
      <c r="T79" s="193" t="e">
        <v>#DIV/0!</v>
      </c>
      <c r="V79" s="193" t="e">
        <v>#DIV/0!</v>
      </c>
      <c r="X79" s="193" t="e">
        <v>#DIV/0!</v>
      </c>
      <c r="Z79" s="193" t="e">
        <v>#DIV/0!</v>
      </c>
      <c r="AB79" s="193" t="e">
        <v>#DIV/0!</v>
      </c>
      <c r="AD79" s="193" t="e">
        <v>#DIV/0!</v>
      </c>
      <c r="AF79" s="193" t="e">
        <v>#DIV/0!</v>
      </c>
      <c r="AH79" s="193" t="e">
        <v>#DIV/0!</v>
      </c>
      <c r="AJ79" s="193" t="e">
        <v>#DIV/0!</v>
      </c>
      <c r="AL79" s="193" t="e">
        <v>#DIV/0!</v>
      </c>
      <c r="AN79" s="193" t="e">
        <v>#DIV/0!</v>
      </c>
      <c r="AP79" s="193" t="e">
        <v>#DIV/0!</v>
      </c>
      <c r="AR79" s="193" t="e">
        <v>#DIV/0!</v>
      </c>
      <c r="AT79" s="193" t="e">
        <v>#DIV/0!</v>
      </c>
      <c r="AV79" s="193" t="e">
        <v>#DIV/0!</v>
      </c>
      <c r="XFD79" s="193"/>
    </row>
    <row r="80" spans="1:48 16384:16384" x14ac:dyDescent="0.2">
      <c r="A80" t="s">
        <v>169</v>
      </c>
      <c r="B80" s="236">
        <v>0.29343319644276039</v>
      </c>
      <c r="D80" s="236">
        <v>0.30008449758032324</v>
      </c>
      <c r="F80" s="236">
        <v>0.3074932547254613</v>
      </c>
      <c r="H80" s="236">
        <v>0.31592711845864874</v>
      </c>
      <c r="J80" s="236">
        <v>0.3258249876845864</v>
      </c>
      <c r="L80" s="236">
        <v>0.33799663877321651</v>
      </c>
      <c r="N80" s="236">
        <v>0.35429400167438302</v>
      </c>
      <c r="P80" s="236">
        <v>0.38245884035595185</v>
      </c>
      <c r="R80" s="236">
        <v>0.46399988760177896</v>
      </c>
      <c r="T80" s="236" t="e">
        <v>#DIV/0!</v>
      </c>
      <c r="V80" s="236" t="e">
        <v>#DIV/0!</v>
      </c>
      <c r="X80" s="236" t="e">
        <v>#DIV/0!</v>
      </c>
      <c r="Z80" s="236" t="e">
        <v>#DIV/0!</v>
      </c>
      <c r="AB80" s="236" t="e">
        <v>#DIV/0!</v>
      </c>
      <c r="AD80" s="236" t="e">
        <v>#DIV/0!</v>
      </c>
      <c r="AF80" s="236" t="e">
        <v>#DIV/0!</v>
      </c>
      <c r="AH80" s="236" t="e">
        <v>#DIV/0!</v>
      </c>
      <c r="AJ80" s="236" t="e">
        <v>#DIV/0!</v>
      </c>
      <c r="AL80" s="236" t="e">
        <v>#DIV/0!</v>
      </c>
      <c r="AN80" s="236" t="e">
        <v>#DIV/0!</v>
      </c>
      <c r="AP80" s="236" t="e">
        <v>#DIV/0!</v>
      </c>
      <c r="AR80" s="236" t="e">
        <v>#DIV/0!</v>
      </c>
      <c r="AT80" s="236" t="e">
        <v>#DIV/0!</v>
      </c>
      <c r="AV80" s="236" t="e">
        <v>#DIV/0!</v>
      </c>
      <c r="XFD80" s="236"/>
    </row>
    <row r="81" spans="1:48 16384:16384" x14ac:dyDescent="0.2">
      <c r="A81" t="s">
        <v>191</v>
      </c>
      <c r="B81" s="236">
        <v>7.6705523473783829E-2</v>
      </c>
      <c r="D81" s="236">
        <v>8.3356824611346664E-2</v>
      </c>
      <c r="F81" s="236">
        <v>9.0765581756484734E-2</v>
      </c>
      <c r="H81" s="236">
        <v>9.9199445489672189E-2</v>
      </c>
      <c r="J81" s="236">
        <v>0.10909731471560986</v>
      </c>
      <c r="L81" s="236">
        <v>0.12126896580423994</v>
      </c>
      <c r="N81" s="236">
        <v>0.13756632870540647</v>
      </c>
      <c r="P81" s="236">
        <v>0.16573116738697527</v>
      </c>
      <c r="R81" s="236">
        <v>0.24727221463280241</v>
      </c>
      <c r="T81" s="236" t="e">
        <v>#DIV/0!</v>
      </c>
      <c r="V81" s="236" t="e">
        <v>#DIV/0!</v>
      </c>
      <c r="X81" s="236" t="e">
        <v>#DIV/0!</v>
      </c>
      <c r="Z81" s="236" t="e">
        <v>#DIV/0!</v>
      </c>
      <c r="AB81" s="236" t="e">
        <v>#DIV/0!</v>
      </c>
      <c r="AD81" s="236" t="e">
        <v>#DIV/0!</v>
      </c>
      <c r="AF81" s="236" t="e">
        <v>#DIV/0!</v>
      </c>
      <c r="AH81" s="236" t="e">
        <v>#DIV/0!</v>
      </c>
      <c r="AJ81" s="236" t="e">
        <v>#DIV/0!</v>
      </c>
      <c r="AL81" s="236" t="e">
        <v>#DIV/0!</v>
      </c>
      <c r="AN81" s="236" t="e">
        <v>#DIV/0!</v>
      </c>
      <c r="AP81" s="236" t="e">
        <v>#DIV/0!</v>
      </c>
      <c r="AR81" s="236" t="e">
        <v>#DIV/0!</v>
      </c>
      <c r="AT81" s="236" t="e">
        <v>#DIV/0!</v>
      </c>
      <c r="AV81" s="236" t="e">
        <v>#DIV/0!</v>
      </c>
      <c r="XFD81" s="236"/>
    </row>
    <row r="82" spans="1:48 16384:16384" x14ac:dyDescent="0.2">
      <c r="A82" t="s">
        <v>192</v>
      </c>
      <c r="B82" s="236">
        <v>5.4622536949655895E-2</v>
      </c>
      <c r="D82" s="236">
        <v>5.5415380446095189E-2</v>
      </c>
      <c r="F82" s="236">
        <v>5.6350690990391007E-2</v>
      </c>
      <c r="H82" s="236">
        <v>5.7482803268664971E-2</v>
      </c>
      <c r="J82" s="236">
        <v>5.8903643752519184E-2</v>
      </c>
      <c r="L82" s="236">
        <v>6.0789745837165891E-2</v>
      </c>
      <c r="N82" s="236">
        <v>6.3566285456599647E-2</v>
      </c>
      <c r="P82" s="236">
        <v>6.9139222699092978E-2</v>
      </c>
      <c r="R82" s="236">
        <v>9.4857536992419972E-2</v>
      </c>
      <c r="T82" s="236" t="e">
        <v>#DIV/0!</v>
      </c>
      <c r="V82" s="236" t="e">
        <v>#DIV/0!</v>
      </c>
      <c r="X82" s="236" t="e">
        <v>#DIV/0!</v>
      </c>
      <c r="Z82" s="236" t="e">
        <v>#DIV/0!</v>
      </c>
      <c r="AB82" s="236" t="e">
        <v>#DIV/0!</v>
      </c>
      <c r="AD82" s="236" t="e">
        <v>#DIV/0!</v>
      </c>
      <c r="AF82" s="236" t="e">
        <v>#DIV/0!</v>
      </c>
      <c r="AH82" s="236" t="e">
        <v>#DIV/0!</v>
      </c>
      <c r="AJ82" s="236" t="e">
        <v>#DIV/0!</v>
      </c>
      <c r="AL82" s="236" t="e">
        <v>#DIV/0!</v>
      </c>
      <c r="AN82" s="236" t="e">
        <v>#DIV/0!</v>
      </c>
      <c r="AP82" s="236" t="e">
        <v>#DIV/0!</v>
      </c>
      <c r="AR82" s="236" t="e">
        <v>#DIV/0!</v>
      </c>
      <c r="AT82" s="236" t="e">
        <v>#DIV/0!</v>
      </c>
      <c r="AV82" s="236" t="e">
        <v>#DIV/0!</v>
      </c>
    </row>
    <row r="83" spans="1:48 16384:16384" x14ac:dyDescent="0.2">
      <c r="A83" t="s">
        <v>193</v>
      </c>
      <c r="B83" s="236">
        <v>8.4877033872722163E-2</v>
      </c>
      <c r="D83" s="236">
        <v>8.2771002149765197E-2</v>
      </c>
      <c r="F83" s="236">
        <v>8.0372955490489215E-2</v>
      </c>
      <c r="H83" s="236">
        <v>7.7575726037543299E-2</v>
      </c>
      <c r="J83" s="236">
        <v>7.4200716447059251E-2</v>
      </c>
      <c r="L83" s="236">
        <v>6.9911531916030334E-2</v>
      </c>
      <c r="N83" s="236">
        <v>6.3917349408925767E-2</v>
      </c>
      <c r="P83" s="236">
        <v>5.2783735609395033E-2</v>
      </c>
      <c r="R83" s="236">
        <v>1.0966548946330749E-2</v>
      </c>
      <c r="T83" s="236" t="e">
        <v>#DIV/0!</v>
      </c>
      <c r="V83" s="236" t="e">
        <v>#DIV/0!</v>
      </c>
      <c r="X83" s="236" t="e">
        <v>#DIV/0!</v>
      </c>
      <c r="Z83" s="236" t="e">
        <v>#DIV/0!</v>
      </c>
      <c r="AB83" s="236" t="e">
        <v>#DIV/0!</v>
      </c>
      <c r="AD83" s="236" t="e">
        <v>#DIV/0!</v>
      </c>
      <c r="AF83" s="236" t="e">
        <v>#DIV/0!</v>
      </c>
      <c r="AH83" s="236" t="e">
        <v>#DIV/0!</v>
      </c>
      <c r="AJ83" s="236" t="e">
        <v>#DIV/0!</v>
      </c>
      <c r="AL83" s="236" t="e">
        <v>#DIV/0!</v>
      </c>
      <c r="AN83" s="236" t="e">
        <v>#DIV/0!</v>
      </c>
      <c r="AP83" s="236" t="e">
        <v>#DIV/0!</v>
      </c>
      <c r="AR83" s="236" t="e">
        <v>#DIV/0!</v>
      </c>
      <c r="AT83" s="236" t="e">
        <v>#DIV/0!</v>
      </c>
      <c r="AV83" s="236" t="e">
        <v>#DIV/0!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6"/>
  <dimension ref="A1:AY93"/>
  <sheetViews>
    <sheetView workbookViewId="0">
      <selection activeCell="M22" sqref="M22"/>
    </sheetView>
  </sheetViews>
  <sheetFormatPr baseColWidth="10" defaultRowHeight="10" x14ac:dyDescent="0.2"/>
  <cols>
    <col min="1" max="1" width="19.6640625" customWidth="1"/>
    <col min="26" max="26" width="12"/>
  </cols>
  <sheetData>
    <row r="1" spans="1:27" x14ac:dyDescent="0.2">
      <c r="A1" t="s">
        <v>97</v>
      </c>
    </row>
    <row r="2" spans="1:27" x14ac:dyDescent="0.2">
      <c r="A2" t="s">
        <v>147</v>
      </c>
      <c r="B2" s="94">
        <v>0</v>
      </c>
      <c r="C2" s="94">
        <v>0.05</v>
      </c>
      <c r="D2" s="94">
        <v>0.1</v>
      </c>
      <c r="E2" s="94">
        <v>0.15000000000000002</v>
      </c>
      <c r="F2" s="94">
        <v>0.2</v>
      </c>
      <c r="G2" s="94">
        <v>0.25</v>
      </c>
      <c r="H2" s="94">
        <v>0.3</v>
      </c>
      <c r="I2" s="94">
        <v>0.35</v>
      </c>
      <c r="J2" s="94">
        <v>0.39999999999999997</v>
      </c>
      <c r="K2" s="94">
        <v>0.44999999999999996</v>
      </c>
      <c r="L2" s="94">
        <v>0.49999999999999994</v>
      </c>
      <c r="M2" s="94">
        <v>0.54999999999999993</v>
      </c>
      <c r="N2" s="94">
        <v>0.6</v>
      </c>
      <c r="O2" s="94">
        <v>0.65</v>
      </c>
      <c r="P2" s="94">
        <v>0.70000000000000007</v>
      </c>
      <c r="Q2" s="94">
        <v>0.75000000000000011</v>
      </c>
      <c r="R2" s="94">
        <v>0.80000000000000016</v>
      </c>
      <c r="S2" s="94">
        <v>0.8500000000000002</v>
      </c>
      <c r="T2" s="94">
        <v>0.90000000000000024</v>
      </c>
      <c r="U2" s="94">
        <v>0.95000000000000029</v>
      </c>
      <c r="V2" s="94">
        <v>0.9600000000000003</v>
      </c>
      <c r="W2" s="94">
        <v>0.97000000000000031</v>
      </c>
      <c r="X2" s="94">
        <v>0.98000000000000032</v>
      </c>
      <c r="Y2" s="94">
        <v>0.99000000000000032</v>
      </c>
    </row>
    <row r="3" spans="1:27" x14ac:dyDescent="0.2">
      <c r="A3" t="s">
        <v>89</v>
      </c>
      <c r="B3" s="80">
        <f>NeoClassical!B$31</f>
        <v>1</v>
      </c>
      <c r="C3" s="80">
        <f>NeoClassical!D$31</f>
        <v>0.99095033723033721</v>
      </c>
      <c r="D3" s="80">
        <f>NeoClassical!F$31</f>
        <v>0.98110310743848661</v>
      </c>
      <c r="E3" s="80">
        <f>NeoClassical!H$31</f>
        <v>0.97033588277426031</v>
      </c>
      <c r="F3" s="80">
        <f>NeoClassical!J$31</f>
        <v>0.95849809950823639</v>
      </c>
      <c r="G3" s="80">
        <f>NeoClassical!L$31</f>
        <v>0.94540034916408078</v>
      </c>
      <c r="H3" s="80">
        <f>NeoClassical!N$31</f>
        <v>0.93079826568959279</v>
      </c>
      <c r="I3" s="80">
        <f>NeoClassical!P$31</f>
        <v>0.91436574288810257</v>
      </c>
      <c r="J3" s="80">
        <f>NeoClassical!R$31</f>
        <v>0.89565126879535073</v>
      </c>
      <c r="K3" s="80">
        <f>NeoClassical!T$31</f>
        <v>0.87400091485127751</v>
      </c>
      <c r="L3" s="80">
        <f>NeoClassical!V$31</f>
        <v>0.84842038453236712</v>
      </c>
      <c r="M3" s="80">
        <f>NeoClassical!X$31</f>
        <v>0.81731774938560198</v>
      </c>
      <c r="N3" s="80">
        <f>NeoClassical!Z$31</f>
        <v>0.77801788859534138</v>
      </c>
      <c r="O3" s="80">
        <f>NeoClassical!AB$31</f>
        <v>0.7259115722953472</v>
      </c>
      <c r="P3" s="80">
        <f>NeoClassical!AD$31</f>
        <v>0.6534394741481544</v>
      </c>
      <c r="Q3" s="80">
        <f>NeoClassical!AF$31</f>
        <v>0.55067569548464257</v>
      </c>
      <c r="R3" s="80">
        <f>NeoClassical!AH$31</f>
        <v>0.41033575576013448</v>
      </c>
      <c r="S3" s="80">
        <f>NeoClassical!AJ$31</f>
        <v>0.23880067351893206</v>
      </c>
      <c r="T3" s="80">
        <f>NeoClassical!AL$31</f>
        <v>8.0002887935313807E-2</v>
      </c>
      <c r="U3" s="80">
        <f>NeoClassical!AN$31</f>
        <v>6.7039036535221589E-3</v>
      </c>
      <c r="V3" s="80">
        <f>NeoClassical!AP$31</f>
        <v>2.8130835906134909E-3</v>
      </c>
      <c r="W3" s="80">
        <f>NeoClassical!AR$31</f>
        <v>9.034966450069702E-4</v>
      </c>
      <c r="X3" s="80">
        <f>NeoClassical!AT$31</f>
        <v>1.7986191791074453E-4</v>
      </c>
      <c r="Y3" s="80">
        <f>NeoClassical!AV$31</f>
        <v>1.1273794199909424E-5</v>
      </c>
    </row>
    <row r="4" spans="1:27" x14ac:dyDescent="0.2">
      <c r="A4" t="s">
        <v>163</v>
      </c>
      <c r="B4" s="80">
        <f>Kaldorian!B$31</f>
        <v>1</v>
      </c>
      <c r="C4" s="80">
        <f>Kaldorian!D$31</f>
        <v>0.9972394049383293</v>
      </c>
      <c r="D4" s="80">
        <f>Kaldorian!F$31</f>
        <v>0.99391436784762088</v>
      </c>
      <c r="E4" s="80">
        <f>Kaldorian!H$31</f>
        <v>0.98993942612019314</v>
      </c>
      <c r="F4" s="80">
        <f>Kaldorian!J$31</f>
        <v>0.98520984268433986</v>
      </c>
      <c r="G4" s="80">
        <f>Kaldorian!L$31</f>
        <v>0.97959453780355854</v>
      </c>
      <c r="H4" s="80">
        <f>Kaldorian!N$31</f>
        <v>0.97292675436650533</v>
      </c>
      <c r="I4" s="80">
        <f>Kaldorian!P$31</f>
        <v>0.96498788862883267</v>
      </c>
      <c r="J4" s="80">
        <f>Kaldorian!R$31</f>
        <v>0.95548211146365036</v>
      </c>
      <c r="K4" s="80">
        <f>Kaldorian!T$31</f>
        <v>0.9439941833984673</v>
      </c>
      <c r="L4" s="80">
        <f>Kaldorian!V$31</f>
        <v>0.92991409849954254</v>
      </c>
      <c r="M4" s="80">
        <f>Kaldorian!X$31</f>
        <v>0.91229953845671186</v>
      </c>
      <c r="N4" s="80">
        <f>Kaldorian!Z$31</f>
        <v>0.88961529692206509</v>
      </c>
      <c r="O4" s="80">
        <f>Kaldorian!AB$31</f>
        <v>0.85925942962936142</v>
      </c>
      <c r="P4" s="80">
        <f>Kaldorian!AD$31</f>
        <v>0.81687511907933752</v>
      </c>
      <c r="Q4" s="80">
        <f>Kaldorian!AF$31</f>
        <v>0</v>
      </c>
      <c r="R4" s="80">
        <f>Kaldorian!AH$31</f>
        <v>0</v>
      </c>
      <c r="S4" s="80">
        <f>Kaldorian!AJ$31</f>
        <v>0</v>
      </c>
      <c r="T4" s="80">
        <f>Kaldorian!AL$31</f>
        <v>0</v>
      </c>
      <c r="U4" s="80">
        <f>Kaldorian!AN$31</f>
        <v>0</v>
      </c>
      <c r="V4" s="80">
        <f>Kaldorian!AP$31</f>
        <v>0</v>
      </c>
      <c r="W4" s="80">
        <f>Kaldorian!AL$31</f>
        <v>0</v>
      </c>
      <c r="X4" s="80">
        <f>Kaldorian!AN$31</f>
        <v>0</v>
      </c>
      <c r="Y4" s="80">
        <f>Kaldorian!AV$31</f>
        <v>0</v>
      </c>
    </row>
    <row r="5" spans="1:27" x14ac:dyDescent="0.2">
      <c r="A5" t="s">
        <v>90</v>
      </c>
      <c r="B5" s="80">
        <f>Johansen!B$31</f>
        <v>1</v>
      </c>
      <c r="C5" s="80">
        <f>Johansen!D$31</f>
        <v>0.99728288686722866</v>
      </c>
      <c r="D5" s="80">
        <f>Johansen!F$31</f>
        <v>0.99400272759990993</v>
      </c>
      <c r="E5" s="80">
        <f>Johansen!H$31</f>
        <v>0.99007417471509285</v>
      </c>
      <c r="F5" s="80">
        <f>Johansen!J$31</f>
        <v>0.98539251988136634</v>
      </c>
      <c r="G5" s="80">
        <f>Johansen!L$31</f>
        <v>0.97982638349876372</v>
      </c>
      <c r="H5" s="80">
        <f>Johansen!N$31</f>
        <v>0.97320848724349651</v>
      </c>
      <c r="I5" s="80">
        <f>Johansen!P$31</f>
        <v>0.96531902715671614</v>
      </c>
      <c r="J5" s="80">
        <f>Johansen!R$31</f>
        <v>0.95586005836370003</v>
      </c>
      <c r="K5" s="80">
        <f>Johansen!T$31</f>
        <v>0.94441278182441601</v>
      </c>
      <c r="L5" s="80">
        <f>Johansen!V$31</f>
        <v>0.93036134572419349</v>
      </c>
      <c r="M5" s="80">
        <f>Johansen!X$31</f>
        <v>0.91275360684296447</v>
      </c>
      <c r="N5" s="80">
        <f>Johansen!Z$31</f>
        <v>0.89003901365195914</v>
      </c>
      <c r="O5" s="80">
        <f>Johansen!AB$31</f>
        <v>0.85959706714730533</v>
      </c>
      <c r="P5" s="80">
        <f>Johansen!AD$31</f>
        <v>0.81707434388034417</v>
      </c>
      <c r="Q5" s="80">
        <f>Johansen!AF$31</f>
        <v>0.75600939288132607</v>
      </c>
      <c r="R5" s="80">
        <f>Johansen!AH$31</f>
        <v>0.66820557797007707</v>
      </c>
      <c r="S5" s="80">
        <f>Johansen!AJ$31</f>
        <v>0.54522573626500459</v>
      </c>
      <c r="T5" s="80">
        <f>Johansen!AL$31</f>
        <v>0.38444638979397172</v>
      </c>
      <c r="U5" s="80">
        <f>Johansen!AN$31</f>
        <v>0.19684720232320518</v>
      </c>
      <c r="V5" s="80">
        <f>Johansen!AP$31</f>
        <v>0.15774975694803883</v>
      </c>
      <c r="W5" s="80">
        <f>Johansen!AR$31</f>
        <v>0.11843673533432175</v>
      </c>
      <c r="X5" s="80">
        <f>Johansen!AT$31</f>
        <v>7.9000550261762365E-2</v>
      </c>
      <c r="Y5" s="80">
        <f>Johansen!AV$31</f>
        <v>3.9508157272747882E-2</v>
      </c>
    </row>
    <row r="6" spans="1:27" x14ac:dyDescent="0.2">
      <c r="A6" t="s">
        <v>146</v>
      </c>
      <c r="B6" s="80">
        <f>'Keynes-K'!B$31</f>
        <v>1</v>
      </c>
      <c r="C6" s="80">
        <f>'Keynes-K'!D$31</f>
        <v>1.003965246739682</v>
      </c>
      <c r="D6" s="80">
        <f>'Keynes-K'!F$31</f>
        <v>1.0067093330720938</v>
      </c>
      <c r="E6" s="80">
        <f>'Keynes-K'!H$31</f>
        <v>1.0081254038970342</v>
      </c>
      <c r="F6" s="80">
        <f>'Keynes-K'!J$31</f>
        <v>1.0080708235488443</v>
      </c>
      <c r="G6" s="80">
        <f>'Keynes-K'!L$31</f>
        <v>1.0063596231245415</v>
      </c>
      <c r="H6" s="80">
        <f>'Keynes-K'!N$31</f>
        <v>1.0027490910148327</v>
      </c>
      <c r="I6" s="80">
        <f>'Keynes-K'!P$31</f>
        <v>0.99692278076680585</v>
      </c>
      <c r="J6" s="80">
        <f>'Keynes-K'!R$31</f>
        <v>0.9884594664818388</v>
      </c>
      <c r="K6" s="80">
        <f>'Keynes-K'!T$31</f>
        <v>0.97678661000747569</v>
      </c>
      <c r="L6" s="80">
        <f>'Keynes-K'!V$31</f>
        <v>0.96109726577065513</v>
      </c>
      <c r="M6" s="80">
        <f>'Keynes-K'!X$31</f>
        <v>0.94020348425929878</v>
      </c>
      <c r="N6" s="80">
        <f>'Keynes-K'!Z$31</f>
        <v>0.91226209650530343</v>
      </c>
      <c r="O6" s="80">
        <f>'Keynes-K'!AB$31</f>
        <v>0.87428315534462364</v>
      </c>
      <c r="P6" s="80">
        <f>'Keynes-K'!AD$31</f>
        <v>0.82147461114645559</v>
      </c>
      <c r="Q6" s="80">
        <f>'Keynes-K'!AF$31</f>
        <v>0</v>
      </c>
      <c r="R6" s="80">
        <f>'Keynes-K'!AH$31</f>
        <v>0</v>
      </c>
      <c r="S6" s="80">
        <f>'Keynes-K'!AJ$31</f>
        <v>0</v>
      </c>
      <c r="T6" s="80">
        <f>'Keynes-K'!AL$31</f>
        <v>0</v>
      </c>
      <c r="U6" s="80">
        <f>'Keynes-K'!AN$31</f>
        <v>0</v>
      </c>
      <c r="V6" s="80">
        <f>'Keynes-K'!AP$31</f>
        <v>0</v>
      </c>
      <c r="W6" s="80">
        <f>'Keynes-K'!AR$31</f>
        <v>0</v>
      </c>
      <c r="X6" s="80">
        <f>'Keynes-K'!AT$31</f>
        <v>0</v>
      </c>
      <c r="Y6" s="80">
        <f>'Keynes-K'!AV$31</f>
        <v>0</v>
      </c>
    </row>
    <row r="7" spans="1:27" x14ac:dyDescent="0.2">
      <c r="A7" t="s">
        <v>144</v>
      </c>
      <c r="B7" s="80">
        <f>'Keynes-M'!B$31</f>
        <v>1</v>
      </c>
      <c r="C7" s="80">
        <f>'Keynes-M'!D$31</f>
        <v>1.0164333889004658</v>
      </c>
      <c r="D7" s="80">
        <f>'Keynes-M'!F$31</f>
        <v>1.0328649531634537</v>
      </c>
      <c r="E7" s="80">
        <f>'Keynes-M'!H$31</f>
        <v>1.0493512048708131</v>
      </c>
      <c r="F7" s="80">
        <f>'Keynes-M'!J$31</f>
        <v>1.0659832818976842</v>
      </c>
      <c r="G7" s="80">
        <f>'Keynes-M'!L$31</f>
        <v>1.0829272865426618</v>
      </c>
      <c r="H7" s="80">
        <f>'Keynes-M'!N$31</f>
        <v>1.1005039494380469</v>
      </c>
      <c r="I7" s="80">
        <f>'Keynes-M'!P$31</f>
        <v>1.1193675031679922</v>
      </c>
      <c r="J7" s="80">
        <f>'Keynes-M'!R$31</f>
        <v>1.1409504337059968</v>
      </c>
      <c r="K7" s="80">
        <f>'Keynes-M'!T$31</f>
        <v>1.1687941081920104</v>
      </c>
      <c r="L7" s="80">
        <f>'Keynes-M'!V$31</f>
        <v>0</v>
      </c>
      <c r="M7" s="80">
        <f>'Keynes-M'!X$31</f>
        <v>0</v>
      </c>
      <c r="N7" s="80">
        <f>'Keynes-M'!Z$31</f>
        <v>0</v>
      </c>
      <c r="O7" s="80">
        <f>'Keynes-M'!AB$31</f>
        <v>0</v>
      </c>
      <c r="P7" s="80">
        <f>'Keynes-M'!AD$31</f>
        <v>0</v>
      </c>
      <c r="Q7" s="80">
        <f>'Keynes-M'!AF$31</f>
        <v>0</v>
      </c>
      <c r="R7" s="80">
        <f>'Keynes-M'!AH$31</f>
        <v>0</v>
      </c>
      <c r="S7" s="80">
        <f>'Keynes-M'!AJ$31</f>
        <v>0</v>
      </c>
      <c r="T7" s="80">
        <f>'Keynes-M'!AL$31</f>
        <v>0</v>
      </c>
      <c r="U7" s="80">
        <f>'Keynes-M'!AN$31</f>
        <v>0</v>
      </c>
      <c r="V7" s="80">
        <f>'Keynes-M'!AP$31</f>
        <v>0</v>
      </c>
      <c r="W7" s="80">
        <f>'Keynes-M'!AR$31</f>
        <v>0</v>
      </c>
      <c r="X7" s="80">
        <f>'Keynes-K'!AT$31</f>
        <v>0</v>
      </c>
      <c r="Y7" s="80">
        <f>'Keynes-K'!AV$31</f>
        <v>0</v>
      </c>
    </row>
    <row r="8" spans="1:27" x14ac:dyDescent="0.2">
      <c r="A8" t="s">
        <v>162</v>
      </c>
      <c r="B8" s="80">
        <f>Keynesian!B$31</f>
        <v>1</v>
      </c>
      <c r="C8" s="80">
        <f>Keynesian!D$31</f>
        <v>0.97360119850578641</v>
      </c>
      <c r="D8" s="80">
        <f>Keynesian!F$31</f>
        <v>0.94446482539302445</v>
      </c>
      <c r="E8" s="80">
        <f>Keynesian!H$31</f>
        <v>0.91243146296306421</v>
      </c>
      <c r="F8" s="80">
        <f>Keynesian!J$31</f>
        <v>0.87738260831360715</v>
      </c>
      <c r="G8" s="80">
        <f>Keynesian!L$31</f>
        <v>0.83925991525129295</v>
      </c>
      <c r="H8" s="80">
        <f>Keynesian!N$31</f>
        <v>0.798087548525931</v>
      </c>
      <c r="I8" s="80">
        <f>Keynesian!P$31</f>
        <v>0.75400328220603519</v>
      </c>
      <c r="J8" s="80">
        <f>Keynesian!R$31</f>
        <v>0.70730775314249372</v>
      </c>
      <c r="K8" s="80">
        <f>Keynesian!T$31</f>
        <v>0.65857636447215961</v>
      </c>
      <c r="L8" s="80">
        <f>Keynesian!V$31</f>
        <v>0.60899466249029133</v>
      </c>
      <c r="M8" s="80">
        <f>Keynesian!X$31</f>
        <v>0.56172684967355146</v>
      </c>
      <c r="N8" s="80">
        <f>Keynesian!Z$31</f>
        <v>0.52723115341447069</v>
      </c>
      <c r="O8" s="80">
        <f>Keynesian!AB$31</f>
        <v>0.51260743366288231</v>
      </c>
      <c r="P8" s="80">
        <f>Keynesian!AD$31</f>
        <v>0</v>
      </c>
      <c r="Q8" s="80">
        <f>Keynesian!AF$31</f>
        <v>0</v>
      </c>
      <c r="R8" s="80">
        <f>Keynesian!AH$31</f>
        <v>0</v>
      </c>
      <c r="S8" s="80">
        <f>Keynesian!AJ$31</f>
        <v>0</v>
      </c>
      <c r="T8" s="80">
        <f>Keynesian!AL$31</f>
        <v>0</v>
      </c>
      <c r="U8" s="80">
        <f>Keynesian!AN$31</f>
        <v>0</v>
      </c>
      <c r="V8" s="80">
        <f>Keynesian!AP$31</f>
        <v>0</v>
      </c>
      <c r="W8" s="80">
        <f>Keynesian!AR$31</f>
        <v>0</v>
      </c>
      <c r="X8" s="80">
        <f>Keynesian!AT$31</f>
        <v>0</v>
      </c>
      <c r="Y8" s="80">
        <f>Keynesian!AV$31</f>
        <v>0</v>
      </c>
    </row>
    <row r="9" spans="1:27" x14ac:dyDescent="0.2">
      <c r="A9" t="s">
        <v>157</v>
      </c>
      <c r="B9" s="80">
        <f>'Neo-K2'!B$31</f>
        <v>1</v>
      </c>
      <c r="C9" s="80">
        <f>'Neo-K2'!D$31</f>
        <v>0.98145304126183353</v>
      </c>
      <c r="D9" s="80">
        <f>'Neo-K2'!F$31</f>
        <v>0.96092212649832265</v>
      </c>
      <c r="E9" s="80">
        <f>'Neo-K2'!H$31</f>
        <v>0.93812007795385211</v>
      </c>
      <c r="F9" s="80">
        <f>'Neo-K2'!J$31</f>
        <v>0.91273347170440944</v>
      </c>
      <c r="G9" s="80">
        <f>'Neo-K2'!L$31</f>
        <v>0.88443251641861309</v>
      </c>
      <c r="H9" s="80">
        <f>'Neo-K2'!N$31</f>
        <v>0.85289228160143837</v>
      </c>
      <c r="I9" s="80">
        <f>'Neo-K2'!P$31</f>
        <v>0.81782512290382992</v>
      </c>
      <c r="J9" s="80">
        <f>'Neo-K2'!R$31</f>
        <v>0.77902539627170142</v>
      </c>
      <c r="K9" s="80">
        <f>'Neo-K2'!T$31</f>
        <v>0.73642409248146512</v>
      </c>
      <c r="L9" s="80">
        <f>'Neo-K2'!V$31</f>
        <v>0.6901476212752361</v>
      </c>
      <c r="M9" s="80">
        <f>'Neo-K2'!X$31</f>
        <v>0.64056225007252565</v>
      </c>
      <c r="N9" s="80">
        <f>'Neo-K2'!Z$31</f>
        <v>0.58828413802012824</v>
      </c>
      <c r="O9" s="80">
        <f>'Neo-K2'!AB$31</f>
        <v>0.53411127191337038</v>
      </c>
      <c r="P9" s="80">
        <f>'Neo-K2'!AD$31</f>
        <v>0.47881533800671722</v>
      </c>
      <c r="Q9" s="80">
        <f>'Neo-K2'!AF$31</f>
        <v>0.4227191200107458</v>
      </c>
      <c r="R9" s="80">
        <f>'Neo-K2'!AH$31</f>
        <v>0</v>
      </c>
      <c r="S9" s="80">
        <f>'Neo-K2'!AJ$31</f>
        <v>0</v>
      </c>
      <c r="T9" s="80">
        <f>'Neo-K2'!AL$31</f>
        <v>0</v>
      </c>
      <c r="U9" s="80">
        <f>'Neo-K2'!AN$31</f>
        <v>0</v>
      </c>
      <c r="V9" s="80">
        <f>'Neo-K2'!AP$31</f>
        <v>0</v>
      </c>
      <c r="W9" s="80">
        <f>'Neo-K2'!AR$31</f>
        <v>0</v>
      </c>
      <c r="X9" s="80">
        <f>'Neo-K2'!AT$31</f>
        <v>0</v>
      </c>
      <c r="Y9" s="80">
        <f>'Neo-K2'!AV$31</f>
        <v>0</v>
      </c>
    </row>
    <row r="10" spans="1:27" x14ac:dyDescent="0.2">
      <c r="A10" t="s">
        <v>158</v>
      </c>
      <c r="B10" s="80">
        <f>'Neo-K1'!B$31</f>
        <v>1</v>
      </c>
      <c r="C10" s="80">
        <f>'Neo-K1'!D$31</f>
        <v>0.98422643362003559</v>
      </c>
      <c r="D10" s="80">
        <f>'Neo-K1'!F$31</f>
        <v>0.9669037162842643</v>
      </c>
      <c r="E10" s="80">
        <f>'Neo-K1'!H$31</f>
        <v>0.94779725078241983</v>
      </c>
      <c r="F10" s="80">
        <f>'Neo-K1'!J$31</f>
        <v>0.92663093083956549</v>
      </c>
      <c r="G10" s="80">
        <f>'Neo-K1'!L$31</f>
        <v>0.90307970915617986</v>
      </c>
      <c r="H10" s="80">
        <f>'Neo-K1'!N$31</f>
        <v>0.87676411231390505</v>
      </c>
      <c r="I10" s="80">
        <f>'Neo-K1'!P$31</f>
        <v>0.84724594641743234</v>
      </c>
      <c r="J10" s="80">
        <f>'Neo-K1'!R$31</f>
        <v>0.81402884506387485</v>
      </c>
      <c r="K10" s="80">
        <f>'Neo-K1'!T$31</f>
        <v>0.77656777905956642</v>
      </c>
      <c r="L10" s="80">
        <f>'Neo-K1'!V$31</f>
        <v>0.73429222662901761</v>
      </c>
      <c r="M10" s="80">
        <f>'Neo-K1'!X$31</f>
        <v>0.68664860326518939</v>
      </c>
      <c r="N10" s="80">
        <f>'Neo-K1'!Z$31</f>
        <v>0.6331604879660695</v>
      </c>
      <c r="O10" s="80">
        <f>'Neo-K1'!AB$31</f>
        <v>0.57350059140275544</v>
      </c>
      <c r="P10" s="80">
        <f>'Neo-K1'!AD$31</f>
        <v>0.5075546707225479</v>
      </c>
      <c r="Q10" s="80">
        <f>'Neo-K1'!AF$31</f>
        <v>0.43545473349513697</v>
      </c>
      <c r="R10" s="80">
        <f>'Neo-K1'!AH$31</f>
        <v>0.35756587680343804</v>
      </c>
      <c r="S10" s="80">
        <f>'Neo-K1'!AJ$31</f>
        <v>0.27442988190443873</v>
      </c>
      <c r="T10" s="80">
        <f>'Neo-K1'!AL$31</f>
        <v>0.18668719323821048</v>
      </c>
      <c r="U10" s="80">
        <f>'Neo-K1'!AN$31</f>
        <v>9.5000788299574493E-2</v>
      </c>
      <c r="V10" s="80">
        <f>'Neo-K1'!AP$31</f>
        <v>7.6246695628359798E-2</v>
      </c>
      <c r="W10" s="80">
        <f>'Neo-K1'!AR$31</f>
        <v>5.7364976814330643E-2</v>
      </c>
      <c r="X10" s="80">
        <f>'Neo-K1'!AT$31</f>
        <v>3.8360307132659158E-2</v>
      </c>
      <c r="Y10" s="80">
        <f>'Neo-K1'!AV$31</f>
        <v>1.9237187522339733E-2</v>
      </c>
    </row>
    <row r="11" spans="1:27" x14ac:dyDescent="0.2">
      <c r="A11" t="s">
        <v>149</v>
      </c>
      <c r="B11" s="80">
        <f>'NC heteroS'!B$31</f>
        <v>0.99999999999999956</v>
      </c>
      <c r="C11" s="80">
        <f>'NC heteroS'!D$31</f>
        <v>0.99444591610775457</v>
      </c>
      <c r="D11" s="80">
        <f>'NC heteroS'!F$31</f>
        <v>0.98832398885785544</v>
      </c>
      <c r="E11" s="80">
        <f>'NC heteroS'!H$31</f>
        <v>0.98155485786275998</v>
      </c>
      <c r="F11" s="80">
        <f>'NC heteroS'!J$31</f>
        <v>0.97404297476950719</v>
      </c>
      <c r="G11" s="80">
        <f>'NC heteroS'!L$31</f>
        <v>0.96567204220783953</v>
      </c>
      <c r="H11" s="80">
        <f>'NC heteroS'!N$31</f>
        <v>0.95629799805413807</v>
      </c>
      <c r="I11" s="80">
        <f>'NC heteroS'!P$31</f>
        <v>0.94573972610617074</v>
      </c>
      <c r="J11" s="80">
        <f>'NC heteroS'!R$31</f>
        <v>0.93376390646056395</v>
      </c>
      <c r="K11" s="80">
        <f>'NC heteroS'!T$31</f>
        <v>0.92006316660733312</v>
      </c>
      <c r="L11" s="80">
        <f>'NC heteroS'!V$31</f>
        <v>0.90421972939464912</v>
      </c>
      <c r="M11" s="80">
        <f>'NC heteroS'!X$31</f>
        <v>0.88564636602078417</v>
      </c>
      <c r="N11" s="80">
        <f>'NC heteroS'!Z$31</f>
        <v>0.86348466526882439</v>
      </c>
      <c r="O11" s="80">
        <f>'NC heteroS'!AB$31</f>
        <v>0.83642519107603419</v>
      </c>
      <c r="P11" s="80">
        <f>'NC heteroS'!AD$31</f>
        <v>0.80238481689363084</v>
      </c>
      <c r="Q11" s="80">
        <f>'NC heteroS'!AF$31</f>
        <v>0.75794214216834832</v>
      </c>
      <c r="R11" s="80">
        <f>'NC heteroS'!AH$31</f>
        <v>0.69744648234885309</v>
      </c>
      <c r="S11" s="80">
        <f>'NC heteroS'!AJ$31</f>
        <v>0.61173763947405335</v>
      </c>
      <c r="T11" s="80">
        <f>'NC heteroS'!AL$31</f>
        <v>0.48516789846608083</v>
      </c>
      <c r="U11" s="80">
        <f>'NC heteroS'!AN$31</f>
        <v>0.28500358745058368</v>
      </c>
      <c r="V11" s="80">
        <f>'NC heteroS'!AP$31</f>
        <v>0.23086212220297583</v>
      </c>
      <c r="W11" s="80">
        <f>'NC heteroS'!AR$31</f>
        <v>0.17080624919208309</v>
      </c>
      <c r="X11" s="80">
        <f>'NC heteroS'!AT$31</f>
        <v>0.10553097572575747</v>
      </c>
      <c r="Y11" s="80">
        <f>'NC heteroS'!AV$31</f>
        <v>4.0042490619631235E-2</v>
      </c>
    </row>
    <row r="16" spans="1:27" x14ac:dyDescent="0.2">
      <c r="A16" t="str">
        <f>A1</f>
        <v>Utility</v>
      </c>
      <c r="AA16" t="s">
        <v>101</v>
      </c>
    </row>
    <row r="17" spans="1:51" x14ac:dyDescent="0.2">
      <c r="A17" t="str">
        <f t="shared" ref="A17:A26" si="0">A2</f>
        <v>Fossil energy control</v>
      </c>
      <c r="B17" s="94">
        <v>0</v>
      </c>
      <c r="C17" s="94">
        <v>0.05</v>
      </c>
      <c r="D17" s="94">
        <v>0.1</v>
      </c>
      <c r="E17" s="94">
        <v>0.15000000000000002</v>
      </c>
      <c r="F17" s="94">
        <v>0.2</v>
      </c>
      <c r="G17" s="94">
        <v>0.25</v>
      </c>
      <c r="H17" s="94">
        <v>0.3</v>
      </c>
      <c r="I17" s="94">
        <v>0.35</v>
      </c>
      <c r="J17" s="94">
        <v>0.39999999999999997</v>
      </c>
      <c r="K17" s="94">
        <v>0.44999999999999996</v>
      </c>
      <c r="L17" s="94">
        <v>0.49999999999999994</v>
      </c>
      <c r="M17" s="94">
        <v>0.54999999999999993</v>
      </c>
      <c r="N17" s="94">
        <v>0.6</v>
      </c>
      <c r="O17" s="94">
        <v>0.65</v>
      </c>
      <c r="P17" s="94">
        <v>0.70000000000000007</v>
      </c>
      <c r="Q17" s="94">
        <v>0.75000000000000011</v>
      </c>
      <c r="R17" s="94">
        <v>0.80000000000000016</v>
      </c>
      <c r="S17" s="94">
        <v>0.8500000000000002</v>
      </c>
      <c r="T17" s="94">
        <v>0.90000000000000024</v>
      </c>
      <c r="U17" s="94">
        <v>0.95000000000000029</v>
      </c>
      <c r="V17" s="94">
        <v>0.9600000000000003</v>
      </c>
      <c r="W17" s="94">
        <v>0.97000000000000031</v>
      </c>
      <c r="X17" s="94">
        <v>0.98000000000000032</v>
      </c>
      <c r="Y17" s="94">
        <v>0.99000000000000032</v>
      </c>
      <c r="Z17" s="139"/>
      <c r="AA17" t="s">
        <v>96</v>
      </c>
      <c r="AB17" s="94">
        <v>0</v>
      </c>
      <c r="AC17" s="94">
        <v>0.05</v>
      </c>
      <c r="AD17" s="94">
        <v>0.1</v>
      </c>
      <c r="AE17" s="94">
        <v>0.15000000000000002</v>
      </c>
      <c r="AF17" s="94">
        <v>0.2</v>
      </c>
      <c r="AG17" s="94">
        <v>0.25</v>
      </c>
      <c r="AH17" s="94">
        <v>0.3</v>
      </c>
      <c r="AI17" s="94">
        <v>0.35</v>
      </c>
      <c r="AJ17" s="94">
        <v>0.39999999999999997</v>
      </c>
      <c r="AK17" s="94">
        <v>0.44999999999999996</v>
      </c>
      <c r="AL17" s="94">
        <v>0.49999999999999994</v>
      </c>
      <c r="AM17" s="94">
        <v>0.54999999999999993</v>
      </c>
      <c r="AN17" s="94">
        <v>0.6</v>
      </c>
      <c r="AO17" s="94">
        <v>0.65</v>
      </c>
      <c r="AP17" s="94">
        <v>0.70000000000000007</v>
      </c>
      <c r="AQ17" s="94">
        <v>0.75000000000000011</v>
      </c>
      <c r="AR17" s="94">
        <v>0.80000000000000016</v>
      </c>
      <c r="AS17" s="94">
        <v>0.8500000000000002</v>
      </c>
      <c r="AT17" s="94">
        <v>0.90000000000000024</v>
      </c>
      <c r="AU17" s="94">
        <v>0.95000000000000029</v>
      </c>
      <c r="AV17" s="94">
        <v>0.9600000000000003</v>
      </c>
      <c r="AW17" s="94">
        <v>0.97000000000000031</v>
      </c>
      <c r="AX17" s="94">
        <v>0.98000000000000032</v>
      </c>
      <c r="AY17" s="94">
        <v>0.99000000000000032</v>
      </c>
    </row>
    <row r="18" spans="1:51" x14ac:dyDescent="0.2">
      <c r="A18" t="str">
        <f t="shared" si="0"/>
        <v>Neoclassical</v>
      </c>
      <c r="B18" s="80">
        <f>IF(B3&gt;0,100*B3,"")</f>
        <v>100</v>
      </c>
      <c r="C18" s="80">
        <f t="shared" ref="C18:Y18" si="1">IF(C3&gt;0,100*C3,"")</f>
        <v>99.095033723033723</v>
      </c>
      <c r="D18" s="80">
        <f t="shared" si="1"/>
        <v>98.110310743848657</v>
      </c>
      <c r="E18" s="80">
        <f t="shared" si="1"/>
        <v>97.033588277426034</v>
      </c>
      <c r="F18" s="80">
        <f t="shared" si="1"/>
        <v>95.849809950823641</v>
      </c>
      <c r="G18" s="80">
        <f t="shared" si="1"/>
        <v>94.540034916408075</v>
      </c>
      <c r="H18" s="80">
        <f t="shared" si="1"/>
        <v>93.079826568959277</v>
      </c>
      <c r="I18" s="80">
        <f t="shared" si="1"/>
        <v>91.436574288810263</v>
      </c>
      <c r="J18" s="80">
        <f t="shared" si="1"/>
        <v>89.565126879535072</v>
      </c>
      <c r="K18" s="80">
        <f t="shared" si="1"/>
        <v>87.400091485127746</v>
      </c>
      <c r="L18" s="80">
        <f t="shared" si="1"/>
        <v>84.842038453236711</v>
      </c>
      <c r="M18" s="80">
        <f t="shared" si="1"/>
        <v>81.731774938560193</v>
      </c>
      <c r="N18" s="80">
        <f t="shared" si="1"/>
        <v>77.801788859534142</v>
      </c>
      <c r="O18" s="80">
        <f t="shared" si="1"/>
        <v>72.591157229534716</v>
      </c>
      <c r="P18" s="80">
        <f t="shared" si="1"/>
        <v>65.343947414815446</v>
      </c>
      <c r="Q18" s="80">
        <f t="shared" si="1"/>
        <v>55.067569548464256</v>
      </c>
      <c r="R18" s="80">
        <f t="shared" si="1"/>
        <v>41.033575576013448</v>
      </c>
      <c r="S18" s="80">
        <f t="shared" si="1"/>
        <v>23.880067351893207</v>
      </c>
      <c r="T18" s="80">
        <f t="shared" si="1"/>
        <v>8.0002887935313804</v>
      </c>
      <c r="U18" s="80">
        <f t="shared" si="1"/>
        <v>0.67039036535221586</v>
      </c>
      <c r="V18" s="80">
        <f t="shared" si="1"/>
        <v>0.2813083590613491</v>
      </c>
      <c r="W18" s="80">
        <f t="shared" si="1"/>
        <v>9.0349664500697022E-2</v>
      </c>
      <c r="X18" s="80">
        <f t="shared" si="1"/>
        <v>1.7986191791074455E-2</v>
      </c>
      <c r="Y18" s="80">
        <f t="shared" si="1"/>
        <v>1.1273794199909424E-3</v>
      </c>
      <c r="Z18" s="138"/>
      <c r="AA18" t="s">
        <v>89</v>
      </c>
      <c r="AB18" s="138">
        <f t="shared" ref="AB18:AB23" si="2">1-B18</f>
        <v>-99</v>
      </c>
      <c r="AC18" s="138">
        <f t="shared" ref="AC18:AC23" si="3">1-C18</f>
        <v>-98.095033723033723</v>
      </c>
      <c r="AD18" s="138">
        <f t="shared" ref="AD18:AD23" si="4">1-D18</f>
        <v>-97.110310743848657</v>
      </c>
      <c r="AE18" s="138">
        <f t="shared" ref="AE18:AE23" si="5">1-E18</f>
        <v>-96.033588277426034</v>
      </c>
      <c r="AF18" s="138">
        <f t="shared" ref="AF18:AF23" si="6">1-F18</f>
        <v>-94.849809950823641</v>
      </c>
      <c r="AG18" s="138">
        <f t="shared" ref="AG18:AG23" si="7">1-G18</f>
        <v>-93.540034916408075</v>
      </c>
      <c r="AH18" s="138">
        <f t="shared" ref="AH18:AH23" si="8">1-H18</f>
        <v>-92.079826568959277</v>
      </c>
      <c r="AI18" s="138">
        <f t="shared" ref="AI18:AI23" si="9">1-I18</f>
        <v>-90.436574288810263</v>
      </c>
      <c r="AJ18" s="138">
        <f t="shared" ref="AJ18:AJ23" si="10">1-J18</f>
        <v>-88.565126879535072</v>
      </c>
      <c r="AK18" s="138">
        <f t="shared" ref="AK18:AK23" si="11">1-K18</f>
        <v>-86.400091485127746</v>
      </c>
      <c r="AL18" s="138">
        <f t="shared" ref="AL18:AL23" si="12">1-L18</f>
        <v>-83.842038453236711</v>
      </c>
      <c r="AM18" s="138">
        <f t="shared" ref="AM18:AM23" si="13">1-M18</f>
        <v>-80.731774938560193</v>
      </c>
      <c r="AN18" s="138">
        <f t="shared" ref="AN18:AN23" si="14">1-N18</f>
        <v>-76.801788859534142</v>
      </c>
      <c r="AO18" s="138">
        <f t="shared" ref="AO18:AO23" si="15">1-O18</f>
        <v>-71.591157229534716</v>
      </c>
      <c r="AP18" s="138">
        <f t="shared" ref="AP18:AP23" si="16">1-P18</f>
        <v>-64.343947414815446</v>
      </c>
      <c r="AQ18" s="138">
        <f t="shared" ref="AQ18:AQ23" si="17">1-Q18</f>
        <v>-54.067569548464256</v>
      </c>
      <c r="AR18" s="138">
        <f t="shared" ref="AR18:AR23" si="18">1-R18</f>
        <v>-40.033575576013448</v>
      </c>
      <c r="AS18" s="138">
        <f t="shared" ref="AS18:AS23" si="19">1-S18</f>
        <v>-22.880067351893207</v>
      </c>
      <c r="AT18" s="138">
        <f t="shared" ref="AT18:AT23" si="20">1-T18</f>
        <v>-7.0002887935313804</v>
      </c>
      <c r="AU18" s="138">
        <f t="shared" ref="AU18:AU23" si="21">1-U18</f>
        <v>0.32960963464778414</v>
      </c>
      <c r="AV18" s="138">
        <f t="shared" ref="AV18:AV23" si="22">1-V18</f>
        <v>0.7186916409386509</v>
      </c>
      <c r="AW18" s="138">
        <f t="shared" ref="AW18:AW23" si="23">1-W18</f>
        <v>0.90965033549930296</v>
      </c>
      <c r="AX18" s="138">
        <f t="shared" ref="AX18:AX23" si="24">1-X18</f>
        <v>0.98201380820892559</v>
      </c>
      <c r="AY18" s="138">
        <f t="shared" ref="AY18:AY23" si="25">1-Y18</f>
        <v>0.99887262058000903</v>
      </c>
    </row>
    <row r="19" spans="1:51" x14ac:dyDescent="0.2">
      <c r="A19" t="str">
        <f t="shared" si="0"/>
        <v>Kaldorian</v>
      </c>
      <c r="B19" s="80">
        <f t="shared" ref="B19:Y19" si="26">IF(B4&gt;0,100*B4,"")</f>
        <v>100</v>
      </c>
      <c r="C19" s="80">
        <f t="shared" si="26"/>
        <v>99.723940493832927</v>
      </c>
      <c r="D19" s="80">
        <f t="shared" si="26"/>
        <v>99.391436784762092</v>
      </c>
      <c r="E19" s="80">
        <f t="shared" si="26"/>
        <v>98.99394261201931</v>
      </c>
      <c r="F19" s="80">
        <f t="shared" si="26"/>
        <v>98.520984268433992</v>
      </c>
      <c r="G19" s="80">
        <f t="shared" si="26"/>
        <v>97.959453780355858</v>
      </c>
      <c r="H19" s="80">
        <f t="shared" si="26"/>
        <v>97.292675436650526</v>
      </c>
      <c r="I19" s="80">
        <f t="shared" si="26"/>
        <v>96.498788862883274</v>
      </c>
      <c r="J19" s="80">
        <f t="shared" si="26"/>
        <v>95.548211146365034</v>
      </c>
      <c r="K19" s="80">
        <f t="shared" si="26"/>
        <v>94.399418339846733</v>
      </c>
      <c r="L19" s="80">
        <f t="shared" si="26"/>
        <v>92.991409849954252</v>
      </c>
      <c r="M19" s="80">
        <f t="shared" si="26"/>
        <v>91.22995384567119</v>
      </c>
      <c r="N19" s="80">
        <f t="shared" si="26"/>
        <v>88.961529692206511</v>
      </c>
      <c r="O19" s="80">
        <f t="shared" si="26"/>
        <v>85.925942962936148</v>
      </c>
      <c r="P19" s="80">
        <f t="shared" si="26"/>
        <v>81.687511907933754</v>
      </c>
      <c r="Q19" s="80" t="str">
        <f t="shared" si="26"/>
        <v/>
      </c>
      <c r="R19" s="80" t="str">
        <f t="shared" si="26"/>
        <v/>
      </c>
      <c r="S19" s="80" t="str">
        <f t="shared" si="26"/>
        <v/>
      </c>
      <c r="T19" s="80" t="str">
        <f t="shared" si="26"/>
        <v/>
      </c>
      <c r="U19" s="80" t="str">
        <f t="shared" si="26"/>
        <v/>
      </c>
      <c r="V19" s="80" t="str">
        <f t="shared" si="26"/>
        <v/>
      </c>
      <c r="W19" s="80" t="str">
        <f t="shared" si="26"/>
        <v/>
      </c>
      <c r="X19" s="80" t="str">
        <f t="shared" si="26"/>
        <v/>
      </c>
      <c r="Y19" s="80" t="str">
        <f t="shared" si="26"/>
        <v/>
      </c>
      <c r="Z19" s="138"/>
      <c r="AA19" t="s">
        <v>90</v>
      </c>
      <c r="AB19" s="138">
        <f t="shared" si="2"/>
        <v>-99</v>
      </c>
      <c r="AC19" s="138">
        <f t="shared" si="3"/>
        <v>-98.723940493832927</v>
      </c>
      <c r="AD19" s="138">
        <f t="shared" si="4"/>
        <v>-98.391436784762092</v>
      </c>
      <c r="AE19" s="138">
        <f t="shared" si="5"/>
        <v>-97.99394261201931</v>
      </c>
      <c r="AF19" s="138">
        <f t="shared" si="6"/>
        <v>-97.520984268433992</v>
      </c>
      <c r="AG19" s="138">
        <f t="shared" si="7"/>
        <v>-96.959453780355858</v>
      </c>
      <c r="AH19" s="138">
        <f t="shared" si="8"/>
        <v>-96.292675436650526</v>
      </c>
      <c r="AI19" s="138">
        <f t="shared" si="9"/>
        <v>-95.498788862883274</v>
      </c>
      <c r="AJ19" s="138">
        <f t="shared" si="10"/>
        <v>-94.548211146365034</v>
      </c>
      <c r="AK19" s="138">
        <f t="shared" si="11"/>
        <v>-93.399418339846733</v>
      </c>
      <c r="AL19" s="138">
        <f t="shared" si="12"/>
        <v>-91.991409849954252</v>
      </c>
      <c r="AM19" s="138">
        <f t="shared" si="13"/>
        <v>-90.22995384567119</v>
      </c>
      <c r="AN19" s="138">
        <f t="shared" si="14"/>
        <v>-87.961529692206511</v>
      </c>
      <c r="AO19" s="138">
        <f t="shared" si="15"/>
        <v>-84.925942962936148</v>
      </c>
      <c r="AP19" s="138">
        <f t="shared" si="16"/>
        <v>-80.687511907933754</v>
      </c>
      <c r="AQ19" s="138" t="e">
        <f t="shared" si="17"/>
        <v>#VALUE!</v>
      </c>
      <c r="AR19" s="138" t="e">
        <f t="shared" si="18"/>
        <v>#VALUE!</v>
      </c>
      <c r="AS19" s="138" t="e">
        <f t="shared" si="19"/>
        <v>#VALUE!</v>
      </c>
      <c r="AT19" s="138" t="e">
        <f t="shared" si="20"/>
        <v>#VALUE!</v>
      </c>
      <c r="AU19" s="138" t="e">
        <f t="shared" si="21"/>
        <v>#VALUE!</v>
      </c>
      <c r="AV19" s="138" t="e">
        <f t="shared" si="22"/>
        <v>#VALUE!</v>
      </c>
      <c r="AW19" s="138" t="e">
        <f t="shared" si="23"/>
        <v>#VALUE!</v>
      </c>
      <c r="AX19" s="138" t="e">
        <f t="shared" si="24"/>
        <v>#VALUE!</v>
      </c>
      <c r="AY19" s="138" t="e">
        <f t="shared" si="25"/>
        <v>#VALUE!</v>
      </c>
    </row>
    <row r="20" spans="1:51" x14ac:dyDescent="0.2">
      <c r="A20" t="str">
        <f t="shared" si="0"/>
        <v>Johansen</v>
      </c>
      <c r="B20" s="80">
        <f t="shared" ref="B20:Y20" si="27">IF(B5&gt;0,100*B5,"")</f>
        <v>100</v>
      </c>
      <c r="C20" s="80">
        <f t="shared" si="27"/>
        <v>99.728288686722863</v>
      </c>
      <c r="D20" s="80">
        <f t="shared" si="27"/>
        <v>99.400272759990997</v>
      </c>
      <c r="E20" s="80">
        <f t="shared" si="27"/>
        <v>99.007417471509285</v>
      </c>
      <c r="F20" s="80">
        <f t="shared" si="27"/>
        <v>98.539251988136627</v>
      </c>
      <c r="G20" s="80">
        <f t="shared" si="27"/>
        <v>97.982638349876368</v>
      </c>
      <c r="H20" s="80">
        <f t="shared" si="27"/>
        <v>97.320848724349645</v>
      </c>
      <c r="I20" s="80">
        <f t="shared" si="27"/>
        <v>96.53190271567162</v>
      </c>
      <c r="J20" s="80">
        <f t="shared" si="27"/>
        <v>95.586005836370006</v>
      </c>
      <c r="K20" s="80">
        <f t="shared" si="27"/>
        <v>94.441278182441607</v>
      </c>
      <c r="L20" s="80">
        <f t="shared" si="27"/>
        <v>93.036134572419343</v>
      </c>
      <c r="M20" s="80">
        <f t="shared" si="27"/>
        <v>91.275360684296444</v>
      </c>
      <c r="N20" s="80">
        <f t="shared" si="27"/>
        <v>89.003901365195915</v>
      </c>
      <c r="O20" s="80">
        <f t="shared" si="27"/>
        <v>85.95970671473053</v>
      </c>
      <c r="P20" s="80">
        <f t="shared" si="27"/>
        <v>81.707434388034414</v>
      </c>
      <c r="Q20" s="80">
        <f t="shared" si="27"/>
        <v>75.600939288132608</v>
      </c>
      <c r="R20" s="80">
        <f t="shared" si="27"/>
        <v>66.820557797007709</v>
      </c>
      <c r="S20" s="80">
        <f t="shared" si="27"/>
        <v>54.52257362650046</v>
      </c>
      <c r="T20" s="80">
        <f t="shared" si="27"/>
        <v>38.444638979397169</v>
      </c>
      <c r="U20" s="80">
        <f t="shared" si="27"/>
        <v>19.684720232320519</v>
      </c>
      <c r="V20" s="80">
        <f t="shared" si="27"/>
        <v>15.774975694803883</v>
      </c>
      <c r="W20" s="80">
        <f t="shared" si="27"/>
        <v>11.843673533432176</v>
      </c>
      <c r="X20" s="80">
        <f t="shared" si="27"/>
        <v>7.9000550261762363</v>
      </c>
      <c r="Y20" s="80">
        <f t="shared" si="27"/>
        <v>3.9508157272747884</v>
      </c>
      <c r="Z20" s="138"/>
      <c r="AA20" t="s">
        <v>93</v>
      </c>
      <c r="AB20" s="138">
        <f t="shared" si="2"/>
        <v>-99</v>
      </c>
      <c r="AC20" s="138">
        <f t="shared" si="3"/>
        <v>-98.728288686722863</v>
      </c>
      <c r="AD20" s="138">
        <f t="shared" si="4"/>
        <v>-98.400272759990997</v>
      </c>
      <c r="AE20" s="138">
        <f t="shared" si="5"/>
        <v>-98.007417471509285</v>
      </c>
      <c r="AF20" s="138">
        <f t="shared" si="6"/>
        <v>-97.539251988136627</v>
      </c>
      <c r="AG20" s="138">
        <f t="shared" si="7"/>
        <v>-96.982638349876368</v>
      </c>
      <c r="AH20" s="138">
        <f t="shared" si="8"/>
        <v>-96.320848724349645</v>
      </c>
      <c r="AI20" s="138">
        <f t="shared" si="9"/>
        <v>-95.53190271567162</v>
      </c>
      <c r="AJ20" s="138">
        <f t="shared" si="10"/>
        <v>-94.586005836370006</v>
      </c>
      <c r="AK20" s="138">
        <f t="shared" si="11"/>
        <v>-93.441278182441607</v>
      </c>
      <c r="AL20" s="138">
        <f t="shared" si="12"/>
        <v>-92.036134572419343</v>
      </c>
      <c r="AM20" s="138">
        <f t="shared" si="13"/>
        <v>-90.275360684296444</v>
      </c>
      <c r="AN20" s="138">
        <f t="shared" si="14"/>
        <v>-88.003901365195915</v>
      </c>
      <c r="AO20" s="138">
        <f t="shared" si="15"/>
        <v>-84.95970671473053</v>
      </c>
      <c r="AP20" s="138">
        <f t="shared" si="16"/>
        <v>-80.707434388034414</v>
      </c>
      <c r="AQ20" s="138">
        <f t="shared" si="17"/>
        <v>-74.600939288132608</v>
      </c>
      <c r="AR20" s="138">
        <f t="shared" si="18"/>
        <v>-65.820557797007709</v>
      </c>
      <c r="AS20" s="138">
        <f t="shared" si="19"/>
        <v>-53.52257362650046</v>
      </c>
      <c r="AT20" s="138">
        <f t="shared" si="20"/>
        <v>-37.444638979397169</v>
      </c>
      <c r="AU20" s="138"/>
      <c r="AV20" s="138"/>
      <c r="AW20" s="138"/>
      <c r="AX20" s="138"/>
      <c r="AY20" s="138"/>
    </row>
    <row r="21" spans="1:51" x14ac:dyDescent="0.2">
      <c r="A21" t="str">
        <f t="shared" si="0"/>
        <v>Keynes-Kaldor</v>
      </c>
      <c r="B21" s="80">
        <f t="shared" ref="B21:Y21" si="28">IF(B6&gt;0,100*B6,"")</f>
        <v>100</v>
      </c>
      <c r="C21" s="80">
        <f t="shared" si="28"/>
        <v>100.3965246739682</v>
      </c>
      <c r="D21" s="80">
        <f t="shared" si="28"/>
        <v>100.67093330720938</v>
      </c>
      <c r="E21" s="80">
        <f t="shared" si="28"/>
        <v>100.81254038970341</v>
      </c>
      <c r="F21" s="80">
        <f t="shared" si="28"/>
        <v>100.80708235488443</v>
      </c>
      <c r="G21" s="80">
        <f t="shared" si="28"/>
        <v>100.63596231245415</v>
      </c>
      <c r="H21" s="80">
        <f t="shared" si="28"/>
        <v>100.27490910148327</v>
      </c>
      <c r="I21" s="80">
        <f t="shared" si="28"/>
        <v>99.69227807668058</v>
      </c>
      <c r="J21" s="80">
        <f t="shared" si="28"/>
        <v>98.845946648183883</v>
      </c>
      <c r="K21" s="80">
        <f t="shared" si="28"/>
        <v>97.678661000747567</v>
      </c>
      <c r="L21" s="80">
        <f t="shared" si="28"/>
        <v>96.109726577065516</v>
      </c>
      <c r="M21" s="80">
        <f t="shared" si="28"/>
        <v>94.020348425929882</v>
      </c>
      <c r="N21" s="80">
        <f t="shared" si="28"/>
        <v>91.226209650530336</v>
      </c>
      <c r="O21" s="80">
        <f t="shared" si="28"/>
        <v>87.428315534462371</v>
      </c>
      <c r="P21" s="80">
        <f t="shared" si="28"/>
        <v>82.147461114645566</v>
      </c>
      <c r="Q21" s="80" t="str">
        <f t="shared" si="28"/>
        <v/>
      </c>
      <c r="R21" s="80" t="str">
        <f t="shared" si="28"/>
        <v/>
      </c>
      <c r="S21" s="80" t="str">
        <f t="shared" si="28"/>
        <v/>
      </c>
      <c r="T21" s="80" t="str">
        <f t="shared" si="28"/>
        <v/>
      </c>
      <c r="U21" s="80" t="str">
        <f t="shared" si="28"/>
        <v/>
      </c>
      <c r="V21" s="80" t="str">
        <f t="shared" si="28"/>
        <v/>
      </c>
      <c r="W21" s="80" t="str">
        <f t="shared" si="28"/>
        <v/>
      </c>
      <c r="X21" s="80" t="str">
        <f t="shared" si="28"/>
        <v/>
      </c>
      <c r="Y21" s="80" t="str">
        <f t="shared" si="28"/>
        <v/>
      </c>
      <c r="Z21" s="138"/>
      <c r="AA21" t="s">
        <v>95</v>
      </c>
      <c r="AB21" s="138">
        <f t="shared" si="2"/>
        <v>-99</v>
      </c>
      <c r="AC21" s="138">
        <f t="shared" si="3"/>
        <v>-99.396524673968202</v>
      </c>
      <c r="AD21" s="138">
        <f t="shared" si="4"/>
        <v>-99.670933307209381</v>
      </c>
      <c r="AE21" s="138">
        <f t="shared" si="5"/>
        <v>-99.812540389703415</v>
      </c>
      <c r="AF21" s="138">
        <f t="shared" si="6"/>
        <v>-99.807082354884429</v>
      </c>
      <c r="AG21" s="138">
        <f t="shared" si="7"/>
        <v>-99.635962312454154</v>
      </c>
      <c r="AH21" s="138">
        <f t="shared" si="8"/>
        <v>-99.274909101483274</v>
      </c>
      <c r="AI21" s="138">
        <f t="shared" si="9"/>
        <v>-98.69227807668058</v>
      </c>
      <c r="AJ21" s="138">
        <f t="shared" si="10"/>
        <v>-97.845946648183883</v>
      </c>
      <c r="AK21" s="138">
        <f t="shared" si="11"/>
        <v>-96.678661000747567</v>
      </c>
      <c r="AL21" s="138">
        <f t="shared" si="12"/>
        <v>-95.109726577065516</v>
      </c>
      <c r="AM21" s="138">
        <f t="shared" si="13"/>
        <v>-93.020348425929882</v>
      </c>
      <c r="AN21" s="138">
        <f t="shared" si="14"/>
        <v>-90.226209650530336</v>
      </c>
      <c r="AO21" s="138">
        <f t="shared" si="15"/>
        <v>-86.428315534462371</v>
      </c>
      <c r="AP21" s="138">
        <f t="shared" si="16"/>
        <v>-81.147461114645566</v>
      </c>
      <c r="AQ21" s="138"/>
      <c r="AR21" s="138"/>
      <c r="AS21" s="138"/>
      <c r="AT21" s="138"/>
      <c r="AU21" s="138"/>
      <c r="AV21" s="138"/>
      <c r="AW21" s="138"/>
      <c r="AX21" s="138"/>
      <c r="AY21" s="138"/>
    </row>
    <row r="22" spans="1:51" x14ac:dyDescent="0.2">
      <c r="A22" t="str">
        <f t="shared" si="0"/>
        <v>Keynes-Marshall</v>
      </c>
      <c r="B22" s="80">
        <f t="shared" ref="B22:Y22" si="29">IF(B7&gt;0,100*B7,"")</f>
        <v>100</v>
      </c>
      <c r="C22" s="80">
        <f t="shared" si="29"/>
        <v>101.64333889004658</v>
      </c>
      <c r="D22" s="80">
        <f t="shared" si="29"/>
        <v>103.28649531634537</v>
      </c>
      <c r="E22" s="80">
        <f t="shared" si="29"/>
        <v>104.93512048708131</v>
      </c>
      <c r="F22" s="80">
        <f t="shared" si="29"/>
        <v>106.59832818976842</v>
      </c>
      <c r="G22" s="80">
        <f t="shared" si="29"/>
        <v>108.29272865426618</v>
      </c>
      <c r="H22" s="80">
        <f t="shared" si="29"/>
        <v>110.05039494380469</v>
      </c>
      <c r="I22" s="80">
        <f t="shared" si="29"/>
        <v>111.93675031679922</v>
      </c>
      <c r="J22" s="80">
        <f t="shared" si="29"/>
        <v>114.09504337059968</v>
      </c>
      <c r="K22" s="80">
        <f t="shared" si="29"/>
        <v>116.87941081920104</v>
      </c>
      <c r="L22" s="80" t="str">
        <f t="shared" si="29"/>
        <v/>
      </c>
      <c r="M22" s="80" t="str">
        <f t="shared" si="29"/>
        <v/>
      </c>
      <c r="N22" s="80" t="str">
        <f t="shared" si="29"/>
        <v/>
      </c>
      <c r="O22" s="80" t="str">
        <f t="shared" si="29"/>
        <v/>
      </c>
      <c r="P22" s="80" t="str">
        <f t="shared" si="29"/>
        <v/>
      </c>
      <c r="Q22" s="80" t="str">
        <f t="shared" si="29"/>
        <v/>
      </c>
      <c r="R22" s="80" t="str">
        <f t="shared" si="29"/>
        <v/>
      </c>
      <c r="S22" s="80" t="str">
        <f t="shared" si="29"/>
        <v/>
      </c>
      <c r="T22" s="80" t="str">
        <f t="shared" si="29"/>
        <v/>
      </c>
      <c r="U22" s="80" t="str">
        <f t="shared" si="29"/>
        <v/>
      </c>
      <c r="V22" s="80" t="str">
        <f t="shared" si="29"/>
        <v/>
      </c>
      <c r="W22" s="80" t="str">
        <f t="shared" si="29"/>
        <v/>
      </c>
      <c r="X22" s="80" t="str">
        <f t="shared" si="29"/>
        <v/>
      </c>
      <c r="Y22" s="80" t="str">
        <f t="shared" si="29"/>
        <v/>
      </c>
      <c r="Z22" s="138"/>
      <c r="AA22" t="s">
        <v>92</v>
      </c>
      <c r="AB22" s="138">
        <f t="shared" si="2"/>
        <v>-99</v>
      </c>
      <c r="AC22" s="138">
        <f t="shared" si="3"/>
        <v>-100.64333889004658</v>
      </c>
      <c r="AD22" s="138">
        <f t="shared" si="4"/>
        <v>-102.28649531634537</v>
      </c>
      <c r="AE22" s="138">
        <f t="shared" si="5"/>
        <v>-103.93512048708131</v>
      </c>
      <c r="AF22" s="138">
        <f t="shared" si="6"/>
        <v>-105.59832818976842</v>
      </c>
      <c r="AG22" s="138">
        <f t="shared" si="7"/>
        <v>-107.29272865426618</v>
      </c>
      <c r="AH22" s="138">
        <f t="shared" si="8"/>
        <v>-109.05039494380469</v>
      </c>
      <c r="AI22" s="138">
        <f t="shared" si="9"/>
        <v>-110.93675031679922</v>
      </c>
      <c r="AJ22" s="138">
        <f t="shared" si="10"/>
        <v>-113.09504337059968</v>
      </c>
      <c r="AK22" s="138">
        <f t="shared" si="11"/>
        <v>-115.87941081920104</v>
      </c>
      <c r="AL22" s="138" t="e">
        <f t="shared" si="12"/>
        <v>#VALUE!</v>
      </c>
      <c r="AM22" s="138" t="e">
        <f t="shared" si="13"/>
        <v>#VALUE!</v>
      </c>
      <c r="AN22" s="138" t="e">
        <f t="shared" si="14"/>
        <v>#VALUE!</v>
      </c>
      <c r="AO22" s="138" t="e">
        <f t="shared" si="15"/>
        <v>#VALUE!</v>
      </c>
      <c r="AP22" s="138" t="e">
        <f t="shared" si="16"/>
        <v>#VALUE!</v>
      </c>
      <c r="AQ22" s="138" t="e">
        <f t="shared" si="17"/>
        <v>#VALUE!</v>
      </c>
      <c r="AR22" s="138" t="e">
        <f t="shared" si="18"/>
        <v>#VALUE!</v>
      </c>
      <c r="AS22" s="138" t="e">
        <f t="shared" si="19"/>
        <v>#VALUE!</v>
      </c>
      <c r="AT22" s="138" t="e">
        <f t="shared" si="20"/>
        <v>#VALUE!</v>
      </c>
      <c r="AU22" s="138"/>
      <c r="AV22" s="138"/>
      <c r="AW22" s="138"/>
      <c r="AX22" s="138"/>
      <c r="AY22" s="138"/>
    </row>
    <row r="23" spans="1:51" x14ac:dyDescent="0.2">
      <c r="A23" t="str">
        <f t="shared" si="0"/>
        <v>Keynesian</v>
      </c>
      <c r="B23" s="80">
        <f t="shared" ref="B23:Y23" si="30">IF(B8&gt;0,100*B8,"")</f>
        <v>100</v>
      </c>
      <c r="C23" s="80">
        <f>IF(C8&gt;0,100*C8,"")</f>
        <v>97.360119850578641</v>
      </c>
      <c r="D23" s="80">
        <f t="shared" si="30"/>
        <v>94.446482539302451</v>
      </c>
      <c r="E23" s="80">
        <f t="shared" si="30"/>
        <v>91.243146296306421</v>
      </c>
      <c r="F23" s="80">
        <f t="shared" si="30"/>
        <v>87.738260831360719</v>
      </c>
      <c r="G23" s="80">
        <f t="shared" si="30"/>
        <v>83.925991525129291</v>
      </c>
      <c r="H23" s="80">
        <f t="shared" si="30"/>
        <v>79.808754852593097</v>
      </c>
      <c r="I23" s="80">
        <f t="shared" si="30"/>
        <v>75.400328220603512</v>
      </c>
      <c r="J23" s="80">
        <f t="shared" si="30"/>
        <v>70.730775314249371</v>
      </c>
      <c r="K23" s="80">
        <f t="shared" si="30"/>
        <v>65.857636447215967</v>
      </c>
      <c r="L23" s="80">
        <f t="shared" si="30"/>
        <v>60.899466249029132</v>
      </c>
      <c r="M23" s="80">
        <f t="shared" si="30"/>
        <v>56.172684967355146</v>
      </c>
      <c r="N23" s="80">
        <f t="shared" si="30"/>
        <v>52.72311534144707</v>
      </c>
      <c r="O23" s="80">
        <f t="shared" si="30"/>
        <v>51.260743366288231</v>
      </c>
      <c r="P23" s="80" t="str">
        <f t="shared" si="30"/>
        <v/>
      </c>
      <c r="Q23" s="80" t="str">
        <f t="shared" si="30"/>
        <v/>
      </c>
      <c r="R23" s="80" t="str">
        <f t="shared" si="30"/>
        <v/>
      </c>
      <c r="S23" s="80" t="str">
        <f t="shared" si="30"/>
        <v/>
      </c>
      <c r="T23" s="80" t="str">
        <f t="shared" si="30"/>
        <v/>
      </c>
      <c r="U23" s="80" t="str">
        <f t="shared" si="30"/>
        <v/>
      </c>
      <c r="V23" s="80" t="str">
        <f t="shared" si="30"/>
        <v/>
      </c>
      <c r="W23" s="80" t="str">
        <f t="shared" si="30"/>
        <v/>
      </c>
      <c r="X23" s="80" t="str">
        <f t="shared" si="30"/>
        <v/>
      </c>
      <c r="Y23" s="80" t="str">
        <f t="shared" si="30"/>
        <v/>
      </c>
      <c r="Z23" s="138"/>
      <c r="AA23" t="s">
        <v>94</v>
      </c>
      <c r="AB23" s="138">
        <f t="shared" si="2"/>
        <v>-99</v>
      </c>
      <c r="AC23" s="138">
        <f t="shared" si="3"/>
        <v>-96.360119850578641</v>
      </c>
      <c r="AD23" s="138">
        <f t="shared" si="4"/>
        <v>-93.446482539302451</v>
      </c>
      <c r="AE23" s="138">
        <f t="shared" si="5"/>
        <v>-90.243146296306421</v>
      </c>
      <c r="AF23" s="138">
        <f t="shared" si="6"/>
        <v>-86.738260831360719</v>
      </c>
      <c r="AG23" s="138">
        <f t="shared" si="7"/>
        <v>-82.925991525129291</v>
      </c>
      <c r="AH23" s="138">
        <f t="shared" si="8"/>
        <v>-78.808754852593097</v>
      </c>
      <c r="AI23" s="138">
        <f t="shared" si="9"/>
        <v>-74.400328220603512</v>
      </c>
      <c r="AJ23" s="138">
        <f t="shared" si="10"/>
        <v>-69.730775314249371</v>
      </c>
      <c r="AK23" s="138">
        <f t="shared" si="11"/>
        <v>-64.857636447215967</v>
      </c>
      <c r="AL23" s="138">
        <f t="shared" si="12"/>
        <v>-59.899466249029132</v>
      </c>
      <c r="AM23" s="138">
        <f t="shared" si="13"/>
        <v>-55.172684967355146</v>
      </c>
      <c r="AN23" s="138">
        <f t="shared" si="14"/>
        <v>-51.72311534144707</v>
      </c>
      <c r="AO23" s="138">
        <f t="shared" si="15"/>
        <v>-50.260743366288231</v>
      </c>
      <c r="AP23" s="138" t="e">
        <f t="shared" si="16"/>
        <v>#VALUE!</v>
      </c>
      <c r="AQ23" s="138" t="e">
        <f t="shared" si="17"/>
        <v>#VALUE!</v>
      </c>
      <c r="AR23" s="138" t="e">
        <f t="shared" si="18"/>
        <v>#VALUE!</v>
      </c>
      <c r="AS23" s="138" t="e">
        <f t="shared" si="19"/>
        <v>#VALUE!</v>
      </c>
      <c r="AT23" s="138" t="e">
        <f t="shared" si="20"/>
        <v>#VALUE!</v>
      </c>
      <c r="AU23" s="138" t="e">
        <f t="shared" si="21"/>
        <v>#VALUE!</v>
      </c>
      <c r="AV23" s="138" t="e">
        <f t="shared" si="22"/>
        <v>#VALUE!</v>
      </c>
      <c r="AW23" s="138" t="e">
        <f t="shared" si="23"/>
        <v>#VALUE!</v>
      </c>
      <c r="AX23" s="138" t="e">
        <f t="shared" si="24"/>
        <v>#VALUE!</v>
      </c>
      <c r="AY23" s="138" t="e">
        <f t="shared" si="25"/>
        <v>#VALUE!</v>
      </c>
    </row>
    <row r="24" spans="1:51" x14ac:dyDescent="0.2">
      <c r="A24" t="str">
        <f t="shared" si="0"/>
        <v>Neo-K2</v>
      </c>
      <c r="B24" s="80">
        <f t="shared" ref="B24:Y24" si="31">IF(B9&gt;0,100*B9,"")</f>
        <v>100</v>
      </c>
      <c r="C24" s="80">
        <f t="shared" si="31"/>
        <v>98.145304126183348</v>
      </c>
      <c r="D24" s="80">
        <f t="shared" si="31"/>
        <v>96.092212649832263</v>
      </c>
      <c r="E24" s="80">
        <f t="shared" si="31"/>
        <v>93.812007795385213</v>
      </c>
      <c r="F24" s="80">
        <f t="shared" si="31"/>
        <v>91.273347170440942</v>
      </c>
      <c r="G24" s="80">
        <f t="shared" si="31"/>
        <v>88.443251641861309</v>
      </c>
      <c r="H24" s="80">
        <f t="shared" si="31"/>
        <v>85.289228160143836</v>
      </c>
      <c r="I24" s="80">
        <f t="shared" si="31"/>
        <v>81.782512290382996</v>
      </c>
      <c r="J24" s="80">
        <f t="shared" si="31"/>
        <v>77.902539627170142</v>
      </c>
      <c r="K24" s="80">
        <f t="shared" si="31"/>
        <v>73.642409248146507</v>
      </c>
      <c r="L24" s="80">
        <f t="shared" si="31"/>
        <v>69.014762127523611</v>
      </c>
      <c r="M24" s="80">
        <f t="shared" si="31"/>
        <v>64.056225007252564</v>
      </c>
      <c r="N24" s="80">
        <f t="shared" si="31"/>
        <v>58.828413802012825</v>
      </c>
      <c r="O24" s="80">
        <f t="shared" si="31"/>
        <v>53.411127191337037</v>
      </c>
      <c r="P24" s="80">
        <f t="shared" si="31"/>
        <v>47.881533800671718</v>
      </c>
      <c r="Q24" s="80">
        <f t="shared" si="31"/>
        <v>42.271912001074583</v>
      </c>
      <c r="R24" s="80" t="str">
        <f t="shared" si="31"/>
        <v/>
      </c>
      <c r="S24" s="80" t="str">
        <f t="shared" si="31"/>
        <v/>
      </c>
      <c r="T24" s="80" t="str">
        <f t="shared" si="31"/>
        <v/>
      </c>
      <c r="U24" s="80" t="str">
        <f t="shared" si="31"/>
        <v/>
      </c>
      <c r="V24" s="80" t="str">
        <f t="shared" si="31"/>
        <v/>
      </c>
      <c r="W24" s="80" t="str">
        <f t="shared" si="31"/>
        <v/>
      </c>
      <c r="X24" s="80" t="str">
        <f t="shared" si="31"/>
        <v/>
      </c>
      <c r="Y24" s="80" t="str">
        <f t="shared" si="31"/>
        <v/>
      </c>
      <c r="AA24" t="s">
        <v>102</v>
      </c>
      <c r="AB24">
        <v>0</v>
      </c>
      <c r="AC24">
        <v>1.6299677882760211E-2</v>
      </c>
      <c r="AD24">
        <v>3.7869151019755298E-2</v>
      </c>
      <c r="AE24">
        <v>6.0966084571312473E-2</v>
      </c>
      <c r="AF24">
        <v>8.499815731946625E-2</v>
      </c>
      <c r="AG24">
        <v>0.10976953759369823</v>
      </c>
      <c r="AH24">
        <v>0.13521909503535134</v>
      </c>
      <c r="AI24">
        <v>0.16135547761226787</v>
      </c>
      <c r="AJ24">
        <v>0.18823868110250042</v>
      </c>
      <c r="AK24">
        <v>0.21597965134053443</v>
      </c>
      <c r="AL24">
        <v>0.24475175720346387</v>
      </c>
      <c r="AM24">
        <v>0.27481537666990441</v>
      </c>
      <c r="AN24">
        <v>0.30656214429555484</v>
      </c>
      <c r="AO24">
        <v>0.34059249330608121</v>
      </c>
      <c r="AP24">
        <v>0.37785092506929718</v>
      </c>
      <c r="AQ24">
        <v>0.41985390206290241</v>
      </c>
      <c r="AR24">
        <v>0.46901959072982924</v>
      </c>
      <c r="AS24">
        <v>0.52893013133661948</v>
      </c>
      <c r="AT24">
        <v>0.60417530096699301</v>
      </c>
      <c r="AU24">
        <v>0.70136796375530863</v>
      </c>
      <c r="AV24">
        <v>0.72460834466770874</v>
      </c>
      <c r="AW24">
        <v>0.74962344681711368</v>
      </c>
      <c r="AX24">
        <v>0.77679170274978271</v>
      </c>
      <c r="AY24">
        <v>0.80664155575269203</v>
      </c>
    </row>
    <row r="25" spans="1:51" x14ac:dyDescent="0.2">
      <c r="A25" t="str">
        <f t="shared" si="0"/>
        <v>Neo-K1</v>
      </c>
      <c r="B25" s="80">
        <f t="shared" ref="B25:Y25" si="32">IF(B10&gt;0,100*B10,"")</f>
        <v>100</v>
      </c>
      <c r="C25" s="80">
        <f t="shared" si="32"/>
        <v>98.422643362003555</v>
      </c>
      <c r="D25" s="80">
        <f t="shared" si="32"/>
        <v>96.690371628426433</v>
      </c>
      <c r="E25" s="80">
        <f t="shared" si="32"/>
        <v>94.779725078241981</v>
      </c>
      <c r="F25" s="80">
        <f t="shared" si="32"/>
        <v>92.663093083956554</v>
      </c>
      <c r="G25" s="80">
        <f t="shared" si="32"/>
        <v>90.307970915617986</v>
      </c>
      <c r="H25" s="80">
        <f t="shared" si="32"/>
        <v>87.676411231390503</v>
      </c>
      <c r="I25" s="80">
        <f t="shared" si="32"/>
        <v>84.724594641743238</v>
      </c>
      <c r="J25" s="80">
        <f t="shared" si="32"/>
        <v>81.40288450638748</v>
      </c>
      <c r="K25" s="80">
        <f t="shared" si="32"/>
        <v>77.656777905956645</v>
      </c>
      <c r="L25" s="80">
        <f t="shared" si="32"/>
        <v>73.429222662901765</v>
      </c>
      <c r="M25" s="80">
        <f t="shared" si="32"/>
        <v>68.664860326518934</v>
      </c>
      <c r="N25" s="80">
        <f t="shared" si="32"/>
        <v>63.31604879660695</v>
      </c>
      <c r="O25" s="80">
        <f t="shared" si="32"/>
        <v>57.350059140275548</v>
      </c>
      <c r="P25" s="80">
        <f t="shared" si="32"/>
        <v>50.755467072254788</v>
      </c>
      <c r="Q25" s="80">
        <f t="shared" si="32"/>
        <v>43.545473349513699</v>
      </c>
      <c r="R25" s="80">
        <f t="shared" si="32"/>
        <v>35.756587680343806</v>
      </c>
      <c r="S25" s="80">
        <f t="shared" si="32"/>
        <v>27.442988190443874</v>
      </c>
      <c r="T25" s="80">
        <f t="shared" si="32"/>
        <v>18.668719323821048</v>
      </c>
      <c r="U25" s="80">
        <f t="shared" si="32"/>
        <v>9.5000788299574488</v>
      </c>
      <c r="V25" s="80">
        <f t="shared" si="32"/>
        <v>7.6246695628359795</v>
      </c>
      <c r="W25" s="80">
        <f t="shared" si="32"/>
        <v>5.7364976814330646</v>
      </c>
      <c r="X25" s="80">
        <f t="shared" si="32"/>
        <v>3.8360307132659157</v>
      </c>
      <c r="Y25" s="80">
        <f t="shared" si="32"/>
        <v>1.9237187522339734</v>
      </c>
    </row>
    <row r="26" spans="1:51" x14ac:dyDescent="0.2">
      <c r="A26" t="str">
        <f t="shared" si="0"/>
        <v>Neoclassical - hetero s</v>
      </c>
      <c r="B26" s="80">
        <f t="shared" ref="B26:Y26" si="33">IF(B11&gt;0,100*B11,"")</f>
        <v>99.999999999999957</v>
      </c>
      <c r="C26" s="80">
        <f t="shared" si="33"/>
        <v>99.444591610775461</v>
      </c>
      <c r="D26" s="80">
        <f t="shared" si="33"/>
        <v>98.832398885785551</v>
      </c>
      <c r="E26" s="80">
        <f t="shared" si="33"/>
        <v>98.155485786276003</v>
      </c>
      <c r="F26" s="80">
        <f t="shared" si="33"/>
        <v>97.404297476950717</v>
      </c>
      <c r="G26" s="80">
        <f t="shared" si="33"/>
        <v>96.56720422078395</v>
      </c>
      <c r="H26" s="80">
        <f t="shared" si="33"/>
        <v>95.629799805413811</v>
      </c>
      <c r="I26" s="80">
        <f t="shared" si="33"/>
        <v>94.573972610617076</v>
      </c>
      <c r="J26" s="80">
        <f t="shared" si="33"/>
        <v>93.376390646056393</v>
      </c>
      <c r="K26" s="80">
        <f t="shared" si="33"/>
        <v>92.006316660733319</v>
      </c>
      <c r="L26" s="80">
        <f t="shared" si="33"/>
        <v>90.421972939464908</v>
      </c>
      <c r="M26" s="80">
        <f t="shared" si="33"/>
        <v>88.564636602078423</v>
      </c>
      <c r="N26" s="80">
        <f t="shared" si="33"/>
        <v>86.348466526882433</v>
      </c>
      <c r="O26" s="80">
        <f t="shared" si="33"/>
        <v>83.64251910760342</v>
      </c>
      <c r="P26" s="80">
        <f t="shared" si="33"/>
        <v>80.238481689363084</v>
      </c>
      <c r="Q26" s="80">
        <f t="shared" si="33"/>
        <v>75.794214216834831</v>
      </c>
      <c r="R26" s="80">
        <f t="shared" si="33"/>
        <v>69.744648234885304</v>
      </c>
      <c r="S26" s="80">
        <f t="shared" si="33"/>
        <v>61.173763947405334</v>
      </c>
      <c r="T26" s="80">
        <f t="shared" si="33"/>
        <v>48.516789846608084</v>
      </c>
      <c r="U26" s="80">
        <f t="shared" si="33"/>
        <v>28.500358745058367</v>
      </c>
      <c r="V26" s="80">
        <f t="shared" si="33"/>
        <v>23.086212220297583</v>
      </c>
      <c r="W26" s="80">
        <f t="shared" si="33"/>
        <v>17.080624919208308</v>
      </c>
      <c r="X26" s="80">
        <f t="shared" si="33"/>
        <v>10.553097572575746</v>
      </c>
      <c r="Y26" s="80">
        <f t="shared" si="33"/>
        <v>4.0042490619631232</v>
      </c>
      <c r="AA26" t="s">
        <v>105</v>
      </c>
      <c r="AB26">
        <v>0</v>
      </c>
      <c r="AC26">
        <v>2.4455413117095204E-2</v>
      </c>
      <c r="AD26">
        <v>4.9582452063072879E-2</v>
      </c>
      <c r="AE26">
        <v>7.5422482830450832E-2</v>
      </c>
      <c r="AF26">
        <v>0.10203604829027713</v>
      </c>
      <c r="AG26">
        <v>0.12950646138692268</v>
      </c>
      <c r="AH26">
        <v>0.15794577642046292</v>
      </c>
      <c r="AI26">
        <v>0.18750396612833087</v>
      </c>
      <c r="AJ26">
        <v>0.2183827517703063</v>
      </c>
      <c r="AK26">
        <v>0.25085644053670408</v>
      </c>
      <c r="AL26">
        <v>0.28530344275689024</v>
      </c>
      <c r="AM26">
        <v>0.32225376978528442</v>
      </c>
      <c r="AN26">
        <v>0.36245851783105143</v>
      </c>
      <c r="AO26">
        <v>0.4069814404263582</v>
      </c>
      <c r="AP26">
        <v>0.45728031153994497</v>
      </c>
      <c r="AQ26">
        <v>0.51513886122861874</v>
      </c>
      <c r="AR26">
        <v>0.58212085367954358</v>
      </c>
      <c r="AS26">
        <v>0.65839323187120646</v>
      </c>
      <c r="AT26">
        <v>0.74204710643489147</v>
      </c>
      <c r="AU26">
        <v>0.83020084307854525</v>
      </c>
      <c r="AV26">
        <v>0.84813253492592611</v>
      </c>
      <c r="AW26">
        <v>0.86611673995979377</v>
      </c>
      <c r="AX26">
        <v>0.88413247851147436</v>
      </c>
      <c r="AY26">
        <v>0.90215898234149516</v>
      </c>
    </row>
    <row r="27" spans="1:51" x14ac:dyDescent="0.2">
      <c r="AA27" t="s">
        <v>103</v>
      </c>
      <c r="AB27">
        <v>0</v>
      </c>
      <c r="AC27">
        <v>2.284641025922507E-2</v>
      </c>
      <c r="AD27">
        <v>4.6096151342895464E-2</v>
      </c>
      <c r="AE27">
        <v>6.9797580187829333E-2</v>
      </c>
      <c r="AF27">
        <v>9.4009847511114075E-2</v>
      </c>
      <c r="AG27">
        <v>0.1188063140133786</v>
      </c>
      <c r="AH27">
        <v>0.14427936201795311</v>
      </c>
      <c r="AI27">
        <v>0.17054730446263533</v>
      </c>
      <c r="AJ27">
        <v>0.19776451064706457</v>
      </c>
      <c r="AK27">
        <v>0.22613656357673728</v>
      </c>
      <c r="AL27">
        <v>0.25594342100818523</v>
      </c>
      <c r="AM27">
        <v>0.28757542168400196</v>
      </c>
      <c r="AN27">
        <v>0.3215896859431584</v>
      </c>
      <c r="AO27">
        <v>0.35879694978192112</v>
      </c>
      <c r="AP27">
        <v>0.40038451916212203</v>
      </c>
      <c r="AQ27">
        <v>0.44804396125478219</v>
      </c>
      <c r="AR27">
        <v>0.50394208723291989</v>
      </c>
      <c r="AS27">
        <v>0.57019341710137716</v>
      </c>
      <c r="AT27">
        <v>0.64791310762469279</v>
      </c>
      <c r="AU27">
        <v>0.73607758799831213</v>
      </c>
      <c r="AV27">
        <v>0.75329954326250947</v>
      </c>
    </row>
    <row r="28" spans="1:51" x14ac:dyDescent="0.2">
      <c r="AA28" t="s">
        <v>104</v>
      </c>
      <c r="AB28">
        <v>0</v>
      </c>
      <c r="AC28">
        <v>2.4152364158611328E-2</v>
      </c>
      <c r="AD28">
        <v>4.85126474241655E-2</v>
      </c>
      <c r="AE28">
        <v>7.3209407628021639E-2</v>
      </c>
      <c r="AF28">
        <v>9.8337130088727132E-2</v>
      </c>
      <c r="AG28">
        <v>0.12398941248779904</v>
      </c>
      <c r="AH28">
        <v>0.15027240513403839</v>
      </c>
      <c r="AI28">
        <v>0.17731516126235403</v>
      </c>
      <c r="AJ28">
        <v>0.20528143081161898</v>
      </c>
      <c r="AK28">
        <v>0.23438569374526197</v>
      </c>
      <c r="AL28">
        <v>0.26491661965899282</v>
      </c>
      <c r="AM28">
        <v>0.29727248068229861</v>
      </c>
      <c r="AN28">
        <v>0.33201482393820869</v>
      </c>
      <c r="AO28">
        <v>0.36994686756145156</v>
      </c>
      <c r="AP28">
        <v>0.41221276760680436</v>
      </c>
      <c r="AQ28">
        <v>0.46036414188478314</v>
      </c>
      <c r="AR28">
        <v>0.51619778637445179</v>
      </c>
      <c r="AS28">
        <v>0.58100448767305801</v>
      </c>
      <c r="AT28">
        <v>0.65382205431764795</v>
      </c>
    </row>
    <row r="32" spans="1:51" x14ac:dyDescent="0.2">
      <c r="A32" t="s">
        <v>99</v>
      </c>
    </row>
    <row r="33" spans="1:26" x14ac:dyDescent="0.2">
      <c r="A33" t="s">
        <v>147</v>
      </c>
      <c r="B33" s="94">
        <v>0</v>
      </c>
      <c r="C33" s="94">
        <v>0.05</v>
      </c>
      <c r="D33" s="94">
        <v>0.1</v>
      </c>
      <c r="E33" s="94">
        <v>0.15000000000000002</v>
      </c>
      <c r="F33" s="94">
        <v>0.2</v>
      </c>
      <c r="G33" s="94">
        <v>0.25</v>
      </c>
      <c r="H33" s="94">
        <v>0.3</v>
      </c>
      <c r="I33" s="94">
        <v>0.35</v>
      </c>
      <c r="J33" s="94">
        <v>0.39999999999999997</v>
      </c>
      <c r="K33" s="94">
        <v>0.44999999999999996</v>
      </c>
      <c r="L33" s="94">
        <v>0.49999999999999994</v>
      </c>
      <c r="M33" s="94">
        <v>0.54999999999999993</v>
      </c>
      <c r="N33" s="94">
        <v>0.6</v>
      </c>
      <c r="O33" s="94">
        <v>0.65</v>
      </c>
      <c r="P33" s="94">
        <v>0.70000000000000007</v>
      </c>
      <c r="Q33" s="94">
        <v>0.75000000000000011</v>
      </c>
      <c r="R33" s="94">
        <v>0.80000000000000016</v>
      </c>
      <c r="S33" s="94">
        <v>0.8500000000000002</v>
      </c>
      <c r="T33" s="94">
        <v>0.90000000000000024</v>
      </c>
      <c r="U33" s="94">
        <v>0.95000000000000029</v>
      </c>
      <c r="V33" s="94">
        <v>0.9600000000000003</v>
      </c>
      <c r="W33" s="94">
        <v>0.97000000000000031</v>
      </c>
      <c r="X33" s="94">
        <v>0.98000000000000032</v>
      </c>
      <c r="Y33" s="94">
        <v>0.99000000000000032</v>
      </c>
      <c r="Z33" s="139"/>
    </row>
    <row r="34" spans="1:26" x14ac:dyDescent="0.2">
      <c r="A34" t="str">
        <f>A3</f>
        <v>Neoclassical</v>
      </c>
      <c r="B34" s="80">
        <f>NeoClassical!B2</f>
        <v>5.7716594496607888E-3</v>
      </c>
      <c r="C34" s="80">
        <f>NeoClassical!D2</f>
        <v>6.7812480990908711E-2</v>
      </c>
      <c r="D34" s="80">
        <f>NeoClassical!F2</f>
        <v>0.13647328277484713</v>
      </c>
      <c r="E34" s="80">
        <f>NeoClassical!H2</f>
        <v>0.21290927954444849</v>
      </c>
      <c r="F34" s="80">
        <f>NeoClassical!J2</f>
        <v>0.29861409573997216</v>
      </c>
      <c r="G34" s="80">
        <f>NeoClassical!L2</f>
        <v>0.39557250707412789</v>
      </c>
      <c r="H34" s="80">
        <f>NeoClassical!N2</f>
        <v>0.50653152003303714</v>
      </c>
      <c r="I34" s="80">
        <f>NeoClassical!P2</f>
        <v>0.6354258061679694</v>
      </c>
      <c r="J34" s="80">
        <f>NeoClassical!R2</f>
        <v>0.78816106930218621</v>
      </c>
      <c r="K34" s="80">
        <f>NeoClassical!T2</f>
        <v>0.97406411892124545</v>
      </c>
      <c r="L34" s="80">
        <f>NeoClassical!V2</f>
        <v>1.2087393654607412</v>
      </c>
      <c r="M34" s="80">
        <f>NeoClassical!X2</f>
        <v>1.5200936512312115</v>
      </c>
      <c r="N34" s="80">
        <f>NeoClassical!Z2</f>
        <v>1.9618521412350727</v>
      </c>
      <c r="O34" s="80">
        <f>NeoClassical!AB2</f>
        <v>2.6451210374705068</v>
      </c>
      <c r="P34" s="80">
        <f>NeoClassical!AD2</f>
        <v>3.8086775445985297</v>
      </c>
      <c r="Q34" s="80">
        <f>NeoClassical!AF2</f>
        <v>5.9439193281593568</v>
      </c>
      <c r="R34" s="80">
        <f>NeoClassical!AH2</f>
        <v>9.9450147467584422</v>
      </c>
      <c r="S34" s="80">
        <f>NeoClassical!AJ2</f>
        <v>17.120114354729317</v>
      </c>
      <c r="T34" s="80">
        <f>NeoClassical!AL2</f>
        <v>27.713147397418663</v>
      </c>
      <c r="U34" s="80">
        <f>NeoClassical!AN2</f>
        <v>36.393196680338967</v>
      </c>
      <c r="V34" s="80">
        <f>NeoClassical!AP2</f>
        <v>37.22694007254195</v>
      </c>
      <c r="W34" s="80">
        <f>NeoClassical!AR2</f>
        <v>37.753365195254688</v>
      </c>
      <c r="X34" s="80">
        <f>NeoClassical!AT2</f>
        <v>38.03008809222144</v>
      </c>
      <c r="Y34" s="80">
        <f>NeoClassical!AV2</f>
        <v>38.133163792294589</v>
      </c>
      <c r="Z34" s="138"/>
    </row>
    <row r="35" spans="1:26" x14ac:dyDescent="0.2">
      <c r="A35" t="str">
        <f t="shared" ref="A35:A42" si="34">A4</f>
        <v>Kaldorian</v>
      </c>
      <c r="B35" s="80">
        <f>Kaldorian!B2</f>
        <v>5.7716594496607888E-3</v>
      </c>
      <c r="C35" s="80">
        <f>Kaldorian!D2</f>
        <v>7.3600213743676146E-2</v>
      </c>
      <c r="D35" s="80">
        <f>Kaldorian!F2</f>
        <v>0.14864451853442823</v>
      </c>
      <c r="E35" s="80">
        <f>Kaldorian!H2</f>
        <v>0.23214699681366854</v>
      </c>
      <c r="F35" s="80">
        <f>Kaldorian!J2</f>
        <v>0.3257190318496011</v>
      </c>
      <c r="G35" s="80">
        <f>Kaldorian!L2</f>
        <v>0.43151039069575825</v>
      </c>
      <c r="H35" s="80">
        <f>Kaldorian!N2</f>
        <v>0.55252188468163022</v>
      </c>
      <c r="I35" s="80">
        <f>Kaldorian!P2</f>
        <v>0.6930963077758876</v>
      </c>
      <c r="J35" s="80">
        <f>Kaldorian!R2</f>
        <v>0.85983486001359366</v>
      </c>
      <c r="K35" s="80">
        <f>Kaldorian!T2</f>
        <v>1.0633273070617546</v>
      </c>
      <c r="L35" s="80">
        <f>Kaldorian!V2</f>
        <v>1.3216123183882953</v>
      </c>
      <c r="M35" s="80">
        <f>Kaldorian!X2</f>
        <v>1.6676312031242602</v>
      </c>
      <c r="N35" s="80">
        <f>Kaldorian!Z2</f>
        <v>2.16633442146169</v>
      </c>
      <c r="O35" s="80">
        <f>Kaldorian!AB2</f>
        <v>2.9552532886389864</v>
      </c>
      <c r="P35" s="80">
        <f>Kaldorian!AD2</f>
        <v>4.3329450165283712</v>
      </c>
      <c r="Q35" s="80">
        <f>Kaldorian!AF2</f>
        <v>0</v>
      </c>
      <c r="R35" s="80">
        <f>Kaldorian!AH2</f>
        <v>0</v>
      </c>
      <c r="S35" s="80">
        <f>Kaldorian!AJ2</f>
        <v>0</v>
      </c>
      <c r="T35" s="80">
        <f>Kaldorian!AL2</f>
        <v>0</v>
      </c>
      <c r="U35" s="80">
        <f>Kaldorian!AN2</f>
        <v>0</v>
      </c>
      <c r="V35" s="80">
        <f>Kaldorian!AP2</f>
        <v>0</v>
      </c>
      <c r="W35" s="80">
        <f>Kaldorian!AR2</f>
        <v>0</v>
      </c>
      <c r="X35" s="80">
        <f>Kaldorian!AT2</f>
        <v>0</v>
      </c>
      <c r="Y35" s="80">
        <f>Kaldorian!AV2</f>
        <v>0</v>
      </c>
      <c r="Z35" s="138"/>
    </row>
    <row r="36" spans="1:26" x14ac:dyDescent="0.2">
      <c r="A36" t="str">
        <f t="shared" si="34"/>
        <v>Johansen</v>
      </c>
      <c r="B36" s="80">
        <f>Johansen!B2</f>
        <v>5.7716594496607888E-3</v>
      </c>
      <c r="C36" s="80">
        <f>Johansen!D2</f>
        <v>7.0980045687539906E-2</v>
      </c>
      <c r="D36" s="80">
        <f>Johansen!F2</f>
        <v>0.14317207272392832</v>
      </c>
      <c r="E36" s="80">
        <f>Johansen!H2</f>
        <v>0.22357690924973264</v>
      </c>
      <c r="F36" s="80">
        <f>Johansen!J2</f>
        <v>0.31379601219813796</v>
      </c>
      <c r="G36" s="80">
        <f>Johansen!L2</f>
        <v>0.4159742694465704</v>
      </c>
      <c r="H36" s="80">
        <f>Johansen!N2</f>
        <v>0.53311812008487125</v>
      </c>
      <c r="I36" s="80">
        <f>Johansen!P2</f>
        <v>0.66959016872402866</v>
      </c>
      <c r="J36" s="80">
        <f>Johansen!R2</f>
        <v>0.83203735858566319</v>
      </c>
      <c r="K36" s="80">
        <f>Johansen!T2</f>
        <v>1.0311437378995718</v>
      </c>
      <c r="L36" s="80">
        <f>Johansen!V2</f>
        <v>1.2851488627100593</v>
      </c>
      <c r="M36" s="80">
        <f>Johansen!X2</f>
        <v>1.6274433095311918</v>
      </c>
      <c r="N36" s="80">
        <f>Johansen!Z2</f>
        <v>2.1240217534245134</v>
      </c>
      <c r="O36" s="80">
        <f>Johansen!AB2</f>
        <v>2.9146349246409176</v>
      </c>
      <c r="P36" s="80">
        <f>Johansen!AD2</f>
        <v>4.3007280689112202</v>
      </c>
      <c r="Q36" s="80">
        <f>Johansen!AF2</f>
        <v>6.8768968251329499</v>
      </c>
      <c r="R36" s="80">
        <f>Johansen!AH2</f>
        <v>11.61495928693788</v>
      </c>
      <c r="S36" s="80">
        <f>Johansen!AJ2</f>
        <v>19.543976569538426</v>
      </c>
      <c r="T36" s="80">
        <f>Johansen!AL2</f>
        <v>29.608023021201451</v>
      </c>
      <c r="U36" s="80">
        <f>Johansen!AN2</f>
        <v>36.399181314819309</v>
      </c>
      <c r="V36" s="80">
        <f>Johansen!AP2</f>
        <v>36.987726867694796</v>
      </c>
      <c r="W36" s="80">
        <f>Johansen!AR2</f>
        <v>37.353889025372986</v>
      </c>
      <c r="X36" s="80">
        <f>Johansen!AT2</f>
        <v>37.54469346241067</v>
      </c>
      <c r="Y36" s="80">
        <f>Johansen!AV2</f>
        <v>37.615472559597038</v>
      </c>
      <c r="Z36" s="138"/>
    </row>
    <row r="37" spans="1:26" x14ac:dyDescent="0.2">
      <c r="A37" t="str">
        <f t="shared" si="34"/>
        <v>Keynes-Kaldor</v>
      </c>
      <c r="B37" s="80">
        <f>'Keynes-K'!B2</f>
        <v>5.7716594496607888E-3</v>
      </c>
      <c r="C37" s="80">
        <f>'Keynes-K'!D2</f>
        <v>8.1794352435459072E-2</v>
      </c>
      <c r="D37" s="80">
        <f>'Keynes-K'!F2</f>
        <v>0.16541988211005457</v>
      </c>
      <c r="E37" s="80">
        <f>'Keynes-K'!H2</f>
        <v>0.25794328294731655</v>
      </c>
      <c r="F37" s="80">
        <f>'Keynes-K'!J2</f>
        <v>0.36105007408697648</v>
      </c>
      <c r="G37" s="80">
        <f>'Keynes-K'!L2</f>
        <v>0.47700433313304169</v>
      </c>
      <c r="H37" s="80">
        <f>'Keynes-K'!N2</f>
        <v>0.6089916312794863</v>
      </c>
      <c r="I37" s="80">
        <f>'Keynes-K'!P2</f>
        <v>0.76165285880019251</v>
      </c>
      <c r="J37" s="80">
        <f>'Keynes-K'!R2</f>
        <v>0.9420580238134536</v>
      </c>
      <c r="K37" s="80">
        <f>'Keynes-K'!T2</f>
        <v>1.1615081480322198</v>
      </c>
      <c r="L37" s="80">
        <f>'Keynes-K'!V2</f>
        <v>1.4390118916035679</v>
      </c>
      <c r="M37" s="80">
        <f>'Keynes-K'!X2</f>
        <v>1.8083942228220073</v>
      </c>
      <c r="N37" s="80">
        <f>'Keynes-K'!Z2</f>
        <v>2.3331035206912678</v>
      </c>
      <c r="O37" s="80">
        <f>'Keynes-K'!AB2</f>
        <v>3.1350620573253463</v>
      </c>
      <c r="P37" s="80">
        <f>'Keynes-K'!AD2</f>
        <v>4.4328656246681621</v>
      </c>
      <c r="Q37" s="80">
        <f>'Keynes-K'!AF2</f>
        <v>0</v>
      </c>
      <c r="R37" s="80">
        <f>'Keynes-K'!AH2</f>
        <v>0</v>
      </c>
      <c r="S37" s="80">
        <f>'Keynes-K'!AJ2</f>
        <v>0</v>
      </c>
      <c r="T37" s="80">
        <f>'Keynes-K'!AL2</f>
        <v>0</v>
      </c>
      <c r="U37" s="80">
        <f>'Keynes-K'!AN2</f>
        <v>0</v>
      </c>
      <c r="V37" s="80">
        <f>'Keynes-K'!AP2</f>
        <v>0</v>
      </c>
      <c r="W37" s="80">
        <f>'Keynes-K'!AR2</f>
        <v>0</v>
      </c>
      <c r="X37" s="80">
        <f>'Keynes-K'!AT2</f>
        <v>0</v>
      </c>
      <c r="Y37" s="80">
        <f>'Keynes-K'!AV2</f>
        <v>0</v>
      </c>
      <c r="Z37" s="138"/>
    </row>
    <row r="38" spans="1:26" x14ac:dyDescent="0.2">
      <c r="A38" t="str">
        <f t="shared" si="34"/>
        <v>Keynes-Marshall</v>
      </c>
      <c r="B38" s="80">
        <f>'Keynes-M'!B2</f>
        <v>5.7716594496607888E-3</v>
      </c>
      <c r="C38" s="80">
        <f>'Keynes-M'!D2</f>
        <v>8.3642603999469656E-2</v>
      </c>
      <c r="D38" s="80">
        <f>'Keynes-M'!F2</f>
        <v>0.17168625979625596</v>
      </c>
      <c r="E38" s="80">
        <f>'Keynes-M'!H2</f>
        <v>0.27237305740096379</v>
      </c>
      <c r="F38" s="80">
        <f>'Keynes-M'!J2</f>
        <v>0.38934106343918035</v>
      </c>
      <c r="G38" s="80">
        <f>'Keynes-M'!L2</f>
        <v>0.52826787362461036</v>
      </c>
      <c r="H38" s="80">
        <f>'Keynes-M'!N2</f>
        <v>0.69864129302906675</v>
      </c>
      <c r="I38" s="80">
        <f>'Keynes-M'!P2</f>
        <v>0.91774334927422718</v>
      </c>
      <c r="J38" s="80">
        <f>'Keynes-M'!R2</f>
        <v>1.2210703738440372</v>
      </c>
      <c r="K38" s="80">
        <f>'Keynes-M'!T2</f>
        <v>1.6961772441386833</v>
      </c>
      <c r="L38" s="80">
        <f>'Keynes-M'!V2</f>
        <v>0</v>
      </c>
      <c r="M38" s="80">
        <f>'Keynes-M'!X2</f>
        <v>0</v>
      </c>
      <c r="N38" s="80">
        <f>'Keynes-M'!Z2</f>
        <v>0</v>
      </c>
      <c r="O38" s="80">
        <f>'Keynes-M'!AB2</f>
        <v>0</v>
      </c>
      <c r="P38" s="80">
        <f>'Keynes-M'!AD2</f>
        <v>0</v>
      </c>
      <c r="Q38" s="80">
        <f>'Keynes-M'!AF2</f>
        <v>0</v>
      </c>
      <c r="R38" s="80">
        <f>'Keynes-M'!AH2</f>
        <v>0</v>
      </c>
      <c r="S38" s="80">
        <f>'Keynes-M'!AJ2</f>
        <v>0</v>
      </c>
      <c r="T38" s="80">
        <f>'Keynes-M'!AL2</f>
        <v>0</v>
      </c>
      <c r="U38" s="80">
        <f>'Keynes-M'!AN2</f>
        <v>0</v>
      </c>
      <c r="V38" s="80">
        <f>'Keynes-M'!AP2</f>
        <v>0</v>
      </c>
      <c r="W38" s="80">
        <f>'Keynes-M'!AR2</f>
        <v>0</v>
      </c>
      <c r="X38" s="80">
        <f>'Keynes-M'!AT2</f>
        <v>0</v>
      </c>
      <c r="Y38" s="80">
        <f>'Keynes-M'!AV2</f>
        <v>0</v>
      </c>
      <c r="Z38" s="138"/>
    </row>
    <row r="39" spans="1:26" x14ac:dyDescent="0.2">
      <c r="A39" t="str">
        <f t="shared" si="34"/>
        <v>Keynesian</v>
      </c>
      <c r="B39" s="80">
        <f>Keynesian!B2</f>
        <v>5.7716594496607888E-3</v>
      </c>
      <c r="C39" s="80">
        <f>Keynesian!D2</f>
        <v>3.919360798795811E-2</v>
      </c>
      <c r="D39" s="80">
        <f>Keynesian!F2</f>
        <v>7.3002894329855877E-2</v>
      </c>
      <c r="E39" s="80">
        <f>Keynesian!H2</f>
        <v>0.10691194530270838</v>
      </c>
      <c r="F39" s="80">
        <f>Keynesian!J2</f>
        <v>0.14058182607327915</v>
      </c>
      <c r="G39" s="80">
        <f>Keynesian!L2</f>
        <v>0.17362679193027042</v>
      </c>
      <c r="H39" s="80">
        <f>Keynesian!N2</f>
        <v>0.20561904407557871</v>
      </c>
      <c r="I39" s="80">
        <f>Keynesian!P2</f>
        <v>0.2360921404954619</v>
      </c>
      <c r="J39" s="80">
        <f>Keynesian!R2</f>
        <v>0.26452639735464928</v>
      </c>
      <c r="K39" s="80">
        <f>Keynesian!T2</f>
        <v>0.29028280393705141</v>
      </c>
      <c r="L39" s="80">
        <f>Keynesian!V2</f>
        <v>0.31233668358298378</v>
      </c>
      <c r="M39" s="80">
        <f>Keynesian!X2</f>
        <v>0.32815126939168721</v>
      </c>
      <c r="N39" s="80">
        <f>Keynesian!Z2</f>
        <v>0.32920051845742365</v>
      </c>
      <c r="O39" s="80">
        <f>Keynesian!AB2</f>
        <v>0.3088088009722062</v>
      </c>
      <c r="P39" s="80">
        <f>Keynesian!AD2</f>
        <v>0</v>
      </c>
      <c r="Q39" s="80">
        <f>Keynesian!AF2</f>
        <v>0</v>
      </c>
      <c r="R39" s="80">
        <f>Keynesian!AH2</f>
        <v>0</v>
      </c>
      <c r="S39" s="80">
        <f>Keynesian!AJ2</f>
        <v>0</v>
      </c>
      <c r="T39" s="80">
        <f>Keynesian!AL2</f>
        <v>0</v>
      </c>
      <c r="U39" s="80">
        <f>Keynesian!AN2</f>
        <v>0</v>
      </c>
      <c r="V39" s="80">
        <f>Keynesian!AP2</f>
        <v>0</v>
      </c>
      <c r="W39" s="80">
        <f>Keynesian!AR2</f>
        <v>0</v>
      </c>
      <c r="X39" s="80">
        <f>Keynesian!AT2</f>
        <v>0</v>
      </c>
      <c r="Y39" s="80">
        <f>Keynesian!AV4</f>
        <v>0</v>
      </c>
      <c r="Z39" s="138"/>
    </row>
    <row r="40" spans="1:26" x14ac:dyDescent="0.2">
      <c r="A40" t="str">
        <f t="shared" si="34"/>
        <v>Neo-K2</v>
      </c>
      <c r="B40" s="80">
        <f>'Neo-K2'!B2</f>
        <v>5.7716594496607888E-3</v>
      </c>
      <c r="C40" s="80">
        <f>'Neo-K2'!D2</f>
        <v>5.1353973852621859E-2</v>
      </c>
      <c r="D40" s="80">
        <f>'Neo-K2'!F2</f>
        <v>9.9276483540202118E-2</v>
      </c>
      <c r="E40" s="80">
        <f>'Neo-K2'!H2</f>
        <v>0.14947829182498587</v>
      </c>
      <c r="F40" s="80">
        <f>'Neo-K2'!J2</f>
        <v>0.20183501411398905</v>
      </c>
      <c r="G40" s="80">
        <f>'Neo-K2'!L2</f>
        <v>0.25615112250610694</v>
      </c>
      <c r="H40" s="80">
        <f>'Neo-K2'!N2</f>
        <v>0.31217657830602502</v>
      </c>
      <c r="I40" s="80">
        <f>'Neo-K2'!P2</f>
        <v>0.36965717093078665</v>
      </c>
      <c r="J40" s="80">
        <f>'Neo-K2'!R2</f>
        <v>0.42844472267597306</v>
      </c>
      <c r="K40" s="80">
        <f>'Neo-K2'!T2</f>
        <v>0.48871716201232729</v>
      </c>
      <c r="L40" s="80">
        <f>'Neo-K2'!V2</f>
        <v>0.55138657797265089</v>
      </c>
      <c r="M40" s="80">
        <f>'Neo-K2'!X2</f>
        <v>0.61883369790154408</v>
      </c>
      <c r="N40" s="80">
        <f>'Neo-K2'!Z2</f>
        <v>0.69627278876399967</v>
      </c>
      <c r="O40" s="80">
        <f>'Neo-K2'!AB2</f>
        <v>0.794440591572806</v>
      </c>
      <c r="P40" s="80">
        <f>'Neo-K2'!AD2</f>
        <v>0.93554443503153817</v>
      </c>
      <c r="Q40" s="80">
        <f>'Neo-K2'!AF2</f>
        <v>1.1689934778369546</v>
      </c>
      <c r="R40" s="80">
        <f>'Neo-K2'!AH2</f>
        <v>0</v>
      </c>
      <c r="S40" s="80">
        <f>'Neo-K2'!AJ2</f>
        <v>0</v>
      </c>
      <c r="T40" s="80">
        <f>'Neo-K2'!AL2</f>
        <v>0</v>
      </c>
      <c r="U40" s="80">
        <f>'Neo-K2'!AN2</f>
        <v>0</v>
      </c>
      <c r="V40" s="80">
        <f>'Neo-K2'!AP2</f>
        <v>0</v>
      </c>
      <c r="W40" s="80">
        <f>'Neo-K2'!AR2</f>
        <v>0</v>
      </c>
      <c r="X40" s="80">
        <f>'Neo-K2'!AT2</f>
        <v>0</v>
      </c>
      <c r="Y40" s="80">
        <f>'Neo-K2'!AV2</f>
        <v>0</v>
      </c>
    </row>
    <row r="41" spans="1:26" x14ac:dyDescent="0.2">
      <c r="A41" t="str">
        <f t="shared" si="34"/>
        <v>Neo-K1</v>
      </c>
      <c r="B41" s="80">
        <f>'Neo-K1'!B2</f>
        <v>5.7716594496607888E-3</v>
      </c>
      <c r="C41" s="80">
        <f>'Neo-K1'!D2</f>
        <v>5.6781436340411717E-2</v>
      </c>
      <c r="D41" s="80">
        <f>'Neo-K1'!F2</f>
        <v>0.1117192508245143</v>
      </c>
      <c r="E41" s="80">
        <f>'Neo-K1'!H2</f>
        <v>0.17093620235425261</v>
      </c>
      <c r="F41" s="80">
        <f>'Neo-K1'!J2</f>
        <v>0.23480632811741686</v>
      </c>
      <c r="G41" s="80">
        <f>'Neo-K1'!L2</f>
        <v>0.30371895062923138</v>
      </c>
      <c r="H41" s="80">
        <f>'Neo-K1'!N2</f>
        <v>0.37806859790332698</v>
      </c>
      <c r="I41" s="80">
        <f>'Neo-K1'!P2</f>
        <v>0.45823388198698223</v>
      </c>
      <c r="J41" s="80">
        <f>'Neo-K1'!R2</f>
        <v>0.54454327776312761</v>
      </c>
      <c r="K41" s="80">
        <f>'Neo-K1'!T2</f>
        <v>0.63722402327555638</v>
      </c>
      <c r="L41" s="80">
        <f>'Neo-K1'!V2</f>
        <v>0.73633146267524552</v>
      </c>
      <c r="M41" s="80">
        <f>'Neo-K1'!X2</f>
        <v>0.84166437705735608</v>
      </c>
      <c r="N41" s="80">
        <f>'Neo-K1'!Z2</f>
        <v>0.95268374929151844</v>
      </c>
      <c r="O41" s="80">
        <f>'Neo-K1'!AB2</f>
        <v>1.0684656184016055</v>
      </c>
      <c r="P41" s="80">
        <f>'Neo-K1'!AD2</f>
        <v>1.1877224620054425</v>
      </c>
      <c r="Q41" s="80">
        <f>'Neo-K1'!AF2</f>
        <v>1.3089107521327537</v>
      </c>
      <c r="R41" s="80">
        <f>'Neo-K1'!AH2</f>
        <v>1.4304043223883633</v>
      </c>
      <c r="S41" s="80">
        <f>'Neo-K1'!AJ2</f>
        <v>1.550680449736332</v>
      </c>
      <c r="T41" s="80">
        <f>'Neo-K1'!AL2</f>
        <v>1.6684645179690991</v>
      </c>
      <c r="U41" s="80">
        <f>'Neo-K1'!AN2</f>
        <v>1.7828002422268039</v>
      </c>
      <c r="V41" s="80">
        <f>'Neo-K1'!AP2</f>
        <v>1.8051924942069015</v>
      </c>
      <c r="W41" s="80">
        <f>'Neo-K1'!AR2</f>
        <v>1.8274168761278906</v>
      </c>
      <c r="X41" s="80">
        <f>'Neo-K1'!AT2</f>
        <v>1.8494702330878634</v>
      </c>
      <c r="Y41" s="80">
        <f>'Neo-K1'!AV2</f>
        <v>1.8713497686311238</v>
      </c>
    </row>
    <row r="42" spans="1:26" x14ac:dyDescent="0.2">
      <c r="A42" t="str">
        <f t="shared" si="34"/>
        <v>Neoclassical - hetero s</v>
      </c>
      <c r="B42">
        <v>27.702416010262777</v>
      </c>
      <c r="C42">
        <v>32.683073767281385</v>
      </c>
      <c r="D42">
        <v>38.310312609544411</v>
      </c>
      <c r="E42">
        <v>44.713858097512428</v>
      </c>
      <c r="F42">
        <v>52.060410365041776</v>
      </c>
      <c r="G42">
        <v>60.567731132444884</v>
      </c>
      <c r="H42">
        <v>70.525629000283416</v>
      </c>
      <c r="I42">
        <v>82.328070807418868</v>
      </c>
      <c r="J42">
        <v>96.523827304044104</v>
      </c>
      <c r="K42">
        <v>113.89913279126471</v>
      </c>
      <c r="L42">
        <v>135.61792846865748</v>
      </c>
      <c r="M42">
        <v>163.47045175737836</v>
      </c>
      <c r="N42">
        <v>200.33596050889889</v>
      </c>
      <c r="O42">
        <v>251.09118623971659</v>
      </c>
      <c r="P42">
        <v>324.49498534982405</v>
      </c>
      <c r="Q42">
        <v>437.30868279107045</v>
      </c>
      <c r="R42">
        <v>623.7671397943293</v>
      </c>
      <c r="S42">
        <v>959.33069506561208</v>
      </c>
      <c r="T42">
        <v>1635.7620878260498</v>
      </c>
      <c r="U42">
        <v>3308.1850367670995</v>
      </c>
      <c r="V42">
        <v>3928.3470991663007</v>
      </c>
    </row>
    <row r="47" spans="1:26" x14ac:dyDescent="0.2">
      <c r="A47" t="s">
        <v>100</v>
      </c>
    </row>
    <row r="48" spans="1:26" x14ac:dyDescent="0.2">
      <c r="A48" t="s">
        <v>147</v>
      </c>
      <c r="B48" s="94">
        <v>0</v>
      </c>
      <c r="C48" s="94">
        <v>0.05</v>
      </c>
      <c r="D48" s="94">
        <v>0.1</v>
      </c>
      <c r="E48" s="94">
        <v>0.15000000000000002</v>
      </c>
      <c r="F48" s="94">
        <v>0.2</v>
      </c>
      <c r="G48" s="94">
        <v>0.25</v>
      </c>
      <c r="H48" s="94">
        <v>0.3</v>
      </c>
      <c r="I48" s="94">
        <v>0.35</v>
      </c>
      <c r="J48" s="94">
        <v>0.39999999999999997</v>
      </c>
      <c r="K48" s="94">
        <v>0.44999999999999996</v>
      </c>
      <c r="L48" s="94">
        <v>0.49999999999999994</v>
      </c>
      <c r="M48" s="94">
        <v>0.54999999999999993</v>
      </c>
      <c r="N48" s="94">
        <v>0.6</v>
      </c>
      <c r="O48" s="94">
        <v>0.65</v>
      </c>
      <c r="P48" s="94">
        <v>0.70000000000000007</v>
      </c>
      <c r="Q48" s="94">
        <v>0.75000000000000011</v>
      </c>
      <c r="R48" s="94">
        <v>0.80000000000000016</v>
      </c>
      <c r="S48" s="94">
        <v>0.8500000000000002</v>
      </c>
      <c r="T48" s="94">
        <v>0.90000000000000024</v>
      </c>
      <c r="U48" s="94">
        <v>0.95000000000000029</v>
      </c>
      <c r="V48" s="94">
        <v>0.9600000000000003</v>
      </c>
      <c r="W48" s="94">
        <v>0.97000000000000031</v>
      </c>
      <c r="X48" s="94">
        <v>0.98000000000000032</v>
      </c>
      <c r="Y48" s="94">
        <v>0.99000000000000032</v>
      </c>
      <c r="Z48" s="139"/>
    </row>
    <row r="49" spans="1:26" x14ac:dyDescent="0.2">
      <c r="A49" t="str">
        <f t="shared" ref="A49:A54" si="35">A3</f>
        <v>Neoclassical</v>
      </c>
      <c r="B49" s="195">
        <f>NeoClassical!B$43</f>
        <v>0.56058995943839085</v>
      </c>
      <c r="C49" s="195">
        <f>NeoClassical!D$43</f>
        <v>0.56553467285281467</v>
      </c>
      <c r="D49" s="195">
        <f>NeoClassical!F$43</f>
        <v>0.56386318481281994</v>
      </c>
      <c r="E49" s="195">
        <f>NeoClassical!H$43</f>
        <v>0.56218563276851263</v>
      </c>
      <c r="F49" s="195">
        <f>NeoClassical!J$43</f>
        <v>0.56050187344314317</v>
      </c>
      <c r="G49" s="195">
        <f>NeoClassical!L$43</f>
        <v>0.55881255243469385</v>
      </c>
      <c r="H49" s="195">
        <f>NeoClassical!N$43</f>
        <v>0.55711949604619282</v>
      </c>
      <c r="I49" s="195">
        <f>NeoClassical!P$43</f>
        <v>0.5554268562211957</v>
      </c>
      <c r="J49" s="195">
        <f>NeoClassical!R$43</f>
        <v>0.55374244780957438</v>
      </c>
      <c r="K49" s="195">
        <f>NeoClassical!T$43</f>
        <v>0.55208019314824175</v>
      </c>
      <c r="L49" s="195">
        <f>NeoClassical!V$43</f>
        <v>0.55046391249107585</v>
      </c>
      <c r="M49" s="195">
        <f>NeoClassical!X$43</f>
        <v>0.54893330555769759</v>
      </c>
      <c r="N49" s="195">
        <f>NeoClassical!Z$43</f>
        <v>0.54755254555273458</v>
      </c>
      <c r="O49" s="195">
        <f>NeoClassical!AB$43</f>
        <v>0.54641709092965185</v>
      </c>
      <c r="P49" s="195">
        <f>NeoClassical!AD$43</f>
        <v>0.54563559534328154</v>
      </c>
      <c r="Q49" s="195">
        <f>NeoClassical!AF$43</f>
        <v>0.54524255414458722</v>
      </c>
      <c r="R49" s="195">
        <f>NeoClassical!AH$43</f>
        <v>0.54511554137881868</v>
      </c>
      <c r="S49" s="195">
        <f>NeoClassical!AJ$43</f>
        <v>0.54508971145955865</v>
      </c>
      <c r="T49" s="195">
        <f>NeoClassical!AL$43</f>
        <v>0.54508602754592383</v>
      </c>
      <c r="U49" s="195">
        <f>NeoClassical!AN$43</f>
        <v>0.54508557675037794</v>
      </c>
      <c r="V49" s="195">
        <f>NeoClassical!AP$43</f>
        <v>0.54508551662586402</v>
      </c>
      <c r="W49" s="195">
        <f>NeoClassical!AR$43</f>
        <v>0.54508540484157708</v>
      </c>
      <c r="X49" s="195">
        <f>NeoClassical!AT$43</f>
        <v>0.54508532897852879</v>
      </c>
      <c r="Y49" s="195">
        <f>NeoClassical!AV$43</f>
        <v>0.54508554334450443</v>
      </c>
      <c r="Z49" s="138"/>
    </row>
    <row r="50" spans="1:26" x14ac:dyDescent="0.2">
      <c r="A50" t="str">
        <f t="shared" si="35"/>
        <v>Kaldorian</v>
      </c>
      <c r="B50" s="195">
        <f>Kaldorian!B$43</f>
        <v>0.56058995943839085</v>
      </c>
      <c r="C50" s="195">
        <f>Kaldorian!D$43</f>
        <v>0.55932270496056014</v>
      </c>
      <c r="D50" s="195">
        <f>Kaldorian!F$43</f>
        <v>0.55089175159630965</v>
      </c>
      <c r="E50" s="195">
        <f>Kaldorian!H$43</f>
        <v>0.54179906151281143</v>
      </c>
      <c r="F50" s="195">
        <f>Kaldorian!J$43</f>
        <v>0.53190397993334737</v>
      </c>
      <c r="G50" s="195">
        <f>Kaldorian!L$43</f>
        <v>0.52101991616472498</v>
      </c>
      <c r="H50" s="195">
        <f>Kaldorian!N$43</f>
        <v>0.50888739035912134</v>
      </c>
      <c r="I50" s="195">
        <f>Kaldorian!P$43</f>
        <v>0.4951326579452901</v>
      </c>
      <c r="J50" s="195">
        <f>Kaldorian!R$43</f>
        <v>0.47918677006132226</v>
      </c>
      <c r="K50" s="195">
        <f>Kaldorian!T$43</f>
        <v>0.46012991498758732</v>
      </c>
      <c r="L50" s="195">
        <f>Kaldorian!V$43</f>
        <v>0.43636926628769379</v>
      </c>
      <c r="M50" s="195">
        <f>Kaldorian!X$43</f>
        <v>0.40491698531379883</v>
      </c>
      <c r="N50" s="195">
        <f>Kaldorian!Z$43</f>
        <v>0.35962782529758885</v>
      </c>
      <c r="O50" s="195">
        <f>Kaldorian!AB$43</f>
        <v>0.28649898890635495</v>
      </c>
      <c r="P50" s="195">
        <f>Kaldorian!AD$43</f>
        <v>0.15002974343233594</v>
      </c>
      <c r="Q50" s="195" t="e">
        <f>Kaldorian!AF$43</f>
        <v>#DIV/0!</v>
      </c>
      <c r="R50" s="195" t="e">
        <f>Kaldorian!AH$43</f>
        <v>#DIV/0!</v>
      </c>
      <c r="S50" s="195" t="e">
        <f>Kaldorian!AJ$43</f>
        <v>#DIV/0!</v>
      </c>
      <c r="T50" s="195" t="e">
        <f>Kaldorian!AL$43</f>
        <v>#DIV/0!</v>
      </c>
      <c r="U50" s="195" t="e">
        <f>Kaldorian!AN$43</f>
        <v>#DIV/0!</v>
      </c>
      <c r="V50" s="195" t="e">
        <f>Kaldorian!AP$43</f>
        <v>#DIV/0!</v>
      </c>
      <c r="W50" s="195" t="e">
        <f>Kaldorian!AR$43</f>
        <v>#DIV/0!</v>
      </c>
      <c r="X50" s="195" t="e">
        <f>Kaldorian!AT$43</f>
        <v>#DIV/0!</v>
      </c>
      <c r="Y50" s="195" t="e">
        <f>Kaldorian!AV$43</f>
        <v>#DIV/0!</v>
      </c>
      <c r="Z50" s="138"/>
    </row>
    <row r="51" spans="1:26" x14ac:dyDescent="0.2">
      <c r="A51" t="str">
        <f t="shared" si="35"/>
        <v>Johansen</v>
      </c>
      <c r="B51" s="195">
        <f>Kaldorian!B$43</f>
        <v>0.56058995943839085</v>
      </c>
      <c r="C51" s="195">
        <f>Johansen!D$43</f>
        <v>0.56550673656444395</v>
      </c>
      <c r="D51" s="195">
        <f>Johansen!F$43</f>
        <v>0.56380653255486457</v>
      </c>
      <c r="E51" s="195">
        <f>Johansen!H$43</f>
        <v>0.56209940221526034</v>
      </c>
      <c r="F51" s="195">
        <f>Johansen!J$43</f>
        <v>0.56038518928989001</v>
      </c>
      <c r="G51" s="195">
        <f>Johansen!L$43</f>
        <v>0.55866471246504257</v>
      </c>
      <c r="H51" s="195">
        <f>Johansen!N$43</f>
        <v>0.55694015474795278</v>
      </c>
      <c r="I51" s="195">
        <f>Johansen!P$43</f>
        <v>0.55521638127904993</v>
      </c>
      <c r="J51" s="195">
        <f>Johansen!R$43</f>
        <v>0.55350259389976841</v>
      </c>
      <c r="K51" s="195">
        <f>Johansen!T$43</f>
        <v>0.55181495147092607</v>
      </c>
      <c r="L51" s="195">
        <f>Johansen!V$43</f>
        <v>0.55018096746489953</v>
      </c>
      <c r="M51" s="195">
        <f>Johansen!X$43</f>
        <v>0.54864634962709113</v>
      </c>
      <c r="N51" s="195">
        <f>Johansen!Z$43</f>
        <v>0.54728449170557714</v>
      </c>
      <c r="O51" s="195">
        <f>Johansen!AB$43</f>
        <v>0.54620169250423378</v>
      </c>
      <c r="P51" s="195">
        <f>Johansen!AD$43</f>
        <v>0.54550517598352921</v>
      </c>
      <c r="Q51" s="195">
        <f>Johansen!AF$43</f>
        <v>0.54519261198161784</v>
      </c>
      <c r="R51" s="195">
        <f>Johansen!AH$43</f>
        <v>0.54510449610344169</v>
      </c>
      <c r="S51" s="195">
        <f>Johansen!AJ$43</f>
        <v>0.54508825727001309</v>
      </c>
      <c r="T51" s="195">
        <f>Johansen!AL$43</f>
        <v>0.54508592090981345</v>
      </c>
      <c r="U51" s="195">
        <f>Johansen!AN$43</f>
        <v>0.54508545644188644</v>
      </c>
      <c r="V51" s="195">
        <f>Johansen!AP$43</f>
        <v>0.54508555765091349</v>
      </c>
      <c r="W51" s="195">
        <f>Johansen!AR$43</f>
        <v>0.54508567428949517</v>
      </c>
      <c r="X51" s="195">
        <f>Johansen!AT$43</f>
        <v>0.54508536247046058</v>
      </c>
      <c r="Y51" s="195">
        <f>Johansen!AV$43</f>
        <v>0.54508532967454837</v>
      </c>
      <c r="Z51" s="138"/>
    </row>
    <row r="52" spans="1:26" x14ac:dyDescent="0.2">
      <c r="A52" t="str">
        <f t="shared" si="35"/>
        <v>Keynes-Kaldor</v>
      </c>
      <c r="B52" s="195">
        <f>'Keynes-K'!B$43</f>
        <v>0.56058995943839085</v>
      </c>
      <c r="C52" s="195">
        <f>'Keynes-K'!D$43</f>
        <v>0.55838900245651912</v>
      </c>
      <c r="D52" s="195">
        <f>'Keynes-K'!F$43</f>
        <v>0.54904045429317372</v>
      </c>
      <c r="E52" s="195">
        <f>'Keynes-K'!H$43</f>
        <v>0.5390359605315922</v>
      </c>
      <c r="F52" s="195">
        <f>'Keynes-K'!J$43</f>
        <v>0.52822403907998816</v>
      </c>
      <c r="G52" s="195">
        <f>'Keynes-K'!L$43</f>
        <v>0.51640462019291433</v>
      </c>
      <c r="H52" s="195">
        <f>'Keynes-K'!N$43</f>
        <v>0.50330003846307481</v>
      </c>
      <c r="I52" s="195">
        <f>'Keynes-K'!P$43</f>
        <v>0.48850823255722747</v>
      </c>
      <c r="J52" s="195">
        <f>'Keynes-K'!R$43</f>
        <v>0.47141513286892062</v>
      </c>
      <c r="K52" s="195">
        <f>'Keynes-K'!T$43</f>
        <v>0.45102851783017067</v>
      </c>
      <c r="L52" s="195">
        <f>'Keynes-K'!V$43</f>
        <v>0.42564523775902313</v>
      </c>
      <c r="M52" s="195">
        <f>'Keynes-K'!X$43</f>
        <v>0.39213909426208754</v>
      </c>
      <c r="N52" s="195">
        <f>'Keynes-K'!Z$43</f>
        <v>0.34435469116133355</v>
      </c>
      <c r="O52" s="195">
        <f>'Keynes-K'!AB$43</f>
        <v>0.26940559120224761</v>
      </c>
      <c r="P52" s="195">
        <f>'Keynes-K'!AD$43</f>
        <v>0.13955259003414694</v>
      </c>
      <c r="Q52" s="195" t="e">
        <f>'Keynes-K'!AF$43</f>
        <v>#DIV/0!</v>
      </c>
      <c r="R52" s="195" t="e">
        <f>'Keynes-K'!AH$43</f>
        <v>#DIV/0!</v>
      </c>
      <c r="S52" s="195" t="e">
        <f>'Keynes-K'!AJ$43</f>
        <v>#DIV/0!</v>
      </c>
      <c r="T52" s="195" t="e">
        <f>'Keynes-K'!AL$43</f>
        <v>#DIV/0!</v>
      </c>
      <c r="U52" s="195" t="e">
        <f>'Keynes-K'!AN$43</f>
        <v>#DIV/0!</v>
      </c>
      <c r="V52" s="195" t="e">
        <f>'Keynes-K'!AP$43</f>
        <v>#DIV/0!</v>
      </c>
      <c r="W52" s="195" t="e">
        <f>'Keynes-K'!AR$43</f>
        <v>#DIV/0!</v>
      </c>
      <c r="X52" s="195" t="e">
        <f>'Keynes-K'!AT$43</f>
        <v>#DIV/0!</v>
      </c>
      <c r="Y52" s="195" t="e">
        <f>'Keynes-K'!AV$43</f>
        <v>#DIV/0!</v>
      </c>
    </row>
    <row r="53" spans="1:26" x14ac:dyDescent="0.2">
      <c r="A53" t="str">
        <f t="shared" si="35"/>
        <v>Keynes-Marshall</v>
      </c>
      <c r="B53" s="195">
        <f>'Keynes-M'!B$43</f>
        <v>0.56058995943839085</v>
      </c>
      <c r="C53" s="195">
        <f>'Keynes-M'!D$43</f>
        <v>0.58712474280484428</v>
      </c>
      <c r="D53" s="195">
        <f>'Keynes-M'!F$43</f>
        <v>0.60840640868942031</v>
      </c>
      <c r="E53" s="195">
        <f>'Keynes-M'!H$43</f>
        <v>0.6313854895002835</v>
      </c>
      <c r="F53" s="195">
        <f>'Keynes-M'!J$43</f>
        <v>0.65654703589682362</v>
      </c>
      <c r="G53" s="195">
        <f>'Keynes-M'!L$43</f>
        <v>0.68463316448709111</v>
      </c>
      <c r="H53" s="195">
        <f>'Keynes-M'!N$43</f>
        <v>0.71686420272124685</v>
      </c>
      <c r="I53" s="195">
        <f>'Keynes-M'!P$43</f>
        <v>0.75542633549520088</v>
      </c>
      <c r="J53" s="195">
        <f>'Keynes-M'!R$43</f>
        <v>0.80469077565207614</v>
      </c>
      <c r="K53" s="195">
        <f>'Keynes-M'!T$43</f>
        <v>0.87493624177568496</v>
      </c>
      <c r="L53" s="195" t="e">
        <f>'Keynes-M'!V$43</f>
        <v>#DIV/0!</v>
      </c>
      <c r="M53" s="195" t="e">
        <f>'Keynes-M'!X$43</f>
        <v>#DIV/0!</v>
      </c>
      <c r="N53" s="195" t="e">
        <f>'Keynes-M'!Z$43</f>
        <v>#DIV/0!</v>
      </c>
      <c r="O53" s="195" t="e">
        <f>'Keynes-M'!AB$43</f>
        <v>#DIV/0!</v>
      </c>
      <c r="P53" s="195" t="e">
        <f>'Keynes-M'!AD$43</f>
        <v>#DIV/0!</v>
      </c>
      <c r="Q53" s="195" t="e">
        <f>'Keynes-M'!AF$43</f>
        <v>#DIV/0!</v>
      </c>
      <c r="R53" s="195" t="e">
        <f>'Keynes-M'!AH$43</f>
        <v>#DIV/0!</v>
      </c>
      <c r="S53" s="195" t="e">
        <f>'Keynes-M'!AJ$43</f>
        <v>#DIV/0!</v>
      </c>
      <c r="T53" s="195" t="e">
        <f>'Keynes-M'!AL$43</f>
        <v>#DIV/0!</v>
      </c>
      <c r="U53" s="195" t="e">
        <f>'Keynes-M'!AN$43</f>
        <v>#DIV/0!</v>
      </c>
      <c r="V53" s="195" t="e">
        <f>'Keynes-M'!AP$43</f>
        <v>#DIV/0!</v>
      </c>
      <c r="W53" s="195" t="e">
        <f>'Keynes-M'!AR$43</f>
        <v>#DIV/0!</v>
      </c>
      <c r="X53" s="195" t="e">
        <f>'Keynes-M'!AT$43</f>
        <v>#DIV/0!</v>
      </c>
      <c r="Y53" s="195" t="e">
        <f>'Keynes-M'!AV$43</f>
        <v>#DIV/0!</v>
      </c>
    </row>
    <row r="54" spans="1:26" x14ac:dyDescent="0.2">
      <c r="A54" t="str">
        <f t="shared" si="35"/>
        <v>Keynesian</v>
      </c>
      <c r="B54" s="195">
        <f>Keynesian!B$43</f>
        <v>0.56058995943839085</v>
      </c>
      <c r="C54" s="195">
        <f>Keynesian!D$43</f>
        <v>0.57590510810526163</v>
      </c>
      <c r="D54" s="195">
        <f>Keynesian!F$43</f>
        <v>0.58448171719564546</v>
      </c>
      <c r="E54" s="195">
        <f>Keynesian!H$43</f>
        <v>0.59286817125627767</v>
      </c>
      <c r="F54" s="195">
        <f>Keynesian!J$43</f>
        <v>0.60099610779211365</v>
      </c>
      <c r="G54" s="195">
        <f>Keynesian!L$43</f>
        <v>0.60879280230287702</v>
      </c>
      <c r="H54" s="195">
        <f>Keynesian!N$43</f>
        <v>0.61618121856968022</v>
      </c>
      <c r="I54" s="195">
        <f>Keynesian!P$43</f>
        <v>0.62308184230910624</v>
      </c>
      <c r="J54" s="195">
        <f>Keynesian!R$43</f>
        <v>0.62940883128172054</v>
      </c>
      <c r="K54" s="195">
        <f>Keynesian!T$43</f>
        <v>0.6350609883062408</v>
      </c>
      <c r="L54" s="195">
        <f>Keynesian!V$43</f>
        <v>0.63986815995810764</v>
      </c>
      <c r="M54" s="195">
        <f>Keynesian!X$43</f>
        <v>0.64338316242839733</v>
      </c>
      <c r="N54" s="195">
        <f>Keynesian!Z$43</f>
        <v>0.64396938881844334</v>
      </c>
      <c r="O54" s="195">
        <f>Keynesian!AB$43</f>
        <v>0.6399400466287164</v>
      </c>
      <c r="P54" s="195" t="e">
        <f>Keynesian!AD$43</f>
        <v>#DIV/0!</v>
      </c>
      <c r="Q54" s="195" t="e">
        <f>Keynesian!AF$43</f>
        <v>#DIV/0!</v>
      </c>
      <c r="R54" s="195" t="e">
        <f>Keynesian!AH$43</f>
        <v>#DIV/0!</v>
      </c>
      <c r="S54" s="195" t="e">
        <f>Keynesian!AJ$43</f>
        <v>#DIV/0!</v>
      </c>
      <c r="T54" s="195" t="e">
        <f>Keynesian!AL$43</f>
        <v>#DIV/0!</v>
      </c>
      <c r="U54" s="195" t="e">
        <f>Keynesian!AN$43</f>
        <v>#DIV/0!</v>
      </c>
      <c r="V54" s="195" t="e">
        <f>Keynesian!AP$43</f>
        <v>#DIV/0!</v>
      </c>
      <c r="W54" s="195" t="e">
        <f>Keynesian!AR$43</f>
        <v>#DIV/0!</v>
      </c>
      <c r="X54" s="195" t="e">
        <f>Keynesian!AT$43</f>
        <v>#DIV/0!</v>
      </c>
      <c r="Y54" s="195" t="e">
        <f>Keynesian!AV$43</f>
        <v>#DIV/0!</v>
      </c>
    </row>
    <row r="55" spans="1:26" x14ac:dyDescent="0.2">
      <c r="A55" t="s">
        <v>158</v>
      </c>
      <c r="B55" s="195">
        <f>'Neo-K2'!B$43</f>
        <v>0.56058995943839085</v>
      </c>
      <c r="C55" s="195">
        <f>'Neo-K1'!D$43</f>
        <v>0.56658161560465614</v>
      </c>
      <c r="D55" s="195">
        <f>'Neo-K1'!F$43</f>
        <v>0.56595746206658937</v>
      </c>
      <c r="E55" s="195">
        <f>'Neo-K1'!H$43</f>
        <v>0.56532456184463031</v>
      </c>
      <c r="F55" s="195">
        <f>'Neo-K1'!J$43</f>
        <v>0.56467858667763171</v>
      </c>
      <c r="G55" s="195">
        <f>'Neo-K1'!L$43</f>
        <v>0.56401432310363397</v>
      </c>
      <c r="H55" s="195">
        <f>'Neo-K1'!N$43</f>
        <v>0.56332571027097222</v>
      </c>
      <c r="I55" s="195">
        <f>'Neo-K1'!P$43</f>
        <v>0.562605977941813</v>
      </c>
      <c r="J55" s="195">
        <f>'Neo-K1'!R$43</f>
        <v>0.56184799540499841</v>
      </c>
      <c r="K55" s="195">
        <f>'Neo-K1'!T$43</f>
        <v>0.56104490570636556</v>
      </c>
      <c r="L55" s="195">
        <f>'Neo-K1'!V$43</f>
        <v>0.56019109147229373</v>
      </c>
      <c r="M55" s="195">
        <f>'Neo-K1'!X$43</f>
        <v>0.55928338115504206</v>
      </c>
      <c r="N55" s="195">
        <f>'Neo-K1'!Z$43</f>
        <v>0.55832238531890754</v>
      </c>
      <c r="O55" s="195">
        <f>'Neo-K1'!AB$43</f>
        <v>0.5573134433602277</v>
      </c>
      <c r="P55" s="195">
        <f>'Neo-K1'!AD$43</f>
        <v>0.55626676040693102</v>
      </c>
      <c r="Q55" s="195">
        <f>'Neo-K1'!AF$43</f>
        <v>0.55519641571304157</v>
      </c>
      <c r="R55" s="195">
        <f>'Neo-K1'!AH$43</f>
        <v>0.5541184302401071</v>
      </c>
      <c r="S55" s="195">
        <f>'Neo-K1'!AJ$43</f>
        <v>0.55304851628490015</v>
      </c>
      <c r="T55" s="195">
        <f>'Neo-K1'!AL$43</f>
        <v>0.552000229713553</v>
      </c>
      <c r="U55" s="195">
        <f>'Neo-K1'!AN$43</f>
        <v>0.55098395356390317</v>
      </c>
      <c r="V55" s="195">
        <f>'Neo-K1'!AP$43</f>
        <v>0.55078520733104375</v>
      </c>
      <c r="W55" s="195">
        <f>'Neo-K1'!AR$43</f>
        <v>0.55058808577863083</v>
      </c>
      <c r="X55" s="195">
        <f>'Neo-K1'!AT$43</f>
        <v>0.55039260410514679</v>
      </c>
      <c r="Y55" s="195">
        <f>'Neo-K1'!AV$43</f>
        <v>0.55019879775369473</v>
      </c>
    </row>
    <row r="56" spans="1:26" x14ac:dyDescent="0.2">
      <c r="A56" t="s">
        <v>157</v>
      </c>
      <c r="B56" s="195">
        <f>'Neo-K2'!B$43</f>
        <v>0.56058995943839085</v>
      </c>
      <c r="C56" s="195">
        <f>'Neo-K2'!D$43</f>
        <v>0.56772118456608844</v>
      </c>
      <c r="D56" s="195">
        <f>'Neo-K2'!F$43</f>
        <v>0.56832409171421849</v>
      </c>
      <c r="E56" s="195">
        <f>'Neo-K2'!H$43</f>
        <v>0.56901440842598339</v>
      </c>
      <c r="F56" s="195">
        <f>'Neo-K2'!J$43</f>
        <v>0.56979587695459799</v>
      </c>
      <c r="G56" s="195">
        <f>'Neo-K2'!L$43</f>
        <v>0.57066994705192975</v>
      </c>
      <c r="H56" s="195">
        <f>'Neo-K2'!N$43</f>
        <v>0.57163467080157371</v>
      </c>
      <c r="I56" s="195">
        <f>'Neo-K2'!P$43</f>
        <v>0.57268334107898422</v>
      </c>
      <c r="J56" s="195">
        <f>'Neo-K2'!R$43</f>
        <v>0.57380284385965652</v>
      </c>
      <c r="K56" s="195">
        <f>'Neo-K2'!T$43</f>
        <v>0.57497161939845465</v>
      </c>
      <c r="L56" s="195">
        <f>'Neo-K2'!V$43</f>
        <v>0.5761568692892074</v>
      </c>
      <c r="M56" s="195">
        <f>'Neo-K2'!X$43</f>
        <v>0.57731047558706927</v>
      </c>
      <c r="N56" s="195">
        <f>'Neo-K2'!Z$43</f>
        <v>0.57836277196849473</v>
      </c>
      <c r="O56" s="195">
        <f>'Neo-K2'!AB$43</f>
        <v>0.57921332593817254</v>
      </c>
      <c r="P56" s="195">
        <f>'Neo-K2'!AD$43</f>
        <v>0.57971651982790651</v>
      </c>
      <c r="Q56" s="195">
        <f>'Neo-K2'!AF$43</f>
        <v>0.57965038078825337</v>
      </c>
      <c r="R56" s="195" t="e">
        <f>'Neo-K2'!AH$43</f>
        <v>#DIV/0!</v>
      </c>
      <c r="S56" s="195" t="e">
        <f>'Neo-K2'!AJ$43</f>
        <v>#DIV/0!</v>
      </c>
      <c r="T56" s="195" t="e">
        <f>'Neo-K2'!AL$43</f>
        <v>#DIV/0!</v>
      </c>
      <c r="U56" s="195" t="e">
        <f>'Neo-K2'!AN$43</f>
        <v>#DIV/0!</v>
      </c>
      <c r="V56" s="195" t="e">
        <f>'Neo-K2'!AP$43</f>
        <v>#DIV/0!</v>
      </c>
      <c r="W56" s="195" t="e">
        <f>'Neo-K2'!AR$43</f>
        <v>#DIV/0!</v>
      </c>
      <c r="X56" s="195" t="e">
        <f>'Neo-K2'!AT$43</f>
        <v>#DIV/0!</v>
      </c>
      <c r="Y56" s="195" t="e">
        <f>'Neo-K2'!AV$43</f>
        <v>#DIV/0!</v>
      </c>
    </row>
    <row r="57" spans="1:26" x14ac:dyDescent="0.2">
      <c r="B57" s="140"/>
      <c r="C57" s="140"/>
      <c r="D57" s="140"/>
      <c r="E57" s="140"/>
      <c r="F57" s="140"/>
      <c r="G57" s="140"/>
      <c r="H57" s="140"/>
      <c r="I57" s="140"/>
      <c r="J57" s="140"/>
      <c r="K57" s="140"/>
      <c r="L57" s="140"/>
      <c r="M57" s="140"/>
      <c r="N57" s="140"/>
      <c r="O57" s="140"/>
      <c r="P57" s="140"/>
      <c r="Q57" s="140"/>
      <c r="R57" s="140"/>
      <c r="S57" s="140"/>
      <c r="T57" s="140"/>
      <c r="U57" s="140"/>
      <c r="V57" s="140"/>
    </row>
    <row r="58" spans="1:26" x14ac:dyDescent="0.2">
      <c r="B58" s="140"/>
      <c r="C58" s="140"/>
      <c r="D58" s="140"/>
      <c r="E58" s="140"/>
      <c r="F58" s="140"/>
      <c r="G58" s="140"/>
      <c r="H58" s="140"/>
      <c r="I58" s="140"/>
      <c r="J58" s="140"/>
      <c r="K58" s="140"/>
      <c r="L58" s="140"/>
      <c r="M58" s="140"/>
      <c r="N58" s="140"/>
      <c r="O58" s="140"/>
      <c r="P58" s="140"/>
      <c r="Q58" s="140"/>
      <c r="R58" s="140"/>
      <c r="S58" s="140"/>
      <c r="T58" s="140"/>
    </row>
    <row r="61" spans="1:26" x14ac:dyDescent="0.2">
      <c r="A61" t="s">
        <v>100</v>
      </c>
    </row>
    <row r="62" spans="1:26" x14ac:dyDescent="0.2">
      <c r="A62" t="s">
        <v>147</v>
      </c>
      <c r="B62" s="94">
        <v>0</v>
      </c>
      <c r="C62" s="94">
        <v>0.05</v>
      </c>
      <c r="D62" s="94">
        <v>0.1</v>
      </c>
      <c r="E62" s="94">
        <v>0.15000000000000002</v>
      </c>
      <c r="F62" s="94">
        <v>0.2</v>
      </c>
      <c r="G62" s="94">
        <v>0.25</v>
      </c>
      <c r="H62" s="94">
        <v>0.3</v>
      </c>
      <c r="I62" s="94">
        <v>0.35</v>
      </c>
      <c r="J62" s="94">
        <v>0.39999999999999997</v>
      </c>
      <c r="K62" s="94">
        <v>0.44999999999999996</v>
      </c>
      <c r="L62" s="94">
        <v>0.49999999999999994</v>
      </c>
      <c r="M62" s="94">
        <v>0.54999999999999993</v>
      </c>
      <c r="N62" s="94">
        <v>0.6</v>
      </c>
      <c r="O62" s="94">
        <v>0.65</v>
      </c>
      <c r="P62" s="94">
        <v>0.70000000000000007</v>
      </c>
      <c r="Q62" s="94">
        <v>0.75000000000000011</v>
      </c>
      <c r="R62" s="94">
        <v>0.80000000000000016</v>
      </c>
      <c r="S62" s="94">
        <v>0.8500000000000002</v>
      </c>
      <c r="T62" s="94">
        <v>0.90000000000000024</v>
      </c>
      <c r="U62" s="94">
        <v>0.95000000000000029</v>
      </c>
      <c r="V62" s="94">
        <v>0.9600000000000003</v>
      </c>
      <c r="W62" s="94">
        <v>0.97000000000000031</v>
      </c>
      <c r="X62" s="94">
        <v>0.98000000000000032</v>
      </c>
      <c r="Y62" s="94">
        <v>0.99000000000000032</v>
      </c>
      <c r="Z62" s="139"/>
    </row>
    <row r="63" spans="1:26" x14ac:dyDescent="0.2">
      <c r="A63" t="str">
        <f>A49</f>
        <v>Neoclassical</v>
      </c>
      <c r="B63" s="195">
        <f t="shared" ref="B63:Y63" si="36">B49</f>
        <v>0.56058995943839085</v>
      </c>
      <c r="C63" s="195">
        <f t="shared" si="36"/>
        <v>0.56553467285281467</v>
      </c>
      <c r="D63" s="195">
        <f t="shared" si="36"/>
        <v>0.56386318481281994</v>
      </c>
      <c r="E63" s="195">
        <f t="shared" si="36"/>
        <v>0.56218563276851263</v>
      </c>
      <c r="F63" s="195">
        <f t="shared" si="36"/>
        <v>0.56050187344314317</v>
      </c>
      <c r="G63" s="195">
        <f t="shared" si="36"/>
        <v>0.55881255243469385</v>
      </c>
      <c r="H63" s="195">
        <f t="shared" si="36"/>
        <v>0.55711949604619282</v>
      </c>
      <c r="I63" s="195">
        <f t="shared" si="36"/>
        <v>0.5554268562211957</v>
      </c>
      <c r="J63" s="195">
        <f t="shared" si="36"/>
        <v>0.55374244780957438</v>
      </c>
      <c r="K63" s="195">
        <f t="shared" si="36"/>
        <v>0.55208019314824175</v>
      </c>
      <c r="L63" s="195">
        <f t="shared" si="36"/>
        <v>0.55046391249107585</v>
      </c>
      <c r="M63" s="195">
        <f t="shared" si="36"/>
        <v>0.54893330555769759</v>
      </c>
      <c r="N63" s="195">
        <f t="shared" si="36"/>
        <v>0.54755254555273458</v>
      </c>
      <c r="O63" s="195">
        <f t="shared" si="36"/>
        <v>0.54641709092965185</v>
      </c>
      <c r="P63" s="195">
        <f t="shared" si="36"/>
        <v>0.54563559534328154</v>
      </c>
      <c r="Q63" s="195">
        <f t="shared" si="36"/>
        <v>0.54524255414458722</v>
      </c>
      <c r="R63" s="195">
        <f t="shared" si="36"/>
        <v>0.54511554137881868</v>
      </c>
      <c r="S63" s="195">
        <f t="shared" si="36"/>
        <v>0.54508971145955865</v>
      </c>
      <c r="T63" s="195">
        <f t="shared" si="36"/>
        <v>0.54508602754592383</v>
      </c>
      <c r="U63" s="195">
        <f t="shared" si="36"/>
        <v>0.54508557675037794</v>
      </c>
      <c r="V63" s="195">
        <f t="shared" si="36"/>
        <v>0.54508551662586402</v>
      </c>
      <c r="W63" s="195">
        <f t="shared" si="36"/>
        <v>0.54508540484157708</v>
      </c>
      <c r="X63" s="195">
        <f t="shared" si="36"/>
        <v>0.54508532897852879</v>
      </c>
      <c r="Y63" s="195">
        <f t="shared" si="36"/>
        <v>0.54508554334450443</v>
      </c>
      <c r="Z63" s="138"/>
    </row>
    <row r="64" spans="1:26" x14ac:dyDescent="0.2">
      <c r="A64" t="str">
        <f t="shared" ref="A64:Q64" si="37">A50</f>
        <v>Kaldorian</v>
      </c>
      <c r="B64" s="195">
        <f t="shared" si="37"/>
        <v>0.56058995943839085</v>
      </c>
      <c r="C64" s="195">
        <f t="shared" si="37"/>
        <v>0.55932270496056014</v>
      </c>
      <c r="D64" s="195">
        <f t="shared" si="37"/>
        <v>0.55089175159630965</v>
      </c>
      <c r="E64" s="195">
        <f t="shared" si="37"/>
        <v>0.54179906151281143</v>
      </c>
      <c r="F64" s="195">
        <f t="shared" si="37"/>
        <v>0.53190397993334737</v>
      </c>
      <c r="G64" s="195">
        <f t="shared" si="37"/>
        <v>0.52101991616472498</v>
      </c>
      <c r="H64" s="195">
        <f t="shared" si="37"/>
        <v>0.50888739035912134</v>
      </c>
      <c r="I64" s="195">
        <f t="shared" si="37"/>
        <v>0.4951326579452901</v>
      </c>
      <c r="J64" s="195">
        <f t="shared" si="37"/>
        <v>0.47918677006132226</v>
      </c>
      <c r="K64" s="195">
        <f t="shared" si="37"/>
        <v>0.46012991498758732</v>
      </c>
      <c r="L64" s="195">
        <f t="shared" si="37"/>
        <v>0.43636926628769379</v>
      </c>
      <c r="M64" s="195">
        <f t="shared" si="37"/>
        <v>0.40491698531379883</v>
      </c>
      <c r="N64" s="195">
        <f t="shared" si="37"/>
        <v>0.35962782529758885</v>
      </c>
      <c r="O64" s="195">
        <f t="shared" si="37"/>
        <v>0.28649898890635495</v>
      </c>
      <c r="P64" s="195">
        <f t="shared" si="37"/>
        <v>0.15002974343233594</v>
      </c>
      <c r="Q64" s="195" t="e">
        <f t="shared" si="37"/>
        <v>#DIV/0!</v>
      </c>
      <c r="R64" s="195"/>
      <c r="S64" s="195"/>
      <c r="T64" s="195"/>
      <c r="U64" s="195"/>
      <c r="V64" s="195"/>
      <c r="W64" s="195"/>
      <c r="X64" s="195"/>
      <c r="Y64" s="195"/>
      <c r="Z64" s="138"/>
    </row>
    <row r="65" spans="1:26" x14ac:dyDescent="0.2">
      <c r="A65" t="str">
        <f t="shared" ref="A65:Y65" si="38">A51</f>
        <v>Johansen</v>
      </c>
      <c r="B65" s="195">
        <f t="shared" si="38"/>
        <v>0.56058995943839085</v>
      </c>
      <c r="C65" s="195">
        <f t="shared" si="38"/>
        <v>0.56550673656444395</v>
      </c>
      <c r="D65" s="195">
        <f t="shared" si="38"/>
        <v>0.56380653255486457</v>
      </c>
      <c r="E65" s="195">
        <f t="shared" si="38"/>
        <v>0.56209940221526034</v>
      </c>
      <c r="F65" s="195">
        <f t="shared" si="38"/>
        <v>0.56038518928989001</v>
      </c>
      <c r="G65" s="195">
        <f t="shared" si="38"/>
        <v>0.55866471246504257</v>
      </c>
      <c r="H65" s="195">
        <f t="shared" si="38"/>
        <v>0.55694015474795278</v>
      </c>
      <c r="I65" s="195">
        <f t="shared" si="38"/>
        <v>0.55521638127904993</v>
      </c>
      <c r="J65" s="195">
        <f t="shared" si="38"/>
        <v>0.55350259389976841</v>
      </c>
      <c r="K65" s="195">
        <f t="shared" si="38"/>
        <v>0.55181495147092607</v>
      </c>
      <c r="L65" s="195">
        <f t="shared" si="38"/>
        <v>0.55018096746489953</v>
      </c>
      <c r="M65" s="195">
        <f t="shared" si="38"/>
        <v>0.54864634962709113</v>
      </c>
      <c r="N65" s="195">
        <f t="shared" si="38"/>
        <v>0.54728449170557714</v>
      </c>
      <c r="O65" s="195">
        <f t="shared" si="38"/>
        <v>0.54620169250423378</v>
      </c>
      <c r="P65" s="195">
        <f t="shared" si="38"/>
        <v>0.54550517598352921</v>
      </c>
      <c r="Q65" s="195">
        <f t="shared" si="38"/>
        <v>0.54519261198161784</v>
      </c>
      <c r="R65" s="195">
        <f t="shared" si="38"/>
        <v>0.54510449610344169</v>
      </c>
      <c r="S65" s="195">
        <f t="shared" si="38"/>
        <v>0.54508825727001309</v>
      </c>
      <c r="T65" s="195">
        <f t="shared" si="38"/>
        <v>0.54508592090981345</v>
      </c>
      <c r="U65" s="195">
        <f t="shared" si="38"/>
        <v>0.54508545644188644</v>
      </c>
      <c r="V65" s="195">
        <f t="shared" si="38"/>
        <v>0.54508555765091349</v>
      </c>
      <c r="W65" s="195">
        <f t="shared" si="38"/>
        <v>0.54508567428949517</v>
      </c>
      <c r="X65" s="195">
        <f t="shared" si="38"/>
        <v>0.54508536247046058</v>
      </c>
      <c r="Y65" s="195">
        <f t="shared" si="38"/>
        <v>0.54508532967454837</v>
      </c>
      <c r="Z65" s="138"/>
    </row>
    <row r="66" spans="1:26" x14ac:dyDescent="0.2">
      <c r="A66" t="str">
        <f t="shared" ref="A66:R66" si="39">A52</f>
        <v>Keynes-Kaldor</v>
      </c>
      <c r="B66" s="195">
        <f t="shared" si="39"/>
        <v>0.56058995943839085</v>
      </c>
      <c r="C66" s="195">
        <f t="shared" si="39"/>
        <v>0.55838900245651912</v>
      </c>
      <c r="D66" s="195">
        <f t="shared" si="39"/>
        <v>0.54904045429317372</v>
      </c>
      <c r="E66" s="195">
        <f t="shared" si="39"/>
        <v>0.5390359605315922</v>
      </c>
      <c r="F66" s="195">
        <f t="shared" si="39"/>
        <v>0.52822403907998816</v>
      </c>
      <c r="G66" s="195">
        <f t="shared" si="39"/>
        <v>0.51640462019291433</v>
      </c>
      <c r="H66" s="195">
        <f t="shared" si="39"/>
        <v>0.50330003846307481</v>
      </c>
      <c r="I66" s="195">
        <f t="shared" si="39"/>
        <v>0.48850823255722747</v>
      </c>
      <c r="J66" s="195">
        <f t="shared" si="39"/>
        <v>0.47141513286892062</v>
      </c>
      <c r="K66" s="195">
        <f t="shared" si="39"/>
        <v>0.45102851783017067</v>
      </c>
      <c r="L66" s="195">
        <f t="shared" si="39"/>
        <v>0.42564523775902313</v>
      </c>
      <c r="M66" s="195">
        <f t="shared" si="39"/>
        <v>0.39213909426208754</v>
      </c>
      <c r="N66" s="195">
        <f t="shared" si="39"/>
        <v>0.34435469116133355</v>
      </c>
      <c r="O66" s="195">
        <f t="shared" si="39"/>
        <v>0.26940559120224761</v>
      </c>
      <c r="P66" s="195">
        <f t="shared" si="39"/>
        <v>0.13955259003414694</v>
      </c>
      <c r="Q66" s="195" t="e">
        <f t="shared" si="39"/>
        <v>#DIV/0!</v>
      </c>
      <c r="R66" s="195" t="e">
        <f t="shared" si="39"/>
        <v>#DIV/0!</v>
      </c>
      <c r="S66" s="195"/>
      <c r="T66" s="195"/>
      <c r="U66" s="195"/>
      <c r="V66" s="195"/>
      <c r="W66" s="195"/>
      <c r="X66" s="195"/>
      <c r="Y66" s="195"/>
    </row>
    <row r="67" spans="1:26" x14ac:dyDescent="0.2">
      <c r="A67" t="str">
        <f t="shared" ref="A67:K67" si="40">A53</f>
        <v>Keynes-Marshall</v>
      </c>
      <c r="B67" s="195">
        <f t="shared" si="40"/>
        <v>0.56058995943839085</v>
      </c>
      <c r="C67" s="195">
        <f t="shared" si="40"/>
        <v>0.58712474280484428</v>
      </c>
      <c r="D67" s="195">
        <f t="shared" si="40"/>
        <v>0.60840640868942031</v>
      </c>
      <c r="E67" s="195">
        <f t="shared" si="40"/>
        <v>0.6313854895002835</v>
      </c>
      <c r="F67" s="195">
        <f t="shared" si="40"/>
        <v>0.65654703589682362</v>
      </c>
      <c r="G67" s="195">
        <f t="shared" si="40"/>
        <v>0.68463316448709111</v>
      </c>
      <c r="H67" s="195">
        <f t="shared" si="40"/>
        <v>0.71686420272124685</v>
      </c>
      <c r="I67" s="195">
        <f t="shared" si="40"/>
        <v>0.75542633549520088</v>
      </c>
      <c r="J67" s="195">
        <f t="shared" si="40"/>
        <v>0.80469077565207614</v>
      </c>
      <c r="K67" s="195">
        <f t="shared" si="40"/>
        <v>0.87493624177568496</v>
      </c>
      <c r="L67" s="195"/>
      <c r="M67" s="195"/>
      <c r="N67" s="195"/>
      <c r="O67" s="195"/>
      <c r="P67" s="195"/>
      <c r="Q67" s="195"/>
      <c r="R67" s="195"/>
      <c r="S67" s="195"/>
      <c r="T67" s="195"/>
      <c r="U67" s="195"/>
      <c r="V67" s="195"/>
      <c r="W67" s="195"/>
      <c r="X67" s="195"/>
      <c r="Y67" s="195"/>
    </row>
    <row r="68" spans="1:26" x14ac:dyDescent="0.2">
      <c r="A68" t="str">
        <f t="shared" ref="A68:N68" si="41">A54</f>
        <v>Keynesian</v>
      </c>
      <c r="B68" s="195">
        <f t="shared" si="41"/>
        <v>0.56058995943839085</v>
      </c>
      <c r="C68" s="195">
        <f t="shared" si="41"/>
        <v>0.57590510810526163</v>
      </c>
      <c r="D68" s="195">
        <f t="shared" si="41"/>
        <v>0.58448171719564546</v>
      </c>
      <c r="E68" s="195">
        <f t="shared" si="41"/>
        <v>0.59286817125627767</v>
      </c>
      <c r="F68" s="195">
        <f t="shared" si="41"/>
        <v>0.60099610779211365</v>
      </c>
      <c r="G68" s="195">
        <f t="shared" si="41"/>
        <v>0.60879280230287702</v>
      </c>
      <c r="H68" s="195">
        <f t="shared" si="41"/>
        <v>0.61618121856968022</v>
      </c>
      <c r="I68" s="195">
        <f t="shared" si="41"/>
        <v>0.62308184230910624</v>
      </c>
      <c r="J68" s="195">
        <f t="shared" si="41"/>
        <v>0.62940883128172054</v>
      </c>
      <c r="K68" s="195">
        <f t="shared" si="41"/>
        <v>0.6350609883062408</v>
      </c>
      <c r="L68" s="195">
        <f t="shared" si="41"/>
        <v>0.63986815995810764</v>
      </c>
      <c r="M68" s="195">
        <f t="shared" si="41"/>
        <v>0.64338316242839733</v>
      </c>
      <c r="N68" s="195">
        <f t="shared" si="41"/>
        <v>0.64396938881844334</v>
      </c>
      <c r="O68" s="195"/>
      <c r="P68" s="195"/>
      <c r="Q68" s="195"/>
      <c r="R68" s="195"/>
      <c r="S68" s="195"/>
      <c r="T68" s="195"/>
      <c r="U68" s="195"/>
      <c r="V68" s="195"/>
      <c r="W68" s="195"/>
      <c r="X68" s="195"/>
      <c r="Y68" s="195"/>
    </row>
    <row r="69" spans="1:26" x14ac:dyDescent="0.2">
      <c r="A69" t="str">
        <f t="shared" ref="A69:Y69" si="42">A55</f>
        <v>Neo-K1</v>
      </c>
      <c r="B69" s="195">
        <f t="shared" si="42"/>
        <v>0.56058995943839085</v>
      </c>
      <c r="C69" s="195">
        <f t="shared" si="42"/>
        <v>0.56658161560465614</v>
      </c>
      <c r="D69" s="195">
        <f t="shared" si="42"/>
        <v>0.56595746206658937</v>
      </c>
      <c r="E69" s="195">
        <f t="shared" si="42"/>
        <v>0.56532456184463031</v>
      </c>
      <c r="F69" s="195">
        <f t="shared" si="42"/>
        <v>0.56467858667763171</v>
      </c>
      <c r="G69" s="195">
        <f t="shared" si="42"/>
        <v>0.56401432310363397</v>
      </c>
      <c r="H69" s="195">
        <f t="shared" si="42"/>
        <v>0.56332571027097222</v>
      </c>
      <c r="I69" s="195">
        <f t="shared" si="42"/>
        <v>0.562605977941813</v>
      </c>
      <c r="J69" s="195">
        <f t="shared" si="42"/>
        <v>0.56184799540499841</v>
      </c>
      <c r="K69" s="195">
        <f t="shared" si="42"/>
        <v>0.56104490570636556</v>
      </c>
      <c r="L69" s="195">
        <f t="shared" si="42"/>
        <v>0.56019109147229373</v>
      </c>
      <c r="M69" s="195">
        <f t="shared" si="42"/>
        <v>0.55928338115504206</v>
      </c>
      <c r="N69" s="195">
        <f t="shared" si="42"/>
        <v>0.55832238531890754</v>
      </c>
      <c r="O69" s="195">
        <f t="shared" si="42"/>
        <v>0.5573134433602277</v>
      </c>
      <c r="P69" s="195">
        <f t="shared" si="42"/>
        <v>0.55626676040693102</v>
      </c>
      <c r="Q69" s="195">
        <f t="shared" si="42"/>
        <v>0.55519641571304157</v>
      </c>
      <c r="R69" s="195">
        <f t="shared" si="42"/>
        <v>0.5541184302401071</v>
      </c>
      <c r="S69" s="195">
        <f t="shared" si="42"/>
        <v>0.55304851628490015</v>
      </c>
      <c r="T69" s="195">
        <f t="shared" si="42"/>
        <v>0.552000229713553</v>
      </c>
      <c r="U69" s="195">
        <f t="shared" si="42"/>
        <v>0.55098395356390317</v>
      </c>
      <c r="V69" s="195">
        <f t="shared" si="42"/>
        <v>0.55078520733104375</v>
      </c>
      <c r="W69" s="195">
        <f t="shared" si="42"/>
        <v>0.55058808577863083</v>
      </c>
      <c r="X69" s="195">
        <f t="shared" si="42"/>
        <v>0.55039260410514679</v>
      </c>
      <c r="Y69" s="195">
        <f t="shared" si="42"/>
        <v>0.55019879775369473</v>
      </c>
    </row>
    <row r="70" spans="1:26" x14ac:dyDescent="0.2">
      <c r="A70" t="str">
        <f t="shared" ref="A70:Y70" si="43">A56</f>
        <v>Neo-K2</v>
      </c>
      <c r="B70" s="195">
        <f t="shared" si="43"/>
        <v>0.56058995943839085</v>
      </c>
      <c r="C70" s="195">
        <f t="shared" si="43"/>
        <v>0.56772118456608844</v>
      </c>
      <c r="D70" s="195">
        <f t="shared" si="43"/>
        <v>0.56832409171421849</v>
      </c>
      <c r="E70" s="195">
        <f t="shared" si="43"/>
        <v>0.56901440842598339</v>
      </c>
      <c r="F70" s="195">
        <f t="shared" si="43"/>
        <v>0.56979587695459799</v>
      </c>
      <c r="G70" s="195">
        <f t="shared" si="43"/>
        <v>0.57066994705192975</v>
      </c>
      <c r="H70" s="195">
        <f t="shared" si="43"/>
        <v>0.57163467080157371</v>
      </c>
      <c r="I70" s="195">
        <f t="shared" si="43"/>
        <v>0.57268334107898422</v>
      </c>
      <c r="J70" s="195">
        <f t="shared" si="43"/>
        <v>0.57380284385965652</v>
      </c>
      <c r="K70" s="195">
        <f t="shared" si="43"/>
        <v>0.57497161939845465</v>
      </c>
      <c r="L70" s="195">
        <f t="shared" si="43"/>
        <v>0.5761568692892074</v>
      </c>
      <c r="M70" s="195">
        <f t="shared" si="43"/>
        <v>0.57731047558706927</v>
      </c>
      <c r="N70" s="195">
        <f t="shared" si="43"/>
        <v>0.57836277196849473</v>
      </c>
      <c r="O70" s="195">
        <f t="shared" si="43"/>
        <v>0.57921332593817254</v>
      </c>
      <c r="P70" s="195">
        <f t="shared" si="43"/>
        <v>0.57971651982790651</v>
      </c>
      <c r="Q70" s="195">
        <f t="shared" si="43"/>
        <v>0.57965038078825337</v>
      </c>
      <c r="R70" s="195" t="e">
        <f t="shared" si="43"/>
        <v>#DIV/0!</v>
      </c>
      <c r="S70" s="195" t="e">
        <f t="shared" si="43"/>
        <v>#DIV/0!</v>
      </c>
      <c r="T70" s="195" t="e">
        <f t="shared" si="43"/>
        <v>#DIV/0!</v>
      </c>
      <c r="U70" s="195" t="e">
        <f t="shared" si="43"/>
        <v>#DIV/0!</v>
      </c>
      <c r="V70" s="195" t="e">
        <f t="shared" si="43"/>
        <v>#DIV/0!</v>
      </c>
      <c r="W70" s="195" t="e">
        <f t="shared" si="43"/>
        <v>#DIV/0!</v>
      </c>
      <c r="X70" s="195" t="e">
        <f t="shared" si="43"/>
        <v>#DIV/0!</v>
      </c>
      <c r="Y70" s="195" t="e">
        <f t="shared" si="43"/>
        <v>#DIV/0!</v>
      </c>
    </row>
    <row r="72" spans="1:26" x14ac:dyDescent="0.2">
      <c r="A72" t="s">
        <v>165</v>
      </c>
    </row>
    <row r="73" spans="1:26" x14ac:dyDescent="0.2">
      <c r="A73" t="s">
        <v>147</v>
      </c>
      <c r="B73" s="94">
        <v>0</v>
      </c>
      <c r="C73" s="94">
        <v>0.05</v>
      </c>
      <c r="D73" s="94">
        <v>0.1</v>
      </c>
      <c r="E73" s="94">
        <v>0.15000000000000002</v>
      </c>
      <c r="F73" s="94">
        <v>0.2</v>
      </c>
      <c r="G73" s="94">
        <v>0.25</v>
      </c>
      <c r="H73" s="94">
        <v>0.3</v>
      </c>
      <c r="I73" s="94">
        <v>0.35</v>
      </c>
      <c r="J73" s="94">
        <v>0.39999999999999997</v>
      </c>
      <c r="K73" s="94">
        <v>0.44999999999999996</v>
      </c>
      <c r="L73" s="94">
        <v>0.49999999999999994</v>
      </c>
      <c r="M73" s="94">
        <v>0.54999999999999993</v>
      </c>
      <c r="N73" s="94">
        <v>0.6</v>
      </c>
      <c r="O73" s="94">
        <v>0.65</v>
      </c>
      <c r="P73" s="94">
        <v>0.70000000000000007</v>
      </c>
      <c r="Q73" s="94">
        <v>0.75000000000000011</v>
      </c>
      <c r="R73" s="94">
        <v>0.80000000000000016</v>
      </c>
      <c r="S73" s="94">
        <v>0.8500000000000002</v>
      </c>
      <c r="T73" s="94">
        <v>0.90000000000000024</v>
      </c>
      <c r="U73" s="94">
        <v>0.95000000000000029</v>
      </c>
      <c r="V73" s="94">
        <v>0.9600000000000003</v>
      </c>
      <c r="W73" s="94">
        <v>0.97000000000000031</v>
      </c>
      <c r="X73" s="94">
        <v>0.98000000000000032</v>
      </c>
      <c r="Y73" s="94">
        <v>0.99000000000000032</v>
      </c>
    </row>
    <row r="74" spans="1:26" x14ac:dyDescent="0.2">
      <c r="A74" t="s">
        <v>89</v>
      </c>
      <c r="B74" s="80">
        <f>NeoClassical!B$24</f>
        <v>3196.3846373657216</v>
      </c>
      <c r="C74" s="80">
        <f>NeoClassical!D$24</f>
        <v>3248.0754767360122</v>
      </c>
      <c r="D74" s="80">
        <f>NeoClassical!F$24</f>
        <v>3301.4750904046959</v>
      </c>
      <c r="E74" s="80">
        <f>NeoClassical!H$24</f>
        <v>3356.8476001250892</v>
      </c>
      <c r="F74" s="80">
        <f>NeoClassical!J$24</f>
        <v>3414.5213999790062</v>
      </c>
      <c r="G74" s="80">
        <f>NeoClassical!L$24</f>
        <v>3474.9176552367644</v>
      </c>
      <c r="H74" s="80">
        <f>NeoClassical!N$24</f>
        <v>3538.6051505496393</v>
      </c>
      <c r="I74" s="80">
        <f>NeoClassical!P$24</f>
        <v>3606.388121909878</v>
      </c>
      <c r="J74" s="80">
        <f>NeoClassical!R$24</f>
        <v>3679.4712053720855</v>
      </c>
      <c r="K74" s="80">
        <f>NeoClassical!T$24</f>
        <v>3759.7674085163485</v>
      </c>
      <c r="L74" s="80">
        <f>NeoClassical!V$24</f>
        <v>3850.4860002899563</v>
      </c>
      <c r="M74" s="80">
        <f>NeoClassical!X$24</f>
        <v>3957.2949826880972</v>
      </c>
      <c r="N74" s="80">
        <f>NeoClassical!Z$24</f>
        <v>4090.6097653340521</v>
      </c>
      <c r="O74" s="80">
        <f>NeoClassical!AB$24</f>
        <v>4269.6657112446164</v>
      </c>
      <c r="P74" s="80">
        <f>NeoClassical!AD$24</f>
        <v>4526.5733059824297</v>
      </c>
      <c r="Q74" s="80">
        <f>NeoClassical!AF$24</f>
        <v>4896.7418416125656</v>
      </c>
      <c r="R74" s="80">
        <f>NeoClassical!AH$24</f>
        <v>5368.0431115827105</v>
      </c>
      <c r="S74" s="80">
        <f>NeoClassical!AJ$24</f>
        <v>5750.5063881042333</v>
      </c>
      <c r="T74" s="80">
        <f>NeoClassical!AL$24</f>
        <v>5378.3302033496548</v>
      </c>
      <c r="U74" s="80">
        <f>NeoClassical!AN$24</f>
        <v>3285.7782296000842</v>
      </c>
      <c r="V74" s="80">
        <f>NeoClassical!AP$24</f>
        <v>2673.4913313344555</v>
      </c>
      <c r="W74" s="80">
        <f>NeoClassical!AR$24</f>
        <v>2026.308285387096</v>
      </c>
      <c r="X74" s="80">
        <f>NeoClassical!AT$24</f>
        <v>1358.286275668891</v>
      </c>
      <c r="Y74" s="80">
        <f>NeoClassical!AV$24</f>
        <v>680.52294254160347</v>
      </c>
    </row>
    <row r="75" spans="1:26" x14ac:dyDescent="0.2">
      <c r="A75" t="s">
        <v>90</v>
      </c>
      <c r="B75" s="80">
        <f>Johansen!B$24</f>
        <v>3196.3846373657216</v>
      </c>
      <c r="C75" s="80">
        <f>Johansen!D$24</f>
        <v>3203.6767484307825</v>
      </c>
      <c r="D75" s="80">
        <f>Johansen!F$24</f>
        <v>3210.541563820359</v>
      </c>
      <c r="E75" s="80">
        <f>Johansen!H$24</f>
        <v>3216.8817622370875</v>
      </c>
      <c r="F75" s="80">
        <f>Johansen!J$24</f>
        <v>3222.5734689878577</v>
      </c>
      <c r="G75" s="80">
        <f>Johansen!L$24</f>
        <v>3227.4570226493593</v>
      </c>
      <c r="H75" s="80">
        <f>Johansen!N$24</f>
        <v>3231.3261180079785</v>
      </c>
      <c r="I75" s="80">
        <f>Johansen!P$24</f>
        <v>3233.9105358930678</v>
      </c>
      <c r="J75" s="80">
        <f>Johansen!R$24</f>
        <v>3234.8507713236399</v>
      </c>
      <c r="K75" s="80">
        <f>Johansen!T$24</f>
        <v>3233.6586162649633</v>
      </c>
      <c r="L75" s="80">
        <f>Johansen!V$24</f>
        <v>3229.6469047516111</v>
      </c>
      <c r="M75" s="80">
        <f>Johansen!X$24</f>
        <v>3221.7922040837939</v>
      </c>
      <c r="N75" s="80">
        <f>Johansen!Z$24</f>
        <v>3208.4174055919048</v>
      </c>
      <c r="O75" s="80">
        <f>Johansen!AB$24</f>
        <v>3186.3102554056595</v>
      </c>
      <c r="P75" s="80">
        <f>Johansen!AD$24</f>
        <v>3147.9743756978687</v>
      </c>
      <c r="Q75" s="80">
        <f>Johansen!AF$24</f>
        <v>3074.0609367726847</v>
      </c>
      <c r="R75" s="80">
        <f>Johansen!AH$24</f>
        <v>2919.2225720776523</v>
      </c>
      <c r="S75" s="80">
        <f>Johansen!AJ$24</f>
        <v>2595.3483984220702</v>
      </c>
      <c r="T75" s="80">
        <f>Johansen!AL$24</f>
        <v>1983.2561918924439</v>
      </c>
      <c r="U75" s="80">
        <f>Johansen!AN$24</f>
        <v>1061.4617180093528</v>
      </c>
      <c r="V75" s="80">
        <f>Johansen!AP$24</f>
        <v>853.67386909372533</v>
      </c>
      <c r="W75" s="80">
        <f>Johansen!AR$24</f>
        <v>642.33929192082383</v>
      </c>
      <c r="X75" s="80">
        <f>Johansen!AT$24</f>
        <v>428.94655062512516</v>
      </c>
      <c r="Y75" s="80">
        <f>Johansen!AV$24</f>
        <v>214.60657516336198</v>
      </c>
    </row>
    <row r="76" spans="1:26" x14ac:dyDescent="0.2">
      <c r="A76" t="s">
        <v>143</v>
      </c>
      <c r="B76" s="80">
        <f>Kaldorian!B$24</f>
        <v>3196.3846373657216</v>
      </c>
      <c r="C76" s="80">
        <f>Kaldorian!D$24</f>
        <v>3203.746955856267</v>
      </c>
      <c r="D76" s="80">
        <f>Kaldorian!F$24</f>
        <v>3210.6874155663108</v>
      </c>
      <c r="E76" s="80">
        <f>Kaldorian!H$24</f>
        <v>3217.1093136846125</v>
      </c>
      <c r="F76" s="80">
        <f>Kaldorian!J$24</f>
        <v>3222.8891259141269</v>
      </c>
      <c r="G76" s="80">
        <f>Kaldorian!L$24</f>
        <v>3227.8673099423927</v>
      </c>
      <c r="H76" s="80">
        <f>Kaldorian!N$24</f>
        <v>3231.8368240348782</v>
      </c>
      <c r="I76" s="80">
        <f>Kaldorian!P$24</f>
        <v>3234.5256025393596</v>
      </c>
      <c r="J76" s="80">
        <f>Kaldorian!R$24</f>
        <v>3235.5703062916032</v>
      </c>
      <c r="K76" s="80">
        <f>Kaldorian!T$24</f>
        <v>3234.4755569533768</v>
      </c>
      <c r="L76" s="80">
        <f>Kaldorian!V$24</f>
        <v>3230.5413234954817</v>
      </c>
      <c r="M76" s="80">
        <f>Kaldorian!X$24</f>
        <v>3222.721849378946</v>
      </c>
      <c r="N76" s="80">
        <f>Kaldorian!Z$24</f>
        <v>3209.3026995312484</v>
      </c>
      <c r="O76" s="80">
        <f>Kaldorian!AB$24</f>
        <v>3187.0242207415931</v>
      </c>
      <c r="P76" s="80">
        <f>Kaldorian!AD$24</f>
        <v>3148.3907736480428</v>
      </c>
      <c r="Q76" s="80">
        <f>Kaldorian!AF$24</f>
        <v>0</v>
      </c>
      <c r="R76" s="80">
        <f>Kaldorian!AH$24</f>
        <v>0</v>
      </c>
      <c r="S76" s="80">
        <f>Kaldorian!AJ$24</f>
        <v>0</v>
      </c>
      <c r="T76" s="80">
        <f>Kaldorian!AL$24</f>
        <v>0</v>
      </c>
      <c r="U76" s="80">
        <f>Kaldorian!AN$24</f>
        <v>0</v>
      </c>
      <c r="V76" s="80">
        <f>Kaldorian!AP$24</f>
        <v>0</v>
      </c>
      <c r="W76" s="80">
        <f>Kaldorian!AR$24</f>
        <v>0</v>
      </c>
      <c r="X76" s="80">
        <f>Kaldorian!AT$24</f>
        <v>0</v>
      </c>
      <c r="Y76" s="80">
        <f>Kaldorian!AV$24</f>
        <v>0</v>
      </c>
    </row>
    <row r="77" spans="1:26" x14ac:dyDescent="0.2">
      <c r="A77" t="s">
        <v>146</v>
      </c>
      <c r="B77" s="80">
        <f>'Keynes-K'!B$24</f>
        <v>3196.3846373657216</v>
      </c>
      <c r="C77" s="80">
        <f>'Keynes-K'!D$24</f>
        <v>3227.5411502375359</v>
      </c>
      <c r="D77" s="80">
        <f>'Keynes-K'!F$24</f>
        <v>3256.4117337540001</v>
      </c>
      <c r="E77" s="80">
        <f>'Keynes-K'!H$24</f>
        <v>3282.8144440513579</v>
      </c>
      <c r="F77" s="80">
        <f>'Keynes-K'!J$24</f>
        <v>3306.4794720487548</v>
      </c>
      <c r="G77" s="80">
        <f>'Keynes-K'!L$24</f>
        <v>3327.0350662757019</v>
      </c>
      <c r="H77" s="80">
        <f>'Keynes-K'!N$24</f>
        <v>3343.9822331007986</v>
      </c>
      <c r="I77" s="80">
        <f>'Keynes-K'!P$24</f>
        <v>3356.6677945937945</v>
      </c>
      <c r="J77" s="80">
        <f>'Keynes-K'!R$24</f>
        <v>3364.232877455469</v>
      </c>
      <c r="K77" s="80">
        <f>'Keynes-K'!T$24</f>
        <v>3365.539999882873</v>
      </c>
      <c r="L77" s="80">
        <f>'Keynes-K'!V$24</f>
        <v>3359.0324135159376</v>
      </c>
      <c r="M77" s="80">
        <f>'Keynes-K'!X$24</f>
        <v>3342.4493964696512</v>
      </c>
      <c r="N77" s="80">
        <f>'Keynes-K'!Z$24</f>
        <v>3312.1252920738107</v>
      </c>
      <c r="O77" s="80">
        <f>'Keynes-K'!AB$24</f>
        <v>3261.0568524690702</v>
      </c>
      <c r="P77" s="80">
        <f>'Keynes-K'!AD$24</f>
        <v>3173.864404807794</v>
      </c>
      <c r="Q77" s="80">
        <f>'Keynes-K'!AF$24</f>
        <v>0</v>
      </c>
      <c r="R77" s="80">
        <f>'Keynes-K'!AH$24</f>
        <v>0</v>
      </c>
      <c r="S77" s="80">
        <f>'Keynes-K'!AJ$24</f>
        <v>0</v>
      </c>
      <c r="T77" s="80">
        <f>'Keynes-K'!AL$24</f>
        <v>0</v>
      </c>
      <c r="U77" s="80">
        <f>'Keynes-K'!AN$24</f>
        <v>0</v>
      </c>
      <c r="V77" s="80">
        <f>'Keynes-K'!AP$24</f>
        <v>0</v>
      </c>
      <c r="W77" s="80">
        <f>'Keynes-K'!AR$24</f>
        <v>0</v>
      </c>
      <c r="X77" s="80">
        <f>'Keynes-K'!AT$24</f>
        <v>0</v>
      </c>
      <c r="Y77" s="80">
        <f>'Keynes-K'!AV$24</f>
        <v>0</v>
      </c>
    </row>
    <row r="78" spans="1:26" x14ac:dyDescent="0.2">
      <c r="A78" t="s">
        <v>144</v>
      </c>
      <c r="B78" s="80">
        <f>'Keynes-M'!B$24</f>
        <v>3196.3846373657216</v>
      </c>
      <c r="C78" s="80">
        <f>'Keynes-M'!D$24</f>
        <v>3270.5781775134865</v>
      </c>
      <c r="D78" s="80">
        <f>'Keynes-M'!F$24</f>
        <v>3347.7751727986583</v>
      </c>
      <c r="E78" s="80">
        <f>'Keynes-M'!H$24</f>
        <v>3428.7068041978105</v>
      </c>
      <c r="F78" s="80">
        <f>'Keynes-M'!J$24</f>
        <v>3514.4196777670327</v>
      </c>
      <c r="G78" s="80">
        <f>'Keynes-M'!L$24</f>
        <v>3606.549174427591</v>
      </c>
      <c r="H78" s="80">
        <f>'Keynes-M'!N$24</f>
        <v>3707.8600454334819</v>
      </c>
      <c r="I78" s="80">
        <f>'Keynes-M'!P$24</f>
        <v>3823.4493843487858</v>
      </c>
      <c r="J78" s="80">
        <f>'Keynes-M'!R$24</f>
        <v>3963.7538435256761</v>
      </c>
      <c r="K78" s="80">
        <f>'Keynes-M'!T$24</f>
        <v>4153.6926054695314</v>
      </c>
      <c r="L78" s="80">
        <f>'Keynes-M'!V$24</f>
        <v>0</v>
      </c>
      <c r="M78" s="80">
        <f>'Keynes-M'!X$24</f>
        <v>0</v>
      </c>
      <c r="N78" s="80">
        <f>'Keynes-M'!Z$24</f>
        <v>0</v>
      </c>
      <c r="O78" s="80">
        <f>'Keynes-M'!AB$24</f>
        <v>0</v>
      </c>
      <c r="P78" s="80">
        <f>'Keynes-M'!AD$24</f>
        <v>0</v>
      </c>
      <c r="Q78" s="80">
        <f>'Keynes-M'!AF$24</f>
        <v>0</v>
      </c>
      <c r="R78" s="80">
        <f>'Keynes-M'!AH$24</f>
        <v>0</v>
      </c>
      <c r="S78" s="80">
        <f>'Keynes-M'!AJ$24</f>
        <v>0</v>
      </c>
      <c r="T78" s="80">
        <f>'Keynes-M'!AL$24</f>
        <v>0</v>
      </c>
      <c r="U78" s="80">
        <f>'Keynes-M'!AN$24</f>
        <v>0</v>
      </c>
      <c r="V78" s="80">
        <f>'Keynes-M'!AP$24</f>
        <v>0</v>
      </c>
      <c r="W78" s="80">
        <f>'Keynes-M'!AR$24</f>
        <v>0</v>
      </c>
      <c r="X78" s="80">
        <f>'Keynes-M'!AT$24</f>
        <v>0</v>
      </c>
      <c r="Y78" s="80">
        <f>'Keynes-M'!AV$24</f>
        <v>0</v>
      </c>
    </row>
    <row r="79" spans="1:26" x14ac:dyDescent="0.2">
      <c r="A79" t="s">
        <v>145</v>
      </c>
      <c r="B79" s="80">
        <f>Keynesian!B$24</f>
        <v>3196.3846373657216</v>
      </c>
      <c r="C79" s="80">
        <f>Keynesian!D$24</f>
        <v>3119.8764006559363</v>
      </c>
      <c r="D79" s="80">
        <f>Keynesian!F$24</f>
        <v>3034.0914671031569</v>
      </c>
      <c r="E79" s="80">
        <f>Keynesian!H$24</f>
        <v>2938.3889390820882</v>
      </c>
      <c r="F79" s="80">
        <f>Keynesian!J$24</f>
        <v>2832.2618427978973</v>
      </c>
      <c r="G79" s="80">
        <f>Keynesian!L$24</f>
        <v>2715.4086203155794</v>
      </c>
      <c r="H79" s="80">
        <f>Keynesian!N$24</f>
        <v>2587.8169016896245</v>
      </c>
      <c r="I79" s="80">
        <f>Keynesian!P$24</f>
        <v>2449.8787525521234</v>
      </c>
      <c r="J79" s="80">
        <f>Keynesian!R$24</f>
        <v>2302.569655771526</v>
      </c>
      <c r="K79" s="80">
        <f>Keynesian!T$24</f>
        <v>2147.8464065552448</v>
      </c>
      <c r="L79" s="80">
        <f>Keynesian!V$24</f>
        <v>1989.8274117983788</v>
      </c>
      <c r="M79" s="80">
        <f>Keynesian!X$24</f>
        <v>1839.6015405680268</v>
      </c>
      <c r="N79" s="80">
        <f>Keynesian!Z$24</f>
        <v>1733.9944543958793</v>
      </c>
      <c r="O79" s="80">
        <f>Keynesian!AB$24</f>
        <v>1698.7810750799488</v>
      </c>
      <c r="P79" s="80">
        <f>Keynesian!AD$24</f>
        <v>0</v>
      </c>
      <c r="Q79" s="80">
        <f>Keynesian!AF$24</f>
        <v>0</v>
      </c>
      <c r="R79" s="80">
        <f>Keynesian!AH$24</f>
        <v>0</v>
      </c>
      <c r="S79" s="80">
        <f>Keynesian!AJ$24</f>
        <v>0</v>
      </c>
      <c r="T79" s="80">
        <f>Keynesian!AL$24</f>
        <v>0</v>
      </c>
      <c r="U79" s="80">
        <f>Keynesian!AN$24</f>
        <v>0</v>
      </c>
      <c r="V79" s="80">
        <f>Keynesian!AP$24</f>
        <v>0</v>
      </c>
      <c r="W79" s="80">
        <f>Keynesian!AR$24</f>
        <v>0</v>
      </c>
      <c r="X79" s="80">
        <f>Keynesian!AT$24</f>
        <v>0</v>
      </c>
      <c r="Y79" s="80">
        <f>Keynesian!AV$24</f>
        <v>0</v>
      </c>
    </row>
    <row r="80" spans="1:26" x14ac:dyDescent="0.2">
      <c r="A80" t="s">
        <v>158</v>
      </c>
      <c r="B80" s="80">
        <f>'Neo-K1'!B$24</f>
        <v>3196.3846373657216</v>
      </c>
      <c r="C80" s="80">
        <f>'Neo-K1'!D$24</f>
        <v>3209.2465405070666</v>
      </c>
      <c r="D80" s="80">
        <f>'Neo-K1'!F$24</f>
        <v>3218.1856234523752</v>
      </c>
      <c r="E80" s="80">
        <f>'Neo-K1'!H$24</f>
        <v>3222.224911393741</v>
      </c>
      <c r="F80" s="80">
        <f>'Neo-K1'!J$24</f>
        <v>3220.1304457290848</v>
      </c>
      <c r="G80" s="80">
        <f>'Neo-K1'!L$24</f>
        <v>3210.3404438788916</v>
      </c>
      <c r="H80" s="80">
        <f>'Neo-K1'!N$24</f>
        <v>3190.8932510808045</v>
      </c>
      <c r="I80" s="80">
        <f>'Neo-K1'!P$24</f>
        <v>3159.3427009978918</v>
      </c>
      <c r="J80" s="80">
        <f>'Neo-K1'!R$24</f>
        <v>3112.6789164975853</v>
      </c>
      <c r="K80" s="80">
        <f>'Neo-K1'!T$24</f>
        <v>3047.2766024415942</v>
      </c>
      <c r="L80" s="80">
        <f>'Neo-K1'!V$24</f>
        <v>2958.9042818867906</v>
      </c>
      <c r="M80" s="80">
        <f>'Neo-K1'!X$24</f>
        <v>2842.8440240419659</v>
      </c>
      <c r="N80" s="80">
        <f>'Neo-K1'!Z$24</f>
        <v>2694.1624580163157</v>
      </c>
      <c r="O80" s="80">
        <f>'Neo-K1'!AB$24</f>
        <v>2508.1450317392409</v>
      </c>
      <c r="P80" s="80">
        <f>'Neo-K1'!AD$24</f>
        <v>2280.8297375704828</v>
      </c>
      <c r="Q80" s="80">
        <f>'Neo-K1'!AF$24</f>
        <v>2009.5033273068736</v>
      </c>
      <c r="R80" s="80">
        <f>'Neo-K1'!AH$24</f>
        <v>1692.9992619730481</v>
      </c>
      <c r="S80" s="80">
        <f>'Neo-K1'!AJ$24</f>
        <v>1331.7034505384458</v>
      </c>
      <c r="T80" s="80">
        <f>'Neo-K1'!AL$24</f>
        <v>927.30064217423865</v>
      </c>
      <c r="U80" s="80">
        <f>'Neo-K1'!AN$24</f>
        <v>482.37451660949012</v>
      </c>
      <c r="V80" s="80">
        <f>'Neo-K1'!AP$24</f>
        <v>388.79269896494702</v>
      </c>
      <c r="W80" s="80">
        <f>'Neo-K1'!AR$24</f>
        <v>293.73809180385462</v>
      </c>
      <c r="X80" s="80">
        <f>'Neo-K1'!AT$24</f>
        <v>197.23714238036314</v>
      </c>
      <c r="Y80" s="80">
        <f>'Neo-K1'!AV$24</f>
        <v>99.315780981261028</v>
      </c>
    </row>
    <row r="81" spans="1:25" x14ac:dyDescent="0.2">
      <c r="A81" t="s">
        <v>157</v>
      </c>
      <c r="B81" s="80">
        <f>'Neo-K2'!B$24</f>
        <v>3196.3846373657216</v>
      </c>
      <c r="C81" s="80">
        <f>'Neo-K2'!D$24</f>
        <v>3196.3846373657216</v>
      </c>
      <c r="D81" s="80">
        <f>'Neo-K2'!F$24</f>
        <v>3196.3846373657216</v>
      </c>
      <c r="E81" s="80">
        <f>'Neo-K2'!H$24</f>
        <v>3196.3846373657216</v>
      </c>
      <c r="F81" s="80">
        <f>'Neo-K2'!J$24</f>
        <v>3196.3846373657216</v>
      </c>
      <c r="G81" s="80">
        <f>'Neo-K2'!L$24</f>
        <v>3196.3846373657216</v>
      </c>
      <c r="H81" s="80">
        <f>'Neo-K2'!N$24</f>
        <v>3196.3846373657216</v>
      </c>
      <c r="I81" s="80">
        <f>'Neo-K2'!P$24</f>
        <v>3196.3846373657216</v>
      </c>
      <c r="J81" s="80">
        <f>'Neo-K2'!R$24</f>
        <v>3196.3846373657216</v>
      </c>
      <c r="K81" s="80">
        <f>'Neo-K2'!T$24</f>
        <v>3196.3846373657216</v>
      </c>
      <c r="L81" s="80">
        <f>'Neo-K2'!V$24</f>
        <v>3196.3846373657216</v>
      </c>
      <c r="M81" s="80">
        <f>'Neo-K2'!X$24</f>
        <v>3196.3846373657216</v>
      </c>
      <c r="N81" s="80">
        <f>'Neo-K2'!Z$24</f>
        <v>3196.3846373657216</v>
      </c>
      <c r="O81" s="80">
        <f>'Neo-K2'!AB$24</f>
        <v>3196.3846373657216</v>
      </c>
      <c r="P81" s="80">
        <f>'Neo-K2'!AD$24</f>
        <v>3196.3846373657216</v>
      </c>
      <c r="Q81" s="80">
        <f>'Neo-K2'!AF$24</f>
        <v>3196.3846373657216</v>
      </c>
      <c r="R81" s="80">
        <f>'Neo-K2'!AH$24</f>
        <v>0</v>
      </c>
      <c r="S81" s="80">
        <f>'Neo-K2'!AJ$24</f>
        <v>0</v>
      </c>
      <c r="T81" s="80">
        <f>'Neo-K2'!AL$24</f>
        <v>0</v>
      </c>
      <c r="U81" s="80">
        <f>'Neo-K2'!AN$24</f>
        <v>0</v>
      </c>
      <c r="V81" s="80">
        <f>'Neo-K2'!AP$24</f>
        <v>0</v>
      </c>
      <c r="W81" s="80">
        <f>'Neo-K2'!AR$24</f>
        <v>0</v>
      </c>
      <c r="X81" s="80">
        <f>'Neo-K2'!AT$24</f>
        <v>0</v>
      </c>
      <c r="Y81" s="80">
        <f>'Neo-K2'!AV$24</f>
        <v>0</v>
      </c>
    </row>
    <row r="84" spans="1:25" x14ac:dyDescent="0.2">
      <c r="A84" t="s">
        <v>197</v>
      </c>
      <c r="B84" s="94">
        <f>B33</f>
        <v>0</v>
      </c>
      <c r="C84" s="94">
        <f t="shared" ref="C84:Y92" si="44">C33</f>
        <v>0.05</v>
      </c>
      <c r="D84" s="94">
        <f t="shared" si="44"/>
        <v>0.1</v>
      </c>
      <c r="E84" s="94">
        <f t="shared" si="44"/>
        <v>0.15000000000000002</v>
      </c>
      <c r="F84" s="94">
        <f t="shared" si="44"/>
        <v>0.2</v>
      </c>
      <c r="G84" s="94">
        <f t="shared" si="44"/>
        <v>0.25</v>
      </c>
      <c r="H84" s="94">
        <f t="shared" si="44"/>
        <v>0.3</v>
      </c>
      <c r="I84" s="94">
        <f t="shared" si="44"/>
        <v>0.35</v>
      </c>
      <c r="J84" s="94">
        <f t="shared" si="44"/>
        <v>0.39999999999999997</v>
      </c>
      <c r="K84" s="94">
        <f t="shared" si="44"/>
        <v>0.44999999999999996</v>
      </c>
      <c r="L84" s="94">
        <f t="shared" si="44"/>
        <v>0.49999999999999994</v>
      </c>
      <c r="M84" s="94">
        <f t="shared" si="44"/>
        <v>0.54999999999999993</v>
      </c>
      <c r="N84" s="94">
        <f t="shared" si="44"/>
        <v>0.6</v>
      </c>
      <c r="O84" s="94">
        <f t="shared" si="44"/>
        <v>0.65</v>
      </c>
      <c r="P84" s="94">
        <f t="shared" si="44"/>
        <v>0.70000000000000007</v>
      </c>
      <c r="Q84" s="94">
        <f t="shared" si="44"/>
        <v>0.75000000000000011</v>
      </c>
      <c r="R84" s="94">
        <f t="shared" si="44"/>
        <v>0.80000000000000016</v>
      </c>
      <c r="S84" s="94">
        <f t="shared" si="44"/>
        <v>0.8500000000000002</v>
      </c>
      <c r="T84" s="94">
        <f t="shared" si="44"/>
        <v>0.90000000000000024</v>
      </c>
      <c r="U84" s="94">
        <f t="shared" si="44"/>
        <v>0.95000000000000029</v>
      </c>
      <c r="V84" s="94">
        <f t="shared" si="44"/>
        <v>0.9600000000000003</v>
      </c>
      <c r="W84" s="94">
        <f t="shared" si="44"/>
        <v>0.97000000000000031</v>
      </c>
      <c r="X84" s="94">
        <f t="shared" si="44"/>
        <v>0.98000000000000032</v>
      </c>
      <c r="Y84" s="94">
        <f t="shared" si="44"/>
        <v>0.99000000000000032</v>
      </c>
    </row>
    <row r="85" spans="1:25" x14ac:dyDescent="0.2">
      <c r="A85" t="str">
        <f>A3</f>
        <v>Neoclassical</v>
      </c>
      <c r="B85" s="240">
        <f t="shared" ref="B85:Q92" si="45">B34</f>
        <v>5.7716594496607888E-3</v>
      </c>
      <c r="C85" s="240">
        <f t="shared" si="45"/>
        <v>6.7812480990908711E-2</v>
      </c>
      <c r="D85" s="240">
        <f t="shared" si="45"/>
        <v>0.13647328277484713</v>
      </c>
      <c r="E85" s="240">
        <f t="shared" si="45"/>
        <v>0.21290927954444849</v>
      </c>
      <c r="F85" s="240">
        <f t="shared" si="45"/>
        <v>0.29861409573997216</v>
      </c>
      <c r="G85" s="240">
        <f t="shared" si="45"/>
        <v>0.39557250707412789</v>
      </c>
      <c r="H85" s="240">
        <f t="shared" si="45"/>
        <v>0.50653152003303714</v>
      </c>
      <c r="I85" s="240">
        <f t="shared" si="45"/>
        <v>0.6354258061679694</v>
      </c>
      <c r="J85" s="240">
        <f t="shared" si="45"/>
        <v>0.78816106930218621</v>
      </c>
      <c r="K85" s="240">
        <f t="shared" si="45"/>
        <v>0.97406411892124545</v>
      </c>
      <c r="L85" s="240">
        <f t="shared" si="45"/>
        <v>1.2087393654607412</v>
      </c>
      <c r="M85" s="240">
        <f t="shared" si="45"/>
        <v>1.5200936512312115</v>
      </c>
      <c r="N85" s="240">
        <f t="shared" si="45"/>
        <v>1.9618521412350727</v>
      </c>
      <c r="O85" s="240">
        <f t="shared" si="45"/>
        <v>2.6451210374705068</v>
      </c>
      <c r="P85" s="240">
        <f t="shared" si="45"/>
        <v>3.8086775445985297</v>
      </c>
      <c r="Q85" s="240">
        <f t="shared" si="45"/>
        <v>5.9439193281593568</v>
      </c>
      <c r="R85" s="240">
        <f t="shared" si="44"/>
        <v>9.9450147467584422</v>
      </c>
      <c r="S85" s="240">
        <f t="shared" si="44"/>
        <v>17.120114354729317</v>
      </c>
      <c r="T85" s="240">
        <f t="shared" si="44"/>
        <v>27.713147397418663</v>
      </c>
      <c r="U85" s="240">
        <f t="shared" si="44"/>
        <v>36.393196680338967</v>
      </c>
      <c r="V85" s="240">
        <f t="shared" si="44"/>
        <v>37.22694007254195</v>
      </c>
      <c r="W85" s="240">
        <f t="shared" si="44"/>
        <v>37.753365195254688</v>
      </c>
      <c r="X85" s="240">
        <f t="shared" si="44"/>
        <v>38.03008809222144</v>
      </c>
      <c r="Y85" s="240">
        <f t="shared" si="44"/>
        <v>38.133163792294589</v>
      </c>
    </row>
    <row r="86" spans="1:25" x14ac:dyDescent="0.2">
      <c r="A86" t="str">
        <f t="shared" ref="A86:A93" si="46">A4</f>
        <v>Kaldorian</v>
      </c>
      <c r="B86" s="240">
        <f t="shared" si="45"/>
        <v>5.7716594496607888E-3</v>
      </c>
      <c r="C86" s="240">
        <f t="shared" si="44"/>
        <v>7.3600213743676146E-2</v>
      </c>
      <c r="D86" s="240">
        <f t="shared" si="44"/>
        <v>0.14864451853442823</v>
      </c>
      <c r="E86" s="240">
        <f t="shared" si="44"/>
        <v>0.23214699681366854</v>
      </c>
      <c r="F86" s="240">
        <f t="shared" si="44"/>
        <v>0.3257190318496011</v>
      </c>
      <c r="G86" s="240">
        <f t="shared" si="44"/>
        <v>0.43151039069575825</v>
      </c>
      <c r="H86" s="240">
        <f t="shared" si="44"/>
        <v>0.55252188468163022</v>
      </c>
      <c r="I86" s="240">
        <f t="shared" si="44"/>
        <v>0.6930963077758876</v>
      </c>
      <c r="J86" s="240">
        <f t="shared" si="44"/>
        <v>0.85983486001359366</v>
      </c>
      <c r="K86" s="240">
        <f t="shared" si="44"/>
        <v>1.0633273070617546</v>
      </c>
      <c r="L86" s="240">
        <f t="shared" si="44"/>
        <v>1.3216123183882953</v>
      </c>
      <c r="M86" s="240">
        <f t="shared" si="44"/>
        <v>1.6676312031242602</v>
      </c>
      <c r="N86" s="240">
        <f t="shared" si="44"/>
        <v>2.16633442146169</v>
      </c>
      <c r="O86" s="240">
        <f t="shared" si="44"/>
        <v>2.9552532886389864</v>
      </c>
      <c r="P86" s="240">
        <f t="shared" si="44"/>
        <v>4.3329450165283712</v>
      </c>
      <c r="Q86" s="240">
        <f t="shared" si="44"/>
        <v>0</v>
      </c>
      <c r="R86" s="240">
        <f t="shared" si="44"/>
        <v>0</v>
      </c>
      <c r="S86" s="240">
        <f t="shared" si="44"/>
        <v>0</v>
      </c>
      <c r="T86" s="240">
        <f t="shared" si="44"/>
        <v>0</v>
      </c>
      <c r="U86" s="240">
        <f t="shared" si="44"/>
        <v>0</v>
      </c>
      <c r="V86" s="240">
        <f t="shared" si="44"/>
        <v>0</v>
      </c>
      <c r="W86" s="240">
        <f t="shared" si="44"/>
        <v>0</v>
      </c>
      <c r="X86" s="240">
        <f t="shared" si="44"/>
        <v>0</v>
      </c>
      <c r="Y86" s="240">
        <f t="shared" si="44"/>
        <v>0</v>
      </c>
    </row>
    <row r="87" spans="1:25" x14ac:dyDescent="0.2">
      <c r="A87" t="str">
        <f t="shared" si="46"/>
        <v>Johansen</v>
      </c>
      <c r="B87" s="240">
        <f t="shared" si="45"/>
        <v>5.7716594496607888E-3</v>
      </c>
      <c r="C87" s="240">
        <f t="shared" si="44"/>
        <v>7.0980045687539906E-2</v>
      </c>
      <c r="D87" s="240">
        <f t="shared" si="44"/>
        <v>0.14317207272392832</v>
      </c>
      <c r="E87" s="240">
        <f t="shared" si="44"/>
        <v>0.22357690924973264</v>
      </c>
      <c r="F87" s="240">
        <f t="shared" si="44"/>
        <v>0.31379601219813796</v>
      </c>
      <c r="G87" s="240">
        <f t="shared" si="44"/>
        <v>0.4159742694465704</v>
      </c>
      <c r="H87" s="240">
        <f t="shared" si="44"/>
        <v>0.53311812008487125</v>
      </c>
      <c r="I87" s="240">
        <f t="shared" si="44"/>
        <v>0.66959016872402866</v>
      </c>
      <c r="J87" s="240">
        <f t="shared" si="44"/>
        <v>0.83203735858566319</v>
      </c>
      <c r="K87" s="240">
        <f t="shared" si="44"/>
        <v>1.0311437378995718</v>
      </c>
      <c r="L87" s="240">
        <f t="shared" si="44"/>
        <v>1.2851488627100593</v>
      </c>
      <c r="M87" s="240">
        <f t="shared" si="44"/>
        <v>1.6274433095311918</v>
      </c>
      <c r="N87" s="240">
        <f t="shared" si="44"/>
        <v>2.1240217534245134</v>
      </c>
      <c r="O87" s="240">
        <f t="shared" si="44"/>
        <v>2.9146349246409176</v>
      </c>
      <c r="P87" s="240">
        <f t="shared" si="44"/>
        <v>4.3007280689112202</v>
      </c>
      <c r="Q87" s="240">
        <f t="shared" si="44"/>
        <v>6.8768968251329499</v>
      </c>
      <c r="R87" s="240">
        <f t="shared" si="44"/>
        <v>11.61495928693788</v>
      </c>
      <c r="S87" s="240">
        <f t="shared" si="44"/>
        <v>19.543976569538426</v>
      </c>
      <c r="T87" s="240">
        <f t="shared" si="44"/>
        <v>29.608023021201451</v>
      </c>
      <c r="U87" s="240">
        <f t="shared" si="44"/>
        <v>36.399181314819309</v>
      </c>
      <c r="V87" s="240">
        <f t="shared" si="44"/>
        <v>36.987726867694796</v>
      </c>
      <c r="W87" s="240">
        <f t="shared" si="44"/>
        <v>37.353889025372986</v>
      </c>
      <c r="X87" s="240">
        <f t="shared" si="44"/>
        <v>37.54469346241067</v>
      </c>
      <c r="Y87" s="240">
        <f t="shared" si="44"/>
        <v>37.615472559597038</v>
      </c>
    </row>
    <row r="88" spans="1:25" x14ac:dyDescent="0.2">
      <c r="A88" t="str">
        <f t="shared" si="46"/>
        <v>Keynes-Kaldor</v>
      </c>
      <c r="B88" s="240">
        <f t="shared" si="45"/>
        <v>5.7716594496607888E-3</v>
      </c>
      <c r="C88" s="240">
        <f t="shared" si="44"/>
        <v>8.1794352435459072E-2</v>
      </c>
      <c r="D88" s="240">
        <f t="shared" si="44"/>
        <v>0.16541988211005457</v>
      </c>
      <c r="E88" s="240">
        <f t="shared" si="44"/>
        <v>0.25794328294731655</v>
      </c>
      <c r="F88" s="240">
        <f t="shared" si="44"/>
        <v>0.36105007408697648</v>
      </c>
      <c r="G88" s="240">
        <f t="shared" si="44"/>
        <v>0.47700433313304169</v>
      </c>
      <c r="H88" s="240">
        <f t="shared" si="44"/>
        <v>0.6089916312794863</v>
      </c>
      <c r="I88" s="240">
        <f t="shared" si="44"/>
        <v>0.76165285880019251</v>
      </c>
      <c r="J88" s="240">
        <f t="shared" si="44"/>
        <v>0.9420580238134536</v>
      </c>
      <c r="K88" s="240">
        <f t="shared" si="44"/>
        <v>1.1615081480322198</v>
      </c>
      <c r="L88" s="240">
        <f t="shared" si="44"/>
        <v>1.4390118916035679</v>
      </c>
      <c r="M88" s="240">
        <f t="shared" si="44"/>
        <v>1.8083942228220073</v>
      </c>
      <c r="N88" s="240">
        <f t="shared" si="44"/>
        <v>2.3331035206912678</v>
      </c>
      <c r="O88" s="240">
        <f t="shared" si="44"/>
        <v>3.1350620573253463</v>
      </c>
      <c r="P88" s="240">
        <f t="shared" si="44"/>
        <v>4.4328656246681621</v>
      </c>
      <c r="Q88" s="240">
        <f t="shared" si="44"/>
        <v>0</v>
      </c>
      <c r="R88" s="240">
        <f t="shared" si="44"/>
        <v>0</v>
      </c>
      <c r="S88" s="240">
        <f t="shared" si="44"/>
        <v>0</v>
      </c>
      <c r="T88" s="240">
        <f t="shared" si="44"/>
        <v>0</v>
      </c>
      <c r="U88" s="240">
        <f t="shared" si="44"/>
        <v>0</v>
      </c>
      <c r="V88" s="240">
        <f t="shared" si="44"/>
        <v>0</v>
      </c>
      <c r="W88" s="240">
        <f t="shared" si="44"/>
        <v>0</v>
      </c>
      <c r="X88" s="240">
        <f t="shared" si="44"/>
        <v>0</v>
      </c>
      <c r="Y88" s="240">
        <f t="shared" si="44"/>
        <v>0</v>
      </c>
    </row>
    <row r="89" spans="1:25" x14ac:dyDescent="0.2">
      <c r="A89" t="str">
        <f t="shared" si="46"/>
        <v>Keynes-Marshall</v>
      </c>
      <c r="B89" s="240">
        <f t="shared" si="45"/>
        <v>5.7716594496607888E-3</v>
      </c>
      <c r="C89" s="240">
        <f t="shared" si="44"/>
        <v>8.3642603999469656E-2</v>
      </c>
      <c r="D89" s="240">
        <f t="shared" si="44"/>
        <v>0.17168625979625596</v>
      </c>
      <c r="E89" s="240">
        <f t="shared" si="44"/>
        <v>0.27237305740096379</v>
      </c>
      <c r="F89" s="240">
        <f t="shared" si="44"/>
        <v>0.38934106343918035</v>
      </c>
      <c r="G89" s="240">
        <f t="shared" si="44"/>
        <v>0.52826787362461036</v>
      </c>
      <c r="H89" s="240">
        <f t="shared" si="44"/>
        <v>0.69864129302906675</v>
      </c>
      <c r="I89" s="240">
        <f t="shared" si="44"/>
        <v>0.91774334927422718</v>
      </c>
      <c r="J89" s="240">
        <f t="shared" si="44"/>
        <v>1.2210703738440372</v>
      </c>
      <c r="K89" s="240">
        <f t="shared" si="44"/>
        <v>1.6961772441386833</v>
      </c>
      <c r="L89" s="240">
        <f t="shared" si="44"/>
        <v>0</v>
      </c>
      <c r="M89" s="240">
        <f t="shared" si="44"/>
        <v>0</v>
      </c>
      <c r="N89" s="240">
        <f t="shared" si="44"/>
        <v>0</v>
      </c>
      <c r="O89" s="240">
        <f t="shared" si="44"/>
        <v>0</v>
      </c>
      <c r="P89" s="240">
        <f t="shared" si="44"/>
        <v>0</v>
      </c>
      <c r="Q89" s="240">
        <f t="shared" si="44"/>
        <v>0</v>
      </c>
      <c r="R89" s="240">
        <f t="shared" si="44"/>
        <v>0</v>
      </c>
      <c r="S89" s="240">
        <f t="shared" si="44"/>
        <v>0</v>
      </c>
      <c r="T89" s="240">
        <f t="shared" si="44"/>
        <v>0</v>
      </c>
      <c r="U89" s="240">
        <f t="shared" si="44"/>
        <v>0</v>
      </c>
      <c r="V89" s="240">
        <f t="shared" si="44"/>
        <v>0</v>
      </c>
      <c r="W89" s="240">
        <f t="shared" si="44"/>
        <v>0</v>
      </c>
      <c r="X89" s="240">
        <f t="shared" si="44"/>
        <v>0</v>
      </c>
      <c r="Y89" s="240">
        <f t="shared" si="44"/>
        <v>0</v>
      </c>
    </row>
    <row r="90" spans="1:25" x14ac:dyDescent="0.2">
      <c r="A90" t="str">
        <f t="shared" si="46"/>
        <v>Keynesian</v>
      </c>
      <c r="B90" s="240">
        <f t="shared" si="45"/>
        <v>5.7716594496607888E-3</v>
      </c>
      <c r="C90" s="240">
        <f t="shared" si="44"/>
        <v>3.919360798795811E-2</v>
      </c>
      <c r="D90" s="240">
        <f t="shared" si="44"/>
        <v>7.3002894329855877E-2</v>
      </c>
      <c r="E90" s="240">
        <f t="shared" si="44"/>
        <v>0.10691194530270838</v>
      </c>
      <c r="F90" s="240">
        <f t="shared" si="44"/>
        <v>0.14058182607327915</v>
      </c>
      <c r="G90" s="240">
        <f t="shared" si="44"/>
        <v>0.17362679193027042</v>
      </c>
      <c r="H90" s="240">
        <f t="shared" si="44"/>
        <v>0.20561904407557871</v>
      </c>
      <c r="I90" s="240">
        <f t="shared" si="44"/>
        <v>0.2360921404954619</v>
      </c>
      <c r="J90" s="240">
        <f t="shared" si="44"/>
        <v>0.26452639735464928</v>
      </c>
      <c r="K90" s="240">
        <f t="shared" si="44"/>
        <v>0.29028280393705141</v>
      </c>
      <c r="L90" s="240">
        <f t="shared" si="44"/>
        <v>0.31233668358298378</v>
      </c>
      <c r="M90" s="240">
        <f t="shared" si="44"/>
        <v>0.32815126939168721</v>
      </c>
      <c r="N90" s="240">
        <f t="shared" si="44"/>
        <v>0.32920051845742365</v>
      </c>
      <c r="O90" s="240">
        <f t="shared" si="44"/>
        <v>0.3088088009722062</v>
      </c>
      <c r="P90" s="240">
        <f t="shared" si="44"/>
        <v>0</v>
      </c>
      <c r="Q90" s="240">
        <f t="shared" si="44"/>
        <v>0</v>
      </c>
      <c r="R90" s="240">
        <f t="shared" si="44"/>
        <v>0</v>
      </c>
      <c r="S90" s="240">
        <f t="shared" si="44"/>
        <v>0</v>
      </c>
      <c r="T90" s="240">
        <f t="shared" si="44"/>
        <v>0</v>
      </c>
      <c r="U90" s="240">
        <f t="shared" si="44"/>
        <v>0</v>
      </c>
      <c r="V90" s="240">
        <f t="shared" si="44"/>
        <v>0</v>
      </c>
      <c r="W90" s="240">
        <f t="shared" si="44"/>
        <v>0</v>
      </c>
      <c r="X90" s="240">
        <f t="shared" si="44"/>
        <v>0</v>
      </c>
      <c r="Y90" s="240">
        <f t="shared" si="44"/>
        <v>0</v>
      </c>
    </row>
    <row r="91" spans="1:25" x14ac:dyDescent="0.2">
      <c r="A91" t="str">
        <f t="shared" si="46"/>
        <v>Neo-K2</v>
      </c>
      <c r="B91" s="240">
        <f t="shared" si="45"/>
        <v>5.7716594496607888E-3</v>
      </c>
      <c r="C91" s="240">
        <f t="shared" si="44"/>
        <v>5.1353973852621859E-2</v>
      </c>
      <c r="D91" s="240">
        <f t="shared" si="44"/>
        <v>9.9276483540202118E-2</v>
      </c>
      <c r="E91" s="240">
        <f t="shared" si="44"/>
        <v>0.14947829182498587</v>
      </c>
      <c r="F91" s="240">
        <f t="shared" si="44"/>
        <v>0.20183501411398905</v>
      </c>
      <c r="G91" s="240">
        <f t="shared" si="44"/>
        <v>0.25615112250610694</v>
      </c>
      <c r="H91" s="240">
        <f t="shared" si="44"/>
        <v>0.31217657830602502</v>
      </c>
      <c r="I91" s="240">
        <f t="shared" si="44"/>
        <v>0.36965717093078665</v>
      </c>
      <c r="J91" s="240">
        <f t="shared" si="44"/>
        <v>0.42844472267597306</v>
      </c>
      <c r="K91" s="240">
        <f t="shared" si="44"/>
        <v>0.48871716201232729</v>
      </c>
      <c r="L91" s="240">
        <f t="shared" si="44"/>
        <v>0.55138657797265089</v>
      </c>
      <c r="M91" s="240">
        <f t="shared" si="44"/>
        <v>0.61883369790154408</v>
      </c>
      <c r="N91" s="240">
        <f t="shared" si="44"/>
        <v>0.69627278876399967</v>
      </c>
      <c r="O91" s="240">
        <f t="shared" si="44"/>
        <v>0.794440591572806</v>
      </c>
      <c r="P91" s="240">
        <f t="shared" si="44"/>
        <v>0.93554443503153817</v>
      </c>
      <c r="Q91" s="240">
        <f t="shared" si="44"/>
        <v>1.1689934778369546</v>
      </c>
      <c r="R91" s="240">
        <f t="shared" si="44"/>
        <v>0</v>
      </c>
      <c r="S91" s="240">
        <f t="shared" si="44"/>
        <v>0</v>
      </c>
      <c r="T91" s="240">
        <f t="shared" si="44"/>
        <v>0</v>
      </c>
      <c r="U91" s="240">
        <f t="shared" si="44"/>
        <v>0</v>
      </c>
      <c r="V91" s="240">
        <f t="shared" si="44"/>
        <v>0</v>
      </c>
      <c r="W91" s="240">
        <f t="shared" si="44"/>
        <v>0</v>
      </c>
      <c r="X91" s="240">
        <f t="shared" si="44"/>
        <v>0</v>
      </c>
      <c r="Y91" s="240">
        <f t="shared" si="44"/>
        <v>0</v>
      </c>
    </row>
    <row r="92" spans="1:25" x14ac:dyDescent="0.2">
      <c r="A92" t="str">
        <f t="shared" si="46"/>
        <v>Neo-K1</v>
      </c>
      <c r="B92" s="240">
        <f t="shared" si="45"/>
        <v>5.7716594496607888E-3</v>
      </c>
      <c r="C92" s="240">
        <f t="shared" si="44"/>
        <v>5.6781436340411717E-2</v>
      </c>
      <c r="D92" s="240">
        <f t="shared" si="44"/>
        <v>0.1117192508245143</v>
      </c>
      <c r="E92" s="240">
        <f t="shared" si="44"/>
        <v>0.17093620235425261</v>
      </c>
      <c r="F92" s="240">
        <f t="shared" si="44"/>
        <v>0.23480632811741686</v>
      </c>
      <c r="G92" s="240">
        <f t="shared" si="44"/>
        <v>0.30371895062923138</v>
      </c>
      <c r="H92" s="240">
        <f t="shared" si="44"/>
        <v>0.37806859790332698</v>
      </c>
      <c r="I92" s="240">
        <f t="shared" si="44"/>
        <v>0.45823388198698223</v>
      </c>
      <c r="J92" s="240">
        <f t="shared" si="44"/>
        <v>0.54454327776312761</v>
      </c>
      <c r="K92" s="240">
        <f t="shared" si="44"/>
        <v>0.63722402327555638</v>
      </c>
      <c r="L92" s="240">
        <f t="shared" si="44"/>
        <v>0.73633146267524552</v>
      </c>
      <c r="M92" s="240">
        <f t="shared" si="44"/>
        <v>0.84166437705735608</v>
      </c>
      <c r="N92" s="240">
        <f t="shared" si="44"/>
        <v>0.95268374929151844</v>
      </c>
      <c r="O92" s="240">
        <f t="shared" si="44"/>
        <v>1.0684656184016055</v>
      </c>
      <c r="P92" s="240">
        <f t="shared" si="44"/>
        <v>1.1877224620054425</v>
      </c>
      <c r="Q92" s="240">
        <f t="shared" si="44"/>
        <v>1.3089107521327537</v>
      </c>
      <c r="R92" s="240">
        <f t="shared" si="44"/>
        <v>1.4304043223883633</v>
      </c>
      <c r="S92" s="240">
        <f t="shared" si="44"/>
        <v>1.550680449736332</v>
      </c>
      <c r="T92" s="240">
        <f t="shared" si="44"/>
        <v>1.6684645179690991</v>
      </c>
      <c r="U92" s="240">
        <f t="shared" si="44"/>
        <v>1.7828002422268039</v>
      </c>
      <c r="V92" s="240">
        <f t="shared" si="44"/>
        <v>1.8051924942069015</v>
      </c>
      <c r="W92" s="240">
        <f t="shared" si="44"/>
        <v>1.8274168761278906</v>
      </c>
      <c r="X92" s="240">
        <f t="shared" si="44"/>
        <v>1.8494702330878634</v>
      </c>
      <c r="Y92" s="240">
        <f t="shared" si="44"/>
        <v>1.8713497686311238</v>
      </c>
    </row>
    <row r="93" spans="1:25" x14ac:dyDescent="0.2">
      <c r="A93" t="str">
        <f t="shared" si="46"/>
        <v>Neoclassical - hetero s</v>
      </c>
    </row>
  </sheetData>
  <conditionalFormatting sqref="B49:Y56">
    <cfRule type="containsErrors" dxfId="6" priority="12">
      <formula>ISERROR(B49)</formula>
    </cfRule>
    <cfRule type="containsErrors" priority="14">
      <formula>ISERROR(B49)</formula>
    </cfRule>
  </conditionalFormatting>
  <conditionalFormatting sqref="B63:Y70">
    <cfRule type="containsErrors" dxfId="5" priority="10">
      <formula>ISERROR(B63)</formula>
    </cfRule>
    <cfRule type="containsErrors" priority="11">
      <formula>ISERROR(B63)</formula>
    </cfRule>
  </conditionalFormatting>
  <conditionalFormatting sqref="B74:Y81">
    <cfRule type="cellIs" dxfId="4" priority="8" operator="equal">
      <formula>0</formula>
    </cfRule>
  </conditionalFormatting>
  <conditionalFormatting sqref="B3:Y3 B6:Y10">
    <cfRule type="cellIs" dxfId="3" priority="4" operator="equal">
      <formula>0</formula>
    </cfRule>
  </conditionalFormatting>
  <conditionalFormatting sqref="B11:Y11">
    <cfRule type="cellIs" dxfId="2" priority="3" operator="equal">
      <formula>0</formula>
    </cfRule>
  </conditionalFormatting>
  <conditionalFormatting sqref="B5:Y5">
    <cfRule type="cellIs" dxfId="1" priority="2" operator="equal">
      <formula>0</formula>
    </cfRule>
  </conditionalFormatting>
  <conditionalFormatting sqref="B4:Y4">
    <cfRule type="cellIs" dxfId="0" priority="1" operator="equal">
      <formula>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F0A93-D066-4D42-A55A-9D15F7D88C0A}">
  <dimension ref="A1:Y9"/>
  <sheetViews>
    <sheetView tabSelected="1" workbookViewId="0">
      <selection activeCell="P23" sqref="P23"/>
    </sheetView>
  </sheetViews>
  <sheetFormatPr baseColWidth="10" defaultRowHeight="10" x14ac:dyDescent="0.2"/>
  <sheetData>
    <row r="1" spans="1:25" x14ac:dyDescent="0.2">
      <c r="A1" t="s">
        <v>198</v>
      </c>
      <c r="B1">
        <f>'Diagnosis Indicators'!B2</f>
        <v>0</v>
      </c>
      <c r="C1">
        <f>'Diagnosis Indicators'!C2</f>
        <v>0.05</v>
      </c>
      <c r="D1">
        <f>'Diagnosis Indicators'!D2</f>
        <v>0.1</v>
      </c>
      <c r="E1">
        <f>'Diagnosis Indicators'!E2</f>
        <v>0.15000000000000002</v>
      </c>
      <c r="F1">
        <f>'Diagnosis Indicators'!F2</f>
        <v>0.2</v>
      </c>
      <c r="G1">
        <f>'Diagnosis Indicators'!G2</f>
        <v>0.25</v>
      </c>
      <c r="H1">
        <f>'Diagnosis Indicators'!H2</f>
        <v>0.3</v>
      </c>
      <c r="I1">
        <f>'Diagnosis Indicators'!I2</f>
        <v>0.35</v>
      </c>
      <c r="J1">
        <f>'Diagnosis Indicators'!J2</f>
        <v>0.39999999999999997</v>
      </c>
      <c r="K1">
        <f>'Diagnosis Indicators'!K2</f>
        <v>0.44999999999999996</v>
      </c>
      <c r="L1">
        <f>'Diagnosis Indicators'!L2</f>
        <v>0.49999999999999994</v>
      </c>
      <c r="M1">
        <f>'Diagnosis Indicators'!M2</f>
        <v>0.54999999999999993</v>
      </c>
      <c r="N1">
        <f>'Diagnosis Indicators'!N2</f>
        <v>0.6</v>
      </c>
      <c r="O1">
        <f>'Diagnosis Indicators'!O2</f>
        <v>0.65</v>
      </c>
      <c r="P1">
        <f>'Diagnosis Indicators'!P2</f>
        <v>0.70000000000000007</v>
      </c>
      <c r="Q1">
        <f>'Diagnosis Indicators'!Q2</f>
        <v>0.75000000000000011</v>
      </c>
      <c r="R1">
        <f>'Diagnosis Indicators'!R2</f>
        <v>0.80000000000000016</v>
      </c>
      <c r="S1">
        <f>'Diagnosis Indicators'!S2</f>
        <v>0.8500000000000002</v>
      </c>
      <c r="T1">
        <f>'Diagnosis Indicators'!T2</f>
        <v>0.90000000000000024</v>
      </c>
      <c r="U1">
        <f>'Diagnosis Indicators'!U2</f>
        <v>0.95000000000000029</v>
      </c>
      <c r="V1">
        <f>'Diagnosis Indicators'!V2</f>
        <v>0.9600000000000003</v>
      </c>
      <c r="W1">
        <f>'Diagnosis Indicators'!W2</f>
        <v>0.97000000000000031</v>
      </c>
      <c r="X1">
        <f>'Diagnosis Indicators'!X2</f>
        <v>0.98000000000000032</v>
      </c>
      <c r="Y1">
        <f>'Diagnosis Indicators'!Y2</f>
        <v>0.99000000000000032</v>
      </c>
    </row>
    <row r="2" spans="1:25" x14ac:dyDescent="0.2">
      <c r="A2" t="str">
        <f>'Diagnosis Indicators'!A3</f>
        <v>Neoclassical</v>
      </c>
      <c r="B2">
        <f>'Diagnosis Indicators'!B3</f>
        <v>1</v>
      </c>
      <c r="C2">
        <f>'Diagnosis Indicators'!C3</f>
        <v>0.99095033723033721</v>
      </c>
      <c r="D2">
        <f>'Diagnosis Indicators'!D3</f>
        <v>0.98110310743848661</v>
      </c>
      <c r="E2">
        <f>'Diagnosis Indicators'!E3</f>
        <v>0.97033588277426031</v>
      </c>
      <c r="F2">
        <f>'Diagnosis Indicators'!F3</f>
        <v>0.95849809950823639</v>
      </c>
      <c r="G2">
        <f>'Diagnosis Indicators'!G3</f>
        <v>0.94540034916408078</v>
      </c>
      <c r="H2">
        <f>'Diagnosis Indicators'!H3</f>
        <v>0.93079826568959279</v>
      </c>
      <c r="I2">
        <f>'Diagnosis Indicators'!I3</f>
        <v>0.91436574288810257</v>
      </c>
      <c r="J2">
        <f>'Diagnosis Indicators'!J3</f>
        <v>0.89565126879535073</v>
      </c>
      <c r="K2">
        <f>'Diagnosis Indicators'!K3</f>
        <v>0.87400091485127751</v>
      </c>
      <c r="L2">
        <f>'Diagnosis Indicators'!L3</f>
        <v>0.84842038453236712</v>
      </c>
      <c r="M2">
        <f>'Diagnosis Indicators'!M3</f>
        <v>0.81731774938560198</v>
      </c>
      <c r="N2">
        <f>'Diagnosis Indicators'!N3</f>
        <v>0.77801788859534138</v>
      </c>
      <c r="O2">
        <f>'Diagnosis Indicators'!O3</f>
        <v>0.7259115722953472</v>
      </c>
      <c r="P2">
        <f>'Diagnosis Indicators'!P3</f>
        <v>0.6534394741481544</v>
      </c>
      <c r="Q2">
        <f>'Diagnosis Indicators'!Q3</f>
        <v>0.55067569548464257</v>
      </c>
      <c r="R2">
        <f>'Diagnosis Indicators'!R3</f>
        <v>0.41033575576013448</v>
      </c>
      <c r="S2">
        <f>'Diagnosis Indicators'!S3</f>
        <v>0.23880067351893206</v>
      </c>
      <c r="T2">
        <f>'Diagnosis Indicators'!T3</f>
        <v>8.0002887935313807E-2</v>
      </c>
      <c r="U2">
        <f>'Diagnosis Indicators'!U3</f>
        <v>6.7039036535221589E-3</v>
      </c>
      <c r="V2">
        <f>'Diagnosis Indicators'!V3</f>
        <v>2.8130835906134909E-3</v>
      </c>
      <c r="W2">
        <f>'Diagnosis Indicators'!W3</f>
        <v>9.034966450069702E-4</v>
      </c>
      <c r="X2">
        <f>'Diagnosis Indicators'!X3</f>
        <v>1.7986191791074453E-4</v>
      </c>
      <c r="Y2">
        <f>'Diagnosis Indicators'!Y3</f>
        <v>1.1273794199909424E-5</v>
      </c>
    </row>
    <row r="3" spans="1:25" x14ac:dyDescent="0.2">
      <c r="A3" t="str">
        <f>'Diagnosis Indicators'!A4</f>
        <v>Kaldorian</v>
      </c>
      <c r="B3">
        <f>'Diagnosis Indicators'!B4</f>
        <v>1</v>
      </c>
      <c r="C3">
        <f>'Diagnosis Indicators'!C4</f>
        <v>0.9972394049383293</v>
      </c>
      <c r="D3">
        <f>'Diagnosis Indicators'!D4</f>
        <v>0.99391436784762088</v>
      </c>
      <c r="E3">
        <f>'Diagnosis Indicators'!E4</f>
        <v>0.98993942612019314</v>
      </c>
      <c r="F3">
        <f>'Diagnosis Indicators'!F4</f>
        <v>0.98520984268433986</v>
      </c>
      <c r="G3">
        <f>'Diagnosis Indicators'!G4</f>
        <v>0.97959453780355854</v>
      </c>
      <c r="H3">
        <f>'Diagnosis Indicators'!H4</f>
        <v>0.97292675436650533</v>
      </c>
      <c r="I3">
        <f>'Diagnosis Indicators'!I4</f>
        <v>0.96498788862883267</v>
      </c>
      <c r="J3">
        <f>'Diagnosis Indicators'!J4</f>
        <v>0.95548211146365036</v>
      </c>
      <c r="K3">
        <f>'Diagnosis Indicators'!K4</f>
        <v>0.9439941833984673</v>
      </c>
      <c r="L3">
        <f>'Diagnosis Indicators'!L4</f>
        <v>0.92991409849954254</v>
      </c>
      <c r="M3">
        <f>'Diagnosis Indicators'!M4</f>
        <v>0.91229953845671186</v>
      </c>
      <c r="N3">
        <f>'Diagnosis Indicators'!N4</f>
        <v>0.88961529692206509</v>
      </c>
    </row>
    <row r="4" spans="1:25" x14ac:dyDescent="0.2">
      <c r="A4" t="str">
        <f>'Diagnosis Indicators'!A5</f>
        <v>Johansen</v>
      </c>
      <c r="B4">
        <f>'Diagnosis Indicators'!B5</f>
        <v>1</v>
      </c>
      <c r="C4">
        <f>'Diagnosis Indicators'!C5</f>
        <v>0.99728288686722866</v>
      </c>
      <c r="D4">
        <f>'Diagnosis Indicators'!D5</f>
        <v>0.99400272759990993</v>
      </c>
      <c r="E4">
        <f>'Diagnosis Indicators'!E5</f>
        <v>0.99007417471509285</v>
      </c>
      <c r="F4">
        <f>'Diagnosis Indicators'!F5</f>
        <v>0.98539251988136634</v>
      </c>
      <c r="G4">
        <f>'Diagnosis Indicators'!G5</f>
        <v>0.97982638349876372</v>
      </c>
      <c r="H4">
        <f>'Diagnosis Indicators'!H5</f>
        <v>0.97320848724349651</v>
      </c>
      <c r="I4">
        <f>'Diagnosis Indicators'!I5</f>
        <v>0.96531902715671614</v>
      </c>
      <c r="J4">
        <f>'Diagnosis Indicators'!J5</f>
        <v>0.95586005836370003</v>
      </c>
      <c r="K4">
        <f>'Diagnosis Indicators'!K5</f>
        <v>0.94441278182441601</v>
      </c>
      <c r="L4">
        <f>'Diagnosis Indicators'!L5</f>
        <v>0.93036134572419349</v>
      </c>
      <c r="M4">
        <f>'Diagnosis Indicators'!M5</f>
        <v>0.91275360684296447</v>
      </c>
      <c r="N4">
        <f>'Diagnosis Indicators'!N5</f>
        <v>0.89003901365195914</v>
      </c>
      <c r="O4">
        <f>'Diagnosis Indicators'!O5</f>
        <v>0.85959706714730533</v>
      </c>
      <c r="P4">
        <f>'Diagnosis Indicators'!P5</f>
        <v>0.81707434388034417</v>
      </c>
      <c r="Q4">
        <f>'Diagnosis Indicators'!Q5</f>
        <v>0.75600939288132607</v>
      </c>
      <c r="R4">
        <f>'Diagnosis Indicators'!R5</f>
        <v>0.66820557797007707</v>
      </c>
      <c r="S4">
        <f>'Diagnosis Indicators'!S5</f>
        <v>0.54522573626500459</v>
      </c>
      <c r="T4">
        <f>'Diagnosis Indicators'!T5</f>
        <v>0.38444638979397172</v>
      </c>
      <c r="U4">
        <f>'Diagnosis Indicators'!U5</f>
        <v>0.19684720232320518</v>
      </c>
      <c r="V4">
        <f>'Diagnosis Indicators'!V5</f>
        <v>0.15774975694803883</v>
      </c>
      <c r="W4">
        <f>'Diagnosis Indicators'!W5</f>
        <v>0.11843673533432175</v>
      </c>
      <c r="X4">
        <f>'Diagnosis Indicators'!X5</f>
        <v>7.9000550261762365E-2</v>
      </c>
      <c r="Y4">
        <f>'Diagnosis Indicators'!Y5</f>
        <v>3.9508157272747882E-2</v>
      </c>
    </row>
    <row r="5" spans="1:25" x14ac:dyDescent="0.2">
      <c r="A5" t="str">
        <f>'Diagnosis Indicators'!A6</f>
        <v>Keynes-Kaldor</v>
      </c>
      <c r="B5">
        <f>'Diagnosis Indicators'!B6</f>
        <v>1</v>
      </c>
      <c r="C5">
        <f>'Diagnosis Indicators'!C6</f>
        <v>1.003965246739682</v>
      </c>
      <c r="D5">
        <f>'Diagnosis Indicators'!D6</f>
        <v>1.0067093330720938</v>
      </c>
      <c r="E5">
        <f>'Diagnosis Indicators'!E6</f>
        <v>1.0081254038970342</v>
      </c>
      <c r="F5">
        <f>'Diagnosis Indicators'!F6</f>
        <v>1.0080708235488443</v>
      </c>
      <c r="G5">
        <f>'Diagnosis Indicators'!G6</f>
        <v>1.0063596231245415</v>
      </c>
      <c r="H5">
        <f>'Diagnosis Indicators'!H6</f>
        <v>1.0027490910148327</v>
      </c>
      <c r="I5">
        <f>'Diagnosis Indicators'!I6</f>
        <v>0.99692278076680585</v>
      </c>
      <c r="J5">
        <f>'Diagnosis Indicators'!J6</f>
        <v>0.9884594664818388</v>
      </c>
      <c r="K5">
        <f>'Diagnosis Indicators'!K6</f>
        <v>0.97678661000747569</v>
      </c>
      <c r="L5">
        <f>'Diagnosis Indicators'!L6</f>
        <v>0.96109726577065513</v>
      </c>
      <c r="M5">
        <f>'Diagnosis Indicators'!M6</f>
        <v>0.94020348425929878</v>
      </c>
      <c r="N5">
        <f>'Diagnosis Indicators'!N6</f>
        <v>0.91226209650530343</v>
      </c>
    </row>
    <row r="6" spans="1:25" x14ac:dyDescent="0.2">
      <c r="A6" t="str">
        <f>'Diagnosis Indicators'!A7</f>
        <v>Keynes-Marshall</v>
      </c>
      <c r="B6">
        <f>'Diagnosis Indicators'!B7</f>
        <v>1</v>
      </c>
      <c r="C6">
        <f>'Diagnosis Indicators'!C7</f>
        <v>1.0164333889004658</v>
      </c>
      <c r="D6">
        <f>'Diagnosis Indicators'!D7</f>
        <v>1.0328649531634537</v>
      </c>
      <c r="E6">
        <f>'Diagnosis Indicators'!E7</f>
        <v>1.0493512048708131</v>
      </c>
      <c r="F6">
        <f>'Diagnosis Indicators'!F7</f>
        <v>1.0659832818976842</v>
      </c>
      <c r="G6">
        <f>'Diagnosis Indicators'!G7</f>
        <v>1.0829272865426618</v>
      </c>
      <c r="H6">
        <f>'Diagnosis Indicators'!H7</f>
        <v>1.1005039494380469</v>
      </c>
      <c r="I6">
        <f>'Diagnosis Indicators'!I7</f>
        <v>1.1193675031679922</v>
      </c>
      <c r="J6">
        <f>'Diagnosis Indicators'!J7</f>
        <v>1.1409504337059968</v>
      </c>
      <c r="K6">
        <f>'Diagnosis Indicators'!K7</f>
        <v>1.1687941081920104</v>
      </c>
    </row>
    <row r="7" spans="1:25" x14ac:dyDescent="0.2">
      <c r="A7" t="str">
        <f>'Diagnosis Indicators'!A8</f>
        <v>Keynesian</v>
      </c>
      <c r="B7">
        <f>'Diagnosis Indicators'!B8</f>
        <v>1</v>
      </c>
      <c r="C7">
        <f>'Diagnosis Indicators'!C8</f>
        <v>0.97360119850578641</v>
      </c>
      <c r="D7">
        <f>'Diagnosis Indicators'!D8</f>
        <v>0.94446482539302445</v>
      </c>
      <c r="E7">
        <f>'Diagnosis Indicators'!E8</f>
        <v>0.91243146296306421</v>
      </c>
      <c r="F7">
        <f>'Diagnosis Indicators'!F8</f>
        <v>0.87738260831360715</v>
      </c>
      <c r="G7">
        <f>'Diagnosis Indicators'!G8</f>
        <v>0.83925991525129295</v>
      </c>
      <c r="H7">
        <f>'Diagnosis Indicators'!H8</f>
        <v>0.798087548525931</v>
      </c>
      <c r="I7">
        <f>'Diagnosis Indicators'!I8</f>
        <v>0.75400328220603519</v>
      </c>
      <c r="J7">
        <f>'Diagnosis Indicators'!J8</f>
        <v>0.70730775314249372</v>
      </c>
      <c r="K7">
        <f>'Diagnosis Indicators'!K8</f>
        <v>0.65857636447215961</v>
      </c>
      <c r="L7">
        <f>'Diagnosis Indicators'!L8</f>
        <v>0.60899466249029133</v>
      </c>
      <c r="M7">
        <f>'Diagnosis Indicators'!M8</f>
        <v>0.56172684967355146</v>
      </c>
      <c r="N7">
        <f>'Diagnosis Indicators'!N8</f>
        <v>0.52723115341447069</v>
      </c>
      <c r="O7">
        <f>'Diagnosis Indicators'!O8</f>
        <v>0.51260743366288231</v>
      </c>
    </row>
    <row r="8" spans="1:25" x14ac:dyDescent="0.2">
      <c r="A8" t="str">
        <f>'Diagnosis Indicators'!A9</f>
        <v>Neo-K2</v>
      </c>
      <c r="B8">
        <f>'Diagnosis Indicators'!B9</f>
        <v>1</v>
      </c>
      <c r="C8">
        <f>'Diagnosis Indicators'!C9</f>
        <v>0.98145304126183353</v>
      </c>
      <c r="D8">
        <f>'Diagnosis Indicators'!D9</f>
        <v>0.96092212649832265</v>
      </c>
      <c r="E8">
        <f>'Diagnosis Indicators'!E9</f>
        <v>0.93812007795385211</v>
      </c>
      <c r="F8">
        <f>'Diagnosis Indicators'!F9</f>
        <v>0.91273347170440944</v>
      </c>
      <c r="G8">
        <f>'Diagnosis Indicators'!G9</f>
        <v>0.88443251641861309</v>
      </c>
      <c r="H8">
        <f>'Diagnosis Indicators'!H9</f>
        <v>0.85289228160143837</v>
      </c>
      <c r="I8">
        <f>'Diagnosis Indicators'!I9</f>
        <v>0.81782512290382992</v>
      </c>
      <c r="J8">
        <f>'Diagnosis Indicators'!J9</f>
        <v>0.77902539627170142</v>
      </c>
      <c r="K8">
        <f>'Diagnosis Indicators'!K9</f>
        <v>0.73642409248146512</v>
      </c>
      <c r="L8">
        <f>'Diagnosis Indicators'!L9</f>
        <v>0.6901476212752361</v>
      </c>
      <c r="M8">
        <f>'Diagnosis Indicators'!M9</f>
        <v>0.64056225007252565</v>
      </c>
      <c r="N8">
        <f>'Diagnosis Indicators'!N9</f>
        <v>0.58828413802012824</v>
      </c>
      <c r="O8">
        <f>'Diagnosis Indicators'!O9</f>
        <v>0.53411127191337038</v>
      </c>
      <c r="P8">
        <f>'Diagnosis Indicators'!P9</f>
        <v>0.47881533800671722</v>
      </c>
      <c r="Q8">
        <f>'Diagnosis Indicators'!Q9</f>
        <v>0.4227191200107458</v>
      </c>
    </row>
    <row r="9" spans="1:25" x14ac:dyDescent="0.2">
      <c r="A9" t="str">
        <f>'Diagnosis Indicators'!A10</f>
        <v>Neo-K1</v>
      </c>
      <c r="B9">
        <f>'Diagnosis Indicators'!B10</f>
        <v>1</v>
      </c>
      <c r="C9">
        <f>'Diagnosis Indicators'!C10</f>
        <v>0.98422643362003559</v>
      </c>
      <c r="D9">
        <f>'Diagnosis Indicators'!D10</f>
        <v>0.9669037162842643</v>
      </c>
      <c r="E9">
        <f>'Diagnosis Indicators'!E10</f>
        <v>0.94779725078241983</v>
      </c>
      <c r="F9">
        <f>'Diagnosis Indicators'!F10</f>
        <v>0.92663093083956549</v>
      </c>
      <c r="G9">
        <f>'Diagnosis Indicators'!G10</f>
        <v>0.90307970915617986</v>
      </c>
      <c r="H9">
        <f>'Diagnosis Indicators'!H10</f>
        <v>0.87676411231390505</v>
      </c>
      <c r="I9">
        <f>'Diagnosis Indicators'!I10</f>
        <v>0.84724594641743234</v>
      </c>
      <c r="J9">
        <f>'Diagnosis Indicators'!J10</f>
        <v>0.81402884506387485</v>
      </c>
      <c r="K9">
        <f>'Diagnosis Indicators'!K10</f>
        <v>0.77656777905956642</v>
      </c>
      <c r="L9">
        <f>'Diagnosis Indicators'!L10</f>
        <v>0.73429222662901761</v>
      </c>
      <c r="M9">
        <f>'Diagnosis Indicators'!M10</f>
        <v>0.68664860326518939</v>
      </c>
      <c r="N9">
        <f>'Diagnosis Indicators'!N10</f>
        <v>0.6331604879660695</v>
      </c>
      <c r="O9">
        <f>'Diagnosis Indicators'!O10</f>
        <v>0.57350059140275544</v>
      </c>
      <c r="P9">
        <f>'Diagnosis Indicators'!P10</f>
        <v>0.5075546707225479</v>
      </c>
      <c r="Q9">
        <f>'Diagnosis Indicators'!Q10</f>
        <v>0.43545473349513697</v>
      </c>
      <c r="R9">
        <f>'Diagnosis Indicators'!R10</f>
        <v>0.35756587680343804</v>
      </c>
      <c r="S9">
        <f>'Diagnosis Indicators'!S10</f>
        <v>0.27442988190443873</v>
      </c>
      <c r="T9">
        <f>'Diagnosis Indicators'!T10</f>
        <v>0.18668719323821048</v>
      </c>
      <c r="U9">
        <f>'Diagnosis Indicators'!U10</f>
        <v>9.5000788299574493E-2</v>
      </c>
      <c r="V9">
        <f>'Diagnosis Indicators'!V10</f>
        <v>7.6246695628359798E-2</v>
      </c>
      <c r="W9">
        <f>'Diagnosis Indicators'!W10</f>
        <v>5.7364976814330643E-2</v>
      </c>
      <c r="X9">
        <f>'Diagnosis Indicators'!X10</f>
        <v>3.8360307132659158E-2</v>
      </c>
      <c r="Y9">
        <f>'Diagnosis Indicators'!Y10</f>
        <v>1.9237187522339733E-2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4850502-FB6B-4D5D-9DEE-48599F6EC41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Feuilles de calcul</vt:lpstr>
      </vt:variant>
      <vt:variant>
        <vt:i4>15</vt:i4>
      </vt:variant>
      <vt:variant>
        <vt:lpstr>Graphiques</vt:lpstr>
      </vt:variant>
      <vt:variant>
        <vt:i4>3</vt:i4>
      </vt:variant>
      <vt:variant>
        <vt:lpstr>Plages nommées</vt:lpstr>
      </vt:variant>
      <vt:variant>
        <vt:i4>182</vt:i4>
      </vt:variant>
    </vt:vector>
  </HeadingPairs>
  <TitlesOfParts>
    <vt:vector size="200" baseType="lpstr">
      <vt:lpstr>Calibration</vt:lpstr>
      <vt:lpstr>Model</vt:lpstr>
      <vt:lpstr>Results</vt:lpstr>
      <vt:lpstr>NeoClassical</vt:lpstr>
      <vt:lpstr>Johansen</vt:lpstr>
      <vt:lpstr>Kaldorian</vt:lpstr>
      <vt:lpstr>Keynes-M</vt:lpstr>
      <vt:lpstr>Keynesian</vt:lpstr>
      <vt:lpstr>Keynes-K</vt:lpstr>
      <vt:lpstr>Neo-K1</vt:lpstr>
      <vt:lpstr>Neo-K2</vt:lpstr>
      <vt:lpstr>NC heteroS</vt:lpstr>
      <vt:lpstr>Keynes-I</vt:lpstr>
      <vt:lpstr>Diagnosis Indicators</vt:lpstr>
      <vt:lpstr>Utility_Export</vt:lpstr>
      <vt:lpstr>GraphU</vt:lpstr>
      <vt:lpstr>GraphPi</vt:lpstr>
      <vt:lpstr>G Tax</vt:lpstr>
      <vt:lpstr>Calibration!AGGREGATES</vt:lpstr>
      <vt:lpstr>Model!AGGREGATES</vt:lpstr>
      <vt:lpstr>aKL</vt:lpstr>
      <vt:lpstr>aKLE</vt:lpstr>
      <vt:lpstr>Calibration!alpha</vt:lpstr>
      <vt:lpstr>Model!alpha</vt:lpstr>
      <vt:lpstr>Calibration!alphaEY</vt:lpstr>
      <vt:lpstr>Model!alphaEY</vt:lpstr>
      <vt:lpstr>Calibration!alphaMY</vt:lpstr>
      <vt:lpstr>Model!alphaMY</vt:lpstr>
      <vt:lpstr>aS</vt:lpstr>
      <vt:lpstr>aU</vt:lpstr>
      <vt:lpstr>aX</vt:lpstr>
      <vt:lpstr>aY</vt:lpstr>
      <vt:lpstr>Calibration!B</vt:lpstr>
      <vt:lpstr>Model!B</vt:lpstr>
      <vt:lpstr>bKL</vt:lpstr>
      <vt:lpstr>bKLE</vt:lpstr>
      <vt:lpstr>bS</vt:lpstr>
      <vt:lpstr>bU</vt:lpstr>
      <vt:lpstr>bX</vt:lpstr>
      <vt:lpstr>bY</vt:lpstr>
      <vt:lpstr>Calibration!CE</vt:lpstr>
      <vt:lpstr>Model!CE</vt:lpstr>
      <vt:lpstr>Calibration!Consumption</vt:lpstr>
      <vt:lpstr>Model!Consumption</vt:lpstr>
      <vt:lpstr>Model!CPI</vt:lpstr>
      <vt:lpstr>Calibration!CQ</vt:lpstr>
      <vt:lpstr>Model!CQ</vt:lpstr>
      <vt:lpstr>Calibration!D</vt:lpstr>
      <vt:lpstr>Model!D</vt:lpstr>
      <vt:lpstr>Calibration!DE</vt:lpstr>
      <vt:lpstr>Model!DE</vt:lpstr>
      <vt:lpstr>epsilonE</vt:lpstr>
      <vt:lpstr>ERROR1</vt:lpstr>
      <vt:lpstr>ERROR10</vt:lpstr>
      <vt:lpstr>ERROR11</vt:lpstr>
      <vt:lpstr>ERROR12</vt:lpstr>
      <vt:lpstr>ERROR2</vt:lpstr>
      <vt:lpstr>ERROR3</vt:lpstr>
      <vt:lpstr>ERROR4</vt:lpstr>
      <vt:lpstr>ERROR5</vt:lpstr>
      <vt:lpstr>ERROR6</vt:lpstr>
      <vt:lpstr>ERROR7</vt:lpstr>
      <vt:lpstr>ERROR8</vt:lpstr>
      <vt:lpstr>ERROR9</vt:lpstr>
      <vt:lpstr>Calibration!FACTORS</vt:lpstr>
      <vt:lpstr>Model!FACTORS</vt:lpstr>
      <vt:lpstr>Calibration!G</vt:lpstr>
      <vt:lpstr>Model!G</vt:lpstr>
      <vt:lpstr>Calibration!GDP</vt:lpstr>
      <vt:lpstr>Model!GDP</vt:lpstr>
      <vt:lpstr>Calibration!I</vt:lpstr>
      <vt:lpstr>Model!I</vt:lpstr>
      <vt:lpstr>Calibration!K</vt:lpstr>
      <vt:lpstr>Model!K</vt:lpstr>
      <vt:lpstr>Calibration!kappa</vt:lpstr>
      <vt:lpstr>Model!kappa</vt:lpstr>
      <vt:lpstr>Calibration!KL</vt:lpstr>
      <vt:lpstr>Model!KL</vt:lpstr>
      <vt:lpstr>Calibration!KL_E</vt:lpstr>
      <vt:lpstr>Model!KL_E</vt:lpstr>
      <vt:lpstr>Calibration!KL_Q</vt:lpstr>
      <vt:lpstr>Model!KL_Q</vt:lpstr>
      <vt:lpstr>Calibration!KLE</vt:lpstr>
      <vt:lpstr>Model!KLE</vt:lpstr>
      <vt:lpstr>Model!KLQ</vt:lpstr>
      <vt:lpstr>Calibration!Labour</vt:lpstr>
      <vt:lpstr>Model!Labour</vt:lpstr>
      <vt:lpstr>Calibration!Labour_E</vt:lpstr>
      <vt:lpstr>Model!Labour_E</vt:lpstr>
      <vt:lpstr>Calibration!Labour_Q</vt:lpstr>
      <vt:lpstr>Model!Labour_Q</vt:lpstr>
      <vt:lpstr>Model!LabourQ</vt:lpstr>
      <vt:lpstr>Calibration!lambda</vt:lpstr>
      <vt:lpstr>Model!lambda</vt:lpstr>
      <vt:lpstr>Calibration!M</vt:lpstr>
      <vt:lpstr>Model!M</vt:lpstr>
      <vt:lpstr>MAXERROR</vt:lpstr>
      <vt:lpstr>Calibration!omegaG</vt:lpstr>
      <vt:lpstr>Model!omegaG</vt:lpstr>
      <vt:lpstr>Calibration!omegaI</vt:lpstr>
      <vt:lpstr>Model!omegaI</vt:lpstr>
      <vt:lpstr>Calibration!pC</vt:lpstr>
      <vt:lpstr>Model!pC</vt:lpstr>
      <vt:lpstr>Calibration!pCE</vt:lpstr>
      <vt:lpstr>Model!pCE</vt:lpstr>
      <vt:lpstr>Calibration!pCQ</vt:lpstr>
      <vt:lpstr>Model!pCQ</vt:lpstr>
      <vt:lpstr>Calibration!pD</vt:lpstr>
      <vt:lpstr>Model!pD</vt:lpstr>
      <vt:lpstr>Calibration!pEY</vt:lpstr>
      <vt:lpstr>Model!pEY</vt:lpstr>
      <vt:lpstr>Calibration!pG</vt:lpstr>
      <vt:lpstr>Model!pG</vt:lpstr>
      <vt:lpstr>Calibration!pI</vt:lpstr>
      <vt:lpstr>Model!pI</vt:lpstr>
      <vt:lpstr>Calibration!pIC</vt:lpstr>
      <vt:lpstr>Model!pIC</vt:lpstr>
      <vt:lpstr>Calibration!pK</vt:lpstr>
      <vt:lpstr>Model!pK</vt:lpstr>
      <vt:lpstr>Calibration!pKL</vt:lpstr>
      <vt:lpstr>Model!pKL</vt:lpstr>
      <vt:lpstr>Calibration!pKLE</vt:lpstr>
      <vt:lpstr>Model!pKLE</vt:lpstr>
      <vt:lpstr>Calibration!pL</vt:lpstr>
      <vt:lpstr>Model!pL</vt:lpstr>
      <vt:lpstr>Calibration!pMY</vt:lpstr>
      <vt:lpstr>Model!pMY</vt:lpstr>
      <vt:lpstr>Calibration!pQ</vt:lpstr>
      <vt:lpstr>Model!pQ</vt:lpstr>
      <vt:lpstr>Calibration!PRICES</vt:lpstr>
      <vt:lpstr>Model!PRICES</vt:lpstr>
      <vt:lpstr>Calibration!pS</vt:lpstr>
      <vt:lpstr>Model!pS</vt:lpstr>
      <vt:lpstr>Calibration!pW</vt:lpstr>
      <vt:lpstr>Model!pW</vt:lpstr>
      <vt:lpstr>Calibration!pX</vt:lpstr>
      <vt:lpstr>Model!pX</vt:lpstr>
      <vt:lpstr>Calibration!pY</vt:lpstr>
      <vt:lpstr>Model!pY</vt:lpstr>
      <vt:lpstr>Calibration!Revenue</vt:lpstr>
      <vt:lpstr>Model!Revenue</vt:lpstr>
      <vt:lpstr>rhoKL</vt:lpstr>
      <vt:lpstr>rhoKLE</vt:lpstr>
      <vt:lpstr>rhoS</vt:lpstr>
      <vt:lpstr>rhoU</vt:lpstr>
      <vt:lpstr>rhoX</vt:lpstr>
      <vt:lpstr>rhoY</vt:lpstr>
      <vt:lpstr>Calibration!S</vt:lpstr>
      <vt:lpstr>Model!S</vt:lpstr>
      <vt:lpstr>Calibration!sD</vt:lpstr>
      <vt:lpstr>Model!sD</vt:lpstr>
      <vt:lpstr>Calibration!SE</vt:lpstr>
      <vt:lpstr>Model!SE</vt:lpstr>
      <vt:lpstr>Calibration!sG</vt:lpstr>
      <vt:lpstr>Model!sG</vt:lpstr>
      <vt:lpstr>sigmaKL</vt:lpstr>
      <vt:lpstr>sigmaKLE</vt:lpstr>
      <vt:lpstr>sigmaS</vt:lpstr>
      <vt:lpstr>sigmaU</vt:lpstr>
      <vt:lpstr>sigmaw</vt:lpstr>
      <vt:lpstr>sigmaX</vt:lpstr>
      <vt:lpstr>sigmaY</vt:lpstr>
      <vt:lpstr>Calibration!sK</vt:lpstr>
      <vt:lpstr>Model!sK</vt:lpstr>
      <vt:lpstr>Calibration!sL</vt:lpstr>
      <vt:lpstr>Model!sL</vt:lpstr>
      <vt:lpstr>Calibration!T</vt:lpstr>
      <vt:lpstr>T</vt:lpstr>
      <vt:lpstr>Target</vt:lpstr>
      <vt:lpstr>Calibration!tauL</vt:lpstr>
      <vt:lpstr>Model!tauL</vt:lpstr>
      <vt:lpstr>Calibration!tauTS</vt:lpstr>
      <vt:lpstr>Model!tauTS</vt:lpstr>
      <vt:lpstr>Model!tauTS2</vt:lpstr>
      <vt:lpstr>Calibration!tauTVA</vt:lpstr>
      <vt:lpstr>Model!tauTVA</vt:lpstr>
      <vt:lpstr>Calibration!tauY</vt:lpstr>
      <vt:lpstr>Model!tauY</vt:lpstr>
      <vt:lpstr>Calibration!tEXC</vt:lpstr>
      <vt:lpstr>Model!tEXC</vt:lpstr>
      <vt:lpstr>Calibration!tEXC1</vt:lpstr>
      <vt:lpstr>Model!tEXC1</vt:lpstr>
      <vt:lpstr>Calibration!tEXC2</vt:lpstr>
      <vt:lpstr>Model!tEXC2</vt:lpstr>
      <vt:lpstr>Calibration!U</vt:lpstr>
      <vt:lpstr>Model!U</vt:lpstr>
      <vt:lpstr>Calibration!VARIABLES</vt:lpstr>
      <vt:lpstr>Model!VARIABLES</vt:lpstr>
      <vt:lpstr>Calibration!VOLUMES</vt:lpstr>
      <vt:lpstr>Model!VOLUMES</vt:lpstr>
      <vt:lpstr>Calibration!w</vt:lpstr>
      <vt:lpstr>Model!w</vt:lpstr>
      <vt:lpstr>Model!wE</vt:lpstr>
      <vt:lpstr>Model!wQ</vt:lpstr>
      <vt:lpstr>Calibration!X</vt:lpstr>
      <vt:lpstr>Model!X</vt:lpstr>
      <vt:lpstr>Calibration!XE</vt:lpstr>
      <vt:lpstr>Model!XE</vt:lpstr>
      <vt:lpstr>Calibration!Y</vt:lpstr>
      <vt:lpstr>Model!Y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Ghersi</dc:creator>
  <cp:lastModifiedBy>Louis Daumas</cp:lastModifiedBy>
  <dcterms:created xsi:type="dcterms:W3CDTF">2012-11-16T13:59:17Z</dcterms:created>
  <dcterms:modified xsi:type="dcterms:W3CDTF">2025-07-03T15:29:20Z</dcterms:modified>
</cp:coreProperties>
</file>