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B91A902C-FECD-4DC1-9615-07057FB3AB3F}" xr6:coauthVersionLast="47" xr6:coauthVersionMax="47" xr10:uidLastSave="{00000000-0000-0000-0000-000000000000}"/>
  <bookViews>
    <workbookView xWindow="-110" yWindow="-110" windowWidth="19420" windowHeight="11500" tabRatio="935" firstSheet="6" activeTab="18" xr2:uid="{00000000-000D-0000-FFFF-FFFF00000000}"/>
  </bookViews>
  <sheets>
    <sheet name="Calibration" sheetId="1" r:id="rId1"/>
    <sheet name="Model" sheetId="2" r:id="rId2"/>
    <sheet name="Results" sheetId="3" r:id="rId3"/>
    <sheet name="NeoClassical" sheetId="11" r:id="rId4"/>
    <sheet name="Johansen" sheetId="12" r:id="rId5"/>
    <sheet name="Kaldorian" sheetId="22" r:id="rId6"/>
    <sheet name="Keynes-M" sheetId="18" r:id="rId7"/>
    <sheet name="Keynesian" sheetId="24" r:id="rId8"/>
    <sheet name="Keynes-K" sheetId="21" r:id="rId9"/>
    <sheet name="Neo-K1" sheetId="38" r:id="rId10"/>
    <sheet name="Neo-K2" sheetId="35" r:id="rId11"/>
    <sheet name="Diagnosis Indicators" sheetId="23" r:id="rId12"/>
    <sheet name="Welfare" sheetId="34" r:id="rId13"/>
    <sheet name="Tax" sheetId="42" r:id="rId14"/>
    <sheet name="GDP" sheetId="39" r:id="rId15"/>
    <sheet name="Inv" sheetId="41" r:id="rId16"/>
    <sheet name="Kshare" sheetId="40" r:id="rId17"/>
    <sheet name="U" sheetId="43" r:id="rId18"/>
    <sheet name="Utility_Export" sheetId="44" r:id="rId19"/>
    <sheet name="PShare_export" sheetId="45" r:id="rId20"/>
    <sheet name="Tax_export" sheetId="46" r:id="rId21"/>
  </sheets>
  <functionGroups builtInGroupCount="19"/>
  <externalReferences>
    <externalReference r:id="rId22"/>
  </externalReference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83" i="35" l="1"/>
  <c r="AB83" i="35"/>
  <c r="AT82" i="35"/>
  <c r="N82" i="35"/>
  <c r="B82" i="35"/>
  <c r="AT81" i="35"/>
  <c r="AP81" i="35"/>
  <c r="AF81" i="35"/>
  <c r="AD81" i="35"/>
  <c r="AB81" i="35"/>
  <c r="X81" i="35"/>
  <c r="V81" i="35"/>
  <c r="T81" i="35"/>
  <c r="N81" i="35"/>
  <c r="J81" i="35"/>
  <c r="AV80" i="35"/>
  <c r="AT80" i="35"/>
  <c r="AR80" i="35"/>
  <c r="AN80" i="35"/>
  <c r="AL80" i="35"/>
  <c r="AJ80" i="35"/>
  <c r="AH80" i="35"/>
  <c r="AD80" i="35"/>
  <c r="Z80" i="35"/>
  <c r="P80" i="35"/>
  <c r="N80" i="35"/>
  <c r="L80" i="35"/>
  <c r="H80" i="35"/>
  <c r="F80" i="35"/>
  <c r="D80" i="35"/>
  <c r="AV79" i="35" a="1"/>
  <c r="AV79" i="35" s="1"/>
  <c r="AT79" i="35" a="1"/>
  <c r="AT79" i="35" s="1"/>
  <c r="AR79" i="35"/>
  <c r="AR79" i="35" a="1"/>
  <c r="AP79" i="35"/>
  <c r="AP79" i="35" a="1"/>
  <c r="AN79" i="35" a="1"/>
  <c r="AN79" i="35" s="1"/>
  <c r="AL79" i="35"/>
  <c r="AL79" i="35" a="1"/>
  <c r="AJ79" i="35" a="1"/>
  <c r="AJ79" i="35" s="1"/>
  <c r="AH79" i="35" a="1"/>
  <c r="AH79" i="35" s="1"/>
  <c r="AF79" i="35" a="1"/>
  <c r="AF79" i="35" s="1"/>
  <c r="AD79" i="35" a="1"/>
  <c r="AD79" i="35" s="1"/>
  <c r="AB79" i="35"/>
  <c r="AB79" i="35" a="1"/>
  <c r="Z79" i="35"/>
  <c r="Z79" i="35" a="1"/>
  <c r="X79" i="35" a="1"/>
  <c r="X79" i="35" s="1"/>
  <c r="V79" i="35"/>
  <c r="V79" i="35" a="1"/>
  <c r="T79" i="35" a="1"/>
  <c r="T79" i="35" s="1"/>
  <c r="R79" i="35" a="1"/>
  <c r="R79" i="35" s="1"/>
  <c r="P79" i="35" a="1"/>
  <c r="P79" i="35" s="1"/>
  <c r="N79" i="35" a="1"/>
  <c r="N79" i="35" s="1"/>
  <c r="L79" i="35"/>
  <c r="L79" i="35" a="1"/>
  <c r="J79" i="35"/>
  <c r="J79" i="35" a="1"/>
  <c r="H79" i="35" a="1"/>
  <c r="H79" i="35" s="1"/>
  <c r="F79" i="35"/>
  <c r="F79" i="35" a="1"/>
  <c r="D79" i="35" a="1"/>
  <c r="D79" i="35" s="1"/>
  <c r="B79" i="35" a="1"/>
  <c r="B79" i="35" s="1"/>
  <c r="AV78" i="35" a="1"/>
  <c r="AV78" i="35" s="1"/>
  <c r="AT78" i="35" a="1"/>
  <c r="AT78" i="35" s="1"/>
  <c r="AR78" i="35" a="1"/>
  <c r="AR78" i="35" s="1"/>
  <c r="AP78" i="35"/>
  <c r="AP78" i="35" a="1"/>
  <c r="AN78" i="35" a="1"/>
  <c r="AN78" i="35" s="1"/>
  <c r="AL78" i="35"/>
  <c r="AL78" i="35" a="1"/>
  <c r="AJ78" i="35" a="1"/>
  <c r="AJ78" i="35" s="1"/>
  <c r="AH78" i="35" a="1"/>
  <c r="AH78" i="35" s="1"/>
  <c r="AF78" i="35" a="1"/>
  <c r="AF78" i="35" s="1"/>
  <c r="AD78" i="35" a="1"/>
  <c r="AD78" i="35" s="1"/>
  <c r="AB78" i="35" a="1"/>
  <c r="AB78" i="35" s="1"/>
  <c r="Z78" i="35"/>
  <c r="Z78" i="35" a="1"/>
  <c r="X78" i="35" a="1"/>
  <c r="X78" i="35" s="1"/>
  <c r="V78" i="35"/>
  <c r="V78" i="35" a="1"/>
  <c r="T78" i="35" a="1"/>
  <c r="T78" i="35" s="1"/>
  <c r="R78" i="35" a="1"/>
  <c r="R78" i="35" s="1"/>
  <c r="P78" i="35" a="1"/>
  <c r="P78" i="35" s="1"/>
  <c r="N78" i="35" a="1"/>
  <c r="N78" i="35" s="1"/>
  <c r="L78" i="35" a="1"/>
  <c r="L78" i="35" s="1"/>
  <c r="J78" i="35"/>
  <c r="J78" i="35" a="1"/>
  <c r="H78" i="35" a="1"/>
  <c r="H78" i="35" s="1"/>
  <c r="F78" i="35"/>
  <c r="F78" i="35" a="1"/>
  <c r="D78" i="35" a="1"/>
  <c r="D78" i="35" s="1"/>
  <c r="B78" i="35" a="1"/>
  <c r="B78" i="35" s="1"/>
  <c r="AV77" i="35" a="1"/>
  <c r="AV77" i="35" s="1"/>
  <c r="AT77" i="35" a="1"/>
  <c r="AT77" i="35" s="1"/>
  <c r="AR77" i="35" a="1"/>
  <c r="AR77" i="35" s="1"/>
  <c r="AP77" i="35"/>
  <c r="AP77" i="35" a="1"/>
  <c r="AN77" i="35" a="1"/>
  <c r="AN77" i="35" s="1"/>
  <c r="AL77" i="35"/>
  <c r="AL77" i="35" a="1"/>
  <c r="AJ77" i="35" a="1"/>
  <c r="AJ77" i="35" s="1"/>
  <c r="AH77" i="35" a="1"/>
  <c r="AH77" i="35" s="1"/>
  <c r="AF77" i="35" a="1"/>
  <c r="AF77" i="35" s="1"/>
  <c r="AD77" i="35" a="1"/>
  <c r="AD77" i="35" s="1"/>
  <c r="AB77" i="35" a="1"/>
  <c r="AB77" i="35" s="1"/>
  <c r="Z77" i="35"/>
  <c r="Z77" i="35" a="1"/>
  <c r="X77" i="35" a="1"/>
  <c r="X77" i="35" s="1"/>
  <c r="V77" i="35"/>
  <c r="V77" i="35" a="1"/>
  <c r="T77" i="35" a="1"/>
  <c r="T77" i="35" s="1"/>
  <c r="R77" i="35" a="1"/>
  <c r="R77" i="35" s="1"/>
  <c r="P77" i="35" a="1"/>
  <c r="P77" i="35" s="1"/>
  <c r="N77" i="35" a="1"/>
  <c r="N77" i="35" s="1"/>
  <c r="L77" i="35" a="1"/>
  <c r="L77" i="35" s="1"/>
  <c r="J77" i="35"/>
  <c r="J77" i="35" a="1"/>
  <c r="H77" i="35" a="1"/>
  <c r="H77" i="35" s="1"/>
  <c r="F77" i="35"/>
  <c r="F77" i="35" a="1"/>
  <c r="D77" i="35" a="1"/>
  <c r="D77" i="35" s="1"/>
  <c r="B77" i="35" a="1"/>
  <c r="B77" i="35" s="1"/>
  <c r="AV76" i="35" a="1"/>
  <c r="AV76" i="35" s="1"/>
  <c r="AT76" i="35" a="1"/>
  <c r="AT76" i="35" s="1"/>
  <c r="AR76" i="35" a="1"/>
  <c r="AR76" i="35" s="1"/>
  <c r="AP76" i="35"/>
  <c r="AP76" i="35" a="1"/>
  <c r="AN76" i="35" a="1"/>
  <c r="AN76" i="35" s="1"/>
  <c r="AL76" i="35"/>
  <c r="AL76" i="35" a="1"/>
  <c r="AJ76" i="35" a="1"/>
  <c r="AJ76" i="35" s="1"/>
  <c r="AH76" i="35" a="1"/>
  <c r="AH76" i="35" s="1"/>
  <c r="AF76" i="35" a="1"/>
  <c r="AF76" i="35" s="1"/>
  <c r="AD76" i="35" a="1"/>
  <c r="AD76" i="35" s="1"/>
  <c r="AB76" i="35" a="1"/>
  <c r="AB76" i="35" s="1"/>
  <c r="Z76" i="35"/>
  <c r="Z76" i="35" a="1"/>
  <c r="X76" i="35" a="1"/>
  <c r="X76" i="35" s="1"/>
  <c r="V76" i="35"/>
  <c r="V76" i="35" a="1"/>
  <c r="T76" i="35" a="1"/>
  <c r="T76" i="35" s="1"/>
  <c r="R76" i="35" a="1"/>
  <c r="R76" i="35" s="1"/>
  <c r="P76" i="35" a="1"/>
  <c r="P76" i="35" s="1"/>
  <c r="N76" i="35" a="1"/>
  <c r="N76" i="35" s="1"/>
  <c r="L76" i="35" a="1"/>
  <c r="L76" i="35" s="1"/>
  <c r="J76" i="35"/>
  <c r="J76" i="35" a="1"/>
  <c r="H76" i="35" a="1"/>
  <c r="H76" i="35" s="1"/>
  <c r="F76" i="35"/>
  <c r="F76" i="35" a="1"/>
  <c r="D76" i="35" a="1"/>
  <c r="D76" i="35" s="1"/>
  <c r="B76" i="35" a="1"/>
  <c r="B76" i="35" s="1"/>
  <c r="AV75" i="35" a="1"/>
  <c r="AV75" i="35" s="1"/>
  <c r="AT75" i="35" a="1"/>
  <c r="AT75" i="35" s="1"/>
  <c r="AR75" i="35" a="1"/>
  <c r="AR75" i="35" s="1"/>
  <c r="AP75" i="35"/>
  <c r="AP75" i="35" a="1"/>
  <c r="AN75" i="35" a="1"/>
  <c r="AN75" i="35" s="1"/>
  <c r="AL75" i="35"/>
  <c r="AL75" i="35" a="1"/>
  <c r="AJ75" i="35" a="1"/>
  <c r="AJ75" i="35" s="1"/>
  <c r="AH75" i="35" a="1"/>
  <c r="AH75" i="35" s="1"/>
  <c r="AF75" i="35" a="1"/>
  <c r="AF75" i="35" s="1"/>
  <c r="AD75" i="35" a="1"/>
  <c r="AD75" i="35" s="1"/>
  <c r="AB75" i="35" a="1"/>
  <c r="AB75" i="35" s="1"/>
  <c r="Z75" i="35"/>
  <c r="Z75" i="35" a="1"/>
  <c r="X75" i="35" a="1"/>
  <c r="X75" i="35" s="1"/>
  <c r="V75" i="35"/>
  <c r="V75" i="35" a="1"/>
  <c r="T75" i="35" a="1"/>
  <c r="T75" i="35" s="1"/>
  <c r="R75" i="35" a="1"/>
  <c r="R75" i="35" s="1"/>
  <c r="P75" i="35" a="1"/>
  <c r="P75" i="35" s="1"/>
  <c r="N75" i="35" a="1"/>
  <c r="N75" i="35" s="1"/>
  <c r="L75" i="35" a="1"/>
  <c r="L75" i="35" s="1"/>
  <c r="J75" i="35"/>
  <c r="J75" i="35" a="1"/>
  <c r="H75" i="35" a="1"/>
  <c r="H75" i="35" s="1"/>
  <c r="F75" i="35"/>
  <c r="F75" i="35" a="1"/>
  <c r="D75" i="35" a="1"/>
  <c r="D75" i="35" s="1"/>
  <c r="B75" i="35" a="1"/>
  <c r="B75" i="35" s="1"/>
  <c r="AV74" i="35" a="1"/>
  <c r="AV74" i="35" s="1"/>
  <c r="AT74" i="35" a="1"/>
  <c r="AT74" i="35" s="1"/>
  <c r="AR74" i="35" a="1"/>
  <c r="AR74" i="35" s="1"/>
  <c r="AP74" i="35"/>
  <c r="AP74" i="35" a="1"/>
  <c r="AN74" i="35" a="1"/>
  <c r="AN74" i="35" s="1"/>
  <c r="AL74" i="35"/>
  <c r="AL74" i="35" a="1"/>
  <c r="AJ74" i="35" a="1"/>
  <c r="AJ74" i="35" s="1"/>
  <c r="AH74" i="35" a="1"/>
  <c r="AH74" i="35" s="1"/>
  <c r="AF74" i="35" a="1"/>
  <c r="AF74" i="35" s="1"/>
  <c r="AD74" i="35" a="1"/>
  <c r="AD74" i="35" s="1"/>
  <c r="AB74" i="35" a="1"/>
  <c r="AB74" i="35" s="1"/>
  <c r="Z74" i="35"/>
  <c r="Z74" i="35" a="1"/>
  <c r="X74" i="35" a="1"/>
  <c r="X74" i="35" s="1"/>
  <c r="V74" i="35"/>
  <c r="V74" i="35" a="1"/>
  <c r="T74" i="35" a="1"/>
  <c r="T74" i="35" s="1"/>
  <c r="R74" i="35" a="1"/>
  <c r="R74" i="35" s="1"/>
  <c r="P74" i="35" a="1"/>
  <c r="P74" i="35" s="1"/>
  <c r="N74" i="35" a="1"/>
  <c r="N74" i="35" s="1"/>
  <c r="L74" i="35" a="1"/>
  <c r="L74" i="35" s="1"/>
  <c r="J74" i="35"/>
  <c r="J74" i="35" a="1"/>
  <c r="H74" i="35" a="1"/>
  <c r="H74" i="35" s="1"/>
  <c r="F74" i="35"/>
  <c r="F74" i="35" a="1"/>
  <c r="D74" i="35" a="1"/>
  <c r="D74" i="35" s="1"/>
  <c r="B74" i="35" a="1"/>
  <c r="B74" i="35" s="1"/>
  <c r="AV73" i="35" a="1"/>
  <c r="AV73" i="35" s="1"/>
  <c r="AT73" i="35" a="1"/>
  <c r="AT73" i="35" s="1"/>
  <c r="AR73" i="35" a="1"/>
  <c r="AR73" i="35" s="1"/>
  <c r="AP73" i="35"/>
  <c r="AP73" i="35" a="1"/>
  <c r="AN73" i="35" a="1"/>
  <c r="AN73" i="35" s="1"/>
  <c r="AL73" i="35"/>
  <c r="AL73" i="35" a="1"/>
  <c r="AJ73" i="35" a="1"/>
  <c r="AJ73" i="35" s="1"/>
  <c r="AH73" i="35" a="1"/>
  <c r="AH73" i="35" s="1"/>
  <c r="AF73" i="35" a="1"/>
  <c r="AF73" i="35" s="1"/>
  <c r="AD73" i="35" a="1"/>
  <c r="AD73" i="35" s="1"/>
  <c r="AB73" i="35" a="1"/>
  <c r="AB73" i="35" s="1"/>
  <c r="Z73" i="35"/>
  <c r="Z73" i="35" a="1"/>
  <c r="X73" i="35" a="1"/>
  <c r="X73" i="35" s="1"/>
  <c r="V73" i="35"/>
  <c r="V73" i="35" a="1"/>
  <c r="T73" i="35" a="1"/>
  <c r="T73" i="35" s="1"/>
  <c r="R73" i="35" a="1"/>
  <c r="R73" i="35" s="1"/>
  <c r="P73" i="35" a="1"/>
  <c r="P73" i="35" s="1"/>
  <c r="N73" i="35" a="1"/>
  <c r="N73" i="35" s="1"/>
  <c r="L73" i="35" a="1"/>
  <c r="L73" i="35" s="1"/>
  <c r="J73" i="35"/>
  <c r="J73" i="35" a="1"/>
  <c r="H73" i="35" a="1"/>
  <c r="H73" i="35" s="1"/>
  <c r="F73" i="35"/>
  <c r="F73" i="35" a="1"/>
  <c r="D73" i="35" a="1"/>
  <c r="D73" i="35" s="1"/>
  <c r="B73" i="35" a="1"/>
  <c r="B73" i="35" s="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AH69" i="35"/>
  <c r="B69" i="35"/>
  <c r="R68" i="35"/>
  <c r="AV67" i="35" a="1"/>
  <c r="AV67" i="35" s="1"/>
  <c r="AT67" i="35"/>
  <c r="AT67" i="35" a="1"/>
  <c r="AR67" i="35" a="1"/>
  <c r="AR67" i="35" s="1"/>
  <c r="AP67" i="35"/>
  <c r="AP67" i="35" a="1"/>
  <c r="AN67" i="35" a="1"/>
  <c r="AN67" i="35" s="1"/>
  <c r="AL67" i="35" a="1"/>
  <c r="AL67" i="35" s="1"/>
  <c r="AJ67" i="35" a="1"/>
  <c r="AJ67" i="35" s="1"/>
  <c r="AH67" i="35"/>
  <c r="AH67" i="35" a="1"/>
  <c r="AF67" i="35" a="1"/>
  <c r="AF67" i="35" s="1"/>
  <c r="AD67" i="35"/>
  <c r="AD67" i="35" a="1"/>
  <c r="AB67" i="35" a="1"/>
  <c r="AB67" i="35" s="1"/>
  <c r="Z67" i="35" a="1"/>
  <c r="Z67" i="35" s="1"/>
  <c r="X67" i="35" a="1"/>
  <c r="X67" i="35" s="1"/>
  <c r="V67" i="35" a="1"/>
  <c r="V67" i="35" s="1"/>
  <c r="T67" i="35" a="1"/>
  <c r="T67" i="35" s="1"/>
  <c r="R67" i="35"/>
  <c r="R67" i="35" a="1"/>
  <c r="P67" i="35" a="1"/>
  <c r="P67" i="35" s="1"/>
  <c r="N67" i="35"/>
  <c r="N67" i="35" a="1"/>
  <c r="L67" i="35" a="1"/>
  <c r="L67" i="35" s="1"/>
  <c r="J67" i="35" a="1"/>
  <c r="J67" i="35" s="1"/>
  <c r="H67" i="35" a="1"/>
  <c r="H67" i="35" s="1"/>
  <c r="F67" i="35" a="1"/>
  <c r="F67" i="35" s="1"/>
  <c r="D67" i="35" a="1"/>
  <c r="D67" i="35" s="1"/>
  <c r="B67" i="35"/>
  <c r="B67" i="35" a="1"/>
  <c r="AV66" i="35" a="1"/>
  <c r="AV66" i="35" s="1"/>
  <c r="AT66" i="35"/>
  <c r="AT68" i="35" s="1"/>
  <c r="AT66" i="35" a="1"/>
  <c r="AR66" i="35" a="1"/>
  <c r="AR66" i="35" s="1"/>
  <c r="AP66" i="35" a="1"/>
  <c r="AP66" i="35" s="1"/>
  <c r="AP68" i="35" s="1"/>
  <c r="AN66" i="35" a="1"/>
  <c r="AN66" i="35" s="1"/>
  <c r="AL66" i="35" a="1"/>
  <c r="AL66" i="35" s="1"/>
  <c r="AL68" i="35" s="1"/>
  <c r="AJ66" i="35" a="1"/>
  <c r="AJ66" i="35" s="1"/>
  <c r="AH66" i="35"/>
  <c r="AH68" i="35" s="1"/>
  <c r="AH66" i="35" a="1"/>
  <c r="AF66" i="35" a="1"/>
  <c r="AF66" i="35" s="1"/>
  <c r="AD66" i="35"/>
  <c r="AD68" i="35" s="1"/>
  <c r="AD66" i="35" a="1"/>
  <c r="AB66" i="35" a="1"/>
  <c r="AB66" i="35" s="1"/>
  <c r="AB68" i="35" s="1"/>
  <c r="Z66" i="35"/>
  <c r="Z68" i="35" s="1"/>
  <c r="Z66" i="35" a="1"/>
  <c r="X66" i="35" a="1"/>
  <c r="X66" i="35" s="1"/>
  <c r="X68" i="35" s="1"/>
  <c r="V66" i="35" a="1"/>
  <c r="V66" i="35" s="1"/>
  <c r="V68" i="35" s="1"/>
  <c r="T66" i="35" a="1"/>
  <c r="T66" i="35" s="1"/>
  <c r="T68" i="35" s="1"/>
  <c r="R66" i="35"/>
  <c r="R66" i="35" a="1"/>
  <c r="P66" i="35" a="1"/>
  <c r="P66" i="35" s="1"/>
  <c r="P68" i="35" s="1"/>
  <c r="N66" i="35"/>
  <c r="N68" i="35" s="1"/>
  <c r="N66" i="35" a="1"/>
  <c r="L66" i="35" a="1"/>
  <c r="L66" i="35" s="1"/>
  <c r="L68" i="35" s="1"/>
  <c r="J66" i="35"/>
  <c r="J66" i="35" a="1"/>
  <c r="H66" i="35" a="1"/>
  <c r="H66" i="35" s="1"/>
  <c r="H68" i="35" s="1"/>
  <c r="F66" i="35" a="1"/>
  <c r="F66" i="35" s="1"/>
  <c r="D66" i="35" a="1"/>
  <c r="D66" i="35" s="1"/>
  <c r="D68" i="35" s="1"/>
  <c r="B66" i="35"/>
  <c r="B68" i="35" s="1"/>
  <c r="B66" i="35" a="1"/>
  <c r="AV65" i="35" a="1"/>
  <c r="AV65" i="35" s="1"/>
  <c r="AV69" i="35" s="1"/>
  <c r="AT65" i="35"/>
  <c r="AT69" i="35" s="1"/>
  <c r="AT65" i="35" a="1"/>
  <c r="AR65" i="35" a="1"/>
  <c r="AR65" i="35" s="1"/>
  <c r="AR69" i="35" s="1"/>
  <c r="AP65" i="35"/>
  <c r="AP69" i="35" s="1"/>
  <c r="AP65" i="35" a="1"/>
  <c r="AN65" i="35" a="1"/>
  <c r="AN65" i="35" s="1"/>
  <c r="AN69" i="35" s="1"/>
  <c r="AL65" i="35" a="1"/>
  <c r="AL65" i="35" s="1"/>
  <c r="AL69" i="35" s="1"/>
  <c r="AJ65" i="35" a="1"/>
  <c r="AJ65" i="35" s="1"/>
  <c r="AJ69" i="35" s="1"/>
  <c r="AH65" i="35"/>
  <c r="AH65" i="35" a="1"/>
  <c r="AF65" i="35" a="1"/>
  <c r="AF65" i="35" s="1"/>
  <c r="AF69" i="35" s="1"/>
  <c r="AD65" i="35"/>
  <c r="AD69" i="35" s="1"/>
  <c r="AD65" i="35" a="1"/>
  <c r="AB65" i="35" a="1"/>
  <c r="AB65" i="35" s="1"/>
  <c r="AB69" i="35" s="1"/>
  <c r="Z65" i="35" a="1"/>
  <c r="Z65" i="35" s="1"/>
  <c r="Z69" i="35" s="1"/>
  <c r="X65" i="35" a="1"/>
  <c r="X65" i="35" s="1"/>
  <c r="X69" i="35" s="1"/>
  <c r="V65" i="35" a="1"/>
  <c r="V65" i="35" s="1"/>
  <c r="V69" i="35" s="1"/>
  <c r="T65" i="35" a="1"/>
  <c r="T65" i="35" s="1"/>
  <c r="T69" i="35" s="1"/>
  <c r="R65" i="35"/>
  <c r="R69" i="35" s="1"/>
  <c r="R65" i="35" a="1"/>
  <c r="P65" i="35" a="1"/>
  <c r="P65" i="35" s="1"/>
  <c r="P69" i="35" s="1"/>
  <c r="N65" i="35"/>
  <c r="N69" i="35" s="1"/>
  <c r="N65" i="35" a="1"/>
  <c r="L65" i="35" a="1"/>
  <c r="L65" i="35" s="1"/>
  <c r="L69" i="35" s="1"/>
  <c r="J65" i="35" a="1"/>
  <c r="J65" i="35" s="1"/>
  <c r="J69" i="35" s="1"/>
  <c r="H65" i="35" a="1"/>
  <c r="H65" i="35" s="1"/>
  <c r="H69" i="35" s="1"/>
  <c r="F65" i="35" a="1"/>
  <c r="F65" i="35" s="1"/>
  <c r="F69" i="35" s="1"/>
  <c r="D65" i="35" a="1"/>
  <c r="D65" i="35" s="1"/>
  <c r="D69" i="35" s="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c r="AR58" i="35" a="1"/>
  <c r="AP58" i="35"/>
  <c r="AP58" i="35" a="1"/>
  <c r="AN58" i="35" a="1"/>
  <c r="AN58" i="35" s="1"/>
  <c r="AL58" i="35" a="1"/>
  <c r="AL58" i="35" s="1"/>
  <c r="AJ58" i="35" a="1"/>
  <c r="AJ58" i="35" s="1"/>
  <c r="AH58" i="35" a="1"/>
  <c r="AH58" i="35" s="1"/>
  <c r="AF58" i="35"/>
  <c r="AF58" i="35" a="1"/>
  <c r="AD58" i="35"/>
  <c r="AD58" i="35" a="1"/>
  <c r="AB58" i="35"/>
  <c r="AB58" i="35" a="1"/>
  <c r="Z58" i="35"/>
  <c r="Z58" i="35" a="1"/>
  <c r="X58" i="35" a="1"/>
  <c r="X58" i="35" s="1"/>
  <c r="V58" i="35" a="1"/>
  <c r="V58" i="35" s="1"/>
  <c r="T58" i="35" a="1"/>
  <c r="T58" i="35" s="1"/>
  <c r="R58" i="35" a="1"/>
  <c r="R58" i="35" s="1"/>
  <c r="P58" i="35"/>
  <c r="P58" i="35" a="1"/>
  <c r="N58" i="35"/>
  <c r="N58" i="35" a="1"/>
  <c r="L58" i="35"/>
  <c r="L58" i="35" a="1"/>
  <c r="J58" i="35" a="1"/>
  <c r="J58" i="35" s="1"/>
  <c r="H58" i="35" a="1"/>
  <c r="H58" i="35" s="1"/>
  <c r="F58" i="35" a="1"/>
  <c r="F58" i="35" s="1"/>
  <c r="D58" i="35" a="1"/>
  <c r="D58" i="35" s="1"/>
  <c r="B58" i="35" a="1"/>
  <c r="B58" i="35" s="1"/>
  <c r="AV57" i="35"/>
  <c r="AV57" i="35" a="1"/>
  <c r="AT57" i="35"/>
  <c r="AT57" i="35" a="1"/>
  <c r="AR57" i="35"/>
  <c r="AR57" i="35" a="1"/>
  <c r="AP57" i="35" a="1"/>
  <c r="AP57" i="35" s="1"/>
  <c r="AN57" i="35" a="1"/>
  <c r="AN57" i="35" s="1"/>
  <c r="AL57" i="35" a="1"/>
  <c r="AL57" i="35" s="1"/>
  <c r="AJ57" i="35" a="1"/>
  <c r="AJ57" i="35" s="1"/>
  <c r="AH57" i="35" a="1"/>
  <c r="AH57" i="35" s="1"/>
  <c r="AF57" i="35"/>
  <c r="AF57" i="35" a="1"/>
  <c r="AD57" i="35"/>
  <c r="AD57" i="35" a="1"/>
  <c r="AB57" i="35"/>
  <c r="AB57" i="35" a="1"/>
  <c r="Z57" i="35" a="1"/>
  <c r="Z57" i="35" s="1"/>
  <c r="X57" i="35" a="1"/>
  <c r="X57" i="35" s="1"/>
  <c r="V57" i="35" a="1"/>
  <c r="V57" i="35" s="1"/>
  <c r="T57" i="35" a="1"/>
  <c r="T57" i="35" s="1"/>
  <c r="R57" i="35" a="1"/>
  <c r="R57" i="35" s="1"/>
  <c r="P57" i="35"/>
  <c r="P57" i="35" a="1"/>
  <c r="N57" i="35"/>
  <c r="N57" i="35" a="1"/>
  <c r="L57" i="35"/>
  <c r="L57" i="35" a="1"/>
  <c r="J57" i="35" a="1"/>
  <c r="J57" i="35" s="1"/>
  <c r="H57" i="35" a="1"/>
  <c r="H57" i="35" s="1"/>
  <c r="F57" i="35" a="1"/>
  <c r="F57" i="35" s="1"/>
  <c r="D57" i="35" a="1"/>
  <c r="D57" i="35" s="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R55" i="35"/>
  <c r="AP55" i="35"/>
  <c r="AP80" i="35" s="1"/>
  <c r="AN55" i="35"/>
  <c r="AL55" i="35"/>
  <c r="AJ55" i="35"/>
  <c r="AH55" i="35"/>
  <c r="AF55" i="35"/>
  <c r="AF80" i="35" s="1"/>
  <c r="AD55" i="35"/>
  <c r="AB55" i="35"/>
  <c r="AB80" i="35" s="1"/>
  <c r="Z55" i="35"/>
  <c r="X55" i="35"/>
  <c r="X80" i="35" s="1"/>
  <c r="V55" i="35"/>
  <c r="V80" i="35" s="1"/>
  <c r="T55" i="35"/>
  <c r="T80" i="35" s="1"/>
  <c r="R55" i="35"/>
  <c r="R80" i="35" s="1"/>
  <c r="P55" i="35"/>
  <c r="N55" i="35"/>
  <c r="L55" i="35"/>
  <c r="J55" i="35"/>
  <c r="J80" i="35" s="1"/>
  <c r="H55" i="35"/>
  <c r="F55" i="35"/>
  <c r="D55" i="35"/>
  <c r="B55" i="35"/>
  <c r="B80" i="35" s="1"/>
  <c r="AV53" i="35"/>
  <c r="AV83" i="35" s="1"/>
  <c r="AV53" i="35" a="1"/>
  <c r="AT53" i="35"/>
  <c r="AT83" i="35" s="1"/>
  <c r="AT53" i="35" a="1"/>
  <c r="AR53" i="35"/>
  <c r="AR83" i="35" s="1"/>
  <c r="AR53" i="35" a="1"/>
  <c r="AP53" i="35" a="1"/>
  <c r="AP53" i="35" s="1"/>
  <c r="AP83" i="35" s="1"/>
  <c r="AN53" i="35" a="1"/>
  <c r="AN53" i="35" s="1"/>
  <c r="AN83" i="35" s="1"/>
  <c r="AL53" i="35" a="1"/>
  <c r="AL53" i="35" s="1"/>
  <c r="AL83" i="35" s="1"/>
  <c r="AJ53" i="35" a="1"/>
  <c r="AJ53" i="35" s="1"/>
  <c r="AJ83" i="35" s="1"/>
  <c r="AH53" i="35" a="1"/>
  <c r="AH53" i="35" s="1"/>
  <c r="AH83" i="35" s="1"/>
  <c r="AF53" i="35"/>
  <c r="AF83" i="35" s="1"/>
  <c r="AF53" i="35" a="1"/>
  <c r="AD53" i="35"/>
  <c r="AD53" i="35" a="1"/>
  <c r="AB53" i="35"/>
  <c r="AB53" i="35" a="1"/>
  <c r="Z53" i="35" a="1"/>
  <c r="Z53" i="35" s="1"/>
  <c r="Z83" i="35" s="1"/>
  <c r="X53" i="35" a="1"/>
  <c r="X53" i="35" s="1"/>
  <c r="X83" i="35" s="1"/>
  <c r="V53" i="35" a="1"/>
  <c r="V53" i="35" s="1"/>
  <c r="V83" i="35" s="1"/>
  <c r="T53" i="35" a="1"/>
  <c r="T53" i="35" s="1"/>
  <c r="T83" i="35" s="1"/>
  <c r="R53" i="35" a="1"/>
  <c r="R53" i="35" s="1"/>
  <c r="R83" i="35" s="1"/>
  <c r="P53" i="35"/>
  <c r="P83" i="35" s="1"/>
  <c r="P53" i="35" a="1"/>
  <c r="N53" i="35"/>
  <c r="N83" i="35" s="1"/>
  <c r="N53" i="35" a="1"/>
  <c r="L53" i="35"/>
  <c r="L83" i="35" s="1"/>
  <c r="L53" i="35" a="1"/>
  <c r="J53" i="35" a="1"/>
  <c r="J53" i="35" s="1"/>
  <c r="J83" i="35" s="1"/>
  <c r="H53" i="35" a="1"/>
  <c r="H53" i="35" s="1"/>
  <c r="H83" i="35" s="1"/>
  <c r="F53" i="35" a="1"/>
  <c r="F53" i="35" s="1"/>
  <c r="F83" i="35" s="1"/>
  <c r="D53" i="35" a="1"/>
  <c r="D53" i="35" s="1"/>
  <c r="D83" i="35" s="1"/>
  <c r="B53" i="35" a="1"/>
  <c r="B53" i="35" s="1"/>
  <c r="B83" i="35" s="1"/>
  <c r="AV52" i="35"/>
  <c r="AV82" i="35" s="1"/>
  <c r="AV52" i="35" a="1"/>
  <c r="AT52" i="35"/>
  <c r="AT52" i="35" a="1"/>
  <c r="AR52" i="35" a="1"/>
  <c r="AR52" i="35" s="1"/>
  <c r="AR82" i="35" s="1"/>
  <c r="AP52" i="35" a="1"/>
  <c r="AP52" i="35" s="1"/>
  <c r="AP82" i="35" s="1"/>
  <c r="AN52" i="35" a="1"/>
  <c r="AN52" i="35" s="1"/>
  <c r="AN82" i="35" s="1"/>
  <c r="AL52" i="35" a="1"/>
  <c r="AL52" i="35" s="1"/>
  <c r="AL82" i="35" s="1"/>
  <c r="AJ52" i="35" a="1"/>
  <c r="AJ52" i="35" s="1"/>
  <c r="AJ82" i="35" s="1"/>
  <c r="AH52" i="35" a="1"/>
  <c r="AH52" i="35" s="1"/>
  <c r="AH82" i="35" s="1"/>
  <c r="AF52" i="35"/>
  <c r="AF82" i="35" s="1"/>
  <c r="AF52" i="35" a="1"/>
  <c r="AD52" i="35"/>
  <c r="AD82" i="35" s="1"/>
  <c r="AD52" i="35" a="1"/>
  <c r="AB52" i="35" a="1"/>
  <c r="AB52" i="35" s="1"/>
  <c r="AB82" i="35" s="1"/>
  <c r="Z52" i="35" a="1"/>
  <c r="Z52" i="35" s="1"/>
  <c r="Z82" i="35" s="1"/>
  <c r="X52" i="35" a="1"/>
  <c r="X52" i="35" s="1"/>
  <c r="X82" i="35" s="1"/>
  <c r="V52" i="35" a="1"/>
  <c r="V52" i="35" s="1"/>
  <c r="V82" i="35" s="1"/>
  <c r="T52" i="35" a="1"/>
  <c r="T52" i="35" s="1"/>
  <c r="T82" i="35" s="1"/>
  <c r="R52" i="35" a="1"/>
  <c r="R52" i="35" s="1"/>
  <c r="R82" i="35" s="1"/>
  <c r="P52" i="35"/>
  <c r="P82" i="35" s="1"/>
  <c r="P52" i="35" a="1"/>
  <c r="N52" i="35"/>
  <c r="N52" i="35" a="1"/>
  <c r="L52" i="35" a="1"/>
  <c r="L52" i="35" s="1"/>
  <c r="L82" i="35" s="1"/>
  <c r="J52" i="35" a="1"/>
  <c r="J52" i="35" s="1"/>
  <c r="J82" i="35" s="1"/>
  <c r="H52" i="35" a="1"/>
  <c r="H52" i="35" s="1"/>
  <c r="H82" i="35" s="1"/>
  <c r="F52" i="35" a="1"/>
  <c r="F52" i="35" s="1"/>
  <c r="F82" i="35" s="1"/>
  <c r="D52" i="35" a="1"/>
  <c r="D52" i="35" s="1"/>
  <c r="D82" i="35" s="1"/>
  <c r="B52" i="35" a="1"/>
  <c r="B52" i="35" s="1"/>
  <c r="AV51" i="35"/>
  <c r="AV81" i="35" s="1"/>
  <c r="AT51" i="35"/>
  <c r="AR51" i="35"/>
  <c r="AR81" i="35" s="1"/>
  <c r="AP51" i="35"/>
  <c r="AN51" i="35"/>
  <c r="AN81" i="35" s="1"/>
  <c r="AL51" i="35"/>
  <c r="AL81" i="35" s="1"/>
  <c r="AJ51" i="35"/>
  <c r="AJ81" i="35" s="1"/>
  <c r="AH51" i="35"/>
  <c r="AH81" i="35" s="1"/>
  <c r="AF51" i="35"/>
  <c r="AD51" i="35"/>
  <c r="AB51" i="35"/>
  <c r="Z51" i="35"/>
  <c r="Z81" i="35" s="1"/>
  <c r="X51" i="35"/>
  <c r="V51" i="35"/>
  <c r="T51" i="35"/>
  <c r="R51" i="35"/>
  <c r="R81" i="35" s="1"/>
  <c r="P51" i="35"/>
  <c r="P81" i="35" s="1"/>
  <c r="N51" i="35"/>
  <c r="L51" i="35"/>
  <c r="L81" i="35" s="1"/>
  <c r="J51" i="35"/>
  <c r="H51" i="35"/>
  <c r="H81" i="35" s="1"/>
  <c r="F51" i="35"/>
  <c r="F81" i="35" s="1"/>
  <c r="D51" i="35"/>
  <c r="D81" i="35" s="1"/>
  <c r="B51" i="35"/>
  <c r="B81" i="35" s="1"/>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c r="AT43" i="35" a="1"/>
  <c r="AR43" i="35" a="1"/>
  <c r="AR43" i="35" s="1"/>
  <c r="AP43" i="35" a="1"/>
  <c r="AP43" i="35" s="1"/>
  <c r="AN43" i="35" a="1"/>
  <c r="AN43" i="35" s="1"/>
  <c r="AL43" i="35" a="1"/>
  <c r="AL43" i="35" s="1"/>
  <c r="AJ43" i="35" a="1"/>
  <c r="AJ43" i="35" s="1"/>
  <c r="AH43" i="35" a="1"/>
  <c r="AH43" i="35" s="1"/>
  <c r="AF43" i="35"/>
  <c r="AF43" i="35" a="1"/>
  <c r="AD43" i="35"/>
  <c r="AD43" i="35" a="1"/>
  <c r="AB43" i="35" a="1"/>
  <c r="AB43" i="35" s="1"/>
  <c r="Z43" i="35" a="1"/>
  <c r="Z43" i="35" s="1"/>
  <c r="X43" i="35" a="1"/>
  <c r="X43" i="35" s="1"/>
  <c r="V43" i="35" a="1"/>
  <c r="V43" i="35" s="1"/>
  <c r="T43" i="35" a="1"/>
  <c r="T43" i="35" s="1"/>
  <c r="R43" i="35" a="1"/>
  <c r="R43" i="35" s="1"/>
  <c r="P43" i="35"/>
  <c r="P43" i="35" a="1"/>
  <c r="N43" i="35"/>
  <c r="N43" i="35" a="1"/>
  <c r="L43" i="35" a="1"/>
  <c r="L43" i="35" s="1"/>
  <c r="J43" i="35" a="1"/>
  <c r="J43" i="35" s="1"/>
  <c r="H43" i="35" a="1"/>
  <c r="H43" i="35" s="1"/>
  <c r="F43" i="35" a="1"/>
  <c r="F43" i="35" s="1"/>
  <c r="D43" i="35" a="1"/>
  <c r="D43" i="35" s="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N81" i="38"/>
  <c r="AJ81" i="38"/>
  <c r="AH81" i="38"/>
  <c r="AF81" i="38"/>
  <c r="X81" i="38"/>
  <c r="H81" i="38"/>
  <c r="D81" i="38"/>
  <c r="B81" i="38"/>
  <c r="AV80" i="38"/>
  <c r="AT80" i="38"/>
  <c r="AN80" i="38"/>
  <c r="AL80" i="38"/>
  <c r="X80" i="38"/>
  <c r="T80" i="38"/>
  <c r="R80" i="38"/>
  <c r="P80" i="38"/>
  <c r="N80" i="38"/>
  <c r="L80" i="38"/>
  <c r="H80" i="38"/>
  <c r="F80" i="38"/>
  <c r="D80" i="38"/>
  <c r="B80" i="38"/>
  <c r="AV79" i="38" a="1"/>
  <c r="AV79" i="38" s="1"/>
  <c r="AT79" i="38" a="1"/>
  <c r="AT79" i="38" s="1"/>
  <c r="AR79" i="38"/>
  <c r="AR79" i="38" a="1"/>
  <c r="AP79" i="38" a="1"/>
  <c r="AP79" i="38" s="1"/>
  <c r="AN79" i="38" a="1"/>
  <c r="AN79" i="38" s="1"/>
  <c r="AL79" i="38"/>
  <c r="AL79" i="38" a="1"/>
  <c r="AJ79" i="38" a="1"/>
  <c r="AJ79" i="38" s="1"/>
  <c r="AH79" i="38" a="1"/>
  <c r="AH79" i="38" s="1"/>
  <c r="AF79" i="38" a="1"/>
  <c r="AF79" i="38" s="1"/>
  <c r="AD79" i="38" a="1"/>
  <c r="AD79" i="38" s="1"/>
  <c r="AB79" i="38"/>
  <c r="AB79" i="38" a="1"/>
  <c r="Z79" i="38" a="1"/>
  <c r="Z79" i="38" s="1"/>
  <c r="X79" i="38" a="1"/>
  <c r="X79" i="38" s="1"/>
  <c r="V79" i="38"/>
  <c r="V79" i="38" a="1"/>
  <c r="T79" i="38" a="1"/>
  <c r="T79" i="38" s="1"/>
  <c r="R79" i="38" a="1"/>
  <c r="R79" i="38" s="1"/>
  <c r="P79" i="38" a="1"/>
  <c r="P79" i="38" s="1"/>
  <c r="N79" i="38" a="1"/>
  <c r="N79" i="38" s="1"/>
  <c r="L79" i="38"/>
  <c r="L79" i="38" a="1"/>
  <c r="J79" i="38" a="1"/>
  <c r="J79" i="38" s="1"/>
  <c r="H79" i="38" a="1"/>
  <c r="H79" i="38" s="1"/>
  <c r="F79" i="38"/>
  <c r="F79" i="38" a="1"/>
  <c r="D79" i="38" a="1"/>
  <c r="D79" i="38" s="1"/>
  <c r="B79" i="38" a="1"/>
  <c r="B79" i="38" s="1"/>
  <c r="AV78" i="38" a="1"/>
  <c r="AV78" i="38" s="1"/>
  <c r="AT78" i="38" a="1"/>
  <c r="AT78" i="38" s="1"/>
  <c r="AR78" i="38"/>
  <c r="AR78" i="38" a="1"/>
  <c r="AP78" i="38" a="1"/>
  <c r="AP78" i="38" s="1"/>
  <c r="AN78" i="38" a="1"/>
  <c r="AN78" i="38" s="1"/>
  <c r="AL78" i="38"/>
  <c r="AL78" i="38" a="1"/>
  <c r="AJ78" i="38" a="1"/>
  <c r="AJ78" i="38" s="1"/>
  <c r="AH78" i="38" a="1"/>
  <c r="AH78" i="38" s="1"/>
  <c r="AF78" i="38" a="1"/>
  <c r="AF78" i="38" s="1"/>
  <c r="AD78" i="38" a="1"/>
  <c r="AD78" i="38" s="1"/>
  <c r="AB78" i="38"/>
  <c r="AB78" i="38" a="1"/>
  <c r="Z78" i="38" a="1"/>
  <c r="Z78" i="38" s="1"/>
  <c r="X78" i="38" a="1"/>
  <c r="X78" i="38" s="1"/>
  <c r="V78" i="38"/>
  <c r="V78" i="38" a="1"/>
  <c r="T78" i="38" a="1"/>
  <c r="T78" i="38" s="1"/>
  <c r="R78" i="38"/>
  <c r="R78" i="38" a="1"/>
  <c r="P78" i="38" a="1"/>
  <c r="P78" i="38" s="1"/>
  <c r="N78" i="38" a="1"/>
  <c r="N78" i="38" s="1"/>
  <c r="L78" i="38"/>
  <c r="L78" i="38" a="1"/>
  <c r="J78" i="38" a="1"/>
  <c r="J78" i="38" s="1"/>
  <c r="H78" i="38" a="1"/>
  <c r="H78" i="38" s="1"/>
  <c r="F78" i="38"/>
  <c r="F78" i="38" a="1"/>
  <c r="D78" i="38" a="1"/>
  <c r="D78" i="38" s="1"/>
  <c r="B78" i="38"/>
  <c r="B78" i="38" a="1"/>
  <c r="AV77" i="38" a="1"/>
  <c r="AV77" i="38" s="1"/>
  <c r="AT77" i="38" a="1"/>
  <c r="AT77" i="38" s="1"/>
  <c r="AR77" i="38"/>
  <c r="AR77" i="38" a="1"/>
  <c r="AP77" i="38" a="1"/>
  <c r="AP77" i="38" s="1"/>
  <c r="AN77" i="38" a="1"/>
  <c r="AN77" i="38" s="1"/>
  <c r="AL77" i="38"/>
  <c r="AL77" i="38" a="1"/>
  <c r="AJ77" i="38" a="1"/>
  <c r="AJ77" i="38" s="1"/>
  <c r="AH77" i="38"/>
  <c r="AH77" i="38" a="1"/>
  <c r="AF77" i="38" a="1"/>
  <c r="AF77" i="38" s="1"/>
  <c r="AD77" i="38" a="1"/>
  <c r="AD77" i="38" s="1"/>
  <c r="AB77" i="38"/>
  <c r="AB77" i="38" a="1"/>
  <c r="Z77" i="38" a="1"/>
  <c r="Z77" i="38" s="1"/>
  <c r="X77" i="38" a="1"/>
  <c r="X77" i="38" s="1"/>
  <c r="V77" i="38"/>
  <c r="V77" i="38" a="1"/>
  <c r="T77" i="38" a="1"/>
  <c r="T77" i="38" s="1"/>
  <c r="R77" i="38" a="1"/>
  <c r="R77" i="38" s="1"/>
  <c r="P77" i="38" a="1"/>
  <c r="P77" i="38" s="1"/>
  <c r="N77" i="38" a="1"/>
  <c r="N77" i="38" s="1"/>
  <c r="L77" i="38"/>
  <c r="L77" i="38" a="1"/>
  <c r="J77" i="38" a="1"/>
  <c r="J77" i="38" s="1"/>
  <c r="H77" i="38" a="1"/>
  <c r="H77" i="38" s="1"/>
  <c r="F77" i="38"/>
  <c r="F77" i="38" a="1"/>
  <c r="D77" i="38" a="1"/>
  <c r="D77" i="38" s="1"/>
  <c r="B77" i="38" a="1"/>
  <c r="B77" i="38" s="1"/>
  <c r="AV76" i="38" a="1"/>
  <c r="AV76" i="38" s="1"/>
  <c r="AT76" i="38" a="1"/>
  <c r="AT76" i="38" s="1"/>
  <c r="AR76" i="38"/>
  <c r="AR76" i="38" a="1"/>
  <c r="AP76" i="38" a="1"/>
  <c r="AP76" i="38" s="1"/>
  <c r="AN76" i="38" a="1"/>
  <c r="AN76" i="38" s="1"/>
  <c r="AL76" i="38"/>
  <c r="AL76" i="38" a="1"/>
  <c r="AJ76" i="38" a="1"/>
  <c r="AJ76" i="38" s="1"/>
  <c r="AH76" i="38" a="1"/>
  <c r="AH76" i="38" s="1"/>
  <c r="AF76" i="38" a="1"/>
  <c r="AF76" i="38" s="1"/>
  <c r="AD76" i="38" a="1"/>
  <c r="AD76" i="38" s="1"/>
  <c r="AB76" i="38"/>
  <c r="AB76" i="38" a="1"/>
  <c r="Z76" i="38" a="1"/>
  <c r="Z76" i="38" s="1"/>
  <c r="X76" i="38" a="1"/>
  <c r="X76" i="38" s="1"/>
  <c r="V76" i="38"/>
  <c r="V76" i="38" a="1"/>
  <c r="T76" i="38" a="1"/>
  <c r="T76" i="38" s="1"/>
  <c r="R76" i="38" a="1"/>
  <c r="R76" i="38" s="1"/>
  <c r="P76" i="38" a="1"/>
  <c r="P76" i="38" s="1"/>
  <c r="N76" i="38" a="1"/>
  <c r="N76" i="38" s="1"/>
  <c r="L76" i="38"/>
  <c r="L76" i="38" a="1"/>
  <c r="J76" i="38" a="1"/>
  <c r="J76" i="38" s="1"/>
  <c r="H76" i="38"/>
  <c r="H76" i="38" a="1"/>
  <c r="F76" i="38"/>
  <c r="F76" i="38" a="1"/>
  <c r="D76" i="38" a="1"/>
  <c r="D76" i="38" s="1"/>
  <c r="B76" i="38"/>
  <c r="B76" i="38" a="1"/>
  <c r="AV75" i="38" a="1"/>
  <c r="AV75" i="38" s="1"/>
  <c r="AT75" i="38" a="1"/>
  <c r="AT75" i="38" s="1"/>
  <c r="AR75" i="38"/>
  <c r="AR75" i="38" a="1"/>
  <c r="AP75" i="38" a="1"/>
  <c r="AP75" i="38" s="1"/>
  <c r="AN75" i="38" a="1"/>
  <c r="AN75" i="38" s="1"/>
  <c r="AL75" i="38"/>
  <c r="AL75" i="38" a="1"/>
  <c r="AJ75" i="38" a="1"/>
  <c r="AJ75" i="38" s="1"/>
  <c r="AH75" i="38" a="1"/>
  <c r="AH75" i="38" s="1"/>
  <c r="AF75" i="38" a="1"/>
  <c r="AF75" i="38" s="1"/>
  <c r="AD75" i="38" a="1"/>
  <c r="AD75" i="38" s="1"/>
  <c r="AB75" i="38"/>
  <c r="AB75" i="38" a="1"/>
  <c r="Z75" i="38" a="1"/>
  <c r="Z75" i="38" s="1"/>
  <c r="X75" i="38" a="1"/>
  <c r="X75" i="38" s="1"/>
  <c r="V75" i="38"/>
  <c r="V75" i="38" a="1"/>
  <c r="T75" i="38" a="1"/>
  <c r="T75" i="38" s="1"/>
  <c r="R75" i="38" a="1"/>
  <c r="R75" i="38" s="1"/>
  <c r="P75" i="38" a="1"/>
  <c r="P75" i="38" s="1"/>
  <c r="N75" i="38" a="1"/>
  <c r="N75" i="38" s="1"/>
  <c r="L75" i="38"/>
  <c r="L75" i="38" a="1"/>
  <c r="J75" i="38" a="1"/>
  <c r="J75" i="38" s="1"/>
  <c r="H75" i="38" a="1"/>
  <c r="H75" i="38" s="1"/>
  <c r="F75" i="38"/>
  <c r="F75" i="38" a="1"/>
  <c r="D75" i="38" a="1"/>
  <c r="D75" i="38" s="1"/>
  <c r="B75" i="38" a="1"/>
  <c r="B75" i="38" s="1"/>
  <c r="AV74" i="38" a="1"/>
  <c r="AV74" i="38" s="1"/>
  <c r="AT74" i="38" a="1"/>
  <c r="AT74" i="38" s="1"/>
  <c r="AR74" i="38"/>
  <c r="AR74" i="38" a="1"/>
  <c r="AP74" i="38" a="1"/>
  <c r="AP74" i="38" s="1"/>
  <c r="AN74" i="38"/>
  <c r="AN74" i="38" a="1"/>
  <c r="AL74" i="38"/>
  <c r="AL74" i="38" a="1"/>
  <c r="AJ74" i="38" a="1"/>
  <c r="AJ74" i="38" s="1"/>
  <c r="AH74" i="38"/>
  <c r="AH74" i="38" a="1"/>
  <c r="AF74" i="38" a="1"/>
  <c r="AF74" i="38" s="1"/>
  <c r="AD74" i="38" a="1"/>
  <c r="AD74" i="38" s="1"/>
  <c r="AB74" i="38"/>
  <c r="AB74" i="38" a="1"/>
  <c r="Z74" i="38" a="1"/>
  <c r="Z74" i="38" s="1"/>
  <c r="X74" i="38" a="1"/>
  <c r="X74" i="38" s="1"/>
  <c r="V74" i="38"/>
  <c r="V74" i="38" a="1"/>
  <c r="T74" i="38" a="1"/>
  <c r="T74" i="38" s="1"/>
  <c r="R74" i="38" a="1"/>
  <c r="R74" i="38" s="1"/>
  <c r="P74" i="38" a="1"/>
  <c r="P74" i="38" s="1"/>
  <c r="N74" i="38" a="1"/>
  <c r="N74" i="38" s="1"/>
  <c r="L74" i="38"/>
  <c r="L74" i="38" a="1"/>
  <c r="J74" i="38" a="1"/>
  <c r="J74" i="38" s="1"/>
  <c r="H74" i="38" a="1"/>
  <c r="H74" i="38" s="1"/>
  <c r="F74" i="38"/>
  <c r="F74" i="38" a="1"/>
  <c r="D74" i="38" a="1"/>
  <c r="D74" i="38" s="1"/>
  <c r="B74" i="38" a="1"/>
  <c r="B74" i="38" s="1"/>
  <c r="AV73" i="38" a="1"/>
  <c r="AV73" i="38" s="1"/>
  <c r="AT73" i="38" a="1"/>
  <c r="AT73" i="38" s="1"/>
  <c r="AR73" i="38"/>
  <c r="AR73" i="38" a="1"/>
  <c r="AP73" i="38" a="1"/>
  <c r="AP73" i="38" s="1"/>
  <c r="AN73" i="38" a="1"/>
  <c r="AN73" i="38" s="1"/>
  <c r="AL73" i="38"/>
  <c r="AL73" i="38" a="1"/>
  <c r="AJ73" i="38" a="1"/>
  <c r="AJ73" i="38" s="1"/>
  <c r="AH73" i="38" a="1"/>
  <c r="AH73" i="38" s="1"/>
  <c r="AF73" i="38" a="1"/>
  <c r="AF73" i="38" s="1"/>
  <c r="AD73" i="38" a="1"/>
  <c r="AD73" i="38" s="1"/>
  <c r="AB73" i="38"/>
  <c r="AB73" i="38" a="1"/>
  <c r="Z73" i="38" a="1"/>
  <c r="Z73" i="38" s="1"/>
  <c r="X73" i="38"/>
  <c r="X73" i="38" a="1"/>
  <c r="V73" i="38"/>
  <c r="V73" i="38" a="1"/>
  <c r="T73" i="38" a="1"/>
  <c r="T73" i="38" s="1"/>
  <c r="R73" i="38"/>
  <c r="R73" i="38" a="1"/>
  <c r="P73" i="38" a="1"/>
  <c r="P73" i="38" s="1"/>
  <c r="N73" i="38" a="1"/>
  <c r="N73" i="38" s="1"/>
  <c r="L73" i="38"/>
  <c r="L73" i="38" a="1"/>
  <c r="J73" i="38" a="1"/>
  <c r="J73" i="38" s="1"/>
  <c r="H73" i="38" a="1"/>
  <c r="H73" i="38" s="1"/>
  <c r="F73" i="38"/>
  <c r="F73" i="38" a="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AR69" i="38"/>
  <c r="AJ69" i="38"/>
  <c r="AH69" i="38"/>
  <c r="T69" i="38"/>
  <c r="D69" i="38"/>
  <c r="B69" i="38"/>
  <c r="AJ68" i="38"/>
  <c r="T68" i="38"/>
  <c r="R68" i="38"/>
  <c r="D68" i="38"/>
  <c r="AV67" i="38"/>
  <c r="AV67" i="38" a="1"/>
  <c r="AT67" i="38"/>
  <c r="AT67" i="38" a="1"/>
  <c r="AR67" i="38" a="1"/>
  <c r="AR67" i="38" s="1"/>
  <c r="AP67" i="38"/>
  <c r="AP67" i="38" a="1"/>
  <c r="AN67" i="38" a="1"/>
  <c r="AN67" i="38" s="1"/>
  <c r="AL67" i="38" a="1"/>
  <c r="AL67" i="38" s="1"/>
  <c r="AJ67" i="38"/>
  <c r="AJ67" i="38" a="1"/>
  <c r="AH67" i="38" a="1"/>
  <c r="AH67" i="38" s="1"/>
  <c r="AF67" i="38" a="1"/>
  <c r="AF67" i="38" s="1"/>
  <c r="AD67" i="38"/>
  <c r="AD68" i="38" s="1"/>
  <c r="AD67" i="38" a="1"/>
  <c r="AB67" i="38" a="1"/>
  <c r="AB67" i="38" s="1"/>
  <c r="AB68" i="38" s="1"/>
  <c r="Z67" i="38" a="1"/>
  <c r="Z67" i="38" s="1"/>
  <c r="X67" i="38" a="1"/>
  <c r="X67" i="38" s="1"/>
  <c r="V67" i="38" a="1"/>
  <c r="V67" i="38" s="1"/>
  <c r="T67" i="38"/>
  <c r="T67" i="38" a="1"/>
  <c r="R67" i="38" a="1"/>
  <c r="R67" i="38" s="1"/>
  <c r="P67" i="38" a="1"/>
  <c r="P67" i="38" s="1"/>
  <c r="N67" i="38"/>
  <c r="N67" i="38" a="1"/>
  <c r="L67" i="38" a="1"/>
  <c r="L67" i="38" s="1"/>
  <c r="J67" i="38" a="1"/>
  <c r="J67" i="38" s="1"/>
  <c r="H67" i="38" a="1"/>
  <c r="H67" i="38" s="1"/>
  <c r="F67" i="38" a="1"/>
  <c r="F67" i="38" s="1"/>
  <c r="D67" i="38"/>
  <c r="D67" i="38" a="1"/>
  <c r="B67" i="38" a="1"/>
  <c r="B67" i="38" s="1"/>
  <c r="AV66" i="38" a="1"/>
  <c r="AV66" i="38" s="1"/>
  <c r="AV68" i="38" s="1"/>
  <c r="AT66" i="38"/>
  <c r="AT68" i="38" s="1"/>
  <c r="AT66" i="38" a="1"/>
  <c r="AR66" i="38" a="1"/>
  <c r="AR66" i="38" s="1"/>
  <c r="AR68" i="38" s="1"/>
  <c r="AP66" i="38" a="1"/>
  <c r="AP66" i="38" s="1"/>
  <c r="AP68" i="38" s="1"/>
  <c r="AN66" i="38" a="1"/>
  <c r="AN66" i="38" s="1"/>
  <c r="AN68" i="38" s="1"/>
  <c r="AL66" i="38" a="1"/>
  <c r="AL66" i="38" s="1"/>
  <c r="AJ66" i="38"/>
  <c r="AJ66" i="38" a="1"/>
  <c r="AH66" i="38" a="1"/>
  <c r="AH66" i="38" s="1"/>
  <c r="AH68" i="38" s="1"/>
  <c r="AF66" i="38"/>
  <c r="AF66" i="38" a="1"/>
  <c r="AD66" i="38"/>
  <c r="AD66" i="38" a="1"/>
  <c r="AB66" i="38" a="1"/>
  <c r="AB66" i="38" s="1"/>
  <c r="Z66" i="38"/>
  <c r="Z66" i="38" a="1"/>
  <c r="X66" i="38" a="1"/>
  <c r="X66" i="38" s="1"/>
  <c r="X68" i="38" s="1"/>
  <c r="V66" i="38" a="1"/>
  <c r="V66" i="38" s="1"/>
  <c r="V68" i="38" s="1"/>
  <c r="T66" i="38"/>
  <c r="T66" i="38" a="1"/>
  <c r="R66" i="38" a="1"/>
  <c r="R66" i="38" s="1"/>
  <c r="P66" i="38" a="1"/>
  <c r="P66" i="38" s="1"/>
  <c r="P68" i="38" s="1"/>
  <c r="N66" i="38"/>
  <c r="N68" i="38" s="1"/>
  <c r="N66" i="38" a="1"/>
  <c r="L66" i="38" a="1"/>
  <c r="L66" i="38" s="1"/>
  <c r="L68" i="38" s="1"/>
  <c r="J66" i="38" a="1"/>
  <c r="J66" i="38" s="1"/>
  <c r="J68" i="38" s="1"/>
  <c r="H66" i="38" a="1"/>
  <c r="H66" i="38" s="1"/>
  <c r="F66" i="38" a="1"/>
  <c r="F66" i="38" s="1"/>
  <c r="D66" i="38"/>
  <c r="D66" i="38" a="1"/>
  <c r="B66" i="38" a="1"/>
  <c r="B66" i="38" s="1"/>
  <c r="B68" i="38" s="1"/>
  <c r="AV65" i="38" a="1"/>
  <c r="AV65" i="38" s="1"/>
  <c r="AV69" i="38" s="1"/>
  <c r="AT65" i="38"/>
  <c r="AT69" i="38" s="1"/>
  <c r="AT65" i="38" a="1"/>
  <c r="AR65" i="38" a="1"/>
  <c r="AR65" i="38" s="1"/>
  <c r="AP65" i="38" a="1"/>
  <c r="AP65" i="38" s="1"/>
  <c r="AP69" i="38" s="1"/>
  <c r="AN65" i="38" a="1"/>
  <c r="AN65" i="38" s="1"/>
  <c r="AN69" i="38" s="1"/>
  <c r="AL65" i="38" a="1"/>
  <c r="AL65" i="38" s="1"/>
  <c r="AL69" i="38" s="1"/>
  <c r="AJ65" i="38"/>
  <c r="AJ65" i="38" a="1"/>
  <c r="AH65" i="38" a="1"/>
  <c r="AH65" i="38" s="1"/>
  <c r="AF65" i="38" a="1"/>
  <c r="AF65" i="38" s="1"/>
  <c r="AF69" i="38" s="1"/>
  <c r="AD65" i="38"/>
  <c r="AD69" i="38" s="1"/>
  <c r="AD65" i="38" a="1"/>
  <c r="AB65" i="38" a="1"/>
  <c r="AB65" i="38" s="1"/>
  <c r="AB69" i="38" s="1"/>
  <c r="Z65" i="38" a="1"/>
  <c r="Z65" i="38" s="1"/>
  <c r="Z69" i="38" s="1"/>
  <c r="X65" i="38" a="1"/>
  <c r="X65" i="38" s="1"/>
  <c r="X69" i="38" s="1"/>
  <c r="V65" i="38" a="1"/>
  <c r="V65" i="38" s="1"/>
  <c r="V69" i="38" s="1"/>
  <c r="T65" i="38"/>
  <c r="T65" i="38" a="1"/>
  <c r="R65" i="38" a="1"/>
  <c r="R65" i="38" s="1"/>
  <c r="R69" i="38" s="1"/>
  <c r="P65" i="38"/>
  <c r="P69" i="38" s="1"/>
  <c r="P65" i="38" a="1"/>
  <c r="N65" i="38"/>
  <c r="N69" i="38" s="1"/>
  <c r="N65" i="38" a="1"/>
  <c r="L65" i="38" a="1"/>
  <c r="L65" i="38" s="1"/>
  <c r="L69" i="38" s="1"/>
  <c r="J65" i="38"/>
  <c r="J69" i="38" s="1"/>
  <c r="J65" i="38" a="1"/>
  <c r="H65" i="38" a="1"/>
  <c r="H65" i="38" s="1"/>
  <c r="H69" i="38" s="1"/>
  <c r="F65" i="38" a="1"/>
  <c r="F65" i="38" s="1"/>
  <c r="F69" i="38" s="1"/>
  <c r="D65" i="38"/>
  <c r="D65" i="38" a="1"/>
  <c r="B65" i="38"/>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c r="AT58" i="38" a="1"/>
  <c r="AR58" i="38" a="1"/>
  <c r="AR58" i="38" s="1"/>
  <c r="AP58" i="38" a="1"/>
  <c r="AP58" i="38" s="1"/>
  <c r="AN58" i="38" a="1"/>
  <c r="AN58" i="38" s="1"/>
  <c r="AL58" i="38"/>
  <c r="AL58" i="38" a="1"/>
  <c r="AJ58" i="38" a="1"/>
  <c r="AJ58" i="38" s="1"/>
  <c r="AH58" i="38" a="1"/>
  <c r="AH58" i="38" s="1"/>
  <c r="AF58" i="38"/>
  <c r="AF58" i="38" a="1"/>
  <c r="AD58" i="38"/>
  <c r="AD58" i="38" a="1"/>
  <c r="AB58" i="38" a="1"/>
  <c r="AB58" i="38" s="1"/>
  <c r="Z58" i="38" a="1"/>
  <c r="Z58" i="38" s="1"/>
  <c r="X58" i="38" a="1"/>
  <c r="X58" i="38" s="1"/>
  <c r="V58" i="38" a="1"/>
  <c r="V58" i="38" s="1"/>
  <c r="T58" i="38" a="1"/>
  <c r="T58" i="38" s="1"/>
  <c r="R58" i="38" a="1"/>
  <c r="R58" i="38" s="1"/>
  <c r="P58" i="38"/>
  <c r="P58" i="38" a="1"/>
  <c r="N58" i="38"/>
  <c r="N58" i="38" a="1"/>
  <c r="L58" i="38" a="1"/>
  <c r="L58" i="38" s="1"/>
  <c r="J58" i="38" a="1"/>
  <c r="J58" i="38" s="1"/>
  <c r="H58" i="38" a="1"/>
  <c r="H58" i="38" s="1"/>
  <c r="F58" i="38" a="1"/>
  <c r="F58" i="38" s="1"/>
  <c r="D58" i="38" a="1"/>
  <c r="D58" i="38" s="1"/>
  <c r="B58" i="38" a="1"/>
  <c r="B58" i="38" s="1"/>
  <c r="AV57" i="38"/>
  <c r="AV57" i="38" a="1"/>
  <c r="AT57" i="38"/>
  <c r="AT57" i="38" a="1"/>
  <c r="AR57" i="38" a="1"/>
  <c r="AR57" i="38" s="1"/>
  <c r="AP57" i="38" a="1"/>
  <c r="AP57" i="38" s="1"/>
  <c r="AN57" i="38" a="1"/>
  <c r="AN57" i="38" s="1"/>
  <c r="AL57" i="38" a="1"/>
  <c r="AL57" i="38" s="1"/>
  <c r="AJ57" i="38" a="1"/>
  <c r="AJ57" i="38" s="1"/>
  <c r="AH57" i="38"/>
  <c r="AH57" i="38" a="1"/>
  <c r="AF57" i="38"/>
  <c r="AF57" i="38" a="1"/>
  <c r="AD57" i="38"/>
  <c r="AD57" i="38" a="1"/>
  <c r="AB57" i="38" a="1"/>
  <c r="AB57" i="38" s="1"/>
  <c r="Z57" i="38" a="1"/>
  <c r="Z57" i="38" s="1"/>
  <c r="X57" i="38" a="1"/>
  <c r="X57" i="38" s="1"/>
  <c r="V57" i="38"/>
  <c r="V57" i="38" a="1"/>
  <c r="T57" i="38" a="1"/>
  <c r="T57" i="38" s="1"/>
  <c r="R57" i="38" a="1"/>
  <c r="R57" i="38" s="1"/>
  <c r="P57" i="38"/>
  <c r="P57" i="38" a="1"/>
  <c r="N57" i="38"/>
  <c r="N57" i="38" a="1"/>
  <c r="L57" i="38" a="1"/>
  <c r="L57" i="38" s="1"/>
  <c r="J57" i="38" a="1"/>
  <c r="J57" i="38" s="1"/>
  <c r="H57" i="38" a="1"/>
  <c r="H57" i="38" s="1"/>
  <c r="F57" i="38" a="1"/>
  <c r="F57" i="38" s="1"/>
  <c r="D57" i="38" a="1"/>
  <c r="D57" i="38" s="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T55" i="38"/>
  <c r="AR55" i="38"/>
  <c r="AR80" i="38" s="1"/>
  <c r="AP55" i="38"/>
  <c r="AP80" i="38" s="1"/>
  <c r="AN55" i="38"/>
  <c r="AL55" i="38"/>
  <c r="AJ55" i="38"/>
  <c r="AJ80" i="38" s="1"/>
  <c r="AH55" i="38"/>
  <c r="AH80" i="38" s="1"/>
  <c r="AF55" i="38"/>
  <c r="AF80" i="38" s="1"/>
  <c r="AD55" i="38"/>
  <c r="AD80" i="38" s="1"/>
  <c r="AB55" i="38"/>
  <c r="AB80" i="38" s="1"/>
  <c r="Z55" i="38"/>
  <c r="Z80" i="38" s="1"/>
  <c r="X55" i="38"/>
  <c r="V55" i="38"/>
  <c r="V80" i="38" s="1"/>
  <c r="T55" i="38"/>
  <c r="R55" i="38"/>
  <c r="P55" i="38"/>
  <c r="N55" i="38"/>
  <c r="L55" i="38"/>
  <c r="J55" i="38"/>
  <c r="J80" i="38" s="1"/>
  <c r="H55" i="38"/>
  <c r="F55" i="38"/>
  <c r="D55" i="38"/>
  <c r="B55" i="38"/>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P81" i="38" s="1"/>
  <c r="AN51" i="38"/>
  <c r="AL51" i="38"/>
  <c r="AL81" i="38" s="1"/>
  <c r="AJ51" i="38"/>
  <c r="AH51" i="38"/>
  <c r="AF51" i="38"/>
  <c r="AD51" i="38"/>
  <c r="AD81" i="38" s="1"/>
  <c r="AB51" i="38"/>
  <c r="AB81" i="38" s="1"/>
  <c r="Z51" i="38"/>
  <c r="Z81" i="38" s="1"/>
  <c r="X51" i="38"/>
  <c r="V51" i="38"/>
  <c r="V81" i="38" s="1"/>
  <c r="T51" i="38"/>
  <c r="T81" i="38" s="1"/>
  <c r="R51" i="38"/>
  <c r="R81" i="38" s="1"/>
  <c r="P51" i="38"/>
  <c r="P81" i="38" s="1"/>
  <c r="N51" i="38"/>
  <c r="N81" i="38" s="1"/>
  <c r="L51" i="38"/>
  <c r="L81" i="38" s="1"/>
  <c r="J51" i="38"/>
  <c r="J81" i="38" s="1"/>
  <c r="H51" i="38"/>
  <c r="F51" i="38"/>
  <c r="F81" i="38" s="1"/>
  <c r="D51" i="38"/>
  <c r="B51" i="38"/>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a="1"/>
  <c r="AP43" i="38" s="1"/>
  <c r="AN43" i="38" a="1"/>
  <c r="AN43" i="38" s="1"/>
  <c r="AL43" i="38" a="1"/>
  <c r="AL43" i="38" s="1"/>
  <c r="AJ43" i="38" a="1"/>
  <c r="AJ43" i="38" s="1"/>
  <c r="AH43" i="38" a="1"/>
  <c r="AH43" i="38" s="1"/>
  <c r="AF43" i="38"/>
  <c r="AF43" i="38" a="1"/>
  <c r="AD43" i="38" a="1"/>
  <c r="AD43" i="38" s="1"/>
  <c r="AB43" i="38" a="1"/>
  <c r="AB43" i="38" s="1"/>
  <c r="Z43" i="38" a="1"/>
  <c r="Z43" i="38" s="1"/>
  <c r="X43" i="38" a="1"/>
  <c r="X43" i="38" s="1"/>
  <c r="V43" i="38" a="1"/>
  <c r="V43" i="38" s="1"/>
  <c r="T43" i="38" a="1"/>
  <c r="T43" i="38" s="1"/>
  <c r="R43" i="38"/>
  <c r="R43" i="38" a="1"/>
  <c r="P43" i="38"/>
  <c r="P43" i="38" a="1"/>
  <c r="N43" i="38" a="1"/>
  <c r="N43" i="38" s="1"/>
  <c r="L43" i="38" a="1"/>
  <c r="L43" i="38" s="1"/>
  <c r="J43" i="38" a="1"/>
  <c r="J43" i="38" s="1"/>
  <c r="H43" i="38" a="1"/>
  <c r="H43" i="38" s="1"/>
  <c r="F43" i="38" a="1"/>
  <c r="F43" i="38" s="1"/>
  <c r="D43" i="38" a="1"/>
  <c r="D43" i="38" s="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T81" i="21"/>
  <c r="AP81" i="21"/>
  <c r="AJ81" i="21"/>
  <c r="AH81" i="21"/>
  <c r="AF81" i="21"/>
  <c r="AD81" i="21"/>
  <c r="AB81" i="21"/>
  <c r="Z81" i="21"/>
  <c r="X81" i="21"/>
  <c r="V81" i="21"/>
  <c r="N81" i="21"/>
  <c r="J81" i="21"/>
  <c r="D81" i="21"/>
  <c r="B81" i="21"/>
  <c r="AV80" i="21"/>
  <c r="AT80" i="21"/>
  <c r="AR80" i="21"/>
  <c r="AP80" i="21"/>
  <c r="AN80" i="21"/>
  <c r="AL80" i="21"/>
  <c r="AJ80" i="21"/>
  <c r="AH80" i="21"/>
  <c r="AD80" i="21"/>
  <c r="Z80" i="21"/>
  <c r="T80" i="21"/>
  <c r="R80" i="21"/>
  <c r="P80" i="21"/>
  <c r="H80" i="21"/>
  <c r="F80" i="21"/>
  <c r="D80" i="21"/>
  <c r="B80" i="21"/>
  <c r="AV79" i="21" a="1"/>
  <c r="AV79" i="21" s="1"/>
  <c r="AT79" i="21" a="1"/>
  <c r="AT79" i="21" s="1"/>
  <c r="AR79" i="21"/>
  <c r="AR79" i="21" a="1"/>
  <c r="AP79" i="21" a="1"/>
  <c r="AP79" i="21" s="1"/>
  <c r="AN79" i="21" a="1"/>
  <c r="AN79" i="21" s="1"/>
  <c r="AL79" i="21" a="1"/>
  <c r="AL79" i="21" s="1"/>
  <c r="AJ79" i="21" a="1"/>
  <c r="AJ79" i="21" s="1"/>
  <c r="AH79" i="21" a="1"/>
  <c r="AH79" i="21" s="1"/>
  <c r="AF79" i="21" a="1"/>
  <c r="AF79" i="21" s="1"/>
  <c r="AD79" i="21" a="1"/>
  <c r="AD79" i="21" s="1"/>
  <c r="AB79" i="21"/>
  <c r="AB79" i="21" a="1"/>
  <c r="Z79" i="21" a="1"/>
  <c r="Z79" i="21" s="1"/>
  <c r="X79" i="21" a="1"/>
  <c r="X79" i="21" s="1"/>
  <c r="V79" i="21" a="1"/>
  <c r="V79" i="21" s="1"/>
  <c r="T79" i="21" a="1"/>
  <c r="T79" i="21" s="1"/>
  <c r="R79" i="21" a="1"/>
  <c r="R79" i="21" s="1"/>
  <c r="P79" i="21" a="1"/>
  <c r="P79" i="21" s="1"/>
  <c r="N79" i="21" a="1"/>
  <c r="N79" i="21" s="1"/>
  <c r="L79" i="21"/>
  <c r="L79" i="21" a="1"/>
  <c r="J79" i="21" a="1"/>
  <c r="J79" i="21" s="1"/>
  <c r="H79" i="21" a="1"/>
  <c r="H79" i="21" s="1"/>
  <c r="F79" i="21" a="1"/>
  <c r="F79" i="21" s="1"/>
  <c r="D79" i="21" a="1"/>
  <c r="D79" i="21" s="1"/>
  <c r="B79" i="21" a="1"/>
  <c r="B79" i="21" s="1"/>
  <c r="AV78" i="21" a="1"/>
  <c r="AV78" i="21" s="1"/>
  <c r="AT78" i="21" a="1"/>
  <c r="AT78" i="21" s="1"/>
  <c r="AR78" i="21"/>
  <c r="AR78" i="21" a="1"/>
  <c r="AP78" i="21" a="1"/>
  <c r="AP78" i="21" s="1"/>
  <c r="AN78" i="21" a="1"/>
  <c r="AN78" i="21" s="1"/>
  <c r="AL78" i="21" a="1"/>
  <c r="AL78" i="21" s="1"/>
  <c r="AJ78" i="21" a="1"/>
  <c r="AJ78" i="21" s="1"/>
  <c r="AH78" i="21" a="1"/>
  <c r="AH78" i="21" s="1"/>
  <c r="AF78" i="21" a="1"/>
  <c r="AF78" i="21" s="1"/>
  <c r="AD78" i="21" a="1"/>
  <c r="AD78" i="21" s="1"/>
  <c r="AB78" i="21"/>
  <c r="AB78" i="21" a="1"/>
  <c r="Z78" i="21" a="1"/>
  <c r="Z78" i="21" s="1"/>
  <c r="X78" i="21" a="1"/>
  <c r="X78" i="21" s="1"/>
  <c r="V78" i="21" a="1"/>
  <c r="V78" i="21" s="1"/>
  <c r="T78" i="21" a="1"/>
  <c r="T78" i="21" s="1"/>
  <c r="R78" i="21" a="1"/>
  <c r="R78" i="21" s="1"/>
  <c r="P78" i="21" a="1"/>
  <c r="P78" i="21" s="1"/>
  <c r="N78" i="21" a="1"/>
  <c r="N78" i="21" s="1"/>
  <c r="L78" i="21"/>
  <c r="L78" i="21" a="1"/>
  <c r="J78" i="21" a="1"/>
  <c r="J78" i="21" s="1"/>
  <c r="H78" i="21" a="1"/>
  <c r="H78" i="21" s="1"/>
  <c r="F78" i="21" a="1"/>
  <c r="F78" i="21" s="1"/>
  <c r="D78" i="21" a="1"/>
  <c r="D78" i="21" s="1"/>
  <c r="B78" i="21" a="1"/>
  <c r="B78" i="21" s="1"/>
  <c r="AV77" i="21" a="1"/>
  <c r="AV77" i="21" s="1"/>
  <c r="AT77" i="21" a="1"/>
  <c r="AT77" i="21" s="1"/>
  <c r="AR77" i="21"/>
  <c r="AR77" i="21" a="1"/>
  <c r="AP77" i="21" a="1"/>
  <c r="AP77" i="21" s="1"/>
  <c r="AN77" i="21" a="1"/>
  <c r="AN77" i="21" s="1"/>
  <c r="AL77" i="21" a="1"/>
  <c r="AL77" i="21" s="1"/>
  <c r="AJ77" i="21" a="1"/>
  <c r="AJ77" i="21" s="1"/>
  <c r="AH77" i="21" a="1"/>
  <c r="AH77" i="21" s="1"/>
  <c r="AF77" i="21" a="1"/>
  <c r="AF77" i="21" s="1"/>
  <c r="AD77" i="21" a="1"/>
  <c r="AD77" i="21" s="1"/>
  <c r="AB77" i="21"/>
  <c r="AB77" i="21" a="1"/>
  <c r="Z77" i="21" a="1"/>
  <c r="Z77" i="21" s="1"/>
  <c r="X77" i="21" a="1"/>
  <c r="X77" i="21" s="1"/>
  <c r="V77" i="21" a="1"/>
  <c r="V77" i="21" s="1"/>
  <c r="T77" i="21" a="1"/>
  <c r="T77" i="21" s="1"/>
  <c r="R77" i="21" a="1"/>
  <c r="R77" i="21" s="1"/>
  <c r="P77" i="21" a="1"/>
  <c r="P77" i="21" s="1"/>
  <c r="N77" i="21" a="1"/>
  <c r="N77" i="21" s="1"/>
  <c r="L77" i="21"/>
  <c r="L77" i="21" a="1"/>
  <c r="J77" i="21" a="1"/>
  <c r="J77" i="21" s="1"/>
  <c r="H77" i="21" a="1"/>
  <c r="H77" i="21" s="1"/>
  <c r="F77" i="21" a="1"/>
  <c r="F77" i="21" s="1"/>
  <c r="D77" i="21" a="1"/>
  <c r="D77" i="21" s="1"/>
  <c r="B77" i="21" a="1"/>
  <c r="B77" i="21" s="1"/>
  <c r="AV76" i="21" a="1"/>
  <c r="AV76" i="21" s="1"/>
  <c r="AT76" i="21" a="1"/>
  <c r="AT76" i="21" s="1"/>
  <c r="AR76" i="21"/>
  <c r="AR76" i="21" a="1"/>
  <c r="AP76" i="21" a="1"/>
  <c r="AP76" i="21" s="1"/>
  <c r="AN76" i="21" a="1"/>
  <c r="AN76" i="21" s="1"/>
  <c r="AL76" i="21" a="1"/>
  <c r="AL76" i="21" s="1"/>
  <c r="AJ76" i="21" a="1"/>
  <c r="AJ76" i="21" s="1"/>
  <c r="AH76" i="21" a="1"/>
  <c r="AH76" i="21" s="1"/>
  <c r="AF76" i="21" a="1"/>
  <c r="AF76" i="21" s="1"/>
  <c r="AD76" i="21" a="1"/>
  <c r="AD76" i="21" s="1"/>
  <c r="AB76" i="21"/>
  <c r="AB76" i="21" a="1"/>
  <c r="Z76" i="21" a="1"/>
  <c r="Z76" i="21" s="1"/>
  <c r="X76" i="21" a="1"/>
  <c r="X76" i="21" s="1"/>
  <c r="V76" i="21" a="1"/>
  <c r="V76" i="21" s="1"/>
  <c r="T76" i="21" a="1"/>
  <c r="T76" i="21" s="1"/>
  <c r="R76" i="21" a="1"/>
  <c r="R76" i="21" s="1"/>
  <c r="P76" i="21" a="1"/>
  <c r="P76" i="21" s="1"/>
  <c r="N76" i="21" a="1"/>
  <c r="N76" i="21" s="1"/>
  <c r="L76" i="21"/>
  <c r="L76" i="21" a="1"/>
  <c r="J76" i="21" a="1"/>
  <c r="J76" i="21" s="1"/>
  <c r="H76" i="21" a="1"/>
  <c r="H76" i="21" s="1"/>
  <c r="F76" i="21" a="1"/>
  <c r="F76" i="21" s="1"/>
  <c r="D76" i="21" a="1"/>
  <c r="D76" i="21" s="1"/>
  <c r="B76" i="21" a="1"/>
  <c r="B76" i="21" s="1"/>
  <c r="AV75" i="21" a="1"/>
  <c r="AV75" i="21" s="1"/>
  <c r="AT75" i="21" a="1"/>
  <c r="AT75" i="21" s="1"/>
  <c r="AR75" i="21"/>
  <c r="AR75" i="21" a="1"/>
  <c r="AP75" i="21" a="1"/>
  <c r="AP75" i="21" s="1"/>
  <c r="AN75" i="21" a="1"/>
  <c r="AN75" i="21" s="1"/>
  <c r="AL75" i="21" a="1"/>
  <c r="AL75" i="21" s="1"/>
  <c r="AJ75" i="21" a="1"/>
  <c r="AJ75" i="21" s="1"/>
  <c r="AH75" i="21" a="1"/>
  <c r="AH75" i="21" s="1"/>
  <c r="AF75" i="21" a="1"/>
  <c r="AF75" i="21" s="1"/>
  <c r="AD75" i="21" a="1"/>
  <c r="AD75" i="21" s="1"/>
  <c r="AB75" i="21"/>
  <c r="AB75" i="21" a="1"/>
  <c r="Z75" i="21" a="1"/>
  <c r="Z75" i="21" s="1"/>
  <c r="X75" i="21" a="1"/>
  <c r="X75" i="21" s="1"/>
  <c r="V75" i="21" a="1"/>
  <c r="V75" i="21" s="1"/>
  <c r="T75" i="21" a="1"/>
  <c r="T75" i="21" s="1"/>
  <c r="R75" i="21" a="1"/>
  <c r="R75" i="21" s="1"/>
  <c r="P75" i="21" a="1"/>
  <c r="P75" i="21" s="1"/>
  <c r="N75" i="21" a="1"/>
  <c r="N75" i="21" s="1"/>
  <c r="L75" i="21"/>
  <c r="L75" i="21" a="1"/>
  <c r="J75" i="21" a="1"/>
  <c r="J75" i="21" s="1"/>
  <c r="H75" i="21" a="1"/>
  <c r="H75" i="21" s="1"/>
  <c r="F75" i="21" a="1"/>
  <c r="F75" i="21" s="1"/>
  <c r="D75" i="21" a="1"/>
  <c r="D75" i="21" s="1"/>
  <c r="B75" i="21" a="1"/>
  <c r="B75" i="21" s="1"/>
  <c r="AV74" i="21" a="1"/>
  <c r="AV74" i="21" s="1"/>
  <c r="AT74" i="21" a="1"/>
  <c r="AT74" i="21" s="1"/>
  <c r="AR74" i="21"/>
  <c r="AR74" i="21" a="1"/>
  <c r="AP74" i="21" a="1"/>
  <c r="AP74" i="21" s="1"/>
  <c r="AN74" i="21" a="1"/>
  <c r="AN74" i="21" s="1"/>
  <c r="AL74" i="21" a="1"/>
  <c r="AL74" i="21" s="1"/>
  <c r="AJ74" i="21" a="1"/>
  <c r="AJ74" i="21" s="1"/>
  <c r="AH74" i="21" a="1"/>
  <c r="AH74" i="21" s="1"/>
  <c r="AF74" i="21" a="1"/>
  <c r="AF74" i="21" s="1"/>
  <c r="AD74" i="21" a="1"/>
  <c r="AD74" i="21" s="1"/>
  <c r="AB74" i="21"/>
  <c r="AB74" i="21" a="1"/>
  <c r="Z74" i="21" a="1"/>
  <c r="Z74" i="21" s="1"/>
  <c r="X74" i="21" a="1"/>
  <c r="X74" i="21" s="1"/>
  <c r="V74" i="21" a="1"/>
  <c r="V74" i="21" s="1"/>
  <c r="T74" i="21" a="1"/>
  <c r="T74" i="21" s="1"/>
  <c r="R74" i="21" a="1"/>
  <c r="R74" i="21" s="1"/>
  <c r="P74" i="21" a="1"/>
  <c r="P74" i="21" s="1"/>
  <c r="N74" i="21" a="1"/>
  <c r="N74" i="21" s="1"/>
  <c r="L74" i="21"/>
  <c r="L74" i="21" a="1"/>
  <c r="J74" i="21" a="1"/>
  <c r="J74" i="21" s="1"/>
  <c r="H74" i="21" a="1"/>
  <c r="H74" i="21" s="1"/>
  <c r="F74" i="21" a="1"/>
  <c r="F74" i="21" s="1"/>
  <c r="D74" i="21" a="1"/>
  <c r="D74" i="21" s="1"/>
  <c r="B74" i="21" a="1"/>
  <c r="B74" i="21" s="1"/>
  <c r="AV73" i="21" a="1"/>
  <c r="AV73" i="21" s="1"/>
  <c r="AT73" i="21" a="1"/>
  <c r="AT73" i="21" s="1"/>
  <c r="AR73" i="21"/>
  <c r="AR73" i="21" a="1"/>
  <c r="AP73" i="21" a="1"/>
  <c r="AP73" i="21" s="1"/>
  <c r="AN73" i="21" a="1"/>
  <c r="AN73" i="21" s="1"/>
  <c r="AL73" i="21" a="1"/>
  <c r="AL73" i="21" s="1"/>
  <c r="AJ73" i="21" a="1"/>
  <c r="AJ73" i="21" s="1"/>
  <c r="AH73" i="21" a="1"/>
  <c r="AH73" i="21" s="1"/>
  <c r="AF73" i="21" a="1"/>
  <c r="AF73" i="21" s="1"/>
  <c r="AD73" i="21" a="1"/>
  <c r="AD73" i="21" s="1"/>
  <c r="AB73" i="21"/>
  <c r="AB73" i="21" a="1"/>
  <c r="Z73" i="21" a="1"/>
  <c r="Z73" i="21" s="1"/>
  <c r="X73" i="21" a="1"/>
  <c r="X73" i="21" s="1"/>
  <c r="V73" i="21" a="1"/>
  <c r="V73" i="21" s="1"/>
  <c r="T73" i="21" a="1"/>
  <c r="T73" i="21" s="1"/>
  <c r="R73" i="21" a="1"/>
  <c r="R73" i="21" s="1"/>
  <c r="P73" i="21" a="1"/>
  <c r="P73" i="21" s="1"/>
  <c r="N73" i="21" a="1"/>
  <c r="N73" i="21" s="1"/>
  <c r="L73" i="21"/>
  <c r="L73" i="21" a="1"/>
  <c r="J73" i="21" a="1"/>
  <c r="J73" i="21" s="1"/>
  <c r="H73" i="21" a="1"/>
  <c r="H73" i="21" s="1"/>
  <c r="F73" i="21" a="1"/>
  <c r="F73" i="21" s="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AN69" i="21"/>
  <c r="B69" i="21"/>
  <c r="X68" i="21"/>
  <c r="AV67" i="21" a="1"/>
  <c r="AV67" i="21" s="1"/>
  <c r="AT67" i="21" a="1"/>
  <c r="AT67" i="21" s="1"/>
  <c r="AR67" i="21" a="1"/>
  <c r="AR67" i="21" s="1"/>
  <c r="AP67" i="21" a="1"/>
  <c r="AP67" i="21" s="1"/>
  <c r="AN67" i="21" a="1"/>
  <c r="AN67" i="21" s="1"/>
  <c r="AL67" i="21" a="1"/>
  <c r="AL67" i="21" s="1"/>
  <c r="AJ67" i="21"/>
  <c r="AJ67" i="21" a="1"/>
  <c r="AH67" i="21" a="1"/>
  <c r="AH67" i="21" s="1"/>
  <c r="AF67" i="21" a="1"/>
  <c r="AF67" i="21" s="1"/>
  <c r="AD67" i="21" a="1"/>
  <c r="AD67" i="21" s="1"/>
  <c r="AB67" i="21" a="1"/>
  <c r="AB67" i="21" s="1"/>
  <c r="Z67" i="21" a="1"/>
  <c r="Z67" i="21" s="1"/>
  <c r="X67" i="21" a="1"/>
  <c r="X67" i="21" s="1"/>
  <c r="V67" i="21" a="1"/>
  <c r="V67" i="21" s="1"/>
  <c r="T67" i="21"/>
  <c r="T67" i="21" a="1"/>
  <c r="R67" i="21" a="1"/>
  <c r="R67" i="21" s="1"/>
  <c r="P67" i="21" a="1"/>
  <c r="P67" i="21" s="1"/>
  <c r="N67" i="21" a="1"/>
  <c r="N67" i="21" s="1"/>
  <c r="L67" i="21" a="1"/>
  <c r="L67" i="21" s="1"/>
  <c r="J67" i="21" a="1"/>
  <c r="J67" i="21" s="1"/>
  <c r="H67" i="21" a="1"/>
  <c r="H67" i="21" s="1"/>
  <c r="F67" i="21" a="1"/>
  <c r="F67" i="21" s="1"/>
  <c r="D67" i="21"/>
  <c r="D67" i="21" a="1"/>
  <c r="B67" i="21" a="1"/>
  <c r="B67" i="21" s="1"/>
  <c r="AV66" i="21" a="1"/>
  <c r="AV66" i="21" s="1"/>
  <c r="AV68" i="21" s="1"/>
  <c r="AT66" i="21" a="1"/>
  <c r="AT66" i="21" s="1"/>
  <c r="AR66" i="21" a="1"/>
  <c r="AR66" i="21" s="1"/>
  <c r="AR68" i="21" s="1"/>
  <c r="AP66" i="21" a="1"/>
  <c r="AP66" i="21" s="1"/>
  <c r="AP68" i="21" s="1"/>
  <c r="AN66" i="21" a="1"/>
  <c r="AN66" i="21" s="1"/>
  <c r="AN68" i="21" s="1"/>
  <c r="AL66" i="21" a="1"/>
  <c r="AL66" i="21" s="1"/>
  <c r="AJ66" i="21" a="1"/>
  <c r="AJ66" i="21" s="1"/>
  <c r="AJ68" i="21" s="1"/>
  <c r="AH66" i="21" a="1"/>
  <c r="AH66" i="21" s="1"/>
  <c r="AF66" i="21" a="1"/>
  <c r="AF66" i="21" s="1"/>
  <c r="AD66" i="21" a="1"/>
  <c r="AD66" i="21" s="1"/>
  <c r="AB66" i="21" a="1"/>
  <c r="AB66" i="21" s="1"/>
  <c r="Z66" i="21" a="1"/>
  <c r="Z66" i="21" s="1"/>
  <c r="X66" i="21" a="1"/>
  <c r="X66" i="21" s="1"/>
  <c r="V66" i="21" a="1"/>
  <c r="V66" i="21" s="1"/>
  <c r="V68" i="21" s="1"/>
  <c r="T66" i="21" a="1"/>
  <c r="T66" i="21" s="1"/>
  <c r="T68" i="21" s="1"/>
  <c r="R66" i="21" a="1"/>
  <c r="R66" i="21" s="1"/>
  <c r="R68" i="21" s="1"/>
  <c r="P66" i="21" a="1"/>
  <c r="P66" i="21" s="1"/>
  <c r="P68" i="21" s="1"/>
  <c r="N66" i="21" a="1"/>
  <c r="N66" i="21" s="1"/>
  <c r="N68" i="21" s="1"/>
  <c r="L66" i="21" a="1"/>
  <c r="L66" i="21" s="1"/>
  <c r="L68" i="21" s="1"/>
  <c r="J66" i="21" a="1"/>
  <c r="J66" i="21" s="1"/>
  <c r="J68" i="21" s="1"/>
  <c r="H66" i="21" a="1"/>
  <c r="H66" i="21" s="1"/>
  <c r="H68" i="21" s="1"/>
  <c r="F66" i="21" a="1"/>
  <c r="F66" i="21" s="1"/>
  <c r="F68" i="21" s="1"/>
  <c r="D66" i="21" a="1"/>
  <c r="D66" i="21" s="1"/>
  <c r="D68" i="21" s="1"/>
  <c r="B66" i="21" a="1"/>
  <c r="B66" i="21" s="1"/>
  <c r="B68" i="21" s="1"/>
  <c r="AV65" i="21" a="1"/>
  <c r="AV65" i="21" s="1"/>
  <c r="AV69" i="21" s="1"/>
  <c r="AT65" i="21" a="1"/>
  <c r="AT65" i="21" s="1"/>
  <c r="AT69" i="21" s="1"/>
  <c r="AR65" i="21" a="1"/>
  <c r="AR65" i="21" s="1"/>
  <c r="AR69" i="21" s="1"/>
  <c r="AP65" i="21" a="1"/>
  <c r="AP65" i="21" s="1"/>
  <c r="AP69" i="21" s="1"/>
  <c r="AN65" i="21" a="1"/>
  <c r="AN65" i="21" s="1"/>
  <c r="AL65" i="21" a="1"/>
  <c r="AL65" i="21" s="1"/>
  <c r="AL69" i="21" s="1"/>
  <c r="AJ65" i="21" a="1"/>
  <c r="AJ65" i="21" s="1"/>
  <c r="AJ69" i="21" s="1"/>
  <c r="AH65" i="21" a="1"/>
  <c r="AH65" i="21" s="1"/>
  <c r="AH69" i="21" s="1"/>
  <c r="AF65" i="21" a="1"/>
  <c r="AF65" i="21" s="1"/>
  <c r="AF69" i="21" s="1"/>
  <c r="AD65" i="21" a="1"/>
  <c r="AD65" i="21" s="1"/>
  <c r="AD69" i="21" s="1"/>
  <c r="AB65" i="21" a="1"/>
  <c r="AB65" i="21" s="1"/>
  <c r="AB69" i="21" s="1"/>
  <c r="Z65" i="21" a="1"/>
  <c r="Z65" i="21" s="1"/>
  <c r="Z69" i="21" s="1"/>
  <c r="X65" i="21" a="1"/>
  <c r="X65" i="21" s="1"/>
  <c r="X69" i="21" s="1"/>
  <c r="V65" i="21" a="1"/>
  <c r="V65" i="21" s="1"/>
  <c r="V69" i="21" s="1"/>
  <c r="T65" i="21" a="1"/>
  <c r="T65" i="21" s="1"/>
  <c r="T69" i="21" s="1"/>
  <c r="R65" i="21" a="1"/>
  <c r="R65" i="21" s="1"/>
  <c r="R69" i="21" s="1"/>
  <c r="P65" i="21" a="1"/>
  <c r="P65" i="21" s="1"/>
  <c r="P69" i="21" s="1"/>
  <c r="N65" i="21" a="1"/>
  <c r="N65" i="21" s="1"/>
  <c r="N69" i="21" s="1"/>
  <c r="L65" i="21" a="1"/>
  <c r="L65" i="21" s="1"/>
  <c r="L69" i="21" s="1"/>
  <c r="J65" i="21" a="1"/>
  <c r="J65" i="21" s="1"/>
  <c r="J69" i="21" s="1"/>
  <c r="H65" i="21" a="1"/>
  <c r="H65" i="21" s="1"/>
  <c r="H69" i="21" s="1"/>
  <c r="F65" i="21" a="1"/>
  <c r="F65" i="21" s="1"/>
  <c r="F69" i="21" s="1"/>
  <c r="D65" i="21" a="1"/>
  <c r="D65" i="21" s="1"/>
  <c r="D69" i="21" s="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c r="AT58" i="21" a="1"/>
  <c r="AR58" i="21"/>
  <c r="AR58" i="21" a="1"/>
  <c r="AP58" i="21" a="1"/>
  <c r="AP58" i="21" s="1"/>
  <c r="AN58" i="21" a="1"/>
  <c r="AN58" i="21" s="1"/>
  <c r="AL58" i="21" a="1"/>
  <c r="AL58" i="21" s="1"/>
  <c r="AJ58" i="21" a="1"/>
  <c r="AJ58" i="21" s="1"/>
  <c r="AH58" i="21" a="1"/>
  <c r="AH58" i="21" s="1"/>
  <c r="AF58" i="21"/>
  <c r="AF58" i="21" a="1"/>
  <c r="AD58" i="21"/>
  <c r="AD58" i="21" a="1"/>
  <c r="AB58" i="21"/>
  <c r="AB58" i="21" a="1"/>
  <c r="Z58" i="21" a="1"/>
  <c r="Z58" i="21" s="1"/>
  <c r="X58" i="21" a="1"/>
  <c r="X58" i="21" s="1"/>
  <c r="V58" i="21" a="1"/>
  <c r="V58" i="21" s="1"/>
  <c r="T58" i="21" a="1"/>
  <c r="T58" i="21" s="1"/>
  <c r="R58" i="21" a="1"/>
  <c r="R58" i="21" s="1"/>
  <c r="P58" i="21"/>
  <c r="P58" i="21" a="1"/>
  <c r="N58" i="21"/>
  <c r="N58" i="21" a="1"/>
  <c r="L58" i="21"/>
  <c r="L58" i="21" a="1"/>
  <c r="J58" i="21" a="1"/>
  <c r="J58" i="21" s="1"/>
  <c r="H58" i="21" a="1"/>
  <c r="H58" i="21" s="1"/>
  <c r="F58" i="21" a="1"/>
  <c r="F58" i="21" s="1"/>
  <c r="D58" i="21" a="1"/>
  <c r="D58" i="21" s="1"/>
  <c r="B58" i="21" a="1"/>
  <c r="B58" i="21" s="1"/>
  <c r="AV57" i="21"/>
  <c r="AV57" i="21" a="1"/>
  <c r="AT57" i="21"/>
  <c r="AT57" i="21" a="1"/>
  <c r="AR57" i="21"/>
  <c r="AR57" i="21" a="1"/>
  <c r="AP57" i="21" a="1"/>
  <c r="AP57" i="21" s="1"/>
  <c r="AN57" i="21" a="1"/>
  <c r="AN57" i="21" s="1"/>
  <c r="AL57" i="21" a="1"/>
  <c r="AL57" i="21" s="1"/>
  <c r="AJ57" i="21" a="1"/>
  <c r="AJ57" i="21" s="1"/>
  <c r="AH57" i="21" a="1"/>
  <c r="AH57" i="21" s="1"/>
  <c r="AF57" i="21"/>
  <c r="AF57" i="21" a="1"/>
  <c r="AD57" i="21"/>
  <c r="AD57" i="21" a="1"/>
  <c r="AB57" i="21"/>
  <c r="AB57" i="21" a="1"/>
  <c r="Z57" i="21" a="1"/>
  <c r="Z57" i="21" s="1"/>
  <c r="X57" i="21" a="1"/>
  <c r="X57" i="21" s="1"/>
  <c r="V57" i="21" a="1"/>
  <c r="V57" i="21" s="1"/>
  <c r="T57" i="21" a="1"/>
  <c r="T57" i="21" s="1"/>
  <c r="R57" i="21" a="1"/>
  <c r="R57" i="21" s="1"/>
  <c r="P57" i="21"/>
  <c r="P57" i="21" a="1"/>
  <c r="N57" i="21"/>
  <c r="N57" i="21" a="1"/>
  <c r="L57" i="21"/>
  <c r="L57" i="21" a="1"/>
  <c r="J57" i="21" a="1"/>
  <c r="J57" i="21" s="1"/>
  <c r="H57" i="21" a="1"/>
  <c r="H57" i="21" s="1"/>
  <c r="F57" i="21" a="1"/>
  <c r="F57" i="21" s="1"/>
  <c r="D57" i="21" a="1"/>
  <c r="D57" i="21" s="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T55" i="21"/>
  <c r="AR55" i="21"/>
  <c r="AP55" i="21"/>
  <c r="AN55" i="21"/>
  <c r="AL55" i="21"/>
  <c r="AJ55" i="21"/>
  <c r="AH55" i="21"/>
  <c r="AF55" i="21"/>
  <c r="AF80" i="21" s="1"/>
  <c r="AD55" i="21"/>
  <c r="AB55" i="21"/>
  <c r="AB80" i="21" s="1"/>
  <c r="Z55" i="21"/>
  <c r="X55" i="21"/>
  <c r="X80" i="21" s="1"/>
  <c r="V55" i="21"/>
  <c r="V80" i="21" s="1"/>
  <c r="T55" i="21"/>
  <c r="R55" i="21"/>
  <c r="P55" i="21"/>
  <c r="N55" i="21"/>
  <c r="N80" i="21" s="1"/>
  <c r="L55" i="21"/>
  <c r="L80" i="21" s="1"/>
  <c r="J55" i="21"/>
  <c r="J80" i="21" s="1"/>
  <c r="H55" i="21"/>
  <c r="F55" i="21"/>
  <c r="D55" i="21"/>
  <c r="B55" i="2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R51" i="21"/>
  <c r="AR81" i="21" s="1"/>
  <c r="AP51" i="21"/>
  <c r="AN51" i="21"/>
  <c r="AN81" i="21" s="1"/>
  <c r="AL51" i="21"/>
  <c r="AL81" i="21" s="1"/>
  <c r="AJ51" i="21"/>
  <c r="AH51" i="21"/>
  <c r="AF51" i="21"/>
  <c r="AD51" i="21"/>
  <c r="AB51" i="21"/>
  <c r="Z51" i="21"/>
  <c r="X51" i="21"/>
  <c r="V51" i="21"/>
  <c r="T51" i="21"/>
  <c r="T81" i="21" s="1"/>
  <c r="R51" i="21"/>
  <c r="R81" i="21" s="1"/>
  <c r="P51" i="21"/>
  <c r="P81" i="21" s="1"/>
  <c r="N51" i="21"/>
  <c r="L51" i="21"/>
  <c r="L81" i="21" s="1"/>
  <c r="J51" i="21"/>
  <c r="H51" i="21"/>
  <c r="H81" i="21" s="1"/>
  <c r="F51" i="21"/>
  <c r="F81" i="21" s="1"/>
  <c r="D51" i="21"/>
  <c r="B51" i="2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c r="AT43" i="21" a="1"/>
  <c r="AR43" i="21"/>
  <c r="AR43" i="21" a="1"/>
  <c r="AP43" i="21" a="1"/>
  <c r="AP43" i="21" s="1"/>
  <c r="AN43" i="21" a="1"/>
  <c r="AN43" i="21" s="1"/>
  <c r="AL43" i="21" a="1"/>
  <c r="AL43" i="21" s="1"/>
  <c r="AJ43" i="21" a="1"/>
  <c r="AJ43" i="21" s="1"/>
  <c r="AH43" i="21" a="1"/>
  <c r="AH43" i="21" s="1"/>
  <c r="AF43" i="21"/>
  <c r="AF43" i="21" a="1"/>
  <c r="AD43" i="21"/>
  <c r="AD43" i="21" a="1"/>
  <c r="AB43" i="21"/>
  <c r="AB43" i="21" a="1"/>
  <c r="Z43" i="21" a="1"/>
  <c r="Z43" i="21" s="1"/>
  <c r="X43" i="21" a="1"/>
  <c r="X43" i="21" s="1"/>
  <c r="V43" i="21" a="1"/>
  <c r="V43" i="21" s="1"/>
  <c r="T43" i="21" a="1"/>
  <c r="T43" i="21" s="1"/>
  <c r="R43" i="21" a="1"/>
  <c r="R43" i="21" s="1"/>
  <c r="P43" i="21"/>
  <c r="P43" i="21" a="1"/>
  <c r="N43" i="21"/>
  <c r="N43" i="21" a="1"/>
  <c r="L43" i="21"/>
  <c r="L43" i="21" a="1"/>
  <c r="J43" i="21" a="1"/>
  <c r="J43" i="21" s="1"/>
  <c r="H43" i="21" a="1"/>
  <c r="H43" i="21" s="1"/>
  <c r="F43" i="21" a="1"/>
  <c r="F43" i="21" s="1"/>
  <c r="D43" i="21" a="1"/>
  <c r="D43" i="21" s="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R81" i="24"/>
  <c r="AP81" i="24"/>
  <c r="AJ81" i="24"/>
  <c r="AH81" i="24"/>
  <c r="AF81" i="24"/>
  <c r="AD81" i="24"/>
  <c r="AB81" i="24"/>
  <c r="X81" i="24"/>
  <c r="V81" i="24"/>
  <c r="L81" i="24"/>
  <c r="J81" i="24"/>
  <c r="D81" i="24"/>
  <c r="B81" i="24"/>
  <c r="AV80" i="24"/>
  <c r="AT80" i="24"/>
  <c r="AR80" i="24"/>
  <c r="AN80" i="24"/>
  <c r="AL80" i="24"/>
  <c r="AJ80" i="24"/>
  <c r="AH80" i="24"/>
  <c r="AB80" i="24"/>
  <c r="Z80" i="24"/>
  <c r="T80" i="24"/>
  <c r="R80" i="24"/>
  <c r="P80" i="24"/>
  <c r="N80" i="24"/>
  <c r="L80" i="24"/>
  <c r="H80" i="24"/>
  <c r="F80" i="24"/>
  <c r="B80" i="24"/>
  <c r="AV79" i="24" a="1"/>
  <c r="AV79" i="24" s="1"/>
  <c r="AT79" i="24" a="1"/>
  <c r="AT79" i="24" s="1"/>
  <c r="AR79" i="24"/>
  <c r="AR79" i="24" a="1"/>
  <c r="AP79" i="24" a="1"/>
  <c r="AP79" i="24" s="1"/>
  <c r="AN79" i="24" a="1"/>
  <c r="AN79" i="24" s="1"/>
  <c r="AL79" i="24"/>
  <c r="AL79" i="24" a="1"/>
  <c r="AJ79" i="24" a="1"/>
  <c r="AJ79" i="24" s="1"/>
  <c r="AH79" i="24"/>
  <c r="AH79" i="24" a="1"/>
  <c r="AF79" i="24" a="1"/>
  <c r="AF79" i="24" s="1"/>
  <c r="AD79" i="24" a="1"/>
  <c r="AD79" i="24" s="1"/>
  <c r="AB79" i="24"/>
  <c r="AB79" i="24" a="1"/>
  <c r="Z79" i="24" a="1"/>
  <c r="Z79" i="24" s="1"/>
  <c r="X79" i="24" a="1"/>
  <c r="X79" i="24" s="1"/>
  <c r="V79" i="24"/>
  <c r="V79" i="24" a="1"/>
  <c r="T79" i="24" a="1"/>
  <c r="T79" i="24" s="1"/>
  <c r="R79" i="24" a="1"/>
  <c r="R79" i="24" s="1"/>
  <c r="P79" i="24" a="1"/>
  <c r="P79" i="24" s="1"/>
  <c r="N79" i="24" a="1"/>
  <c r="N79" i="24" s="1"/>
  <c r="L79" i="24"/>
  <c r="L79" i="24" a="1"/>
  <c r="J79" i="24" a="1"/>
  <c r="J79" i="24" s="1"/>
  <c r="H79" i="24" a="1"/>
  <c r="H79" i="24" s="1"/>
  <c r="F79" i="24"/>
  <c r="F79" i="24" a="1"/>
  <c r="D79" i="24" a="1"/>
  <c r="D79" i="24" s="1"/>
  <c r="B79" i="24" a="1"/>
  <c r="B79" i="24" s="1"/>
  <c r="AV78" i="24" a="1"/>
  <c r="AV78" i="24" s="1"/>
  <c r="AT78" i="24" a="1"/>
  <c r="AT78" i="24" s="1"/>
  <c r="AR78" i="24"/>
  <c r="AR78" i="24" a="1"/>
  <c r="AP78" i="24" a="1"/>
  <c r="AP78" i="24" s="1"/>
  <c r="AN78" i="24" a="1"/>
  <c r="AN78" i="24" s="1"/>
  <c r="AL78" i="24"/>
  <c r="AL78" i="24" a="1"/>
  <c r="AJ78" i="24" a="1"/>
  <c r="AJ78" i="24" s="1"/>
  <c r="AH78" i="24" a="1"/>
  <c r="AH78" i="24" s="1"/>
  <c r="AF78" i="24" a="1"/>
  <c r="AF78" i="24" s="1"/>
  <c r="AD78" i="24" a="1"/>
  <c r="AD78" i="24" s="1"/>
  <c r="AB78" i="24"/>
  <c r="AB78" i="24" a="1"/>
  <c r="Z78" i="24" a="1"/>
  <c r="Z78" i="24" s="1"/>
  <c r="X78" i="24" a="1"/>
  <c r="X78" i="24" s="1"/>
  <c r="V78" i="24"/>
  <c r="V78" i="24" a="1"/>
  <c r="T78" i="24" a="1"/>
  <c r="T78" i="24" s="1"/>
  <c r="R78" i="24" a="1"/>
  <c r="R78" i="24" s="1"/>
  <c r="P78" i="24" a="1"/>
  <c r="P78" i="24" s="1"/>
  <c r="N78" i="24" a="1"/>
  <c r="N78" i="24" s="1"/>
  <c r="L78" i="24"/>
  <c r="L78" i="24" a="1"/>
  <c r="J78" i="24" a="1"/>
  <c r="J78" i="24" s="1"/>
  <c r="H78" i="24" a="1"/>
  <c r="H78" i="24" s="1"/>
  <c r="F78" i="24"/>
  <c r="F78" i="24" a="1"/>
  <c r="D78" i="24" a="1"/>
  <c r="D78" i="24" s="1"/>
  <c r="B78" i="24" a="1"/>
  <c r="B78" i="24" s="1"/>
  <c r="AV77" i="24" a="1"/>
  <c r="AV77" i="24" s="1"/>
  <c r="AT77" i="24" a="1"/>
  <c r="AT77" i="24" s="1"/>
  <c r="AR77" i="24"/>
  <c r="AR77" i="24" a="1"/>
  <c r="AP77" i="24" a="1"/>
  <c r="AP77" i="24" s="1"/>
  <c r="AN77" i="24" a="1"/>
  <c r="AN77" i="24" s="1"/>
  <c r="AL77" i="24"/>
  <c r="AL77" i="24" a="1"/>
  <c r="AJ77" i="24" a="1"/>
  <c r="AJ77" i="24" s="1"/>
  <c r="AH77" i="24" a="1"/>
  <c r="AH77" i="24" s="1"/>
  <c r="AF77" i="24" a="1"/>
  <c r="AF77" i="24" s="1"/>
  <c r="AD77" i="24" a="1"/>
  <c r="AD77" i="24" s="1"/>
  <c r="AB77" i="24"/>
  <c r="AB77" i="24" a="1"/>
  <c r="Z77" i="24" a="1"/>
  <c r="Z77" i="24" s="1"/>
  <c r="X77" i="24" a="1"/>
  <c r="X77" i="24" s="1"/>
  <c r="V77" i="24"/>
  <c r="V77" i="24" a="1"/>
  <c r="T77" i="24" a="1"/>
  <c r="T77" i="24" s="1"/>
  <c r="R77" i="24" a="1"/>
  <c r="R77" i="24" s="1"/>
  <c r="P77" i="24" a="1"/>
  <c r="P77" i="24" s="1"/>
  <c r="N77" i="24" a="1"/>
  <c r="N77" i="24" s="1"/>
  <c r="L77" i="24"/>
  <c r="L77" i="24" a="1"/>
  <c r="J77" i="24" a="1"/>
  <c r="J77" i="24" s="1"/>
  <c r="H77" i="24" a="1"/>
  <c r="H77" i="24" s="1"/>
  <c r="F77" i="24"/>
  <c r="F77" i="24" a="1"/>
  <c r="D77" i="24" a="1"/>
  <c r="D77" i="24" s="1"/>
  <c r="B77" i="24" a="1"/>
  <c r="B77" i="24" s="1"/>
  <c r="AV76" i="24" a="1"/>
  <c r="AV76" i="24" s="1"/>
  <c r="AT76" i="24" a="1"/>
  <c r="AT76" i="24" s="1"/>
  <c r="AR76" i="24"/>
  <c r="AR76" i="24" a="1"/>
  <c r="AP76" i="24" a="1"/>
  <c r="AP76" i="24" s="1"/>
  <c r="AN76" i="24" a="1"/>
  <c r="AN76" i="24" s="1"/>
  <c r="AL76" i="24"/>
  <c r="AL76" i="24" a="1"/>
  <c r="AJ76" i="24" a="1"/>
  <c r="AJ76" i="24" s="1"/>
  <c r="AH76" i="24"/>
  <c r="AH76" i="24" a="1"/>
  <c r="AF76" i="24" a="1"/>
  <c r="AF76" i="24" s="1"/>
  <c r="AD76" i="24" a="1"/>
  <c r="AD76" i="24" s="1"/>
  <c r="AB76" i="24"/>
  <c r="AB76" i="24" a="1"/>
  <c r="Z76" i="24" a="1"/>
  <c r="Z76" i="24" s="1"/>
  <c r="X76" i="24" a="1"/>
  <c r="X76" i="24" s="1"/>
  <c r="V76" i="24"/>
  <c r="V76" i="24" a="1"/>
  <c r="T76" i="24" a="1"/>
  <c r="T76" i="24" s="1"/>
  <c r="R76" i="24"/>
  <c r="R76" i="24" a="1"/>
  <c r="P76" i="24" a="1"/>
  <c r="P76" i="24" s="1"/>
  <c r="N76" i="24" a="1"/>
  <c r="N76" i="24" s="1"/>
  <c r="L76" i="24"/>
  <c r="L76" i="24" a="1"/>
  <c r="J76" i="24" a="1"/>
  <c r="J76" i="24" s="1"/>
  <c r="H76" i="24" a="1"/>
  <c r="H76" i="24" s="1"/>
  <c r="F76" i="24"/>
  <c r="F76" i="24" a="1"/>
  <c r="D76" i="24" a="1"/>
  <c r="D76" i="24" s="1"/>
  <c r="B76" i="24" a="1"/>
  <c r="B76" i="24" s="1"/>
  <c r="AV75" i="24" a="1"/>
  <c r="AV75" i="24" s="1"/>
  <c r="AT75" i="24" a="1"/>
  <c r="AT75" i="24" s="1"/>
  <c r="AR75" i="24"/>
  <c r="AR75" i="24" a="1"/>
  <c r="AP75" i="24" a="1"/>
  <c r="AP75" i="24" s="1"/>
  <c r="AN75" i="24" a="1"/>
  <c r="AN75" i="24" s="1"/>
  <c r="AL75" i="24"/>
  <c r="AL75" i="24" a="1"/>
  <c r="AJ75" i="24" a="1"/>
  <c r="AJ75" i="24" s="1"/>
  <c r="AH75" i="24" a="1"/>
  <c r="AH75" i="24" s="1"/>
  <c r="AF75" i="24" a="1"/>
  <c r="AF75" i="24" s="1"/>
  <c r="AD75" i="24" a="1"/>
  <c r="AD75" i="24" s="1"/>
  <c r="AB75" i="24"/>
  <c r="AB75" i="24" a="1"/>
  <c r="Z75" i="24" a="1"/>
  <c r="Z75" i="24" s="1"/>
  <c r="X75" i="24" a="1"/>
  <c r="X75" i="24" s="1"/>
  <c r="V75" i="24"/>
  <c r="V75" i="24" a="1"/>
  <c r="T75" i="24" a="1"/>
  <c r="T75" i="24" s="1"/>
  <c r="R75" i="24" a="1"/>
  <c r="R75" i="24" s="1"/>
  <c r="P75" i="24" a="1"/>
  <c r="P75" i="24" s="1"/>
  <c r="N75" i="24" a="1"/>
  <c r="N75" i="24" s="1"/>
  <c r="L75" i="24"/>
  <c r="L75" i="24" a="1"/>
  <c r="J75" i="24" a="1"/>
  <c r="J75" i="24" s="1"/>
  <c r="H75" i="24" a="1"/>
  <c r="H75" i="24" s="1"/>
  <c r="F75" i="24"/>
  <c r="F75" i="24" a="1"/>
  <c r="D75" i="24" a="1"/>
  <c r="D75" i="24" s="1"/>
  <c r="B75" i="24" a="1"/>
  <c r="B75" i="24" s="1"/>
  <c r="AV74" i="24" a="1"/>
  <c r="AV74" i="24" s="1"/>
  <c r="AT74" i="24" a="1"/>
  <c r="AT74" i="24" s="1"/>
  <c r="AR74" i="24"/>
  <c r="AR74" i="24" a="1"/>
  <c r="AP74" i="24" a="1"/>
  <c r="AP74" i="24" s="1"/>
  <c r="AN74" i="24" a="1"/>
  <c r="AN74" i="24" s="1"/>
  <c r="AL74" i="24"/>
  <c r="AL74" i="24" a="1"/>
  <c r="AJ74" i="24" a="1"/>
  <c r="AJ74" i="24" s="1"/>
  <c r="AH74" i="24" a="1"/>
  <c r="AH74" i="24" s="1"/>
  <c r="AF74" i="24" a="1"/>
  <c r="AF74" i="24" s="1"/>
  <c r="AD74" i="24" a="1"/>
  <c r="AD74" i="24" s="1"/>
  <c r="AB74" i="24"/>
  <c r="AB74" i="24" a="1"/>
  <c r="Z74" i="24" a="1"/>
  <c r="Z74" i="24" s="1"/>
  <c r="X74" i="24" a="1"/>
  <c r="X74" i="24" s="1"/>
  <c r="V74" i="24"/>
  <c r="V74" i="24" a="1"/>
  <c r="T74" i="24" a="1"/>
  <c r="T74" i="24" s="1"/>
  <c r="R74" i="24"/>
  <c r="R74" i="24" a="1"/>
  <c r="P74" i="24" a="1"/>
  <c r="P74" i="24" s="1"/>
  <c r="N74" i="24" a="1"/>
  <c r="N74" i="24" s="1"/>
  <c r="L74" i="24"/>
  <c r="L74" i="24" a="1"/>
  <c r="J74" i="24" a="1"/>
  <c r="J74" i="24" s="1"/>
  <c r="H74" i="24" a="1"/>
  <c r="H74" i="24" s="1"/>
  <c r="F74" i="24"/>
  <c r="F74" i="24" a="1"/>
  <c r="D74" i="24" a="1"/>
  <c r="D74" i="24" s="1"/>
  <c r="B74" i="24" a="1"/>
  <c r="B74" i="24" s="1"/>
  <c r="AV73" i="24" a="1"/>
  <c r="AV73" i="24" s="1"/>
  <c r="AT73" i="24" a="1"/>
  <c r="AT73" i="24" s="1"/>
  <c r="AR73" i="24"/>
  <c r="AR73" i="24" a="1"/>
  <c r="AP73" i="24" a="1"/>
  <c r="AP73" i="24" s="1"/>
  <c r="AN73" i="24" a="1"/>
  <c r="AN73" i="24" s="1"/>
  <c r="AL73" i="24"/>
  <c r="AL73" i="24" a="1"/>
  <c r="AJ73" i="24" a="1"/>
  <c r="AJ73" i="24" s="1"/>
  <c r="AH73" i="24" a="1"/>
  <c r="AH73" i="24" s="1"/>
  <c r="AF73" i="24" a="1"/>
  <c r="AF73" i="24" s="1"/>
  <c r="AD73" i="24" a="1"/>
  <c r="AD73" i="24" s="1"/>
  <c r="AB73" i="24"/>
  <c r="AB73" i="24" a="1"/>
  <c r="Z73" i="24" a="1"/>
  <c r="Z73" i="24" s="1"/>
  <c r="X73" i="24" a="1"/>
  <c r="X73" i="24" s="1"/>
  <c r="V73" i="24"/>
  <c r="V73" i="24" a="1"/>
  <c r="T73" i="24" a="1"/>
  <c r="T73" i="24" s="1"/>
  <c r="R73" i="24" a="1"/>
  <c r="R73" i="24" s="1"/>
  <c r="P73" i="24" a="1"/>
  <c r="P73" i="24" s="1"/>
  <c r="N73" i="24" a="1"/>
  <c r="N73" i="24" s="1"/>
  <c r="L73" i="24"/>
  <c r="L73" i="24" a="1"/>
  <c r="J73" i="24" a="1"/>
  <c r="J73" i="24" s="1"/>
  <c r="H73" i="24" a="1"/>
  <c r="H73" i="24" s="1"/>
  <c r="F73" i="24"/>
  <c r="F73" i="24" a="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J69" i="24"/>
  <c r="T69" i="24"/>
  <c r="D69" i="24"/>
  <c r="B69" i="24"/>
  <c r="AJ68" i="24"/>
  <c r="T68" i="24"/>
  <c r="R68" i="24"/>
  <c r="D68" i="24"/>
  <c r="AV67" i="24" a="1"/>
  <c r="AV67" i="24" s="1"/>
  <c r="AT67" i="24"/>
  <c r="AT67" i="24" a="1"/>
  <c r="AR67" i="24" a="1"/>
  <c r="AR67" i="24" s="1"/>
  <c r="AP67" i="24"/>
  <c r="AP67" i="24" a="1"/>
  <c r="AN67" i="24" a="1"/>
  <c r="AN67" i="24" s="1"/>
  <c r="AL67" i="24" a="1"/>
  <c r="AL67" i="24" s="1"/>
  <c r="AJ67" i="24"/>
  <c r="AJ67" i="24" a="1"/>
  <c r="AH67" i="24" a="1"/>
  <c r="AH67" i="24" s="1"/>
  <c r="AF67" i="24" a="1"/>
  <c r="AF67" i="24" s="1"/>
  <c r="AD67" i="24"/>
  <c r="AD67" i="24" a="1"/>
  <c r="AB67" i="24" a="1"/>
  <c r="AB67" i="24" s="1"/>
  <c r="Z67" i="24"/>
  <c r="Z67" i="24" a="1"/>
  <c r="X67" i="24" a="1"/>
  <c r="X67" i="24" s="1"/>
  <c r="V67" i="24" a="1"/>
  <c r="V67" i="24" s="1"/>
  <c r="T67" i="24"/>
  <c r="T67" i="24" a="1"/>
  <c r="R67" i="24" a="1"/>
  <c r="R67" i="24" s="1"/>
  <c r="P67" i="24" a="1"/>
  <c r="P67" i="24" s="1"/>
  <c r="N67" i="24"/>
  <c r="N67" i="24" a="1"/>
  <c r="L67" i="24" a="1"/>
  <c r="L67" i="24" s="1"/>
  <c r="J67" i="24" a="1"/>
  <c r="J67" i="24" s="1"/>
  <c r="H67" i="24" a="1"/>
  <c r="H67" i="24" s="1"/>
  <c r="F67" i="24" a="1"/>
  <c r="F67" i="24" s="1"/>
  <c r="D67" i="24"/>
  <c r="D67" i="24" a="1"/>
  <c r="B67" i="24" a="1"/>
  <c r="B67" i="24" s="1"/>
  <c r="AV66" i="24" a="1"/>
  <c r="AV66" i="24" s="1"/>
  <c r="AV68" i="24" s="1"/>
  <c r="AT66" i="24"/>
  <c r="AT68" i="24" s="1"/>
  <c r="AT66" i="24" a="1"/>
  <c r="AR66" i="24" a="1"/>
  <c r="AR66" i="24" s="1"/>
  <c r="AR68" i="24" s="1"/>
  <c r="AP66" i="24" a="1"/>
  <c r="AP66" i="24" s="1"/>
  <c r="AP68" i="24" s="1"/>
  <c r="AN66" i="24" a="1"/>
  <c r="AN66" i="24" s="1"/>
  <c r="AN68" i="24" s="1"/>
  <c r="AL66" i="24" a="1"/>
  <c r="AL66" i="24" s="1"/>
  <c r="AL68" i="24" s="1"/>
  <c r="AJ66" i="24"/>
  <c r="AJ66" i="24" a="1"/>
  <c r="AH66" i="24" a="1"/>
  <c r="AH66" i="24" s="1"/>
  <c r="AH68" i="24" s="1"/>
  <c r="AF66" i="24" a="1"/>
  <c r="AF66" i="24" s="1"/>
  <c r="AF68" i="24" s="1"/>
  <c r="AD66" i="24"/>
  <c r="AD68" i="24" s="1"/>
  <c r="AD66" i="24" a="1"/>
  <c r="AB66" i="24" a="1"/>
  <c r="AB66" i="24" s="1"/>
  <c r="AB68" i="24" s="1"/>
  <c r="Z66" i="24" a="1"/>
  <c r="Z66" i="24" s="1"/>
  <c r="Z68" i="24" s="1"/>
  <c r="X66" i="24" a="1"/>
  <c r="X66" i="24" s="1"/>
  <c r="V66" i="24" a="1"/>
  <c r="V66" i="24" s="1"/>
  <c r="V68" i="24" s="1"/>
  <c r="T66" i="24"/>
  <c r="T66" i="24" a="1"/>
  <c r="R66" i="24" a="1"/>
  <c r="R66" i="24" s="1"/>
  <c r="P66" i="24" a="1"/>
  <c r="P66" i="24" s="1"/>
  <c r="P68" i="24" s="1"/>
  <c r="N66" i="24"/>
  <c r="N68" i="24" s="1"/>
  <c r="N66" i="24" a="1"/>
  <c r="L66" i="24" a="1"/>
  <c r="L66" i="24" s="1"/>
  <c r="L68" i="24" s="1"/>
  <c r="J66" i="24" a="1"/>
  <c r="J66" i="24" s="1"/>
  <c r="H66" i="24" a="1"/>
  <c r="H66" i="24" s="1"/>
  <c r="H68" i="24" s="1"/>
  <c r="F66" i="24" a="1"/>
  <c r="F66" i="24" s="1"/>
  <c r="F68" i="24" s="1"/>
  <c r="D66" i="24"/>
  <c r="D66" i="24" a="1"/>
  <c r="B66" i="24" a="1"/>
  <c r="B66" i="24" s="1"/>
  <c r="B68" i="24" s="1"/>
  <c r="AV65" i="24" a="1"/>
  <c r="AV65" i="24" s="1"/>
  <c r="AV69" i="24" s="1"/>
  <c r="AT65" i="24"/>
  <c r="AT69" i="24" s="1"/>
  <c r="AT65" i="24" a="1"/>
  <c r="AR65" i="24" a="1"/>
  <c r="AR65" i="24" s="1"/>
  <c r="AR69" i="24" s="1"/>
  <c r="AP65" i="24" a="1"/>
  <c r="AP65" i="24" s="1"/>
  <c r="AP69" i="24" s="1"/>
  <c r="AN65" i="24" a="1"/>
  <c r="AN65" i="24" s="1"/>
  <c r="AN69" i="24" s="1"/>
  <c r="AL65" i="24" a="1"/>
  <c r="AL65" i="24" s="1"/>
  <c r="AL69" i="24" s="1"/>
  <c r="AJ65" i="24"/>
  <c r="AJ65" i="24" a="1"/>
  <c r="AH65" i="24" a="1"/>
  <c r="AH65" i="24" s="1"/>
  <c r="AH69" i="24" s="1"/>
  <c r="AF65" i="24" a="1"/>
  <c r="AF65" i="24" s="1"/>
  <c r="AF69" i="24" s="1"/>
  <c r="AD65" i="24"/>
  <c r="AD69" i="24" s="1"/>
  <c r="AD65" i="24" a="1"/>
  <c r="AB65" i="24" a="1"/>
  <c r="AB65" i="24" s="1"/>
  <c r="AB69" i="24" s="1"/>
  <c r="Z65" i="24"/>
  <c r="Z69" i="24" s="1"/>
  <c r="Z65" i="24" a="1"/>
  <c r="X65" i="24" a="1"/>
  <c r="X65" i="24" s="1"/>
  <c r="X69" i="24" s="1"/>
  <c r="V65" i="24" a="1"/>
  <c r="V65" i="24" s="1"/>
  <c r="V69" i="24" s="1"/>
  <c r="T65" i="24"/>
  <c r="T65" i="24" a="1"/>
  <c r="R65" i="24" a="1"/>
  <c r="R65" i="24" s="1"/>
  <c r="R69" i="24" s="1"/>
  <c r="P65" i="24" a="1"/>
  <c r="P65" i="24" s="1"/>
  <c r="P69" i="24" s="1"/>
  <c r="N65" i="24"/>
  <c r="N69" i="24" s="1"/>
  <c r="N65" i="24" a="1"/>
  <c r="L65" i="24" a="1"/>
  <c r="L65" i="24" s="1"/>
  <c r="L69" i="24" s="1"/>
  <c r="J65" i="24" a="1"/>
  <c r="J65" i="24" s="1"/>
  <c r="J69" i="24" s="1"/>
  <c r="H65" i="24" a="1"/>
  <c r="H65" i="24" s="1"/>
  <c r="H69" i="24" s="1"/>
  <c r="F65" i="24" a="1"/>
  <c r="F65" i="24" s="1"/>
  <c r="F69" i="24" s="1"/>
  <c r="D65" i="24"/>
  <c r="D65" i="24" a="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a="1"/>
  <c r="AT58" i="24" s="1"/>
  <c r="AR58" i="24" a="1"/>
  <c r="AR58" i="24" s="1"/>
  <c r="AP58" i="24" a="1"/>
  <c r="AP58" i="24" s="1"/>
  <c r="AN58" i="24" a="1"/>
  <c r="AN58" i="24" s="1"/>
  <c r="AL58" i="24" a="1"/>
  <c r="AL58" i="24" s="1"/>
  <c r="AJ58" i="24" a="1"/>
  <c r="AJ58" i="24" s="1"/>
  <c r="AH58" i="24" a="1"/>
  <c r="AH58" i="24" s="1"/>
  <c r="AF58" i="24"/>
  <c r="AF58" i="24" a="1"/>
  <c r="AD58" i="24" a="1"/>
  <c r="AD58" i="24" s="1"/>
  <c r="AB58" i="24" a="1"/>
  <c r="AB58" i="24" s="1"/>
  <c r="Z58" i="24" a="1"/>
  <c r="Z58" i="24" s="1"/>
  <c r="X58" i="24" a="1"/>
  <c r="X58" i="24" s="1"/>
  <c r="V58" i="24" a="1"/>
  <c r="V58" i="24" s="1"/>
  <c r="T58" i="24" a="1"/>
  <c r="T58" i="24" s="1"/>
  <c r="R58" i="24" a="1"/>
  <c r="R58" i="24" s="1"/>
  <c r="P58" i="24"/>
  <c r="P58" i="24" a="1"/>
  <c r="N58" i="24" a="1"/>
  <c r="N58" i="24" s="1"/>
  <c r="L58" i="24" a="1"/>
  <c r="L58" i="24" s="1"/>
  <c r="J58" i="24" a="1"/>
  <c r="J58" i="24" s="1"/>
  <c r="H58" i="24" a="1"/>
  <c r="H58" i="24" s="1"/>
  <c r="F58" i="24" a="1"/>
  <c r="F58" i="24" s="1"/>
  <c r="D58" i="24" a="1"/>
  <c r="D58" i="24" s="1"/>
  <c r="B58" i="24" a="1"/>
  <c r="B58" i="24" s="1"/>
  <c r="AV57" i="24"/>
  <c r="AV57" i="24" a="1"/>
  <c r="AT57" i="24" a="1"/>
  <c r="AT57" i="24" s="1"/>
  <c r="AR57" i="24" a="1"/>
  <c r="AR57" i="24" s="1"/>
  <c r="AP57" i="24" a="1"/>
  <c r="AP57" i="24" s="1"/>
  <c r="AN57" i="24" a="1"/>
  <c r="AN57" i="24" s="1"/>
  <c r="AL57" i="24" a="1"/>
  <c r="AL57" i="24" s="1"/>
  <c r="AJ57" i="24" a="1"/>
  <c r="AJ57" i="24" s="1"/>
  <c r="AH57" i="24" a="1"/>
  <c r="AH57" i="24" s="1"/>
  <c r="AF57" i="24"/>
  <c r="AF57" i="24" a="1"/>
  <c r="AD57" i="24" a="1"/>
  <c r="AD57" i="24" s="1"/>
  <c r="AB57" i="24" a="1"/>
  <c r="AB57" i="24" s="1"/>
  <c r="Z57" i="24" a="1"/>
  <c r="Z57" i="24" s="1"/>
  <c r="X57" i="24" a="1"/>
  <c r="X57" i="24" s="1"/>
  <c r="V57" i="24" a="1"/>
  <c r="V57" i="24" s="1"/>
  <c r="T57" i="24" a="1"/>
  <c r="T57" i="24" s="1"/>
  <c r="R57" i="24" a="1"/>
  <c r="R57" i="24" s="1"/>
  <c r="P57" i="24"/>
  <c r="P57" i="24" a="1"/>
  <c r="N57" i="24" a="1"/>
  <c r="N57" i="24" s="1"/>
  <c r="L57" i="24" a="1"/>
  <c r="L57" i="24" s="1"/>
  <c r="J57" i="24" a="1"/>
  <c r="J57" i="24" s="1"/>
  <c r="H57" i="24" a="1"/>
  <c r="H57" i="24" s="1"/>
  <c r="F57" i="24" a="1"/>
  <c r="F57" i="24" s="1"/>
  <c r="D57" i="24" a="1"/>
  <c r="D57" i="24" s="1"/>
  <c r="B57" i="24"/>
  <c r="B57" i="24" a="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P80" i="24" s="1"/>
  <c r="AN55" i="24"/>
  <c r="AL55" i="24"/>
  <c r="AJ55" i="24"/>
  <c r="AH55" i="24"/>
  <c r="AF55" i="24"/>
  <c r="AF80" i="24" s="1"/>
  <c r="AD55" i="24"/>
  <c r="AD80" i="24" s="1"/>
  <c r="AB55" i="24"/>
  <c r="Z55" i="24"/>
  <c r="X55" i="24"/>
  <c r="X80" i="24" s="1"/>
  <c r="V55" i="24"/>
  <c r="V80" i="24" s="1"/>
  <c r="T55" i="24"/>
  <c r="R55" i="24"/>
  <c r="P55" i="24"/>
  <c r="N55" i="24"/>
  <c r="L55" i="24"/>
  <c r="J55" i="24"/>
  <c r="J80" i="24" s="1"/>
  <c r="H55" i="24"/>
  <c r="F55" i="24"/>
  <c r="D55" i="24"/>
  <c r="D80" i="24" s="1"/>
  <c r="B55" i="24"/>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P51" i="24"/>
  <c r="AN51" i="24"/>
  <c r="AN81" i="24" s="1"/>
  <c r="AL51" i="24"/>
  <c r="AL81" i="24" s="1"/>
  <c r="AJ51" i="24"/>
  <c r="AH51" i="24"/>
  <c r="AF51" i="24"/>
  <c r="AD51" i="24"/>
  <c r="AB51" i="24"/>
  <c r="Z51" i="24"/>
  <c r="Z81" i="24" s="1"/>
  <c r="X51" i="24"/>
  <c r="V51" i="24"/>
  <c r="T51" i="24"/>
  <c r="T81" i="24" s="1"/>
  <c r="R51" i="24"/>
  <c r="R81" i="24" s="1"/>
  <c r="P51" i="24"/>
  <c r="P81" i="24" s="1"/>
  <c r="N51" i="24"/>
  <c r="N81" i="24" s="1"/>
  <c r="L51" i="24"/>
  <c r="J51" i="24"/>
  <c r="H51" i="24"/>
  <c r="H81" i="24" s="1"/>
  <c r="F51" i="24"/>
  <c r="F81" i="24" s="1"/>
  <c r="D51" i="24"/>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a="1"/>
  <c r="AR43" i="24" s="1"/>
  <c r="AP43" i="24" a="1"/>
  <c r="AP43" i="24" s="1"/>
  <c r="AN43" i="24" a="1"/>
  <c r="AN43" i="24" s="1"/>
  <c r="AL43" i="24" a="1"/>
  <c r="AL43" i="24" s="1"/>
  <c r="AJ43" i="24" a="1"/>
  <c r="AJ43" i="24" s="1"/>
  <c r="AH43" i="24" a="1"/>
  <c r="AH43" i="24" s="1"/>
  <c r="AF43" i="24"/>
  <c r="AF43" i="24" a="1"/>
  <c r="AD43" i="24" a="1"/>
  <c r="AD43" i="24" s="1"/>
  <c r="AB43" i="24" a="1"/>
  <c r="AB43" i="24" s="1"/>
  <c r="Z43" i="24" a="1"/>
  <c r="Z43" i="24" s="1"/>
  <c r="X43" i="24" a="1"/>
  <c r="X43" i="24" s="1"/>
  <c r="V43" i="24" a="1"/>
  <c r="V43" i="24" s="1"/>
  <c r="T43" i="24" a="1"/>
  <c r="T43" i="24" s="1"/>
  <c r="R43" i="24"/>
  <c r="R43" i="24" a="1"/>
  <c r="P43" i="24"/>
  <c r="P43" i="24" a="1"/>
  <c r="N43" i="24" a="1"/>
  <c r="N43" i="24" s="1"/>
  <c r="L43" i="24" a="1"/>
  <c r="L43" i="24" s="1"/>
  <c r="J43" i="24" a="1"/>
  <c r="J43" i="24" s="1"/>
  <c r="H43" i="24" a="1"/>
  <c r="H43" i="24" s="1"/>
  <c r="F43" i="24" a="1"/>
  <c r="F43" i="24" s="1"/>
  <c r="D43" i="24" a="1"/>
  <c r="D43" i="24" s="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H81" i="18"/>
  <c r="AD81" i="18"/>
  <c r="AB81" i="18"/>
  <c r="R81" i="18"/>
  <c r="B81" i="18"/>
  <c r="AT80" i="18"/>
  <c r="AR80" i="18"/>
  <c r="AH80" i="18"/>
  <c r="R80" i="18"/>
  <c r="N80" i="18"/>
  <c r="L80" i="18"/>
  <c r="B80" i="18"/>
  <c r="AV79" i="18" a="1"/>
  <c r="AV79" i="18" s="1"/>
  <c r="AT79" i="18" a="1"/>
  <c r="AT79" i="18" s="1"/>
  <c r="AR79" i="18" a="1"/>
  <c r="AR79" i="18" s="1"/>
  <c r="AP79" i="18" a="1"/>
  <c r="AP79" i="18" s="1"/>
  <c r="AN79" i="18" a="1"/>
  <c r="AN79" i="18" s="1"/>
  <c r="AL79" i="18"/>
  <c r="AL79" i="18" a="1"/>
  <c r="AJ79" i="18" a="1"/>
  <c r="AJ79" i="18" s="1"/>
  <c r="AH79" i="18" a="1"/>
  <c r="AH79" i="18" s="1"/>
  <c r="AF79" i="18" a="1"/>
  <c r="AF79" i="18" s="1"/>
  <c r="AD79" i="18" a="1"/>
  <c r="AD79" i="18" s="1"/>
  <c r="AB79" i="18" a="1"/>
  <c r="AB79" i="18" s="1"/>
  <c r="Z79" i="18" a="1"/>
  <c r="Z79" i="18" s="1"/>
  <c r="X79" i="18" a="1"/>
  <c r="X79" i="18" s="1"/>
  <c r="V79" i="18"/>
  <c r="V79" i="18" a="1"/>
  <c r="T79" i="18" a="1"/>
  <c r="T79" i="18" s="1"/>
  <c r="R79" i="18" a="1"/>
  <c r="R79" i="18" s="1"/>
  <c r="P79" i="18" a="1"/>
  <c r="P79" i="18" s="1"/>
  <c r="N79" i="18" a="1"/>
  <c r="N79" i="18" s="1"/>
  <c r="L79" i="18" a="1"/>
  <c r="L79" i="18" s="1"/>
  <c r="J79" i="18" a="1"/>
  <c r="J79" i="18" s="1"/>
  <c r="H79" i="18" a="1"/>
  <c r="H79" i="18" s="1"/>
  <c r="F79" i="18"/>
  <c r="F79" i="18" a="1"/>
  <c r="D79" i="18" a="1"/>
  <c r="D79" i="18" s="1"/>
  <c r="B79" i="18" a="1"/>
  <c r="B79" i="18" s="1"/>
  <c r="AV78" i="18" a="1"/>
  <c r="AV78" i="18" s="1"/>
  <c r="AT78" i="18" a="1"/>
  <c r="AT78" i="18" s="1"/>
  <c r="AR78" i="18" a="1"/>
  <c r="AR78" i="18" s="1"/>
  <c r="AP78" i="18" a="1"/>
  <c r="AP78" i="18" s="1"/>
  <c r="AN78" i="18" a="1"/>
  <c r="AN78" i="18" s="1"/>
  <c r="AL78" i="18"/>
  <c r="AL78" i="18" a="1"/>
  <c r="AJ78" i="18" a="1"/>
  <c r="AJ78" i="18" s="1"/>
  <c r="AH78" i="18" a="1"/>
  <c r="AH78" i="18" s="1"/>
  <c r="AF78" i="18" a="1"/>
  <c r="AF78" i="18" s="1"/>
  <c r="AD78" i="18" a="1"/>
  <c r="AD78" i="18" s="1"/>
  <c r="AB78" i="18" a="1"/>
  <c r="AB78" i="18" s="1"/>
  <c r="Z78" i="18" a="1"/>
  <c r="Z78" i="18" s="1"/>
  <c r="X78" i="18" a="1"/>
  <c r="X78" i="18" s="1"/>
  <c r="V78" i="18"/>
  <c r="V78" i="18" a="1"/>
  <c r="T78" i="18" a="1"/>
  <c r="T78" i="18" s="1"/>
  <c r="R78" i="18" a="1"/>
  <c r="R78" i="18" s="1"/>
  <c r="P78" i="18" a="1"/>
  <c r="P78" i="18" s="1"/>
  <c r="N78" i="18" a="1"/>
  <c r="N78" i="18" s="1"/>
  <c r="L78" i="18" a="1"/>
  <c r="L78" i="18" s="1"/>
  <c r="J78" i="18" a="1"/>
  <c r="J78" i="18" s="1"/>
  <c r="H78" i="18" a="1"/>
  <c r="H78" i="18" s="1"/>
  <c r="F78" i="18"/>
  <c r="F78" i="18" a="1"/>
  <c r="D78" i="18" a="1"/>
  <c r="D78" i="18" s="1"/>
  <c r="B78" i="18" a="1"/>
  <c r="B78" i="18" s="1"/>
  <c r="AV77" i="18" a="1"/>
  <c r="AV77" i="18" s="1"/>
  <c r="AT77" i="18" a="1"/>
  <c r="AT77" i="18" s="1"/>
  <c r="AR77" i="18" a="1"/>
  <c r="AR77" i="18" s="1"/>
  <c r="AP77" i="18" a="1"/>
  <c r="AP77" i="18" s="1"/>
  <c r="AN77" i="18" a="1"/>
  <c r="AN77" i="18" s="1"/>
  <c r="AL77" i="18"/>
  <c r="AL77" i="18" a="1"/>
  <c r="AJ77" i="18" a="1"/>
  <c r="AJ77" i="18" s="1"/>
  <c r="AH77" i="18" a="1"/>
  <c r="AH77" i="18" s="1"/>
  <c r="AF77" i="18" a="1"/>
  <c r="AF77" i="18" s="1"/>
  <c r="AD77" i="18" a="1"/>
  <c r="AD77" i="18" s="1"/>
  <c r="AB77" i="18" a="1"/>
  <c r="AB77" i="18" s="1"/>
  <c r="Z77" i="18" a="1"/>
  <c r="Z77" i="18" s="1"/>
  <c r="X77" i="18" a="1"/>
  <c r="X77" i="18" s="1"/>
  <c r="V77" i="18"/>
  <c r="V77" i="18" a="1"/>
  <c r="T77" i="18" a="1"/>
  <c r="T77" i="18" s="1"/>
  <c r="R77" i="18" a="1"/>
  <c r="R77" i="18" s="1"/>
  <c r="P77" i="18" a="1"/>
  <c r="P77" i="18" s="1"/>
  <c r="N77" i="18" a="1"/>
  <c r="N77" i="18" s="1"/>
  <c r="L77" i="18" a="1"/>
  <c r="L77" i="18" s="1"/>
  <c r="J77" i="18" a="1"/>
  <c r="J77" i="18" s="1"/>
  <c r="H77" i="18" a="1"/>
  <c r="H77" i="18" s="1"/>
  <c r="F77" i="18"/>
  <c r="F77" i="18" a="1"/>
  <c r="D77" i="18" a="1"/>
  <c r="D77" i="18" s="1"/>
  <c r="B77" i="18" a="1"/>
  <c r="B77" i="18" s="1"/>
  <c r="AV76" i="18" a="1"/>
  <c r="AV76" i="18" s="1"/>
  <c r="AT76" i="18" a="1"/>
  <c r="AT76" i="18" s="1"/>
  <c r="AR76" i="18" a="1"/>
  <c r="AR76" i="18" s="1"/>
  <c r="AP76" i="18" a="1"/>
  <c r="AP76" i="18" s="1"/>
  <c r="AN76" i="18" a="1"/>
  <c r="AN76" i="18" s="1"/>
  <c r="AL76" i="18"/>
  <c r="AL76" i="18" a="1"/>
  <c r="AJ76" i="18" a="1"/>
  <c r="AJ76" i="18" s="1"/>
  <c r="AH76" i="18" a="1"/>
  <c r="AH76" i="18" s="1"/>
  <c r="AF76" i="18" a="1"/>
  <c r="AF76" i="18" s="1"/>
  <c r="AD76" i="18" a="1"/>
  <c r="AD76" i="18" s="1"/>
  <c r="AB76" i="18" a="1"/>
  <c r="AB76" i="18" s="1"/>
  <c r="Z76" i="18" a="1"/>
  <c r="Z76" i="18" s="1"/>
  <c r="X76" i="18" a="1"/>
  <c r="X76" i="18" s="1"/>
  <c r="V76" i="18"/>
  <c r="V76" i="18" a="1"/>
  <c r="T76" i="18" a="1"/>
  <c r="T76" i="18" s="1"/>
  <c r="R76" i="18" a="1"/>
  <c r="R76" i="18" s="1"/>
  <c r="P76" i="18" a="1"/>
  <c r="P76" i="18" s="1"/>
  <c r="N76" i="18" a="1"/>
  <c r="N76" i="18" s="1"/>
  <c r="L76" i="18" a="1"/>
  <c r="L76" i="18" s="1"/>
  <c r="J76" i="18" a="1"/>
  <c r="J76" i="18" s="1"/>
  <c r="H76" i="18" a="1"/>
  <c r="H76" i="18" s="1"/>
  <c r="F76" i="18"/>
  <c r="F76" i="18" a="1"/>
  <c r="D76" i="18" a="1"/>
  <c r="D76" i="18" s="1"/>
  <c r="B76" i="18" a="1"/>
  <c r="B76" i="18" s="1"/>
  <c r="AV75" i="18" a="1"/>
  <c r="AV75" i="18" s="1"/>
  <c r="AT75" i="18" a="1"/>
  <c r="AT75" i="18" s="1"/>
  <c r="AR75" i="18" a="1"/>
  <c r="AR75" i="18" s="1"/>
  <c r="AP75" i="18" a="1"/>
  <c r="AP75" i="18" s="1"/>
  <c r="AN75" i="18" a="1"/>
  <c r="AN75" i="18" s="1"/>
  <c r="AL75" i="18"/>
  <c r="AL75" i="18" a="1"/>
  <c r="AJ75" i="18" a="1"/>
  <c r="AJ75" i="18" s="1"/>
  <c r="AH75" i="18" a="1"/>
  <c r="AH75" i="18" s="1"/>
  <c r="AF75" i="18" a="1"/>
  <c r="AF75" i="18" s="1"/>
  <c r="AD75" i="18" a="1"/>
  <c r="AD75" i="18" s="1"/>
  <c r="AB75" i="18" a="1"/>
  <c r="AB75" i="18" s="1"/>
  <c r="Z75" i="18" a="1"/>
  <c r="Z75" i="18" s="1"/>
  <c r="X75" i="18" a="1"/>
  <c r="X75" i="18" s="1"/>
  <c r="V75" i="18"/>
  <c r="V75" i="18" a="1"/>
  <c r="T75" i="18" a="1"/>
  <c r="T75" i="18" s="1"/>
  <c r="R75" i="18" a="1"/>
  <c r="R75" i="18" s="1"/>
  <c r="P75" i="18" a="1"/>
  <c r="P75" i="18" s="1"/>
  <c r="N75" i="18" a="1"/>
  <c r="N75" i="18" s="1"/>
  <c r="L75" i="18" a="1"/>
  <c r="L75" i="18" s="1"/>
  <c r="J75" i="18" a="1"/>
  <c r="J75" i="18" s="1"/>
  <c r="H75" i="18" a="1"/>
  <c r="H75" i="18" s="1"/>
  <c r="F75" i="18"/>
  <c r="F75" i="18" a="1"/>
  <c r="D75" i="18" a="1"/>
  <c r="D75" i="18" s="1"/>
  <c r="B75" i="18" a="1"/>
  <c r="B75" i="18" s="1"/>
  <c r="AV74" i="18" a="1"/>
  <c r="AV74" i="18" s="1"/>
  <c r="AT74" i="18" a="1"/>
  <c r="AT74" i="18" s="1"/>
  <c r="AR74" i="18" a="1"/>
  <c r="AR74" i="18" s="1"/>
  <c r="AP74" i="18" a="1"/>
  <c r="AP74" i="18" s="1"/>
  <c r="AN74" i="18" a="1"/>
  <c r="AN74" i="18" s="1"/>
  <c r="AL74" i="18"/>
  <c r="AL74" i="18" a="1"/>
  <c r="AJ74" i="18" a="1"/>
  <c r="AJ74" i="18" s="1"/>
  <c r="AH74" i="18" a="1"/>
  <c r="AH74" i="18" s="1"/>
  <c r="AF74" i="18" a="1"/>
  <c r="AF74" i="18" s="1"/>
  <c r="AD74" i="18" a="1"/>
  <c r="AD74" i="18" s="1"/>
  <c r="AB74" i="18" a="1"/>
  <c r="AB74" i="18" s="1"/>
  <c r="Z74" i="18" a="1"/>
  <c r="Z74" i="18" s="1"/>
  <c r="X74" i="18" a="1"/>
  <c r="X74" i="18" s="1"/>
  <c r="V74" i="18"/>
  <c r="V74" i="18" a="1"/>
  <c r="T74" i="18" a="1"/>
  <c r="T74" i="18" s="1"/>
  <c r="R74" i="18" a="1"/>
  <c r="R74" i="18" s="1"/>
  <c r="P74" i="18" a="1"/>
  <c r="P74" i="18" s="1"/>
  <c r="N74" i="18" a="1"/>
  <c r="N74" i="18" s="1"/>
  <c r="L74" i="18" a="1"/>
  <c r="L74" i="18" s="1"/>
  <c r="J74" i="18" a="1"/>
  <c r="J74" i="18" s="1"/>
  <c r="H74" i="18" a="1"/>
  <c r="H74" i="18" s="1"/>
  <c r="F74" i="18"/>
  <c r="F74" i="18" a="1"/>
  <c r="D74" i="18" a="1"/>
  <c r="D74" i="18" s="1"/>
  <c r="B74" i="18" a="1"/>
  <c r="B74" i="18" s="1"/>
  <c r="AV73" i="18" a="1"/>
  <c r="AV73" i="18" s="1"/>
  <c r="AT73" i="18" a="1"/>
  <c r="AT73" i="18" s="1"/>
  <c r="AR73" i="18" a="1"/>
  <c r="AR73" i="18" s="1"/>
  <c r="AP73" i="18" a="1"/>
  <c r="AP73" i="18" s="1"/>
  <c r="AN73" i="18" a="1"/>
  <c r="AN73" i="18" s="1"/>
  <c r="AL73" i="18"/>
  <c r="AL73" i="18" a="1"/>
  <c r="AJ73" i="18" a="1"/>
  <c r="AJ73" i="18" s="1"/>
  <c r="AH73" i="18" a="1"/>
  <c r="AH73" i="18" s="1"/>
  <c r="AF73" i="18" a="1"/>
  <c r="AF73" i="18" s="1"/>
  <c r="AD73" i="18" a="1"/>
  <c r="AD73" i="18" s="1"/>
  <c r="AB73" i="18" a="1"/>
  <c r="AB73" i="18" s="1"/>
  <c r="Z73" i="18" a="1"/>
  <c r="Z73" i="18" s="1"/>
  <c r="X73" i="18" a="1"/>
  <c r="X73" i="18" s="1"/>
  <c r="V73" i="18"/>
  <c r="V73" i="18" a="1"/>
  <c r="T73" i="18" a="1"/>
  <c r="T73" i="18" s="1"/>
  <c r="R73" i="18" a="1"/>
  <c r="R73" i="18" s="1"/>
  <c r="P73" i="18" a="1"/>
  <c r="P73" i="18" s="1"/>
  <c r="N73" i="18" a="1"/>
  <c r="N73" i="18" s="1"/>
  <c r="L73" i="18" a="1"/>
  <c r="L73" i="18" s="1"/>
  <c r="J73" i="18" a="1"/>
  <c r="J73" i="18" s="1"/>
  <c r="H73" i="18" a="1"/>
  <c r="H73" i="18" s="1"/>
  <c r="F73" i="18"/>
  <c r="F73" i="18" a="1"/>
  <c r="D73" i="18" a="1"/>
  <c r="D73" i="18" s="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B69" i="18"/>
  <c r="AV67" i="18" a="1"/>
  <c r="AV67" i="18" s="1"/>
  <c r="AT67" i="18"/>
  <c r="AT67" i="18" a="1"/>
  <c r="AR67" i="18" a="1"/>
  <c r="AR67" i="18" s="1"/>
  <c r="AP67" i="18" a="1"/>
  <c r="AP67" i="18" s="1"/>
  <c r="AN67" i="18" a="1"/>
  <c r="AN67" i="18" s="1"/>
  <c r="AL67" i="18" a="1"/>
  <c r="AL67" i="18" s="1"/>
  <c r="AJ67" i="18" a="1"/>
  <c r="AJ67" i="18" s="1"/>
  <c r="AH67" i="18" a="1"/>
  <c r="AH67" i="18" s="1"/>
  <c r="AF67" i="18" a="1"/>
  <c r="AF67" i="18" s="1"/>
  <c r="AD67" i="18"/>
  <c r="AD67" i="18" a="1"/>
  <c r="AB67" i="18" a="1"/>
  <c r="AB67" i="18" s="1"/>
  <c r="Z67" i="18" a="1"/>
  <c r="Z67" i="18" s="1"/>
  <c r="X67" i="18" a="1"/>
  <c r="X67" i="18" s="1"/>
  <c r="V67" i="18" a="1"/>
  <c r="V67" i="18" s="1"/>
  <c r="T67" i="18" a="1"/>
  <c r="T67" i="18" s="1"/>
  <c r="R67" i="18" a="1"/>
  <c r="R67" i="18" s="1"/>
  <c r="P67" i="18" a="1"/>
  <c r="P67" i="18" s="1"/>
  <c r="N67" i="18"/>
  <c r="N67" i="18" a="1"/>
  <c r="L67" i="18" a="1"/>
  <c r="L67" i="18" s="1"/>
  <c r="J67" i="18" a="1"/>
  <c r="J67" i="18" s="1"/>
  <c r="H67" i="18" a="1"/>
  <c r="H67" i="18" s="1"/>
  <c r="F67" i="18" a="1"/>
  <c r="F67" i="18" s="1"/>
  <c r="D67" i="18" a="1"/>
  <c r="D67" i="18" s="1"/>
  <c r="B67" i="18" a="1"/>
  <c r="B67" i="18" s="1"/>
  <c r="AV66" i="18" a="1"/>
  <c r="AV66" i="18" s="1"/>
  <c r="AV68" i="18" s="1"/>
  <c r="AT66" i="18"/>
  <c r="AT68" i="18" s="1"/>
  <c r="AT66" i="18" a="1"/>
  <c r="AR66" i="18" a="1"/>
  <c r="AR66" i="18" s="1"/>
  <c r="AP66" i="18" a="1"/>
  <c r="AP66" i="18" s="1"/>
  <c r="AN66" i="18" a="1"/>
  <c r="AN66" i="18" s="1"/>
  <c r="AL66" i="18" a="1"/>
  <c r="AL66" i="18" s="1"/>
  <c r="AJ66" i="18" a="1"/>
  <c r="AJ66" i="18" s="1"/>
  <c r="AH66" i="18" a="1"/>
  <c r="AH66" i="18" s="1"/>
  <c r="AF66" i="18" a="1"/>
  <c r="AF66" i="18" s="1"/>
  <c r="AF68" i="18" s="1"/>
  <c r="AD66" i="18"/>
  <c r="AD68" i="18" s="1"/>
  <c r="AD66" i="18" a="1"/>
  <c r="AB66" i="18" a="1"/>
  <c r="AB66" i="18" s="1"/>
  <c r="Z66" i="18" a="1"/>
  <c r="Z66" i="18" s="1"/>
  <c r="Z68" i="18" s="1"/>
  <c r="X66" i="18" a="1"/>
  <c r="X66" i="18" s="1"/>
  <c r="X68" i="18" s="1"/>
  <c r="V66" i="18" a="1"/>
  <c r="V66" i="18" s="1"/>
  <c r="V68" i="18" s="1"/>
  <c r="T66" i="18" a="1"/>
  <c r="T66" i="18" s="1"/>
  <c r="T68" i="18" s="1"/>
  <c r="R66" i="18" a="1"/>
  <c r="R66" i="18" s="1"/>
  <c r="R68" i="18" s="1"/>
  <c r="P66" i="18" a="1"/>
  <c r="P66" i="18" s="1"/>
  <c r="N66" i="18"/>
  <c r="N68" i="18" s="1"/>
  <c r="N66" i="18" a="1"/>
  <c r="L66" i="18" a="1"/>
  <c r="L66" i="18" s="1"/>
  <c r="J66" i="18" a="1"/>
  <c r="J66" i="18" s="1"/>
  <c r="H66" i="18" a="1"/>
  <c r="H66" i="18" s="1"/>
  <c r="F66" i="18" a="1"/>
  <c r="F66" i="18" s="1"/>
  <c r="D66" i="18" a="1"/>
  <c r="D66" i="18" s="1"/>
  <c r="D68" i="18" s="1"/>
  <c r="B66" i="18" a="1"/>
  <c r="B66" i="18" s="1"/>
  <c r="B68" i="18" s="1"/>
  <c r="AV65" i="18" a="1"/>
  <c r="AV65" i="18" s="1"/>
  <c r="AV69" i="18" s="1"/>
  <c r="AT65" i="18"/>
  <c r="AT69" i="18" s="1"/>
  <c r="AT65" i="18" a="1"/>
  <c r="AR65" i="18" a="1"/>
  <c r="AR65" i="18" s="1"/>
  <c r="AR69" i="18" s="1"/>
  <c r="AP65" i="18" a="1"/>
  <c r="AP65" i="18" s="1"/>
  <c r="AP69" i="18" s="1"/>
  <c r="AN65" i="18" a="1"/>
  <c r="AN65" i="18" s="1"/>
  <c r="AN69" i="18" s="1"/>
  <c r="AL65" i="18" a="1"/>
  <c r="AL65" i="18" s="1"/>
  <c r="AL69" i="18" s="1"/>
  <c r="AJ65" i="18" a="1"/>
  <c r="AJ65" i="18" s="1"/>
  <c r="AJ69" i="18" s="1"/>
  <c r="AH65" i="18" a="1"/>
  <c r="AH65" i="18" s="1"/>
  <c r="AH69" i="18" s="1"/>
  <c r="AF65" i="18" a="1"/>
  <c r="AF65" i="18" s="1"/>
  <c r="AF69" i="18" s="1"/>
  <c r="AD65" i="18"/>
  <c r="AD69" i="18" s="1"/>
  <c r="AD65" i="18" a="1"/>
  <c r="AB65" i="18" a="1"/>
  <c r="AB65" i="18" s="1"/>
  <c r="AB69" i="18" s="1"/>
  <c r="Z65" i="18" a="1"/>
  <c r="Z65" i="18" s="1"/>
  <c r="Z69" i="18" s="1"/>
  <c r="X65" i="18" a="1"/>
  <c r="X65" i="18" s="1"/>
  <c r="X69" i="18" s="1"/>
  <c r="V65" i="18" a="1"/>
  <c r="V65" i="18" s="1"/>
  <c r="V69" i="18" s="1"/>
  <c r="T65" i="18" a="1"/>
  <c r="T65" i="18" s="1"/>
  <c r="T69" i="18" s="1"/>
  <c r="R65" i="18" a="1"/>
  <c r="R65" i="18" s="1"/>
  <c r="R69" i="18" s="1"/>
  <c r="P65" i="18" a="1"/>
  <c r="P65" i="18" s="1"/>
  <c r="P69" i="18" s="1"/>
  <c r="N65" i="18"/>
  <c r="N69" i="18" s="1"/>
  <c r="N65" i="18" a="1"/>
  <c r="L65" i="18" a="1"/>
  <c r="L65" i="18" s="1"/>
  <c r="L69" i="18" s="1"/>
  <c r="J65" i="18" a="1"/>
  <c r="J65" i="18" s="1"/>
  <c r="J69" i="18" s="1"/>
  <c r="H65" i="18" a="1"/>
  <c r="H65" i="18" s="1"/>
  <c r="H69" i="18" s="1"/>
  <c r="F65" i="18" a="1"/>
  <c r="F65" i="18" s="1"/>
  <c r="F69" i="18" s="1"/>
  <c r="D65" i="18" a="1"/>
  <c r="D65" i="18" s="1"/>
  <c r="D69" i="18" s="1"/>
  <c r="B65" i="18"/>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c r="AT58" i="18" a="1"/>
  <c r="AR58" i="18"/>
  <c r="AR58" i="18" a="1"/>
  <c r="AP58" i="18" a="1"/>
  <c r="AP58" i="18" s="1"/>
  <c r="AN58" i="18"/>
  <c r="AN58" i="18" a="1"/>
  <c r="AL58" i="18" a="1"/>
  <c r="AL58" i="18" s="1"/>
  <c r="AJ58" i="18"/>
  <c r="AJ58" i="18" a="1"/>
  <c r="AH58" i="18"/>
  <c r="AH58" i="18" a="1"/>
  <c r="AF58" i="18"/>
  <c r="AF58" i="18" a="1"/>
  <c r="AD58" i="18"/>
  <c r="AD58" i="18" a="1"/>
  <c r="AB58" i="18"/>
  <c r="AB58" i="18" a="1"/>
  <c r="Z58" i="18" a="1"/>
  <c r="Z58" i="18" s="1"/>
  <c r="X58" i="18"/>
  <c r="X58" i="18" a="1"/>
  <c r="V58" i="18" a="1"/>
  <c r="V58" i="18" s="1"/>
  <c r="T58" i="18"/>
  <c r="T58" i="18" a="1"/>
  <c r="R58" i="18"/>
  <c r="R58" i="18" a="1"/>
  <c r="P58" i="18"/>
  <c r="P58" i="18" a="1"/>
  <c r="N58" i="18"/>
  <c r="N58" i="18" a="1"/>
  <c r="L58" i="18"/>
  <c r="L58" i="18" a="1"/>
  <c r="J58" i="18" a="1"/>
  <c r="J58" i="18" s="1"/>
  <c r="H58" i="18"/>
  <c r="H58" i="18" a="1"/>
  <c r="F58" i="18" a="1"/>
  <c r="F58" i="18" s="1"/>
  <c r="D58" i="18"/>
  <c r="D58" i="18" a="1"/>
  <c r="B58" i="18"/>
  <c r="B58" i="18" a="1"/>
  <c r="AV57" i="18"/>
  <c r="AV57" i="18" a="1"/>
  <c r="AT57" i="18"/>
  <c r="AT57" i="18" a="1"/>
  <c r="AR57" i="18" a="1"/>
  <c r="AR57" i="18" s="1"/>
  <c r="AP57" i="18" a="1"/>
  <c r="AP57" i="18" s="1"/>
  <c r="AN57" i="18"/>
  <c r="AN57" i="18" a="1"/>
  <c r="AL57" i="18" a="1"/>
  <c r="AL57" i="18" s="1"/>
  <c r="AJ57" i="18"/>
  <c r="AJ57" i="18" a="1"/>
  <c r="AH57" i="18"/>
  <c r="AH57" i="18" a="1"/>
  <c r="AF57" i="18"/>
  <c r="AF57" i="18" a="1"/>
  <c r="AD57" i="18"/>
  <c r="AD57" i="18" a="1"/>
  <c r="AB57" i="18" a="1"/>
  <c r="AB57" i="18" s="1"/>
  <c r="Z57" i="18" a="1"/>
  <c r="Z57" i="18" s="1"/>
  <c r="X57" i="18"/>
  <c r="X57" i="18" a="1"/>
  <c r="V57" i="18" a="1"/>
  <c r="V57" i="18" s="1"/>
  <c r="T57" i="18"/>
  <c r="T57" i="18" a="1"/>
  <c r="R57" i="18"/>
  <c r="R57" i="18" a="1"/>
  <c r="P57" i="18"/>
  <c r="P57" i="18" a="1"/>
  <c r="N57" i="18"/>
  <c r="N57" i="18" a="1"/>
  <c r="L57" i="18" a="1"/>
  <c r="L57" i="18" s="1"/>
  <c r="J57" i="18" a="1"/>
  <c r="J57" i="18" s="1"/>
  <c r="H57" i="18"/>
  <c r="H57" i="18" a="1"/>
  <c r="F57" i="18" a="1"/>
  <c r="F57" i="18" s="1"/>
  <c r="D57" i="18"/>
  <c r="D57" i="18" a="1"/>
  <c r="B57" i="18"/>
  <c r="B57" i="18" a="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V80" i="18" s="1"/>
  <c r="AT55" i="18"/>
  <c r="AR55" i="18"/>
  <c r="AP55" i="18"/>
  <c r="AP80" i="18" s="1"/>
  <c r="AN55" i="18"/>
  <c r="AN80" i="18" s="1"/>
  <c r="AL55" i="18"/>
  <c r="AL80" i="18" s="1"/>
  <c r="AJ55" i="18"/>
  <c r="AJ80" i="18" s="1"/>
  <c r="AH55" i="18"/>
  <c r="AF55" i="18"/>
  <c r="AF80" i="18" s="1"/>
  <c r="AD55" i="18"/>
  <c r="AD80" i="18" s="1"/>
  <c r="AB55" i="18"/>
  <c r="AB80" i="18" s="1"/>
  <c r="Z55" i="18"/>
  <c r="Z80" i="18" s="1"/>
  <c r="X55" i="18"/>
  <c r="X80" i="18" s="1"/>
  <c r="V55" i="18"/>
  <c r="V80" i="18" s="1"/>
  <c r="T55" i="18"/>
  <c r="T80" i="18" s="1"/>
  <c r="R55" i="18"/>
  <c r="P55" i="18"/>
  <c r="P80" i="18" s="1"/>
  <c r="N55" i="18"/>
  <c r="L55" i="18"/>
  <c r="J55" i="18"/>
  <c r="J80" i="18" s="1"/>
  <c r="H55" i="18"/>
  <c r="H80" i="18" s="1"/>
  <c r="F55" i="18"/>
  <c r="F80" i="18" s="1"/>
  <c r="D55" i="18"/>
  <c r="D80" i="18" s="1"/>
  <c r="B55" i="18"/>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P81" i="18" s="1"/>
  <c r="AN51" i="18"/>
  <c r="AN81" i="18" s="1"/>
  <c r="AL51" i="18"/>
  <c r="AL81" i="18" s="1"/>
  <c r="AJ51" i="18"/>
  <c r="AJ81" i="18" s="1"/>
  <c r="AH51" i="18"/>
  <c r="AF51" i="18"/>
  <c r="AF81" i="18" s="1"/>
  <c r="AD51" i="18"/>
  <c r="AB51" i="18"/>
  <c r="Z51" i="18"/>
  <c r="Z81" i="18" s="1"/>
  <c r="X51" i="18"/>
  <c r="X81" i="18" s="1"/>
  <c r="V51" i="18"/>
  <c r="V81" i="18" s="1"/>
  <c r="T51" i="18"/>
  <c r="T81" i="18" s="1"/>
  <c r="R51" i="18"/>
  <c r="P51" i="18"/>
  <c r="P81" i="18" s="1"/>
  <c r="N51" i="18"/>
  <c r="N81" i="18" s="1"/>
  <c r="L51" i="18"/>
  <c r="L81" i="18" s="1"/>
  <c r="J51" i="18"/>
  <c r="J81" i="18" s="1"/>
  <c r="H51" i="18"/>
  <c r="H81" i="18" s="1"/>
  <c r="F51" i="18"/>
  <c r="F81" i="18" s="1"/>
  <c r="D51" i="18"/>
  <c r="D81" i="18" s="1"/>
  <c r="B51" i="18"/>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c r="AN43" i="18" a="1"/>
  <c r="AL43" i="18" a="1"/>
  <c r="AL43" i="18" s="1"/>
  <c r="AJ43" i="18" a="1"/>
  <c r="AJ43" i="18" s="1"/>
  <c r="AH43" i="18" a="1"/>
  <c r="AH43" i="18" s="1"/>
  <c r="AF43" i="18"/>
  <c r="AF43" i="18" a="1"/>
  <c r="AD43" i="18" a="1"/>
  <c r="AD43" i="18" s="1"/>
  <c r="AB43" i="18" a="1"/>
  <c r="AB43" i="18" s="1"/>
  <c r="Z43" i="18" a="1"/>
  <c r="Z43" i="18" s="1"/>
  <c r="X43" i="18"/>
  <c r="X43" i="18" a="1"/>
  <c r="V43" i="18" a="1"/>
  <c r="V43" i="18" s="1"/>
  <c r="T43" i="18" a="1"/>
  <c r="T43" i="18" s="1"/>
  <c r="R43" i="18" a="1"/>
  <c r="R43" i="18" s="1"/>
  <c r="P43" i="18"/>
  <c r="P43" i="18" a="1"/>
  <c r="N43" i="18" a="1"/>
  <c r="N43" i="18" s="1"/>
  <c r="L43" i="18" a="1"/>
  <c r="L43" i="18" s="1"/>
  <c r="J43" i="18" a="1"/>
  <c r="J43" i="18" s="1"/>
  <c r="H43" i="18"/>
  <c r="H43" i="18" a="1"/>
  <c r="F43" i="18" a="1"/>
  <c r="F43" i="18" s="1"/>
  <c r="D43" i="18" a="1"/>
  <c r="D43" i="18" s="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J81" i="22"/>
  <c r="AH81" i="22"/>
  <c r="AF81" i="22"/>
  <c r="AD81" i="22"/>
  <c r="AB81" i="22"/>
  <c r="V81" i="22"/>
  <c r="T81" i="22"/>
  <c r="D81" i="22"/>
  <c r="B81" i="22"/>
  <c r="AV80" i="22"/>
  <c r="AT80" i="22"/>
  <c r="AR80" i="22"/>
  <c r="AL80" i="22"/>
  <c r="AJ80" i="22"/>
  <c r="AH80" i="22"/>
  <c r="Z80" i="22"/>
  <c r="V80" i="22"/>
  <c r="T80" i="22"/>
  <c r="R80" i="22"/>
  <c r="P80" i="22"/>
  <c r="N80" i="22"/>
  <c r="F80" i="22"/>
  <c r="D80" i="22"/>
  <c r="AV79" i="22"/>
  <c r="AV79" i="22" a="1"/>
  <c r="AT79" i="22" a="1"/>
  <c r="AT79" i="22" s="1"/>
  <c r="AR79" i="22" a="1"/>
  <c r="AR79" i="22" s="1"/>
  <c r="AP79" i="22" a="1"/>
  <c r="AP79" i="22" s="1"/>
  <c r="AN79" i="22" a="1"/>
  <c r="AN79" i="22" s="1"/>
  <c r="AL79" i="22"/>
  <c r="AL79" i="22" a="1"/>
  <c r="AJ79" i="22" a="1"/>
  <c r="AJ79" i="22" s="1"/>
  <c r="AH79" i="22" a="1"/>
  <c r="AH79" i="22" s="1"/>
  <c r="AF79" i="22"/>
  <c r="AF79" i="22" a="1"/>
  <c r="AD79" i="22" a="1"/>
  <c r="AD79" i="22" s="1"/>
  <c r="AB79" i="22" a="1"/>
  <c r="AB79" i="22" s="1"/>
  <c r="Z79" i="22" a="1"/>
  <c r="Z79" i="22" s="1"/>
  <c r="X79" i="22" a="1"/>
  <c r="X79" i="22" s="1"/>
  <c r="V79" i="22"/>
  <c r="V79" i="22" a="1"/>
  <c r="T79" i="22" a="1"/>
  <c r="T79" i="22" s="1"/>
  <c r="R79" i="22" a="1"/>
  <c r="R79" i="22" s="1"/>
  <c r="P79" i="22" a="1"/>
  <c r="P79" i="22" s="1"/>
  <c r="N79" i="22" a="1"/>
  <c r="N79" i="22" s="1"/>
  <c r="L79" i="22" a="1"/>
  <c r="L79" i="22" s="1"/>
  <c r="J79" i="22" a="1"/>
  <c r="J79" i="22" s="1"/>
  <c r="H79" i="22" a="1"/>
  <c r="H79" i="22" s="1"/>
  <c r="F79" i="22"/>
  <c r="F79" i="22" a="1"/>
  <c r="D79" i="22" a="1"/>
  <c r="D79" i="22" s="1"/>
  <c r="B79" i="22"/>
  <c r="B79" i="22" a="1"/>
  <c r="AV78" i="22" a="1"/>
  <c r="AV78" i="22" s="1"/>
  <c r="AT78" i="22" a="1"/>
  <c r="AT78" i="22" s="1"/>
  <c r="AR78" i="22" a="1"/>
  <c r="AR78" i="22" s="1"/>
  <c r="AP78" i="22" a="1"/>
  <c r="AP78" i="22" s="1"/>
  <c r="AN78" i="22" a="1"/>
  <c r="AN78" i="22" s="1"/>
  <c r="AL78" i="22"/>
  <c r="AL78" i="22" a="1"/>
  <c r="AJ78" i="22" a="1"/>
  <c r="AJ78" i="22" s="1"/>
  <c r="AH78" i="22" a="1"/>
  <c r="AH78" i="22" s="1"/>
  <c r="AF78" i="22" a="1"/>
  <c r="AF78" i="22" s="1"/>
  <c r="AD78" i="22" a="1"/>
  <c r="AD78" i="22" s="1"/>
  <c r="AB78" i="22" a="1"/>
  <c r="AB78" i="22" s="1"/>
  <c r="Z78" i="22" a="1"/>
  <c r="Z78" i="22" s="1"/>
  <c r="X78" i="22" a="1"/>
  <c r="X78" i="22" s="1"/>
  <c r="V78" i="22"/>
  <c r="V78" i="22" a="1"/>
  <c r="T78" i="22" a="1"/>
  <c r="T78" i="22" s="1"/>
  <c r="R78" i="22" a="1"/>
  <c r="R78" i="22" s="1"/>
  <c r="P78" i="22" a="1"/>
  <c r="P78" i="22" s="1"/>
  <c r="N78" i="22" a="1"/>
  <c r="N78" i="22" s="1"/>
  <c r="L78" i="22" a="1"/>
  <c r="L78" i="22" s="1"/>
  <c r="J78" i="22" a="1"/>
  <c r="J78" i="22" s="1"/>
  <c r="H78" i="22" a="1"/>
  <c r="H78" i="22" s="1"/>
  <c r="F78" i="22"/>
  <c r="F78" i="22" a="1"/>
  <c r="D78" i="22" a="1"/>
  <c r="D78" i="22" s="1"/>
  <c r="B78" i="22" a="1"/>
  <c r="B78" i="22" s="1"/>
  <c r="AV77" i="22" a="1"/>
  <c r="AV77" i="22" s="1"/>
  <c r="AT77" i="22" a="1"/>
  <c r="AT77" i="22" s="1"/>
  <c r="AR77" i="22" a="1"/>
  <c r="AR77" i="22" s="1"/>
  <c r="AP77" i="22" a="1"/>
  <c r="AP77" i="22" s="1"/>
  <c r="AN77" i="22" a="1"/>
  <c r="AN77" i="22" s="1"/>
  <c r="AL77" i="22"/>
  <c r="AL77" i="22" a="1"/>
  <c r="AJ77" i="22" a="1"/>
  <c r="AJ77" i="22" s="1"/>
  <c r="AH77" i="22"/>
  <c r="AH77" i="22" a="1"/>
  <c r="AF77" i="22" a="1"/>
  <c r="AF77" i="22" s="1"/>
  <c r="AD77" i="22" a="1"/>
  <c r="AD77" i="22" s="1"/>
  <c r="AB77" i="22" a="1"/>
  <c r="AB77" i="22" s="1"/>
  <c r="Z77" i="22" a="1"/>
  <c r="Z77" i="22" s="1"/>
  <c r="X77" i="22" a="1"/>
  <c r="X77" i="22" s="1"/>
  <c r="V77" i="22"/>
  <c r="V77" i="22" a="1"/>
  <c r="T77" i="22" a="1"/>
  <c r="T77" i="22" s="1"/>
  <c r="R77" i="22" a="1"/>
  <c r="R77" i="22" s="1"/>
  <c r="P77" i="22" a="1"/>
  <c r="P77" i="22" s="1"/>
  <c r="N77" i="22" a="1"/>
  <c r="N77" i="22" s="1"/>
  <c r="L77" i="22" a="1"/>
  <c r="L77" i="22" s="1"/>
  <c r="J77" i="22" a="1"/>
  <c r="J77" i="22" s="1"/>
  <c r="H77" i="22" a="1"/>
  <c r="H77" i="22" s="1"/>
  <c r="F77" i="22"/>
  <c r="F77" i="22" a="1"/>
  <c r="D77" i="22" a="1"/>
  <c r="D77" i="22" s="1"/>
  <c r="B77" i="22"/>
  <c r="B77" i="22" a="1"/>
  <c r="AV76" i="22"/>
  <c r="AV76" i="22" a="1"/>
  <c r="AT76" i="22" a="1"/>
  <c r="AT76" i="22" s="1"/>
  <c r="AR76" i="22" a="1"/>
  <c r="AR76" i="22" s="1"/>
  <c r="AP76" i="22" a="1"/>
  <c r="AP76" i="22" s="1"/>
  <c r="AN76" i="22" a="1"/>
  <c r="AN76" i="22" s="1"/>
  <c r="AL76" i="22"/>
  <c r="AL76" i="22" a="1"/>
  <c r="AJ76" i="22" a="1"/>
  <c r="AJ76" i="22" s="1"/>
  <c r="AH76" i="22"/>
  <c r="AH76" i="22" a="1"/>
  <c r="AF76" i="22"/>
  <c r="AF76" i="22" a="1"/>
  <c r="AD76" i="22" a="1"/>
  <c r="AD76" i="22" s="1"/>
  <c r="AB76" i="22" a="1"/>
  <c r="AB76" i="22" s="1"/>
  <c r="Z76" i="22" a="1"/>
  <c r="Z76" i="22" s="1"/>
  <c r="X76" i="22" a="1"/>
  <c r="X76" i="22" s="1"/>
  <c r="V76" i="22"/>
  <c r="V76" i="22" a="1"/>
  <c r="T76" i="22" a="1"/>
  <c r="T76" i="22" s="1"/>
  <c r="R76" i="22" a="1"/>
  <c r="R76" i="22" s="1"/>
  <c r="P76" i="22" a="1"/>
  <c r="P76" i="22" s="1"/>
  <c r="N76" i="22" a="1"/>
  <c r="N76" i="22" s="1"/>
  <c r="L76" i="22" a="1"/>
  <c r="L76" i="22" s="1"/>
  <c r="J76" i="22" a="1"/>
  <c r="J76" i="22" s="1"/>
  <c r="H76" i="22" a="1"/>
  <c r="H76" i="22" s="1"/>
  <c r="F76" i="22"/>
  <c r="F76" i="22" a="1"/>
  <c r="D76" i="22" a="1"/>
  <c r="D76" i="22" s="1"/>
  <c r="B76" i="22"/>
  <c r="B76" i="22" a="1"/>
  <c r="AV75" i="22" a="1"/>
  <c r="AV75" i="22" s="1"/>
  <c r="AT75" i="22" a="1"/>
  <c r="AT75" i="22" s="1"/>
  <c r="AR75" i="22" a="1"/>
  <c r="AR75" i="22" s="1"/>
  <c r="AP75" i="22" a="1"/>
  <c r="AP75" i="22" s="1"/>
  <c r="AN75" i="22" a="1"/>
  <c r="AN75" i="22" s="1"/>
  <c r="AL75" i="22"/>
  <c r="AL75" i="22" a="1"/>
  <c r="AJ75" i="22" a="1"/>
  <c r="AJ75" i="22" s="1"/>
  <c r="AH75" i="22" a="1"/>
  <c r="AH75" i="22" s="1"/>
  <c r="AF75" i="22" a="1"/>
  <c r="AF75" i="22" s="1"/>
  <c r="AD75" i="22" a="1"/>
  <c r="AD75" i="22" s="1"/>
  <c r="AB75" i="22" a="1"/>
  <c r="AB75" i="22" s="1"/>
  <c r="Z75" i="22" a="1"/>
  <c r="Z75" i="22" s="1"/>
  <c r="X75" i="22" a="1"/>
  <c r="X75" i="22" s="1"/>
  <c r="V75" i="22"/>
  <c r="V75" i="22" a="1"/>
  <c r="T75" i="22" a="1"/>
  <c r="T75" i="22" s="1"/>
  <c r="R75" i="22"/>
  <c r="R75" i="22" a="1"/>
  <c r="P75" i="22" a="1"/>
  <c r="P75" i="22" s="1"/>
  <c r="N75" i="22" a="1"/>
  <c r="N75" i="22" s="1"/>
  <c r="L75" i="22" a="1"/>
  <c r="L75" i="22" s="1"/>
  <c r="J75" i="22" a="1"/>
  <c r="J75" i="22" s="1"/>
  <c r="H75" i="22" a="1"/>
  <c r="H75" i="22" s="1"/>
  <c r="F75" i="22"/>
  <c r="F75" i="22" a="1"/>
  <c r="D75" i="22" a="1"/>
  <c r="D75" i="22" s="1"/>
  <c r="B75" i="22" a="1"/>
  <c r="B75" i="22" s="1"/>
  <c r="AV74" i="22" a="1"/>
  <c r="AV74" i="22" s="1"/>
  <c r="AT74" i="22" a="1"/>
  <c r="AT74" i="22" s="1"/>
  <c r="AR74" i="22" a="1"/>
  <c r="AR74" i="22" s="1"/>
  <c r="AP74" i="22" a="1"/>
  <c r="AP74" i="22" s="1"/>
  <c r="AN74" i="22" a="1"/>
  <c r="AN74" i="22" s="1"/>
  <c r="AL74" i="22"/>
  <c r="AL74" i="22" a="1"/>
  <c r="AJ74" i="22" a="1"/>
  <c r="AJ74" i="22" s="1"/>
  <c r="AH74" i="22" a="1"/>
  <c r="AH74" i="22" s="1"/>
  <c r="AF74" i="22" a="1"/>
  <c r="AF74" i="22" s="1"/>
  <c r="AD74" i="22" a="1"/>
  <c r="AD74" i="22" s="1"/>
  <c r="AB74" i="22" a="1"/>
  <c r="AB74" i="22" s="1"/>
  <c r="Z74" i="22" a="1"/>
  <c r="Z74" i="22" s="1"/>
  <c r="X74" i="22" a="1"/>
  <c r="X74" i="22" s="1"/>
  <c r="V74" i="22"/>
  <c r="V74" i="22" a="1"/>
  <c r="T74" i="22" a="1"/>
  <c r="T74" i="22" s="1"/>
  <c r="R74" i="22" a="1"/>
  <c r="R74" i="22" s="1"/>
  <c r="P74" i="22" a="1"/>
  <c r="P74" i="22" s="1"/>
  <c r="N74" i="22" a="1"/>
  <c r="N74" i="22" s="1"/>
  <c r="L74" i="22" a="1"/>
  <c r="L74" i="22" s="1"/>
  <c r="J74" i="22" a="1"/>
  <c r="J74" i="22" s="1"/>
  <c r="H74" i="22" a="1"/>
  <c r="H74" i="22" s="1"/>
  <c r="F74" i="22"/>
  <c r="F74" i="22" a="1"/>
  <c r="D74" i="22" a="1"/>
  <c r="D74" i="22" s="1"/>
  <c r="B74" i="22"/>
  <c r="B74" i="22" a="1"/>
  <c r="AV73" i="22" a="1"/>
  <c r="AV73" i="22" s="1"/>
  <c r="AT73" i="22" a="1"/>
  <c r="AT73" i="22" s="1"/>
  <c r="AR73" i="22" a="1"/>
  <c r="AR73" i="22" s="1"/>
  <c r="AP73" i="22" a="1"/>
  <c r="AP73" i="22" s="1"/>
  <c r="AN73" i="22" a="1"/>
  <c r="AN73" i="22" s="1"/>
  <c r="AL73" i="22"/>
  <c r="AL73" i="22" a="1"/>
  <c r="AJ73" i="22" a="1"/>
  <c r="AJ73" i="22" s="1"/>
  <c r="AH73" i="22" a="1"/>
  <c r="AH73" i="22" s="1"/>
  <c r="AF73" i="22" a="1"/>
  <c r="AF73" i="22" s="1"/>
  <c r="AD73" i="22" a="1"/>
  <c r="AD73" i="22" s="1"/>
  <c r="AB73" i="22" a="1"/>
  <c r="AB73" i="22" s="1"/>
  <c r="Z73" i="22" a="1"/>
  <c r="Z73" i="22" s="1"/>
  <c r="X73" i="22" a="1"/>
  <c r="X73" i="22" s="1"/>
  <c r="V73" i="22"/>
  <c r="V73" i="22" a="1"/>
  <c r="T73" i="22" a="1"/>
  <c r="T73" i="22" s="1"/>
  <c r="R73" i="22"/>
  <c r="R73" i="22" a="1"/>
  <c r="P73" i="22" a="1"/>
  <c r="P73" i="22" s="1"/>
  <c r="N73" i="22" a="1"/>
  <c r="N73" i="22" s="1"/>
  <c r="L73" i="22" a="1"/>
  <c r="L73" i="22" s="1"/>
  <c r="J73" i="22" a="1"/>
  <c r="J73" i="22" s="1"/>
  <c r="H73" i="22" a="1"/>
  <c r="H73" i="22" s="1"/>
  <c r="F73" i="22"/>
  <c r="F73" i="22" a="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AR69" i="22"/>
  <c r="AJ69" i="22"/>
  <c r="D69" i="22"/>
  <c r="B69" i="22"/>
  <c r="T68" i="22"/>
  <c r="AV67" i="22" a="1"/>
  <c r="AV67" i="22" s="1"/>
  <c r="AT67" i="22"/>
  <c r="AT67" i="22" a="1"/>
  <c r="AR67" i="22" a="1"/>
  <c r="AR67" i="22" s="1"/>
  <c r="AP67" i="22" a="1"/>
  <c r="AP67" i="22" s="1"/>
  <c r="AN67" i="22" a="1"/>
  <c r="AN67" i="22" s="1"/>
  <c r="AL67" i="22" a="1"/>
  <c r="AL67" i="22" s="1"/>
  <c r="AJ67" i="22" a="1"/>
  <c r="AJ67" i="22" s="1"/>
  <c r="AH67" i="22" a="1"/>
  <c r="AH67" i="22" s="1"/>
  <c r="AF67" i="22" a="1"/>
  <c r="AF67" i="22" s="1"/>
  <c r="AD67" i="22"/>
  <c r="AD67" i="22" a="1"/>
  <c r="AB67" i="22" a="1"/>
  <c r="AB67" i="22" s="1"/>
  <c r="AB68" i="22" s="1"/>
  <c r="Z67" i="22"/>
  <c r="Z67" i="22" a="1"/>
  <c r="X67" i="22" a="1"/>
  <c r="X67" i="22" s="1"/>
  <c r="V67" i="22" a="1"/>
  <c r="V67" i="22" s="1"/>
  <c r="T67" i="22" a="1"/>
  <c r="T67" i="22" s="1"/>
  <c r="R67" i="22" a="1"/>
  <c r="R67" i="22" s="1"/>
  <c r="P67" i="22" a="1"/>
  <c r="P67" i="22" s="1"/>
  <c r="N67" i="22"/>
  <c r="N67" i="22" a="1"/>
  <c r="L67" i="22" a="1"/>
  <c r="L67" i="22" s="1"/>
  <c r="J67" i="22"/>
  <c r="J67" i="22" a="1"/>
  <c r="H67" i="22" a="1"/>
  <c r="H67" i="22" s="1"/>
  <c r="F67" i="22" a="1"/>
  <c r="F67" i="22" s="1"/>
  <c r="D67" i="22" a="1"/>
  <c r="D67" i="22" s="1"/>
  <c r="B67" i="22" a="1"/>
  <c r="B67" i="22" s="1"/>
  <c r="AV66" i="22" a="1"/>
  <c r="AV66" i="22" s="1"/>
  <c r="AV68" i="22" s="1"/>
  <c r="AT66" i="22"/>
  <c r="AT66" i="22" a="1"/>
  <c r="AR66" i="22" a="1"/>
  <c r="AR66" i="22" s="1"/>
  <c r="AP66" i="22" a="1"/>
  <c r="AP66" i="22" s="1"/>
  <c r="AN66" i="22" a="1"/>
  <c r="AN66" i="22" s="1"/>
  <c r="AL66" i="22" a="1"/>
  <c r="AL66" i="22" s="1"/>
  <c r="AJ66" i="22" a="1"/>
  <c r="AJ66" i="22" s="1"/>
  <c r="AJ68" i="22" s="1"/>
  <c r="AH66" i="22" a="1"/>
  <c r="AH66" i="22" s="1"/>
  <c r="AH68" i="22" s="1"/>
  <c r="AF66" i="22" a="1"/>
  <c r="AF66" i="22" s="1"/>
  <c r="AD66" i="22"/>
  <c r="AD66" i="22" a="1"/>
  <c r="AB66" i="22" a="1"/>
  <c r="AB66" i="22" s="1"/>
  <c r="Z66" i="22" a="1"/>
  <c r="Z66" i="22" s="1"/>
  <c r="Z68" i="22" s="1"/>
  <c r="X66" i="22" a="1"/>
  <c r="X66" i="22" s="1"/>
  <c r="X68" i="22" s="1"/>
  <c r="V66" i="22" a="1"/>
  <c r="V66" i="22" s="1"/>
  <c r="T66" i="22" a="1"/>
  <c r="T66" i="22" s="1"/>
  <c r="R66" i="22" a="1"/>
  <c r="R66" i="22" s="1"/>
  <c r="R68" i="22" s="1"/>
  <c r="P66" i="22" a="1"/>
  <c r="P66" i="22" s="1"/>
  <c r="P68" i="22" s="1"/>
  <c r="N66" i="22"/>
  <c r="N68" i="22" s="1"/>
  <c r="N66" i="22" a="1"/>
  <c r="L66" i="22" a="1"/>
  <c r="L66" i="22" s="1"/>
  <c r="J66" i="22" a="1"/>
  <c r="J66" i="22" s="1"/>
  <c r="J68" i="22" s="1"/>
  <c r="H66" i="22" a="1"/>
  <c r="H66" i="22" s="1"/>
  <c r="F66" i="22" a="1"/>
  <c r="F66" i="22" s="1"/>
  <c r="D66" i="22" a="1"/>
  <c r="D66" i="22" s="1"/>
  <c r="B66" i="22" a="1"/>
  <c r="B66" i="22" s="1"/>
  <c r="AV65" i="22" a="1"/>
  <c r="AV65" i="22" s="1"/>
  <c r="AV69" i="22" s="1"/>
  <c r="AT65" i="22"/>
  <c r="AT69" i="22" s="1"/>
  <c r="AT65" i="22" a="1"/>
  <c r="AR65" i="22" a="1"/>
  <c r="AR65" i="22" s="1"/>
  <c r="AP65" i="22" a="1"/>
  <c r="AP65" i="22" s="1"/>
  <c r="AP69" i="22" s="1"/>
  <c r="AN65" i="22" a="1"/>
  <c r="AN65" i="22" s="1"/>
  <c r="AN69" i="22" s="1"/>
  <c r="AL65" i="22" a="1"/>
  <c r="AL65" i="22" s="1"/>
  <c r="AL69" i="22" s="1"/>
  <c r="AJ65" i="22" a="1"/>
  <c r="AJ65" i="22" s="1"/>
  <c r="AH65" i="22" a="1"/>
  <c r="AH65" i="22" s="1"/>
  <c r="AH69" i="22" s="1"/>
  <c r="AF65" i="22" a="1"/>
  <c r="AF65" i="22" s="1"/>
  <c r="AF69" i="22" s="1"/>
  <c r="AD65" i="22"/>
  <c r="AD69" i="22" s="1"/>
  <c r="AD65" i="22" a="1"/>
  <c r="AB65" i="22" a="1"/>
  <c r="AB65" i="22" s="1"/>
  <c r="AB69" i="22" s="1"/>
  <c r="Z65" i="22" a="1"/>
  <c r="Z65" i="22" s="1"/>
  <c r="Z69" i="22" s="1"/>
  <c r="X65" i="22" a="1"/>
  <c r="X65" i="22" s="1"/>
  <c r="X69" i="22" s="1"/>
  <c r="V65" i="22" a="1"/>
  <c r="V65" i="22" s="1"/>
  <c r="V69" i="22" s="1"/>
  <c r="T65" i="22" a="1"/>
  <c r="T65" i="22" s="1"/>
  <c r="T69" i="22" s="1"/>
  <c r="R65" i="22" a="1"/>
  <c r="R65" i="22" s="1"/>
  <c r="R69" i="22" s="1"/>
  <c r="P65" i="22" a="1"/>
  <c r="P65" i="22" s="1"/>
  <c r="P69" i="22" s="1"/>
  <c r="N65" i="22"/>
  <c r="N69" i="22" s="1"/>
  <c r="N65" i="22" a="1"/>
  <c r="L65" i="22" a="1"/>
  <c r="L65" i="22" s="1"/>
  <c r="L69" i="22" s="1"/>
  <c r="J65" i="22" a="1"/>
  <c r="J65" i="22" s="1"/>
  <c r="J69" i="22" s="1"/>
  <c r="H65" i="22" a="1"/>
  <c r="H65" i="22" s="1"/>
  <c r="H69" i="22" s="1"/>
  <c r="F65" i="22" a="1"/>
  <c r="F65" i="22" s="1"/>
  <c r="F69" i="22" s="1"/>
  <c r="D65" i="22" a="1"/>
  <c r="D65" i="22" s="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a="1"/>
  <c r="AT58" i="22" s="1"/>
  <c r="AR58" i="22"/>
  <c r="AR58" i="22" a="1"/>
  <c r="AP58" i="22" a="1"/>
  <c r="AP58" i="22" s="1"/>
  <c r="AN58" i="22" a="1"/>
  <c r="AN58" i="22" s="1"/>
  <c r="AL58" i="22" a="1"/>
  <c r="AL58" i="22" s="1"/>
  <c r="AJ58" i="22"/>
  <c r="AJ58" i="22" a="1"/>
  <c r="AH58" i="22" a="1"/>
  <c r="AH58" i="22" s="1"/>
  <c r="AF58" i="22"/>
  <c r="AF58" i="22" a="1"/>
  <c r="AD58" i="22" a="1"/>
  <c r="AD58" i="22" s="1"/>
  <c r="AB58" i="22"/>
  <c r="AB58" i="22" a="1"/>
  <c r="Z58" i="22" a="1"/>
  <c r="Z58" i="22" s="1"/>
  <c r="X58" i="22" a="1"/>
  <c r="X58" i="22" s="1"/>
  <c r="V58" i="22" a="1"/>
  <c r="V58" i="22" s="1"/>
  <c r="T58" i="22"/>
  <c r="T58" i="22" a="1"/>
  <c r="R58" i="22" a="1"/>
  <c r="R58" i="22" s="1"/>
  <c r="P58" i="22"/>
  <c r="P58" i="22" a="1"/>
  <c r="N58" i="22" a="1"/>
  <c r="N58" i="22" s="1"/>
  <c r="L58" i="22"/>
  <c r="L58" i="22" a="1"/>
  <c r="J58" i="22" a="1"/>
  <c r="J58" i="22" s="1"/>
  <c r="H58" i="22" a="1"/>
  <c r="H58" i="22" s="1"/>
  <c r="F58" i="22" a="1"/>
  <c r="F58" i="22" s="1"/>
  <c r="D58" i="22"/>
  <c r="D58" i="22" a="1"/>
  <c r="B58" i="22" a="1"/>
  <c r="B58" i="22" s="1"/>
  <c r="AV57" i="22"/>
  <c r="AV57" i="22" a="1"/>
  <c r="AT57" i="22" a="1"/>
  <c r="AT57" i="22" s="1"/>
  <c r="AR57" i="22"/>
  <c r="AR57" i="22" a="1"/>
  <c r="AP57" i="22" a="1"/>
  <c r="AP57" i="22" s="1"/>
  <c r="AN57" i="22" a="1"/>
  <c r="AN57" i="22" s="1"/>
  <c r="AL57" i="22" a="1"/>
  <c r="AL57" i="22" s="1"/>
  <c r="AJ57" i="22"/>
  <c r="AJ57" i="22" a="1"/>
  <c r="AH57" i="22" a="1"/>
  <c r="AH57" i="22" s="1"/>
  <c r="AF57" i="22"/>
  <c r="AF57" i="22" a="1"/>
  <c r="AD57" i="22" a="1"/>
  <c r="AD57" i="22" s="1"/>
  <c r="AB57" i="22"/>
  <c r="AB57" i="22" a="1"/>
  <c r="Z57" i="22" a="1"/>
  <c r="Z57" i="22" s="1"/>
  <c r="X57" i="22" a="1"/>
  <c r="X57" i="22" s="1"/>
  <c r="V57" i="22" a="1"/>
  <c r="V57" i="22" s="1"/>
  <c r="T57" i="22"/>
  <c r="T57" i="22" a="1"/>
  <c r="R57" i="22" a="1"/>
  <c r="R57" i="22" s="1"/>
  <c r="P57" i="22"/>
  <c r="P57" i="22" a="1"/>
  <c r="N57" i="22" a="1"/>
  <c r="N57" i="22" s="1"/>
  <c r="L57" i="22"/>
  <c r="L57" i="22" a="1"/>
  <c r="J57" i="22" a="1"/>
  <c r="J57" i="22" s="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R55" i="22"/>
  <c r="AP55" i="22"/>
  <c r="AP80" i="22" s="1"/>
  <c r="AN55" i="22"/>
  <c r="AN80" i="22" s="1"/>
  <c r="AL55" i="22"/>
  <c r="AJ55" i="22"/>
  <c r="AH55" i="22"/>
  <c r="AF55" i="22"/>
  <c r="AF80" i="22" s="1"/>
  <c r="AD55" i="22"/>
  <c r="AD80" i="22" s="1"/>
  <c r="AB55" i="22"/>
  <c r="AB80" i="22" s="1"/>
  <c r="Z55" i="22"/>
  <c r="X55" i="22"/>
  <c r="X80" i="22" s="1"/>
  <c r="V55" i="22"/>
  <c r="T55" i="22"/>
  <c r="R55" i="22"/>
  <c r="P55" i="22"/>
  <c r="N55" i="22"/>
  <c r="L55" i="22"/>
  <c r="L80" i="22" s="1"/>
  <c r="J55" i="22"/>
  <c r="J80" i="22" s="1"/>
  <c r="H55" i="22"/>
  <c r="H80" i="22" s="1"/>
  <c r="F55" i="22"/>
  <c r="D55" i="22"/>
  <c r="B55" i="22"/>
  <c r="B80" i="22" s="1"/>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R81" i="22" s="1"/>
  <c r="AP51" i="22"/>
  <c r="AP81" i="22" s="1"/>
  <c r="AN51" i="22"/>
  <c r="AN81" i="22" s="1"/>
  <c r="AL51" i="22"/>
  <c r="AL81" i="22" s="1"/>
  <c r="AJ51" i="22"/>
  <c r="AH51" i="22"/>
  <c r="AF51" i="22"/>
  <c r="AD51" i="22"/>
  <c r="AB51" i="22"/>
  <c r="Z51" i="22"/>
  <c r="Z81" i="22" s="1"/>
  <c r="X51" i="22"/>
  <c r="X81" i="22" s="1"/>
  <c r="V51" i="22"/>
  <c r="T51" i="22"/>
  <c r="R51" i="22"/>
  <c r="R81" i="22" s="1"/>
  <c r="P51" i="22"/>
  <c r="P81" i="22" s="1"/>
  <c r="N51" i="22"/>
  <c r="N81" i="22" s="1"/>
  <c r="L51" i="22"/>
  <c r="L81" i="22" s="1"/>
  <c r="J51" i="22"/>
  <c r="J81" i="22" s="1"/>
  <c r="H51" i="22"/>
  <c r="H81" i="22" s="1"/>
  <c r="F51" i="22"/>
  <c r="F81" i="22" s="1"/>
  <c r="D51" i="22"/>
  <c r="B51" i="22"/>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c r="AV43" i="22" a="1"/>
  <c r="AT43" i="22" a="1"/>
  <c r="AT43" i="22" s="1"/>
  <c r="AR43" i="22" a="1"/>
  <c r="AR43" i="22" s="1"/>
  <c r="AP43" i="22" a="1"/>
  <c r="AP43" i="22" s="1"/>
  <c r="AN43" i="22" a="1"/>
  <c r="AN43" i="22" s="1"/>
  <c r="AL43" i="22" a="1"/>
  <c r="AL43" i="22" s="1"/>
  <c r="AJ43" i="22" a="1"/>
  <c r="AJ43" i="22" s="1"/>
  <c r="AH43" i="22" a="1"/>
  <c r="AH43" i="22" s="1"/>
  <c r="AF43" i="22"/>
  <c r="AF43" i="22" a="1"/>
  <c r="AD43" i="22" a="1"/>
  <c r="AD43" i="22" s="1"/>
  <c r="AB43" i="22" a="1"/>
  <c r="AB43" i="22" s="1"/>
  <c r="Z43" i="22" a="1"/>
  <c r="Z43" i="22" s="1"/>
  <c r="X43" i="22" a="1"/>
  <c r="X43" i="22" s="1"/>
  <c r="V43" i="22" a="1"/>
  <c r="V43" i="22" s="1"/>
  <c r="T43" i="22" a="1"/>
  <c r="T43" i="22" s="1"/>
  <c r="R43" i="22" a="1"/>
  <c r="R43" i="22" s="1"/>
  <c r="P43" i="22"/>
  <c r="P43" i="22" a="1"/>
  <c r="N43" i="22" a="1"/>
  <c r="N43" i="22" s="1"/>
  <c r="L43" i="22" a="1"/>
  <c r="L43" i="22" s="1"/>
  <c r="J43" i="22" a="1"/>
  <c r="J43" i="22" s="1"/>
  <c r="H43" i="22" a="1"/>
  <c r="H43" i="22" s="1"/>
  <c r="F43" i="22" a="1"/>
  <c r="F43" i="22" s="1"/>
  <c r="D43" i="22" a="1"/>
  <c r="D43" i="22" s="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J81" i="12"/>
  <c r="AH81" i="12"/>
  <c r="AF81" i="12"/>
  <c r="AD81" i="12"/>
  <c r="AB81" i="12"/>
  <c r="V81" i="12"/>
  <c r="T81" i="12"/>
  <c r="R81" i="12"/>
  <c r="D81" i="12"/>
  <c r="B81" i="12"/>
  <c r="AV80" i="12"/>
  <c r="AT80" i="12"/>
  <c r="AR80" i="12"/>
  <c r="AL80" i="12"/>
  <c r="AJ80" i="12"/>
  <c r="AH80" i="12"/>
  <c r="T80" i="12"/>
  <c r="R80" i="12"/>
  <c r="P80" i="12"/>
  <c r="N80" i="12"/>
  <c r="L80" i="12"/>
  <c r="F80" i="12"/>
  <c r="D80" i="12"/>
  <c r="B80" i="12"/>
  <c r="AV79" i="12" a="1"/>
  <c r="AV79" i="12" s="1"/>
  <c r="AT79" i="12" a="1"/>
  <c r="AT79" i="12" s="1"/>
  <c r="AR79" i="12"/>
  <c r="AR79" i="12" a="1"/>
  <c r="AP79" i="12" a="1"/>
  <c r="AP79" i="12" s="1"/>
  <c r="AN79" i="12" a="1"/>
  <c r="AN79" i="12" s="1"/>
  <c r="AL79" i="12"/>
  <c r="AL79" i="12" a="1"/>
  <c r="AJ79" i="12" a="1"/>
  <c r="AJ79" i="12" s="1"/>
  <c r="AH79" i="12" a="1"/>
  <c r="AH79" i="12" s="1"/>
  <c r="AF79" i="12" a="1"/>
  <c r="AF79" i="12" s="1"/>
  <c r="AD79" i="12" a="1"/>
  <c r="AD79" i="12" s="1"/>
  <c r="AB79" i="12"/>
  <c r="AB79" i="12" a="1"/>
  <c r="Z79" i="12" a="1"/>
  <c r="Z79" i="12" s="1"/>
  <c r="X79" i="12" a="1"/>
  <c r="X79" i="12" s="1"/>
  <c r="V79" i="12"/>
  <c r="V79" i="12" a="1"/>
  <c r="T79" i="12" a="1"/>
  <c r="T79" i="12" s="1"/>
  <c r="R79" i="12" a="1"/>
  <c r="R79" i="12" s="1"/>
  <c r="P79" i="12" a="1"/>
  <c r="P79" i="12" s="1"/>
  <c r="N79" i="12" a="1"/>
  <c r="N79" i="12" s="1"/>
  <c r="L79" i="12"/>
  <c r="L79" i="12" a="1"/>
  <c r="J79" i="12" a="1"/>
  <c r="J79" i="12" s="1"/>
  <c r="H79" i="12" a="1"/>
  <c r="H79" i="12" s="1"/>
  <c r="F79" i="12"/>
  <c r="F79" i="12" a="1"/>
  <c r="D79" i="12" a="1"/>
  <c r="D79" i="12" s="1"/>
  <c r="B79" i="12" a="1"/>
  <c r="B79" i="12" s="1"/>
  <c r="AV78" i="12" a="1"/>
  <c r="AV78" i="12" s="1"/>
  <c r="AT78" i="12" a="1"/>
  <c r="AT78" i="12" s="1"/>
  <c r="AR78" i="12"/>
  <c r="AR78" i="12" a="1"/>
  <c r="AP78" i="12" a="1"/>
  <c r="AP78" i="12" s="1"/>
  <c r="AN78" i="12" a="1"/>
  <c r="AN78" i="12" s="1"/>
  <c r="AL78" i="12"/>
  <c r="AL78" i="12" a="1"/>
  <c r="AJ78" i="12" a="1"/>
  <c r="AJ78" i="12" s="1"/>
  <c r="AH78" i="12" a="1"/>
  <c r="AH78" i="12" s="1"/>
  <c r="AF78" i="12" a="1"/>
  <c r="AF78" i="12" s="1"/>
  <c r="AD78" i="12" a="1"/>
  <c r="AD78" i="12" s="1"/>
  <c r="AB78" i="12"/>
  <c r="AB78" i="12" a="1"/>
  <c r="Z78" i="12" a="1"/>
  <c r="Z78" i="12" s="1"/>
  <c r="X78" i="12" a="1"/>
  <c r="X78" i="12" s="1"/>
  <c r="V78" i="12"/>
  <c r="V78" i="12" a="1"/>
  <c r="T78" i="12" a="1"/>
  <c r="T78" i="12" s="1"/>
  <c r="R78" i="12" a="1"/>
  <c r="R78" i="12" s="1"/>
  <c r="P78" i="12" a="1"/>
  <c r="P78" i="12" s="1"/>
  <c r="N78" i="12" a="1"/>
  <c r="N78" i="12" s="1"/>
  <c r="L78" i="12"/>
  <c r="L78" i="12" a="1"/>
  <c r="J78" i="12" a="1"/>
  <c r="J78" i="12" s="1"/>
  <c r="H78" i="12" a="1"/>
  <c r="H78" i="12" s="1"/>
  <c r="F78" i="12"/>
  <c r="F78" i="12" a="1"/>
  <c r="D78" i="12" a="1"/>
  <c r="D78" i="12" s="1"/>
  <c r="B78" i="12" a="1"/>
  <c r="B78" i="12" s="1"/>
  <c r="AV77" i="12" a="1"/>
  <c r="AV77" i="12" s="1"/>
  <c r="AT77" i="12" a="1"/>
  <c r="AT77" i="12" s="1"/>
  <c r="AR77" i="12"/>
  <c r="AR77" i="12" a="1"/>
  <c r="AP77" i="12" a="1"/>
  <c r="AP77" i="12" s="1"/>
  <c r="AN77" i="12" a="1"/>
  <c r="AN77" i="12" s="1"/>
  <c r="AL77" i="12"/>
  <c r="AL77" i="12" a="1"/>
  <c r="AJ77" i="12" a="1"/>
  <c r="AJ77" i="12" s="1"/>
  <c r="AH77" i="12" a="1"/>
  <c r="AH77" i="12" s="1"/>
  <c r="AF77" i="12" a="1"/>
  <c r="AF77" i="12" s="1"/>
  <c r="AD77" i="12" a="1"/>
  <c r="AD77" i="12" s="1"/>
  <c r="AB77" i="12"/>
  <c r="AB77" i="12" a="1"/>
  <c r="Z77" i="12" a="1"/>
  <c r="Z77" i="12" s="1"/>
  <c r="X77" i="12" a="1"/>
  <c r="X77" i="12" s="1"/>
  <c r="V77" i="12"/>
  <c r="V77" i="12" a="1"/>
  <c r="T77" i="12" a="1"/>
  <c r="T77" i="12" s="1"/>
  <c r="R77" i="12" a="1"/>
  <c r="R77" i="12" s="1"/>
  <c r="P77" i="12" a="1"/>
  <c r="P77" i="12" s="1"/>
  <c r="N77" i="12" a="1"/>
  <c r="N77" i="12" s="1"/>
  <c r="L77" i="12"/>
  <c r="L77" i="12" a="1"/>
  <c r="J77" i="12" a="1"/>
  <c r="J77" i="12" s="1"/>
  <c r="H77" i="12" a="1"/>
  <c r="H77" i="12" s="1"/>
  <c r="F77" i="12"/>
  <c r="F77" i="12" a="1"/>
  <c r="D77" i="12" a="1"/>
  <c r="D77" i="12" s="1"/>
  <c r="B77" i="12" a="1"/>
  <c r="B77" i="12" s="1"/>
  <c r="AV76" i="12" a="1"/>
  <c r="AV76" i="12" s="1"/>
  <c r="AT76" i="12" a="1"/>
  <c r="AT76" i="12" s="1"/>
  <c r="AR76" i="12"/>
  <c r="AR76" i="12" a="1"/>
  <c r="AP76" i="12" a="1"/>
  <c r="AP76" i="12" s="1"/>
  <c r="AN76" i="12" a="1"/>
  <c r="AN76" i="12" s="1"/>
  <c r="AL76" i="12"/>
  <c r="AL76" i="12" a="1"/>
  <c r="AJ76" i="12" a="1"/>
  <c r="AJ76" i="12" s="1"/>
  <c r="AH76" i="12" a="1"/>
  <c r="AH76" i="12" s="1"/>
  <c r="AF76" i="12" a="1"/>
  <c r="AF76" i="12" s="1"/>
  <c r="AD76" i="12" a="1"/>
  <c r="AD76" i="12" s="1"/>
  <c r="AB76" i="12"/>
  <c r="AB76" i="12" a="1"/>
  <c r="Z76" i="12" a="1"/>
  <c r="Z76" i="12" s="1"/>
  <c r="X76" i="12" a="1"/>
  <c r="X76" i="12" s="1"/>
  <c r="V76" i="12"/>
  <c r="V76" i="12" a="1"/>
  <c r="T76" i="12" a="1"/>
  <c r="T76" i="12" s="1"/>
  <c r="R76" i="12" a="1"/>
  <c r="R76" i="12" s="1"/>
  <c r="P76" i="12" a="1"/>
  <c r="P76" i="12" s="1"/>
  <c r="N76" i="12" a="1"/>
  <c r="N76" i="12" s="1"/>
  <c r="L76" i="12"/>
  <c r="L76" i="12" a="1"/>
  <c r="J76" i="12" a="1"/>
  <c r="J76" i="12" s="1"/>
  <c r="H76" i="12" a="1"/>
  <c r="H76" i="12" s="1"/>
  <c r="F76" i="12"/>
  <c r="F76" i="12" a="1"/>
  <c r="D76" i="12" a="1"/>
  <c r="D76" i="12" s="1"/>
  <c r="B76" i="12" a="1"/>
  <c r="B76" i="12" s="1"/>
  <c r="AV75" i="12" a="1"/>
  <c r="AV75" i="12" s="1"/>
  <c r="AT75" i="12" a="1"/>
  <c r="AT75" i="12" s="1"/>
  <c r="AR75" i="12"/>
  <c r="AR75" i="12" a="1"/>
  <c r="AP75" i="12" a="1"/>
  <c r="AP75" i="12" s="1"/>
  <c r="AN75" i="12" a="1"/>
  <c r="AN75" i="12" s="1"/>
  <c r="AL75" i="12"/>
  <c r="AL75" i="12" a="1"/>
  <c r="AJ75" i="12" a="1"/>
  <c r="AJ75" i="12" s="1"/>
  <c r="AH75" i="12" a="1"/>
  <c r="AH75" i="12" s="1"/>
  <c r="AF75" i="12" a="1"/>
  <c r="AF75" i="12" s="1"/>
  <c r="AD75" i="12" a="1"/>
  <c r="AD75" i="12" s="1"/>
  <c r="AB75" i="12"/>
  <c r="AB75" i="12" a="1"/>
  <c r="Z75" i="12" a="1"/>
  <c r="Z75" i="12" s="1"/>
  <c r="X75" i="12" a="1"/>
  <c r="X75" i="12" s="1"/>
  <c r="V75" i="12"/>
  <c r="V75" i="12" a="1"/>
  <c r="T75" i="12" a="1"/>
  <c r="T75" i="12" s="1"/>
  <c r="R75" i="12" a="1"/>
  <c r="R75" i="12" s="1"/>
  <c r="P75" i="12" a="1"/>
  <c r="P75" i="12" s="1"/>
  <c r="N75" i="12" a="1"/>
  <c r="N75" i="12" s="1"/>
  <c r="L75" i="12"/>
  <c r="L75" i="12" a="1"/>
  <c r="J75" i="12" a="1"/>
  <c r="J75" i="12" s="1"/>
  <c r="H75" i="12" a="1"/>
  <c r="H75" i="12" s="1"/>
  <c r="F75" i="12"/>
  <c r="F75" i="12" a="1"/>
  <c r="D75" i="12" a="1"/>
  <c r="D75" i="12" s="1"/>
  <c r="B75" i="12" a="1"/>
  <c r="B75" i="12" s="1"/>
  <c r="AV74" i="12" a="1"/>
  <c r="AV74" i="12" s="1"/>
  <c r="AT74" i="12" a="1"/>
  <c r="AT74" i="12" s="1"/>
  <c r="AR74" i="12"/>
  <c r="AR74" i="12" a="1"/>
  <c r="AP74" i="12" a="1"/>
  <c r="AP74" i="12" s="1"/>
  <c r="AN74" i="12" a="1"/>
  <c r="AN74" i="12" s="1"/>
  <c r="AL74" i="12"/>
  <c r="AL74" i="12" a="1"/>
  <c r="AJ74" i="12" a="1"/>
  <c r="AJ74" i="12" s="1"/>
  <c r="AH74" i="12" a="1"/>
  <c r="AH74" i="12" s="1"/>
  <c r="AF74" i="12" a="1"/>
  <c r="AF74" i="12" s="1"/>
  <c r="AD74" i="12" a="1"/>
  <c r="AD74" i="12" s="1"/>
  <c r="AB74" i="12"/>
  <c r="AB74" i="12" a="1"/>
  <c r="Z74" i="12" a="1"/>
  <c r="Z74" i="12" s="1"/>
  <c r="X74" i="12" a="1"/>
  <c r="X74" i="12" s="1"/>
  <c r="V74" i="12"/>
  <c r="V74" i="12" a="1"/>
  <c r="T74" i="12" a="1"/>
  <c r="T74" i="12" s="1"/>
  <c r="R74" i="12" a="1"/>
  <c r="R74" i="12" s="1"/>
  <c r="P74" i="12" a="1"/>
  <c r="P74" i="12" s="1"/>
  <c r="N74" i="12" a="1"/>
  <c r="N74" i="12" s="1"/>
  <c r="L74" i="12"/>
  <c r="L74" i="12" a="1"/>
  <c r="J74" i="12" a="1"/>
  <c r="J74" i="12" s="1"/>
  <c r="H74" i="12" a="1"/>
  <c r="H74" i="12" s="1"/>
  <c r="F74" i="12"/>
  <c r="F74" i="12" a="1"/>
  <c r="D74" i="12" a="1"/>
  <c r="D74" i="12" s="1"/>
  <c r="B74" i="12" a="1"/>
  <c r="B74" i="12" s="1"/>
  <c r="AV73" i="12" a="1"/>
  <c r="AV73" i="12" s="1"/>
  <c r="AT73" i="12" a="1"/>
  <c r="AT73" i="12" s="1"/>
  <c r="AR73" i="12"/>
  <c r="AR73" i="12" a="1"/>
  <c r="AP73" i="12" a="1"/>
  <c r="AP73" i="12" s="1"/>
  <c r="AN73" i="12" a="1"/>
  <c r="AN73" i="12" s="1"/>
  <c r="AL73" i="12"/>
  <c r="AL73" i="12" a="1"/>
  <c r="AJ73" i="12" a="1"/>
  <c r="AJ73" i="12" s="1"/>
  <c r="AH73" i="12" a="1"/>
  <c r="AH73" i="12" s="1"/>
  <c r="AF73" i="12" a="1"/>
  <c r="AF73" i="12" s="1"/>
  <c r="AD73" i="12" a="1"/>
  <c r="AD73" i="12" s="1"/>
  <c r="AB73" i="12"/>
  <c r="AB73" i="12" a="1"/>
  <c r="Z73" i="12" a="1"/>
  <c r="Z73" i="12" s="1"/>
  <c r="X73" i="12" a="1"/>
  <c r="X73" i="12" s="1"/>
  <c r="V73" i="12"/>
  <c r="V73" i="12" a="1"/>
  <c r="T73" i="12" a="1"/>
  <c r="T73" i="12" s="1"/>
  <c r="R73" i="12" a="1"/>
  <c r="R73" i="12" s="1"/>
  <c r="P73" i="12" a="1"/>
  <c r="P73" i="12" s="1"/>
  <c r="N73" i="12" a="1"/>
  <c r="N73" i="12" s="1"/>
  <c r="L73" i="12"/>
  <c r="L73" i="12" a="1"/>
  <c r="J73" i="12" a="1"/>
  <c r="J73" i="12" s="1"/>
  <c r="H73" i="12" a="1"/>
  <c r="H73" i="12" s="1"/>
  <c r="F73" i="12"/>
  <c r="F73" i="12" a="1"/>
  <c r="D73" i="12" a="1"/>
  <c r="D73" i="12" s="1"/>
  <c r="B73" i="12" a="1"/>
  <c r="B73" i="12" s="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AJ69" i="12"/>
  <c r="T69" i="12"/>
  <c r="D69" i="12"/>
  <c r="B69" i="12"/>
  <c r="AJ68" i="12"/>
  <c r="T68" i="12"/>
  <c r="D68" i="12"/>
  <c r="AV67" i="12" a="1"/>
  <c r="AV67" i="12" s="1"/>
  <c r="AT67" i="12"/>
  <c r="AT67" i="12" a="1"/>
  <c r="AR67" i="12" a="1"/>
  <c r="AR67" i="12" s="1"/>
  <c r="AP67" i="12" a="1"/>
  <c r="AP67" i="12" s="1"/>
  <c r="AN67" i="12" a="1"/>
  <c r="AN67" i="12" s="1"/>
  <c r="AL67" i="12" a="1"/>
  <c r="AL67" i="12" s="1"/>
  <c r="AJ67" i="12"/>
  <c r="AJ67" i="12" a="1"/>
  <c r="AH67" i="12" a="1"/>
  <c r="AH67" i="12" s="1"/>
  <c r="AF67" i="12" a="1"/>
  <c r="AF67" i="12" s="1"/>
  <c r="AD67" i="12"/>
  <c r="AD67" i="12" a="1"/>
  <c r="AB67" i="12" a="1"/>
  <c r="AB67" i="12" s="1"/>
  <c r="Z67" i="12" a="1"/>
  <c r="Z67" i="12" s="1"/>
  <c r="X67" i="12" a="1"/>
  <c r="X67" i="12" s="1"/>
  <c r="V67" i="12" a="1"/>
  <c r="V67" i="12" s="1"/>
  <c r="T67" i="12"/>
  <c r="T67" i="12" a="1"/>
  <c r="R67" i="12" a="1"/>
  <c r="R67" i="12" s="1"/>
  <c r="P67" i="12" a="1"/>
  <c r="P67" i="12" s="1"/>
  <c r="N67" i="12"/>
  <c r="N67" i="12" a="1"/>
  <c r="L67" i="12" a="1"/>
  <c r="L67" i="12" s="1"/>
  <c r="J67" i="12" a="1"/>
  <c r="J67" i="12" s="1"/>
  <c r="H67" i="12" a="1"/>
  <c r="H67" i="12" s="1"/>
  <c r="F67" i="12" a="1"/>
  <c r="F67" i="12" s="1"/>
  <c r="D67" i="12"/>
  <c r="D67" i="12" a="1"/>
  <c r="B67" i="12" a="1"/>
  <c r="B67" i="12" s="1"/>
  <c r="AV66" i="12" a="1"/>
  <c r="AV66" i="12" s="1"/>
  <c r="AT66" i="12"/>
  <c r="AT68" i="12" s="1"/>
  <c r="AT66" i="12" a="1"/>
  <c r="AR66" i="12" a="1"/>
  <c r="AR66" i="12" s="1"/>
  <c r="AP66" i="12" a="1"/>
  <c r="AP66" i="12" s="1"/>
  <c r="AN66" i="12" a="1"/>
  <c r="AN66" i="12" s="1"/>
  <c r="AL66" i="12" a="1"/>
  <c r="AL66" i="12" s="1"/>
  <c r="AJ66" i="12"/>
  <c r="AJ66" i="12" a="1"/>
  <c r="AH66" i="12" a="1"/>
  <c r="AH66" i="12" s="1"/>
  <c r="AF66" i="12" a="1"/>
  <c r="AF66" i="12" s="1"/>
  <c r="AD66" i="12"/>
  <c r="AD68" i="12" s="1"/>
  <c r="AD66" i="12" a="1"/>
  <c r="AB66" i="12" a="1"/>
  <c r="AB66" i="12" s="1"/>
  <c r="AB68" i="12" s="1"/>
  <c r="Z66" i="12" a="1"/>
  <c r="Z66" i="12" s="1"/>
  <c r="Z68" i="12" s="1"/>
  <c r="X66" i="12" a="1"/>
  <c r="X66" i="12" s="1"/>
  <c r="V66" i="12" a="1"/>
  <c r="V66" i="12" s="1"/>
  <c r="T66" i="12"/>
  <c r="T66" i="12" a="1"/>
  <c r="R66" i="12" a="1"/>
  <c r="R66" i="12" s="1"/>
  <c r="P66" i="12" a="1"/>
  <c r="P66" i="12" s="1"/>
  <c r="N66" i="12"/>
  <c r="N68" i="12" s="1"/>
  <c r="N66" i="12" a="1"/>
  <c r="L66" i="12" a="1"/>
  <c r="L66" i="12" s="1"/>
  <c r="L68" i="12" s="1"/>
  <c r="J66" i="12" a="1"/>
  <c r="J66" i="12" s="1"/>
  <c r="J68" i="12" s="1"/>
  <c r="H66" i="12" a="1"/>
  <c r="H66" i="12" s="1"/>
  <c r="F66" i="12" a="1"/>
  <c r="F66" i="12" s="1"/>
  <c r="D66" i="12"/>
  <c r="D66" i="12" a="1"/>
  <c r="B66" i="12" a="1"/>
  <c r="B66" i="12" s="1"/>
  <c r="B68" i="12" s="1"/>
  <c r="AV65" i="12" a="1"/>
  <c r="AV65" i="12" s="1"/>
  <c r="AV69" i="12" s="1"/>
  <c r="AT65" i="12"/>
  <c r="AT69" i="12" s="1"/>
  <c r="AT65" i="12" a="1"/>
  <c r="AR65" i="12" a="1"/>
  <c r="AR65" i="12" s="1"/>
  <c r="AR69" i="12" s="1"/>
  <c r="AP65" i="12" a="1"/>
  <c r="AP65" i="12" s="1"/>
  <c r="AP69" i="12" s="1"/>
  <c r="AN65" i="12" a="1"/>
  <c r="AN65" i="12" s="1"/>
  <c r="AN69" i="12" s="1"/>
  <c r="AL65" i="12" a="1"/>
  <c r="AL65" i="12" s="1"/>
  <c r="AL69" i="12" s="1"/>
  <c r="AJ65" i="12"/>
  <c r="AJ65" i="12" a="1"/>
  <c r="AH65" i="12" a="1"/>
  <c r="AH65" i="12" s="1"/>
  <c r="AH69" i="12" s="1"/>
  <c r="AF65" i="12" a="1"/>
  <c r="AF65" i="12" s="1"/>
  <c r="AF69" i="12" s="1"/>
  <c r="AD65" i="12"/>
  <c r="AD69" i="12" s="1"/>
  <c r="AD65" i="12" a="1"/>
  <c r="AB65" i="12" a="1"/>
  <c r="AB65" i="12" s="1"/>
  <c r="AB69" i="12" s="1"/>
  <c r="Z65" i="12" a="1"/>
  <c r="Z65" i="12" s="1"/>
  <c r="Z69" i="12" s="1"/>
  <c r="X65" i="12" a="1"/>
  <c r="X65" i="12" s="1"/>
  <c r="X69" i="12" s="1"/>
  <c r="V65" i="12" a="1"/>
  <c r="V65" i="12" s="1"/>
  <c r="V69" i="12" s="1"/>
  <c r="T65" i="12"/>
  <c r="T65" i="12" a="1"/>
  <c r="R65" i="12" a="1"/>
  <c r="R65" i="12" s="1"/>
  <c r="R69" i="12" s="1"/>
  <c r="P65" i="12" a="1"/>
  <c r="P65" i="12" s="1"/>
  <c r="P69" i="12" s="1"/>
  <c r="N65" i="12"/>
  <c r="N69" i="12" s="1"/>
  <c r="N65" i="12" a="1"/>
  <c r="L65" i="12" a="1"/>
  <c r="L65" i="12" s="1"/>
  <c r="L69" i="12" s="1"/>
  <c r="J65" i="12" a="1"/>
  <c r="J65" i="12" s="1"/>
  <c r="J69" i="12" s="1"/>
  <c r="H65" i="12" a="1"/>
  <c r="H65" i="12" s="1"/>
  <c r="H69" i="12" s="1"/>
  <c r="F65" i="12" a="1"/>
  <c r="F65" i="12" s="1"/>
  <c r="F69" i="12" s="1"/>
  <c r="D65" i="12"/>
  <c r="D65" i="12" a="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c r="AT58" i="12" a="1"/>
  <c r="AR58" i="12"/>
  <c r="AR58" i="12" a="1"/>
  <c r="AP58" i="12" a="1"/>
  <c r="AP58" i="12" s="1"/>
  <c r="AN58" i="12" a="1"/>
  <c r="AN58" i="12" s="1"/>
  <c r="AL58" i="12" a="1"/>
  <c r="AL58" i="12" s="1"/>
  <c r="AJ58" i="12"/>
  <c r="AJ58" i="12" a="1"/>
  <c r="AH58" i="12" a="1"/>
  <c r="AH58" i="12" s="1"/>
  <c r="AF58" i="12"/>
  <c r="AF58" i="12" a="1"/>
  <c r="AD58" i="12"/>
  <c r="AD58" i="12" a="1"/>
  <c r="AB58" i="12"/>
  <c r="AB58" i="12" a="1"/>
  <c r="Z58" i="12" a="1"/>
  <c r="Z58" i="12" s="1"/>
  <c r="X58" i="12" a="1"/>
  <c r="X58" i="12" s="1"/>
  <c r="V58" i="12" a="1"/>
  <c r="V58" i="12" s="1"/>
  <c r="T58" i="12"/>
  <c r="T58" i="12" a="1"/>
  <c r="R58" i="12" a="1"/>
  <c r="R58" i="12" s="1"/>
  <c r="P58" i="12"/>
  <c r="P58" i="12" a="1"/>
  <c r="N58" i="12"/>
  <c r="N58" i="12" a="1"/>
  <c r="L58" i="12"/>
  <c r="L58" i="12" a="1"/>
  <c r="J58" i="12" a="1"/>
  <c r="J58" i="12" s="1"/>
  <c r="H58" i="12" a="1"/>
  <c r="H58" i="12" s="1"/>
  <c r="F58" i="12" a="1"/>
  <c r="F58" i="12" s="1"/>
  <c r="D58" i="12"/>
  <c r="D58" i="12" a="1"/>
  <c r="B58" i="12" a="1"/>
  <c r="B58" i="12" s="1"/>
  <c r="AV57" i="12"/>
  <c r="AV57" i="12" a="1"/>
  <c r="AT57" i="12"/>
  <c r="AT57" i="12" a="1"/>
  <c r="AR57" i="12"/>
  <c r="AR57" i="12" a="1"/>
  <c r="AP57" i="12" a="1"/>
  <c r="AP57" i="12" s="1"/>
  <c r="AN57" i="12" a="1"/>
  <c r="AN57" i="12" s="1"/>
  <c r="AL57" i="12" a="1"/>
  <c r="AL57" i="12" s="1"/>
  <c r="AJ57" i="12"/>
  <c r="AJ57" i="12" a="1"/>
  <c r="AH57" i="12" a="1"/>
  <c r="AH57" i="12" s="1"/>
  <c r="AF57" i="12"/>
  <c r="AF57" i="12" a="1"/>
  <c r="AD57" i="12"/>
  <c r="AD57" i="12" a="1"/>
  <c r="AB57" i="12"/>
  <c r="AB57" i="12" a="1"/>
  <c r="Z57" i="12" a="1"/>
  <c r="Z57" i="12" s="1"/>
  <c r="X57" i="12" a="1"/>
  <c r="X57" i="12" s="1"/>
  <c r="V57" i="12" a="1"/>
  <c r="V57" i="12" s="1"/>
  <c r="T57" i="12"/>
  <c r="T57" i="12" a="1"/>
  <c r="R57" i="12" a="1"/>
  <c r="R57" i="12" s="1"/>
  <c r="P57" i="12"/>
  <c r="P57" i="12" a="1"/>
  <c r="N57" i="12"/>
  <c r="N57" i="12" a="1"/>
  <c r="L57" i="12"/>
  <c r="L57" i="12" a="1"/>
  <c r="J57" i="12" a="1"/>
  <c r="J57" i="12" s="1"/>
  <c r="H57" i="12" a="1"/>
  <c r="H57" i="12" s="1"/>
  <c r="F57" i="12" a="1"/>
  <c r="F57" i="12" s="1"/>
  <c r="D57" i="12"/>
  <c r="D57" i="12" a="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R55" i="12"/>
  <c r="AP55" i="12"/>
  <c r="AP80" i="12" s="1"/>
  <c r="AN55" i="12"/>
  <c r="AN80" i="12" s="1"/>
  <c r="AL55" i="12"/>
  <c r="AJ55" i="12"/>
  <c r="AH55" i="12"/>
  <c r="AF55" i="12"/>
  <c r="AF80" i="12" s="1"/>
  <c r="AD55" i="12"/>
  <c r="AD80" i="12" s="1"/>
  <c r="AB55" i="12"/>
  <c r="AB80" i="12" s="1"/>
  <c r="Z55" i="12"/>
  <c r="Z80" i="12" s="1"/>
  <c r="X55" i="12"/>
  <c r="X80" i="12" s="1"/>
  <c r="V55" i="12"/>
  <c r="V80" i="12" s="1"/>
  <c r="T55" i="12"/>
  <c r="R55" i="12"/>
  <c r="P55" i="12"/>
  <c r="N55" i="12"/>
  <c r="L55" i="12"/>
  <c r="J55" i="12"/>
  <c r="J80" i="12" s="1"/>
  <c r="H55" i="12"/>
  <c r="H80" i="12" s="1"/>
  <c r="F55" i="12"/>
  <c r="D55" i="12"/>
  <c r="B55" i="12"/>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P81" i="12" s="1"/>
  <c r="AN51" i="12"/>
  <c r="AN81" i="12" s="1"/>
  <c r="AL51" i="12"/>
  <c r="AL81" i="12" s="1"/>
  <c r="AJ51" i="12"/>
  <c r="AH51" i="12"/>
  <c r="AF51" i="12"/>
  <c r="AD51" i="12"/>
  <c r="AB51" i="12"/>
  <c r="Z51" i="12"/>
  <c r="Z81" i="12" s="1"/>
  <c r="X51" i="12"/>
  <c r="X81" i="12" s="1"/>
  <c r="V51" i="12"/>
  <c r="T51" i="12"/>
  <c r="R51" i="12"/>
  <c r="P51" i="12"/>
  <c r="P81" i="12" s="1"/>
  <c r="N51" i="12"/>
  <c r="N81" i="12" s="1"/>
  <c r="L51" i="12"/>
  <c r="L81" i="12" s="1"/>
  <c r="J51" i="12"/>
  <c r="J81" i="12" s="1"/>
  <c r="H51" i="12"/>
  <c r="H81" i="12" s="1"/>
  <c r="F51" i="12"/>
  <c r="F81" i="12" s="1"/>
  <c r="D51" i="12"/>
  <c r="B51" i="12"/>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c r="AT43" i="12" a="1"/>
  <c r="AR43" i="12"/>
  <c r="AR43" i="12" a="1"/>
  <c r="AP43" i="12" a="1"/>
  <c r="AP43" i="12" s="1"/>
  <c r="AN43" i="12" a="1"/>
  <c r="AN43" i="12" s="1"/>
  <c r="AL43" i="12" a="1"/>
  <c r="AL43" i="12" s="1"/>
  <c r="AJ43" i="12" a="1"/>
  <c r="AJ43" i="12" s="1"/>
  <c r="AH43" i="12" a="1"/>
  <c r="AH43" i="12" s="1"/>
  <c r="AF43" i="12"/>
  <c r="AF43" i="12" a="1"/>
  <c r="AD43" i="12"/>
  <c r="AD43" i="12" a="1"/>
  <c r="AB43" i="12"/>
  <c r="AB43" i="12" a="1"/>
  <c r="Z43" i="12" a="1"/>
  <c r="Z43" i="12" s="1"/>
  <c r="X43" i="12" a="1"/>
  <c r="X43" i="12" s="1"/>
  <c r="V43" i="12" a="1"/>
  <c r="V43" i="12" s="1"/>
  <c r="T43" i="12" a="1"/>
  <c r="T43" i="12" s="1"/>
  <c r="R43" i="12" a="1"/>
  <c r="R43" i="12" s="1"/>
  <c r="P43" i="12"/>
  <c r="P43" i="12" a="1"/>
  <c r="N43" i="12"/>
  <c r="N43" i="12" a="1"/>
  <c r="L43" i="12"/>
  <c r="L43" i="12" a="1"/>
  <c r="J43" i="12" a="1"/>
  <c r="J43" i="12" s="1"/>
  <c r="H43" i="12" a="1"/>
  <c r="H43" i="12" s="1"/>
  <c r="F43" i="12" a="1"/>
  <c r="F43" i="12" s="1"/>
  <c r="D43" i="12" a="1"/>
  <c r="D43" i="12" s="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B42" i="11"/>
  <c r="D42" i="11"/>
  <c r="F42" i="11"/>
  <c r="H42" i="11"/>
  <c r="J42" i="11"/>
  <c r="L42" i="11"/>
  <c r="N42" i="11"/>
  <c r="P42" i="11"/>
  <c r="R42" i="11"/>
  <c r="T42" i="11"/>
  <c r="V42" i="11"/>
  <c r="X42" i="11"/>
  <c r="Z42" i="11"/>
  <c r="AB42" i="11"/>
  <c r="AD42" i="11"/>
  <c r="AF42" i="11"/>
  <c r="AH42" i="11"/>
  <c r="AJ42" i="11"/>
  <c r="AL42" i="11"/>
  <c r="AN42" i="11"/>
  <c r="AP42" i="11"/>
  <c r="AR42" i="11"/>
  <c r="AT42" i="11"/>
  <c r="AV42" i="11"/>
  <c r="B43" i="11"/>
  <c r="D43" i="11" a="1"/>
  <c r="D43" i="11"/>
  <c r="F43" i="11" a="1"/>
  <c r="F43" i="11" s="1"/>
  <c r="H43" i="11" a="1"/>
  <c r="H43" i="11"/>
  <c r="J43" i="11" a="1"/>
  <c r="J43" i="11" s="1"/>
  <c r="L43" i="11" a="1"/>
  <c r="L43" i="11" s="1"/>
  <c r="N43" i="11" a="1"/>
  <c r="N43" i="11" s="1"/>
  <c r="P43" i="11" a="1"/>
  <c r="P43" i="11"/>
  <c r="R43" i="11" a="1"/>
  <c r="R43" i="11"/>
  <c r="T43" i="11" a="1"/>
  <c r="T43" i="11"/>
  <c r="V43" i="11" a="1"/>
  <c r="V43" i="11" s="1"/>
  <c r="X43" i="11" a="1"/>
  <c r="X43" i="11"/>
  <c r="Z43" i="11" a="1"/>
  <c r="Z43" i="11" s="1"/>
  <c r="AB43" i="11" a="1"/>
  <c r="AB43" i="11" s="1"/>
  <c r="AD43" i="11" a="1"/>
  <c r="AD43" i="11" s="1"/>
  <c r="AF43" i="11" a="1"/>
  <c r="AF43" i="11"/>
  <c r="AH43" i="11" a="1"/>
  <c r="AH43" i="11"/>
  <c r="AJ43" i="11" a="1"/>
  <c r="AJ43" i="11"/>
  <c r="AL43" i="11" a="1"/>
  <c r="AL43" i="11" s="1"/>
  <c r="AN43" i="11" a="1"/>
  <c r="AN43" i="11"/>
  <c r="AP43" i="11" a="1"/>
  <c r="AP43" i="11" s="1"/>
  <c r="AR43" i="11" a="1"/>
  <c r="AR43" i="11" s="1"/>
  <c r="AT43" i="11" a="1"/>
  <c r="AT43" i="11" s="1"/>
  <c r="AV43" i="11" a="1"/>
  <c r="AV43" i="11"/>
  <c r="B44" i="11"/>
  <c r="D44" i="11"/>
  <c r="F44" i="11"/>
  <c r="H44" i="11"/>
  <c r="J44" i="11"/>
  <c r="L44" i="11"/>
  <c r="N44" i="11"/>
  <c r="P44" i="11"/>
  <c r="R44" i="11"/>
  <c r="T44" i="11"/>
  <c r="V44" i="11"/>
  <c r="X44" i="11"/>
  <c r="Z44" i="11"/>
  <c r="AB44" i="11"/>
  <c r="AD44" i="11"/>
  <c r="AF44" i="11"/>
  <c r="AH44" i="11"/>
  <c r="AJ44" i="11"/>
  <c r="AL44" i="11"/>
  <c r="AN44" i="11"/>
  <c r="AP44" i="11"/>
  <c r="AR44" i="11"/>
  <c r="AT44" i="11"/>
  <c r="AV44" i="11"/>
  <c r="B45" i="11"/>
  <c r="D45" i="11"/>
  <c r="F45" i="11"/>
  <c r="H45" i="11"/>
  <c r="J45" i="11"/>
  <c r="L45" i="11"/>
  <c r="N45" i="11"/>
  <c r="P45" i="11"/>
  <c r="R45" i="11"/>
  <c r="T45" i="11"/>
  <c r="V45" i="11"/>
  <c r="X45" i="11"/>
  <c r="Z45" i="11"/>
  <c r="AB45" i="11"/>
  <c r="AD45" i="11"/>
  <c r="AF45" i="11"/>
  <c r="AH45" i="11"/>
  <c r="AJ45" i="11"/>
  <c r="AL45" i="11"/>
  <c r="AN45" i="11"/>
  <c r="AP45" i="11"/>
  <c r="AR45" i="11"/>
  <c r="AT45" i="11"/>
  <c r="AV45" i="11"/>
  <c r="B46" i="11"/>
  <c r="D46" i="11"/>
  <c r="F46" i="11"/>
  <c r="H46" i="11"/>
  <c r="J46" i="11"/>
  <c r="L46" i="11"/>
  <c r="N46" i="11"/>
  <c r="P46" i="11"/>
  <c r="R46" i="11"/>
  <c r="T46" i="11"/>
  <c r="V46" i="11"/>
  <c r="X46" i="11"/>
  <c r="Z46" i="11"/>
  <c r="AB46" i="11"/>
  <c r="AD46" i="11"/>
  <c r="AF46" i="11"/>
  <c r="AH46" i="11"/>
  <c r="AJ46" i="11"/>
  <c r="AL46" i="11"/>
  <c r="AN46" i="11"/>
  <c r="AP46" i="11"/>
  <c r="AR46" i="11"/>
  <c r="AT46" i="11"/>
  <c r="AV46" i="11"/>
  <c r="B48" i="11"/>
  <c r="D48" i="11"/>
  <c r="F48" i="11"/>
  <c r="H48" i="11"/>
  <c r="J48" i="11"/>
  <c r="L48" i="11"/>
  <c r="N48" i="11"/>
  <c r="P48" i="11"/>
  <c r="R48" i="11"/>
  <c r="T48" i="11"/>
  <c r="V48" i="11"/>
  <c r="X48" i="11"/>
  <c r="Z48" i="11"/>
  <c r="AB48" i="11"/>
  <c r="AD48" i="11"/>
  <c r="AF48" i="11"/>
  <c r="AH48" i="11"/>
  <c r="AJ48" i="11"/>
  <c r="AL48" i="11"/>
  <c r="AN48" i="11"/>
  <c r="AP48" i="11"/>
  <c r="AR48" i="11"/>
  <c r="AT48" i="11"/>
  <c r="AV48" i="11"/>
  <c r="B49" i="11"/>
  <c r="D49" i="11"/>
  <c r="F49" i="11"/>
  <c r="H49" i="11"/>
  <c r="J49" i="11"/>
  <c r="L49" i="11"/>
  <c r="N49" i="11"/>
  <c r="P49" i="11"/>
  <c r="R49" i="11"/>
  <c r="T49" i="11"/>
  <c r="V49" i="11"/>
  <c r="X49" i="11"/>
  <c r="Z49" i="11"/>
  <c r="AB49" i="11"/>
  <c r="AD49" i="11"/>
  <c r="AF49" i="11"/>
  <c r="AH49" i="11"/>
  <c r="AJ49" i="11"/>
  <c r="AL49" i="11"/>
  <c r="AN49" i="11"/>
  <c r="AP49" i="11"/>
  <c r="AR49" i="11"/>
  <c r="AT49" i="11"/>
  <c r="AV49" i="11"/>
  <c r="B51" i="11"/>
  <c r="B81" i="11" s="1"/>
  <c r="D51" i="11"/>
  <c r="F51" i="11"/>
  <c r="H51" i="11"/>
  <c r="J51" i="11"/>
  <c r="J81" i="11" s="1"/>
  <c r="L51" i="11"/>
  <c r="N51" i="11"/>
  <c r="P51" i="11"/>
  <c r="R51" i="11"/>
  <c r="T51" i="11"/>
  <c r="T81" i="11" s="1"/>
  <c r="V51" i="11"/>
  <c r="V81" i="11" s="1"/>
  <c r="X51" i="11"/>
  <c r="X81" i="11" s="1"/>
  <c r="Z51" i="11"/>
  <c r="Z81" i="11" s="1"/>
  <c r="AB51" i="11"/>
  <c r="AD51" i="11"/>
  <c r="AF51" i="11"/>
  <c r="AF81" i="11" s="1"/>
  <c r="AH51" i="11"/>
  <c r="AH81" i="11" s="1"/>
  <c r="AJ51" i="11"/>
  <c r="AL51" i="11"/>
  <c r="AN51" i="11"/>
  <c r="AP51" i="11"/>
  <c r="AP81" i="11" s="1"/>
  <c r="AR51" i="11"/>
  <c r="AR81" i="11" s="1"/>
  <c r="AT51" i="11"/>
  <c r="AT81" i="11" s="1"/>
  <c r="AV51" i="11"/>
  <c r="AV81" i="11" s="1"/>
  <c r="B52" i="11" a="1"/>
  <c r="D52" i="11" a="1"/>
  <c r="F52" i="11" a="1"/>
  <c r="H52" i="11" a="1"/>
  <c r="J52" i="11" a="1"/>
  <c r="L52" i="11" a="1"/>
  <c r="N52" i="11" a="1"/>
  <c r="P52" i="11" a="1"/>
  <c r="R52" i="11" a="1"/>
  <c r="T52" i="11" a="1"/>
  <c r="V52" i="11" a="1"/>
  <c r="X52" i="11" a="1"/>
  <c r="Z52" i="11" a="1"/>
  <c r="AB52" i="11" a="1"/>
  <c r="AD52" i="11" a="1"/>
  <c r="AF52" i="11" a="1"/>
  <c r="AH52" i="11" a="1"/>
  <c r="AJ52" i="11" a="1"/>
  <c r="AL52" i="11" a="1"/>
  <c r="AN52" i="11" a="1"/>
  <c r="AP52" i="11" a="1"/>
  <c r="AR52" i="11" a="1"/>
  <c r="AT52" i="11" a="1"/>
  <c r="AV52" i="11" a="1"/>
  <c r="B53" i="11" a="1"/>
  <c r="D53" i="11" a="1"/>
  <c r="F53" i="11" a="1"/>
  <c r="H53" i="11" a="1"/>
  <c r="J53" i="11" a="1"/>
  <c r="L53" i="11" a="1"/>
  <c r="N53" i="11" a="1"/>
  <c r="P53" i="11" a="1"/>
  <c r="R53" i="11" a="1"/>
  <c r="T53" i="11" a="1"/>
  <c r="V53" i="11" a="1"/>
  <c r="X53" i="11" a="1"/>
  <c r="Z53" i="11" a="1"/>
  <c r="AB53" i="11" a="1"/>
  <c r="AD53" i="11" a="1"/>
  <c r="AF53" i="11" a="1"/>
  <c r="AH53" i="11" a="1"/>
  <c r="AJ53" i="11" a="1"/>
  <c r="AL53" i="11" a="1"/>
  <c r="AN53" i="11" a="1"/>
  <c r="AP53" i="11" a="1"/>
  <c r="AR53" i="11" a="1"/>
  <c r="AT53" i="11" a="1"/>
  <c r="AV53" i="11" a="1"/>
  <c r="B55" i="11"/>
  <c r="D55" i="11"/>
  <c r="D80" i="11" s="1"/>
  <c r="F55" i="11"/>
  <c r="F80" i="11" s="1"/>
  <c r="H55" i="11"/>
  <c r="H80" i="11" s="1"/>
  <c r="J55" i="11"/>
  <c r="L55" i="11"/>
  <c r="N55" i="11"/>
  <c r="N80" i="11" s="1"/>
  <c r="P55" i="11"/>
  <c r="P80" i="11" s="1"/>
  <c r="R55" i="11"/>
  <c r="R80" i="11" s="1"/>
  <c r="T55" i="11"/>
  <c r="V55" i="11"/>
  <c r="V80" i="11" s="1"/>
  <c r="X55" i="11"/>
  <c r="X80" i="11" s="1"/>
  <c r="Z55" i="11"/>
  <c r="Z80" i="11" s="1"/>
  <c r="AB55" i="11"/>
  <c r="AB80" i="11" s="1"/>
  <c r="AD55" i="11"/>
  <c r="AF55" i="11"/>
  <c r="AF80" i="11" s="1"/>
  <c r="AH55" i="11"/>
  <c r="AH80" i="11" s="1"/>
  <c r="AJ55" i="11"/>
  <c r="AJ80" i="11" s="1"/>
  <c r="AL55" i="11"/>
  <c r="AL80" i="11" s="1"/>
  <c r="AN55" i="11"/>
  <c r="AN80" i="11" s="1"/>
  <c r="AP55" i="11"/>
  <c r="AR55" i="11"/>
  <c r="AT55" i="11"/>
  <c r="AT80" i="11" s="1"/>
  <c r="AV55" i="11"/>
  <c r="AV80" i="11" s="1"/>
  <c r="B56" i="11"/>
  <c r="D56" i="11"/>
  <c r="F56" i="11"/>
  <c r="H56" i="11"/>
  <c r="J56" i="11"/>
  <c r="L56" i="11"/>
  <c r="N56" i="11"/>
  <c r="P56" i="11"/>
  <c r="R56" i="11"/>
  <c r="T56" i="11"/>
  <c r="V56" i="11"/>
  <c r="X56" i="11"/>
  <c r="Z56" i="11"/>
  <c r="AB56" i="11"/>
  <c r="AD56" i="11"/>
  <c r="AF56" i="11"/>
  <c r="AH56" i="11"/>
  <c r="AJ56" i="11"/>
  <c r="AL56" i="11"/>
  <c r="AN56" i="11"/>
  <c r="AP56" i="11"/>
  <c r="AR56" i="11"/>
  <c r="AT56" i="11"/>
  <c r="AV56" i="11"/>
  <c r="B57" i="11" a="1"/>
  <c r="B57" i="11"/>
  <c r="D57" i="11" a="1"/>
  <c r="D57" i="11"/>
  <c r="F57" i="11" a="1"/>
  <c r="F57" i="11" s="1"/>
  <c r="H57" i="11" a="1"/>
  <c r="H57" i="11"/>
  <c r="J57" i="11" a="1"/>
  <c r="J57" i="11" s="1"/>
  <c r="L57" i="11" a="1"/>
  <c r="L57" i="11" s="1"/>
  <c r="N57" i="11" a="1"/>
  <c r="N57" i="11" s="1"/>
  <c r="P57" i="11" a="1"/>
  <c r="P57" i="11" s="1"/>
  <c r="R57" i="11" a="1"/>
  <c r="R57" i="11"/>
  <c r="T57" i="11" a="1"/>
  <c r="T57" i="11"/>
  <c r="V57" i="11" a="1"/>
  <c r="V57" i="11" s="1"/>
  <c r="X57" i="11" a="1"/>
  <c r="X57" i="11"/>
  <c r="Z57" i="11" a="1"/>
  <c r="Z57" i="11" s="1"/>
  <c r="AB57" i="11" a="1"/>
  <c r="AB57" i="11" s="1"/>
  <c r="AD57" i="11" a="1"/>
  <c r="AD57" i="11" s="1"/>
  <c r="AF57" i="11" a="1"/>
  <c r="AF57" i="11" s="1"/>
  <c r="AH57" i="11" a="1"/>
  <c r="AH57" i="11"/>
  <c r="AJ57" i="11" a="1"/>
  <c r="AJ57" i="11"/>
  <c r="AL57" i="11" a="1"/>
  <c r="AL57" i="11" s="1"/>
  <c r="AN57" i="11" a="1"/>
  <c r="AN57" i="11"/>
  <c r="AP57" i="11" a="1"/>
  <c r="AP57" i="11" s="1"/>
  <c r="AR57" i="11" a="1"/>
  <c r="AR57" i="11" s="1"/>
  <c r="AT57" i="11" a="1"/>
  <c r="AT57" i="11" s="1"/>
  <c r="AV57" i="11" a="1"/>
  <c r="AV57" i="11" s="1"/>
  <c r="B58" i="11" a="1"/>
  <c r="B58" i="11"/>
  <c r="D58" i="11" a="1"/>
  <c r="D58" i="11"/>
  <c r="F58" i="11" a="1"/>
  <c r="F58" i="11" s="1"/>
  <c r="H58" i="11" a="1"/>
  <c r="H58" i="11"/>
  <c r="J58" i="11" a="1"/>
  <c r="J58" i="11" s="1"/>
  <c r="L58" i="11" a="1"/>
  <c r="L58" i="11" s="1"/>
  <c r="N58" i="11" a="1"/>
  <c r="N58" i="11" s="1"/>
  <c r="P58" i="11" a="1"/>
  <c r="P58" i="11" s="1"/>
  <c r="R58" i="11" a="1"/>
  <c r="R58" i="11"/>
  <c r="T58" i="11" a="1"/>
  <c r="T58" i="11"/>
  <c r="V58" i="11" a="1"/>
  <c r="V58" i="11" s="1"/>
  <c r="X58" i="11" a="1"/>
  <c r="X58" i="11"/>
  <c r="Z58" i="11" a="1"/>
  <c r="Z58" i="11" s="1"/>
  <c r="AB58" i="11" a="1"/>
  <c r="AB58" i="11" s="1"/>
  <c r="AD58" i="11" a="1"/>
  <c r="AD58" i="11" s="1"/>
  <c r="AF58" i="11" a="1"/>
  <c r="AF58" i="11" s="1"/>
  <c r="AH58" i="11" a="1"/>
  <c r="AH58" i="11"/>
  <c r="AJ58" i="11" a="1"/>
  <c r="AJ58" i="11"/>
  <c r="AL58" i="11" a="1"/>
  <c r="AL58" i="11" s="1"/>
  <c r="AN58" i="11" a="1"/>
  <c r="AN58" i="11"/>
  <c r="AP58" i="11" a="1"/>
  <c r="AP58" i="11" s="1"/>
  <c r="AR58" i="11" a="1"/>
  <c r="AR58" i="11" s="1"/>
  <c r="AT58" i="11" a="1"/>
  <c r="AT58" i="11" s="1"/>
  <c r="AV58" i="11" a="1"/>
  <c r="AV58" i="11" s="1"/>
  <c r="B59" i="11"/>
  <c r="D59" i="11"/>
  <c r="F59" i="11"/>
  <c r="H59" i="11"/>
  <c r="J59" i="11"/>
  <c r="L59" i="11"/>
  <c r="N59" i="11"/>
  <c r="P59" i="11"/>
  <c r="R59" i="11"/>
  <c r="T59" i="11"/>
  <c r="V59" i="11"/>
  <c r="X59" i="11"/>
  <c r="Z59" i="11"/>
  <c r="AB59" i="11"/>
  <c r="AD59" i="11"/>
  <c r="AF59" i="11"/>
  <c r="AH59" i="11"/>
  <c r="AJ59" i="11"/>
  <c r="AL59" i="11"/>
  <c r="AN59" i="11"/>
  <c r="AP59" i="11"/>
  <c r="AR59" i="11"/>
  <c r="AT59" i="11"/>
  <c r="AV59" i="11"/>
  <c r="B60" i="11"/>
  <c r="D60" i="11"/>
  <c r="F60" i="11"/>
  <c r="H60" i="11"/>
  <c r="J60" i="11"/>
  <c r="L60" i="11"/>
  <c r="N60" i="11"/>
  <c r="P60" i="11"/>
  <c r="R60" i="11"/>
  <c r="T60" i="11"/>
  <c r="V60" i="11"/>
  <c r="X60" i="11"/>
  <c r="Z60" i="11"/>
  <c r="AB60" i="11"/>
  <c r="AD60" i="11"/>
  <c r="AF60" i="11"/>
  <c r="AH60" i="11"/>
  <c r="AJ60" i="11"/>
  <c r="AL60" i="11"/>
  <c r="AN60" i="11"/>
  <c r="AP60" i="11"/>
  <c r="AR60" i="11"/>
  <c r="AT60" i="11"/>
  <c r="AV60" i="11"/>
  <c r="B62" i="11"/>
  <c r="D62" i="11"/>
  <c r="F62" i="11"/>
  <c r="H62" i="11"/>
  <c r="J62" i="11"/>
  <c r="L62" i="11"/>
  <c r="N62" i="11"/>
  <c r="P62" i="11"/>
  <c r="R62" i="11"/>
  <c r="T62" i="11"/>
  <c r="V62" i="11"/>
  <c r="X62" i="11"/>
  <c r="Z62" i="11"/>
  <c r="AB62" i="11"/>
  <c r="AD62" i="11"/>
  <c r="AF62" i="11"/>
  <c r="AH62" i="11"/>
  <c r="AJ62" i="11"/>
  <c r="AL62" i="11"/>
  <c r="AN62" i="11"/>
  <c r="AP62" i="11"/>
  <c r="AR62" i="11"/>
  <c r="AT62" i="11"/>
  <c r="AV62" i="11"/>
  <c r="B65" i="11"/>
  <c r="B69" i="11" s="1"/>
  <c r="D65" i="11" a="1"/>
  <c r="D65" i="11"/>
  <c r="D69" i="11" s="1"/>
  <c r="F65" i="11" a="1"/>
  <c r="F65" i="11"/>
  <c r="H65" i="11" a="1"/>
  <c r="H65" i="11"/>
  <c r="H69" i="11" s="1"/>
  <c r="J65" i="11" a="1"/>
  <c r="J65" i="11"/>
  <c r="J69" i="11" s="1"/>
  <c r="L65" i="11" a="1"/>
  <c r="L65" i="11"/>
  <c r="L69" i="11" s="1"/>
  <c r="N65" i="11" a="1"/>
  <c r="N65" i="11" s="1"/>
  <c r="N69" i="11" s="1"/>
  <c r="P65" i="11" a="1"/>
  <c r="P65" i="11"/>
  <c r="R65" i="11" a="1"/>
  <c r="R65" i="11"/>
  <c r="R69" i="11" s="1"/>
  <c r="T65" i="11" a="1"/>
  <c r="T65" i="11"/>
  <c r="V65" i="11" a="1"/>
  <c r="V65" i="11"/>
  <c r="V69" i="11" s="1"/>
  <c r="X65" i="11" a="1"/>
  <c r="X65" i="11"/>
  <c r="Z65" i="11" a="1"/>
  <c r="Z65" i="11"/>
  <c r="Z69" i="11" s="1"/>
  <c r="AB65" i="11" a="1"/>
  <c r="AB65" i="11"/>
  <c r="AB69" i="11" s="1"/>
  <c r="AD65" i="11" a="1"/>
  <c r="AD65" i="11" s="1"/>
  <c r="AD69" i="11" s="1"/>
  <c r="AF65" i="11" a="1"/>
  <c r="AF65" i="11"/>
  <c r="AF69" i="11" s="1"/>
  <c r="AH65" i="11" a="1"/>
  <c r="AH65" i="11"/>
  <c r="AH69" i="11" s="1"/>
  <c r="AJ65" i="11" a="1"/>
  <c r="AJ65" i="11"/>
  <c r="AJ69" i="11" s="1"/>
  <c r="AL65" i="11" a="1"/>
  <c r="AL65" i="11"/>
  <c r="AL69" i="11" s="1"/>
  <c r="AN65" i="11" a="1"/>
  <c r="AN65" i="11"/>
  <c r="AP65" i="11" a="1"/>
  <c r="AP65" i="11"/>
  <c r="AR65" i="11" a="1"/>
  <c r="AR65" i="11"/>
  <c r="AR69" i="11" s="1"/>
  <c r="AT65" i="11" a="1"/>
  <c r="AT65" i="11" s="1"/>
  <c r="AT69" i="11" s="1"/>
  <c r="AV65" i="11" a="1"/>
  <c r="AV65" i="11"/>
  <c r="B66" i="11" a="1"/>
  <c r="B66" i="11"/>
  <c r="B68" i="11" s="1"/>
  <c r="D66" i="11" a="1"/>
  <c r="D66" i="11"/>
  <c r="F66" i="11" a="1"/>
  <c r="F66" i="11"/>
  <c r="F68" i="11" s="1"/>
  <c r="H66" i="11" a="1"/>
  <c r="H66" i="11"/>
  <c r="J66" i="11" a="1"/>
  <c r="J66" i="11"/>
  <c r="L66" i="11" a="1"/>
  <c r="L66" i="11"/>
  <c r="L68" i="11" s="1"/>
  <c r="N66" i="11" a="1"/>
  <c r="N66" i="11" s="1"/>
  <c r="N68" i="11" s="1"/>
  <c r="P66" i="11" a="1"/>
  <c r="P66" i="11"/>
  <c r="R66" i="11" a="1"/>
  <c r="R66" i="11"/>
  <c r="R68" i="11" s="1"/>
  <c r="T66" i="11" a="1"/>
  <c r="T66" i="11"/>
  <c r="T68" i="11" s="1"/>
  <c r="V66" i="11" a="1"/>
  <c r="V66" i="11"/>
  <c r="X66" i="11" a="1"/>
  <c r="X66" i="11"/>
  <c r="X68" i="11" s="1"/>
  <c r="Z66" i="11" a="1"/>
  <c r="Z66" i="11"/>
  <c r="Z68" i="11" s="1"/>
  <c r="AB66" i="11" a="1"/>
  <c r="AB66" i="11"/>
  <c r="AD66" i="11" a="1"/>
  <c r="AD66" i="11" s="1"/>
  <c r="AD68" i="11" s="1"/>
  <c r="AF66" i="11" a="1"/>
  <c r="AF66" i="11"/>
  <c r="AH66" i="11" a="1"/>
  <c r="AH66" i="11"/>
  <c r="AJ66" i="11" a="1"/>
  <c r="AJ66" i="11"/>
  <c r="AL66" i="11" a="1"/>
  <c r="AL66" i="11"/>
  <c r="AN66" i="11" a="1"/>
  <c r="AN66" i="11"/>
  <c r="AN68" i="11" s="1"/>
  <c r="AP66" i="11" a="1"/>
  <c r="AP66" i="11"/>
  <c r="AP68" i="11" s="1"/>
  <c r="AR66" i="11" a="1"/>
  <c r="AR66" i="11"/>
  <c r="AT66" i="11" a="1"/>
  <c r="AT66" i="11" s="1"/>
  <c r="AV66" i="11" a="1"/>
  <c r="AV66" i="11"/>
  <c r="AV68" i="11" s="1"/>
  <c r="B67" i="11" a="1"/>
  <c r="B67" i="11"/>
  <c r="D67" i="11" a="1"/>
  <c r="D67" i="11"/>
  <c r="F67" i="11" a="1"/>
  <c r="F67" i="11"/>
  <c r="H67" i="11" a="1"/>
  <c r="H67" i="11"/>
  <c r="J67" i="11" a="1"/>
  <c r="J67" i="11"/>
  <c r="L67" i="11" a="1"/>
  <c r="L67" i="11"/>
  <c r="N67" i="11" a="1"/>
  <c r="N67" i="11" s="1"/>
  <c r="P67" i="11" a="1"/>
  <c r="P67" i="11"/>
  <c r="R67" i="11" a="1"/>
  <c r="R67" i="11"/>
  <c r="T67" i="11" a="1"/>
  <c r="T67" i="11"/>
  <c r="V67" i="11" a="1"/>
  <c r="V67" i="11"/>
  <c r="X67" i="11" a="1"/>
  <c r="X67" i="11"/>
  <c r="Z67" i="11" a="1"/>
  <c r="Z67" i="11"/>
  <c r="AB67" i="11" a="1"/>
  <c r="AB67" i="11"/>
  <c r="AD67" i="11" a="1"/>
  <c r="AD67" i="11" s="1"/>
  <c r="AF67" i="11" a="1"/>
  <c r="AF67" i="11"/>
  <c r="AF68" i="11" s="1"/>
  <c r="AH67" i="11" a="1"/>
  <c r="AH67" i="11"/>
  <c r="AJ67" i="11" a="1"/>
  <c r="AJ67" i="11"/>
  <c r="AL67" i="11" a="1"/>
  <c r="AL67" i="11"/>
  <c r="AN67" i="11" a="1"/>
  <c r="AN67" i="11"/>
  <c r="AP67" i="11" a="1"/>
  <c r="AP67" i="11"/>
  <c r="AR67" i="11" a="1"/>
  <c r="AR67" i="11"/>
  <c r="AT67" i="11" a="1"/>
  <c r="AT67" i="11" s="1"/>
  <c r="AV67" i="11" a="1"/>
  <c r="AV67" i="11"/>
  <c r="D68" i="11"/>
  <c r="H68" i="11"/>
  <c r="V68" i="11"/>
  <c r="AJ68" i="11"/>
  <c r="F69" i="11"/>
  <c r="P69" i="11"/>
  <c r="T69" i="11"/>
  <c r="X69" i="11"/>
  <c r="AN69" i="11"/>
  <c r="AP69" i="11"/>
  <c r="AV69" i="11"/>
  <c r="B70" i="11"/>
  <c r="D70" i="11"/>
  <c r="F70" i="11"/>
  <c r="H70" i="11"/>
  <c r="J70" i="11"/>
  <c r="L70" i="11"/>
  <c r="N70" i="11"/>
  <c r="P70" i="11"/>
  <c r="R70" i="11"/>
  <c r="T70" i="11"/>
  <c r="V70" i="11"/>
  <c r="X70" i="11"/>
  <c r="Z70" i="11"/>
  <c r="AB70" i="11"/>
  <c r="AD70" i="11"/>
  <c r="AF70" i="11"/>
  <c r="AH70" i="11"/>
  <c r="AJ70" i="11"/>
  <c r="AL70" i="11"/>
  <c r="AN70" i="11"/>
  <c r="AP70" i="11"/>
  <c r="AR70" i="11"/>
  <c r="AT70" i="11"/>
  <c r="AV70" i="11"/>
  <c r="B71" i="11"/>
  <c r="D71" i="11"/>
  <c r="F71" i="11"/>
  <c r="H71" i="11"/>
  <c r="J71" i="11"/>
  <c r="L71" i="11"/>
  <c r="N71" i="11"/>
  <c r="P71" i="11"/>
  <c r="R71" i="11"/>
  <c r="T71" i="11"/>
  <c r="V71" i="11"/>
  <c r="X71" i="11"/>
  <c r="Z71" i="11"/>
  <c r="AB71" i="11"/>
  <c r="AD71" i="11"/>
  <c r="AF71" i="11"/>
  <c r="AH71" i="11"/>
  <c r="AJ71" i="11"/>
  <c r="AL71" i="11"/>
  <c r="AN71" i="11"/>
  <c r="AP71" i="11"/>
  <c r="AR71" i="11"/>
  <c r="AT71" i="11"/>
  <c r="AV71" i="11"/>
  <c r="B72" i="11"/>
  <c r="D72" i="11"/>
  <c r="F72" i="11"/>
  <c r="H72" i="11"/>
  <c r="J72" i="11"/>
  <c r="L72" i="11"/>
  <c r="N72" i="11"/>
  <c r="P72" i="11"/>
  <c r="R72" i="11"/>
  <c r="T72" i="11"/>
  <c r="V72" i="11"/>
  <c r="X72" i="11"/>
  <c r="Z72" i="11"/>
  <c r="AB72" i="11"/>
  <c r="AD72" i="11"/>
  <c r="AF72" i="11"/>
  <c r="AH72" i="11"/>
  <c r="AJ72" i="11"/>
  <c r="AL72" i="11"/>
  <c r="AN72" i="11"/>
  <c r="AP72" i="11"/>
  <c r="AR72" i="11"/>
  <c r="AT72" i="11"/>
  <c r="AV72" i="11"/>
  <c r="B73" i="11" a="1"/>
  <c r="B73" i="11"/>
  <c r="D73" i="11" a="1"/>
  <c r="D73" i="11"/>
  <c r="F73" i="11" a="1"/>
  <c r="F73" i="11" s="1"/>
  <c r="H73" i="11" a="1"/>
  <c r="H73" i="11"/>
  <c r="J73" i="11" a="1"/>
  <c r="J73" i="11"/>
  <c r="L73" i="11" a="1"/>
  <c r="L73" i="11"/>
  <c r="N73" i="11" a="1"/>
  <c r="N73" i="11"/>
  <c r="P73" i="11" a="1"/>
  <c r="P73" i="11" s="1"/>
  <c r="R73" i="11" a="1"/>
  <c r="R73" i="11"/>
  <c r="T73" i="11" a="1"/>
  <c r="T73" i="11"/>
  <c r="V73" i="11" a="1"/>
  <c r="V73" i="11" s="1"/>
  <c r="X73" i="11" a="1"/>
  <c r="X73" i="11"/>
  <c r="Z73" i="11" a="1"/>
  <c r="Z73" i="11"/>
  <c r="AB73" i="11" a="1"/>
  <c r="AB73" i="11"/>
  <c r="AD73" i="11" a="1"/>
  <c r="AD73" i="11"/>
  <c r="AF73" i="11" a="1"/>
  <c r="AF73" i="11" s="1"/>
  <c r="AH73" i="11" a="1"/>
  <c r="AH73" i="11"/>
  <c r="AJ73" i="11" a="1"/>
  <c r="AJ73" i="11"/>
  <c r="AL73" i="11" a="1"/>
  <c r="AL73" i="11" s="1"/>
  <c r="AN73" i="11" a="1"/>
  <c r="AN73" i="11"/>
  <c r="AP73" i="11" a="1"/>
  <c r="AP73" i="11"/>
  <c r="AR73" i="11" a="1"/>
  <c r="AR73" i="11"/>
  <c r="AT73" i="11" a="1"/>
  <c r="AT73" i="11"/>
  <c r="AV73" i="11" a="1"/>
  <c r="AV73" i="11" s="1"/>
  <c r="B74" i="11" a="1"/>
  <c r="B74" i="11"/>
  <c r="D74" i="11" a="1"/>
  <c r="D74" i="11"/>
  <c r="F74" i="11" a="1"/>
  <c r="F74" i="11" s="1"/>
  <c r="H74" i="11" a="1"/>
  <c r="H74" i="11"/>
  <c r="J74" i="11" a="1"/>
  <c r="J74" i="11"/>
  <c r="L74" i="11" a="1"/>
  <c r="L74" i="11"/>
  <c r="N74" i="11" a="1"/>
  <c r="N74" i="11"/>
  <c r="P74" i="11" a="1"/>
  <c r="P74" i="11" s="1"/>
  <c r="R74" i="11" a="1"/>
  <c r="R74" i="11"/>
  <c r="T74" i="11" a="1"/>
  <c r="T74" i="11"/>
  <c r="V74" i="11" a="1"/>
  <c r="V74" i="11" s="1"/>
  <c r="X74" i="11" a="1"/>
  <c r="X74" i="11"/>
  <c r="Z74" i="11" a="1"/>
  <c r="Z74" i="11"/>
  <c r="AB74" i="11" a="1"/>
  <c r="AB74" i="11"/>
  <c r="AD74" i="11" a="1"/>
  <c r="AD74" i="11"/>
  <c r="AF74" i="11" a="1"/>
  <c r="AF74" i="11" s="1"/>
  <c r="AH74" i="11" a="1"/>
  <c r="AH74" i="11"/>
  <c r="AJ74" i="11" a="1"/>
  <c r="AJ74" i="11"/>
  <c r="AL74" i="11" a="1"/>
  <c r="AL74" i="11" s="1"/>
  <c r="AN74" i="11" a="1"/>
  <c r="AN74" i="11"/>
  <c r="AP74" i="11" a="1"/>
  <c r="AP74" i="11"/>
  <c r="AR74" i="11" a="1"/>
  <c r="AR74" i="11"/>
  <c r="AT74" i="11" a="1"/>
  <c r="AT74" i="11"/>
  <c r="AV74" i="11" a="1"/>
  <c r="AV74" i="11" s="1"/>
  <c r="B75" i="11" a="1"/>
  <c r="B75" i="11"/>
  <c r="D75" i="11" a="1"/>
  <c r="D75" i="11"/>
  <c r="F75" i="11" a="1"/>
  <c r="F75" i="11" s="1"/>
  <c r="H75" i="11" a="1"/>
  <c r="H75" i="11"/>
  <c r="J75" i="11" a="1"/>
  <c r="J75" i="11"/>
  <c r="L75" i="11" a="1"/>
  <c r="L75" i="11"/>
  <c r="N75" i="11" a="1"/>
  <c r="N75" i="11"/>
  <c r="P75" i="11" a="1"/>
  <c r="P75" i="11" s="1"/>
  <c r="R75" i="11" a="1"/>
  <c r="R75" i="11"/>
  <c r="T75" i="11" a="1"/>
  <c r="T75" i="11"/>
  <c r="V75" i="11" a="1"/>
  <c r="V75" i="11" s="1"/>
  <c r="X75" i="11" a="1"/>
  <c r="X75" i="11"/>
  <c r="Z75" i="11" a="1"/>
  <c r="Z75" i="11"/>
  <c r="AB75" i="11" a="1"/>
  <c r="AB75" i="11"/>
  <c r="AD75" i="11" a="1"/>
  <c r="AD75" i="11"/>
  <c r="AF75" i="11" a="1"/>
  <c r="AF75" i="11" s="1"/>
  <c r="AH75" i="11" a="1"/>
  <c r="AH75" i="11"/>
  <c r="AJ75" i="11" a="1"/>
  <c r="AJ75" i="11"/>
  <c r="AL75" i="11" a="1"/>
  <c r="AL75" i="11" s="1"/>
  <c r="AN75" i="11" a="1"/>
  <c r="AN75" i="11"/>
  <c r="AP75" i="11" a="1"/>
  <c r="AP75" i="11"/>
  <c r="AR75" i="11" a="1"/>
  <c r="AR75" i="11"/>
  <c r="AT75" i="11" a="1"/>
  <c r="AT75" i="11"/>
  <c r="AV75" i="11" a="1"/>
  <c r="AV75" i="11" s="1"/>
  <c r="B76" i="11" a="1"/>
  <c r="B76" i="11"/>
  <c r="D76" i="11" a="1"/>
  <c r="D76" i="11"/>
  <c r="F76" i="11" a="1"/>
  <c r="F76" i="11" s="1"/>
  <c r="H76" i="11" a="1"/>
  <c r="H76" i="11"/>
  <c r="J76" i="11" a="1"/>
  <c r="J76" i="11"/>
  <c r="L76" i="11" a="1"/>
  <c r="L76" i="11"/>
  <c r="N76" i="11" a="1"/>
  <c r="N76" i="11"/>
  <c r="P76" i="11" a="1"/>
  <c r="P76" i="11" s="1"/>
  <c r="R76" i="11" a="1"/>
  <c r="R76" i="11"/>
  <c r="T76" i="11" a="1"/>
  <c r="T76" i="11"/>
  <c r="V76" i="11" a="1"/>
  <c r="V76" i="11" s="1"/>
  <c r="X76" i="11" a="1"/>
  <c r="X76" i="11"/>
  <c r="Z76" i="11" a="1"/>
  <c r="Z76" i="11"/>
  <c r="AB76" i="11" a="1"/>
  <c r="AB76" i="11"/>
  <c r="AD76" i="11" a="1"/>
  <c r="AD76" i="11"/>
  <c r="AF76" i="11" a="1"/>
  <c r="AF76" i="11" s="1"/>
  <c r="AH76" i="11" a="1"/>
  <c r="AH76" i="11"/>
  <c r="AJ76" i="11" a="1"/>
  <c r="AJ76" i="11"/>
  <c r="AL76" i="11" a="1"/>
  <c r="AL76" i="11" s="1"/>
  <c r="AN76" i="11" a="1"/>
  <c r="AN76" i="11"/>
  <c r="AP76" i="11" a="1"/>
  <c r="AP76" i="11"/>
  <c r="AR76" i="11" a="1"/>
  <c r="AR76" i="11"/>
  <c r="AT76" i="11" a="1"/>
  <c r="AT76" i="11"/>
  <c r="AV76" i="11" a="1"/>
  <c r="AV76" i="11" s="1"/>
  <c r="B77" i="11" a="1"/>
  <c r="B77" i="11"/>
  <c r="D77" i="11" a="1"/>
  <c r="D77" i="11"/>
  <c r="F77" i="11" a="1"/>
  <c r="F77" i="11" s="1"/>
  <c r="H77" i="11" a="1"/>
  <c r="H77" i="11"/>
  <c r="J77" i="11" a="1"/>
  <c r="J77" i="11"/>
  <c r="L77" i="11" a="1"/>
  <c r="L77" i="11"/>
  <c r="N77" i="11" a="1"/>
  <c r="N77" i="11"/>
  <c r="P77" i="11" a="1"/>
  <c r="P77" i="11" s="1"/>
  <c r="R77" i="11" a="1"/>
  <c r="R77" i="11"/>
  <c r="T77" i="11" a="1"/>
  <c r="T77" i="11"/>
  <c r="V77" i="11" a="1"/>
  <c r="V77" i="11" s="1"/>
  <c r="X77" i="11" a="1"/>
  <c r="X77" i="11"/>
  <c r="Z77" i="11" a="1"/>
  <c r="Z77" i="11"/>
  <c r="AB77" i="11" a="1"/>
  <c r="AB77" i="11"/>
  <c r="AD77" i="11" a="1"/>
  <c r="AD77" i="11"/>
  <c r="AF77" i="11" a="1"/>
  <c r="AF77" i="11" s="1"/>
  <c r="AH77" i="11" a="1"/>
  <c r="AH77" i="11"/>
  <c r="AJ77" i="11" a="1"/>
  <c r="AJ77" i="11"/>
  <c r="AL77" i="11" a="1"/>
  <c r="AL77" i="11" s="1"/>
  <c r="AN77" i="11" a="1"/>
  <c r="AN77" i="11"/>
  <c r="AP77" i="11" a="1"/>
  <c r="AP77" i="11"/>
  <c r="AR77" i="11" a="1"/>
  <c r="AR77" i="11"/>
  <c r="AT77" i="11" a="1"/>
  <c r="AT77" i="11"/>
  <c r="AV77" i="11" a="1"/>
  <c r="AV77" i="11" s="1"/>
  <c r="B78" i="11" a="1"/>
  <c r="B78" i="11"/>
  <c r="D78" i="11" a="1"/>
  <c r="D78" i="11"/>
  <c r="F78" i="11" a="1"/>
  <c r="F78" i="11" s="1"/>
  <c r="H78" i="11" a="1"/>
  <c r="H78" i="11"/>
  <c r="J78" i="11" a="1"/>
  <c r="J78" i="11"/>
  <c r="L78" i="11" a="1"/>
  <c r="L78" i="11"/>
  <c r="N78" i="11" a="1"/>
  <c r="N78" i="11"/>
  <c r="P78" i="11" a="1"/>
  <c r="P78" i="11" s="1"/>
  <c r="R78" i="11" a="1"/>
  <c r="R78" i="11"/>
  <c r="T78" i="11" a="1"/>
  <c r="T78" i="11"/>
  <c r="V78" i="11" a="1"/>
  <c r="V78" i="11" s="1"/>
  <c r="X78" i="11" a="1"/>
  <c r="X78" i="11"/>
  <c r="Z78" i="11" a="1"/>
  <c r="Z78" i="11"/>
  <c r="AB78" i="11" a="1"/>
  <c r="AB78" i="11"/>
  <c r="AD78" i="11" a="1"/>
  <c r="AD78" i="11"/>
  <c r="AF78" i="11" a="1"/>
  <c r="AF78" i="11" s="1"/>
  <c r="AH78" i="11" a="1"/>
  <c r="AH78" i="11"/>
  <c r="AJ78" i="11" a="1"/>
  <c r="AJ78" i="11"/>
  <c r="AL78" i="11" a="1"/>
  <c r="AL78" i="11" s="1"/>
  <c r="AN78" i="11" a="1"/>
  <c r="AN78" i="11"/>
  <c r="AP78" i="11" a="1"/>
  <c r="AP78" i="11"/>
  <c r="AR78" i="11" a="1"/>
  <c r="AR78" i="11"/>
  <c r="AT78" i="11" a="1"/>
  <c r="AT78" i="11"/>
  <c r="AV78" i="11" a="1"/>
  <c r="AV78" i="11" s="1"/>
  <c r="B79" i="11" a="1"/>
  <c r="B79" i="11"/>
  <c r="D79" i="11" a="1"/>
  <c r="D79" i="11"/>
  <c r="F79" i="11" a="1"/>
  <c r="F79" i="11" s="1"/>
  <c r="H79" i="11" a="1"/>
  <c r="H79" i="11"/>
  <c r="J79" i="11" a="1"/>
  <c r="J79" i="11"/>
  <c r="L79" i="11" a="1"/>
  <c r="L79" i="11"/>
  <c r="N79" i="11" a="1"/>
  <c r="N79" i="11"/>
  <c r="P79" i="11" a="1"/>
  <c r="P79" i="11" s="1"/>
  <c r="R79" i="11" a="1"/>
  <c r="R79" i="11"/>
  <c r="T79" i="11" a="1"/>
  <c r="T79" i="11"/>
  <c r="V79" i="11" a="1"/>
  <c r="V79" i="11" s="1"/>
  <c r="X79" i="11" a="1"/>
  <c r="X79" i="11"/>
  <c r="Z79" i="11" a="1"/>
  <c r="Z79" i="11"/>
  <c r="AB79" i="11" a="1"/>
  <c r="AB79" i="11"/>
  <c r="AD79" i="11" a="1"/>
  <c r="AD79" i="11"/>
  <c r="AF79" i="11" a="1"/>
  <c r="AF79" i="11" s="1"/>
  <c r="AH79" i="11" a="1"/>
  <c r="AH79" i="11"/>
  <c r="AJ79" i="11" a="1"/>
  <c r="AJ79" i="11"/>
  <c r="AL79" i="11" a="1"/>
  <c r="AL79" i="11" s="1"/>
  <c r="AN79" i="11" a="1"/>
  <c r="AN79" i="11"/>
  <c r="AP79" i="11" a="1"/>
  <c r="AP79" i="11"/>
  <c r="AR79" i="11" a="1"/>
  <c r="AR79" i="11"/>
  <c r="AT79" i="11" a="1"/>
  <c r="AT79" i="11"/>
  <c r="AV79" i="11" a="1"/>
  <c r="AV79" i="11" s="1"/>
  <c r="B80" i="11"/>
  <c r="J80" i="11"/>
  <c r="L80" i="11"/>
  <c r="T80" i="11"/>
  <c r="AD80" i="11"/>
  <c r="AP80" i="11"/>
  <c r="AR80" i="11"/>
  <c r="D81" i="11"/>
  <c r="F81" i="11"/>
  <c r="H81" i="11"/>
  <c r="L81" i="11"/>
  <c r="N81" i="11"/>
  <c r="P81" i="11"/>
  <c r="R81" i="11"/>
  <c r="AB81" i="11"/>
  <c r="AD81" i="11"/>
  <c r="AJ81" i="11"/>
  <c r="AL81" i="11"/>
  <c r="AN81" i="11"/>
  <c r="T6" i="23"/>
  <c r="S6" i="23"/>
  <c r="R6" i="23"/>
  <c r="Y4" i="23"/>
  <c r="X4" i="23"/>
  <c r="W4" i="23"/>
  <c r="V4" i="23"/>
  <c r="U4" i="23"/>
  <c r="AJ68" i="35" l="1"/>
  <c r="J68" i="35"/>
  <c r="AN68" i="35"/>
  <c r="AR68" i="35"/>
  <c r="AV68" i="35"/>
  <c r="F68" i="35"/>
  <c r="AF68" i="35"/>
  <c r="AF68" i="38"/>
  <c r="AL68" i="38"/>
  <c r="Z68" i="38"/>
  <c r="F68" i="38"/>
  <c r="H68" i="38"/>
  <c r="AT68" i="21"/>
  <c r="Z68" i="21"/>
  <c r="AB68" i="21"/>
  <c r="AD68" i="21"/>
  <c r="AF68" i="21"/>
  <c r="AH68" i="21"/>
  <c r="AL68" i="21"/>
  <c r="J68" i="24"/>
  <c r="X68" i="24"/>
  <c r="F68" i="18"/>
  <c r="AH68" i="18"/>
  <c r="H68" i="18"/>
  <c r="AJ68" i="18"/>
  <c r="J68" i="18"/>
  <c r="AL68" i="18"/>
  <c r="L68" i="18"/>
  <c r="AN68" i="18"/>
  <c r="AP68" i="18"/>
  <c r="AB68" i="18"/>
  <c r="AR68" i="18"/>
  <c r="P68" i="18"/>
  <c r="AP68" i="22"/>
  <c r="AR68" i="22"/>
  <c r="V68" i="22"/>
  <c r="AT68" i="22"/>
  <c r="B68" i="22"/>
  <c r="D68" i="22"/>
  <c r="F68" i="22"/>
  <c r="AD68" i="22"/>
  <c r="H68" i="22"/>
  <c r="AF68" i="22"/>
  <c r="L68" i="22"/>
  <c r="AL68" i="22"/>
  <c r="AN68" i="22"/>
  <c r="F68" i="12"/>
  <c r="AF68" i="12"/>
  <c r="H68" i="12"/>
  <c r="AH68" i="12"/>
  <c r="AN68" i="12"/>
  <c r="P68" i="12"/>
  <c r="AP68" i="12"/>
  <c r="R68" i="12"/>
  <c r="AR68" i="12"/>
  <c r="AL68" i="12"/>
  <c r="V68" i="12"/>
  <c r="AV68" i="12"/>
  <c r="X68" i="12"/>
  <c r="AB68" i="11"/>
  <c r="AR68" i="11"/>
  <c r="J68" i="11"/>
  <c r="AL68" i="11"/>
  <c r="AH68" i="11"/>
  <c r="P68" i="11"/>
  <c r="AT68" i="11"/>
  <c r="W58" i="2" a="1"/>
  <c r="W59" i="2" a="1"/>
  <c r="A9" i="45"/>
  <c r="A8" i="45"/>
  <c r="A7" i="45"/>
  <c r="A6" i="45"/>
  <c r="A5" i="45"/>
  <c r="A4" i="45"/>
  <c r="A3" i="45"/>
  <c r="A2" i="45"/>
  <c r="Y1" i="45"/>
  <c r="X1" i="45"/>
  <c r="W1" i="45"/>
  <c r="V1" i="45"/>
  <c r="U1" i="45"/>
  <c r="T1" i="45"/>
  <c r="S1" i="45"/>
  <c r="R1" i="45"/>
  <c r="Q1" i="45"/>
  <c r="P1" i="45"/>
  <c r="O1" i="45"/>
  <c r="N1" i="45"/>
  <c r="M1" i="45"/>
  <c r="L1" i="45"/>
  <c r="K1" i="45"/>
  <c r="J1" i="45"/>
  <c r="I1" i="45"/>
  <c r="H1" i="45"/>
  <c r="G1" i="45"/>
  <c r="F1" i="45"/>
  <c r="E1" i="45"/>
  <c r="D1" i="45"/>
  <c r="C1" i="45"/>
  <c r="B1" i="45"/>
  <c r="A9" i="44" l="1"/>
  <c r="A8" i="44"/>
  <c r="A7" i="44"/>
  <c r="A6" i="44"/>
  <c r="A5" i="44"/>
  <c r="A4" i="44"/>
  <c r="A3" i="44"/>
  <c r="A2" i="44"/>
  <c r="Y1" i="44"/>
  <c r="X1" i="44"/>
  <c r="W1" i="44"/>
  <c r="V1" i="44"/>
  <c r="U1" i="44"/>
  <c r="T1" i="44"/>
  <c r="S1" i="44"/>
  <c r="R1" i="44"/>
  <c r="Q1" i="44"/>
  <c r="P1" i="44"/>
  <c r="O1" i="44"/>
  <c r="N1" i="44"/>
  <c r="M1" i="44"/>
  <c r="L1" i="44"/>
  <c r="K1" i="44"/>
  <c r="J1" i="44"/>
  <c r="I1" i="44"/>
  <c r="H1" i="44"/>
  <c r="G1" i="44"/>
  <c r="F1" i="44"/>
  <c r="E1" i="44"/>
  <c r="D1" i="44"/>
  <c r="C1" i="44"/>
  <c r="B1" i="44"/>
  <c r="Y65" i="23" l="1"/>
  <c r="X65" i="23"/>
  <c r="W65" i="23"/>
  <c r="V65" i="23"/>
  <c r="U65" i="23"/>
  <c r="T65" i="23"/>
  <c r="S65" i="23"/>
  <c r="R65" i="23"/>
  <c r="Q65" i="23"/>
  <c r="P65" i="23"/>
  <c r="O65" i="23"/>
  <c r="N65" i="23"/>
  <c r="M65" i="23"/>
  <c r="L65" i="23"/>
  <c r="K65" i="23"/>
  <c r="J65" i="23"/>
  <c r="I65" i="23"/>
  <c r="H65" i="23"/>
  <c r="G65" i="23"/>
  <c r="F65" i="23"/>
  <c r="E65" i="23"/>
  <c r="D65" i="23"/>
  <c r="C65" i="23"/>
  <c r="B65" i="23"/>
  <c r="Y64" i="23"/>
  <c r="X64" i="23"/>
  <c r="W64" i="23"/>
  <c r="V64" i="23"/>
  <c r="U64" i="23"/>
  <c r="T64" i="23"/>
  <c r="S64" i="23"/>
  <c r="R64" i="23"/>
  <c r="Q64" i="23"/>
  <c r="P64" i="23"/>
  <c r="O64" i="23"/>
  <c r="N64" i="23"/>
  <c r="M64" i="23"/>
  <c r="L64" i="23"/>
  <c r="K64" i="23"/>
  <c r="J64" i="23"/>
  <c r="I64" i="23"/>
  <c r="H64" i="23"/>
  <c r="G64" i="23"/>
  <c r="F64" i="23"/>
  <c r="E64" i="23"/>
  <c r="D64" i="23"/>
  <c r="C64" i="23"/>
  <c r="B64" i="23"/>
  <c r="T63" i="23"/>
  <c r="S63" i="23"/>
  <c r="R63" i="23"/>
  <c r="Q63" i="23"/>
  <c r="P63" i="23"/>
  <c r="O63" i="23"/>
  <c r="N63" i="23"/>
  <c r="M63" i="23"/>
  <c r="L63" i="23"/>
  <c r="K63" i="23"/>
  <c r="J63" i="23"/>
  <c r="I63" i="23"/>
  <c r="H63" i="23"/>
  <c r="G63" i="23"/>
  <c r="F63" i="23"/>
  <c r="E63" i="23"/>
  <c r="D63" i="23"/>
  <c r="C63" i="23"/>
  <c r="B63" i="23"/>
  <c r="O62" i="23"/>
  <c r="N62" i="23"/>
  <c r="M62" i="23"/>
  <c r="L62" i="23"/>
  <c r="K62" i="23"/>
  <c r="J62" i="23"/>
  <c r="I62" i="23"/>
  <c r="H62" i="23"/>
  <c r="G62" i="23"/>
  <c r="F62" i="23"/>
  <c r="E62" i="23"/>
  <c r="D62" i="23"/>
  <c r="C62" i="23"/>
  <c r="B62" i="23"/>
  <c r="Q61" i="23"/>
  <c r="P61" i="23"/>
  <c r="O61" i="23"/>
  <c r="N61" i="23"/>
  <c r="M61" i="23"/>
  <c r="L61" i="23"/>
  <c r="K61" i="23"/>
  <c r="J61" i="23"/>
  <c r="I61" i="23"/>
  <c r="H61" i="23"/>
  <c r="G61" i="23"/>
  <c r="F61" i="23"/>
  <c r="E61" i="23"/>
  <c r="D61" i="23"/>
  <c r="C61" i="23"/>
  <c r="B61" i="23"/>
  <c r="Y60" i="23"/>
  <c r="X60" i="23"/>
  <c r="W60" i="23"/>
  <c r="V60" i="23"/>
  <c r="U60" i="23"/>
  <c r="T60" i="23"/>
  <c r="S60" i="23"/>
  <c r="R60" i="23"/>
  <c r="Q60" i="23"/>
  <c r="P60" i="23"/>
  <c r="O60" i="23"/>
  <c r="N60" i="23"/>
  <c r="M60" i="23"/>
  <c r="L60" i="23"/>
  <c r="K60" i="23"/>
  <c r="J60" i="23"/>
  <c r="I60" i="23"/>
  <c r="H60" i="23"/>
  <c r="G60" i="23"/>
  <c r="F60" i="23"/>
  <c r="E60" i="23"/>
  <c r="D60" i="23"/>
  <c r="C60" i="23"/>
  <c r="B60" i="23"/>
  <c r="T59" i="23"/>
  <c r="S59" i="23"/>
  <c r="R59" i="23"/>
  <c r="Q59" i="23"/>
  <c r="P59" i="23"/>
  <c r="O59" i="23"/>
  <c r="N59" i="23"/>
  <c r="M59" i="23"/>
  <c r="L59" i="23"/>
  <c r="K59" i="23"/>
  <c r="J59" i="23"/>
  <c r="I59" i="23"/>
  <c r="H59" i="23"/>
  <c r="G59" i="23"/>
  <c r="F59" i="23"/>
  <c r="E59" i="23"/>
  <c r="D59" i="23"/>
  <c r="C59" i="23"/>
  <c r="B59" i="23"/>
  <c r="Y58" i="23"/>
  <c r="X58" i="23"/>
  <c r="W58" i="23"/>
  <c r="V58" i="23"/>
  <c r="U58" i="23"/>
  <c r="T58" i="23"/>
  <c r="S58" i="23"/>
  <c r="R58" i="23"/>
  <c r="Q58" i="23"/>
  <c r="P58" i="23"/>
  <c r="O58" i="23"/>
  <c r="N58" i="23"/>
  <c r="M58" i="23"/>
  <c r="L58" i="23"/>
  <c r="K58" i="23"/>
  <c r="J58" i="23"/>
  <c r="I58" i="23"/>
  <c r="H58" i="23"/>
  <c r="G58" i="23"/>
  <c r="F58" i="23"/>
  <c r="E58" i="23"/>
  <c r="D58" i="23"/>
  <c r="C58" i="23"/>
  <c r="B58"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O51" i="23"/>
  <c r="N51" i="23"/>
  <c r="M51" i="23"/>
  <c r="L51" i="23"/>
  <c r="K51" i="23"/>
  <c r="J51" i="23"/>
  <c r="I51" i="23"/>
  <c r="H51" i="23"/>
  <c r="G51" i="23"/>
  <c r="F51" i="23"/>
  <c r="E51" i="23"/>
  <c r="D51" i="23"/>
  <c r="C51" i="23"/>
  <c r="B51" i="23"/>
  <c r="Q50" i="23"/>
  <c r="P50" i="23"/>
  <c r="O50" i="23"/>
  <c r="N50" i="23"/>
  <c r="M50" i="23"/>
  <c r="L50" i="23"/>
  <c r="K50" i="23"/>
  <c r="J50" i="23"/>
  <c r="I50" i="23"/>
  <c r="H50" i="23"/>
  <c r="G50" i="23"/>
  <c r="F50" i="23"/>
  <c r="E50" i="23"/>
  <c r="D50" i="23"/>
  <c r="C50" i="23"/>
  <c r="B50" i="23"/>
  <c r="T52" i="23"/>
  <c r="S52" i="23"/>
  <c r="R52" i="23"/>
  <c r="Q52" i="23"/>
  <c r="P52" i="23"/>
  <c r="O52" i="23"/>
  <c r="N52" i="23"/>
  <c r="M52" i="23"/>
  <c r="L52" i="23"/>
  <c r="K52" i="23"/>
  <c r="J52" i="23"/>
  <c r="I52" i="23"/>
  <c r="H52" i="23"/>
  <c r="G52" i="23"/>
  <c r="F52" i="23"/>
  <c r="E52" i="23"/>
  <c r="D52" i="23"/>
  <c r="C52" i="23"/>
  <c r="B52" i="23"/>
  <c r="T48" i="23"/>
  <c r="S48" i="23"/>
  <c r="R48" i="23"/>
  <c r="Q48" i="23"/>
  <c r="P48" i="23"/>
  <c r="O48" i="23"/>
  <c r="N48" i="23"/>
  <c r="M48" i="23"/>
  <c r="L48" i="23"/>
  <c r="K48" i="23"/>
  <c r="J48" i="23"/>
  <c r="I48" i="23"/>
  <c r="H48" i="23"/>
  <c r="G48" i="23"/>
  <c r="F48" i="23"/>
  <c r="E48" i="23"/>
  <c r="D48" i="23"/>
  <c r="C48" i="23"/>
  <c r="B48" i="23"/>
  <c r="Y49" i="23"/>
  <c r="X49" i="23"/>
  <c r="W49" i="23"/>
  <c r="V49" i="23"/>
  <c r="U49" i="23"/>
  <c r="T49" i="23"/>
  <c r="S49" i="23"/>
  <c r="R49" i="23"/>
  <c r="Q49" i="23"/>
  <c r="P49" i="23"/>
  <c r="O49" i="23"/>
  <c r="N49" i="23"/>
  <c r="M49" i="23"/>
  <c r="L49" i="23"/>
  <c r="K49" i="23"/>
  <c r="J49" i="23"/>
  <c r="I49" i="23"/>
  <c r="H49" i="23"/>
  <c r="G49" i="23"/>
  <c r="F49" i="23"/>
  <c r="E49" i="23"/>
  <c r="D49" i="23"/>
  <c r="C49" i="23"/>
  <c r="B49" i="23"/>
  <c r="Y47" i="23"/>
  <c r="X47" i="23"/>
  <c r="W47" i="23"/>
  <c r="V47" i="23"/>
  <c r="U47" i="23"/>
  <c r="T47" i="23"/>
  <c r="S47" i="23"/>
  <c r="R47" i="23"/>
  <c r="Q47" i="23"/>
  <c r="P47" i="23"/>
  <c r="O47" i="23"/>
  <c r="N47" i="23"/>
  <c r="M47" i="23"/>
  <c r="L47" i="23"/>
  <c r="K47" i="23"/>
  <c r="J47" i="23"/>
  <c r="I47" i="23"/>
  <c r="H47" i="23"/>
  <c r="G47" i="23"/>
  <c r="F47" i="23"/>
  <c r="E47" i="23"/>
  <c r="D47" i="23"/>
  <c r="C47" i="23"/>
  <c r="B47" i="23"/>
  <c r="Y42" i="23"/>
  <c r="Y8" i="45" s="1"/>
  <c r="X42" i="23"/>
  <c r="X8" i="45" s="1"/>
  <c r="W42" i="23"/>
  <c r="W8" i="45" s="1"/>
  <c r="V42" i="23"/>
  <c r="V8" i="45" s="1"/>
  <c r="U42" i="23"/>
  <c r="U8" i="45" s="1"/>
  <c r="T42" i="23"/>
  <c r="T8" i="45" s="1"/>
  <c r="S42" i="23"/>
  <c r="S8" i="45" s="1"/>
  <c r="R42" i="23"/>
  <c r="R8" i="45" s="1"/>
  <c r="Q42" i="23"/>
  <c r="Q8" i="45" s="1"/>
  <c r="P42" i="23"/>
  <c r="P8" i="45" s="1"/>
  <c r="O42" i="23"/>
  <c r="O8" i="45" s="1"/>
  <c r="N42" i="23"/>
  <c r="N8" i="45" s="1"/>
  <c r="M42" i="23"/>
  <c r="M8" i="45" s="1"/>
  <c r="L42" i="23"/>
  <c r="L8" i="45" s="1"/>
  <c r="K42" i="23"/>
  <c r="K8" i="45" s="1"/>
  <c r="J42" i="23"/>
  <c r="J8" i="45" s="1"/>
  <c r="I42" i="23"/>
  <c r="I8" i="45" s="1"/>
  <c r="H42" i="23"/>
  <c r="H8" i="45" s="1"/>
  <c r="G42" i="23"/>
  <c r="G8" i="45" s="1"/>
  <c r="F42" i="23"/>
  <c r="F8" i="45" s="1"/>
  <c r="E42" i="23"/>
  <c r="E8" i="45" s="1"/>
  <c r="D42" i="23"/>
  <c r="D8" i="45" s="1"/>
  <c r="C42" i="23"/>
  <c r="C8" i="45" s="1"/>
  <c r="B42" i="23"/>
  <c r="B8" i="45" s="1"/>
  <c r="Y21" i="23"/>
  <c r="Y8" i="46" s="1"/>
  <c r="X21" i="23"/>
  <c r="X8" i="46" s="1"/>
  <c r="W21" i="23"/>
  <c r="W8" i="46" s="1"/>
  <c r="V21" i="23"/>
  <c r="V8" i="46" s="1"/>
  <c r="U21" i="23"/>
  <c r="U8" i="46" s="1"/>
  <c r="T21" i="23"/>
  <c r="T8" i="46" s="1"/>
  <c r="S21" i="23"/>
  <c r="S8" i="46" s="1"/>
  <c r="R21" i="23"/>
  <c r="R8" i="46" s="1"/>
  <c r="Q21" i="23"/>
  <c r="Q8" i="46" s="1"/>
  <c r="P21" i="23"/>
  <c r="P8" i="46" s="1"/>
  <c r="O21" i="23"/>
  <c r="O8" i="46" s="1"/>
  <c r="N21" i="23"/>
  <c r="N8" i="46" s="1"/>
  <c r="M21" i="23"/>
  <c r="M8" i="46" s="1"/>
  <c r="L21" i="23"/>
  <c r="L8" i="46" s="1"/>
  <c r="K21" i="23"/>
  <c r="K8" i="46" s="1"/>
  <c r="J21" i="23"/>
  <c r="J8" i="46" s="1"/>
  <c r="I21" i="23"/>
  <c r="I8" i="46" s="1"/>
  <c r="H21" i="23"/>
  <c r="H8" i="46" s="1"/>
  <c r="G21" i="23"/>
  <c r="G8" i="46" s="1"/>
  <c r="F21" i="23"/>
  <c r="F8" i="46" s="1"/>
  <c r="E21" i="23"/>
  <c r="E8" i="46" s="1"/>
  <c r="D21" i="23"/>
  <c r="D8" i="46" s="1"/>
  <c r="C21" i="23"/>
  <c r="C8" i="46" s="1"/>
  <c r="B21" i="23"/>
  <c r="B8" i="46" s="1"/>
  <c r="Y20" i="23"/>
  <c r="Y7" i="46" s="1"/>
  <c r="X20" i="23"/>
  <c r="X7" i="46" s="1"/>
  <c r="W20" i="23"/>
  <c r="W7" i="46" s="1"/>
  <c r="V20" i="23"/>
  <c r="V7" i="46" s="1"/>
  <c r="U20" i="23"/>
  <c r="U7" i="46" s="1"/>
  <c r="T20" i="23"/>
  <c r="T7" i="46" s="1"/>
  <c r="S20" i="23"/>
  <c r="S7" i="46" s="1"/>
  <c r="R20" i="23"/>
  <c r="R7" i="46" s="1"/>
  <c r="Q20" i="23"/>
  <c r="Q7" i="46" s="1"/>
  <c r="P20" i="23"/>
  <c r="P7" i="46" s="1"/>
  <c r="O20" i="23"/>
  <c r="O7" i="46" s="1"/>
  <c r="N20" i="23"/>
  <c r="N7" i="46" s="1"/>
  <c r="M20" i="23"/>
  <c r="M7" i="46" s="1"/>
  <c r="L20" i="23"/>
  <c r="L7" i="46" s="1"/>
  <c r="K20" i="23"/>
  <c r="K7" i="46" s="1"/>
  <c r="J20" i="23"/>
  <c r="J7" i="46" s="1"/>
  <c r="I20" i="23"/>
  <c r="I7" i="46" s="1"/>
  <c r="H20" i="23"/>
  <c r="H7" i="46" s="1"/>
  <c r="G20" i="23"/>
  <c r="G7" i="46" s="1"/>
  <c r="F20" i="23"/>
  <c r="F7" i="46" s="1"/>
  <c r="E20" i="23"/>
  <c r="E7" i="46" s="1"/>
  <c r="D20" i="23"/>
  <c r="D7" i="46" s="1"/>
  <c r="C20" i="23"/>
  <c r="C7" i="46" s="1"/>
  <c r="B20" i="23"/>
  <c r="B7" i="46" s="1"/>
  <c r="O18" i="23"/>
  <c r="O5" i="46" s="1"/>
  <c r="N18" i="23"/>
  <c r="N5" i="46" s="1"/>
  <c r="M18" i="23"/>
  <c r="M5" i="46" s="1"/>
  <c r="L18" i="23"/>
  <c r="L5" i="46" s="1"/>
  <c r="K18" i="23"/>
  <c r="K5" i="46" s="1"/>
  <c r="J18" i="23"/>
  <c r="J5" i="46" s="1"/>
  <c r="I18" i="23"/>
  <c r="I5" i="46" s="1"/>
  <c r="H18" i="23"/>
  <c r="H5" i="46" s="1"/>
  <c r="G18" i="23"/>
  <c r="G5" i="46" s="1"/>
  <c r="F18" i="23"/>
  <c r="F5" i="46" s="1"/>
  <c r="E18" i="23"/>
  <c r="E5" i="46" s="1"/>
  <c r="D18" i="23"/>
  <c r="D5" i="46" s="1"/>
  <c r="C18" i="23"/>
  <c r="C5" i="46" s="1"/>
  <c r="B18" i="23"/>
  <c r="B5" i="46" s="1"/>
  <c r="T15" i="23"/>
  <c r="T9" i="46" s="1"/>
  <c r="S15" i="23"/>
  <c r="S9" i="46" s="1"/>
  <c r="R15" i="23"/>
  <c r="R9" i="46" s="1"/>
  <c r="Q15" i="23"/>
  <c r="Q9" i="46" s="1"/>
  <c r="P15" i="23"/>
  <c r="P9" i="46" s="1"/>
  <c r="O15" i="23"/>
  <c r="O9" i="46" s="1"/>
  <c r="N15" i="23"/>
  <c r="N9" i="46" s="1"/>
  <c r="M15" i="23"/>
  <c r="M9" i="46" s="1"/>
  <c r="L15" i="23"/>
  <c r="L9" i="46" s="1"/>
  <c r="K15" i="23"/>
  <c r="K9" i="46" s="1"/>
  <c r="J15" i="23"/>
  <c r="J9" i="46" s="1"/>
  <c r="I15" i="23"/>
  <c r="I9" i="46" s="1"/>
  <c r="H15" i="23"/>
  <c r="H9" i="46" s="1"/>
  <c r="G15" i="23"/>
  <c r="G9" i="46" s="1"/>
  <c r="F15" i="23"/>
  <c r="F9" i="46" s="1"/>
  <c r="E15" i="23"/>
  <c r="E9" i="46" s="1"/>
  <c r="D15" i="23"/>
  <c r="D9" i="46" s="1"/>
  <c r="C15" i="23"/>
  <c r="C9" i="46" s="1"/>
  <c r="B15" i="23"/>
  <c r="B9" i="46" s="1"/>
  <c r="K78" i="23"/>
  <c r="J78" i="23"/>
  <c r="I78" i="23"/>
  <c r="H78" i="23"/>
  <c r="G78" i="23"/>
  <c r="F78" i="23"/>
  <c r="E78" i="23"/>
  <c r="D78" i="23"/>
  <c r="C78" i="23"/>
  <c r="B78" i="23"/>
  <c r="O77" i="23"/>
  <c r="N77" i="23"/>
  <c r="M77" i="23"/>
  <c r="L77" i="23"/>
  <c r="K77" i="23"/>
  <c r="J77" i="23"/>
  <c r="I77" i="23"/>
  <c r="H77" i="23"/>
  <c r="G77" i="23"/>
  <c r="F77" i="23"/>
  <c r="E77" i="23"/>
  <c r="D77" i="23"/>
  <c r="C77" i="23"/>
  <c r="B77" i="23"/>
  <c r="O76" i="23"/>
  <c r="N76" i="23"/>
  <c r="M76" i="23"/>
  <c r="L76" i="23"/>
  <c r="K76" i="23"/>
  <c r="J76" i="23"/>
  <c r="I76" i="23"/>
  <c r="H76" i="23"/>
  <c r="G76" i="23"/>
  <c r="F76" i="23"/>
  <c r="E76" i="23"/>
  <c r="D76" i="23"/>
  <c r="C76" i="23"/>
  <c r="B76" i="23"/>
  <c r="O75" i="23"/>
  <c r="N75" i="23"/>
  <c r="M75" i="23"/>
  <c r="L75" i="23"/>
  <c r="K75" i="23"/>
  <c r="J75" i="23"/>
  <c r="I75" i="23"/>
  <c r="H75" i="23"/>
  <c r="G75" i="23"/>
  <c r="F75" i="23"/>
  <c r="E75" i="23"/>
  <c r="D75" i="23"/>
  <c r="C75" i="23"/>
  <c r="B75" i="23"/>
  <c r="O74" i="23"/>
  <c r="N74" i="23"/>
  <c r="M74" i="23"/>
  <c r="L74" i="23"/>
  <c r="K74" i="23"/>
  <c r="J74" i="23"/>
  <c r="I74" i="23"/>
  <c r="H74" i="23"/>
  <c r="G74" i="23"/>
  <c r="F74" i="23"/>
  <c r="E74" i="23"/>
  <c r="D74" i="23"/>
  <c r="C74" i="23"/>
  <c r="B74" i="23"/>
  <c r="O73" i="23"/>
  <c r="N73" i="23"/>
  <c r="M73" i="23"/>
  <c r="L73" i="23"/>
  <c r="K73" i="23"/>
  <c r="J73" i="23"/>
  <c r="I73" i="23"/>
  <c r="H73" i="23"/>
  <c r="G73" i="23"/>
  <c r="F73" i="23"/>
  <c r="E73" i="23"/>
  <c r="D73" i="23"/>
  <c r="C73" i="23"/>
  <c r="B73" i="23"/>
  <c r="O72" i="23"/>
  <c r="N72" i="23"/>
  <c r="M72" i="23"/>
  <c r="L72" i="23"/>
  <c r="K72" i="23"/>
  <c r="J72" i="23"/>
  <c r="I72" i="23"/>
  <c r="H72" i="23"/>
  <c r="G72" i="23"/>
  <c r="F72" i="23"/>
  <c r="E72" i="23"/>
  <c r="D72" i="23"/>
  <c r="C72" i="23"/>
  <c r="B72" i="23"/>
  <c r="O71" i="23"/>
  <c r="N71" i="23"/>
  <c r="M71" i="23"/>
  <c r="L71" i="23"/>
  <c r="K71" i="23"/>
  <c r="J71" i="23"/>
  <c r="I71" i="23"/>
  <c r="H71" i="23"/>
  <c r="G71" i="23"/>
  <c r="F71" i="23"/>
  <c r="E71" i="23"/>
  <c r="D71" i="23"/>
  <c r="C71" i="23"/>
  <c r="B71" i="23"/>
  <c r="O70" i="23"/>
  <c r="N70" i="23"/>
  <c r="M70" i="23"/>
  <c r="L70" i="23"/>
  <c r="K70" i="23"/>
  <c r="J70" i="23"/>
  <c r="I70" i="23"/>
  <c r="H70" i="23"/>
  <c r="G70" i="23"/>
  <c r="F70" i="23"/>
  <c r="E70" i="23"/>
  <c r="D70" i="23"/>
  <c r="C70" i="23"/>
  <c r="B70" i="23"/>
  <c r="O69" i="23"/>
  <c r="N69" i="23"/>
  <c r="M69" i="23"/>
  <c r="L69" i="23"/>
  <c r="K69" i="23"/>
  <c r="J69" i="23"/>
  <c r="I69" i="23"/>
  <c r="H69" i="23"/>
  <c r="G69" i="23"/>
  <c r="F69" i="23"/>
  <c r="E69" i="23"/>
  <c r="D69" i="23"/>
  <c r="C69" i="23"/>
  <c r="B69" i="23"/>
  <c r="Y43" i="23"/>
  <c r="Y9" i="45" s="1"/>
  <c r="X43" i="23"/>
  <c r="X9" i="45" s="1"/>
  <c r="W43" i="23"/>
  <c r="W9" i="45" s="1"/>
  <c r="V43" i="23"/>
  <c r="V9" i="45" s="1"/>
  <c r="U43" i="23"/>
  <c r="U9" i="45" s="1"/>
  <c r="T43" i="23"/>
  <c r="T9" i="45" s="1"/>
  <c r="S43" i="23"/>
  <c r="S9" i="45" s="1"/>
  <c r="R43" i="23"/>
  <c r="R9" i="45" s="1"/>
  <c r="Q43" i="23"/>
  <c r="Q9" i="45" s="1"/>
  <c r="P43" i="23"/>
  <c r="P9" i="45" s="1"/>
  <c r="O43" i="23"/>
  <c r="O9" i="45" s="1"/>
  <c r="N43" i="23"/>
  <c r="N9" i="45" s="1"/>
  <c r="M43" i="23"/>
  <c r="M9" i="45" s="1"/>
  <c r="L43" i="23"/>
  <c r="L9" i="45" s="1"/>
  <c r="K43" i="23"/>
  <c r="K9" i="45" s="1"/>
  <c r="J43" i="23"/>
  <c r="J9" i="45" s="1"/>
  <c r="I43" i="23"/>
  <c r="I9" i="45" s="1"/>
  <c r="H43" i="23"/>
  <c r="H9" i="45" s="1"/>
  <c r="G43" i="23"/>
  <c r="G9" i="45" s="1"/>
  <c r="F43" i="23"/>
  <c r="F9" i="45" s="1"/>
  <c r="E43" i="23"/>
  <c r="E9" i="45" s="1"/>
  <c r="D43" i="23"/>
  <c r="D9" i="45" s="1"/>
  <c r="C43" i="23"/>
  <c r="C9" i="45" s="1"/>
  <c r="B43" i="23"/>
  <c r="B9" i="45" s="1"/>
  <c r="O40" i="23"/>
  <c r="O6" i="45" s="1"/>
  <c r="N40" i="23"/>
  <c r="N6" i="45" s="1"/>
  <c r="M40" i="23"/>
  <c r="M6" i="45" s="1"/>
  <c r="L40" i="23"/>
  <c r="L6" i="45" s="1"/>
  <c r="K40" i="23"/>
  <c r="K6" i="45" s="1"/>
  <c r="J40" i="23"/>
  <c r="J6" i="45" s="1"/>
  <c r="I40" i="23"/>
  <c r="I6" i="45" s="1"/>
  <c r="H40" i="23"/>
  <c r="H6" i="45" s="1"/>
  <c r="G40" i="23"/>
  <c r="G6" i="45" s="1"/>
  <c r="F40" i="23"/>
  <c r="F6" i="45" s="1"/>
  <c r="E40" i="23"/>
  <c r="E6" i="45" s="1"/>
  <c r="D40" i="23"/>
  <c r="D6" i="45" s="1"/>
  <c r="C40" i="23"/>
  <c r="C6" i="45" s="1"/>
  <c r="B40" i="23"/>
  <c r="B6" i="45" s="1"/>
  <c r="Q39" i="23"/>
  <c r="Q5" i="45" s="1"/>
  <c r="P39" i="23"/>
  <c r="P5" i="45" s="1"/>
  <c r="O39" i="23"/>
  <c r="O5" i="45" s="1"/>
  <c r="N39" i="23"/>
  <c r="N5" i="45" s="1"/>
  <c r="M39" i="23"/>
  <c r="M5" i="45" s="1"/>
  <c r="L39" i="23"/>
  <c r="L5" i="45" s="1"/>
  <c r="K39" i="23"/>
  <c r="K5" i="45" s="1"/>
  <c r="J39" i="23"/>
  <c r="J5" i="45" s="1"/>
  <c r="I39" i="23"/>
  <c r="I5" i="45" s="1"/>
  <c r="H39" i="23"/>
  <c r="H5" i="45" s="1"/>
  <c r="G39" i="23"/>
  <c r="G5" i="45" s="1"/>
  <c r="F39" i="23"/>
  <c r="F5" i="45" s="1"/>
  <c r="E39" i="23"/>
  <c r="E5" i="45" s="1"/>
  <c r="D39" i="23"/>
  <c r="D5" i="45" s="1"/>
  <c r="C39" i="23"/>
  <c r="C5" i="45" s="1"/>
  <c r="B39" i="23"/>
  <c r="B5" i="45" s="1"/>
  <c r="T41" i="23"/>
  <c r="T7" i="45" s="1"/>
  <c r="S41" i="23"/>
  <c r="S7" i="45" s="1"/>
  <c r="R41" i="23"/>
  <c r="R7" i="45" s="1"/>
  <c r="Q41" i="23"/>
  <c r="Q7" i="45" s="1"/>
  <c r="P41" i="23"/>
  <c r="P7" i="45" s="1"/>
  <c r="O41" i="23"/>
  <c r="O7" i="45" s="1"/>
  <c r="N41" i="23"/>
  <c r="N7" i="45" s="1"/>
  <c r="M41" i="23"/>
  <c r="M7" i="45" s="1"/>
  <c r="L41" i="23"/>
  <c r="L7" i="45" s="1"/>
  <c r="K41" i="23"/>
  <c r="K7" i="45" s="1"/>
  <c r="J41" i="23"/>
  <c r="J7" i="45" s="1"/>
  <c r="I41" i="23"/>
  <c r="I7" i="45" s="1"/>
  <c r="H41" i="23"/>
  <c r="H7" i="45" s="1"/>
  <c r="G41" i="23"/>
  <c r="G7" i="45" s="1"/>
  <c r="F41" i="23"/>
  <c r="F7" i="45" s="1"/>
  <c r="E41" i="23"/>
  <c r="E7" i="45" s="1"/>
  <c r="D41" i="23"/>
  <c r="D7" i="45" s="1"/>
  <c r="C41" i="23"/>
  <c r="C7" i="45" s="1"/>
  <c r="B41" i="23"/>
  <c r="B7" i="45" s="1"/>
  <c r="T37" i="23"/>
  <c r="T3" i="45" s="1"/>
  <c r="S37" i="23"/>
  <c r="S3" i="45" s="1"/>
  <c r="R37" i="23"/>
  <c r="R3" i="45" s="1"/>
  <c r="Q37" i="23"/>
  <c r="Q3" i="45" s="1"/>
  <c r="P37" i="23"/>
  <c r="P3" i="45" s="1"/>
  <c r="O37" i="23"/>
  <c r="O3" i="45" s="1"/>
  <c r="N37" i="23"/>
  <c r="N3" i="45" s="1"/>
  <c r="M37" i="23"/>
  <c r="M3" i="45" s="1"/>
  <c r="L37" i="23"/>
  <c r="L3" i="45" s="1"/>
  <c r="K37" i="23"/>
  <c r="K3" i="45" s="1"/>
  <c r="J37" i="23"/>
  <c r="J3" i="45" s="1"/>
  <c r="I37" i="23"/>
  <c r="I3" i="45" s="1"/>
  <c r="H37" i="23"/>
  <c r="H3" i="45" s="1"/>
  <c r="G37" i="23"/>
  <c r="G3" i="45" s="1"/>
  <c r="F37" i="23"/>
  <c r="F3" i="45" s="1"/>
  <c r="E37" i="23"/>
  <c r="E3" i="45" s="1"/>
  <c r="D37" i="23"/>
  <c r="D3" i="45" s="1"/>
  <c r="C37" i="23"/>
  <c r="C3" i="45" s="1"/>
  <c r="B37" i="23"/>
  <c r="B3" i="45" s="1"/>
  <c r="Y38" i="23"/>
  <c r="Y4" i="45" s="1"/>
  <c r="X38" i="23"/>
  <c r="X4" i="45" s="1"/>
  <c r="W38" i="23"/>
  <c r="W4" i="45" s="1"/>
  <c r="V38" i="23"/>
  <c r="V4" i="45" s="1"/>
  <c r="U38" i="23"/>
  <c r="U4" i="45" s="1"/>
  <c r="T38" i="23"/>
  <c r="T4" i="45" s="1"/>
  <c r="S38" i="23"/>
  <c r="S4" i="45" s="1"/>
  <c r="R38" i="23"/>
  <c r="R4" i="45" s="1"/>
  <c r="Q38" i="23"/>
  <c r="Q4" i="45" s="1"/>
  <c r="P38" i="23"/>
  <c r="P4" i="45" s="1"/>
  <c r="O38" i="23"/>
  <c r="O4" i="45" s="1"/>
  <c r="N38" i="23"/>
  <c r="N4" i="45" s="1"/>
  <c r="M38" i="23"/>
  <c r="M4" i="45" s="1"/>
  <c r="L38" i="23"/>
  <c r="L4" i="45" s="1"/>
  <c r="K38" i="23"/>
  <c r="K4" i="45" s="1"/>
  <c r="J38" i="23"/>
  <c r="J4" i="45" s="1"/>
  <c r="I38" i="23"/>
  <c r="I4" i="45" s="1"/>
  <c r="H38" i="23"/>
  <c r="H4" i="45" s="1"/>
  <c r="G38" i="23"/>
  <c r="G4" i="45" s="1"/>
  <c r="F38" i="23"/>
  <c r="F4" i="45" s="1"/>
  <c r="E38" i="23"/>
  <c r="E4" i="45" s="1"/>
  <c r="D38" i="23"/>
  <c r="D4" i="45" s="1"/>
  <c r="C38" i="23"/>
  <c r="C4" i="45" s="1"/>
  <c r="B38" i="23"/>
  <c r="B4" i="45" s="1"/>
  <c r="Y36" i="23"/>
  <c r="Y2" i="45" s="1"/>
  <c r="X36" i="23"/>
  <c r="X2" i="45" s="1"/>
  <c r="W36" i="23"/>
  <c r="W2" i="45" s="1"/>
  <c r="V36" i="23"/>
  <c r="V2" i="45" s="1"/>
  <c r="U36" i="23"/>
  <c r="U2" i="45" s="1"/>
  <c r="T36" i="23"/>
  <c r="T2" i="45" s="1"/>
  <c r="S36" i="23"/>
  <c r="S2" i="45" s="1"/>
  <c r="R36" i="23"/>
  <c r="R2" i="45" s="1"/>
  <c r="Q36" i="23"/>
  <c r="Q2" i="45" s="1"/>
  <c r="P36" i="23"/>
  <c r="P2" i="45" s="1"/>
  <c r="O36" i="23"/>
  <c r="O2" i="45" s="1"/>
  <c r="N36" i="23"/>
  <c r="N2" i="45" s="1"/>
  <c r="M36" i="23"/>
  <c r="M2" i="45" s="1"/>
  <c r="L36" i="23"/>
  <c r="L2" i="45" s="1"/>
  <c r="K36" i="23"/>
  <c r="K2" i="45" s="1"/>
  <c r="J36" i="23"/>
  <c r="J2" i="45" s="1"/>
  <c r="I36" i="23"/>
  <c r="I2" i="45" s="1"/>
  <c r="H36" i="23"/>
  <c r="H2" i="45" s="1"/>
  <c r="G36" i="23"/>
  <c r="G2" i="45" s="1"/>
  <c r="F36" i="23"/>
  <c r="F2" i="45" s="1"/>
  <c r="E36" i="23"/>
  <c r="E2" i="45" s="1"/>
  <c r="D36" i="23"/>
  <c r="D2" i="45" s="1"/>
  <c r="C36" i="23"/>
  <c r="C2" i="45" s="1"/>
  <c r="B36" i="23"/>
  <c r="B2" i="45" s="1"/>
  <c r="Y9" i="23"/>
  <c r="Y8" i="44" s="1"/>
  <c r="X9" i="23"/>
  <c r="X8" i="44" s="1"/>
  <c r="W9" i="23"/>
  <c r="W8" i="44" s="1"/>
  <c r="V9" i="23"/>
  <c r="V8" i="44" s="1"/>
  <c r="U9" i="23"/>
  <c r="U8" i="44" s="1"/>
  <c r="T9" i="23"/>
  <c r="T8" i="44" s="1"/>
  <c r="S9" i="23"/>
  <c r="S8" i="44" s="1"/>
  <c r="R9" i="23"/>
  <c r="R8" i="44" s="1"/>
  <c r="Q9" i="23"/>
  <c r="Q8" i="44" s="1"/>
  <c r="P9" i="23"/>
  <c r="P8" i="44" s="1"/>
  <c r="O9" i="23"/>
  <c r="O8" i="44" s="1"/>
  <c r="N9" i="23"/>
  <c r="N8" i="44" s="1"/>
  <c r="M9" i="23"/>
  <c r="M8" i="44" s="1"/>
  <c r="L9" i="23"/>
  <c r="L8" i="44" s="1"/>
  <c r="K9" i="23"/>
  <c r="K8" i="44" s="1"/>
  <c r="J9" i="23"/>
  <c r="J8" i="44" s="1"/>
  <c r="I9" i="23"/>
  <c r="I8" i="44" s="1"/>
  <c r="H9" i="23"/>
  <c r="H8" i="44" s="1"/>
  <c r="G9" i="23"/>
  <c r="G8" i="44" s="1"/>
  <c r="F9" i="23"/>
  <c r="F8" i="44" s="1"/>
  <c r="E9" i="23"/>
  <c r="E8" i="44" s="1"/>
  <c r="D9" i="23"/>
  <c r="D8" i="44" s="1"/>
  <c r="C9" i="23"/>
  <c r="C8" i="44" s="1"/>
  <c r="B9" i="23"/>
  <c r="B8" i="44" s="1"/>
  <c r="Y10" i="23"/>
  <c r="Y9" i="44" s="1"/>
  <c r="X10" i="23"/>
  <c r="X9" i="44" s="1"/>
  <c r="W10" i="23"/>
  <c r="W9" i="44" s="1"/>
  <c r="V10" i="23"/>
  <c r="V9" i="44" s="1"/>
  <c r="U10" i="23"/>
  <c r="U9" i="44" s="1"/>
  <c r="T10" i="23"/>
  <c r="T9" i="44" s="1"/>
  <c r="S10" i="23"/>
  <c r="S9" i="44" s="1"/>
  <c r="R10" i="23"/>
  <c r="R9" i="44" s="1"/>
  <c r="Q10" i="23"/>
  <c r="Q9" i="44" s="1"/>
  <c r="P10" i="23"/>
  <c r="P9" i="44" s="1"/>
  <c r="O10" i="23"/>
  <c r="O9" i="44" s="1"/>
  <c r="N10" i="23"/>
  <c r="N9" i="44" s="1"/>
  <c r="M10" i="23"/>
  <c r="M9" i="44" s="1"/>
  <c r="L10" i="23"/>
  <c r="L9" i="44" s="1"/>
  <c r="K10" i="23"/>
  <c r="K9" i="44" s="1"/>
  <c r="J10" i="23"/>
  <c r="J9" i="44" s="1"/>
  <c r="I10" i="23"/>
  <c r="I9" i="44" s="1"/>
  <c r="H10" i="23"/>
  <c r="H9" i="44" s="1"/>
  <c r="G10" i="23"/>
  <c r="G9" i="44" s="1"/>
  <c r="F10" i="23"/>
  <c r="F9" i="44" s="1"/>
  <c r="E10" i="23"/>
  <c r="E9" i="44" s="1"/>
  <c r="D10" i="23"/>
  <c r="D9" i="44" s="1"/>
  <c r="C10" i="23"/>
  <c r="C9" i="44" s="1"/>
  <c r="B10" i="23"/>
  <c r="B9" i="44" s="1"/>
  <c r="T8" i="23"/>
  <c r="S8" i="23"/>
  <c r="S7" i="44" s="1"/>
  <c r="R8" i="23"/>
  <c r="R7" i="44" s="1"/>
  <c r="Q8" i="23"/>
  <c r="Q7" i="44" s="1"/>
  <c r="P8" i="23"/>
  <c r="P7" i="44" s="1"/>
  <c r="O8" i="23"/>
  <c r="O7" i="44" s="1"/>
  <c r="N8" i="23"/>
  <c r="N7" i="44" s="1"/>
  <c r="M8" i="23"/>
  <c r="M7" i="44" s="1"/>
  <c r="L8" i="23"/>
  <c r="L7" i="44" s="1"/>
  <c r="K8" i="23"/>
  <c r="K7" i="44" s="1"/>
  <c r="J8" i="23"/>
  <c r="J7" i="44" s="1"/>
  <c r="I8" i="23"/>
  <c r="I7" i="44" s="1"/>
  <c r="H8" i="23"/>
  <c r="H7" i="44" s="1"/>
  <c r="G8" i="23"/>
  <c r="G7" i="44" s="1"/>
  <c r="F8" i="23"/>
  <c r="F7" i="44" s="1"/>
  <c r="E8" i="23"/>
  <c r="E7" i="44" s="1"/>
  <c r="D8" i="23"/>
  <c r="D7" i="44" s="1"/>
  <c r="C8" i="23"/>
  <c r="C7" i="44" s="1"/>
  <c r="B8" i="23"/>
  <c r="B7" i="44" s="1"/>
  <c r="O7" i="23"/>
  <c r="N7" i="23"/>
  <c r="M7" i="23"/>
  <c r="M6" i="44" s="1"/>
  <c r="L7" i="23"/>
  <c r="L6" i="44" s="1"/>
  <c r="K7" i="23"/>
  <c r="K6" i="44" s="1"/>
  <c r="J7" i="23"/>
  <c r="J6" i="44" s="1"/>
  <c r="I7" i="23"/>
  <c r="I6" i="44" s="1"/>
  <c r="H7" i="23"/>
  <c r="H6" i="44" s="1"/>
  <c r="G7" i="23"/>
  <c r="G6" i="44" s="1"/>
  <c r="F7" i="23"/>
  <c r="F6" i="44" s="1"/>
  <c r="E7" i="23"/>
  <c r="E6" i="44" s="1"/>
  <c r="D7" i="23"/>
  <c r="D6" i="44" s="1"/>
  <c r="C7" i="23"/>
  <c r="C6" i="44" s="1"/>
  <c r="B7" i="23"/>
  <c r="B6" i="44" s="1"/>
  <c r="Q6" i="23"/>
  <c r="P6" i="23"/>
  <c r="O6" i="23"/>
  <c r="N6" i="23"/>
  <c r="N5" i="44" s="1"/>
  <c r="M6" i="23"/>
  <c r="M5" i="44" s="1"/>
  <c r="L6" i="23"/>
  <c r="L5" i="44" s="1"/>
  <c r="K6" i="23"/>
  <c r="K5" i="44" s="1"/>
  <c r="J6" i="23"/>
  <c r="J5" i="44" s="1"/>
  <c r="I6" i="23"/>
  <c r="I5" i="44" s="1"/>
  <c r="H6" i="23"/>
  <c r="H5" i="44" s="1"/>
  <c r="G6" i="23"/>
  <c r="G5" i="44" s="1"/>
  <c r="F6" i="23"/>
  <c r="F5" i="44" s="1"/>
  <c r="E6" i="23"/>
  <c r="E5" i="44" s="1"/>
  <c r="D6" i="23"/>
  <c r="D5" i="44" s="1"/>
  <c r="C6" i="23"/>
  <c r="C5" i="44" s="1"/>
  <c r="B6" i="23"/>
  <c r="B5" i="44" s="1"/>
  <c r="Y5" i="23"/>
  <c r="X5" i="23"/>
  <c r="X4" i="44" s="1"/>
  <c r="W5" i="23"/>
  <c r="W4" i="44" s="1"/>
  <c r="V5" i="23"/>
  <c r="V4" i="44" s="1"/>
  <c r="U5" i="23"/>
  <c r="U4" i="44" s="1"/>
  <c r="T5" i="23"/>
  <c r="T4" i="44" s="1"/>
  <c r="S5" i="23"/>
  <c r="S4" i="44" s="1"/>
  <c r="R5" i="23"/>
  <c r="R4" i="44" s="1"/>
  <c r="Q5" i="23"/>
  <c r="Q4" i="44" s="1"/>
  <c r="P5" i="23"/>
  <c r="P4" i="44" s="1"/>
  <c r="O5" i="23"/>
  <c r="O4" i="44" s="1"/>
  <c r="N5" i="23"/>
  <c r="N4" i="44" s="1"/>
  <c r="M5" i="23"/>
  <c r="M4" i="44" s="1"/>
  <c r="L5" i="23"/>
  <c r="L4" i="44" s="1"/>
  <c r="K5" i="23"/>
  <c r="K4" i="44" s="1"/>
  <c r="J5" i="23"/>
  <c r="J4" i="44" s="1"/>
  <c r="I5" i="23"/>
  <c r="I4" i="44" s="1"/>
  <c r="H5" i="23"/>
  <c r="H4" i="44" s="1"/>
  <c r="G5" i="23"/>
  <c r="G4" i="44" s="1"/>
  <c r="F5" i="23"/>
  <c r="F4" i="44" s="1"/>
  <c r="E5" i="23"/>
  <c r="E4" i="44" s="1"/>
  <c r="D5" i="23"/>
  <c r="D4" i="44" s="1"/>
  <c r="C5" i="23"/>
  <c r="C4" i="44" s="1"/>
  <c r="B5" i="23"/>
  <c r="B4" i="44" s="1"/>
  <c r="T4" i="23"/>
  <c r="S4" i="23"/>
  <c r="R4" i="23"/>
  <c r="R3" i="44" s="1"/>
  <c r="Q4" i="23"/>
  <c r="Q3" i="44" s="1"/>
  <c r="P4" i="23"/>
  <c r="P3" i="44" s="1"/>
  <c r="O4" i="23"/>
  <c r="O3" i="44" s="1"/>
  <c r="N4" i="23"/>
  <c r="N3" i="44" s="1"/>
  <c r="M4" i="23"/>
  <c r="M3" i="44" s="1"/>
  <c r="L4" i="23"/>
  <c r="L3" i="44" s="1"/>
  <c r="K4" i="23"/>
  <c r="K3" i="44" s="1"/>
  <c r="J4" i="23"/>
  <c r="J3" i="44" s="1"/>
  <c r="I4" i="23"/>
  <c r="I3" i="44" s="1"/>
  <c r="H4" i="23"/>
  <c r="H3" i="44" s="1"/>
  <c r="G4" i="23"/>
  <c r="G3" i="44" s="1"/>
  <c r="F4" i="23"/>
  <c r="F3" i="44" s="1"/>
  <c r="E4" i="23"/>
  <c r="E3" i="44" s="1"/>
  <c r="D4" i="23"/>
  <c r="D3" i="44" s="1"/>
  <c r="C4" i="23"/>
  <c r="C3" i="44" s="1"/>
  <c r="B4" i="23"/>
  <c r="B3" i="44" s="1"/>
  <c r="Y3" i="23"/>
  <c r="Y2" i="44" s="1"/>
  <c r="X3" i="23"/>
  <c r="X2" i="44" s="1"/>
  <c r="W3" i="23"/>
  <c r="W2" i="44" s="1"/>
  <c r="V3" i="23"/>
  <c r="V2" i="44" s="1"/>
  <c r="U3" i="23"/>
  <c r="U2" i="44" s="1"/>
  <c r="T3" i="23"/>
  <c r="T2" i="44" s="1"/>
  <c r="S3" i="23"/>
  <c r="S2" i="44" s="1"/>
  <c r="R3" i="23"/>
  <c r="R2" i="44" s="1"/>
  <c r="Q3" i="23"/>
  <c r="Q2" i="44" s="1"/>
  <c r="P3" i="23"/>
  <c r="P2" i="44" s="1"/>
  <c r="O3" i="23"/>
  <c r="O2" i="44" s="1"/>
  <c r="N3" i="23"/>
  <c r="N2" i="44" s="1"/>
  <c r="M3" i="23"/>
  <c r="M2" i="44" s="1"/>
  <c r="L3" i="23"/>
  <c r="L2" i="44" s="1"/>
  <c r="K3" i="23"/>
  <c r="K2" i="44" s="1"/>
  <c r="J3" i="23"/>
  <c r="J2" i="44" s="1"/>
  <c r="I3" i="23"/>
  <c r="I2" i="44" s="1"/>
  <c r="H3" i="23"/>
  <c r="H2" i="44" s="1"/>
  <c r="G3" i="23"/>
  <c r="G2" i="44" s="1"/>
  <c r="F3" i="23"/>
  <c r="F2" i="44" s="1"/>
  <c r="E3" i="23"/>
  <c r="E2" i="44" s="1"/>
  <c r="D3" i="23"/>
  <c r="D2" i="44" s="1"/>
  <c r="C3" i="23"/>
  <c r="C2" i="44" s="1"/>
  <c r="B3" i="23"/>
  <c r="B2" i="44" s="1"/>
  <c r="AV79" i="3" a="1"/>
  <c r="AV79" i="3" s="1"/>
  <c r="AT79" i="3" a="1"/>
  <c r="AT79" i="3"/>
  <c r="AR79" i="3" a="1"/>
  <c r="AR79" i="3" s="1"/>
  <c r="AP79" i="3" a="1"/>
  <c r="AP79" i="3"/>
  <c r="AN79" i="3" a="1"/>
  <c r="AN79" i="3" s="1"/>
  <c r="AL79" i="3" a="1"/>
  <c r="AL79" i="3" s="1"/>
  <c r="AJ79" i="3" a="1"/>
  <c r="AJ79" i="3" s="1"/>
  <c r="AH79" i="3" a="1"/>
  <c r="AH79" i="3" s="1"/>
  <c r="AF79" i="3" a="1"/>
  <c r="AF79" i="3" s="1"/>
  <c r="AD79" i="3" a="1"/>
  <c r="AD79" i="3"/>
  <c r="AB79" i="3" a="1"/>
  <c r="AB79" i="3" s="1"/>
  <c r="Z79" i="3" a="1"/>
  <c r="Z79" i="3" s="1"/>
  <c r="X79" i="3" a="1"/>
  <c r="X79" i="3" s="1"/>
  <c r="V79" i="3" a="1"/>
  <c r="V79" i="3" s="1"/>
  <c r="T79" i="3" a="1"/>
  <c r="T79" i="3"/>
  <c r="R79" i="3" a="1"/>
  <c r="R79" i="3" s="1"/>
  <c r="P79" i="3" a="1"/>
  <c r="P79" i="3"/>
  <c r="N79" i="3" a="1"/>
  <c r="N79" i="3" s="1"/>
  <c r="L79" i="3" a="1"/>
  <c r="L79" i="3" s="1"/>
  <c r="J79" i="3" a="1"/>
  <c r="J79" i="3"/>
  <c r="H79" i="3" a="1"/>
  <c r="H79" i="3" s="1"/>
  <c r="F79" i="3" a="1"/>
  <c r="F79" i="3" s="1"/>
  <c r="D79" i="3" a="1"/>
  <c r="D79" i="3" s="1"/>
  <c r="B79" i="3" a="1"/>
  <c r="B79" i="3" s="1"/>
  <c r="AV78" i="3" a="1"/>
  <c r="AV78" i="3"/>
  <c r="AT78" i="3" a="1"/>
  <c r="AT78" i="3" s="1"/>
  <c r="AR78" i="3" a="1"/>
  <c r="AR78" i="3"/>
  <c r="AP78" i="3" a="1"/>
  <c r="AP78" i="3" s="1"/>
  <c r="AN78" i="3" a="1"/>
  <c r="AN78" i="3" s="1"/>
  <c r="AL78" i="3" a="1"/>
  <c r="AL78" i="3"/>
  <c r="AJ78" i="3" a="1"/>
  <c r="AJ78" i="3" s="1"/>
  <c r="AH78" i="3" a="1"/>
  <c r="AH78" i="3" s="1"/>
  <c r="AF78" i="3" a="1"/>
  <c r="AF78" i="3" s="1"/>
  <c r="AD78" i="3" a="1"/>
  <c r="AD78" i="3" s="1"/>
  <c r="AB78" i="3" a="1"/>
  <c r="AB78" i="3"/>
  <c r="Z78" i="3" a="1"/>
  <c r="Z78" i="3" s="1"/>
  <c r="X78" i="3" a="1"/>
  <c r="X78" i="3"/>
  <c r="V78" i="3" a="1"/>
  <c r="V78" i="3" s="1"/>
  <c r="T78" i="3" a="1"/>
  <c r="T78" i="3" s="1"/>
  <c r="R78" i="3" a="1"/>
  <c r="R78" i="3"/>
  <c r="P78" i="3" a="1"/>
  <c r="P78" i="3" s="1"/>
  <c r="N78" i="3" a="1"/>
  <c r="N78" i="3" s="1"/>
  <c r="L78" i="3" a="1"/>
  <c r="L78" i="3" s="1"/>
  <c r="J78" i="3" a="1"/>
  <c r="J78" i="3" s="1"/>
  <c r="H78" i="3" a="1"/>
  <c r="H78" i="3"/>
  <c r="F78" i="3" a="1"/>
  <c r="F78" i="3" s="1"/>
  <c r="D78" i="3" a="1"/>
  <c r="D78" i="3"/>
  <c r="B78" i="3" a="1"/>
  <c r="B78" i="3" s="1"/>
  <c r="AV77" i="3" a="1"/>
  <c r="AV77" i="3" s="1"/>
  <c r="AT77" i="3" a="1"/>
  <c r="AT77" i="3"/>
  <c r="AR77" i="3" a="1"/>
  <c r="AR77" i="3" s="1"/>
  <c r="AP77" i="3" a="1"/>
  <c r="AP77" i="3" s="1"/>
  <c r="AN77" i="3" a="1"/>
  <c r="AN77" i="3" s="1"/>
  <c r="AL77" i="3" a="1"/>
  <c r="AL77" i="3" s="1"/>
  <c r="AJ77" i="3" a="1"/>
  <c r="AJ77" i="3"/>
  <c r="AH77" i="3" a="1"/>
  <c r="AH77" i="3" s="1"/>
  <c r="AF77" i="3" a="1"/>
  <c r="AF77" i="3"/>
  <c r="AD77" i="3" a="1"/>
  <c r="AD77" i="3" s="1"/>
  <c r="AB77" i="3" a="1"/>
  <c r="AB77" i="3" s="1"/>
  <c r="Z77" i="3" a="1"/>
  <c r="Z77" i="3"/>
  <c r="X77" i="3" a="1"/>
  <c r="X77" i="3" s="1"/>
  <c r="V77" i="3" a="1"/>
  <c r="V77" i="3" s="1"/>
  <c r="T77" i="3" a="1"/>
  <c r="T77" i="3" s="1"/>
  <c r="R77" i="3" a="1"/>
  <c r="R77" i="3"/>
  <c r="P77" i="3" a="1"/>
  <c r="P77" i="3"/>
  <c r="N77" i="3" a="1"/>
  <c r="N77" i="3" s="1"/>
  <c r="L77" i="3" a="1"/>
  <c r="L77" i="3" s="1"/>
  <c r="J77" i="3" a="1"/>
  <c r="J77" i="3" s="1"/>
  <c r="H77" i="3" a="1"/>
  <c r="H77" i="3"/>
  <c r="F77" i="3" a="1"/>
  <c r="F77" i="3"/>
  <c r="D77" i="3" a="1"/>
  <c r="D77" i="3" s="1"/>
  <c r="B77" i="3" a="1"/>
  <c r="B77" i="3" s="1"/>
  <c r="AV76" i="3" a="1"/>
  <c r="AV76" i="3" s="1"/>
  <c r="AT76" i="3" a="1"/>
  <c r="AT76" i="3" s="1"/>
  <c r="AR76" i="3" a="1"/>
  <c r="AR76" i="3" s="1"/>
  <c r="AP76" i="3" a="1"/>
  <c r="AP76" i="3" s="1"/>
  <c r="AN76" i="3" a="1"/>
  <c r="AN76" i="3"/>
  <c r="AL76" i="3" a="1"/>
  <c r="AL76" i="3" s="1"/>
  <c r="AJ76" i="3" a="1"/>
  <c r="AJ76" i="3" s="1"/>
  <c r="AH76" i="3" a="1"/>
  <c r="AH76" i="3" s="1"/>
  <c r="AF76" i="3" a="1"/>
  <c r="AF76" i="3" s="1"/>
  <c r="AD76" i="3" a="1"/>
  <c r="AD76" i="3" s="1"/>
  <c r="AB76" i="3" a="1"/>
  <c r="AB76" i="3" s="1"/>
  <c r="Z76" i="3" a="1"/>
  <c r="Z76" i="3" s="1"/>
  <c r="X76" i="3" a="1"/>
  <c r="X76" i="3"/>
  <c r="V76" i="3" a="1"/>
  <c r="V76" i="3" s="1"/>
  <c r="T76" i="3" a="1"/>
  <c r="T76" i="3"/>
  <c r="R76" i="3" a="1"/>
  <c r="R76" i="3" s="1"/>
  <c r="P76" i="3" a="1"/>
  <c r="P76" i="3"/>
  <c r="N76" i="3" a="1"/>
  <c r="N76" i="3"/>
  <c r="L76" i="3" a="1"/>
  <c r="L76" i="3" s="1"/>
  <c r="J76" i="3" a="1"/>
  <c r="J76" i="3" s="1"/>
  <c r="H76" i="3" a="1"/>
  <c r="H76" i="3" s="1"/>
  <c r="F76" i="3" a="1"/>
  <c r="F76" i="3"/>
  <c r="D76" i="3" a="1"/>
  <c r="D76" i="3" s="1"/>
  <c r="B76" i="3" a="1"/>
  <c r="B76" i="3" s="1"/>
  <c r="AV75" i="3" a="1"/>
  <c r="AV75" i="3"/>
  <c r="AT75" i="3" a="1"/>
  <c r="AT75" i="3" s="1"/>
  <c r="AR75" i="3" a="1"/>
  <c r="AR75" i="3" s="1"/>
  <c r="AP75" i="3" a="1"/>
  <c r="AP75" i="3" s="1"/>
  <c r="AN75" i="3" a="1"/>
  <c r="AN75" i="3" s="1"/>
  <c r="AL75" i="3" a="1"/>
  <c r="AL75" i="3" s="1"/>
  <c r="AJ75" i="3" a="1"/>
  <c r="AJ75" i="3" s="1"/>
  <c r="AH75" i="3" a="1"/>
  <c r="AH75" i="3" s="1"/>
  <c r="AF75" i="3" a="1"/>
  <c r="AF75" i="3" s="1"/>
  <c r="AD75" i="3" a="1"/>
  <c r="AD75" i="3" s="1"/>
  <c r="AB75" i="3" a="1"/>
  <c r="AB75" i="3" s="1"/>
  <c r="Z75" i="3" a="1"/>
  <c r="Z75" i="3" s="1"/>
  <c r="X75" i="3" a="1"/>
  <c r="X75" i="3"/>
  <c r="V75" i="3" a="1"/>
  <c r="V75" i="3"/>
  <c r="T75" i="3" a="1"/>
  <c r="T75" i="3" s="1"/>
  <c r="R75" i="3" a="1"/>
  <c r="R75" i="3" s="1"/>
  <c r="P75" i="3" a="1"/>
  <c r="P75" i="3" s="1"/>
  <c r="N75" i="3" a="1"/>
  <c r="N75" i="3"/>
  <c r="L75" i="3" a="1"/>
  <c r="L75" i="3"/>
  <c r="J75" i="3" a="1"/>
  <c r="J75" i="3" s="1"/>
  <c r="H75" i="3" a="1"/>
  <c r="H75" i="3"/>
  <c r="F75" i="3" a="1"/>
  <c r="F75" i="3" s="1"/>
  <c r="D75" i="3" a="1"/>
  <c r="D75" i="3"/>
  <c r="B75" i="3" a="1"/>
  <c r="B75" i="3" s="1"/>
  <c r="AV74" i="3" a="1"/>
  <c r="AV74" i="3" s="1"/>
  <c r="AT74" i="3" a="1"/>
  <c r="AT74" i="3" s="1"/>
  <c r="AR74" i="3" a="1"/>
  <c r="AR74" i="3" s="1"/>
  <c r="AP74" i="3" a="1"/>
  <c r="AP74" i="3"/>
  <c r="AN74" i="3" a="1"/>
  <c r="AN74" i="3" s="1"/>
  <c r="AL74" i="3" a="1"/>
  <c r="AL74" i="3" s="1"/>
  <c r="AJ74" i="3" a="1"/>
  <c r="AJ74" i="3" s="1"/>
  <c r="AH74" i="3" a="1"/>
  <c r="AH74" i="3" s="1"/>
  <c r="AF74" i="3" a="1"/>
  <c r="AF74" i="3" s="1"/>
  <c r="AD74" i="3" a="1"/>
  <c r="AD74" i="3"/>
  <c r="AB74" i="3" a="1"/>
  <c r="AB74" i="3" s="1"/>
  <c r="Z74" i="3" a="1"/>
  <c r="Z74" i="3" s="1"/>
  <c r="X74" i="3" a="1"/>
  <c r="X74" i="3" s="1"/>
  <c r="V74" i="3" a="1"/>
  <c r="V74" i="3" s="1"/>
  <c r="T74" i="3" a="1"/>
  <c r="T74" i="3"/>
  <c r="R74" i="3" a="1"/>
  <c r="R74" i="3" s="1"/>
  <c r="P74" i="3" a="1"/>
  <c r="P74" i="3"/>
  <c r="N74" i="3" a="1"/>
  <c r="N74" i="3" s="1"/>
  <c r="L74" i="3" a="1"/>
  <c r="L74" i="3"/>
  <c r="J74" i="3" a="1"/>
  <c r="J74" i="3" s="1"/>
  <c r="H74" i="3" a="1"/>
  <c r="H74" i="3" s="1"/>
  <c r="F74" i="3" a="1"/>
  <c r="F74" i="3" s="1"/>
  <c r="D74" i="3" a="1"/>
  <c r="D74" i="3" s="1"/>
  <c r="B74" i="3" a="1"/>
  <c r="B74" i="3" s="1"/>
  <c r="AV73" i="3" a="1"/>
  <c r="AV73" i="3"/>
  <c r="AT73" i="3" a="1"/>
  <c r="AT73" i="3" s="1"/>
  <c r="AR73" i="3" a="1"/>
  <c r="AR73" i="3"/>
  <c r="AP73" i="3" a="1"/>
  <c r="AP73" i="3" s="1"/>
  <c r="AN73" i="3" a="1"/>
  <c r="AN73" i="3" s="1"/>
  <c r="AL73" i="3" a="1"/>
  <c r="AL73" i="3"/>
  <c r="AJ73" i="3" a="1"/>
  <c r="AJ73" i="3" s="1"/>
  <c r="AH73" i="3" a="1"/>
  <c r="AH73" i="3" s="1"/>
  <c r="AF73" i="3" a="1"/>
  <c r="AF73" i="3" s="1"/>
  <c r="AD73" i="3" a="1"/>
  <c r="AD73" i="3" s="1"/>
  <c r="AB73" i="3" a="1"/>
  <c r="AB73" i="3"/>
  <c r="Z73" i="3" a="1"/>
  <c r="Z73" i="3" s="1"/>
  <c r="X73" i="3" a="1"/>
  <c r="X73" i="3" s="1"/>
  <c r="V73" i="3" a="1"/>
  <c r="V73" i="3" s="1"/>
  <c r="T73" i="3" a="1"/>
  <c r="T73" i="3" s="1"/>
  <c r="R73" i="3" a="1"/>
  <c r="R73" i="3" s="1"/>
  <c r="P73" i="3" a="1"/>
  <c r="P73" i="3" s="1"/>
  <c r="N73" i="3" a="1"/>
  <c r="N73" i="3" s="1"/>
  <c r="L73" i="3" a="1"/>
  <c r="L73" i="3" s="1"/>
  <c r="J73" i="3" a="1"/>
  <c r="J73" i="3" s="1"/>
  <c r="H73" i="3" a="1"/>
  <c r="H73" i="3" s="1"/>
  <c r="F73" i="3" a="1"/>
  <c r="F73" i="3" s="1"/>
  <c r="D73" i="3" a="1"/>
  <c r="D73" i="3"/>
  <c r="B73" i="3" a="1"/>
  <c r="B73"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c r="J69" i="3" s="1"/>
  <c r="H65" i="3" a="1"/>
  <c r="H65" i="3" s="1"/>
  <c r="H69" i="3" s="1"/>
  <c r="F65" i="3" a="1"/>
  <c r="F65" i="3" s="1"/>
  <c r="F69" i="3" s="1"/>
  <c r="D65" i="3" a="1"/>
  <c r="D65" i="3" s="1"/>
  <c r="D69" i="3" s="1"/>
  <c r="B65" i="3"/>
  <c r="B69" i="3" s="1"/>
  <c r="AV62" i="3"/>
  <c r="AT62" i="3"/>
  <c r="AR62" i="3"/>
  <c r="AP62" i="3"/>
  <c r="AN62" i="3"/>
  <c r="AL62" i="3"/>
  <c r="AJ62" i="3"/>
  <c r="AH62" i="3"/>
  <c r="AF62" i="3"/>
  <c r="AD62" i="3"/>
  <c r="AB62" i="3"/>
  <c r="Z62" i="3"/>
  <c r="X62" i="3"/>
  <c r="V62" i="3"/>
  <c r="T62" i="3"/>
  <c r="R62" i="3"/>
  <c r="P62" i="3"/>
  <c r="N62" i="3"/>
  <c r="L62" i="3"/>
  <c r="J62" i="3"/>
  <c r="H62" i="3"/>
  <c r="F62" i="3"/>
  <c r="D62" i="3"/>
  <c r="B62" i="3"/>
  <c r="AV59" i="3"/>
  <c r="AT59" i="3"/>
  <c r="AR59" i="3"/>
  <c r="AP59" i="3"/>
  <c r="AN59" i="3"/>
  <c r="AL59" i="3"/>
  <c r="AJ59" i="3"/>
  <c r="AH59" i="3"/>
  <c r="AF59" i="3"/>
  <c r="AD59" i="3"/>
  <c r="AB59" i="3"/>
  <c r="Z59" i="3"/>
  <c r="X59" i="3"/>
  <c r="V59" i="3"/>
  <c r="T59" i="3"/>
  <c r="R59" i="3"/>
  <c r="P59" i="3"/>
  <c r="N59" i="3"/>
  <c r="L59" i="3"/>
  <c r="J59" i="3"/>
  <c r="H59" i="3"/>
  <c r="F59" i="3"/>
  <c r="D59" i="3"/>
  <c r="B59" i="3"/>
  <c r="AV55" i="3"/>
  <c r="AT55" i="3"/>
  <c r="AR55" i="3"/>
  <c r="AP55" i="3"/>
  <c r="AN55" i="3"/>
  <c r="AL55" i="3"/>
  <c r="AJ55" i="3"/>
  <c r="AH55" i="3"/>
  <c r="AF55" i="3"/>
  <c r="AD55" i="3"/>
  <c r="AB55" i="3"/>
  <c r="Z55" i="3"/>
  <c r="X55" i="3"/>
  <c r="V55" i="3"/>
  <c r="T55" i="3"/>
  <c r="R55" i="3"/>
  <c r="P55" i="3"/>
  <c r="N55" i="3"/>
  <c r="L55" i="3"/>
  <c r="J55" i="3"/>
  <c r="H55" i="3"/>
  <c r="F55" i="3"/>
  <c r="D55" i="3"/>
  <c r="B55" i="3"/>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51" i="3"/>
  <c r="B81" i="3" s="1"/>
  <c r="AV49" i="3"/>
  <c r="AT49" i="3"/>
  <c r="AR49" i="3"/>
  <c r="AP49" i="3"/>
  <c r="AN49" i="3"/>
  <c r="AL49" i="3"/>
  <c r="AJ49" i="3"/>
  <c r="AH49" i="3"/>
  <c r="AF49" i="3"/>
  <c r="AD49" i="3"/>
  <c r="AB49" i="3"/>
  <c r="Z49" i="3"/>
  <c r="X49" i="3"/>
  <c r="V49" i="3"/>
  <c r="T49" i="3"/>
  <c r="R49" i="3"/>
  <c r="P49" i="3"/>
  <c r="N49" i="3"/>
  <c r="L49" i="3"/>
  <c r="J49" i="3"/>
  <c r="H49" i="3"/>
  <c r="F49" i="3"/>
  <c r="D49" i="3"/>
  <c r="B49" i="3"/>
  <c r="AV46" i="3"/>
  <c r="AT46" i="3"/>
  <c r="AR46" i="3"/>
  <c r="AP46" i="3"/>
  <c r="AN46" i="3"/>
  <c r="AL46" i="3"/>
  <c r="AJ46" i="3"/>
  <c r="AH46" i="3"/>
  <c r="AF46" i="3"/>
  <c r="AD46" i="3"/>
  <c r="AB46" i="3"/>
  <c r="Z46" i="3"/>
  <c r="X46" i="3"/>
  <c r="V46" i="3"/>
  <c r="T46" i="3"/>
  <c r="R46" i="3"/>
  <c r="P46" i="3"/>
  <c r="N46" i="3"/>
  <c r="L46" i="3"/>
  <c r="J46" i="3"/>
  <c r="H46" i="3"/>
  <c r="F46" i="3"/>
  <c r="D46" i="3"/>
  <c r="B46" i="3"/>
  <c r="AV45" i="3"/>
  <c r="AT45" i="3"/>
  <c r="AR45" i="3"/>
  <c r="AP45" i="3"/>
  <c r="AN45" i="3"/>
  <c r="AL45" i="3"/>
  <c r="AJ45" i="3"/>
  <c r="AH45" i="3"/>
  <c r="AF45" i="3"/>
  <c r="AD45" i="3"/>
  <c r="AB45" i="3"/>
  <c r="Z45" i="3"/>
  <c r="X45" i="3"/>
  <c r="V45" i="3"/>
  <c r="T45" i="3"/>
  <c r="R45" i="3"/>
  <c r="P45" i="3"/>
  <c r="N45" i="3"/>
  <c r="L45" i="3"/>
  <c r="J45" i="3"/>
  <c r="H45" i="3"/>
  <c r="F45" i="3"/>
  <c r="D45" i="3"/>
  <c r="B45" i="3"/>
  <c r="AV44" i="3"/>
  <c r="AT44" i="3"/>
  <c r="AR44" i="3"/>
  <c r="AP44" i="3"/>
  <c r="AN44" i="3"/>
  <c r="AL44" i="3"/>
  <c r="AJ44" i="3"/>
  <c r="AH44" i="3"/>
  <c r="AF44" i="3"/>
  <c r="AD44" i="3"/>
  <c r="AB44" i="3"/>
  <c r="Z44" i="3"/>
  <c r="X44" i="3"/>
  <c r="V44" i="3"/>
  <c r="T44" i="3"/>
  <c r="R44" i="3"/>
  <c r="P44" i="3"/>
  <c r="N44" i="3"/>
  <c r="L44" i="3"/>
  <c r="J44" i="3"/>
  <c r="H44" i="3"/>
  <c r="F44" i="3"/>
  <c r="D44" i="3"/>
  <c r="B44" i="3"/>
  <c r="AV43" i="3" a="1"/>
  <c r="AV43" i="3" s="1"/>
  <c r="AT43" i="3" a="1"/>
  <c r="AT43" i="3" s="1"/>
  <c r="AR43" i="3" a="1"/>
  <c r="AR43" i="3" s="1"/>
  <c r="AP43" i="3" a="1"/>
  <c r="AP43" i="3" s="1"/>
  <c r="AN43" i="3" a="1"/>
  <c r="AN43" i="3"/>
  <c r="AL43" i="3" a="1"/>
  <c r="AL43" i="3" s="1"/>
  <c r="AJ43" i="3" a="1"/>
  <c r="AJ43" i="3" s="1"/>
  <c r="AH43" i="3" a="1"/>
  <c r="AH43" i="3"/>
  <c r="AF43" i="3" a="1"/>
  <c r="AF43" i="3" s="1"/>
  <c r="AD43" i="3" a="1"/>
  <c r="AD43" i="3"/>
  <c r="AB43" i="3" a="1"/>
  <c r="AB43" i="3"/>
  <c r="Z43" i="3" a="1"/>
  <c r="Z43" i="3" s="1"/>
  <c r="X43" i="3" a="1"/>
  <c r="X43" i="3"/>
  <c r="V43" i="3" a="1"/>
  <c r="V43" i="3" s="1"/>
  <c r="T43" i="3" a="1"/>
  <c r="T43" i="3"/>
  <c r="R43" i="3" a="1"/>
  <c r="R43" i="3"/>
  <c r="P43" i="3" a="1"/>
  <c r="P43" i="3" s="1"/>
  <c r="N43" i="3" a="1"/>
  <c r="N43" i="3" s="1"/>
  <c r="L43" i="3" a="1"/>
  <c r="L43" i="3" s="1"/>
  <c r="J43" i="3" a="1"/>
  <c r="J43" i="3" s="1"/>
  <c r="H43" i="3" a="1"/>
  <c r="H43" i="3" s="1"/>
  <c r="F43" i="3" a="1"/>
  <c r="F43" i="3" s="1"/>
  <c r="D43" i="3" a="1"/>
  <c r="D43" i="3" s="1"/>
  <c r="B43" i="3"/>
  <c r="C33" i="2"/>
  <c r="H4" i="2"/>
  <c r="E3" i="2" a="1"/>
  <c r="F4" i="2" s="1"/>
  <c r="D11" i="2"/>
  <c r="C11" i="2"/>
  <c r="C9" i="2"/>
  <c r="D8" i="2"/>
  <c r="D7" i="2"/>
  <c r="C7" i="2"/>
  <c r="C6" i="2"/>
  <c r="C3" i="2" a="1"/>
  <c r="C10" i="2" s="1"/>
  <c r="C3" i="2"/>
  <c r="C59" i="1"/>
  <c r="E57" i="1"/>
  <c r="C52" i="1" a="1"/>
  <c r="D52" i="1" s="1"/>
  <c r="G12" i="1"/>
  <c r="F12" i="1"/>
  <c r="D12" i="1"/>
  <c r="C12" i="1"/>
  <c r="F8" i="1"/>
  <c r="I3" i="1"/>
  <c r="O78" i="23"/>
  <c r="N78" i="23"/>
  <c r="M78" i="23"/>
  <c r="L78" i="23"/>
  <c r="D33" i="2" l="1"/>
  <c r="C52" i="1"/>
  <c r="C41" i="1" s="1" a="1"/>
  <c r="G4" i="2"/>
  <c r="D5" i="2"/>
  <c r="D6" i="2"/>
  <c r="C8" i="2"/>
  <c r="C14" i="1"/>
  <c r="D10" i="2"/>
  <c r="C41" i="1"/>
  <c r="D41" i="1"/>
  <c r="C42" i="1" a="1"/>
  <c r="E3" i="2"/>
  <c r="F3" i="2"/>
  <c r="C43" i="1" a="1"/>
  <c r="D3" i="2"/>
  <c r="G3" i="2"/>
  <c r="C4" i="2"/>
  <c r="H3" i="2"/>
  <c r="D4" i="2"/>
  <c r="E4" i="2"/>
  <c r="C5" i="2"/>
  <c r="D9" i="2"/>
  <c r="V32" i="23"/>
  <c r="U32" i="23"/>
  <c r="T32" i="23"/>
  <c r="S32" i="23"/>
  <c r="R32" i="23"/>
  <c r="Q32" i="23"/>
  <c r="P32" i="23"/>
  <c r="O32" i="23"/>
  <c r="N32" i="23"/>
  <c r="M32" i="23"/>
  <c r="L32" i="23"/>
  <c r="K32" i="23"/>
  <c r="J32" i="23"/>
  <c r="I32" i="23"/>
  <c r="H32" i="23"/>
  <c r="G32" i="23"/>
  <c r="F32" i="23"/>
  <c r="E32" i="23"/>
  <c r="D32" i="23"/>
  <c r="C32" i="23"/>
  <c r="B32" i="23"/>
  <c r="Y31" i="23"/>
  <c r="X31" i="23"/>
  <c r="W31" i="23"/>
  <c r="V31" i="23"/>
  <c r="U31" i="23"/>
  <c r="T31" i="23"/>
  <c r="S31" i="23"/>
  <c r="R31" i="23"/>
  <c r="Q31" i="23"/>
  <c r="P31" i="23"/>
  <c r="O31" i="23"/>
  <c r="N31" i="23"/>
  <c r="M31" i="23"/>
  <c r="L31" i="23"/>
  <c r="K31" i="23"/>
  <c r="J31" i="23"/>
  <c r="I31" i="23"/>
  <c r="H31" i="23"/>
  <c r="G31" i="23"/>
  <c r="F31" i="23"/>
  <c r="E31" i="23"/>
  <c r="D31" i="23"/>
  <c r="C31" i="23"/>
  <c r="B31" i="23"/>
  <c r="T30" i="23"/>
  <c r="S30" i="23"/>
  <c r="R30" i="23"/>
  <c r="Q30" i="23"/>
  <c r="P30" i="23"/>
  <c r="O30" i="23"/>
  <c r="N30" i="23"/>
  <c r="M30" i="23"/>
  <c r="L30" i="23"/>
  <c r="K30" i="23"/>
  <c r="J30" i="23"/>
  <c r="I30" i="23"/>
  <c r="H30" i="23"/>
  <c r="G30" i="23"/>
  <c r="F30" i="23"/>
  <c r="E30" i="23"/>
  <c r="D30" i="23"/>
  <c r="C30" i="23"/>
  <c r="B30" i="23"/>
  <c r="O29" i="23"/>
  <c r="N29" i="23"/>
  <c r="M29" i="23"/>
  <c r="L29" i="23"/>
  <c r="K29" i="23"/>
  <c r="J29" i="23"/>
  <c r="I29" i="23"/>
  <c r="H29" i="23"/>
  <c r="G29" i="23"/>
  <c r="F29" i="23"/>
  <c r="E29" i="23"/>
  <c r="D29" i="23"/>
  <c r="C29" i="23"/>
  <c r="B29" i="23"/>
  <c r="Q28" i="23"/>
  <c r="P28" i="23"/>
  <c r="O28" i="23"/>
  <c r="N28" i="23"/>
  <c r="M28" i="23"/>
  <c r="L28" i="23"/>
  <c r="K28" i="23"/>
  <c r="J28" i="23"/>
  <c r="I28" i="23"/>
  <c r="H28" i="23"/>
  <c r="G28" i="23"/>
  <c r="F28" i="23"/>
  <c r="E28" i="23"/>
  <c r="D28" i="23"/>
  <c r="C28" i="23"/>
  <c r="B28" i="23"/>
  <c r="T26" i="23"/>
  <c r="S26" i="23"/>
  <c r="R26" i="23"/>
  <c r="Q26" i="23"/>
  <c r="P26" i="23"/>
  <c r="O26" i="23"/>
  <c r="N26" i="23"/>
  <c r="M26" i="23"/>
  <c r="L26" i="23"/>
  <c r="K26" i="23"/>
  <c r="J26" i="23"/>
  <c r="I26" i="23"/>
  <c r="H26" i="23"/>
  <c r="G26" i="23"/>
  <c r="F26" i="23"/>
  <c r="E26" i="23"/>
  <c r="D26" i="23"/>
  <c r="C26" i="23"/>
  <c r="B26" i="23"/>
  <c r="Y27" i="23"/>
  <c r="X27" i="23"/>
  <c r="W27" i="23"/>
  <c r="V27" i="23"/>
  <c r="U27" i="23"/>
  <c r="T27" i="23"/>
  <c r="S27" i="23"/>
  <c r="R27" i="23"/>
  <c r="Q27" i="23"/>
  <c r="P27" i="23"/>
  <c r="O27" i="23"/>
  <c r="N27" i="23"/>
  <c r="M27" i="23"/>
  <c r="L27" i="23"/>
  <c r="K27" i="23"/>
  <c r="J27" i="23"/>
  <c r="I27" i="23"/>
  <c r="H27" i="23"/>
  <c r="G27" i="23"/>
  <c r="F27" i="23"/>
  <c r="E27" i="23"/>
  <c r="D27" i="23"/>
  <c r="C27" i="23"/>
  <c r="B27" i="23"/>
  <c r="Y25" i="23"/>
  <c r="X25" i="23"/>
  <c r="W25" i="23"/>
  <c r="V25" i="23"/>
  <c r="U25" i="23"/>
  <c r="T25" i="23"/>
  <c r="S25" i="23"/>
  <c r="R25" i="23"/>
  <c r="Q25" i="23"/>
  <c r="P25" i="23"/>
  <c r="O25" i="23"/>
  <c r="N25" i="23"/>
  <c r="M25" i="23"/>
  <c r="L25" i="23"/>
  <c r="K25" i="23"/>
  <c r="J25" i="23"/>
  <c r="I25" i="23"/>
  <c r="H25" i="23"/>
  <c r="G25" i="23"/>
  <c r="F25" i="23"/>
  <c r="E25" i="23"/>
  <c r="D25" i="23"/>
  <c r="C25" i="23"/>
  <c r="B25" i="23"/>
  <c r="C27" i="1" l="1" a="1"/>
  <c r="D27" i="1" s="1"/>
  <c r="D42" i="1"/>
  <c r="C42" i="1"/>
  <c r="C28" i="1" s="1" a="1"/>
  <c r="F12" i="2"/>
  <c r="C12" i="2"/>
  <c r="G12" i="2"/>
  <c r="D12" i="2"/>
  <c r="I3" i="2"/>
  <c r="C14" i="2" s="1"/>
  <c r="D43" i="1"/>
  <c r="C43" i="1"/>
  <c r="AV42" i="3"/>
  <c r="AT42" i="3"/>
  <c r="AR42" i="3"/>
  <c r="AP42" i="3"/>
  <c r="AN42" i="3"/>
  <c r="AL42" i="3"/>
  <c r="AJ42" i="3"/>
  <c r="AH42" i="3"/>
  <c r="AF42" i="3"/>
  <c r="AD42" i="3"/>
  <c r="AB42" i="3"/>
  <c r="Z42" i="3"/>
  <c r="X42" i="3"/>
  <c r="V42" i="3"/>
  <c r="T42" i="3"/>
  <c r="R42" i="3"/>
  <c r="P42" i="3"/>
  <c r="N42" i="3"/>
  <c r="L42" i="3"/>
  <c r="J42" i="3"/>
  <c r="H42" i="3"/>
  <c r="F42" i="3"/>
  <c r="D42" i="3"/>
  <c r="B42" i="3"/>
  <c r="C27" i="1" l="1"/>
  <c r="D28" i="1"/>
  <c r="C28" i="1"/>
  <c r="C120" i="1"/>
  <c r="C29" i="1" a="1"/>
  <c r="C66" i="1"/>
  <c r="G8" i="1"/>
  <c r="AF52" i="38" l="1"/>
  <c r="AF82" i="38" s="1"/>
  <c r="AV52" i="38"/>
  <c r="AV82" i="38" s="1"/>
  <c r="P52" i="38"/>
  <c r="P82" i="38" s="1"/>
  <c r="AR52" i="38"/>
  <c r="AR82" i="38" s="1"/>
  <c r="AB52" i="38"/>
  <c r="AB82" i="38" s="1"/>
  <c r="B52" i="38"/>
  <c r="B82" i="38" s="1"/>
  <c r="X52" i="38"/>
  <c r="X82" i="38" s="1"/>
  <c r="AD52" i="38"/>
  <c r="AD82" i="38" s="1"/>
  <c r="AL52" i="38"/>
  <c r="AL82" i="38" s="1"/>
  <c r="L52" i="38"/>
  <c r="L82" i="38" s="1"/>
  <c r="R52" i="38"/>
  <c r="R82" i="38" s="1"/>
  <c r="F52" i="38"/>
  <c r="F82" i="38" s="1"/>
  <c r="Z52" i="38"/>
  <c r="Z82" i="38" s="1"/>
  <c r="T52" i="38"/>
  <c r="T82" i="38" s="1"/>
  <c r="AH52" i="38"/>
  <c r="AH82" i="38" s="1"/>
  <c r="N52" i="38"/>
  <c r="N82" i="38" s="1"/>
  <c r="AP52" i="38"/>
  <c r="AP82" i="38" s="1"/>
  <c r="V52" i="38"/>
  <c r="V82" i="38" s="1"/>
  <c r="AT52" i="38"/>
  <c r="AT82" i="38" s="1"/>
  <c r="H52" i="38"/>
  <c r="H82" i="38" s="1"/>
  <c r="D52" i="38"/>
  <c r="D82" i="38" s="1"/>
  <c r="AJ52" i="38"/>
  <c r="AJ82" i="38" s="1"/>
  <c r="J52" i="38"/>
  <c r="J82" i="38" s="1"/>
  <c r="AN52" i="38"/>
  <c r="AN82" i="38" s="1"/>
  <c r="AT52" i="21"/>
  <c r="AT82" i="21" s="1"/>
  <c r="AV52" i="21"/>
  <c r="AV82" i="21" s="1"/>
  <c r="AR52" i="21"/>
  <c r="AR82" i="21" s="1"/>
  <c r="P52" i="21"/>
  <c r="P82" i="21" s="1"/>
  <c r="N52" i="21"/>
  <c r="N82" i="21" s="1"/>
  <c r="L52" i="21"/>
  <c r="L82" i="21" s="1"/>
  <c r="AF52" i="21"/>
  <c r="AF82" i="21" s="1"/>
  <c r="AD52" i="21"/>
  <c r="AD82" i="21" s="1"/>
  <c r="AB52" i="21"/>
  <c r="AB82" i="21" s="1"/>
  <c r="AN52" i="21"/>
  <c r="AN82" i="21" s="1"/>
  <c r="F52" i="21"/>
  <c r="F82" i="21" s="1"/>
  <c r="AP52" i="21"/>
  <c r="AP82" i="21" s="1"/>
  <c r="H52" i="21"/>
  <c r="H82" i="21" s="1"/>
  <c r="R52" i="21"/>
  <c r="R82" i="21" s="1"/>
  <c r="B52" i="21"/>
  <c r="B82" i="21" s="1"/>
  <c r="V52" i="21"/>
  <c r="V82" i="21" s="1"/>
  <c r="D52" i="21"/>
  <c r="D82" i="21" s="1"/>
  <c r="AL52" i="21"/>
  <c r="AL82" i="21" s="1"/>
  <c r="Z52" i="21"/>
  <c r="Z82" i="21" s="1"/>
  <c r="J52" i="21"/>
  <c r="J82" i="21" s="1"/>
  <c r="T52" i="21"/>
  <c r="T82" i="21" s="1"/>
  <c r="X52" i="21"/>
  <c r="X82" i="21" s="1"/>
  <c r="AH52" i="21"/>
  <c r="AH82" i="21" s="1"/>
  <c r="AJ52" i="21"/>
  <c r="AJ82" i="21" s="1"/>
  <c r="P52" i="24"/>
  <c r="P82" i="24" s="1"/>
  <c r="AV52" i="24"/>
  <c r="AV82" i="24" s="1"/>
  <c r="AF52" i="24"/>
  <c r="AF82" i="24" s="1"/>
  <c r="V52" i="24"/>
  <c r="V82" i="24" s="1"/>
  <c r="N52" i="24"/>
  <c r="N82" i="24" s="1"/>
  <c r="AH52" i="24"/>
  <c r="AH82" i="24" s="1"/>
  <c r="AP52" i="24"/>
  <c r="AP82" i="24" s="1"/>
  <c r="AJ52" i="24"/>
  <c r="AJ82" i="24" s="1"/>
  <c r="AB52" i="24"/>
  <c r="AB82" i="24" s="1"/>
  <c r="D52" i="24"/>
  <c r="D82" i="24" s="1"/>
  <c r="F52" i="24"/>
  <c r="F82" i="24" s="1"/>
  <c r="X52" i="24"/>
  <c r="X82" i="24" s="1"/>
  <c r="H52" i="24"/>
  <c r="H82" i="24" s="1"/>
  <c r="Z52" i="24"/>
  <c r="Z82" i="24" s="1"/>
  <c r="B52" i="24"/>
  <c r="B82" i="24" s="1"/>
  <c r="R52" i="24"/>
  <c r="R82" i="24" s="1"/>
  <c r="AL52" i="24"/>
  <c r="AL82" i="24" s="1"/>
  <c r="AT52" i="24"/>
  <c r="AT82" i="24" s="1"/>
  <c r="J52" i="24"/>
  <c r="J82" i="24" s="1"/>
  <c r="AD52" i="24"/>
  <c r="AD82" i="24" s="1"/>
  <c r="AR52" i="24"/>
  <c r="AR82" i="24" s="1"/>
  <c r="T52" i="24"/>
  <c r="T82" i="24" s="1"/>
  <c r="AN52" i="24"/>
  <c r="AN82" i="24" s="1"/>
  <c r="L52" i="24"/>
  <c r="L82" i="24" s="1"/>
  <c r="H52" i="18"/>
  <c r="H82" i="18" s="1"/>
  <c r="X52" i="18"/>
  <c r="X82" i="18" s="1"/>
  <c r="AF52" i="18"/>
  <c r="AF82" i="18" s="1"/>
  <c r="AV52" i="18"/>
  <c r="AV82" i="18" s="1"/>
  <c r="P52" i="18"/>
  <c r="P82" i="18" s="1"/>
  <c r="AN52" i="18"/>
  <c r="AN82" i="18" s="1"/>
  <c r="AR52" i="18"/>
  <c r="AR82" i="18" s="1"/>
  <c r="T52" i="18"/>
  <c r="T82" i="18" s="1"/>
  <c r="AL52" i="18"/>
  <c r="AL82" i="18" s="1"/>
  <c r="AH52" i="18"/>
  <c r="AH82" i="18" s="1"/>
  <c r="J52" i="18"/>
  <c r="J82" i="18" s="1"/>
  <c r="AP52" i="18"/>
  <c r="AP82" i="18" s="1"/>
  <c r="D52" i="18"/>
  <c r="D82" i="18" s="1"/>
  <c r="Z52" i="18"/>
  <c r="Z82" i="18" s="1"/>
  <c r="B52" i="18"/>
  <c r="B82" i="18" s="1"/>
  <c r="AB52" i="18"/>
  <c r="AB82" i="18" s="1"/>
  <c r="AD52" i="18"/>
  <c r="AD82" i="18" s="1"/>
  <c r="V52" i="18"/>
  <c r="V82" i="18" s="1"/>
  <c r="AJ52" i="18"/>
  <c r="AJ82" i="18" s="1"/>
  <c r="R52" i="18"/>
  <c r="R82" i="18" s="1"/>
  <c r="AT52" i="18"/>
  <c r="AT82" i="18" s="1"/>
  <c r="L52" i="18"/>
  <c r="L82" i="18" s="1"/>
  <c r="N52" i="18"/>
  <c r="N82" i="18" s="1"/>
  <c r="F52" i="18"/>
  <c r="F82" i="18" s="1"/>
  <c r="AL52" i="22"/>
  <c r="AL82" i="22" s="1"/>
  <c r="P52" i="22"/>
  <c r="P82" i="22" s="1"/>
  <c r="AF52" i="22"/>
  <c r="AF82" i="22" s="1"/>
  <c r="AV52" i="22"/>
  <c r="AV82" i="22" s="1"/>
  <c r="AR52" i="22"/>
  <c r="AR82" i="22" s="1"/>
  <c r="V52" i="22"/>
  <c r="V82" i="22" s="1"/>
  <c r="X52" i="22"/>
  <c r="X82" i="22" s="1"/>
  <c r="T52" i="22"/>
  <c r="T82" i="22" s="1"/>
  <c r="F52" i="22"/>
  <c r="F82" i="22" s="1"/>
  <c r="AP52" i="22"/>
  <c r="AP82" i="22" s="1"/>
  <c r="R52" i="22"/>
  <c r="R82" i="22" s="1"/>
  <c r="J52" i="22"/>
  <c r="J82" i="22" s="1"/>
  <c r="AJ52" i="22"/>
  <c r="AJ82" i="22" s="1"/>
  <c r="L52" i="22"/>
  <c r="L82" i="22" s="1"/>
  <c r="N52" i="22"/>
  <c r="N82" i="22" s="1"/>
  <c r="AT52" i="22"/>
  <c r="AT82" i="22" s="1"/>
  <c r="AD52" i="22"/>
  <c r="AD82" i="22" s="1"/>
  <c r="H52" i="22"/>
  <c r="H82" i="22" s="1"/>
  <c r="Z52" i="22"/>
  <c r="Z82" i="22" s="1"/>
  <c r="AB52" i="22"/>
  <c r="AB82" i="22" s="1"/>
  <c r="AN52" i="22"/>
  <c r="AN82" i="22" s="1"/>
  <c r="D52" i="22"/>
  <c r="D82" i="22" s="1"/>
  <c r="AH52" i="22"/>
  <c r="AH82" i="22" s="1"/>
  <c r="B52" i="22"/>
  <c r="B82" i="22" s="1"/>
  <c r="L52" i="12"/>
  <c r="L82" i="12" s="1"/>
  <c r="AD52" i="12"/>
  <c r="AD82" i="12" s="1"/>
  <c r="P52" i="12"/>
  <c r="P82" i="12" s="1"/>
  <c r="AF52" i="12"/>
  <c r="AF82" i="12" s="1"/>
  <c r="AJ52" i="12"/>
  <c r="AJ82" i="12" s="1"/>
  <c r="N52" i="12"/>
  <c r="N82" i="12" s="1"/>
  <c r="AV52" i="12"/>
  <c r="AV82" i="12" s="1"/>
  <c r="AB52" i="12"/>
  <c r="AB82" i="12" s="1"/>
  <c r="D52" i="12"/>
  <c r="D82" i="12" s="1"/>
  <c r="AT52" i="12"/>
  <c r="AT82" i="12" s="1"/>
  <c r="AR52" i="12"/>
  <c r="AR82" i="12" s="1"/>
  <c r="T52" i="12"/>
  <c r="T82" i="12" s="1"/>
  <c r="X52" i="12"/>
  <c r="X82" i="12" s="1"/>
  <c r="AL52" i="12"/>
  <c r="AL82" i="12" s="1"/>
  <c r="AN52" i="12"/>
  <c r="AN82" i="12" s="1"/>
  <c r="AP52" i="12"/>
  <c r="AP82" i="12" s="1"/>
  <c r="V52" i="12"/>
  <c r="V82" i="12" s="1"/>
  <c r="J52" i="12"/>
  <c r="J82" i="12" s="1"/>
  <c r="R52" i="12"/>
  <c r="R82" i="12" s="1"/>
  <c r="Z52" i="12"/>
  <c r="Z82" i="12" s="1"/>
  <c r="F52" i="12"/>
  <c r="F82" i="12" s="1"/>
  <c r="H52" i="12"/>
  <c r="H82" i="12" s="1"/>
  <c r="AH52" i="12"/>
  <c r="AH82" i="12" s="1"/>
  <c r="B52" i="12"/>
  <c r="B82" i="12" s="1"/>
  <c r="T52" i="11"/>
  <c r="T82" i="11" s="1"/>
  <c r="B52" i="11"/>
  <c r="B82" i="11" s="1"/>
  <c r="X52" i="11"/>
  <c r="X82" i="11" s="1"/>
  <c r="D52" i="11"/>
  <c r="D82" i="11" s="1"/>
  <c r="H52" i="11"/>
  <c r="H82" i="11" s="1"/>
  <c r="AH52" i="11"/>
  <c r="AH82" i="11" s="1"/>
  <c r="R52" i="11"/>
  <c r="R82" i="11" s="1"/>
  <c r="AJ52" i="11"/>
  <c r="AJ82" i="11" s="1"/>
  <c r="AN52" i="11"/>
  <c r="AN82" i="11" s="1"/>
  <c r="Z52" i="11"/>
  <c r="Z82" i="11" s="1"/>
  <c r="AL52" i="11"/>
  <c r="AL82" i="11" s="1"/>
  <c r="AB52" i="11"/>
  <c r="AB82" i="11" s="1"/>
  <c r="N52" i="11"/>
  <c r="N82" i="11" s="1"/>
  <c r="AT52" i="11"/>
  <c r="AT82" i="11" s="1"/>
  <c r="V52" i="11"/>
  <c r="V82" i="11" s="1"/>
  <c r="J52" i="11"/>
  <c r="J82" i="11" s="1"/>
  <c r="AR52" i="11"/>
  <c r="AR82" i="11" s="1"/>
  <c r="P52" i="11"/>
  <c r="P82" i="11" s="1"/>
  <c r="AV52" i="11"/>
  <c r="AV82" i="11" s="1"/>
  <c r="AP52" i="11"/>
  <c r="AP82" i="11" s="1"/>
  <c r="L52" i="11"/>
  <c r="L82" i="11" s="1"/>
  <c r="F52" i="11"/>
  <c r="F82" i="11" s="1"/>
  <c r="AF52" i="11"/>
  <c r="AF82" i="11" s="1"/>
  <c r="AD52" i="11"/>
  <c r="AD82" i="11" s="1"/>
  <c r="P52" i="3" a="1"/>
  <c r="P52" i="3" s="1"/>
  <c r="P82" i="3" s="1"/>
  <c r="L52" i="3" a="1"/>
  <c r="L52" i="3" s="1"/>
  <c r="L82" i="3" s="1"/>
  <c r="AL52" i="3" a="1"/>
  <c r="AL52" i="3" s="1"/>
  <c r="AL82" i="3" s="1"/>
  <c r="AJ52" i="3" a="1"/>
  <c r="AJ52" i="3" s="1"/>
  <c r="AJ82" i="3" s="1"/>
  <c r="N52" i="3" a="1"/>
  <c r="N52" i="3" s="1"/>
  <c r="N82" i="3" s="1"/>
  <c r="AH52" i="3" a="1"/>
  <c r="AH52" i="3" s="1"/>
  <c r="AH82" i="3" s="1"/>
  <c r="J52" i="3" a="1"/>
  <c r="J52" i="3" s="1"/>
  <c r="J82" i="3" s="1"/>
  <c r="AF52" i="3" a="1"/>
  <c r="AF52" i="3" s="1"/>
  <c r="AF82" i="3" s="1"/>
  <c r="H52" i="3" a="1"/>
  <c r="H52" i="3" s="1"/>
  <c r="H82" i="3" s="1"/>
  <c r="AD52" i="3" a="1"/>
  <c r="AD52" i="3" s="1"/>
  <c r="AD82" i="3" s="1"/>
  <c r="F52" i="3" a="1"/>
  <c r="F52" i="3" s="1"/>
  <c r="F82" i="3" s="1"/>
  <c r="AB52" i="3" a="1"/>
  <c r="AB52" i="3" s="1"/>
  <c r="AB82" i="3" s="1"/>
  <c r="D52" i="3" a="1"/>
  <c r="D52" i="3" s="1"/>
  <c r="D82" i="3" s="1"/>
  <c r="AV52" i="3" a="1"/>
  <c r="AV52" i="3" s="1"/>
  <c r="AV82" i="3" s="1"/>
  <c r="Z52" i="3" a="1"/>
  <c r="Z52" i="3" s="1"/>
  <c r="Z82" i="3" s="1"/>
  <c r="B52" i="3" a="1"/>
  <c r="B52" i="3" s="1"/>
  <c r="B82" i="3" s="1"/>
  <c r="AT52" i="3" a="1"/>
  <c r="AT52" i="3" s="1"/>
  <c r="AT82" i="3" s="1"/>
  <c r="X52" i="3" a="1"/>
  <c r="X52" i="3" s="1"/>
  <c r="X82" i="3" s="1"/>
  <c r="AR52" i="3" a="1"/>
  <c r="AR52" i="3" s="1"/>
  <c r="AR82" i="3" s="1"/>
  <c r="AP52" i="3" a="1"/>
  <c r="AP52" i="3" s="1"/>
  <c r="AP82" i="3" s="1"/>
  <c r="T52" i="3" a="1"/>
  <c r="T52" i="3" s="1"/>
  <c r="T82" i="3" s="1"/>
  <c r="V52" i="3" a="1"/>
  <c r="V52" i="3" s="1"/>
  <c r="V82" i="3" s="1"/>
  <c r="R52" i="3" a="1"/>
  <c r="R52" i="3" s="1"/>
  <c r="R82" i="3" s="1"/>
  <c r="AN52" i="3" a="1"/>
  <c r="AN52" i="3" s="1"/>
  <c r="AN82" i="3" s="1"/>
  <c r="C29" i="1"/>
  <c r="D29" i="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a="1"/>
  <c r="AV67" i="3" s="1"/>
  <c r="AT67" i="3" a="1"/>
  <c r="AT67" i="3" s="1"/>
  <c r="AR67" i="3" a="1"/>
  <c r="AR67" i="3" s="1"/>
  <c r="AP67" i="3" a="1"/>
  <c r="AP67" i="3" s="1"/>
  <c r="AN67" i="3" a="1"/>
  <c r="AN67" i="3" s="1"/>
  <c r="AL67" i="3" a="1"/>
  <c r="AL67" i="3" s="1"/>
  <c r="AJ67" i="3" a="1"/>
  <c r="AJ67" i="3" s="1"/>
  <c r="AH67" i="3" a="1"/>
  <c r="AH67" i="3" s="1"/>
  <c r="AF67" i="3" a="1"/>
  <c r="AF67" i="3" s="1"/>
  <c r="AD67" i="3"/>
  <c r="AD67" i="3" a="1"/>
  <c r="AB67" i="3" a="1"/>
  <c r="AB67" i="3" s="1"/>
  <c r="Z67" i="3" a="1"/>
  <c r="Z67" i="3" s="1"/>
  <c r="X67" i="3" a="1"/>
  <c r="X67" i="3" s="1"/>
  <c r="V67" i="3" a="1"/>
  <c r="V67" i="3" s="1"/>
  <c r="T67" i="3" a="1"/>
  <c r="T67" i="3" s="1"/>
  <c r="R67" i="3" a="1"/>
  <c r="R67" i="3" s="1"/>
  <c r="P67" i="3" a="1"/>
  <c r="P67" i="3" s="1"/>
  <c r="N67" i="3"/>
  <c r="N67" i="3" a="1"/>
  <c r="L67" i="3" a="1"/>
  <c r="L67" i="3" s="1"/>
  <c r="J67" i="3" a="1"/>
  <c r="J67" i="3" s="1"/>
  <c r="H67" i="3" a="1"/>
  <c r="H67" i="3" s="1"/>
  <c r="F67" i="3" a="1"/>
  <c r="F67" i="3" s="1"/>
  <c r="D67" i="3" a="1"/>
  <c r="D67" i="3" s="1"/>
  <c r="B67" i="3" a="1"/>
  <c r="B67" i="3" s="1"/>
  <c r="AV66" i="3" a="1"/>
  <c r="AV66" i="3" s="1"/>
  <c r="AT66" i="3" a="1"/>
  <c r="AT66" i="3" s="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X68" i="3" l="1"/>
  <c r="Z68" i="3"/>
  <c r="V68" i="3"/>
  <c r="AF68" i="3"/>
  <c r="AT68" i="3"/>
  <c r="B68" i="3"/>
  <c r="AH68" i="3"/>
  <c r="AJ68" i="3"/>
  <c r="AP68" i="3"/>
  <c r="AV68" i="3"/>
  <c r="R68" i="3"/>
  <c r="N68" i="3"/>
  <c r="L68" i="3"/>
  <c r="AD68" i="3"/>
  <c r="T68" i="3"/>
  <c r="P68" i="3"/>
  <c r="F68" i="3"/>
  <c r="AL68" i="3"/>
  <c r="H68" i="3"/>
  <c r="D68" i="3"/>
  <c r="J68" i="3"/>
  <c r="AR68" i="3"/>
  <c r="AB68" i="3"/>
  <c r="AN68" i="3"/>
  <c r="AV80" i="3" l="1"/>
  <c r="AT80" i="3"/>
  <c r="AR80" i="3"/>
  <c r="AP80" i="3"/>
  <c r="AN80" i="3"/>
  <c r="AL80" i="3"/>
  <c r="AJ80" i="3"/>
  <c r="AH80" i="3"/>
  <c r="AF80" i="3"/>
  <c r="AD80" i="3"/>
  <c r="AB80" i="3"/>
  <c r="Z80" i="3"/>
  <c r="X80" i="3"/>
  <c r="V80" i="3"/>
  <c r="T80" i="3"/>
  <c r="R80" i="3"/>
  <c r="P80" i="3"/>
  <c r="N80" i="3"/>
  <c r="L80" i="3"/>
  <c r="J80" i="3"/>
  <c r="H80" i="3"/>
  <c r="F80" i="3"/>
  <c r="D80" i="3"/>
  <c r="B80" i="3"/>
  <c r="AV48" i="3" l="1"/>
  <c r="AT48" i="3"/>
  <c r="AR48" i="3"/>
  <c r="AP48" i="3"/>
  <c r="AN48" i="3"/>
  <c r="AL48" i="3"/>
  <c r="AJ48" i="3"/>
  <c r="AH48" i="3"/>
  <c r="AF48" i="3"/>
  <c r="AD48" i="3"/>
  <c r="AB48" i="3"/>
  <c r="Z48" i="3"/>
  <c r="X48" i="3"/>
  <c r="V48" i="3"/>
  <c r="T48" i="3"/>
  <c r="R48" i="3"/>
  <c r="P48" i="3"/>
  <c r="N48" i="3"/>
  <c r="L48" i="3"/>
  <c r="J48" i="3"/>
  <c r="H48" i="3"/>
  <c r="F48" i="3"/>
  <c r="D48" i="3"/>
  <c r="B48" i="3"/>
  <c r="F39" i="1" l="1" a="1"/>
  <c r="D52" i="2" l="1"/>
  <c r="C43" i="2" l="1"/>
  <c r="H29" i="1" l="1" a="1"/>
  <c r="H28" i="1" a="1"/>
  <c r="H27" i="1" a="1"/>
  <c r="H27" i="1" l="1"/>
  <c r="F39" i="1" l="1"/>
  <c r="H29" i="1"/>
  <c r="H28" i="1"/>
  <c r="H25" i="1" a="1"/>
  <c r="C52" i="2"/>
  <c r="AP60" i="3" l="1"/>
  <c r="B60" i="3"/>
  <c r="J56" i="3"/>
  <c r="AD60" i="3"/>
  <c r="AH56" i="3"/>
  <c r="AN60" i="3"/>
  <c r="AV56" i="3"/>
  <c r="H56" i="3"/>
  <c r="AJ60" i="3"/>
  <c r="D56" i="3"/>
  <c r="AL56" i="3"/>
  <c r="AL60" i="3"/>
  <c r="AT56" i="3"/>
  <c r="F56" i="3"/>
  <c r="Z60" i="3"/>
  <c r="AR56" i="3"/>
  <c r="AP56" i="3"/>
  <c r="AF60" i="3"/>
  <c r="AB60" i="3"/>
  <c r="AJ56" i="3"/>
  <c r="X60" i="3"/>
  <c r="AF56" i="3"/>
  <c r="V60" i="3"/>
  <c r="T60" i="3"/>
  <c r="AB56" i="3"/>
  <c r="F60" i="3"/>
  <c r="N56" i="3"/>
  <c r="R60" i="3"/>
  <c r="Z56" i="3"/>
  <c r="P60" i="3"/>
  <c r="X56" i="3"/>
  <c r="N60" i="3"/>
  <c r="V56" i="3"/>
  <c r="AR60" i="3"/>
  <c r="AH60" i="3"/>
  <c r="B56" i="3"/>
  <c r="AN56" i="3"/>
  <c r="L60" i="3"/>
  <c r="T56" i="3"/>
  <c r="J60" i="3"/>
  <c r="R56" i="3"/>
  <c r="AT60" i="3"/>
  <c r="L56" i="3"/>
  <c r="AV60" i="3"/>
  <c r="H60" i="3"/>
  <c r="P56" i="3"/>
  <c r="D60" i="3"/>
  <c r="AD56" i="3"/>
  <c r="H26" i="1"/>
  <c r="I25" i="1"/>
  <c r="H25" i="1"/>
  <c r="I26" i="1"/>
  <c r="G39" i="1"/>
  <c r="I29" i="1"/>
  <c r="I28" i="1"/>
  <c r="I27" i="1"/>
  <c r="D120" i="1"/>
  <c r="C118" i="1" l="1" a="1"/>
  <c r="C118" i="1" s="1"/>
  <c r="C45" i="2" a="1"/>
  <c r="D45" i="2" s="1"/>
  <c r="C34" i="2" a="1"/>
  <c r="C34" i="2" s="1"/>
  <c r="D118" i="1" l="1"/>
  <c r="C45" i="2"/>
  <c r="D34" i="2"/>
  <c r="W56" i="2" l="1"/>
  <c r="C37" i="2" a="1"/>
  <c r="C37" i="2" s="1"/>
  <c r="D37" i="2" l="1"/>
  <c r="C80" i="1" a="1"/>
  <c r="C80" i="1" s="1"/>
  <c r="C115" i="1" a="1"/>
  <c r="D115" i="1" s="1"/>
  <c r="C46" i="1" a="1"/>
  <c r="C46" i="1" s="1"/>
  <c r="D80" i="1" l="1"/>
  <c r="C115" i="1"/>
  <c r="D46" i="1"/>
  <c r="C31" i="2" l="1"/>
  <c r="D31" i="2" l="1"/>
  <c r="C23" i="2" a="1"/>
  <c r="C38" i="1" l="1" a="1"/>
  <c r="C38" i="1" s="1"/>
  <c r="C30" i="1" a="1"/>
  <c r="C30" i="1" s="1"/>
  <c r="H30" i="1" a="1"/>
  <c r="H30" i="1" s="1"/>
  <c r="C100" i="1" a="1"/>
  <c r="D100" i="1" s="1"/>
  <c r="D38" i="1" l="1"/>
  <c r="D30" i="1"/>
  <c r="C44" i="1" s="1" a="1"/>
  <c r="I30" i="1"/>
  <c r="K30" i="1" s="1" a="1"/>
  <c r="C100" i="1"/>
  <c r="K30" i="1" l="1"/>
  <c r="L30" i="1"/>
  <c r="D44" i="1"/>
  <c r="C44" i="1"/>
  <c r="L9" i="1" a="1"/>
  <c r="C22" i="2" a="1"/>
  <c r="C22" i="2" s="1"/>
  <c r="L9" i="1" l="1"/>
  <c r="M9" i="1"/>
  <c r="D22" i="2"/>
  <c r="C30" i="2" s="1" a="1"/>
  <c r="D30" i="2" l="1"/>
  <c r="C30" i="2"/>
  <c r="C39" i="2" l="1" a="1"/>
  <c r="C21" i="2" a="1"/>
  <c r="C116" i="1" a="1"/>
  <c r="C116" i="1" s="1"/>
  <c r="C114" i="1" a="1"/>
  <c r="D114" i="1" s="1"/>
  <c r="D116" i="1" l="1"/>
  <c r="C114" i="1"/>
  <c r="Q17" i="23" l="1"/>
  <c r="Q4" i="46" s="1"/>
  <c r="P17" i="23"/>
  <c r="P4" i="46" s="1"/>
  <c r="O17" i="23"/>
  <c r="O4" i="46" s="1"/>
  <c r="N17" i="23"/>
  <c r="N4" i="46" s="1"/>
  <c r="M17" i="23"/>
  <c r="M4" i="46" s="1"/>
  <c r="L17" i="23"/>
  <c r="L4" i="46" s="1"/>
  <c r="K17" i="23"/>
  <c r="K4" i="46" s="1"/>
  <c r="J17" i="23"/>
  <c r="J4" i="46" s="1"/>
  <c r="I17" i="23"/>
  <c r="I4" i="46" s="1"/>
  <c r="H17" i="23"/>
  <c r="H4" i="46" s="1"/>
  <c r="G17" i="23"/>
  <c r="G4" i="46" s="1"/>
  <c r="F17" i="23"/>
  <c r="F4" i="46" s="1"/>
  <c r="E17" i="23"/>
  <c r="E4" i="46" s="1"/>
  <c r="D17" i="23"/>
  <c r="D4" i="46" s="1"/>
  <c r="C17" i="23"/>
  <c r="C4" i="46" s="1"/>
  <c r="B17" i="23"/>
  <c r="B4" i="46" s="1"/>
  <c r="T19" i="23"/>
  <c r="T6" i="46" s="1"/>
  <c r="S19" i="23"/>
  <c r="S6" i="46" s="1"/>
  <c r="R19" i="23"/>
  <c r="R6" i="46" s="1"/>
  <c r="Q19" i="23"/>
  <c r="Q6" i="46" s="1"/>
  <c r="P19" i="23"/>
  <c r="P6" i="46" s="1"/>
  <c r="O19" i="23"/>
  <c r="O6" i="46" s="1"/>
  <c r="N19" i="23"/>
  <c r="N6" i="46" s="1"/>
  <c r="M19" i="23"/>
  <c r="M6" i="46" s="1"/>
  <c r="L19" i="23"/>
  <c r="L6" i="46" s="1"/>
  <c r="K19" i="23"/>
  <c r="K6" i="46" s="1"/>
  <c r="J19" i="23"/>
  <c r="J6" i="46" s="1"/>
  <c r="I19" i="23"/>
  <c r="I6" i="46" s="1"/>
  <c r="H19" i="23"/>
  <c r="H6" i="46" s="1"/>
  <c r="G19" i="23"/>
  <c r="G6" i="46" s="1"/>
  <c r="F19" i="23"/>
  <c r="F6" i="46" s="1"/>
  <c r="E19" i="23"/>
  <c r="E6" i="46" s="1"/>
  <c r="D19" i="23"/>
  <c r="D6" i="46" s="1"/>
  <c r="C19" i="23"/>
  <c r="C6" i="46" s="1"/>
  <c r="B19" i="23"/>
  <c r="B6" i="46" s="1"/>
  <c r="Y16" i="23"/>
  <c r="Y3" i="46" s="1"/>
  <c r="X16" i="23"/>
  <c r="X3" i="46" s="1"/>
  <c r="W16" i="23"/>
  <c r="W3" i="46" s="1"/>
  <c r="V16" i="23"/>
  <c r="V3" i="46" s="1"/>
  <c r="U16" i="23"/>
  <c r="U3" i="46" s="1"/>
  <c r="T16" i="23"/>
  <c r="T3" i="46" s="1"/>
  <c r="S16" i="23"/>
  <c r="S3" i="46" s="1"/>
  <c r="R16" i="23"/>
  <c r="R3" i="46" s="1"/>
  <c r="Q16" i="23"/>
  <c r="Q3" i="46" s="1"/>
  <c r="P16" i="23"/>
  <c r="P3" i="46" s="1"/>
  <c r="O16" i="23"/>
  <c r="O3" i="46" s="1"/>
  <c r="N16" i="23"/>
  <c r="N3" i="46" s="1"/>
  <c r="M16" i="23"/>
  <c r="M3" i="46" s="1"/>
  <c r="L16" i="23"/>
  <c r="L3" i="46" s="1"/>
  <c r="K16" i="23"/>
  <c r="K3" i="46" s="1"/>
  <c r="J16" i="23"/>
  <c r="J3" i="46" s="1"/>
  <c r="I16" i="23"/>
  <c r="I3" i="46" s="1"/>
  <c r="H16" i="23"/>
  <c r="H3" i="46" s="1"/>
  <c r="G16" i="23"/>
  <c r="G3" i="46" s="1"/>
  <c r="F16" i="23"/>
  <c r="F3" i="46" s="1"/>
  <c r="E16" i="23"/>
  <c r="E3" i="46" s="1"/>
  <c r="D16" i="23"/>
  <c r="D3" i="46" s="1"/>
  <c r="C16" i="23"/>
  <c r="C3" i="46" s="1"/>
  <c r="B16" i="23"/>
  <c r="B3" i="46" s="1"/>
  <c r="Y14" i="23"/>
  <c r="Y2" i="46" s="1"/>
  <c r="X14" i="23"/>
  <c r="X2" i="46" s="1"/>
  <c r="W14" i="23"/>
  <c r="W2" i="46" s="1"/>
  <c r="V14" i="23"/>
  <c r="V2" i="46" s="1"/>
  <c r="U14" i="23"/>
  <c r="U2" i="46" s="1"/>
  <c r="T14" i="23"/>
  <c r="T2" i="46" s="1"/>
  <c r="S14" i="23"/>
  <c r="S2" i="46" s="1"/>
  <c r="R14" i="23"/>
  <c r="R2" i="46" s="1"/>
  <c r="Q14" i="23"/>
  <c r="Q2" i="46" s="1"/>
  <c r="P14" i="23"/>
  <c r="P2" i="46" s="1"/>
  <c r="O14" i="23"/>
  <c r="O2" i="46" s="1"/>
  <c r="N14" i="23"/>
  <c r="N2" i="46" s="1"/>
  <c r="M14" i="23"/>
  <c r="M2" i="46" s="1"/>
  <c r="L14" i="23"/>
  <c r="L2" i="46" s="1"/>
  <c r="K14" i="23"/>
  <c r="K2" i="46" s="1"/>
  <c r="J14" i="23"/>
  <c r="J2" i="46" s="1"/>
  <c r="I14" i="23"/>
  <c r="I2" i="46" s="1"/>
  <c r="H14" i="23"/>
  <c r="H2" i="46" s="1"/>
  <c r="G14" i="23"/>
  <c r="G2" i="46" s="1"/>
  <c r="F14" i="23"/>
  <c r="F2" i="46" s="1"/>
  <c r="E14" i="23"/>
  <c r="E2" i="46" s="1"/>
  <c r="D14" i="23"/>
  <c r="D2" i="46" s="1"/>
  <c r="C14" i="23"/>
  <c r="C2" i="46" s="1"/>
  <c r="B14" i="23"/>
  <c r="B2" i="46" s="1"/>
  <c r="C45" i="1" l="1" a="1"/>
  <c r="C45" i="1" s="1"/>
  <c r="D45" i="1" l="1"/>
  <c r="L5" i="1" s="1" a="1"/>
  <c r="U56" i="2" l="1"/>
  <c r="Y56" i="2"/>
  <c r="C122" i="1" a="1"/>
  <c r="L5" i="1"/>
  <c r="M5" i="1"/>
  <c r="C122" i="1" l="1"/>
  <c r="D122" i="1"/>
  <c r="C90" i="1" a="1"/>
  <c r="D90" i="1" s="1"/>
  <c r="C85" i="1" a="1"/>
  <c r="D85" i="1" s="1"/>
  <c r="C90" i="1" l="1"/>
  <c r="C85" i="1"/>
  <c r="C32" i="1" l="1" a="1"/>
  <c r="C32" i="1" l="1"/>
  <c r="D32" i="1"/>
  <c r="C47" i="1" l="1" a="1"/>
  <c r="D47" i="1" s="1"/>
  <c r="C47" i="1" l="1"/>
  <c r="C48" i="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K34" i="1" s="1" a="1"/>
  <c r="F82" i="1" a="1"/>
  <c r="F82" i="1" s="1"/>
  <c r="L34" i="1" l="1"/>
  <c r="K34" i="1"/>
  <c r="G82" i="1"/>
  <c r="F83" i="1" s="1" a="1"/>
  <c r="F83" i="1" l="1"/>
  <c r="G83" i="1"/>
  <c r="I4" i="1" l="1"/>
  <c r="C37" i="1" l="1" a="1"/>
  <c r="D37" i="1" s="1"/>
  <c r="D14" i="1"/>
  <c r="I4" i="2"/>
  <c r="D14" i="2" s="1"/>
  <c r="C37" i="1" l="1"/>
  <c r="C70" i="1" s="1" a="1"/>
  <c r="C70" i="1" l="1"/>
  <c r="D70" i="1"/>
  <c r="C71" i="1"/>
  <c r="D71" i="1"/>
  <c r="C123" i="1" a="1"/>
  <c r="C51" i="1" a="1"/>
  <c r="H72" i="1" a="1"/>
  <c r="C72" i="1" a="1"/>
  <c r="H73" i="1" a="1"/>
  <c r="C73" i="1" a="1"/>
  <c r="O12" i="1" a="1"/>
  <c r="C25" i="1" l="1" a="1"/>
  <c r="C123" i="1"/>
  <c r="D123" i="1"/>
  <c r="C51" i="1"/>
  <c r="D51" i="1"/>
  <c r="C73" i="1"/>
  <c r="D73" i="1"/>
  <c r="I73" i="1"/>
  <c r="H73" i="1"/>
  <c r="K73" i="1" s="1" a="1"/>
  <c r="P12" i="1"/>
  <c r="O12" i="1"/>
  <c r="D72" i="1"/>
  <c r="C72" i="1"/>
  <c r="H72" i="1"/>
  <c r="I72" i="1"/>
  <c r="L73" i="1" l="1"/>
  <c r="K73" i="1"/>
  <c r="D26" i="1"/>
  <c r="C25" i="1"/>
  <c r="C26" i="1"/>
  <c r="D25" i="1"/>
  <c r="L7" i="1" a="1"/>
  <c r="C50" i="1" a="1"/>
  <c r="H45" i="1" a="1"/>
  <c r="H46" i="1" a="1"/>
  <c r="C51" i="2" a="1"/>
  <c r="K72" i="1" a="1"/>
  <c r="M7" i="1" l="1"/>
  <c r="L7" i="1"/>
  <c r="C51" i="2"/>
  <c r="D51" i="2"/>
  <c r="I46" i="1"/>
  <c r="H46" i="1"/>
  <c r="K72" i="1"/>
  <c r="L72" i="1"/>
  <c r="I45" i="1"/>
  <c r="H45" i="1"/>
  <c r="D50" i="1"/>
  <c r="C50" i="1"/>
  <c r="AB58" i="3" l="1" a="1"/>
  <c r="AB58" i="3" s="1"/>
  <c r="AF58" i="3" a="1"/>
  <c r="AF58" i="3" s="1"/>
  <c r="L58" i="3" a="1"/>
  <c r="L58" i="3" s="1"/>
  <c r="AD58" i="3" a="1"/>
  <c r="AD58" i="3" s="1"/>
  <c r="J58" i="3" a="1"/>
  <c r="J58" i="3" s="1"/>
  <c r="AT58" i="3" a="1"/>
  <c r="AT58" i="3" s="1"/>
  <c r="Z58" i="3" a="1"/>
  <c r="Z58" i="3" s="1"/>
  <c r="F58" i="3" a="1"/>
  <c r="F58" i="3" s="1"/>
  <c r="AR58" i="3" a="1"/>
  <c r="AR58" i="3" s="1"/>
  <c r="X58" i="3" a="1"/>
  <c r="X58" i="3" s="1"/>
  <c r="D58" i="3" a="1"/>
  <c r="D58" i="3" s="1"/>
  <c r="AP58" i="3" a="1"/>
  <c r="AP58" i="3" s="1"/>
  <c r="V58" i="3" a="1"/>
  <c r="V58" i="3" s="1"/>
  <c r="B58" i="3" a="1"/>
  <c r="B58" i="3" s="1"/>
  <c r="AN58" i="3" a="1"/>
  <c r="AN58" i="3" s="1"/>
  <c r="T58" i="3" a="1"/>
  <c r="T58" i="3" s="1"/>
  <c r="H58" i="3" a="1"/>
  <c r="H58" i="3" s="1"/>
  <c r="AH58" i="3" a="1"/>
  <c r="AH58" i="3" s="1"/>
  <c r="AL58" i="3" a="1"/>
  <c r="AL58" i="3" s="1"/>
  <c r="R58" i="3" a="1"/>
  <c r="R58" i="3" s="1"/>
  <c r="AV58" i="3" a="1"/>
  <c r="AV58" i="3" s="1"/>
  <c r="AJ58" i="3" a="1"/>
  <c r="AJ58" i="3" s="1"/>
  <c r="P58" i="3" a="1"/>
  <c r="P58" i="3" s="1"/>
  <c r="N58" i="3" a="1"/>
  <c r="N58" i="3" s="1"/>
  <c r="L6" i="1" a="1"/>
  <c r="L6" i="1" s="1"/>
  <c r="K45" i="1" a="1"/>
  <c r="L45" i="1" s="1"/>
  <c r="K46" i="1" a="1"/>
  <c r="L46" i="1" s="1"/>
  <c r="H32" i="1" a="1"/>
  <c r="C50" i="2" a="1"/>
  <c r="M6" i="1" l="1"/>
  <c r="K45" i="1"/>
  <c r="K46" i="1"/>
  <c r="I32" i="1"/>
  <c r="H32" i="1"/>
  <c r="K32" i="1" s="1" a="1"/>
  <c r="D50" i="2"/>
  <c r="C50" i="2"/>
  <c r="AL57" i="3" l="1" a="1"/>
  <c r="AL57" i="3" s="1"/>
  <c r="AN57" i="3" a="1"/>
  <c r="AN57" i="3" s="1"/>
  <c r="T57" i="3" a="1"/>
  <c r="T57" i="3" s="1"/>
  <c r="R57" i="3" a="1"/>
  <c r="R57" i="3" s="1"/>
  <c r="AJ57" i="3" a="1"/>
  <c r="AJ57" i="3" s="1"/>
  <c r="AH57" i="3" a="1"/>
  <c r="AH57" i="3" s="1"/>
  <c r="N57" i="3" a="1"/>
  <c r="N57" i="3" s="1"/>
  <c r="AF57" i="3" a="1"/>
  <c r="AF57" i="3" s="1"/>
  <c r="L57" i="3" a="1"/>
  <c r="L57" i="3" s="1"/>
  <c r="AD57" i="3" a="1"/>
  <c r="AD57" i="3" s="1"/>
  <c r="J57" i="3" a="1"/>
  <c r="J57" i="3" s="1"/>
  <c r="AP57" i="3" a="1"/>
  <c r="AP57" i="3" s="1"/>
  <c r="AV57" i="3" a="1"/>
  <c r="AV57" i="3" s="1"/>
  <c r="AB57" i="3" a="1"/>
  <c r="AB57" i="3" s="1"/>
  <c r="H57" i="3" a="1"/>
  <c r="H57" i="3" s="1"/>
  <c r="V57" i="3" a="1"/>
  <c r="V57" i="3" s="1"/>
  <c r="AT57" i="3" a="1"/>
  <c r="AT57" i="3" s="1"/>
  <c r="Z57" i="3" a="1"/>
  <c r="Z57" i="3" s="1"/>
  <c r="F57" i="3" a="1"/>
  <c r="F57" i="3" s="1"/>
  <c r="B57" i="3" a="1"/>
  <c r="B57" i="3" s="1"/>
  <c r="P57" i="3" a="1"/>
  <c r="P57" i="3" s="1"/>
  <c r="AR57" i="3" a="1"/>
  <c r="AR57" i="3" s="1"/>
  <c r="X57" i="3" a="1"/>
  <c r="X57" i="3" s="1"/>
  <c r="D57" i="3" a="1"/>
  <c r="D57" i="3" s="1"/>
  <c r="K32" i="1"/>
  <c r="L32" i="1"/>
  <c r="Q3" i="1" a="1"/>
  <c r="Q4" i="1" s="1"/>
  <c r="C32" i="2" a="1"/>
  <c r="Q3" i="1" l="1"/>
  <c r="K25" i="1" l="1" a="1"/>
  <c r="C93" i="1" l="1" a="1"/>
  <c r="C88" i="1" l="1" a="1"/>
  <c r="D88" i="1" s="1"/>
  <c r="C87" i="1" a="1"/>
  <c r="C87" i="1" s="1"/>
  <c r="C92" i="1" a="1"/>
  <c r="D92" i="1" s="1"/>
  <c r="L3" i="1" a="1"/>
  <c r="L4" i="1" s="1"/>
  <c r="C93" i="1"/>
  <c r="D93" i="1"/>
  <c r="C92" i="1" l="1"/>
  <c r="M3" i="1"/>
  <c r="L3" i="1"/>
  <c r="D87" i="1"/>
  <c r="M4" i="1"/>
  <c r="H70" i="1" a="1"/>
  <c r="I70" i="1" s="1"/>
  <c r="C88" i="1"/>
  <c r="H71" i="1" l="1" a="1"/>
  <c r="I71" i="1" s="1"/>
  <c r="H70" i="1"/>
  <c r="H21" i="1" a="1"/>
  <c r="H48" i="1" a="1"/>
  <c r="F92" i="1" a="1"/>
  <c r="F87" i="1" a="1"/>
  <c r="H47" i="1" a="1"/>
  <c r="H35" i="1" a="1"/>
  <c r="H71" i="1" l="1"/>
  <c r="H47" i="1"/>
  <c r="I47" i="1"/>
  <c r="G92" i="1"/>
  <c r="F92" i="1"/>
  <c r="I48" i="1"/>
  <c r="H48" i="1"/>
  <c r="H21" i="1"/>
  <c r="I21" i="1"/>
  <c r="I35" i="1"/>
  <c r="H35" i="1"/>
  <c r="K35" i="1" s="1" a="1"/>
  <c r="G87" i="1"/>
  <c r="F87" i="1"/>
  <c r="K70" i="1" l="1" a="1"/>
  <c r="L35" i="1"/>
  <c r="K35" i="1"/>
  <c r="K21" i="1" a="1"/>
  <c r="L21" i="1" s="1"/>
  <c r="K48" i="1" a="1"/>
  <c r="L48" i="1" s="1"/>
  <c r="F88" i="1" a="1"/>
  <c r="F88" i="1" s="1"/>
  <c r="F93" i="1" a="1"/>
  <c r="F93" i="1" s="1"/>
  <c r="K47" i="1" a="1"/>
  <c r="L47" i="1" s="1"/>
  <c r="L70" i="1" l="1"/>
  <c r="K70" i="1"/>
  <c r="L71" i="1"/>
  <c r="K71" i="1"/>
  <c r="K21" i="1"/>
  <c r="K47" i="1"/>
  <c r="G93" i="1"/>
  <c r="K48" i="1"/>
  <c r="G88" i="1"/>
  <c r="K26" i="1" l="1"/>
  <c r="K25" i="1" l="1"/>
  <c r="L25" i="1"/>
  <c r="C39" i="1" a="1"/>
  <c r="H39" i="1" a="1"/>
  <c r="L26" i="1"/>
  <c r="I39" i="1" l="1"/>
  <c r="H39" i="1"/>
  <c r="D39" i="1"/>
  <c r="C39" i="1"/>
  <c r="K39" i="1" l="1" a="1"/>
  <c r="L10" i="1" a="1"/>
  <c r="M10" i="1" s="1"/>
  <c r="M12" i="1" s="1"/>
  <c r="H55" i="1" a="1"/>
  <c r="H55" i="1" s="1"/>
  <c r="C40" i="1" a="1"/>
  <c r="C119" i="1" a="1"/>
  <c r="H23" i="1" a="1"/>
  <c r="K27" i="1" a="1"/>
  <c r="L27" i="1" s="1"/>
  <c r="N3" i="1" a="1"/>
  <c r="K27" i="1"/>
  <c r="L39" i="1" l="1"/>
  <c r="K39" i="1"/>
  <c r="L10" i="1"/>
  <c r="L12" i="1" s="1"/>
  <c r="I23" i="1"/>
  <c r="H23" i="1"/>
  <c r="K23" i="1" s="1" a="1"/>
  <c r="C119" i="1"/>
  <c r="D119" i="1"/>
  <c r="C40" i="1"/>
  <c r="D40" i="1"/>
  <c r="K29" i="1" a="1"/>
  <c r="C107" i="1"/>
  <c r="N4" i="1"/>
  <c r="N3" i="1"/>
  <c r="K23" i="1" l="1"/>
  <c r="L23" i="1"/>
  <c r="C77" i="1" a="1"/>
  <c r="C78" i="1" a="1"/>
  <c r="C104" i="1"/>
  <c r="C105"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K43" i="1" s="1" a="1"/>
  <c r="I41" i="1"/>
  <c r="H41" i="1" a="1"/>
  <c r="H41" i="1" s="1"/>
  <c r="F104" i="1"/>
  <c r="D78" i="1"/>
  <c r="C78" i="1"/>
  <c r="D77" i="1"/>
  <c r="C77" i="1"/>
  <c r="P4" i="1"/>
  <c r="C62" i="2"/>
  <c r="K55" i="1" a="1"/>
  <c r="K55" i="1" s="1"/>
  <c r="K28" i="1"/>
  <c r="L28" i="1"/>
  <c r="K42" i="1" a="1"/>
  <c r="L42" i="1" s="1"/>
  <c r="O3" i="1"/>
  <c r="R3" i="1" s="1"/>
  <c r="L14" i="1" s="1"/>
  <c r="R4" i="1"/>
  <c r="K43" i="1" l="1"/>
  <c r="L43" i="1"/>
  <c r="F77" i="1" a="1"/>
  <c r="H40" i="1" a="1"/>
  <c r="H38" i="1" a="1"/>
  <c r="C66" i="2"/>
  <c r="M14" i="1"/>
  <c r="K42"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P53" i="38" l="1"/>
  <c r="P83" i="38" s="1"/>
  <c r="N53" i="38"/>
  <c r="N83" i="38" s="1"/>
  <c r="AF53" i="38"/>
  <c r="AF83" i="38" s="1"/>
  <c r="AD53" i="38"/>
  <c r="AD83" i="38" s="1"/>
  <c r="AT53" i="38"/>
  <c r="AT83" i="38" s="1"/>
  <c r="AV53" i="38"/>
  <c r="AV83" i="38" s="1"/>
  <c r="R53" i="38"/>
  <c r="R83" i="38" s="1"/>
  <c r="F53" i="38"/>
  <c r="F83" i="38" s="1"/>
  <c r="L53" i="38"/>
  <c r="L83" i="38" s="1"/>
  <c r="AP53" i="38"/>
  <c r="AP83" i="38" s="1"/>
  <c r="AR53" i="38"/>
  <c r="AR83" i="38" s="1"/>
  <c r="AL53" i="38"/>
  <c r="AL83" i="38" s="1"/>
  <c r="T53" i="38"/>
  <c r="T83" i="38" s="1"/>
  <c r="AH53" i="38"/>
  <c r="AH83" i="38" s="1"/>
  <c r="X53" i="38"/>
  <c r="X83" i="38" s="1"/>
  <c r="AJ53" i="38"/>
  <c r="AJ83" i="38" s="1"/>
  <c r="AN53" i="38"/>
  <c r="AN83" i="38" s="1"/>
  <c r="AB53" i="38"/>
  <c r="AB83" i="38" s="1"/>
  <c r="V53" i="38"/>
  <c r="V83" i="38" s="1"/>
  <c r="H53" i="38"/>
  <c r="H83" i="38" s="1"/>
  <c r="B53" i="38"/>
  <c r="B83" i="38" s="1"/>
  <c r="D53" i="38"/>
  <c r="D83" i="38" s="1"/>
  <c r="Z53" i="38"/>
  <c r="Z83" i="38" s="1"/>
  <c r="J53" i="38"/>
  <c r="J83" i="38" s="1"/>
  <c r="AD53" i="21"/>
  <c r="AD83" i="21" s="1"/>
  <c r="AR53" i="21"/>
  <c r="AR83" i="21" s="1"/>
  <c r="P53" i="21"/>
  <c r="P83" i="21" s="1"/>
  <c r="N53" i="21"/>
  <c r="N83" i="21" s="1"/>
  <c r="L53" i="21"/>
  <c r="L83" i="21" s="1"/>
  <c r="AF53" i="21"/>
  <c r="AF83" i="21" s="1"/>
  <c r="AT53" i="21"/>
  <c r="AT83" i="21" s="1"/>
  <c r="AB53" i="21"/>
  <c r="AB83" i="21" s="1"/>
  <c r="AV53" i="21"/>
  <c r="AV83" i="21" s="1"/>
  <c r="B53" i="21"/>
  <c r="B83" i="21" s="1"/>
  <c r="AL53" i="21"/>
  <c r="AL83" i="21" s="1"/>
  <c r="D53" i="21"/>
  <c r="D83" i="21" s="1"/>
  <c r="AN53" i="21"/>
  <c r="AN83" i="21" s="1"/>
  <c r="R53" i="21"/>
  <c r="R83" i="21" s="1"/>
  <c r="X53" i="21"/>
  <c r="X83" i="21" s="1"/>
  <c r="AH53" i="21"/>
  <c r="AH83" i="21" s="1"/>
  <c r="F53" i="21"/>
  <c r="F83" i="21" s="1"/>
  <c r="H53" i="21"/>
  <c r="H83" i="21" s="1"/>
  <c r="J53" i="21"/>
  <c r="J83" i="21" s="1"/>
  <c r="AP53" i="21"/>
  <c r="AP83" i="21" s="1"/>
  <c r="Z53" i="21"/>
  <c r="Z83" i="21" s="1"/>
  <c r="T53" i="21"/>
  <c r="T83" i="21" s="1"/>
  <c r="V53" i="21"/>
  <c r="V83" i="21" s="1"/>
  <c r="AJ53" i="21"/>
  <c r="AJ83" i="21" s="1"/>
  <c r="AF53" i="24"/>
  <c r="AF83" i="24" s="1"/>
  <c r="AV53" i="24"/>
  <c r="AV83" i="24" s="1"/>
  <c r="P53" i="24"/>
  <c r="P83" i="24" s="1"/>
  <c r="AP53" i="24"/>
  <c r="AP83" i="24" s="1"/>
  <c r="T53" i="24"/>
  <c r="T83" i="24" s="1"/>
  <c r="B53" i="24"/>
  <c r="B83" i="24" s="1"/>
  <c r="AR53" i="24"/>
  <c r="AR83" i="24" s="1"/>
  <c r="D53" i="24"/>
  <c r="D83" i="24" s="1"/>
  <c r="J53" i="24"/>
  <c r="J83" i="24" s="1"/>
  <c r="AT53" i="24"/>
  <c r="AT83" i="24" s="1"/>
  <c r="AL53" i="24"/>
  <c r="AL83" i="24" s="1"/>
  <c r="AJ53" i="24"/>
  <c r="AJ83" i="24" s="1"/>
  <c r="AD53" i="24"/>
  <c r="AD83" i="24" s="1"/>
  <c r="V53" i="24"/>
  <c r="V83" i="24" s="1"/>
  <c r="F53" i="24"/>
  <c r="F83" i="24" s="1"/>
  <c r="AH53" i="24"/>
  <c r="AH83" i="24" s="1"/>
  <c r="AN53" i="24"/>
  <c r="AN83" i="24" s="1"/>
  <c r="N53" i="24"/>
  <c r="N83" i="24" s="1"/>
  <c r="X53" i="24"/>
  <c r="X83" i="24" s="1"/>
  <c r="H53" i="24"/>
  <c r="H83" i="24" s="1"/>
  <c r="AB53" i="24"/>
  <c r="AB83" i="24" s="1"/>
  <c r="Z53" i="24"/>
  <c r="Z83" i="24" s="1"/>
  <c r="L53" i="24"/>
  <c r="L83" i="24" s="1"/>
  <c r="R53" i="24"/>
  <c r="R83" i="24" s="1"/>
  <c r="AH53" i="18"/>
  <c r="AH83" i="18" s="1"/>
  <c r="AJ53" i="18"/>
  <c r="AJ83" i="18" s="1"/>
  <c r="AV53" i="18"/>
  <c r="AV83" i="18" s="1"/>
  <c r="AF53" i="18"/>
  <c r="AF83" i="18" s="1"/>
  <c r="H53" i="18"/>
  <c r="H83" i="18" s="1"/>
  <c r="X53" i="18"/>
  <c r="X83" i="18" s="1"/>
  <c r="D53" i="18"/>
  <c r="D83" i="18" s="1"/>
  <c r="T53" i="18"/>
  <c r="T83" i="18" s="1"/>
  <c r="AN53" i="18"/>
  <c r="AN83" i="18" s="1"/>
  <c r="P53" i="18"/>
  <c r="P83" i="18" s="1"/>
  <c r="AL53" i="18"/>
  <c r="AL83" i="18" s="1"/>
  <c r="AB53" i="18"/>
  <c r="AB83" i="18" s="1"/>
  <c r="AP53" i="18"/>
  <c r="AP83" i="18" s="1"/>
  <c r="F53" i="18"/>
  <c r="F83" i="18" s="1"/>
  <c r="B53" i="18"/>
  <c r="B83" i="18" s="1"/>
  <c r="V53" i="18"/>
  <c r="V83" i="18" s="1"/>
  <c r="AR53" i="18"/>
  <c r="AR83" i="18" s="1"/>
  <c r="R53" i="18"/>
  <c r="R83" i="18" s="1"/>
  <c r="AD53" i="18"/>
  <c r="AD83" i="18" s="1"/>
  <c r="Z53" i="18"/>
  <c r="Z83" i="18" s="1"/>
  <c r="J53" i="18"/>
  <c r="J83" i="18" s="1"/>
  <c r="N53" i="18"/>
  <c r="N83" i="18" s="1"/>
  <c r="AT53" i="18"/>
  <c r="AT83" i="18" s="1"/>
  <c r="L53" i="18"/>
  <c r="L83" i="18" s="1"/>
  <c r="AJ53" i="22"/>
  <c r="AJ83" i="22" s="1"/>
  <c r="L53" i="22"/>
  <c r="L83" i="22" s="1"/>
  <c r="AF53" i="22"/>
  <c r="AF83" i="22" s="1"/>
  <c r="AB53" i="22"/>
  <c r="AB83" i="22" s="1"/>
  <c r="AR53" i="22"/>
  <c r="AR83" i="22" s="1"/>
  <c r="F53" i="22"/>
  <c r="F83" i="22" s="1"/>
  <c r="AV53" i="22"/>
  <c r="AV83" i="22" s="1"/>
  <c r="P53" i="22"/>
  <c r="P83" i="22" s="1"/>
  <c r="V53" i="22"/>
  <c r="V83" i="22" s="1"/>
  <c r="AT53" i="22"/>
  <c r="AT83" i="22" s="1"/>
  <c r="H53" i="22"/>
  <c r="H83" i="22" s="1"/>
  <c r="AL53" i="22"/>
  <c r="AL83" i="22" s="1"/>
  <c r="AP53" i="22"/>
  <c r="AP83" i="22" s="1"/>
  <c r="J53" i="22"/>
  <c r="J83" i="22" s="1"/>
  <c r="D53" i="22"/>
  <c r="D83" i="22" s="1"/>
  <c r="R53" i="22"/>
  <c r="R83" i="22" s="1"/>
  <c r="AD53" i="22"/>
  <c r="AD83" i="22" s="1"/>
  <c r="X53" i="22"/>
  <c r="X83" i="22" s="1"/>
  <c r="B53" i="22"/>
  <c r="B83" i="22" s="1"/>
  <c r="AN53" i="22"/>
  <c r="AN83" i="22" s="1"/>
  <c r="N53" i="22"/>
  <c r="N83" i="22" s="1"/>
  <c r="Z53" i="22"/>
  <c r="Z83" i="22" s="1"/>
  <c r="T53" i="22"/>
  <c r="T83" i="22" s="1"/>
  <c r="AH53" i="22"/>
  <c r="AH83" i="22" s="1"/>
  <c r="AB53" i="12"/>
  <c r="AB83" i="12" s="1"/>
  <c r="AV53" i="12"/>
  <c r="AV83" i="12" s="1"/>
  <c r="D53" i="12"/>
  <c r="D83" i="12" s="1"/>
  <c r="AF53" i="12"/>
  <c r="AF83" i="12" s="1"/>
  <c r="L53" i="12"/>
  <c r="L83" i="12" s="1"/>
  <c r="AD53" i="12"/>
  <c r="AD83" i="12" s="1"/>
  <c r="AT53" i="12"/>
  <c r="AT83" i="12" s="1"/>
  <c r="N53" i="12"/>
  <c r="N83" i="12" s="1"/>
  <c r="AR53" i="12"/>
  <c r="AR83" i="12" s="1"/>
  <c r="T53" i="12"/>
  <c r="T83" i="12" s="1"/>
  <c r="P53" i="12"/>
  <c r="P83" i="12" s="1"/>
  <c r="F53" i="12"/>
  <c r="F83" i="12" s="1"/>
  <c r="AH53" i="12"/>
  <c r="AH83" i="12" s="1"/>
  <c r="V53" i="12"/>
  <c r="V83" i="12" s="1"/>
  <c r="X53" i="12"/>
  <c r="X83" i="12" s="1"/>
  <c r="J53" i="12"/>
  <c r="J83" i="12" s="1"/>
  <c r="R53" i="12"/>
  <c r="R83" i="12" s="1"/>
  <c r="AP53" i="12"/>
  <c r="AP83" i="12" s="1"/>
  <c r="AL53" i="12"/>
  <c r="AL83" i="12" s="1"/>
  <c r="Z53" i="12"/>
  <c r="Z83" i="12" s="1"/>
  <c r="AN53" i="12"/>
  <c r="AN83" i="12" s="1"/>
  <c r="AJ53" i="12"/>
  <c r="AJ83" i="12" s="1"/>
  <c r="B53" i="12"/>
  <c r="B83" i="12" s="1"/>
  <c r="H53" i="12"/>
  <c r="H83" i="12" s="1"/>
  <c r="R53" i="11"/>
  <c r="R83" i="11" s="1"/>
  <c r="AN53" i="11"/>
  <c r="AN83" i="11" s="1"/>
  <c r="T53" i="11"/>
  <c r="T83" i="11" s="1"/>
  <c r="D53" i="11"/>
  <c r="D83" i="11" s="1"/>
  <c r="B53" i="11"/>
  <c r="B83" i="11" s="1"/>
  <c r="X53" i="11"/>
  <c r="X83" i="11" s="1"/>
  <c r="H53" i="11"/>
  <c r="H83" i="11" s="1"/>
  <c r="AH53" i="11"/>
  <c r="AH83" i="11" s="1"/>
  <c r="AJ53" i="11"/>
  <c r="AJ83" i="11" s="1"/>
  <c r="P53" i="11"/>
  <c r="P83" i="11" s="1"/>
  <c r="Z53" i="11"/>
  <c r="Z83" i="11" s="1"/>
  <c r="L53" i="11"/>
  <c r="L83" i="11" s="1"/>
  <c r="AV53" i="11"/>
  <c r="AV83" i="11" s="1"/>
  <c r="AL53" i="11"/>
  <c r="AL83" i="11" s="1"/>
  <c r="AT53" i="11"/>
  <c r="AT83" i="11" s="1"/>
  <c r="J53" i="11"/>
  <c r="J83" i="11" s="1"/>
  <c r="AP53" i="11"/>
  <c r="AP83" i="11" s="1"/>
  <c r="N53" i="11"/>
  <c r="N83" i="11" s="1"/>
  <c r="V53" i="11"/>
  <c r="V83" i="11" s="1"/>
  <c r="AR53" i="11"/>
  <c r="AR83" i="11" s="1"/>
  <c r="AF53" i="11"/>
  <c r="AF83" i="11" s="1"/>
  <c r="AD53" i="11"/>
  <c r="AD83" i="11" s="1"/>
  <c r="F53" i="11"/>
  <c r="F83" i="11" s="1"/>
  <c r="AB53" i="11"/>
  <c r="AB83" i="11" s="1"/>
  <c r="K38" i="1" a="1"/>
  <c r="AJ53" i="3" a="1"/>
  <c r="AB53" i="3" a="1"/>
  <c r="Z53" i="3" a="1"/>
  <c r="V53" i="3" a="1"/>
  <c r="T53" i="3" a="1"/>
  <c r="T53" i="3" s="1"/>
  <c r="T83" i="3" s="1"/>
  <c r="R53" i="3" a="1"/>
  <c r="R53" i="3" s="1"/>
  <c r="R83" i="3" s="1"/>
  <c r="P53" i="3" a="1"/>
  <c r="P53" i="3" s="1"/>
  <c r="P83" i="3" s="1"/>
  <c r="N53" i="3" a="1"/>
  <c r="N53" i="3" s="1"/>
  <c r="N83" i="3" s="1"/>
  <c r="AH53" i="3" a="1"/>
  <c r="AH53" i="3" s="1"/>
  <c r="AH83" i="3" s="1"/>
  <c r="AF53" i="3" a="1"/>
  <c r="AF53" i="3" s="1"/>
  <c r="AF83" i="3" s="1"/>
  <c r="AD53" i="3" a="1"/>
  <c r="AD53" i="3" s="1"/>
  <c r="AD83" i="3" s="1"/>
  <c r="X53" i="3" a="1"/>
  <c r="X53" i="3" s="1"/>
  <c r="X83" i="3" s="1"/>
  <c r="J53" i="3" a="1"/>
  <c r="J53" i="3" s="1"/>
  <c r="J83" i="3" s="1"/>
  <c r="AV53" i="3" a="1"/>
  <c r="AV53" i="3" s="1"/>
  <c r="AV83" i="3" s="1"/>
  <c r="H53" i="3" a="1"/>
  <c r="H53" i="3" s="1"/>
  <c r="H83" i="3" s="1"/>
  <c r="AT53" i="3" a="1"/>
  <c r="AT53" i="3" s="1"/>
  <c r="AT83" i="3" s="1"/>
  <c r="F53" i="3" a="1"/>
  <c r="F53" i="3" s="1"/>
  <c r="F83" i="3" s="1"/>
  <c r="AR53" i="3" a="1"/>
  <c r="AR53" i="3" s="1"/>
  <c r="AR83" i="3" s="1"/>
  <c r="D53" i="3" a="1"/>
  <c r="D53" i="3" s="1"/>
  <c r="D83" i="3" s="1"/>
  <c r="AP53" i="3" a="1"/>
  <c r="AP53" i="3" s="1"/>
  <c r="AP83" i="3" s="1"/>
  <c r="B53" i="3" a="1"/>
  <c r="B53" i="3" s="1"/>
  <c r="B83" i="3" s="1"/>
  <c r="AN53" i="3" a="1"/>
  <c r="AN53" i="3" s="1"/>
  <c r="AN83" i="3" s="1"/>
  <c r="AL53" i="3" a="1"/>
  <c r="L53" i="3" a="1"/>
  <c r="K65" i="1"/>
  <c r="Z53" i="3"/>
  <c r="Z83" i="3" s="1"/>
  <c r="AB53" i="3"/>
  <c r="AB83" i="3" s="1"/>
  <c r="V53" i="3"/>
  <c r="V83" i="3" s="1"/>
  <c r="L53" i="3"/>
  <c r="L83" i="3" s="1"/>
  <c r="AL53" i="3"/>
  <c r="AL83" i="3" s="1"/>
  <c r="AJ53" i="3"/>
  <c r="AJ83" i="3" s="1"/>
  <c r="C65" i="2"/>
  <c r="K59" i="2" s="1" a="1"/>
  <c r="F78" i="1" a="1"/>
  <c r="G78" i="1" s="1"/>
  <c r="O21" i="1"/>
  <c r="I44" i="1"/>
  <c r="K44" i="1" s="1" a="1"/>
  <c r="K44" i="1" s="1"/>
  <c r="G97" i="1"/>
  <c r="F98" i="1" s="1" a="1"/>
  <c r="F98" i="1" s="1"/>
  <c r="H37" i="1"/>
  <c r="K37" i="1" s="1" a="1"/>
  <c r="I24" i="1"/>
  <c r="L37" i="1" l="1"/>
  <c r="K37" i="1"/>
  <c r="L38" i="1"/>
  <c r="K38" i="1"/>
  <c r="F78" i="1"/>
  <c r="G98" i="1"/>
  <c r="L44" i="1"/>
  <c r="K24" i="1" a="1"/>
  <c r="K24" i="1" s="1"/>
  <c r="K40" i="1" a="1"/>
  <c r="L40" i="1" s="1"/>
  <c r="K40" i="1" l="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5" i="2" s="1"/>
  <c r="C32" i="2"/>
  <c r="W59" i="2" l="1"/>
  <c r="D28" i="2"/>
  <c r="AK58" i="2" a="1"/>
  <c r="AK58" i="2" s="1"/>
  <c r="O12" i="2"/>
  <c r="L10" i="2"/>
  <c r="M7" i="2"/>
  <c r="C24" i="2"/>
  <c r="C40" i="2" s="1" a="1"/>
  <c r="D40" i="2" s="1"/>
  <c r="H23" i="2" a="1"/>
  <c r="C26" i="2"/>
  <c r="D26" i="2"/>
  <c r="D25" i="2"/>
  <c r="C25" i="2"/>
  <c r="C42" i="2" a="1"/>
  <c r="C42" i="2" s="1"/>
  <c r="AE58" i="2" a="1"/>
  <c r="AE58"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Q23" i="2" a="1"/>
  <c r="O4" i="2"/>
  <c r="C35" i="2" a="1"/>
  <c r="L9" i="2" l="1"/>
  <c r="H37" i="2"/>
  <c r="I37" i="2"/>
  <c r="K23" i="2" a="1"/>
  <c r="Q3" i="2" a="1"/>
  <c r="C59" i="2" a="1"/>
  <c r="C59" i="2" s="1"/>
  <c r="Q38" i="2"/>
  <c r="C58" i="2" a="1"/>
  <c r="R23" i="2"/>
  <c r="Q23" i="2"/>
  <c r="W57" i="2" l="1"/>
  <c r="K37" i="2" a="1"/>
  <c r="C64" i="2" a="1"/>
  <c r="AG57" i="2"/>
  <c r="C58" i="2"/>
  <c r="D41" i="2" s="1"/>
  <c r="C64" i="2"/>
  <c r="Y57" i="2"/>
  <c r="AK57" i="2"/>
  <c r="Q4" i="2"/>
  <c r="Q3" i="2"/>
  <c r="L23" i="2"/>
  <c r="K23" i="2"/>
  <c r="AA57" i="2"/>
  <c r="U57" i="2"/>
  <c r="AC57" i="2"/>
  <c r="AE57" i="2"/>
  <c r="L37" i="2" l="1"/>
  <c r="K37" i="2"/>
  <c r="C41" i="2"/>
  <c r="N3" i="2" s="1" a="1"/>
  <c r="N4" i="2" s="1"/>
  <c r="C60" i="2" l="1" a="1"/>
  <c r="C60" i="2" s="1"/>
  <c r="K56" i="2" s="1"/>
  <c r="Q58" i="2" a="1"/>
  <c r="Q58" i="2" s="1"/>
  <c r="Q57" i="2" a="1"/>
  <c r="Q57" i="2" s="1"/>
  <c r="C56" i="2"/>
  <c r="N3" i="2"/>
  <c r="AI56" i="2" l="1" a="1"/>
  <c r="AI56" i="2" s="1"/>
  <c r="AG56" i="2" a="1"/>
  <c r="AG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X58" i="2" l="1"/>
  <c r="W58" i="2"/>
  <c r="AG58" i="2" a="1"/>
  <c r="AG58" i="2" s="1"/>
  <c r="AL58" i="2"/>
  <c r="AI58" i="2" a="1"/>
  <c r="AJ58" i="2" s="1"/>
  <c r="AA58" i="2" a="1"/>
  <c r="AA58" i="2" s="1"/>
  <c r="U58" i="2" a="1"/>
  <c r="V58" i="2" s="1"/>
  <c r="AF58" i="2"/>
  <c r="AD58" i="2"/>
  <c r="Z58" i="2"/>
  <c r="Q32" i="2" a="1"/>
  <c r="R32" i="2" s="1"/>
  <c r="Q45" i="2" a="1"/>
  <c r="R45" i="2" s="1"/>
  <c r="C46" i="2" a="1"/>
  <c r="Q48" i="2" a="1"/>
  <c r="Q35" i="2" a="1"/>
  <c r="H39" i="2" a="1"/>
  <c r="L3" i="2" a="1"/>
  <c r="AH58" i="2" l="1"/>
  <c r="AI58" i="2"/>
  <c r="U58" i="2"/>
  <c r="AB58" i="2"/>
  <c r="Q32" i="2"/>
  <c r="Q45" i="2"/>
  <c r="C46" i="2"/>
  <c r="D46" i="2"/>
  <c r="I39" i="2"/>
  <c r="H39" i="2"/>
  <c r="K39" i="2" s="1" a="1"/>
  <c r="Q48" i="2"/>
  <c r="R48" i="2"/>
  <c r="L3" i="2"/>
  <c r="M3" i="2"/>
  <c r="L4" i="2"/>
  <c r="M4" i="2"/>
  <c r="Q35" i="2"/>
  <c r="R35" i="2"/>
  <c r="K57" i="2" l="1"/>
  <c r="K59" i="2"/>
  <c r="W55" i="2"/>
  <c r="R3" i="2" a="1"/>
  <c r="R3" i="2" s="1"/>
  <c r="K39" i="2"/>
  <c r="L39" i="2"/>
  <c r="Y59" i="2" a="1"/>
  <c r="Y59" i="2"/>
  <c r="AG55" i="2" a="1"/>
  <c r="AG55" i="2" s="1"/>
  <c r="AG59" i="2" a="1"/>
  <c r="AG59" i="2" s="1"/>
  <c r="R4" i="2" a="1"/>
  <c r="R4" i="2" s="1"/>
  <c r="AK55" i="2"/>
  <c r="AI57" i="2" a="1"/>
  <c r="AI57" i="2" s="1"/>
  <c r="AE55" i="2"/>
  <c r="AC55" i="2"/>
  <c r="U55" i="2"/>
  <c r="AA55" i="2"/>
  <c r="Y55" i="2"/>
  <c r="Q33" i="2" a="1"/>
  <c r="Q33" i="2" s="1"/>
  <c r="Q46" i="2" a="1"/>
  <c r="R46" i="2" s="1"/>
  <c r="L5" i="2" a="1"/>
  <c r="L6" i="2" a="1"/>
  <c r="C72" i="2" a="1"/>
  <c r="N37" i="2" a="1"/>
  <c r="Q47" i="2" a="1"/>
  <c r="C73" i="2" a="1"/>
  <c r="K34" i="2" a="1"/>
  <c r="L17" i="2" l="1"/>
  <c r="AK59" i="2" a="1"/>
  <c r="AK59" i="2" s="1"/>
  <c r="AE59" i="2" a="1"/>
  <c r="AE59" i="2" s="1"/>
  <c r="U59" i="2" a="1"/>
  <c r="U59" i="2" s="1"/>
  <c r="AA59" i="2" a="1"/>
  <c r="AA59" i="2" s="1"/>
  <c r="AC59" i="2" a="1"/>
  <c r="AC59" i="2" s="1"/>
  <c r="AI59" i="2" a="1"/>
  <c r="AI59" i="2" s="1"/>
  <c r="R33"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N70" i="2" a="1"/>
  <c r="O72" i="2" s="1"/>
  <c r="N57" i="2"/>
  <c r="N59" i="2"/>
  <c r="N58" i="2"/>
  <c r="N56" i="2"/>
  <c r="N55" i="2"/>
  <c r="M14" i="2" l="1" a="1"/>
  <c r="M14" i="2" s="1"/>
  <c r="L8" i="2"/>
  <c r="L12" i="2" s="1"/>
  <c r="L14" i="2" s="1" a="1"/>
  <c r="L14" i="2" s="1"/>
  <c r="N70" i="2"/>
  <c r="O70" i="2"/>
  <c r="N71" i="2"/>
  <c r="O71" i="2"/>
  <c r="O73" i="2"/>
  <c r="N73" i="2"/>
  <c r="N7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Inspired by the long-term estimate for UK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5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6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<sst xmlns="http://schemas.openxmlformats.org/spreadsheetml/2006/main" count="1031" uniqueCount="187">
  <si>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</si>
  <si>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</si>
  <si>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</si>
  <si>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</si>
  <si>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</si>
  <si>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</si>
  <si>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</si>
  <si>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</si>
  <si>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</si>
  <si>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</si>
  <si>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</si>
  <si>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</si>
  <si>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</si>
  <si>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</si>
  <si>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</si>
  <si>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</si>
  <si>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</si>
  <si>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</si>
  <si>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</si>
  <si>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</si>
  <si>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</si>
  <si>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</si>
  <si>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</si>
  <si>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</si>
  <si>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</si>
  <si>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</si>
  <si>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</si>
  <si>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</si>
  <si>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</si>
  <si>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</si>
  <si>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</si>
  <si>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</si>
  <si>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</si>
  <si>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</si>
  <si>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</si>
  <si>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</si>
  <si>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</si>
  <si>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</si>
  <si>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</si>
  <si>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</si>
  <si>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</si>
  <si>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</si>
  <si>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</si>
  <si>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</si>
  <si>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</si>
  <si>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</si>
  <si>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</si>
  <si>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</si>
  <si>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</si>
  <si>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</si>
  <si>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</si>
  <si>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</si>
  <si>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</si>
  <si>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</si>
  <si>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</si>
  <si>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</si>
  <si>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</si>
  <si>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</si>
  <si>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</si>
  <si>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</si>
  <si>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</si>
  <si>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</si>
  <si>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</si>
  <si>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</si>
  <si>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</si>
  <si>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</si>
  <si>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</si>
  <si>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</si>
  <si>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</si>
  <si>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</si>
  <si>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</si>
  <si>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</si>
  <si>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</si>
  <si>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</si>
  <si>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</si>
  <si>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</si>
  <si>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</si>
  <si>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</si>
  <si>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</si>
  <si>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</si>
  <si>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</si>
  <si>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</si>
  <si>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</si>
  <si>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</si>
  <si>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</si>
  <si>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</si>
  <si>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</si>
  <si>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</si>
  <si>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</si>
  <si>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</si>
  <si>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</si>
  <si>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</si>
  <si>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sD</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</si>
  <si>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</si>
  <si>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</si>
  <si>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</si>
  <si>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</si>
  <si>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</si>
  <si>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</si>
  <si>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</si>
  <si>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</si>
  <si>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</si>
  <si>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</si>
  <si>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</si>
  <si>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</si>
  <si>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</si>
  <si>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</si>
  <si>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</si>
  <si>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</si>
  <si>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</si>
  <si>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</si>
  <si>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</si>
  <si>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</si>
  <si>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</si>
  <si>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</si>
  <si>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</si>
  <si>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</si>
  <si>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</si>
  <si>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</si>
  <si>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</si>
  <si>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</si>
  <si>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</si>
  <si>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</si>
  <si>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</si>
  <si>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</si>
  <si>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</si>
  <si>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</si>
  <si>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</si>
  <si>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</si>
  <si>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</si>
  <si>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Keynes-Marshall</t>
  </si>
  <si>
    <t>Keynes-Kaldor</t>
  </si>
  <si>
    <t>Fossil energy control</t>
  </si>
  <si>
    <t>Keynes-I</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</si>
  <si>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</si>
  <si>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</si>
  <si>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</si>
  <si>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</si>
  <si>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</si>
  <si>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</si>
  <si>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</si>
  <si>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</si>
  <si>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</si>
  <si>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</si>
  <si>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</si>
  <si>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</si>
  <si>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</si>
  <si>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</si>
  <si>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</si>
  <si>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</si>
  <si>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</si>
  <si>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</si>
  <si>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</si>
  <si>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</si>
  <si>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</si>
  <si>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</si>
  <si>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</si>
  <si>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</si>
  <si>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</si>
  <si>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</si>
  <si>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</si>
  <si>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</si>
  <si>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</si>
  <si>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</si>
  <si>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</si>
  <si>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</si>
  <si>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</si>
  <si>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</si>
  <si>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</si>
  <si>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</si>
  <si>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</si>
  <si>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</si>
  <si>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</si>
  <si>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</si>
  <si>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</si>
  <si>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</si>
  <si>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</si>
  <si>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</si>
  <si>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</si>
  <si>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WorldBank WDI</t>
  </si>
  <si>
    <t>Copier-Coller du tableau UE 2022 - Fichier matrix_eu-ic-io_prod-by-prod_24ed_2022</t>
  </si>
  <si>
    <t>Energy control</t>
  </si>
  <si>
    <t>Welfare</t>
  </si>
  <si>
    <t>Energy tax rate</t>
  </si>
  <si>
    <t>VA-share of K</t>
  </si>
  <si>
    <t>From Results sheet</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</si>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</sst>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3"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05">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0" fontId="8" fillId="0" borderId="0" xfId="0" applyFont="1"/>
    <xf numFmtId="3" fontId="7" fillId="0" borderId="7" xfId="0" applyNumberFormat="1" applyFont="1" applyBorder="1"/>
    <xf numFmtId="3" fontId="7" fillId="0" borderId="8" xfId="0" applyNumberFormat="1" applyFont="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1" fillId="0" borderId="9" xfId="0" applyNumberFormat="1" applyFont="1" applyBorder="1"/>
    <xf numFmtId="166" fontId="1" fillId="3" borderId="0" xfId="4" quotePrefix="1" applyNumberFormat="1" applyFont="1" applyFill="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0" fontId="0" fillId="0" borderId="0" xfId="0" applyAlignment="1">
      <alignment horizontal="left"/>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11" xfId="2" applyFont="1" applyBorder="1"/>
    <xf numFmtId="166" fontId="6" fillId="3" borderId="0" xfId="0" applyNumberFormat="1" applyFont="1" applyFill="1" applyAlignment="1">
      <alignment horizontal="center"/>
    </xf>
    <xf numFmtId="166" fontId="3" fillId="3" borderId="0" xfId="4" quotePrefix="1" applyNumberFormat="1" applyFont="1" applyFill="1"/>
    <xf numFmtId="9" fontId="3" fillId="2" borderId="0" xfId="0" applyNumberFormat="1" applyFont="1" applyFill="1"/>
    <xf numFmtId="170" fontId="0" fillId="0" borderId="0" xfId="0" applyNumberFormat="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rgb="FF9C0006"/>
      </font>
      <fill>
        <patternFill>
          <bgColor rgb="FFFFC7CE"/>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3462DDAC-82E6-4CE7-B570-CB78552E5574}"/>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1.xml"/><Relationship Id="rId18" Type="http://schemas.openxmlformats.org/officeDocument/2006/relationships/chartsheet" Target="chartsheets/sheet6.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1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5.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hartsheet" Target="chartsheets/sheet4.xml"/><Relationship Id="rId20" Type="http://schemas.openxmlformats.org/officeDocument/2006/relationships/worksheet" Target="worksheets/sheet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hartsheet" Target="chartsheets/sheet3.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2.xml"/><Relationship Id="rId22" Type="http://schemas.openxmlformats.org/officeDocument/2006/relationships/externalLink" Target="externalLinks/externalLink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c:f>
              <c:strCache>
                <c:ptCount val="1"/>
                <c:pt idx="0">
                  <c:v>Neoclassical</c:v>
                </c:pt>
              </c:strCache>
            </c:strRef>
          </c:tx>
          <c:spPr>
            <a:ln w="2540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0.99190801582956367</c:v>
                </c:pt>
                <c:pt idx="2">
                  <c:v>0.98310327976471679</c:v>
                </c:pt>
                <c:pt idx="3">
                  <c:v>0.97348207889665117</c:v>
                </c:pt>
                <c:pt idx="4">
                  <c:v>0.96291924132935047</c:v>
                </c:pt>
                <c:pt idx="5">
                  <c:v>0.95126147339577427</c:v>
                </c:pt>
                <c:pt idx="6">
                  <c:v>0.93831785113151878</c:v>
                </c:pt>
                <c:pt idx="7">
                  <c:v>0.92384551380225488</c:v>
                </c:pt>
                <c:pt idx="8">
                  <c:v>0.90752724774037274</c:v>
                </c:pt>
                <c:pt idx="9">
                  <c:v>0.8889367427581808</c:v>
                </c:pt>
                <c:pt idx="10">
                  <c:v>0.86748080847293274</c:v>
                </c:pt>
                <c:pt idx="11">
                  <c:v>0.84230296819433892</c:v>
                </c:pt>
                <c:pt idx="12">
                  <c:v>0.81212019877795139</c:v>
                </c:pt>
                <c:pt idx="13">
                  <c:v>0.77495155511477942</c:v>
                </c:pt>
                <c:pt idx="14">
                  <c:v>0.7277189342040995</c:v>
                </c:pt>
                <c:pt idx="15">
                  <c:v>0.66586984540464578</c:v>
                </c:pt>
                <c:pt idx="16">
                  <c:v>0.58358636742952541</c:v>
                </c:pt>
                <c:pt idx="17">
                  <c:v>0.47488525240136831</c:v>
                </c:pt>
                <c:pt idx="18">
                  <c:v>0.33432498439874764</c:v>
                </c:pt>
                <c:pt idx="19">
                  <c:v>0.15940789256407581</c:v>
                </c:pt>
                <c:pt idx="20">
                  <c:v>0.12139709984921597</c:v>
                </c:pt>
                <c:pt idx="21">
                  <c:v>8.3533823886445591E-2</c:v>
                </c:pt>
                <c:pt idx="22">
                  <c:v>4.7332992273538696E-2</c:v>
                </c:pt>
                <c:pt idx="23">
                  <c:v>1.6178038331674794E-2</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25400" cap="rnd">
              <a:solidFill>
                <a:schemeClr val="accent2"/>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0.99748996449048355</c:v>
                </c:pt>
                <c:pt idx="2">
                  <c:v>0.99441428748415184</c:v>
                </c:pt>
                <c:pt idx="3">
                  <c:v>0.99068410691584996</c:v>
                </c:pt>
                <c:pt idx="4">
                  <c:v>0.98619089939320714</c:v>
                </c:pt>
                <c:pt idx="5">
                  <c:v>0.98080051683576053</c:v>
                </c:pt>
                <c:pt idx="6">
                  <c:v>0.97434469618531472</c:v>
                </c:pt>
                <c:pt idx="7">
                  <c:v>0.96660793791024102</c:v>
                </c:pt>
                <c:pt idx="8">
                  <c:v>0.95730831274057671</c:v>
                </c:pt>
                <c:pt idx="9">
                  <c:v>0.94606578664855967</c:v>
                </c:pt>
                <c:pt idx="10">
                  <c:v>0.93235102219004717</c:v>
                </c:pt>
                <c:pt idx="11">
                  <c:v>0.91539631728132509</c:v>
                </c:pt>
                <c:pt idx="12">
                  <c:v>0.89403813165687118</c:v>
                </c:pt>
                <c:pt idx="13">
                  <c:v>0.86643243616338539</c:v>
                </c:pt>
                <c:pt idx="14">
                  <c:v>0.82956769923577567</c:v>
                </c:pt>
                <c:pt idx="15">
                  <c:v>0.77858639933746221</c:v>
                </c:pt>
                <c:pt idx="16">
                  <c:v>0.70627974814952499</c:v>
                </c:pt>
                <c:pt idx="17">
                  <c:v>0</c:v>
                </c:pt>
                <c:pt idx="18">
                  <c:v>0</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2540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0.99752005101011076</c:v>
                </c:pt>
                <c:pt idx="2">
                  <c:v>0.99447705105798068</c:v>
                </c:pt>
                <c:pt idx="3">
                  <c:v>0.99078256436660439</c:v>
                </c:pt>
                <c:pt idx="4">
                  <c:v>0.98632857005279218</c:v>
                </c:pt>
                <c:pt idx="5">
                  <c:v>0.98098143596255238</c:v>
                </c:pt>
                <c:pt idx="6">
                  <c:v>0.97457303586553778</c:v>
                </c:pt>
                <c:pt idx="7">
                  <c:v>0.96688803209173546</c:v>
                </c:pt>
                <c:pt idx="8">
                  <c:v>0.95764356713891308</c:v>
                </c:pt>
                <c:pt idx="9">
                  <c:v>0.94645803382309968</c:v>
                </c:pt>
                <c:pt idx="10">
                  <c:v>0.93279832795312589</c:v>
                </c:pt>
                <c:pt idx="11">
                  <c:v>0.91588993902686</c:v>
                </c:pt>
                <c:pt idx="12">
                  <c:v>0.8945568478865995</c:v>
                </c:pt>
                <c:pt idx="13">
                  <c:v>0.8669351932006083</c:v>
                </c:pt>
                <c:pt idx="14">
                  <c:v>0.82998884124997097</c:v>
                </c:pt>
                <c:pt idx="15">
                  <c:v>0.77885697022606259</c:v>
                </c:pt>
                <c:pt idx="16">
                  <c:v>0.70639227004512661</c:v>
                </c:pt>
                <c:pt idx="17">
                  <c:v>0.60308130832149043</c:v>
                </c:pt>
                <c:pt idx="18">
                  <c:v>0.45668851198303351</c:v>
                </c:pt>
                <c:pt idx="19">
                  <c:v>0.25361617975907741</c:v>
                </c:pt>
                <c:pt idx="20">
                  <c:v>0.20554820028685442</c:v>
                </c:pt>
                <c:pt idx="21">
                  <c:v>0.15527485717238443</c:v>
                </c:pt>
                <c:pt idx="22">
                  <c:v>0.10330767980110152</c:v>
                </c:pt>
                <c:pt idx="23">
                  <c:v>0</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Keynes-Marshall</c:v>
                </c:pt>
              </c:strCache>
            </c:strRef>
          </c:tx>
          <c:spPr>
            <a:ln w="25400" cap="rnd">
              <a:solidFill>
                <a:schemeClr val="accent4"/>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1.0133508661588635</c:v>
                </c:pt>
                <c:pt idx="2">
                  <c:v>1.0264070927676603</c:v>
                </c:pt>
                <c:pt idx="3">
                  <c:v>1.039120592520838</c:v>
                </c:pt>
                <c:pt idx="4">
                  <c:v>1.0514300257731448</c:v>
                </c:pt>
                <c:pt idx="5">
                  <c:v>1.0632608629997518</c:v>
                </c:pt>
                <c:pt idx="6">
                  <c:v>1.0745263622748487</c:v>
                </c:pt>
                <c:pt idx="7">
                  <c:v>1.0851307249218838</c:v>
                </c:pt>
                <c:pt idx="8">
                  <c:v>1.094973322009013</c:v>
                </c:pt>
                <c:pt idx="9">
                  <c:v>1.1039512871255159</c:v>
                </c:pt>
                <c:pt idx="10">
                  <c:v>1.111938788793619</c:v>
                </c:pt>
                <c:pt idx="11">
                  <c:v>1.1186311756031626</c:v>
                </c:pt>
                <c:pt idx="12">
                  <c:v>1.1227665662693069</c:v>
                </c:pt>
                <c:pt idx="13">
                  <c:v>0</c:v>
                </c:pt>
                <c:pt idx="14">
                  <c:v>0</c:v>
                </c:pt>
                <c:pt idx="15">
                  <c:v>0</c:v>
                </c:pt>
                <c:pt idx="16">
                  <c:v>0</c:v>
                </c:pt>
                <c:pt idx="17">
                  <c:v>0</c:v>
                </c:pt>
                <c:pt idx="18">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Keynesian</c:v>
                </c:pt>
              </c:strCache>
            </c:strRef>
          </c:tx>
          <c:spPr>
            <a:ln w="2540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0.97569282743154317</c:v>
                </c:pt>
                <c:pt idx="2">
                  <c:v>0.94882107657602888</c:v>
                </c:pt>
                <c:pt idx="3">
                  <c:v>0.91918351253790387</c:v>
                </c:pt>
                <c:pt idx="4">
                  <c:v>0.8865968488506123</c:v>
                </c:pt>
                <c:pt idx="5">
                  <c:v>0.85091135658576678</c:v>
                </c:pt>
                <c:pt idx="6">
                  <c:v>0.81203437767107756</c:v>
                </c:pt>
                <c:pt idx="7">
                  <c:v>0.76995969733066394</c:v>
                </c:pt>
                <c:pt idx="8">
                  <c:v>0.72481716848708144</c:v>
                </c:pt>
                <c:pt idx="9">
                  <c:v>0.67695898586905734</c:v>
                </c:pt>
                <c:pt idx="10">
                  <c:v>0.62719015504452391</c:v>
                </c:pt>
                <c:pt idx="11">
                  <c:v>0.57758638678236818</c:v>
                </c:pt>
                <c:pt idx="12">
                  <c:v>0</c:v>
                </c:pt>
                <c:pt idx="1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Keynes-Kaldor</c:v>
                </c:pt>
              </c:strCache>
            </c:strRef>
          </c:tx>
          <c:spPr>
            <a:ln w="2540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1.0031814870091846</c:v>
                </c:pt>
                <c:pt idx="2">
                  <c:v>1.00512633845918</c:v>
                </c:pt>
                <c:pt idx="3">
                  <c:v>1.0057206856650183</c:v>
                </c:pt>
                <c:pt idx="4">
                  <c:v>1.0048155137614352</c:v>
                </c:pt>
                <c:pt idx="5">
                  <c:v>1.0022175382199094</c:v>
                </c:pt>
                <c:pt idx="6">
                  <c:v>0.99767916771418907</c:v>
                </c:pt>
                <c:pt idx="7">
                  <c:v>0.99087941157553427</c:v>
                </c:pt>
                <c:pt idx="8">
                  <c:v>0.98139933103355403</c:v>
                </c:pt>
                <c:pt idx="9">
                  <c:v>0.96868199048757908</c:v>
                </c:pt>
                <c:pt idx="10">
                  <c:v>0.95197093485511963</c:v>
                </c:pt>
                <c:pt idx="11">
                  <c:v>0.93021062366032925</c:v>
                </c:pt>
                <c:pt idx="12">
                  <c:v>0.90188412956932873</c:v>
                </c:pt>
                <c:pt idx="13">
                  <c:v>0.86475159528404721</c:v>
                </c:pt>
                <c:pt idx="14">
                  <c:v>0.81546819366492074</c:v>
                </c:pt>
                <c:pt idx="15">
                  <c:v>0.74918600666516622</c:v>
                </c:pt>
                <c:pt idx="16">
                  <c:v>0.65960335915434065</c:v>
                </c:pt>
                <c:pt idx="17">
                  <c:v>0.5401773311546354</c:v>
                </c:pt>
                <c:pt idx="18">
                  <c:v>0</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Neo-K1</c:v>
                </c:pt>
              </c:strCache>
            </c:strRef>
          </c:tx>
          <c:spPr>
            <a:ln w="25400" cap="rnd">
              <a:solidFill>
                <a:schemeClr val="accent5"/>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0.9877271880802434</c:v>
                </c:pt>
                <c:pt idx="2">
                  <c:v>0.97423402325172825</c:v>
                </c:pt>
                <c:pt idx="3">
                  <c:v>0.95932502634062766</c:v>
                </c:pt>
                <c:pt idx="4">
                  <c:v>0.9427633180224031</c:v>
                </c:pt>
                <c:pt idx="5">
                  <c:v>0.92426045548480329</c:v>
                </c:pt>
                <c:pt idx="6">
                  <c:v>0.90346291077953633</c:v>
                </c:pt>
                <c:pt idx="7">
                  <c:v>0.87993672474920093</c:v>
                </c:pt>
                <c:pt idx="8">
                  <c:v>0.85314918508847593</c:v>
                </c:pt>
                <c:pt idx="9">
                  <c:v>0.82244936175813388</c:v>
                </c:pt>
                <c:pt idx="10">
                  <c:v>0.78705289829211189</c:v>
                </c:pt>
                <c:pt idx="11">
                  <c:v>0.7460382369389813</c:v>
                </c:pt>
                <c:pt idx="12">
                  <c:v>0.69836935518448184</c:v>
                </c:pt>
                <c:pt idx="13">
                  <c:v>0.64296396569281566</c:v>
                </c:pt>
                <c:pt idx="14">
                  <c:v>0.57882012385238135</c:v>
                </c:pt>
                <c:pt idx="15">
                  <c:v>0.50519111780540082</c:v>
                </c:pt>
                <c:pt idx="16">
                  <c:v>0.42175671460151942</c:v>
                </c:pt>
                <c:pt idx="17">
                  <c:v>0.32871271995637508</c:v>
                </c:pt>
                <c:pt idx="18">
                  <c:v>0.2267271680377192</c:v>
                </c:pt>
                <c:pt idx="19">
                  <c:v>0.11678530576525649</c:v>
                </c:pt>
                <c:pt idx="20">
                  <c:v>9.3939773807691099E-2</c:v>
                </c:pt>
                <c:pt idx="21">
                  <c:v>7.0829634318496065E-2</c:v>
                </c:pt>
                <c:pt idx="22">
                  <c:v>4.7463801385568723E-2</c:v>
                </c:pt>
                <c:pt idx="23">
                  <c:v>2.3851051081447892E-2</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Neo-K2</c:v>
                </c:pt>
              </c:strCache>
            </c:strRef>
          </c:tx>
          <c:spPr>
            <a:ln w="25400" cap="rnd">
              <a:solidFill>
                <a:schemeClr val="accent5"/>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0.98651522134199132</c:v>
                </c:pt>
                <c:pt idx="2">
                  <c:v>0.97155919938692137</c:v>
                </c:pt>
                <c:pt idx="3">
                  <c:v>0.95487192873641757</c:v>
                </c:pt>
                <c:pt idx="4">
                  <c:v>0.93613872011872912</c:v>
                </c:pt>
                <c:pt idx="5">
                  <c:v>0.91497894237533417</c:v>
                </c:pt>
                <c:pt idx="6">
                  <c:v>0.89093530399624887</c:v>
                </c:pt>
                <c:pt idx="7">
                  <c:v>0.86347134162881956</c:v>
                </c:pt>
                <c:pt idx="8">
                  <c:v>0.83197899280681253</c:v>
                </c:pt>
                <c:pt idx="9">
                  <c:v>0.79581173184311038</c:v>
                </c:pt>
                <c:pt idx="10">
                  <c:v>0.75435715936546266</c:v>
                </c:pt>
                <c:pt idx="11">
                  <c:v>0.70716245914151987</c:v>
                </c:pt>
                <c:pt idx="12">
                  <c:v>0.65411287863804302</c:v>
                </c:pt>
                <c:pt idx="13">
                  <c:v>0.59562882902088821</c:v>
                </c:pt>
                <c:pt idx="14">
                  <c:v>0.53278189714803714</c:v>
                </c:pt>
                <c:pt idx="15">
                  <c:v>0.46711176864809395</c:v>
                </c:pt>
                <c:pt idx="16">
                  <c:v>0.39979532202296264</c:v>
                </c:pt>
                <c:pt idx="17">
                  <c:v>0.32994966645808432</c:v>
                </c:pt>
                <c:pt idx="18">
                  <c:v>0.25267223865338451</c:v>
                </c:pt>
                <c:pt idx="19">
                  <c:v>0.15665366023072377</c:v>
                </c:pt>
                <c:pt idx="20">
                  <c:v>0.13307574847596232</c:v>
                </c:pt>
                <c:pt idx="21">
                  <c:v>0.10707771869470741</c:v>
                </c:pt>
                <c:pt idx="22">
                  <c:v>7.7807533745911442E-2</c:v>
                </c:pt>
                <c:pt idx="23">
                  <c:v>4.367151230060224E-2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3"/>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8.6117760673193489E-2"/>
          <c:w val="0.91954496211515768"/>
          <c:h val="0.83371195406251841"/>
        </c:manualLayout>
      </c:layout>
      <c:scatterChart>
        <c:scatterStyle val="smoothMarker"/>
        <c:varyColors val="0"/>
        <c:ser>
          <c:idx val="0"/>
          <c:order val="0"/>
          <c:tx>
            <c:strRef>
              <c:f>'Diagnosis Indicators'!$A$14</c:f>
              <c:strCache>
                <c:ptCount val="1"/>
                <c:pt idx="0">
                  <c:v>Neoclassical</c:v>
                </c:pt>
              </c:strCache>
            </c:strRef>
          </c:tx>
          <c:spPr>
            <a:ln w="25400" cap="rnd">
              <a:solidFill>
                <a:schemeClr val="accent1"/>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Indicators'!$B$14:$Y$14</c:f>
              <c:numCache>
                <c:formatCode>#,##0.000</c:formatCode>
                <c:ptCount val="24"/>
                <c:pt idx="0">
                  <c:v>5.7716594496607888E-3</c:v>
                </c:pt>
                <c:pt idx="1">
                  <c:v>6.1015866890627976E-2</c:v>
                </c:pt>
                <c:pt idx="2">
                  <c:v>0.12198497928437815</c:v>
                </c:pt>
                <c:pt idx="3">
                  <c:v>0.18963510920292664</c:v>
                </c:pt>
                <c:pt idx="4">
                  <c:v>0.26517535441886136</c:v>
                </c:pt>
                <c:pt idx="5">
                  <c:v>0.35016772527441492</c:v>
                </c:pt>
                <c:pt idx="6">
                  <c:v>0.44668755084603656</c:v>
                </c:pt>
                <c:pt idx="7">
                  <c:v>0.55757345360611799</c:v>
                </c:pt>
                <c:pt idx="8">
                  <c:v>0.68684489297702445</c:v>
                </c:pt>
                <c:pt idx="9">
                  <c:v>0.8404305250000732</c:v>
                </c:pt>
                <c:pt idx="10">
                  <c:v>1.0274749154759568</c:v>
                </c:pt>
                <c:pt idx="11">
                  <c:v>1.2628304581272447</c:v>
                </c:pt>
                <c:pt idx="12">
                  <c:v>1.5720676078366289</c:v>
                </c:pt>
                <c:pt idx="13">
                  <c:v>2.0020856516899768</c:v>
                </c:pt>
                <c:pt idx="14">
                  <c:v>2.6445256356636144</c:v>
                </c:pt>
                <c:pt idx="15">
                  <c:v>3.6879318233561791</c:v>
                </c:pt>
                <c:pt idx="16">
                  <c:v>5.5342245781970307</c:v>
                </c:pt>
                <c:pt idx="17">
                  <c:v>9.1022936606657172</c:v>
                </c:pt>
                <c:pt idx="18">
                  <c:v>16.991712208378882</c:v>
                </c:pt>
                <c:pt idx="19">
                  <c:v>40.75685361434163</c:v>
                </c:pt>
                <c:pt idx="20">
                  <c:v>51.753906387831655</c:v>
                </c:pt>
                <c:pt idx="21">
                  <c:v>68.544519127417658</c:v>
                </c:pt>
                <c:pt idx="22">
                  <c:v>96.993101923413434</c:v>
                </c:pt>
                <c:pt idx="23">
                  <c:v>154.78735298122035</c:v>
                </c:pt>
              </c:numCache>
            </c:numRef>
          </c:yVal>
          <c:smooth val="1"/>
          <c:extLst>
            <c:ext xmlns:c16="http://schemas.microsoft.com/office/drawing/2014/chart" uri="{C3380CC4-5D6E-409C-BE32-E72D297353CC}">
              <c16:uniqueId val="{00000000-862B-46F0-B0F7-97FD23ADB2E5}"/>
            </c:ext>
          </c:extLst>
        </c:ser>
        <c:ser>
          <c:idx val="5"/>
          <c:order val="1"/>
          <c:tx>
            <c:strRef>
              <c:f>'Diagnosis Indicators'!$A$15</c:f>
              <c:strCache>
                <c:ptCount val="1"/>
                <c:pt idx="0">
                  <c:v>Kaldorian</c:v>
                </c:pt>
              </c:strCache>
            </c:strRef>
          </c:tx>
          <c:spPr>
            <a:ln w="25400" cap="rnd">
              <a:solidFill>
                <a:schemeClr val="accent2"/>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Indicators'!$B$15:$Y$15</c:f>
              <c:numCache>
                <c:formatCode>#,##0.000</c:formatCode>
                <c:ptCount val="24"/>
                <c:pt idx="0">
                  <c:v>5.7716594496607888E-3</c:v>
                </c:pt>
                <c:pt idx="1">
                  <c:v>6.5616498240300747E-2</c:v>
                </c:pt>
                <c:pt idx="2">
                  <c:v>0.13181342203824289</c:v>
                </c:pt>
                <c:pt idx="3">
                  <c:v>0.20543450485205758</c:v>
                </c:pt>
                <c:pt idx="4">
                  <c:v>0.28784197562625469</c:v>
                </c:pt>
                <c:pt idx="5">
                  <c:v>0.38079873710260864</c:v>
                </c:pt>
                <c:pt idx="6">
                  <c:v>0.48666362384898798</c:v>
                </c:pt>
                <c:pt idx="7">
                  <c:v>0.60868864076198759</c:v>
                </c:pt>
                <c:pt idx="8">
                  <c:v>0.75153893966106733</c:v>
                </c:pt>
                <c:pt idx="9">
                  <c:v>0.92219948215090064</c:v>
                </c:pt>
                <c:pt idx="10">
                  <c:v>1.1316700094855048</c:v>
                </c:pt>
                <c:pt idx="11">
                  <c:v>1.3982773759548766</c:v>
                </c:pt>
                <c:pt idx="12">
                  <c:v>1.7545896179924685</c:v>
                </c:pt>
                <c:pt idx="13">
                  <c:v>2.2626611176836349</c:v>
                </c:pt>
                <c:pt idx="14">
                  <c:v>3.0490216087508868</c:v>
                </c:pt>
                <c:pt idx="15">
                  <c:v>4.3841612739186493</c:v>
                </c:pt>
                <c:pt idx="16">
                  <c:v>6.8569939480158482</c:v>
                </c:pt>
                <c:pt idx="17">
                  <c:v>0</c:v>
                </c:pt>
                <c:pt idx="18">
                  <c:v>0</c:v>
                </c:pt>
              </c:numCache>
            </c:numRef>
          </c:yVal>
          <c:smooth val="1"/>
          <c:extLst xmlns:c15="http://schemas.microsoft.com/office/drawing/2012/chart">
            <c:ext xmlns:c16="http://schemas.microsoft.com/office/drawing/2014/chart" uri="{C3380CC4-5D6E-409C-BE32-E72D297353CC}">
              <c16:uniqueId val="{00000001-862B-46F0-B0F7-97FD23ADB2E5}"/>
            </c:ext>
          </c:extLst>
        </c:ser>
        <c:ser>
          <c:idx val="1"/>
          <c:order val="2"/>
          <c:tx>
            <c:strRef>
              <c:f>'Diagnosis Indicators'!$A$16</c:f>
              <c:strCache>
                <c:ptCount val="1"/>
                <c:pt idx="0">
                  <c:v>Johansen</c:v>
                </c:pt>
              </c:strCache>
            </c:strRef>
          </c:tx>
          <c:spPr>
            <a:ln w="25400" cap="rnd">
              <a:solidFill>
                <a:schemeClr val="accent3"/>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Indicators'!$B$16:$Y$16</c:f>
              <c:numCache>
                <c:formatCode>#,##0.000</c:formatCode>
                <c:ptCount val="24"/>
                <c:pt idx="0">
                  <c:v>5.7716594496607888E-3</c:v>
                </c:pt>
                <c:pt idx="1">
                  <c:v>6.3570557080961945E-2</c:v>
                </c:pt>
                <c:pt idx="2">
                  <c:v>0.12752169200043201</c:v>
                </c:pt>
                <c:pt idx="3">
                  <c:v>0.19867808427650266</c:v>
                </c:pt>
                <c:pt idx="4">
                  <c:v>0.27837974034613988</c:v>
                </c:pt>
                <c:pt idx="5">
                  <c:v>0.36837398374423502</c:v>
                </c:pt>
                <c:pt idx="6">
                  <c:v>0.4710037302082426</c:v>
                </c:pt>
                <c:pt idx="7">
                  <c:v>0.58951764808144558</c:v>
                </c:pt>
                <c:pt idx="8">
                  <c:v>0.7285886076766942</c:v>
                </c:pt>
                <c:pt idx="9">
                  <c:v>0.89524369025735462</c:v>
                </c:pt>
                <c:pt idx="10">
                  <c:v>1.100577609469805</c:v>
                </c:pt>
                <c:pt idx="11">
                  <c:v>1.3631319479489692</c:v>
                </c:pt>
                <c:pt idx="12">
                  <c:v>1.7159304317259225</c:v>
                </c:pt>
                <c:pt idx="13">
                  <c:v>2.2219986047873674</c:v>
                </c:pt>
                <c:pt idx="14">
                  <c:v>3.009701040227573</c:v>
                </c:pt>
                <c:pt idx="15">
                  <c:v>4.3517756950618693</c:v>
                </c:pt>
                <c:pt idx="16">
                  <c:v>6.8365284922198164</c:v>
                </c:pt>
                <c:pt idx="17">
                  <c:v>11.814526797711222</c:v>
                </c:pt>
                <c:pt idx="18">
                  <c:v>23.11201737303378</c:v>
                </c:pt>
                <c:pt idx="19">
                  <c:v>56.779125705066136</c:v>
                </c:pt>
                <c:pt idx="20">
                  <c:v>71.662641807164746</c:v>
                </c:pt>
                <c:pt idx="21">
                  <c:v>93.365723131417766</c:v>
                </c:pt>
                <c:pt idx="22">
                  <c:v>127.35246628649108</c:v>
                </c:pt>
                <c:pt idx="23">
                  <c:v>0</c:v>
                </c:pt>
              </c:numCache>
            </c:numRef>
          </c:yVal>
          <c:smooth val="1"/>
          <c:extLst>
            <c:ext xmlns:c16="http://schemas.microsoft.com/office/drawing/2014/chart" uri="{C3380CC4-5D6E-409C-BE32-E72D297353CC}">
              <c16:uniqueId val="{00000002-862B-46F0-B0F7-97FD23ADB2E5}"/>
            </c:ext>
          </c:extLst>
        </c:ser>
        <c:ser>
          <c:idx val="4"/>
          <c:order val="3"/>
          <c:tx>
            <c:strRef>
              <c:f>'Diagnosis Indicators'!$A$17</c:f>
              <c:strCache>
                <c:ptCount val="1"/>
                <c:pt idx="0">
                  <c:v>Keynes-Marshall</c:v>
                </c:pt>
              </c:strCache>
            </c:strRef>
          </c:tx>
          <c:spPr>
            <a:ln w="25400" cap="rnd">
              <a:solidFill>
                <a:schemeClr val="accent4"/>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Indicators'!$B$17:$Y$17</c:f>
              <c:numCache>
                <c:formatCode>#,##0.000</c:formatCode>
                <c:ptCount val="24"/>
                <c:pt idx="0">
                  <c:v>5.7716594496607888E-3</c:v>
                </c:pt>
                <c:pt idx="1">
                  <c:v>7.2681397206910456E-2</c:v>
                </c:pt>
                <c:pt idx="2">
                  <c:v>0.14766286749873231</c:v>
                </c:pt>
                <c:pt idx="3">
                  <c:v>0.23238677480783063</c:v>
                </c:pt>
                <c:pt idx="4">
                  <c:v>0.32913361239132438</c:v>
                </c:pt>
                <c:pt idx="5">
                  <c:v>0.44113431106437978</c:v>
                </c:pt>
                <c:pt idx="6">
                  <c:v>0.5731621036328991</c:v>
                </c:pt>
                <c:pt idx="7">
                  <c:v>0.73260868955249348</c:v>
                </c:pt>
                <c:pt idx="8">
                  <c:v>0.93156730320078884</c:v>
                </c:pt>
                <c:pt idx="9">
                  <c:v>1.1911533075014467</c:v>
                </c:pt>
                <c:pt idx="10">
                  <c:v>1.5511788419522727</c:v>
                </c:pt>
                <c:pt idx="11">
                  <c:v>2.0932885769231948</c:v>
                </c:pt>
                <c:pt idx="12">
                  <c:v>2.996209926315863</c:v>
                </c:pt>
                <c:pt idx="13">
                  <c:v>0</c:v>
                </c:pt>
                <c:pt idx="14">
                  <c:v>0</c:v>
                </c:pt>
                <c:pt idx="15">
                  <c:v>0</c:v>
                </c:pt>
              </c:numCache>
            </c:numRef>
          </c:yVal>
          <c:smooth val="1"/>
          <c:extLst>
            <c:ext xmlns:c16="http://schemas.microsoft.com/office/drawing/2014/chart" uri="{C3380CC4-5D6E-409C-BE32-E72D297353CC}">
              <c16:uniqueId val="{00000003-862B-46F0-B0F7-97FD23ADB2E5}"/>
            </c:ext>
          </c:extLst>
        </c:ser>
        <c:ser>
          <c:idx val="2"/>
          <c:order val="4"/>
          <c:tx>
            <c:strRef>
              <c:f>'Diagnosis Indicators'!$A$18</c:f>
              <c:strCache>
                <c:ptCount val="1"/>
                <c:pt idx="0">
                  <c:v>Keynesian</c:v>
                </c:pt>
              </c:strCache>
            </c:strRef>
          </c:tx>
          <c:spPr>
            <a:ln w="25400" cap="rnd">
              <a:solidFill>
                <a:schemeClr val="accent5"/>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Indicators'!$B$18:$Y$18</c:f>
              <c:numCache>
                <c:formatCode>#,##0.000</c:formatCode>
                <c:ptCount val="24"/>
                <c:pt idx="0">
                  <c:v>5.7716594496607888E-3</c:v>
                </c:pt>
                <c:pt idx="1">
                  <c:v>3.7740216052907651E-2</c:v>
                </c:pt>
                <c:pt idx="2">
                  <c:v>7.0511087316791468E-2</c:v>
                </c:pt>
                <c:pt idx="3">
                  <c:v>0.10388641743423921</c:v>
                </c:pt>
                <c:pt idx="4">
                  <c:v>0.13760956007424172</c:v>
                </c:pt>
                <c:pt idx="5">
                  <c:v>0.17135864228999073</c:v>
                </c:pt>
                <c:pt idx="6">
                  <c:v>0.20474301930677835</c:v>
                </c:pt>
                <c:pt idx="7">
                  <c:v>0.23729603576993941</c:v>
                </c:pt>
                <c:pt idx="8">
                  <c:v>0.26846396329865885</c:v>
                </c:pt>
                <c:pt idx="9">
                  <c:v>0.29755269018213487</c:v>
                </c:pt>
                <c:pt idx="10">
                  <c:v>0.32355379504571558</c:v>
                </c:pt>
                <c:pt idx="11">
                  <c:v>0.3444059684448158</c:v>
                </c:pt>
                <c:pt idx="12">
                  <c:v>0</c:v>
                </c:pt>
                <c:pt idx="13">
                  <c:v>0</c:v>
                </c:pt>
              </c:numCache>
            </c:numRef>
          </c:yVal>
          <c:smooth val="1"/>
          <c:extLst>
            <c:ext xmlns:c16="http://schemas.microsoft.com/office/drawing/2014/chart" uri="{C3380CC4-5D6E-409C-BE32-E72D297353CC}">
              <c16:uniqueId val="{00000004-862B-46F0-B0F7-97FD23ADB2E5}"/>
            </c:ext>
          </c:extLst>
        </c:ser>
        <c:ser>
          <c:idx val="3"/>
          <c:order val="5"/>
          <c:tx>
            <c:strRef>
              <c:f>'Diagnosis Indicators'!$A$19</c:f>
              <c:strCache>
                <c:ptCount val="1"/>
                <c:pt idx="0">
                  <c:v>Keynes-Kaldor</c:v>
                </c:pt>
              </c:strCache>
            </c:strRef>
          </c:tx>
          <c:spPr>
            <a:ln w="25400" cap="rnd">
              <a:solidFill>
                <a:schemeClr val="accent6"/>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Indicators'!$B$19:$Y$19</c:f>
              <c:numCache>
                <c:formatCode>#,##0.000</c:formatCode>
                <c:ptCount val="24"/>
                <c:pt idx="0">
                  <c:v>5.7716594496607888E-3</c:v>
                </c:pt>
                <c:pt idx="1">
                  <c:v>7.1685127548964001E-2</c:v>
                </c:pt>
                <c:pt idx="2">
                  <c:v>0.14406874316294255</c:v>
                </c:pt>
                <c:pt idx="3">
                  <c:v>0.22398213324643282</c:v>
                </c:pt>
                <c:pt idx="4">
                  <c:v>0.3127559149744476</c:v>
                </c:pt>
                <c:pt idx="5">
                  <c:v>0.41209882127270586</c:v>
                </c:pt>
                <c:pt idx="6">
                  <c:v>0.52428057152073437</c:v>
                </c:pt>
                <c:pt idx="7">
                  <c:v>0.65239237726823585</c:v>
                </c:pt>
                <c:pt idx="8">
                  <c:v>0.80079995722560537</c:v>
                </c:pt>
                <c:pt idx="9">
                  <c:v>0.97588939521188223</c:v>
                </c:pt>
                <c:pt idx="10">
                  <c:v>1.187372206489528</c:v>
                </c:pt>
                <c:pt idx="11">
                  <c:v>1.4506283465316019</c:v>
                </c:pt>
                <c:pt idx="12">
                  <c:v>1.7910035601021692</c:v>
                </c:pt>
                <c:pt idx="13">
                  <c:v>2.2516629908035348</c:v>
                </c:pt>
                <c:pt idx="14">
                  <c:v>2.9067886401775991</c:v>
                </c:pt>
                <c:pt idx="15">
                  <c:v>3.8776913154004955</c:v>
                </c:pt>
                <c:pt idx="16">
                  <c:v>5.3309322771872099</c:v>
                </c:pt>
                <c:pt idx="17">
                  <c:v>7.4014164892913641</c:v>
                </c:pt>
                <c:pt idx="18">
                  <c:v>0</c:v>
                </c:pt>
              </c:numCache>
            </c:numRef>
          </c:yVal>
          <c:smooth val="1"/>
          <c:extLst>
            <c:ext xmlns:c16="http://schemas.microsoft.com/office/drawing/2014/chart" uri="{C3380CC4-5D6E-409C-BE32-E72D297353CC}">
              <c16:uniqueId val="{00000005-862B-46F0-B0F7-97FD23ADB2E5}"/>
            </c:ext>
          </c:extLst>
        </c:ser>
        <c:ser>
          <c:idx val="7"/>
          <c:order val="6"/>
          <c:tx>
            <c:strRef>
              <c:f>'Diagnosis Indicators'!$A$20</c:f>
              <c:strCache>
                <c:ptCount val="1"/>
                <c:pt idx="0">
                  <c:v>Neo-K2</c:v>
                </c:pt>
              </c:strCache>
            </c:strRef>
          </c:tx>
          <c:spPr>
            <a:ln w="25400" cap="rnd">
              <a:solidFill>
                <a:schemeClr val="accent5"/>
              </a:solidFill>
              <a:prstDash val="dash"/>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Indicators'!$B$20:$Y$20</c:f>
              <c:numCache>
                <c:formatCode>#,##0.000</c:formatCode>
                <c:ptCount val="24"/>
                <c:pt idx="0">
                  <c:v>5.7716594496607888E-3</c:v>
                </c:pt>
                <c:pt idx="1">
                  <c:v>5.2524393292415442E-2</c:v>
                </c:pt>
                <c:pt idx="2">
                  <c:v>0.102764996800267</c:v>
                </c:pt>
                <c:pt idx="3">
                  <c:v>0.15676367719371637</c:v>
                </c:pt>
                <c:pt idx="4">
                  <c:v>0.21478341221898631</c:v>
                </c:pt>
                <c:pt idx="5">
                  <c:v>0.27706078714531523</c:v>
                </c:pt>
                <c:pt idx="6">
                  <c:v>0.3437781156763976</c:v>
                </c:pt>
                <c:pt idx="7">
                  <c:v>0.41503649058091979</c:v>
                </c:pt>
                <c:pt idx="8">
                  <c:v>0.49082993201112912</c:v>
                </c:pt>
                <c:pt idx="9">
                  <c:v>0.57106366380400586</c:v>
                </c:pt>
                <c:pt idx="10">
                  <c:v>0.65568593673163289</c:v>
                </c:pt>
                <c:pt idx="11">
                  <c:v>0.74510936234555403</c:v>
                </c:pt>
                <c:pt idx="12">
                  <c:v>0.84127173305500091</c:v>
                </c:pt>
                <c:pt idx="13">
                  <c:v>0.95010127196972527</c:v>
                </c:pt>
                <c:pt idx="14">
                  <c:v>1.0872075172993565</c:v>
                </c:pt>
                <c:pt idx="15">
                  <c:v>1.2919922433655016</c:v>
                </c:pt>
                <c:pt idx="16">
                  <c:v>1.6692247611990292</c:v>
                </c:pt>
                <c:pt idx="17">
                  <c:v>2.5463349151850623</c:v>
                </c:pt>
                <c:pt idx="18">
                  <c:v>5.2122277057468862</c:v>
                </c:pt>
                <c:pt idx="19">
                  <c:v>17.356380292305825</c:v>
                </c:pt>
                <c:pt idx="20">
                  <c:v>24.661187700981397</c:v>
                </c:pt>
                <c:pt idx="21">
                  <c:v>37.849172014401027</c:v>
                </c:pt>
                <c:pt idx="22">
                  <c:v>66.438049233297647</c:v>
                </c:pt>
                <c:pt idx="23">
                  <c:v>158.51930164061073</c:v>
                </c:pt>
              </c:numCache>
            </c:numRef>
          </c:yVal>
          <c:smooth val="1"/>
          <c:extLst>
            <c:ext xmlns:c16="http://schemas.microsoft.com/office/drawing/2014/chart" uri="{C3380CC4-5D6E-409C-BE32-E72D297353CC}">
              <c16:uniqueId val="{00000006-862B-46F0-B0F7-97FD23ADB2E5}"/>
            </c:ext>
          </c:extLst>
        </c:ser>
        <c:ser>
          <c:idx val="6"/>
          <c:order val="7"/>
          <c:tx>
            <c:strRef>
              <c:f>'Diagnosis Indicators'!$A$21</c:f>
              <c:strCache>
                <c:ptCount val="1"/>
                <c:pt idx="0">
                  <c:v>Neo-K1</c:v>
                </c:pt>
              </c:strCache>
            </c:strRef>
          </c:tx>
          <c:spPr>
            <a:ln w="25400" cap="rnd">
              <a:solidFill>
                <a:schemeClr val="accent5"/>
              </a:solidFill>
              <a:prstDash val="lgDashDotDot"/>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Indicators'!$B$21:$Y$21</c:f>
              <c:numCache>
                <c:formatCode>#,##0.000</c:formatCode>
                <c:ptCount val="24"/>
                <c:pt idx="0">
                  <c:v>5.7716594496607888E-3</c:v>
                </c:pt>
                <c:pt idx="1">
                  <c:v>5.4544468439656636E-2</c:v>
                </c:pt>
                <c:pt idx="2">
                  <c:v>0.10755578589722956</c:v>
                </c:pt>
                <c:pt idx="3">
                  <c:v>0.1653214227814728</c:v>
                </c:pt>
                <c:pt idx="4">
                  <c:v>0.22843755579161698</c:v>
                </c:pt>
                <c:pt idx="5">
                  <c:v>0.29759491547496619</c:v>
                </c:pt>
                <c:pt idx="6">
                  <c:v>0.37359407254672217</c:v>
                </c:pt>
                <c:pt idx="7">
                  <c:v>0.45736035672148312</c:v>
                </c:pt>
                <c:pt idx="8">
                  <c:v>0.54995277311290469</c:v>
                </c:pt>
                <c:pt idx="9">
                  <c:v>0.65256070077741857</c:v>
                </c:pt>
                <c:pt idx="10">
                  <c:v>0.76647001509177748</c:v>
                </c:pt>
                <c:pt idx="11">
                  <c:v>0.89297691960556425</c:v>
                </c:pt>
                <c:pt idx="12">
                  <c:v>1.0332179217960653</c:v>
                </c:pt>
                <c:pt idx="13">
                  <c:v>1.1878974203904171</c:v>
                </c:pt>
                <c:pt idx="14">
                  <c:v>1.3569336149436648</c:v>
                </c:pt>
                <c:pt idx="15">
                  <c:v>1.5391303572761192</c:v>
                </c:pt>
                <c:pt idx="16">
                  <c:v>1.7320552960049402</c:v>
                </c:pt>
                <c:pt idx="17">
                  <c:v>1.9322768007073918</c:v>
                </c:pt>
                <c:pt idx="18">
                  <c:v>2.1359199271964227</c:v>
                </c:pt>
                <c:pt idx="19">
                  <c:v>2.3393058401168192</c:v>
                </c:pt>
                <c:pt idx="20">
                  <c:v>2.3796719273890279</c:v>
                </c:pt>
                <c:pt idx="21">
                  <c:v>2.4198841118604686</c:v>
                </c:pt>
                <c:pt idx="22">
                  <c:v>2.4599236581828867</c:v>
                </c:pt>
                <c:pt idx="23">
                  <c:v>2.4997732536235224</c:v>
                </c:pt>
              </c:numCache>
            </c:numRef>
          </c:yVal>
          <c:smooth val="1"/>
          <c:extLst>
            <c:ext xmlns:c16="http://schemas.microsoft.com/office/drawing/2014/chart" uri="{C3380CC4-5D6E-409C-BE32-E72D297353CC}">
              <c16:uniqueId val="{00000007-862B-46F0-B0F7-97FD23ADB2E5}"/>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Tax rate (log</a:t>
                </a:r>
                <a:r>
                  <a:rPr lang="en-US" sz="1600" baseline="0"/>
                  <a:t> scale)</a:t>
                </a:r>
                <a:endParaRPr lang="en-US" sz="1600"/>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 ##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0.11181009916630628"/>
          <c:y val="0.10650585159629646"/>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Indicators'!$A$25</c:f>
              <c:strCache>
                <c:ptCount val="1"/>
                <c:pt idx="0">
                  <c:v>Neoclassical</c:v>
                </c:pt>
              </c:strCache>
            </c:strRef>
          </c:tx>
          <c:spPr>
            <a:ln w="25400" cap="rnd">
              <a:solidFill>
                <a:schemeClr val="accent1"/>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Indicators'!$B$25:$Y$25</c:f>
              <c:numCache>
                <c:formatCode>#,##0.000</c:formatCode>
                <c:ptCount val="24"/>
                <c:pt idx="0">
                  <c:v>1</c:v>
                </c:pt>
                <c:pt idx="1">
                  <c:v>1.0017346264030258</c:v>
                </c:pt>
                <c:pt idx="2">
                  <c:v>1.0033780041238411</c:v>
                </c:pt>
                <c:pt idx="3">
                  <c:v>1.0049151179346265</c:v>
                </c:pt>
                <c:pt idx="4">
                  <c:v>1.0063274741353652</c:v>
                </c:pt>
                <c:pt idx="5">
                  <c:v>1.0075921495615963</c:v>
                </c:pt>
                <c:pt idx="6">
                  <c:v>1.0086807267719267</c:v>
                </c:pt>
                <c:pt idx="7">
                  <c:v>1.0095578752369292</c:v>
                </c:pt>
                <c:pt idx="8">
                  <c:v>1.0101795118422199</c:v>
                </c:pt>
                <c:pt idx="9">
                  <c:v>1.0104909649424427</c:v>
                </c:pt>
                <c:pt idx="10">
                  <c:v>1.0104244196812695</c:v>
                </c:pt>
                <c:pt idx="11">
                  <c:v>1.0098958018066242</c:v>
                </c:pt>
                <c:pt idx="12">
                  <c:v>1.0087992421351379</c:v>
                </c:pt>
                <c:pt idx="13">
                  <c:v>1.0069896484587442</c:v>
                </c:pt>
                <c:pt idx="14">
                  <c:v>1.0042130789468484</c:v>
                </c:pt>
                <c:pt idx="15">
                  <c:v>0.99982601445610431</c:v>
                </c:pt>
                <c:pt idx="16">
                  <c:v>0.99184505624145081</c:v>
                </c:pt>
                <c:pt idx="17">
                  <c:v>0.9744288210031129</c:v>
                </c:pt>
                <c:pt idx="18">
                  <c:v>0.93103170158209447</c:v>
                </c:pt>
                <c:pt idx="19">
                  <c:v>0.80209926701968337</c:v>
                </c:pt>
                <c:pt idx="20">
                  <c:v>0.74810008528929395</c:v>
                </c:pt>
                <c:pt idx="21">
                  <c:v>0.67240845864641552</c:v>
                </c:pt>
                <c:pt idx="22">
                  <c:v>0.55966470127044787</c:v>
                </c:pt>
                <c:pt idx="23">
                  <c:v>0.37387125251963865</c:v>
                </c:pt>
              </c:numCache>
            </c:numRef>
          </c:yVal>
          <c:smooth val="1"/>
          <c:extLst>
            <c:ext xmlns:c16="http://schemas.microsoft.com/office/drawing/2014/chart" uri="{C3380CC4-5D6E-409C-BE32-E72D297353CC}">
              <c16:uniqueId val="{00000000-196C-4AC4-9503-D101CEE25CB6}"/>
            </c:ext>
          </c:extLst>
        </c:ser>
        <c:ser>
          <c:idx val="1"/>
          <c:order val="1"/>
          <c:tx>
            <c:strRef>
              <c:f>'Diagnosis Indicators'!$A$26</c:f>
              <c:strCache>
                <c:ptCount val="1"/>
                <c:pt idx="0">
                  <c:v>Kaldorian</c:v>
                </c:pt>
              </c:strCache>
            </c:strRef>
          </c:tx>
          <c:spPr>
            <a:ln w="25400" cap="rnd">
              <a:solidFill>
                <a:schemeClr val="accent2"/>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Indicators'!$B$26:$Y$26</c:f>
              <c:numCache>
                <c:formatCode>#,##0.000</c:formatCode>
                <c:ptCount val="24"/>
                <c:pt idx="0">
                  <c:v>1</c:v>
                </c:pt>
                <c:pt idx="1">
                  <c:v>1.0018436672821041</c:v>
                </c:pt>
                <c:pt idx="2">
                  <c:v>1.0036141090632356</c:v>
                </c:pt>
                <c:pt idx="3">
                  <c:v>1.0053001652101416</c:v>
                </c:pt>
                <c:pt idx="4">
                  <c:v>1.0068880993602398</c:v>
                </c:pt>
                <c:pt idx="5">
                  <c:v>1.0083611917705322</c:v>
                </c:pt>
                <c:pt idx="6">
                  <c:v>1.0096992467305241</c:v>
                </c:pt>
                <c:pt idx="7">
                  <c:v>1.010878009500157</c:v>
                </c:pt>
                <c:pt idx="8">
                  <c:v>1.0118695379667371</c:v>
                </c:pt>
                <c:pt idx="9">
                  <c:v>1.0126431977688586</c:v>
                </c:pt>
                <c:pt idx="10">
                  <c:v>1.0131699613748479</c:v>
                </c:pt>
                <c:pt idx="11">
                  <c:v>1.0134321148132115</c:v>
                </c:pt>
                <c:pt idx="12">
                  <c:v>1.0134446733539135</c:v>
                </c:pt>
                <c:pt idx="13">
                  <c:v>1.0132933450172679</c:v>
                </c:pt>
                <c:pt idx="14">
                  <c:v>1.0131684955467415</c:v>
                </c:pt>
                <c:pt idx="15">
                  <c:v>1.0132126826099239</c:v>
                </c:pt>
                <c:pt idx="16">
                  <c:v>1.0125415513845375</c:v>
                </c:pt>
                <c:pt idx="17">
                  <c:v>0</c:v>
                </c:pt>
                <c:pt idx="18">
                  <c:v>0</c:v>
                </c:pt>
              </c:numCache>
            </c:numRef>
          </c:yVal>
          <c:smooth val="1"/>
          <c:extLst>
            <c:ext xmlns:c16="http://schemas.microsoft.com/office/drawing/2014/chart" uri="{C3380CC4-5D6E-409C-BE32-E72D297353CC}">
              <c16:uniqueId val="{00000002-196C-4AC4-9503-D101CEE25CB6}"/>
            </c:ext>
          </c:extLst>
        </c:ser>
        <c:ser>
          <c:idx val="5"/>
          <c:order val="2"/>
          <c:tx>
            <c:strRef>
              <c:f>'Diagnosis Indicators'!$A$27</c:f>
              <c:strCache>
                <c:ptCount val="1"/>
                <c:pt idx="0">
                  <c:v>Johansen</c:v>
                </c:pt>
              </c:strCache>
            </c:strRef>
          </c:tx>
          <c:spPr>
            <a:ln w="25400" cap="rnd">
              <a:solidFill>
                <a:schemeClr val="accent3"/>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Indicators'!$B$27:$Y$27</c:f>
              <c:numCache>
                <c:formatCode>#,##0.000</c:formatCode>
                <c:ptCount val="24"/>
                <c:pt idx="0">
                  <c:v>1</c:v>
                </c:pt>
                <c:pt idx="1">
                  <c:v>1.0018231123529553</c:v>
                </c:pt>
                <c:pt idx="2">
                  <c:v>1.0035703887907443</c:v>
                </c:pt>
                <c:pt idx="3">
                  <c:v>1.0052300875282978</c:v>
                </c:pt>
                <c:pt idx="4">
                  <c:v>1.0067879080950144</c:v>
                </c:pt>
                <c:pt idx="5">
                  <c:v>1.0082265339248448</c:v>
                </c:pt>
                <c:pt idx="6">
                  <c:v>1.0095250695447804</c:v>
                </c:pt>
                <c:pt idx="7">
                  <c:v>1.0106589605066714</c:v>
                </c:pt>
                <c:pt idx="8">
                  <c:v>1.01160007872573</c:v>
                </c:pt>
                <c:pt idx="9">
                  <c:v>1.0123187301568197</c:v>
                </c:pt>
                <c:pt idx="10">
                  <c:v>1.0127883001773201</c:v>
                </c:pt>
                <c:pt idx="11">
                  <c:v>1.0129966517948568</c:v>
                </c:pt>
                <c:pt idx="12">
                  <c:v>1.0129697294682432</c:v>
                </c:pt>
                <c:pt idx="13">
                  <c:v>1.0128131203411062</c:v>
                </c:pt>
                <c:pt idx="14">
                  <c:v>1.0127453391447525</c:v>
                </c:pt>
                <c:pt idx="15">
                  <c:v>1.0129228507731158</c:v>
                </c:pt>
                <c:pt idx="16">
                  <c:v>1.0124101932506053</c:v>
                </c:pt>
                <c:pt idx="17">
                  <c:v>1.0063389395665916</c:v>
                </c:pt>
                <c:pt idx="18">
                  <c:v>0.97813980284455304</c:v>
                </c:pt>
                <c:pt idx="19">
                  <c:v>0.8594298155014144</c:v>
                </c:pt>
                <c:pt idx="20">
                  <c:v>0.80315346307717206</c:v>
                </c:pt>
                <c:pt idx="21">
                  <c:v>0.72130622255543664</c:v>
                </c:pt>
                <c:pt idx="22">
                  <c:v>0.59634579109577979</c:v>
                </c:pt>
                <c:pt idx="23">
                  <c:v>0</c:v>
                </c:pt>
              </c:numCache>
            </c:numRef>
          </c:yVal>
          <c:smooth val="1"/>
          <c:extLst xmlns:c15="http://schemas.microsoft.com/office/drawing/2012/chart">
            <c:ext xmlns:c16="http://schemas.microsoft.com/office/drawing/2014/chart" uri="{C3380CC4-5D6E-409C-BE32-E72D297353CC}">
              <c16:uniqueId val="{00000001-196C-4AC4-9503-D101CEE25CB6}"/>
            </c:ext>
          </c:extLst>
        </c:ser>
        <c:ser>
          <c:idx val="4"/>
          <c:order val="3"/>
          <c:tx>
            <c:strRef>
              <c:f>'Diagnosis Indicators'!$A$28</c:f>
              <c:strCache>
                <c:ptCount val="1"/>
                <c:pt idx="0">
                  <c:v>Keynes-Marshall</c:v>
                </c:pt>
              </c:strCache>
            </c:strRef>
          </c:tx>
          <c:spPr>
            <a:ln w="25400" cap="rnd">
              <a:solidFill>
                <a:schemeClr val="accent4"/>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Indicators'!$B$28:$Y$28</c:f>
              <c:numCache>
                <c:formatCode>#,##0.000</c:formatCode>
                <c:ptCount val="24"/>
                <c:pt idx="0">
                  <c:v>1</c:v>
                </c:pt>
                <c:pt idx="1">
                  <c:v>1.0189258430585824</c:v>
                </c:pt>
                <c:pt idx="2">
                  <c:v>1.0384558941658433</c:v>
                </c:pt>
                <c:pt idx="3">
                  <c:v>1.0587129116956961</c:v>
                </c:pt>
                <c:pt idx="4">
                  <c:v>1.079856861699654</c:v>
                </c:pt>
                <c:pt idx="5">
                  <c:v>1.1021094995091467</c:v>
                </c:pt>
                <c:pt idx="6">
                  <c:v>1.1257967717646569</c:v>
                </c:pt>
                <c:pt idx="7">
                  <c:v>1.1514258846439291</c:v>
                </c:pt>
                <c:pt idx="8">
                  <c:v>1.1798272408784847</c:v>
                </c:pt>
                <c:pt idx="9">
                  <c:v>1.2124298141510996</c:v>
                </c:pt>
                <c:pt idx="10">
                  <c:v>1.2518114352029988</c:v>
                </c:pt>
                <c:pt idx="11">
                  <c:v>1.3027717899064006</c:v>
                </c:pt>
                <c:pt idx="12">
                  <c:v>1.3739532343560403</c:v>
                </c:pt>
                <c:pt idx="13">
                  <c:v>0</c:v>
                </c:pt>
                <c:pt idx="14">
                  <c:v>0</c:v>
                </c:pt>
                <c:pt idx="15">
                  <c:v>0</c:v>
                </c:pt>
              </c:numCache>
            </c:numRef>
          </c:yVal>
          <c:smooth val="1"/>
          <c:extLst>
            <c:ext xmlns:c16="http://schemas.microsoft.com/office/drawing/2014/chart" uri="{C3380CC4-5D6E-409C-BE32-E72D297353CC}">
              <c16:uniqueId val="{00000003-196C-4AC4-9503-D101CEE25CB6}"/>
            </c:ext>
          </c:extLst>
        </c:ser>
        <c:ser>
          <c:idx val="2"/>
          <c:order val="4"/>
          <c:tx>
            <c:strRef>
              <c:f>'Diagnosis Indicators'!$A$29</c:f>
              <c:strCache>
                <c:ptCount val="1"/>
                <c:pt idx="0">
                  <c:v>Keynesian</c:v>
                </c:pt>
              </c:strCache>
            </c:strRef>
          </c:tx>
          <c:spPr>
            <a:ln w="25400" cap="rnd">
              <a:solidFill>
                <a:schemeClr val="accent5"/>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Indicators'!$B$29:$Y$29</c:f>
              <c:numCache>
                <c:formatCode>#,##0.000</c:formatCode>
                <c:ptCount val="24"/>
                <c:pt idx="0">
                  <c:v>1</c:v>
                </c:pt>
                <c:pt idx="1">
                  <c:v>0.97797796238580559</c:v>
                </c:pt>
                <c:pt idx="2">
                  <c:v>0.95331315465463884</c:v>
                </c:pt>
                <c:pt idx="3">
                  <c:v>0.92576469147398022</c:v>
                </c:pt>
                <c:pt idx="4">
                  <c:v>0.89510585464496295</c:v>
                </c:pt>
                <c:pt idx="5">
                  <c:v>0.86114156407128495</c:v>
                </c:pt>
                <c:pt idx="6">
                  <c:v>0.82373511938183408</c:v>
                </c:pt>
                <c:pt idx="7">
                  <c:v>0.78284212385587915</c:v>
                </c:pt>
                <c:pt idx="8">
                  <c:v>0.73856730772533696</c:v>
                </c:pt>
                <c:pt idx="9">
                  <c:v>0.69126210450380743</c:v>
                </c:pt>
                <c:pt idx="10">
                  <c:v>0.64178074812065733</c:v>
                </c:pt>
                <c:pt idx="11">
                  <c:v>0.59238149561023268</c:v>
                </c:pt>
                <c:pt idx="12">
                  <c:v>0</c:v>
                </c:pt>
                <c:pt idx="13">
                  <c:v>0</c:v>
                </c:pt>
              </c:numCache>
            </c:numRef>
          </c:yVal>
          <c:smooth val="1"/>
          <c:extLst>
            <c:ext xmlns:c16="http://schemas.microsoft.com/office/drawing/2014/chart" uri="{C3380CC4-5D6E-409C-BE32-E72D297353CC}">
              <c16:uniqueId val="{00000004-196C-4AC4-9503-D101CEE25CB6}"/>
            </c:ext>
          </c:extLst>
        </c:ser>
        <c:ser>
          <c:idx val="3"/>
          <c:order val="5"/>
          <c:tx>
            <c:strRef>
              <c:f>'Diagnosis Indicators'!$A$30</c:f>
              <c:strCache>
                <c:ptCount val="1"/>
                <c:pt idx="0">
                  <c:v>Keynes-Kaldor</c:v>
                </c:pt>
              </c:strCache>
            </c:strRef>
          </c:tx>
          <c:spPr>
            <a:ln w="25400" cap="rnd">
              <a:solidFill>
                <a:schemeClr val="accent6"/>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Indicators'!$B$30:$Y$30</c:f>
              <c:numCache>
                <c:formatCode>#,##0.000</c:formatCode>
                <c:ptCount val="24"/>
                <c:pt idx="0">
                  <c:v>1</c:v>
                </c:pt>
                <c:pt idx="1">
                  <c:v>1.0080610037246513</c:v>
                </c:pt>
                <c:pt idx="2">
                  <c:v>1.0154459382395102</c:v>
                </c:pt>
                <c:pt idx="3">
                  <c:v>1.0221136003828457</c:v>
                </c:pt>
                <c:pt idx="4">
                  <c:v>1.0280007844748</c:v>
                </c:pt>
                <c:pt idx="5">
                  <c:v>1.0330165605464963</c:v>
                </c:pt>
                <c:pt idx="6">
                  <c:v>1.0370370851081419</c:v>
                </c:pt>
                <c:pt idx="7">
                  <c:v>1.0398936739003304</c:v>
                </c:pt>
                <c:pt idx="8">
                  <c:v>1.0413586341095773</c:v>
                </c:pt>
                <c:pt idx="9">
                  <c:v>1.0411210302733112</c:v>
                </c:pt>
                <c:pt idx="10">
                  <c:v>1.0387477538749781</c:v>
                </c:pt>
                <c:pt idx="11">
                  <c:v>1.0336142843838874</c:v>
                </c:pt>
                <c:pt idx="12">
                  <c:v>1.0247716158891782</c:v>
                </c:pt>
                <c:pt idx="13">
                  <c:v>1.0106661592816202</c:v>
                </c:pt>
                <c:pt idx="14">
                  <c:v>0.98851075781898023</c:v>
                </c:pt>
                <c:pt idx="15">
                  <c:v>0.95287764266950281</c:v>
                </c:pt>
                <c:pt idx="16">
                  <c:v>0.89298987337891644</c:v>
                </c:pt>
                <c:pt idx="17">
                  <c:v>0.7891607592068427</c:v>
                </c:pt>
                <c:pt idx="18">
                  <c:v>0</c:v>
                </c:pt>
              </c:numCache>
            </c:numRef>
          </c:yVal>
          <c:smooth val="1"/>
          <c:extLst>
            <c:ext xmlns:c16="http://schemas.microsoft.com/office/drawing/2014/chart" uri="{C3380CC4-5D6E-409C-BE32-E72D297353CC}">
              <c16:uniqueId val="{00000005-196C-4AC4-9503-D101CEE25CB6}"/>
            </c:ext>
          </c:extLst>
        </c:ser>
        <c:ser>
          <c:idx val="7"/>
          <c:order val="6"/>
          <c:tx>
            <c:strRef>
              <c:f>'Diagnosis Indicators'!$A$31</c:f>
              <c:strCache>
                <c:ptCount val="1"/>
                <c:pt idx="0">
                  <c:v>Neo-K1</c:v>
                </c:pt>
              </c:strCache>
            </c:strRef>
          </c:tx>
          <c:spPr>
            <a:ln w="25400" cap="rnd">
              <a:solidFill>
                <a:schemeClr val="accent5"/>
              </a:solidFill>
              <a:prstDash val="dash"/>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Indicators'!$B$31:$Y$31</c:f>
              <c:numCache>
                <c:formatCode>#,##0.000</c:formatCode>
                <c:ptCount val="24"/>
                <c:pt idx="0">
                  <c:v>1</c:v>
                </c:pt>
                <c:pt idx="1">
                  <c:v>0.9960136137356298</c:v>
                </c:pt>
                <c:pt idx="2">
                  <c:v>0.99115287092987692</c:v>
                </c:pt>
                <c:pt idx="3">
                  <c:v>0.98523253058822002</c:v>
                </c:pt>
                <c:pt idx="4">
                  <c:v>0.97801743344684899</c:v>
                </c:pt>
                <c:pt idx="5">
                  <c:v>0.96920722457138597</c:v>
                </c:pt>
                <c:pt idx="6">
                  <c:v>0.95841516054685805</c:v>
                </c:pt>
                <c:pt idx="7">
                  <c:v>0.9451415692422257</c:v>
                </c:pt>
                <c:pt idx="8">
                  <c:v>0.92873922667311493</c:v>
                </c:pt>
                <c:pt idx="9">
                  <c:v>0.90837018195318742</c:v>
                </c:pt>
                <c:pt idx="10">
                  <c:v>0.88295881828971101</c:v>
                </c:pt>
                <c:pt idx="11">
                  <c:v>0.85114687878750406</c:v>
                </c:pt>
                <c:pt idx="12">
                  <c:v>0.81127071525479966</c:v>
                </c:pt>
                <c:pt idx="13">
                  <c:v>0.76139241692833293</c:v>
                </c:pt>
                <c:pt idx="14">
                  <c:v>0.69942299832002952</c:v>
                </c:pt>
                <c:pt idx="15">
                  <c:v>0.62335811573179545</c:v>
                </c:pt>
                <c:pt idx="16">
                  <c:v>0.53158854401055922</c:v>
                </c:pt>
                <c:pt idx="17">
                  <c:v>0.42317724722725264</c:v>
                </c:pt>
                <c:pt idx="18">
                  <c:v>0.29797996058645726</c:v>
                </c:pt>
                <c:pt idx="19">
                  <c:v>0.15656557292558224</c:v>
                </c:pt>
                <c:pt idx="20">
                  <c:v>0.1264245027992488</c:v>
                </c:pt>
                <c:pt idx="21">
                  <c:v>9.5686797498105811E-2</c:v>
                </c:pt>
                <c:pt idx="22">
                  <c:v>6.4362960506320357E-2</c:v>
                </c:pt>
                <c:pt idx="23">
                  <c:v>3.2463724299182789E-2</c:v>
                </c:pt>
              </c:numCache>
            </c:numRef>
          </c:yVal>
          <c:smooth val="1"/>
          <c:extLst>
            <c:ext xmlns:c16="http://schemas.microsoft.com/office/drawing/2014/chart" uri="{C3380CC4-5D6E-409C-BE32-E72D297353CC}">
              <c16:uniqueId val="{00000006-196C-4AC4-9503-D101CEE25CB6}"/>
            </c:ext>
          </c:extLst>
        </c:ser>
        <c:ser>
          <c:idx val="6"/>
          <c:order val="7"/>
          <c:tx>
            <c:strRef>
              <c:f>'Diagnosis Indicators'!$A$32</c:f>
              <c:strCache>
                <c:ptCount val="1"/>
                <c:pt idx="0">
                  <c:v>Neo-K2</c:v>
                </c:pt>
              </c:strCache>
            </c:strRef>
          </c:tx>
          <c:spPr>
            <a:ln w="25400" cap="rnd">
              <a:solidFill>
                <a:schemeClr val="accent5"/>
              </a:solidFill>
              <a:prstDash val="lgDashDotDot"/>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Indicators'!$B$32:$Y$32</c:f>
              <c:numCache>
                <c:formatCode>#,##0.000</c:formatCode>
                <c:ptCount val="24"/>
                <c:pt idx="0">
                  <c:v>1</c:v>
                </c:pt>
                <c:pt idx="1">
                  <c:v>0.9941010354387666</c:v>
                </c:pt>
                <c:pt idx="2">
                  <c:v>0.98696177144406239</c:v>
                </c:pt>
                <c:pt idx="3">
                  <c:v>0.9782975567480241</c:v>
                </c:pt>
                <c:pt idx="4">
                  <c:v>0.96774865135966359</c:v>
                </c:pt>
                <c:pt idx="5">
                  <c:v>0.95486021440541891</c:v>
                </c:pt>
                <c:pt idx="6">
                  <c:v>0.93906005318660213</c:v>
                </c:pt>
                <c:pt idx="7">
                  <c:v>0.91964369876851559</c:v>
                </c:pt>
                <c:pt idx="8">
                  <c:v>0.89576876835672425</c:v>
                </c:pt>
                <c:pt idx="9">
                  <c:v>0.86648082602708409</c:v>
                </c:pt>
                <c:pt idx="10">
                  <c:v>0.83079216020063318</c:v>
                </c:pt>
                <c:pt idx="11">
                  <c:v>0.78784093105184705</c:v>
                </c:pt>
                <c:pt idx="12">
                  <c:v>0.73714144909837687</c:v>
                </c:pt>
                <c:pt idx="13">
                  <c:v>0.67889251323499755</c:v>
                </c:pt>
                <c:pt idx="14">
                  <c:v>0.61421734020271745</c:v>
                </c:pt>
                <c:pt idx="15">
                  <c:v>0.54503579380076594</c:v>
                </c:pt>
                <c:pt idx="16">
                  <c:v>0.47302675678241862</c:v>
                </c:pt>
                <c:pt idx="17">
                  <c:v>0.39679329730577856</c:v>
                </c:pt>
                <c:pt idx="18">
                  <c:v>0.30362718872317701</c:v>
                </c:pt>
                <c:pt idx="19">
                  <c:v>9.9828649313968468E-2</c:v>
                </c:pt>
                <c:pt idx="20">
                  <c:v>0</c:v>
                </c:pt>
              </c:numCache>
            </c:numRef>
          </c:yVal>
          <c:smooth val="1"/>
          <c:extLst>
            <c:ext xmlns:c16="http://schemas.microsoft.com/office/drawing/2014/chart" uri="{C3380CC4-5D6E-409C-BE32-E72D297353CC}">
              <c16:uniqueId val="{00000007-196C-4AC4-9503-D101CEE25CB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GDP</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Indicators'!$A$47</c:f>
              <c:strCache>
                <c:ptCount val="1"/>
                <c:pt idx="0">
                  <c:v>Neoclassical</c:v>
                </c:pt>
              </c:strCache>
            </c:strRef>
          </c:tx>
          <c:spPr>
            <a:ln w="25400" cap="rnd">
              <a:solidFill>
                <a:schemeClr val="accent1"/>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Indicators'!$B$47:$Y$47</c:f>
              <c:numCache>
                <c:formatCode>#,##0.000</c:formatCode>
                <c:ptCount val="24"/>
                <c:pt idx="0">
                  <c:v>1</c:v>
                </c:pt>
                <c:pt idx="1">
                  <c:v>1.0143037991792878</c:v>
                </c:pt>
                <c:pt idx="2">
                  <c:v>1.0290118349798683</c:v>
                </c:pt>
                <c:pt idx="3">
                  <c:v>1.044179887179276</c:v>
                </c:pt>
                <c:pt idx="4">
                  <c:v>1.0598748383549954</c:v>
                </c:pt>
                <c:pt idx="5">
                  <c:v>1.0761786048193347</c:v>
                </c:pt>
                <c:pt idx="6">
                  <c:v>1.0931948758804118</c:v>
                </c:pt>
                <c:pt idx="7">
                  <c:v>1.1110595143791235</c:v>
                </c:pt>
                <c:pt idx="8">
                  <c:v>1.1299586846318554</c:v>
                </c:pt>
                <c:pt idx="9">
                  <c:v>1.1501601344844727</c:v>
                </c:pt>
                <c:pt idx="10">
                  <c:v>1.1720681541978966</c:v>
                </c:pt>
                <c:pt idx="11">
                  <c:v>1.1963220147651048</c:v>
                </c:pt>
                <c:pt idx="12">
                  <c:v>1.2239714577311775</c:v>
                </c:pt>
                <c:pt idx="13">
                  <c:v>1.2567728559122018</c:v>
                </c:pt>
                <c:pt idx="14">
                  <c:v>1.2975948278586236</c:v>
                </c:pt>
                <c:pt idx="15">
                  <c:v>1.3505526280059783</c:v>
                </c:pt>
                <c:pt idx="16">
                  <c:v>1.4195023749702362</c:v>
                </c:pt>
                <c:pt idx="17">
                  <c:v>1.5031605250895517</c:v>
                </c:pt>
                <c:pt idx="18">
                  <c:v>1.5847099092943264</c:v>
                </c:pt>
                <c:pt idx="19">
                  <c:v>1.5781363552151562</c:v>
                </c:pt>
                <c:pt idx="20">
                  <c:v>1.5346039177913162</c:v>
                </c:pt>
                <c:pt idx="21">
                  <c:v>1.451624903970155</c:v>
                </c:pt>
                <c:pt idx="22">
                  <c:v>1.292386399825568</c:v>
                </c:pt>
                <c:pt idx="23">
                  <c:v>0.95574864018806871</c:v>
                </c:pt>
              </c:numCache>
            </c:numRef>
          </c:yVal>
          <c:smooth val="1"/>
          <c:extLst>
            <c:ext xmlns:c16="http://schemas.microsoft.com/office/drawing/2014/chart" uri="{C3380CC4-5D6E-409C-BE32-E72D297353CC}">
              <c16:uniqueId val="{00000000-8D08-41CF-8E99-FEE4B9BDB7C8}"/>
            </c:ext>
          </c:extLst>
        </c:ser>
        <c:ser>
          <c:idx val="1"/>
          <c:order val="1"/>
          <c:tx>
            <c:strRef>
              <c:f>'Diagnosis Indicators'!$A$48</c:f>
              <c:strCache>
                <c:ptCount val="1"/>
                <c:pt idx="0">
                  <c:v>Kaldorian</c:v>
                </c:pt>
              </c:strCache>
            </c:strRef>
          </c:tx>
          <c:spPr>
            <a:ln w="25400" cap="rnd">
              <a:solidFill>
                <a:schemeClr val="accent2"/>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Indicators'!$B$48:$Y$48</c:f>
              <c:numCache>
                <c:formatCode>#,##0.000</c:formatCode>
                <c:ptCount val="24"/>
                <c:pt idx="0">
                  <c:v>1</c:v>
                </c:pt>
                <c:pt idx="1">
                  <c:v>1.0020126335794131</c:v>
                </c:pt>
                <c:pt idx="2">
                  <c:v>1.0039650470929595</c:v>
                </c:pt>
                <c:pt idx="3">
                  <c:v>1.0058482282508561</c:v>
                </c:pt>
                <c:pt idx="4">
                  <c:v>1.0076510243652421</c:v>
                </c:pt>
                <c:pt idx="5">
                  <c:v>1.0093597592400871</c:v>
                </c:pt>
                <c:pt idx="6">
                  <c:v>1.0109577619319416</c:v>
                </c:pt>
                <c:pt idx="7">
                  <c:v>1.0124246871111786</c:v>
                </c:pt>
                <c:pt idx="8">
                  <c:v>1.0137366074675267</c:v>
                </c:pt>
                <c:pt idx="9">
                  <c:v>1.0148663441674972</c:v>
                </c:pt>
                <c:pt idx="10">
                  <c:v>1.0157863084744891</c:v>
                </c:pt>
                <c:pt idx="11">
                  <c:v>1.0164752124388163</c:v>
                </c:pt>
                <c:pt idx="12">
                  <c:v>1.0169335288070547</c:v>
                </c:pt>
                <c:pt idx="13">
                  <c:v>1.0172106572187893</c:v>
                </c:pt>
                <c:pt idx="14">
                  <c:v>1.0174242109622837</c:v>
                </c:pt>
                <c:pt idx="15">
                  <c:v>1.017608907220418</c:v>
                </c:pt>
                <c:pt idx="16">
                  <c:v>1.0168111137736862</c:v>
                </c:pt>
                <c:pt idx="17">
                  <c:v>0</c:v>
                </c:pt>
                <c:pt idx="18">
                  <c:v>0</c:v>
                </c:pt>
              </c:numCache>
            </c:numRef>
          </c:yVal>
          <c:smooth val="1"/>
          <c:extLst>
            <c:ext xmlns:c16="http://schemas.microsoft.com/office/drawing/2014/chart" uri="{C3380CC4-5D6E-409C-BE32-E72D297353CC}">
              <c16:uniqueId val="{00000001-8D08-41CF-8E99-FEE4B9BDB7C8}"/>
            </c:ext>
          </c:extLst>
        </c:ser>
        <c:ser>
          <c:idx val="5"/>
          <c:order val="2"/>
          <c:tx>
            <c:strRef>
              <c:f>'Diagnosis Indicators'!$A$49</c:f>
              <c:strCache>
                <c:ptCount val="1"/>
                <c:pt idx="0">
                  <c:v>Johansen</c:v>
                </c:pt>
              </c:strCache>
            </c:strRef>
          </c:tx>
          <c:spPr>
            <a:ln w="25400" cap="rnd">
              <a:solidFill>
                <a:schemeClr val="accent3"/>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Indicators'!$B$49:$Y$49</c:f>
              <c:numCache>
                <c:formatCode>#,##0.000</c:formatCode>
                <c:ptCount val="24"/>
                <c:pt idx="0">
                  <c:v>1</c:v>
                </c:pt>
                <c:pt idx="1">
                  <c:v>1.0020030131166136</c:v>
                </c:pt>
                <c:pt idx="2">
                  <c:v>1.0039433268219482</c:v>
                </c:pt>
                <c:pt idx="3">
                  <c:v>1.005811394054569</c:v>
                </c:pt>
                <c:pt idx="4">
                  <c:v>1.0075955236297702</c:v>
                </c:pt>
                <c:pt idx="5">
                  <c:v>1.0092814513077331</c:v>
                </c:pt>
                <c:pt idx="6">
                  <c:v>1.0108517599479458</c:v>
                </c:pt>
                <c:pt idx="7">
                  <c:v>1.0122856752431451</c:v>
                </c:pt>
                <c:pt idx="8">
                  <c:v>1.013558821677351</c:v>
                </c:pt>
                <c:pt idx="9">
                  <c:v>1.014644475093101</c:v>
                </c:pt>
                <c:pt idx="10">
                  <c:v>1.0155166220797209</c:v>
                </c:pt>
                <c:pt idx="11">
                  <c:v>1.0161581374659183</c:v>
                </c:pt>
                <c:pt idx="12">
                  <c:v>1.0165781158673315</c:v>
                </c:pt>
                <c:pt idx="13">
                  <c:v>1.0168423294562416</c:v>
                </c:pt>
                <c:pt idx="14">
                  <c:v>1.0170925896400724</c:v>
                </c:pt>
                <c:pt idx="15">
                  <c:v>1.017377841557749</c:v>
                </c:pt>
                <c:pt idx="16">
                  <c:v>1.0167053711277105</c:v>
                </c:pt>
                <c:pt idx="17">
                  <c:v>1.010317543180999</c:v>
                </c:pt>
                <c:pt idx="18">
                  <c:v>0.98186750238839338</c:v>
                </c:pt>
                <c:pt idx="19">
                  <c:v>0.8630243500226058</c:v>
                </c:pt>
                <c:pt idx="20">
                  <c:v>0.80666379245066377</c:v>
                </c:pt>
                <c:pt idx="21">
                  <c:v>0.72463739926350479</c:v>
                </c:pt>
                <c:pt idx="22">
                  <c:v>0.59929319898294064</c:v>
                </c:pt>
                <c:pt idx="23">
                  <c:v>0</c:v>
                </c:pt>
              </c:numCache>
            </c:numRef>
          </c:yVal>
          <c:smooth val="1"/>
          <c:extLst xmlns:c15="http://schemas.microsoft.com/office/drawing/2012/chart">
            <c:ext xmlns:c16="http://schemas.microsoft.com/office/drawing/2014/chart" uri="{C3380CC4-5D6E-409C-BE32-E72D297353CC}">
              <c16:uniqueId val="{00000002-8D08-41CF-8E99-FEE4B9BDB7C8}"/>
            </c:ext>
          </c:extLst>
        </c:ser>
        <c:ser>
          <c:idx val="4"/>
          <c:order val="3"/>
          <c:tx>
            <c:strRef>
              <c:f>'Diagnosis Indicators'!$A$50</c:f>
              <c:strCache>
                <c:ptCount val="1"/>
                <c:pt idx="0">
                  <c:v>Keynes-Marshall</c:v>
                </c:pt>
              </c:strCache>
            </c:strRef>
          </c:tx>
          <c:spPr>
            <a:ln w="25400" cap="rnd">
              <a:solidFill>
                <a:schemeClr val="accent4"/>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Indicators'!$B$50:$Y$50</c:f>
              <c:numCache>
                <c:formatCode>#,##0.000</c:formatCode>
                <c:ptCount val="24"/>
                <c:pt idx="0">
                  <c:v>1</c:v>
                </c:pt>
                <c:pt idx="1">
                  <c:v>1.0192228539492754</c:v>
                </c:pt>
                <c:pt idx="2">
                  <c:v>1.0390785975488857</c:v>
                </c:pt>
                <c:pt idx="3">
                  <c:v>1.0596955649911675</c:v>
                </c:pt>
                <c:pt idx="4">
                  <c:v>1.0812401447361377</c:v>
                </c:pt>
                <c:pt idx="5">
                  <c:v>1.1039412196554457</c:v>
                </c:pt>
                <c:pt idx="6">
                  <c:v>1.1281322136127558</c:v>
                </c:pt>
                <c:pt idx="7">
                  <c:v>1.1543273210686564</c:v>
                </c:pt>
                <c:pt idx="8">
                  <c:v>1.1833616272218359</c:v>
                </c:pt>
                <c:pt idx="9">
                  <c:v>1.2166625134202453</c:v>
                </c:pt>
                <c:pt idx="10">
                  <c:v>1.2567912623420012</c:v>
                </c:pt>
                <c:pt idx="11">
                  <c:v>1.308497990265177</c:v>
                </c:pt>
                <c:pt idx="12">
                  <c:v>1.3803158450815483</c:v>
                </c:pt>
                <c:pt idx="13">
                  <c:v>0</c:v>
                </c:pt>
                <c:pt idx="14">
                  <c:v>0</c:v>
                </c:pt>
                <c:pt idx="15">
                  <c:v>0</c:v>
                </c:pt>
              </c:numCache>
            </c:numRef>
          </c:yVal>
          <c:smooth val="1"/>
          <c:extLst>
            <c:ext xmlns:c16="http://schemas.microsoft.com/office/drawing/2014/chart" uri="{C3380CC4-5D6E-409C-BE32-E72D297353CC}">
              <c16:uniqueId val="{00000003-8D08-41CF-8E99-FEE4B9BDB7C8}"/>
            </c:ext>
          </c:extLst>
        </c:ser>
        <c:ser>
          <c:idx val="2"/>
          <c:order val="4"/>
          <c:tx>
            <c:strRef>
              <c:f>'Diagnosis Indicators'!$A$51</c:f>
              <c:strCache>
                <c:ptCount val="1"/>
                <c:pt idx="0">
                  <c:v>Keynesian</c:v>
                </c:pt>
              </c:strCache>
            </c:strRef>
          </c:tx>
          <c:spPr>
            <a:ln w="25400" cap="rnd">
              <a:solidFill>
                <a:schemeClr val="accent5"/>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Indicators'!$B$51:$Y$51</c:f>
              <c:numCache>
                <c:formatCode>#,##0.000</c:formatCode>
                <c:ptCount val="24"/>
                <c:pt idx="0">
                  <c:v>1</c:v>
                </c:pt>
                <c:pt idx="1">
                  <c:v>0.97806954931411916</c:v>
                </c:pt>
                <c:pt idx="2">
                  <c:v>0.9534885258725575</c:v>
                </c:pt>
                <c:pt idx="3">
                  <c:v>0.92601489887169752</c:v>
                </c:pt>
                <c:pt idx="4">
                  <c:v>0.89542087652105318</c:v>
                </c:pt>
                <c:pt idx="5">
                  <c:v>0.86151052186227894</c:v>
                </c:pt>
                <c:pt idx="6">
                  <c:v>0.82414670300742821</c:v>
                </c:pt>
                <c:pt idx="7">
                  <c:v>0.78328534507216829</c:v>
                </c:pt>
                <c:pt idx="8">
                  <c:v>0.73903281009255961</c:v>
                </c:pt>
                <c:pt idx="9">
                  <c:v>0.6917446550368509</c:v>
                </c:pt>
                <c:pt idx="10">
                  <c:v>0.64228497622667147</c:v>
                </c:pt>
                <c:pt idx="11">
                  <c:v>0.59294017627429985</c:v>
                </c:pt>
                <c:pt idx="12">
                  <c:v>0</c:v>
                </c:pt>
                <c:pt idx="13">
                  <c:v>0</c:v>
                </c:pt>
              </c:numCache>
            </c:numRef>
          </c:yVal>
          <c:smooth val="1"/>
          <c:extLst>
            <c:ext xmlns:c16="http://schemas.microsoft.com/office/drawing/2014/chart" uri="{C3380CC4-5D6E-409C-BE32-E72D297353CC}">
              <c16:uniqueId val="{00000004-8D08-41CF-8E99-FEE4B9BDB7C8}"/>
            </c:ext>
          </c:extLst>
        </c:ser>
        <c:ser>
          <c:idx val="3"/>
          <c:order val="5"/>
          <c:tx>
            <c:strRef>
              <c:f>'Diagnosis Indicators'!$A$52</c:f>
              <c:strCache>
                <c:ptCount val="1"/>
                <c:pt idx="0">
                  <c:v>Keynes-Kaldor</c:v>
                </c:pt>
              </c:strCache>
            </c:strRef>
          </c:tx>
          <c:spPr>
            <a:ln w="25400" cap="rnd">
              <a:solidFill>
                <a:schemeClr val="accent6"/>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Indicators'!$B$52:$Y$52</c:f>
              <c:numCache>
                <c:formatCode>#,##0.000</c:formatCode>
                <c:ptCount val="24"/>
                <c:pt idx="0">
                  <c:v>1</c:v>
                </c:pt>
                <c:pt idx="1">
                  <c:v>1.0082570066837764</c:v>
                </c:pt>
                <c:pt idx="2">
                  <c:v>1.0158510590080365</c:v>
                </c:pt>
                <c:pt idx="3">
                  <c:v>1.0227429986332619</c:v>
                </c:pt>
                <c:pt idx="4">
                  <c:v>1.0288718819126546</c:v>
                </c:pt>
                <c:pt idx="5">
                  <c:v>1.0341492191074169</c:v>
                </c:pt>
                <c:pt idx="6">
                  <c:v>1.0384536261330439</c:v>
                </c:pt>
                <c:pt idx="7">
                  <c:v>1.0416186087792549</c:v>
                </c:pt>
                <c:pt idx="8">
                  <c:v>1.0434178254582318</c:v>
                </c:pt>
                <c:pt idx="9">
                  <c:v>1.0435398680169292</c:v>
                </c:pt>
                <c:pt idx="10">
                  <c:v>1.0415475658830675</c:v>
                </c:pt>
                <c:pt idx="11">
                  <c:v>1.0368057310540502</c:v>
                </c:pt>
                <c:pt idx="12">
                  <c:v>1.0283431483494267</c:v>
                </c:pt>
                <c:pt idx="13">
                  <c:v>1.0145654059530944</c:v>
                </c:pt>
                <c:pt idx="14">
                  <c:v>0.99261947482596757</c:v>
                </c:pt>
                <c:pt idx="15">
                  <c:v>0.95699260627565574</c:v>
                </c:pt>
                <c:pt idx="16">
                  <c:v>0.89683908729143214</c:v>
                </c:pt>
                <c:pt idx="17">
                  <c:v>0.79245827874377317</c:v>
                </c:pt>
                <c:pt idx="18">
                  <c:v>0</c:v>
                </c:pt>
              </c:numCache>
            </c:numRef>
          </c:yVal>
          <c:smooth val="1"/>
          <c:extLst>
            <c:ext xmlns:c16="http://schemas.microsoft.com/office/drawing/2014/chart" uri="{C3380CC4-5D6E-409C-BE32-E72D297353CC}">
              <c16:uniqueId val="{00000005-8D08-41CF-8E99-FEE4B9BDB7C8}"/>
            </c:ext>
          </c:extLst>
        </c:ser>
        <c:ser>
          <c:idx val="7"/>
          <c:order val="6"/>
          <c:tx>
            <c:strRef>
              <c:f>'Diagnosis Indicators'!$A$53</c:f>
              <c:strCache>
                <c:ptCount val="1"/>
                <c:pt idx="0">
                  <c:v>Neo-K1</c:v>
                </c:pt>
              </c:strCache>
            </c:strRef>
          </c:tx>
          <c:spPr>
            <a:ln w="25400" cap="rnd">
              <a:solidFill>
                <a:schemeClr val="accent5"/>
              </a:solidFill>
              <a:prstDash val="dash"/>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Indicators'!$B$53:$Y$53</c:f>
              <c:numCache>
                <c:formatCode>#,##0.000</c:formatCode>
                <c:ptCount val="24"/>
                <c:pt idx="0">
                  <c:v>1</c:v>
                </c:pt>
                <c:pt idx="1">
                  <c:v>1.0062516536697368</c:v>
                </c:pt>
                <c:pt idx="2">
                  <c:v>1.01184566765675</c:v>
                </c:pt>
                <c:pt idx="3">
                  <c:v>1.0165932510404576</c:v>
                </c:pt>
                <c:pt idx="4">
                  <c:v>1.020245864927475</c:v>
                </c:pt>
                <c:pt idx="5">
                  <c:v>1.0224749313515775</c:v>
                </c:pt>
                <c:pt idx="6">
                  <c:v>1.0228432103896925</c:v>
                </c:pt>
                <c:pt idx="7">
                  <c:v>1.0207675931627431</c:v>
                </c:pt>
                <c:pt idx="8">
                  <c:v>1.0154689655005458</c:v>
                </c:pt>
                <c:pt idx="9">
                  <c:v>1.0059066014997027</c:v>
                </c:pt>
                <c:pt idx="10">
                  <c:v>0.99070120299219755</c:v>
                </c:pt>
                <c:pt idx="11">
                  <c:v>0.96805066840071619</c:v>
                </c:pt>
                <c:pt idx="12">
                  <c:v>0.93566351049094054</c:v>
                </c:pt>
                <c:pt idx="13">
                  <c:v>0.89075318918853763</c:v>
                </c:pt>
                <c:pt idx="14">
                  <c:v>0.83015539559455953</c:v>
                </c:pt>
                <c:pt idx="15">
                  <c:v>0.75061872732967738</c:v>
                </c:pt>
                <c:pt idx="16">
                  <c:v>0.64924665526011893</c:v>
                </c:pt>
                <c:pt idx="17">
                  <c:v>0.52395639208867584</c:v>
                </c:pt>
                <c:pt idx="18">
                  <c:v>0.37376375189180411</c:v>
                </c:pt>
                <c:pt idx="19">
                  <c:v>0.19878458428175921</c:v>
                </c:pt>
                <c:pt idx="20">
                  <c:v>0.16088909090066719</c:v>
                </c:pt>
                <c:pt idx="21">
                  <c:v>0.12205077193134581</c:v>
                </c:pt>
                <c:pt idx="22">
                  <c:v>8.2281446844294809E-2</c:v>
                </c:pt>
                <c:pt idx="23">
                  <c:v>4.1593538717207459E-2</c:v>
                </c:pt>
              </c:numCache>
            </c:numRef>
          </c:yVal>
          <c:smooth val="1"/>
          <c:extLst>
            <c:ext xmlns:c16="http://schemas.microsoft.com/office/drawing/2014/chart" uri="{C3380CC4-5D6E-409C-BE32-E72D297353CC}">
              <c16:uniqueId val="{00000006-8D08-41CF-8E99-FEE4B9BDB7C8}"/>
            </c:ext>
          </c:extLst>
        </c:ser>
        <c:ser>
          <c:idx val="6"/>
          <c:order val="7"/>
          <c:tx>
            <c:strRef>
              <c:f>'Diagnosis Indicators'!$A$54</c:f>
              <c:strCache>
                <c:ptCount val="1"/>
                <c:pt idx="0">
                  <c:v>Neo-K2</c:v>
                </c:pt>
              </c:strCache>
            </c:strRef>
          </c:tx>
          <c:spPr>
            <a:ln w="25400" cap="rnd">
              <a:solidFill>
                <a:schemeClr val="accent5"/>
              </a:solidFill>
              <a:prstDash val="lgDashDotDot"/>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Indicators'!$B$54:$Y$54</c:f>
              <c:numCache>
                <c:formatCode>#,##0.000</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yVal>
          <c:smooth val="1"/>
          <c:extLst>
            <c:ext xmlns:c16="http://schemas.microsoft.com/office/drawing/2014/chart" uri="{C3380CC4-5D6E-409C-BE32-E72D297353CC}">
              <c16:uniqueId val="{00000007-8D08-41CF-8E99-FEE4B9BDB7C8}"/>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investment</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Indicators'!$A$36</c:f>
              <c:strCache>
                <c:ptCount val="1"/>
                <c:pt idx="0">
                  <c:v>Neoclassical</c:v>
                </c:pt>
              </c:strCache>
            </c:strRef>
          </c:tx>
          <c:spPr>
            <a:ln w="25400" cap="rnd">
              <a:solidFill>
                <a:schemeClr val="accent1"/>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Indicators'!$B$36:$Y$36</c:f>
              <c:numCache>
                <c:formatCode>0.0%</c:formatCode>
                <c:ptCount val="24"/>
                <c:pt idx="0">
                  <c:v>0.56058995943839207</c:v>
                </c:pt>
                <c:pt idx="1">
                  <c:v>0.56571093350371204</c:v>
                </c:pt>
                <c:pt idx="2">
                  <c:v>0.56421335914861881</c:v>
                </c:pt>
                <c:pt idx="3">
                  <c:v>0.5627067895819412</c:v>
                </c:pt>
                <c:pt idx="4">
                  <c:v>0.56119028933641757</c:v>
                </c:pt>
                <c:pt idx="5">
                  <c:v>0.55966323070422752</c:v>
                </c:pt>
                <c:pt idx="6">
                  <c:v>0.55812557952087005</c:v>
                </c:pt>
                <c:pt idx="7">
                  <c:v>0.556578445072202</c:v>
                </c:pt>
                <c:pt idx="8">
                  <c:v>0.55502500851092407</c:v>
                </c:pt>
                <c:pt idx="9">
                  <c:v>0.55347182184867239</c:v>
                </c:pt>
                <c:pt idx="10">
                  <c:v>0.55193109250273387</c:v>
                </c:pt>
                <c:pt idx="11">
                  <c:v>0.55042415778240383</c:v>
                </c:pt>
                <c:pt idx="12">
                  <c:v>0.54898666105244243</c:v>
                </c:pt>
                <c:pt idx="13">
                  <c:v>0.54767531163097871</c:v>
                </c:pt>
                <c:pt idx="14">
                  <c:v>0.54657193197598197</c:v>
                </c:pt>
                <c:pt idx="15">
                  <c:v>0.54576929157645437</c:v>
                </c:pt>
                <c:pt idx="16">
                  <c:v>0.54531315114393375</c:v>
                </c:pt>
                <c:pt idx="17">
                  <c:v>0.54513392169528263</c:v>
                </c:pt>
                <c:pt idx="18">
                  <c:v>0.5450907893059288</c:v>
                </c:pt>
                <c:pt idx="19">
                  <c:v>0.54508555740877906</c:v>
                </c:pt>
                <c:pt idx="20">
                  <c:v>0.5450854488381921</c:v>
                </c:pt>
                <c:pt idx="21">
                  <c:v>0.54508540477294232</c:v>
                </c:pt>
                <c:pt idx="22">
                  <c:v>0.54508539010303547</c:v>
                </c:pt>
                <c:pt idx="23">
                  <c:v>0.54508538658055894</c:v>
                </c:pt>
              </c:numCache>
            </c:numRef>
          </c:yVal>
          <c:smooth val="1"/>
          <c:extLst>
            <c:ext xmlns:c16="http://schemas.microsoft.com/office/drawing/2014/chart" uri="{C3380CC4-5D6E-409C-BE32-E72D297353CC}">
              <c16:uniqueId val="{00000000-943F-4D85-AE78-CE160C49E3D6}"/>
            </c:ext>
          </c:extLst>
        </c:ser>
        <c:ser>
          <c:idx val="1"/>
          <c:order val="1"/>
          <c:tx>
            <c:strRef>
              <c:f>'Diagnosis Indicators'!$A$37</c:f>
              <c:strCache>
                <c:ptCount val="1"/>
                <c:pt idx="0">
                  <c:v>Kaldorian</c:v>
                </c:pt>
              </c:strCache>
            </c:strRef>
          </c:tx>
          <c:spPr>
            <a:ln w="25400" cap="rnd">
              <a:solidFill>
                <a:schemeClr val="accent2"/>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Indicators'!$B$37:$Y$37</c:f>
              <c:numCache>
                <c:formatCode>0.0%</c:formatCode>
                <c:ptCount val="24"/>
                <c:pt idx="0">
                  <c:v>0.56058995943839207</c:v>
                </c:pt>
                <c:pt idx="1">
                  <c:v>0.56033509267063331</c:v>
                </c:pt>
                <c:pt idx="2">
                  <c:v>0.55305892604786189</c:v>
                </c:pt>
                <c:pt idx="3">
                  <c:v>0.54530258218495253</c:v>
                </c:pt>
                <c:pt idx="4">
                  <c:v>0.53697927292490732</c:v>
                </c:pt>
                <c:pt idx="5">
                  <c:v>0.52797899283135297</c:v>
                </c:pt>
                <c:pt idx="6">
                  <c:v>0.51815765356226495</c:v>
                </c:pt>
                <c:pt idx="7">
                  <c:v>0.50732106485459938</c:v>
                </c:pt>
                <c:pt idx="8">
                  <c:v>0.49519681518341802</c:v>
                </c:pt>
                <c:pt idx="9">
                  <c:v>0.48138478142579966</c:v>
                </c:pt>
                <c:pt idx="10">
                  <c:v>0.46526571657330495</c:v>
                </c:pt>
                <c:pt idx="11">
                  <c:v>0.44582431161294545</c:v>
                </c:pt>
                <c:pt idx="12">
                  <c:v>0.42128912776009675</c:v>
                </c:pt>
                <c:pt idx="13">
                  <c:v>0.3883704967917222</c:v>
                </c:pt>
                <c:pt idx="14">
                  <c:v>0.34062176509876813</c:v>
                </c:pt>
                <c:pt idx="15">
                  <c:v>0.26502224078011266</c:v>
                </c:pt>
                <c:pt idx="16">
                  <c:v>0.1346880669700522</c:v>
                </c:pt>
                <c:pt idx="17">
                  <c:v>0</c:v>
                </c:pt>
                <c:pt idx="18">
                  <c:v>0</c:v>
                </c:pt>
              </c:numCache>
            </c:numRef>
          </c:yVal>
          <c:smooth val="1"/>
          <c:extLst>
            <c:ext xmlns:c16="http://schemas.microsoft.com/office/drawing/2014/chart" uri="{C3380CC4-5D6E-409C-BE32-E72D297353CC}">
              <c16:uniqueId val="{00000001-943F-4D85-AE78-CE160C49E3D6}"/>
            </c:ext>
          </c:extLst>
        </c:ser>
        <c:ser>
          <c:idx val="5"/>
          <c:order val="2"/>
          <c:tx>
            <c:strRef>
              <c:f>'Diagnosis Indicators'!$A$38</c:f>
              <c:strCache>
                <c:ptCount val="1"/>
                <c:pt idx="0">
                  <c:v>Johansen</c:v>
                </c:pt>
              </c:strCache>
            </c:strRef>
          </c:tx>
          <c:spPr>
            <a:ln w="25400" cap="rnd">
              <a:solidFill>
                <a:schemeClr val="accent3"/>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Indicators'!$B$38:$Y$38</c:f>
              <c:numCache>
                <c:formatCode>0.0%</c:formatCode>
                <c:ptCount val="24"/>
                <c:pt idx="0">
                  <c:v>0.56058995943839207</c:v>
                </c:pt>
                <c:pt idx="1">
                  <c:v>0.56569368399537212</c:v>
                </c:pt>
                <c:pt idx="2">
                  <c:v>0.56417701913493545</c:v>
                </c:pt>
                <c:pt idx="3">
                  <c:v>0.56264919038558137</c:v>
                </c:pt>
                <c:pt idx="4">
                  <c:v>0.56110892910941634</c:v>
                </c:pt>
                <c:pt idx="5">
                  <c:v>0.55955525774911563</c:v>
                </c:pt>
                <c:pt idx="6">
                  <c:v>0.55798793342161446</c:v>
                </c:pt>
                <c:pt idx="7">
                  <c:v>0.55640800700360238</c:v>
                </c:pt>
                <c:pt idx="8">
                  <c:v>0.55481899862002826</c:v>
                </c:pt>
                <c:pt idx="9">
                  <c:v>0.55322847761227656</c:v>
                </c:pt>
                <c:pt idx="10">
                  <c:v>0.55165087361049758</c:v>
                </c:pt>
                <c:pt idx="11">
                  <c:v>0.55011176217936719</c:v>
                </c:pt>
                <c:pt idx="12">
                  <c:v>0.54865438943491784</c:v>
                </c:pt>
                <c:pt idx="13">
                  <c:v>0.54734771927983361</c:v>
                </c:pt>
                <c:pt idx="14">
                  <c:v>0.5462890311621631</c:v>
                </c:pt>
                <c:pt idx="15">
                  <c:v>0.54557604736579401</c:v>
                </c:pt>
                <c:pt idx="16">
                  <c:v>0.5452228807826669</c:v>
                </c:pt>
                <c:pt idx="17">
                  <c:v>0.54510913391521298</c:v>
                </c:pt>
                <c:pt idx="18">
                  <c:v>0.54508750939826056</c:v>
                </c:pt>
                <c:pt idx="19">
                  <c:v>0.5450854448213901</c:v>
                </c:pt>
                <c:pt idx="20">
                  <c:v>0.54508540797954363</c:v>
                </c:pt>
                <c:pt idx="21">
                  <c:v>0.54508539302560199</c:v>
                </c:pt>
                <c:pt idx="22">
                  <c:v>0.54508538782739202</c:v>
                </c:pt>
                <c:pt idx="23">
                  <c:v>0</c:v>
                </c:pt>
              </c:numCache>
            </c:numRef>
          </c:yVal>
          <c:smooth val="1"/>
          <c:extLst xmlns:c15="http://schemas.microsoft.com/office/drawing/2012/chart">
            <c:ext xmlns:c16="http://schemas.microsoft.com/office/drawing/2014/chart" uri="{C3380CC4-5D6E-409C-BE32-E72D297353CC}">
              <c16:uniqueId val="{00000002-943F-4D85-AE78-CE160C49E3D6}"/>
            </c:ext>
          </c:extLst>
        </c:ser>
        <c:ser>
          <c:idx val="4"/>
          <c:order val="3"/>
          <c:tx>
            <c:strRef>
              <c:f>'Diagnosis Indicators'!$A$39</c:f>
              <c:strCache>
                <c:ptCount val="1"/>
                <c:pt idx="0">
                  <c:v>Keynes-Marshall</c:v>
                </c:pt>
              </c:strCache>
            </c:strRef>
          </c:tx>
          <c:spPr>
            <a:ln w="25400" cap="rnd">
              <a:solidFill>
                <a:schemeClr val="accent4"/>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Indicators'!$B$39:$Y$39</c:f>
              <c:numCache>
                <c:formatCode>0.0%</c:formatCode>
                <c:ptCount val="24"/>
                <c:pt idx="0">
                  <c:v>0.56058995943839207</c:v>
                </c:pt>
                <c:pt idx="1">
                  <c:v>0.58351071339228588</c:v>
                </c:pt>
                <c:pt idx="2">
                  <c:v>0.60066512155958252</c:v>
                </c:pt>
                <c:pt idx="3">
                  <c:v>0.6188279517131372</c:v>
                </c:pt>
                <c:pt idx="4">
                  <c:v>0.63821321069440773</c:v>
                </c:pt>
                <c:pt idx="5">
                  <c:v>0.6591134782604573</c:v>
                </c:pt>
                <c:pt idx="6">
                  <c:v>0.68194835352893601</c:v>
                </c:pt>
                <c:pt idx="7">
                  <c:v>0.70735026141654356</c:v>
                </c:pt>
                <c:pt idx="8">
                  <c:v>0.73632004621042479</c:v>
                </c:pt>
                <c:pt idx="9">
                  <c:v>0.77052355913188531</c:v>
                </c:pt>
                <c:pt idx="10">
                  <c:v>0.81287432161574036</c:v>
                </c:pt>
                <c:pt idx="11">
                  <c:v>0.86865107547417031</c:v>
                </c:pt>
                <c:pt idx="12">
                  <c:v>0.94715380492780477</c:v>
                </c:pt>
                <c:pt idx="13">
                  <c:v>0</c:v>
                </c:pt>
                <c:pt idx="14">
                  <c:v>0</c:v>
                </c:pt>
                <c:pt idx="15">
                  <c:v>0</c:v>
                </c:pt>
              </c:numCache>
            </c:numRef>
          </c:yVal>
          <c:smooth val="1"/>
          <c:extLst>
            <c:ext xmlns:c16="http://schemas.microsoft.com/office/drawing/2014/chart" uri="{C3380CC4-5D6E-409C-BE32-E72D297353CC}">
              <c16:uniqueId val="{00000003-943F-4D85-AE78-CE160C49E3D6}"/>
            </c:ext>
          </c:extLst>
        </c:ser>
        <c:ser>
          <c:idx val="2"/>
          <c:order val="4"/>
          <c:tx>
            <c:strRef>
              <c:f>'Diagnosis Indicators'!$A$40</c:f>
              <c:strCache>
                <c:ptCount val="1"/>
                <c:pt idx="0">
                  <c:v>Keynesian</c:v>
                </c:pt>
              </c:strCache>
            </c:strRef>
          </c:tx>
          <c:spPr>
            <a:ln w="25400" cap="rnd">
              <a:solidFill>
                <a:schemeClr val="accent5"/>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Indicators'!$B$40:$Y$40</c:f>
              <c:numCache>
                <c:formatCode>0.0%</c:formatCode>
                <c:ptCount val="24"/>
                <c:pt idx="0">
                  <c:v>0.56058995943839207</c:v>
                </c:pt>
                <c:pt idx="1">
                  <c:v>0.57513926423902684</c:v>
                </c:pt>
                <c:pt idx="2">
                  <c:v>0.5830228529803102</c:v>
                </c:pt>
                <c:pt idx="3">
                  <c:v>0.59080589055574961</c:v>
                </c:pt>
                <c:pt idx="4">
                  <c:v>0.59843579705375904</c:v>
                </c:pt>
                <c:pt idx="5">
                  <c:v>0.60585155063432217</c:v>
                </c:pt>
                <c:pt idx="6">
                  <c:v>0.61298535135596821</c:v>
                </c:pt>
                <c:pt idx="7">
                  <c:v>0.61975971314396472</c:v>
                </c:pt>
                <c:pt idx="8">
                  <c:v>0.62609018425887131</c:v>
                </c:pt>
                <c:pt idx="9">
                  <c:v>0.63187113348558177</c:v>
                </c:pt>
                <c:pt idx="10">
                  <c:v>0.63695253707700594</c:v>
                </c:pt>
                <c:pt idx="11">
                  <c:v>0.64100776981615759</c:v>
                </c:pt>
                <c:pt idx="12">
                  <c:v>0</c:v>
                </c:pt>
                <c:pt idx="13">
                  <c:v>0</c:v>
                </c:pt>
              </c:numCache>
            </c:numRef>
          </c:yVal>
          <c:smooth val="1"/>
          <c:extLst>
            <c:ext xmlns:c16="http://schemas.microsoft.com/office/drawing/2014/chart" uri="{C3380CC4-5D6E-409C-BE32-E72D297353CC}">
              <c16:uniqueId val="{00000004-943F-4D85-AE78-CE160C49E3D6}"/>
            </c:ext>
          </c:extLst>
        </c:ser>
        <c:ser>
          <c:idx val="3"/>
          <c:order val="5"/>
          <c:tx>
            <c:strRef>
              <c:f>'Diagnosis Indicators'!$A$41</c:f>
              <c:strCache>
                <c:ptCount val="1"/>
                <c:pt idx="0">
                  <c:v>Keynes-Kaldor</c:v>
                </c:pt>
              </c:strCache>
            </c:strRef>
          </c:tx>
          <c:spPr>
            <a:ln w="25400" cap="rnd">
              <a:solidFill>
                <a:schemeClr val="accent6"/>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Indicators'!$B$41:$Y$41</c:f>
              <c:numCache>
                <c:formatCode>0.0%</c:formatCode>
                <c:ptCount val="24"/>
                <c:pt idx="0">
                  <c:v>0.56058995943839207</c:v>
                </c:pt>
                <c:pt idx="1">
                  <c:v>0.55965594750369596</c:v>
                </c:pt>
                <c:pt idx="2">
                  <c:v>0.55174465818129259</c:v>
                </c:pt>
                <c:pt idx="3">
                  <c:v>0.54339571904346917</c:v>
                </c:pt>
                <c:pt idx="4">
                  <c:v>0.53452346021458474</c:v>
                </c:pt>
                <c:pt idx="5">
                  <c:v>0.52502179055659992</c:v>
                </c:pt>
                <c:pt idx="6">
                  <c:v>0.51475411142739935</c:v>
                </c:pt>
                <c:pt idx="7">
                  <c:v>0.50353952029543103</c:v>
                </c:pt>
                <c:pt idx="8">
                  <c:v>0.49112856208316935</c:v>
                </c:pt>
                <c:pt idx="9">
                  <c:v>0.47716295678698328</c:v>
                </c:pt>
                <c:pt idx="10">
                  <c:v>0.46110634772127473</c:v>
                </c:pt>
                <c:pt idx="11">
                  <c:v>0.44212203559599456</c:v>
                </c:pt>
                <c:pt idx="12">
                  <c:v>0.41885609894973058</c:v>
                </c:pt>
                <c:pt idx="13">
                  <c:v>0.38906314469785025</c:v>
                </c:pt>
                <c:pt idx="14">
                  <c:v>0.34903925209742015</c:v>
                </c:pt>
                <c:pt idx="15">
                  <c:v>0.29309169942507779</c:v>
                </c:pt>
                <c:pt idx="16">
                  <c:v>0.21406255848944059</c:v>
                </c:pt>
                <c:pt idx="17">
                  <c:v>0.10694431899887205</c:v>
                </c:pt>
                <c:pt idx="18">
                  <c:v>0</c:v>
                </c:pt>
              </c:numCache>
            </c:numRef>
          </c:yVal>
          <c:smooth val="1"/>
          <c:extLst>
            <c:ext xmlns:c16="http://schemas.microsoft.com/office/drawing/2014/chart" uri="{C3380CC4-5D6E-409C-BE32-E72D297353CC}">
              <c16:uniqueId val="{00000005-943F-4D85-AE78-CE160C49E3D6}"/>
            </c:ext>
          </c:extLst>
        </c:ser>
        <c:ser>
          <c:idx val="7"/>
          <c:order val="6"/>
          <c:tx>
            <c:strRef>
              <c:f>'Diagnosis Indicators'!$A$42</c:f>
              <c:strCache>
                <c:ptCount val="1"/>
                <c:pt idx="0">
                  <c:v>Neo-K1</c:v>
                </c:pt>
              </c:strCache>
            </c:strRef>
          </c:tx>
          <c:spPr>
            <a:ln w="25400" cap="rnd">
              <a:solidFill>
                <a:schemeClr val="accent5"/>
              </a:solidFill>
              <a:prstDash val="dash"/>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Indicators'!$B$42:$Y$42</c:f>
              <c:numCache>
                <c:formatCode>0.0%</c:formatCode>
                <c:ptCount val="24"/>
                <c:pt idx="0">
                  <c:v>0.56058995943839207</c:v>
                </c:pt>
                <c:pt idx="1">
                  <c:v>0.56690700865066457</c:v>
                </c:pt>
                <c:pt idx="2">
                  <c:v>0.56661633486163809</c:v>
                </c:pt>
                <c:pt idx="3">
                  <c:v>0.56632413888155553</c:v>
                </c:pt>
                <c:pt idx="4">
                  <c:v>0.56602445866516671</c:v>
                </c:pt>
                <c:pt idx="5">
                  <c:v>0.56570930156269772</c:v>
                </c:pt>
                <c:pt idx="6">
                  <c:v>0.56536814244872302</c:v>
                </c:pt>
                <c:pt idx="7">
                  <c:v>0.56498735286351276</c:v>
                </c:pt>
                <c:pt idx="8">
                  <c:v>0.5645496714274616</c:v>
                </c:pt>
                <c:pt idx="9">
                  <c:v>0.56403380894514854</c:v>
                </c:pt>
                <c:pt idx="10">
                  <c:v>0.56341459915878644</c:v>
                </c:pt>
                <c:pt idx="11">
                  <c:v>0.5626640001259654</c:v>
                </c:pt>
                <c:pt idx="12">
                  <c:v>0.5617536727700313</c:v>
                </c:pt>
                <c:pt idx="13">
                  <c:v>0.56065952886728176</c:v>
                </c:pt>
                <c:pt idx="14">
                  <c:v>0.55936805726521788</c:v>
                </c:pt>
                <c:pt idx="15">
                  <c:v>0.55788268357298909</c:v>
                </c:pt>
                <c:pt idx="16">
                  <c:v>0.55622703221353398</c:v>
                </c:pt>
                <c:pt idx="17">
                  <c:v>0.55444236427108051</c:v>
                </c:pt>
                <c:pt idx="18">
                  <c:v>0.55257947907216798</c:v>
                </c:pt>
                <c:pt idx="19">
                  <c:v>0.55068876293781688</c:v>
                </c:pt>
                <c:pt idx="20">
                  <c:v>0.55031121322205878</c:v>
                </c:pt>
                <c:pt idx="21">
                  <c:v>0.54993457349389441</c:v>
                </c:pt>
                <c:pt idx="22">
                  <c:v>0.5495591067147455</c:v>
                </c:pt>
                <c:pt idx="23">
                  <c:v>0.54918506116938437</c:v>
                </c:pt>
              </c:numCache>
            </c:numRef>
          </c:yVal>
          <c:smooth val="1"/>
          <c:extLst>
            <c:ext xmlns:c16="http://schemas.microsoft.com/office/drawing/2014/chart" uri="{C3380CC4-5D6E-409C-BE32-E72D297353CC}">
              <c16:uniqueId val="{00000006-943F-4D85-AE78-CE160C49E3D6}"/>
            </c:ext>
          </c:extLst>
        </c:ser>
        <c:ser>
          <c:idx val="6"/>
          <c:order val="7"/>
          <c:tx>
            <c:strRef>
              <c:f>'Diagnosis Indicators'!$A$43</c:f>
              <c:strCache>
                <c:ptCount val="1"/>
                <c:pt idx="0">
                  <c:v>Neo-K2</c:v>
                </c:pt>
              </c:strCache>
            </c:strRef>
          </c:tx>
          <c:spPr>
            <a:ln w="25400" cap="rnd">
              <a:solidFill>
                <a:schemeClr val="accent5"/>
              </a:solidFill>
              <a:prstDash val="lgDashDotDot"/>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Indicators'!$B$43:$Y$43</c:f>
              <c:numCache>
                <c:formatCode>0.0%</c:formatCode>
                <c:ptCount val="24"/>
                <c:pt idx="0">
                  <c:v>0.56058995943839207</c:v>
                </c:pt>
                <c:pt idx="1">
                  <c:v>0.56769675974480394</c:v>
                </c:pt>
                <c:pt idx="2">
                  <c:v>0.56826604531780867</c:v>
                </c:pt>
                <c:pt idx="3">
                  <c:v>0.56891621657490565</c:v>
                </c:pt>
                <c:pt idx="4">
                  <c:v>0.56965555773892684</c:v>
                </c:pt>
                <c:pt idx="5">
                  <c:v>0.57049256891925126</c:v>
                </c:pt>
                <c:pt idx="6">
                  <c:v>0.57143552372267958</c:v>
                </c:pt>
                <c:pt idx="7">
                  <c:v>0.57249157264877848</c:v>
                </c:pt>
                <c:pt idx="8">
                  <c:v>0.57366534574248196</c:v>
                </c:pt>
                <c:pt idx="9">
                  <c:v>0.57495671784907831</c:v>
                </c:pt>
                <c:pt idx="10">
                  <c:v>0.57635722327269379</c:v>
                </c:pt>
                <c:pt idx="11">
                  <c:v>0.57784438690835038</c:v>
                </c:pt>
                <c:pt idx="12">
                  <c:v>0.57937202436255153</c:v>
                </c:pt>
                <c:pt idx="13">
                  <c:v>0.58085281317190562</c:v>
                </c:pt>
                <c:pt idx="14">
                  <c:v>0.58212640527579806</c:v>
                </c:pt>
                <c:pt idx="15">
                  <c:v>0.58290145440349184</c:v>
                </c:pt>
                <c:pt idx="16">
                  <c:v>0.58263236611347347</c:v>
                </c:pt>
                <c:pt idx="17">
                  <c:v>0.58012804358327019</c:v>
                </c:pt>
                <c:pt idx="18">
                  <c:v>0.5720941675343133</c:v>
                </c:pt>
                <c:pt idx="19">
                  <c:v>0.54674662423694664</c:v>
                </c:pt>
                <c:pt idx="20">
                  <c:v>0.53582364615528322</c:v>
                </c:pt>
                <c:pt idx="21">
                  <c:v>0.51995469325783172</c:v>
                </c:pt>
                <c:pt idx="22">
                  <c:v>0.49450696503507974</c:v>
                </c:pt>
                <c:pt idx="23">
                  <c:v>0.44440230085614718</c:v>
                </c:pt>
              </c:numCache>
            </c:numRef>
          </c:yVal>
          <c:smooth val="1"/>
          <c:extLst>
            <c:ext xmlns:c16="http://schemas.microsoft.com/office/drawing/2014/chart" uri="{C3380CC4-5D6E-409C-BE32-E72D297353CC}">
              <c16:uniqueId val="{00000007-943F-4D85-AE78-CE160C49E3D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K share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majorUnit val="0.15000000000000002"/>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9.0309377637294436E-2"/>
          <c:w val="0.91954496211515768"/>
          <c:h val="0.82952033709841755"/>
        </c:manualLayout>
      </c:layout>
      <c:scatterChart>
        <c:scatterStyle val="smoothMarker"/>
        <c:varyColors val="0"/>
        <c:ser>
          <c:idx val="0"/>
          <c:order val="0"/>
          <c:tx>
            <c:strRef>
              <c:f>'Diagnosis Indicators'!$A$58</c:f>
              <c:strCache>
                <c:ptCount val="1"/>
                <c:pt idx="0">
                  <c:v>Neoclassical</c:v>
                </c:pt>
              </c:strCache>
            </c:strRef>
          </c:tx>
          <c:spPr>
            <a:ln w="25400" cap="rnd">
              <a:solidFill>
                <a:schemeClr val="accent1"/>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Indicators'!$B$58:$Y$58</c:f>
              <c:numCache>
                <c:formatCode>#,##0.000</c:formatCode>
                <c:ptCount val="24"/>
                <c:pt idx="0">
                  <c:v>6.0999999999999999E-2</c:v>
                </c:pt>
                <c:pt idx="1">
                  <c:v>6.1000000000000623E-2</c:v>
                </c:pt>
                <c:pt idx="2">
                  <c:v>6.0999999999999999E-2</c:v>
                </c:pt>
                <c:pt idx="3">
                  <c:v>6.0999999999999999E-2</c:v>
                </c:pt>
                <c:pt idx="4">
                  <c:v>6.1000000000000311E-2</c:v>
                </c:pt>
                <c:pt idx="5">
                  <c:v>6.1000000000000519E-2</c:v>
                </c:pt>
                <c:pt idx="6">
                  <c:v>6.1000000000000623E-2</c:v>
                </c:pt>
                <c:pt idx="7">
                  <c:v>6.0999999999999582E-2</c:v>
                </c:pt>
                <c:pt idx="8">
                  <c:v>6.1000000000000519E-2</c:v>
                </c:pt>
                <c:pt idx="9">
                  <c:v>6.0999999999999999E-2</c:v>
                </c:pt>
                <c:pt idx="10">
                  <c:v>6.1000000000000207E-2</c:v>
                </c:pt>
                <c:pt idx="11">
                  <c:v>6.1000000000001456E-2</c:v>
                </c:pt>
                <c:pt idx="12">
                  <c:v>6.0999999999999582E-2</c:v>
                </c:pt>
                <c:pt idx="13">
                  <c:v>6.0999999999999791E-2</c:v>
                </c:pt>
                <c:pt idx="14">
                  <c:v>6.099999999999875E-2</c:v>
                </c:pt>
                <c:pt idx="15">
                  <c:v>6.1000000000000311E-2</c:v>
                </c:pt>
                <c:pt idx="16">
                  <c:v>6.1000000000000311E-2</c:v>
                </c:pt>
                <c:pt idx="17">
                  <c:v>6.0999999999999374E-2</c:v>
                </c:pt>
                <c:pt idx="18">
                  <c:v>6.1000000000000519E-2</c:v>
                </c:pt>
                <c:pt idx="19">
                  <c:v>6.0999999999999999E-2</c:v>
                </c:pt>
                <c:pt idx="20">
                  <c:v>6.0999999999999166E-2</c:v>
                </c:pt>
                <c:pt idx="21">
                  <c:v>6.1000000000000623E-2</c:v>
                </c:pt>
                <c:pt idx="22">
                  <c:v>6.099999999999875E-2</c:v>
                </c:pt>
                <c:pt idx="23">
                  <c:v>6.0999999999999582E-2</c:v>
                </c:pt>
              </c:numCache>
            </c:numRef>
          </c:yVal>
          <c:smooth val="1"/>
          <c:extLst>
            <c:ext xmlns:c16="http://schemas.microsoft.com/office/drawing/2014/chart" uri="{C3380CC4-5D6E-409C-BE32-E72D297353CC}">
              <c16:uniqueId val="{00000000-55AD-4D4F-A0AB-9AA22C292A0A}"/>
            </c:ext>
          </c:extLst>
        </c:ser>
        <c:ser>
          <c:idx val="1"/>
          <c:order val="1"/>
          <c:tx>
            <c:strRef>
              <c:f>'Diagnosis Indicators'!$A$59</c:f>
              <c:strCache>
                <c:ptCount val="1"/>
                <c:pt idx="0">
                  <c:v>Kaldorian</c:v>
                </c:pt>
              </c:strCache>
            </c:strRef>
          </c:tx>
          <c:spPr>
            <a:ln w="25400" cap="rnd">
              <a:solidFill>
                <a:schemeClr val="accent2"/>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Indicators'!$B$59:$Y$59</c:f>
              <c:numCache>
                <c:formatCode>#,##0.000</c:formatCode>
                <c:ptCount val="24"/>
                <c:pt idx="0">
                  <c:v>6.0999999999999999E-2</c:v>
                </c:pt>
                <c:pt idx="1">
                  <c:v>6.100000000000104E-2</c:v>
                </c:pt>
                <c:pt idx="2">
                  <c:v>6.0999999999996661E-2</c:v>
                </c:pt>
                <c:pt idx="3">
                  <c:v>6.1000000000000207E-2</c:v>
                </c:pt>
                <c:pt idx="4">
                  <c:v>6.0999999999999999E-2</c:v>
                </c:pt>
                <c:pt idx="5">
                  <c:v>6.0999999999999166E-2</c:v>
                </c:pt>
                <c:pt idx="6">
                  <c:v>6.0999999999999582E-2</c:v>
                </c:pt>
                <c:pt idx="7">
                  <c:v>6.1000000000000311E-2</c:v>
                </c:pt>
                <c:pt idx="8">
                  <c:v>6.0999999999999999E-2</c:v>
                </c:pt>
                <c:pt idx="9">
                  <c:v>6.1000000000000207E-2</c:v>
                </c:pt>
                <c:pt idx="10">
                  <c:v>6.1000000000000311E-2</c:v>
                </c:pt>
                <c:pt idx="11">
                  <c:v>6.0999999999998958E-2</c:v>
                </c:pt>
                <c:pt idx="12">
                  <c:v>6.1000000000000207E-2</c:v>
                </c:pt>
                <c:pt idx="13">
                  <c:v>6.1000000000000623E-2</c:v>
                </c:pt>
                <c:pt idx="14">
                  <c:v>6.1000000000000207E-2</c:v>
                </c:pt>
                <c:pt idx="15">
                  <c:v>6.1000000000000311E-2</c:v>
                </c:pt>
                <c:pt idx="16">
                  <c:v>6.0999999999999374E-2</c:v>
                </c:pt>
                <c:pt idx="17">
                  <c:v>1</c:v>
                </c:pt>
                <c:pt idx="18">
                  <c:v>1</c:v>
                </c:pt>
              </c:numCache>
            </c:numRef>
          </c:yVal>
          <c:smooth val="1"/>
          <c:extLst>
            <c:ext xmlns:c16="http://schemas.microsoft.com/office/drawing/2014/chart" uri="{C3380CC4-5D6E-409C-BE32-E72D297353CC}">
              <c16:uniqueId val="{00000001-55AD-4D4F-A0AB-9AA22C292A0A}"/>
            </c:ext>
          </c:extLst>
        </c:ser>
        <c:ser>
          <c:idx val="5"/>
          <c:order val="2"/>
          <c:tx>
            <c:strRef>
              <c:f>'Diagnosis Indicators'!$A$60</c:f>
              <c:strCache>
                <c:ptCount val="1"/>
                <c:pt idx="0">
                  <c:v>Johansen</c:v>
                </c:pt>
              </c:strCache>
            </c:strRef>
          </c:tx>
          <c:spPr>
            <a:ln w="25400" cap="rnd">
              <a:solidFill>
                <a:schemeClr val="accent3"/>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Indicators'!$B$60:$Y$60</c:f>
              <c:numCache>
                <c:formatCode>#,##0.000</c:formatCode>
                <c:ptCount val="24"/>
                <c:pt idx="0">
                  <c:v>6.0999999999999999E-2</c:v>
                </c:pt>
                <c:pt idx="1">
                  <c:v>6.1000000000000519E-2</c:v>
                </c:pt>
                <c:pt idx="2">
                  <c:v>6.099999999999875E-2</c:v>
                </c:pt>
                <c:pt idx="3">
                  <c:v>6.1000000000000207E-2</c:v>
                </c:pt>
                <c:pt idx="4">
                  <c:v>6.099999999999875E-2</c:v>
                </c:pt>
                <c:pt idx="5">
                  <c:v>6.1000000000000519E-2</c:v>
                </c:pt>
                <c:pt idx="6">
                  <c:v>6.099999999999875E-2</c:v>
                </c:pt>
                <c:pt idx="7">
                  <c:v>6.1000000000000207E-2</c:v>
                </c:pt>
                <c:pt idx="8">
                  <c:v>6.0999999999999582E-2</c:v>
                </c:pt>
                <c:pt idx="9">
                  <c:v>6.0999999999999582E-2</c:v>
                </c:pt>
                <c:pt idx="10">
                  <c:v>6.0999999999999999E-2</c:v>
                </c:pt>
                <c:pt idx="11">
                  <c:v>6.0999999999999791E-2</c:v>
                </c:pt>
                <c:pt idx="12">
                  <c:v>6.099999999999875E-2</c:v>
                </c:pt>
                <c:pt idx="13">
                  <c:v>6.0999999999999374E-2</c:v>
                </c:pt>
                <c:pt idx="14">
                  <c:v>6.0999999999999999E-2</c:v>
                </c:pt>
                <c:pt idx="15">
                  <c:v>6.1000000000000623E-2</c:v>
                </c:pt>
                <c:pt idx="16">
                  <c:v>6.0999999999999374E-2</c:v>
                </c:pt>
                <c:pt idx="17">
                  <c:v>6.0999999999998958E-2</c:v>
                </c:pt>
                <c:pt idx="18">
                  <c:v>6.0999999999999582E-2</c:v>
                </c:pt>
                <c:pt idx="19">
                  <c:v>6.0999999999999582E-2</c:v>
                </c:pt>
                <c:pt idx="20">
                  <c:v>6.1000000000000519E-2</c:v>
                </c:pt>
                <c:pt idx="21">
                  <c:v>6.0999999999999582E-2</c:v>
                </c:pt>
                <c:pt idx="22">
                  <c:v>6.0999999999999791E-2</c:v>
                </c:pt>
                <c:pt idx="23">
                  <c:v>1</c:v>
                </c:pt>
              </c:numCache>
            </c:numRef>
          </c:yVal>
          <c:smooth val="1"/>
          <c:extLst xmlns:c15="http://schemas.microsoft.com/office/drawing/2012/chart">
            <c:ext xmlns:c16="http://schemas.microsoft.com/office/drawing/2014/chart" uri="{C3380CC4-5D6E-409C-BE32-E72D297353CC}">
              <c16:uniqueId val="{00000002-55AD-4D4F-A0AB-9AA22C292A0A}"/>
            </c:ext>
          </c:extLst>
        </c:ser>
        <c:ser>
          <c:idx val="4"/>
          <c:order val="3"/>
          <c:tx>
            <c:strRef>
              <c:f>'Diagnosis Indicators'!$A$61</c:f>
              <c:strCache>
                <c:ptCount val="1"/>
                <c:pt idx="0">
                  <c:v>Keynes-Marshall</c:v>
                </c:pt>
              </c:strCache>
            </c:strRef>
          </c:tx>
          <c:spPr>
            <a:ln w="25400" cap="rnd">
              <a:solidFill>
                <a:schemeClr val="accent4"/>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Indicators'!$B$61:$Y$61</c:f>
              <c:numCache>
                <c:formatCode>#,##0.000</c:formatCode>
                <c:ptCount val="24"/>
                <c:pt idx="0">
                  <c:v>6.0999999999999999E-2</c:v>
                </c:pt>
                <c:pt idx="1">
                  <c:v>3.0711699400957682E-2</c:v>
                </c:pt>
                <c:pt idx="2">
                  <c:v>-2.4047936345412135E-3</c:v>
                </c:pt>
                <c:pt idx="3">
                  <c:v>-3.9036118786639692E-2</c:v>
                </c:pt>
                <c:pt idx="4">
                  <c:v>-8.0132788706387653E-2</c:v>
                </c:pt>
                <c:pt idx="5">
                  <c:v>-0.12707342773418415</c:v>
                </c:pt>
                <c:pt idx="6">
                  <c:v>-0.18197270151700812</c:v>
                </c:pt>
                <c:pt idx="7">
                  <c:v>-0.24830357989652058</c:v>
                </c:pt>
                <c:pt idx="8">
                  <c:v>-0.33227857956629409</c:v>
                </c:pt>
                <c:pt idx="9">
                  <c:v>-0.44634775367850538</c:v>
                </c:pt>
                <c:pt idx="10">
                  <c:v>-0.61992635828238485</c:v>
                </c:pt>
                <c:pt idx="11">
                  <c:v>-0.94475380633667472</c:v>
                </c:pt>
                <c:pt idx="12">
                  <c:v>-1.9875607714190022</c:v>
                </c:pt>
                <c:pt idx="13">
                  <c:v>1</c:v>
                </c:pt>
                <c:pt idx="14">
                  <c:v>1</c:v>
                </c:pt>
                <c:pt idx="15">
                  <c:v>1</c:v>
                </c:pt>
              </c:numCache>
            </c:numRef>
          </c:yVal>
          <c:smooth val="1"/>
          <c:extLst>
            <c:ext xmlns:c16="http://schemas.microsoft.com/office/drawing/2014/chart" uri="{C3380CC4-5D6E-409C-BE32-E72D297353CC}">
              <c16:uniqueId val="{00000003-55AD-4D4F-A0AB-9AA22C292A0A}"/>
            </c:ext>
          </c:extLst>
        </c:ser>
        <c:ser>
          <c:idx val="2"/>
          <c:order val="4"/>
          <c:tx>
            <c:strRef>
              <c:f>'Diagnosis Indicators'!$A$62</c:f>
              <c:strCache>
                <c:ptCount val="1"/>
                <c:pt idx="0">
                  <c:v>Keynesian</c:v>
                </c:pt>
              </c:strCache>
            </c:strRef>
          </c:tx>
          <c:spPr>
            <a:ln w="25400" cap="rnd">
              <a:solidFill>
                <a:schemeClr val="accent5"/>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Indicators'!$B$62:$Y$62</c:f>
              <c:numCache>
                <c:formatCode>#,##0.000</c:formatCode>
                <c:ptCount val="24"/>
                <c:pt idx="0">
                  <c:v>6.0999999999999999E-2</c:v>
                </c:pt>
                <c:pt idx="1">
                  <c:v>0.10063001816195999</c:v>
                </c:pt>
                <c:pt idx="2">
                  <c:v>0.14162900769245654</c:v>
                </c:pt>
                <c:pt idx="3">
                  <c:v>0.18396446563259186</c:v>
                </c:pt>
                <c:pt idx="4">
                  <c:v>0.22757425260819678</c:v>
                </c:pt>
                <c:pt idx="5">
                  <c:v>0.27236020207929901</c:v>
                </c:pt>
                <c:pt idx="6">
                  <c:v>0.31817968763056304</c:v>
                </c:pt>
                <c:pt idx="7">
                  <c:v>0.36483246382149204</c:v>
                </c:pt>
                <c:pt idx="8">
                  <c:v>0.41203535016861731</c:v>
                </c:pt>
                <c:pt idx="9">
                  <c:v>0.45935792150263943</c:v>
                </c:pt>
                <c:pt idx="10">
                  <c:v>0.5060296187311184</c:v>
                </c:pt>
                <c:pt idx="11">
                  <c:v>0.55019140031063429</c:v>
                </c:pt>
                <c:pt idx="12">
                  <c:v>1</c:v>
                </c:pt>
                <c:pt idx="13">
                  <c:v>1</c:v>
                </c:pt>
              </c:numCache>
            </c:numRef>
          </c:yVal>
          <c:smooth val="1"/>
          <c:extLst>
            <c:ext xmlns:c16="http://schemas.microsoft.com/office/drawing/2014/chart" uri="{C3380CC4-5D6E-409C-BE32-E72D297353CC}">
              <c16:uniqueId val="{00000004-55AD-4D4F-A0AB-9AA22C292A0A}"/>
            </c:ext>
          </c:extLst>
        </c:ser>
        <c:ser>
          <c:idx val="3"/>
          <c:order val="5"/>
          <c:tx>
            <c:strRef>
              <c:f>'Diagnosis Indicators'!$A$63</c:f>
              <c:strCache>
                <c:ptCount val="1"/>
                <c:pt idx="0">
                  <c:v>Keynes-Kaldor</c:v>
                </c:pt>
              </c:strCache>
            </c:strRef>
          </c:tx>
          <c:spPr>
            <a:ln w="25400" cap="rnd">
              <a:solidFill>
                <a:schemeClr val="accent6"/>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#,##0.000</c:formatCode>
                <c:ptCount val="24"/>
                <c:pt idx="0">
                  <c:v>6.0999999999999999E-2</c:v>
                </c:pt>
                <c:pt idx="1">
                  <c:v>5.0213538710312089E-2</c:v>
                </c:pt>
                <c:pt idx="2">
                  <c:v>4.0334920311660694E-2</c:v>
                </c:pt>
                <c:pt idx="3">
                  <c:v>3.1458590397197145E-2</c:v>
                </c:pt>
                <c:pt idx="4">
                  <c:v>2.3713971446449468E-2</c:v>
                </c:pt>
                <c:pt idx="5">
                  <c:v>1.7274735662366474E-2</c:v>
                </c:pt>
                <c:pt idx="6">
                  <c:v>1.2368202349978825E-2</c:v>
                </c:pt>
                <c:pt idx="7">
                  <c:v>9.2937826532572959E-3</c:v>
                </c:pt>
                <c:pt idx="8">
                  <c:v>8.4460689008354559E-3</c:v>
                </c:pt>
                <c:pt idx="9">
                  <c:v>1.0351648472775379E-2</c:v>
                </c:pt>
                <c:pt idx="10">
                  <c:v>1.5728043623839123E-2</c:v>
                </c:pt>
                <c:pt idx="11">
                  <c:v>2.5583578382540828E-2</c:v>
                </c:pt>
                <c:pt idx="12">
                  <c:v>4.1396538126951536E-2</c:v>
                </c:pt>
                <c:pt idx="13">
                  <c:v>6.5450748381382554E-2</c:v>
                </c:pt>
                <c:pt idx="14">
                  <c:v>0.10145903798632064</c:v>
                </c:pt>
                <c:pt idx="15">
                  <c:v>0.15557271412367901</c:v>
                </c:pt>
                <c:pt idx="16">
                  <c:v>0.23732273746397345</c:v>
                </c:pt>
                <c:pt idx="17">
                  <c:v>0.35877366402071237</c:v>
                </c:pt>
                <c:pt idx="18">
                  <c:v>1</c:v>
                </c:pt>
              </c:numCache>
            </c:numRef>
          </c:yVal>
          <c:smooth val="1"/>
          <c:extLst>
            <c:ext xmlns:c16="http://schemas.microsoft.com/office/drawing/2014/chart" uri="{C3380CC4-5D6E-409C-BE32-E72D297353CC}">
              <c16:uniqueId val="{00000005-55AD-4D4F-A0AB-9AA22C292A0A}"/>
            </c:ext>
          </c:extLst>
        </c:ser>
        <c:ser>
          <c:idx val="7"/>
          <c:order val="6"/>
          <c:tx>
            <c:strRef>
              <c:f>'Diagnosis Indicators'!$A$64</c:f>
              <c:strCache>
                <c:ptCount val="1"/>
                <c:pt idx="0">
                  <c:v>Neo-K1</c:v>
                </c:pt>
              </c:strCache>
            </c:strRef>
          </c:tx>
          <c:spPr>
            <a:ln w="25400" cap="rnd">
              <a:solidFill>
                <a:schemeClr val="accent5"/>
              </a:solidFill>
              <a:prstDash val="dash"/>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#,##0.000</c:formatCode>
                <c:ptCount val="24"/>
                <c:pt idx="0">
                  <c:v>6.0999999999999999E-2</c:v>
                </c:pt>
                <c:pt idx="1">
                  <c:v>6.540368803740583E-2</c:v>
                </c:pt>
                <c:pt idx="2">
                  <c:v>7.0546725894759743E-2</c:v>
                </c:pt>
                <c:pt idx="3">
                  <c:v>7.6596955987283943E-2</c:v>
                </c:pt>
                <c:pt idx="4">
                  <c:v>8.3769296949686864E-2</c:v>
                </c:pt>
                <c:pt idx="5">
                  <c:v>9.2340581718831832E-2</c:v>
                </c:pt>
                <c:pt idx="6">
                  <c:v>0.10267007773292525</c:v>
                </c:pt>
                <c:pt idx="7">
                  <c:v>0.11522542222128765</c:v>
                </c:pt>
                <c:pt idx="8">
                  <c:v>0.13061633938448619</c:v>
                </c:pt>
                <c:pt idx="9">
                  <c:v>0.14963681790312955</c:v>
                </c:pt>
                <c:pt idx="10">
                  <c:v>0.17331058703330654</c:v>
                </c:pt>
                <c:pt idx="11">
                  <c:v>0.20293444741576805</c:v>
                </c:pt>
                <c:pt idx="12">
                  <c:v>0.2400990306561388</c:v>
                </c:pt>
                <c:pt idx="13">
                  <c:v>0.28665626953644707</c:v>
                </c:pt>
                <c:pt idx="14">
                  <c:v>0.34459667047760567</c:v>
                </c:pt>
                <c:pt idx="15">
                  <c:v>0.41581837911876351</c:v>
                </c:pt>
                <c:pt idx="16">
                  <c:v>0.50182729526763903</c:v>
                </c:pt>
                <c:pt idx="17">
                  <c:v>0.60347505727006001</c:v>
                </c:pt>
                <c:pt idx="18">
                  <c:v>0.72085239020938063</c:v>
                </c:pt>
                <c:pt idx="19">
                  <c:v>0.85337553722547921</c:v>
                </c:pt>
                <c:pt idx="20">
                  <c:v>0.88161113494699972</c:v>
                </c:pt>
                <c:pt idx="21">
                  <c:v>0.91040161032544087</c:v>
                </c:pt>
                <c:pt idx="22">
                  <c:v>0.93973682479547982</c:v>
                </c:pt>
                <c:pt idx="23">
                  <c:v>0.96960644712534627</c:v>
                </c:pt>
              </c:numCache>
            </c:numRef>
          </c:yVal>
          <c:smooth val="1"/>
          <c:extLst>
            <c:ext xmlns:c16="http://schemas.microsoft.com/office/drawing/2014/chart" uri="{C3380CC4-5D6E-409C-BE32-E72D297353CC}">
              <c16:uniqueId val="{00000006-55AD-4D4F-A0AB-9AA22C292A0A}"/>
            </c:ext>
          </c:extLst>
        </c:ser>
        <c:ser>
          <c:idx val="6"/>
          <c:order val="7"/>
          <c:tx>
            <c:strRef>
              <c:f>'Diagnosis Indicators'!$A$65</c:f>
              <c:strCache>
                <c:ptCount val="1"/>
                <c:pt idx="0">
                  <c:v>Neo-K2</c:v>
                </c:pt>
              </c:strCache>
            </c:strRef>
          </c:tx>
          <c:spPr>
            <a:ln w="25400" cap="rnd">
              <a:solidFill>
                <a:schemeClr val="accent5"/>
              </a:solidFill>
              <a:prstDash val="lgDashDotDot"/>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#,##0.000</c:formatCode>
                <c:ptCount val="24"/>
                <c:pt idx="0">
                  <c:v>6.0999999999999999E-2</c:v>
                </c:pt>
                <c:pt idx="1">
                  <c:v>6.6584460509531346E-2</c:v>
                </c:pt>
                <c:pt idx="2">
                  <c:v>7.320491194902129E-2</c:v>
                </c:pt>
                <c:pt idx="3">
                  <c:v>8.1119260071033691E-2</c:v>
                </c:pt>
                <c:pt idx="4">
                  <c:v>9.065739138685093E-2</c:v>
                </c:pt>
                <c:pt idx="5">
                  <c:v>0.10224163324260194</c:v>
                </c:pt>
                <c:pt idx="6">
                  <c:v>0.11641002043155835</c:v>
                </c:pt>
                <c:pt idx="7">
                  <c:v>0.13383392981347919</c:v>
                </c:pt>
                <c:pt idx="8">
                  <c:v>0.15532796614259209</c:v>
                </c:pt>
                <c:pt idx="9">
                  <c:v>0.18183103895594971</c:v>
                </c:pt>
                <c:pt idx="10">
                  <c:v>0.21433745159046053</c:v>
                </c:pt>
                <c:pt idx="11">
                  <c:v>0.25375007114295245</c:v>
                </c:pt>
                <c:pt idx="12">
                  <c:v>0.30064326937860048</c:v>
                </c:pt>
                <c:pt idx="13">
                  <c:v>0.35496479286146759</c:v>
                </c:pt>
                <c:pt idx="14">
                  <c:v>0.41579455819683303</c:v>
                </c:pt>
                <c:pt idx="15">
                  <c:v>0.48143367511313484</c:v>
                </c:pt>
                <c:pt idx="16">
                  <c:v>0.55026532473635603</c:v>
                </c:pt>
                <c:pt idx="17">
                  <c:v>0.62269374909897746</c:v>
                </c:pt>
                <c:pt idx="18">
                  <c:v>0.70369239025212282</c:v>
                </c:pt>
                <c:pt idx="19">
                  <c:v>0.80719705289418875</c:v>
                </c:pt>
                <c:pt idx="20">
                  <c:v>0.83352931640168038</c:v>
                </c:pt>
                <c:pt idx="21">
                  <c:v>0.86315916733982312</c:v>
                </c:pt>
                <c:pt idx="22">
                  <c:v>0.89743200654677291</c:v>
                </c:pt>
                <c:pt idx="23">
                  <c:v>0.93907566303874601</c:v>
                </c:pt>
              </c:numCache>
            </c:numRef>
          </c:yVal>
          <c:smooth val="1"/>
          <c:extLst>
            <c:ext xmlns:c16="http://schemas.microsoft.com/office/drawing/2014/chart" uri="{C3380CC4-5D6E-409C-BE32-E72D297353CC}">
              <c16:uniqueId val="{00000007-55AD-4D4F-A0AB-9AA22C292A0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2"/>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Unemployment rate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Graphique1">
    <tabColor theme="1" tint="0.14999847407452621"/>
  </sheetPr>
  <sheetViews>
    <sheetView zoomScale="7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Graphique2">
    <tabColor theme="1" tint="0.14999847407452621"/>
  </sheetPr>
  <sheetViews>
    <sheetView zoomScale="70"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Graphique3">
    <tabColor theme="1" tint="0.14999847407452621"/>
  </sheetPr>
  <sheetViews>
    <sheetView zoomScale="70"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5">
    <tabColor theme="1" tint="0.14999847407452621"/>
  </sheetPr>
  <sheetViews>
    <sheetView zoomScale="70"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ique4">
    <tabColor theme="1" tint="0.14999847407452621"/>
  </sheetPr>
  <sheetViews>
    <sheetView zoomScale="70" workbookViewId="0"/>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100-000000000000}">
  <sheetPr codeName="Graphique6">
    <tabColor theme="1" tint="0.14999847407452621"/>
  </sheetPr>
  <sheetViews>
    <sheetView zoomScale="7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louis\OneDrive\Documents\Travail\Papers\KLEM\KLEM%20-%20Closure%2010avr24%20sG=1-Elast.xlsm" TargetMode="External"/><Relationship Id="rId1" Type="http://schemas.openxmlformats.org/officeDocument/2006/relationships/externalLinkPath" Target="file:///C:\Users\louis\OneDrive\Documents\Travail\Papers\KLEM\KLEM%20-%20Closure%2010avr24%20sG=1-Ela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libration"/>
      <sheetName val="Model"/>
      <sheetName val="Results"/>
      <sheetName val="GraphU"/>
      <sheetName val="NeoClassical"/>
      <sheetName val="Johansen"/>
      <sheetName val="Kaldorian"/>
      <sheetName val="Utility_export"/>
      <sheetName val="Keynes-M"/>
      <sheetName val="Keynesian"/>
      <sheetName val="Keynes-K"/>
      <sheetName val="Neo-K1"/>
      <sheetName val="Neo-K2"/>
      <sheetName val="NC heteroS"/>
      <sheetName val="Keynes-I"/>
      <sheetName val="Diagnosis Indicators"/>
      <sheetName val="Tax_export"/>
      <sheetName val="PShare_export"/>
      <sheetName val="Utility-Export"/>
      <sheetName val="GraphPi"/>
      <sheetName val="G Tax"/>
    </sheetNames>
    <sheetDataSet>
      <sheetData sheetId="0"/>
      <sheetData sheetId="1"/>
      <sheetData sheetId="2"/>
      <sheetData sheetId="3" refreshError="1"/>
      <sheetData sheetId="4"/>
      <sheetData sheetId="5"/>
      <sheetData sheetId="6"/>
      <sheetData sheetId="7"/>
      <sheetData sheetId="8"/>
      <sheetData sheetId="9"/>
      <sheetData sheetId="10"/>
      <sheetData sheetId="11"/>
      <sheetData sheetId="12"/>
      <sheetData sheetId="13"/>
      <sheetData sheetId="14"/>
      <sheetData sheetId="15">
        <row r="62">
          <cell r="B62">
            <v>0</v>
          </cell>
          <cell r="C62">
            <v>0.05</v>
          </cell>
          <cell r="D62">
            <v>0.1</v>
          </cell>
          <cell r="E62">
            <v>0.15000000000000002</v>
          </cell>
          <cell r="F62">
            <v>0.2</v>
          </cell>
          <cell r="G62">
            <v>0.25</v>
          </cell>
          <cell r="H62">
            <v>0.3</v>
          </cell>
          <cell r="I62">
            <v>0.35</v>
          </cell>
          <cell r="J62">
            <v>0.39999999999999997</v>
          </cell>
          <cell r="K62">
            <v>0.44999999999999996</v>
          </cell>
          <cell r="L62">
            <v>0.49999999999999994</v>
          </cell>
          <cell r="M62">
            <v>0.54999999999999993</v>
          </cell>
          <cell r="N62">
            <v>0.6</v>
          </cell>
          <cell r="O62">
            <v>0.65</v>
          </cell>
          <cell r="P62">
            <v>0.70000000000000007</v>
          </cell>
          <cell r="Q62">
            <v>0.75000000000000011</v>
          </cell>
          <cell r="R62">
            <v>0.80000000000000016</v>
          </cell>
          <cell r="S62">
            <v>0.8500000000000002</v>
          </cell>
          <cell r="T62">
            <v>0.90000000000000024</v>
          </cell>
          <cell r="U62">
            <v>0.95000000000000029</v>
          </cell>
          <cell r="V62">
            <v>0.9600000000000003</v>
          </cell>
          <cell r="W62">
            <v>0.97000000000000031</v>
          </cell>
          <cell r="X62">
            <v>0.98000000000000032</v>
          </cell>
          <cell r="Y62">
            <v>0.99000000000000032</v>
          </cell>
        </row>
        <row r="63">
          <cell r="A63" t="str">
            <v>Neoclassical</v>
          </cell>
        </row>
        <row r="64">
          <cell r="A64" t="str">
            <v>Kaldorian</v>
          </cell>
        </row>
        <row r="65">
          <cell r="A65" t="str">
            <v>Johansen</v>
          </cell>
        </row>
        <row r="66">
          <cell r="A66" t="str">
            <v>Keynes-Kaldor</v>
          </cell>
        </row>
        <row r="67">
          <cell r="A67" t="str">
            <v>Keynes-Marshall</v>
          </cell>
        </row>
        <row r="68">
          <cell r="A68" t="str">
            <v>Keynesian</v>
          </cell>
        </row>
        <row r="69">
          <cell r="A69" t="str">
            <v>Neo-K1</v>
          </cell>
        </row>
        <row r="70">
          <cell r="A70" t="str">
            <v>Neo-K2</v>
          </cell>
        </row>
      </sheetData>
      <sheetData sheetId="16"/>
      <sheetData sheetId="17"/>
      <sheetData sheetId="18"/>
      <sheetData sheetId="19" refreshError="1"/>
      <sheetData sheetId="20" refreshError="1"/>
    </sheetDataSet>
  </externalBook>
</externalLink>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78" zoomScaleNormal="100" workbookViewId="0">
      <selection activeCell="E103" sqref="E103"/>
    </sheetView>
  </sheetViews>
  <sheetFormatPr baseColWidth="10" defaultColWidth="12" defaultRowHeight="10" x14ac:dyDescent="0.2"/>
  <cols>
    <col min="3" max="3" width="16.33203125" customWidth="1"/>
  </cols>
  <sheetData>
    <row r="1" spans="2:18" x14ac:dyDescent="0.2">
      <c r="B1" t="s">
        <v>180</v>
      </c>
    </row>
    <row r="2" spans="2:18" x14ac:dyDescent="0.2">
      <c r="B2" s="1"/>
      <c r="C2" s="2" t="s">
        <v>24</v>
      </c>
      <c r="D2" s="3" t="s">
        <v>25</v>
      </c>
      <c r="E2" s="2" t="s">
        <v>6</v>
      </c>
      <c r="F2" s="3" t="s">
        <v>7</v>
      </c>
      <c r="G2" s="3" t="s">
        <v>8</v>
      </c>
      <c r="H2" s="132" t="s">
        <v>0</v>
      </c>
      <c r="I2" s="1"/>
      <c r="K2" s="1"/>
      <c r="L2" s="2" t="s">
        <v>24</v>
      </c>
      <c r="M2" s="3" t="s">
        <v>25</v>
      </c>
      <c r="N2" s="4" t="s">
        <v>6</v>
      </c>
      <c r="O2" s="5" t="s">
        <v>7</v>
      </c>
      <c r="P2" s="5" t="s">
        <v>8</v>
      </c>
      <c r="Q2" s="6" t="s">
        <v>0</v>
      </c>
      <c r="R2" s="1"/>
    </row>
    <row r="3" spans="2:18" ht="10.5" x14ac:dyDescent="0.25">
      <c r="B3" s="2" t="s">
        <v>24</v>
      </c>
      <c r="C3" s="133">
        <v>13356525.920999993</v>
      </c>
      <c r="D3" s="134">
        <v>398781.47400000016</v>
      </c>
      <c r="E3" s="133">
        <v>6637565.1090000011</v>
      </c>
      <c r="F3" s="133">
        <v>3330668.2879999997</v>
      </c>
      <c r="G3" s="133">
        <v>3247244.4950000001</v>
      </c>
      <c r="H3" s="135">
        <v>3195047.6039999989</v>
      </c>
      <c r="I3" s="9">
        <f>SUM(C3:H3)</f>
        <v>30165832.890999991</v>
      </c>
      <c r="K3" s="2" t="s">
        <v>24</v>
      </c>
      <c r="L3" s="48">
        <f t="array" ref="L3:M4">pIC*alpha*Y</f>
        <v>13356525.920999993</v>
      </c>
      <c r="M3" s="49">
        <v>398781.47400000016</v>
      </c>
      <c r="N3" s="50">
        <f t="array" ref="N3:N4">TRANSPOSE(pC*Consumption)</f>
        <v>6637565.1090000011</v>
      </c>
      <c r="O3" s="51">
        <f t="array" ref="O3:O4">TRANSPOSE(pG*G)</f>
        <v>3330668.2879999997</v>
      </c>
      <c r="P3" s="51">
        <f t="array" ref="P3:P4">TRANSPOSE(pI*I)</f>
        <v>3247244.4950000001</v>
      </c>
      <c r="Q3" s="57">
        <f t="array" ref="Q3:Q4">TRANSPOSE(pX*X)</f>
        <v>3195047.6039999989</v>
      </c>
      <c r="R3" s="9">
        <f>SUM(L3:Q3)</f>
        <v>30165832.890999991</v>
      </c>
    </row>
    <row r="4" spans="2:18" ht="10.5" x14ac:dyDescent="0.25">
      <c r="B4" s="10" t="s">
        <v>25</v>
      </c>
      <c r="C4" s="136">
        <v>599670.88199999998</v>
      </c>
      <c r="D4" s="137">
        <v>434900.03099999996</v>
      </c>
      <c r="E4" s="136">
        <v>382100.58199999394</v>
      </c>
      <c r="F4" s="136">
        <v>0</v>
      </c>
      <c r="G4" s="136">
        <v>0</v>
      </c>
      <c r="H4" s="138">
        <v>91012.690000004077</v>
      </c>
      <c r="I4" s="11">
        <f>SUM(C4:H4)</f>
        <v>1507684.184999998</v>
      </c>
      <c r="K4" s="10" t="s">
        <v>25</v>
      </c>
      <c r="L4" s="52">
        <v>599670.88199999998</v>
      </c>
      <c r="M4" s="53">
        <v>434900.03099999996</v>
      </c>
      <c r="N4" s="52">
        <v>382100.58199999394</v>
      </c>
      <c r="O4" s="54">
        <v>0</v>
      </c>
      <c r="P4" s="54">
        <v>0</v>
      </c>
      <c r="Q4" s="46">
        <v>91012.690000004077</v>
      </c>
      <c r="R4" s="11">
        <f>SUM(L4:Q4)</f>
        <v>1507684.184999998</v>
      </c>
    </row>
    <row r="5" spans="2:18" x14ac:dyDescent="0.2">
      <c r="B5" s="12" t="s">
        <v>1</v>
      </c>
      <c r="C5" s="133">
        <v>5036295.3101960644</v>
      </c>
      <c r="D5" s="139">
        <v>74905.331803938272</v>
      </c>
      <c r="E5" s="97"/>
      <c r="F5" s="97"/>
      <c r="G5" s="97"/>
      <c r="H5" s="97"/>
      <c r="I5" s="1"/>
      <c r="K5" s="12" t="s">
        <v>1</v>
      </c>
      <c r="L5" s="48">
        <f t="array" ref="L5:M5">w*Labour</f>
        <v>5036295.3101960644</v>
      </c>
      <c r="M5" s="49">
        <v>74905.331803938272</v>
      </c>
      <c r="N5" s="13"/>
      <c r="O5" s="13"/>
      <c r="P5" s="13"/>
      <c r="Q5" s="13"/>
      <c r="R5" s="1"/>
    </row>
    <row r="6" spans="2:18" x14ac:dyDescent="0.2">
      <c r="B6" s="14" t="s">
        <v>9</v>
      </c>
      <c r="C6" s="7">
        <v>2301604.2068039379</v>
      </c>
      <c r="D6" s="140">
        <v>34231.993196061703</v>
      </c>
      <c r="E6" s="97"/>
      <c r="F6" s="97"/>
      <c r="G6" s="97"/>
      <c r="H6" s="97"/>
      <c r="I6" s="1"/>
      <c r="K6" s="14" t="s">
        <v>9</v>
      </c>
      <c r="L6" s="50">
        <f t="array" ref="L6:M6">w*tauL*Labour</f>
        <v>2301604.2068039374</v>
      </c>
      <c r="M6" s="55">
        <v>34231.993196061703</v>
      </c>
      <c r="N6" s="13"/>
      <c r="O6" s="13"/>
      <c r="P6" s="13"/>
      <c r="Q6" s="13"/>
      <c r="R6" s="1"/>
    </row>
    <row r="7" spans="2:18" x14ac:dyDescent="0.2">
      <c r="B7" s="196" t="s">
        <v>178</v>
      </c>
      <c r="C7" s="7">
        <v>137715.65500000006</v>
      </c>
      <c r="D7" s="140">
        <v>20719.463999999996</v>
      </c>
      <c r="E7" s="97"/>
      <c r="F7" s="98" t="s">
        <v>24</v>
      </c>
      <c r="G7" s="99" t="s">
        <v>25</v>
      </c>
      <c r="H7" s="97"/>
      <c r="I7" s="1"/>
      <c r="K7" s="14" t="s">
        <v>10</v>
      </c>
      <c r="L7" s="50">
        <f t="array" ref="L7:M7">tauY*pY/(1+tauY)*Y</f>
        <v>137715.65500000006</v>
      </c>
      <c r="M7" s="55">
        <v>20719.463999999996</v>
      </c>
      <c r="N7" s="13"/>
      <c r="O7" s="13"/>
      <c r="P7" s="108"/>
      <c r="Q7" s="13"/>
      <c r="R7" s="1"/>
    </row>
    <row r="8" spans="2:18" x14ac:dyDescent="0.2">
      <c r="B8" s="14" t="s">
        <v>2</v>
      </c>
      <c r="C8" s="136">
        <v>6425198.1590000018</v>
      </c>
      <c r="D8" s="141">
        <v>273229.1540000001</v>
      </c>
      <c r="E8" s="97"/>
      <c r="F8" s="101">
        <f>SUM(C3:G3)</f>
        <v>26970785.286999993</v>
      </c>
      <c r="G8" s="102">
        <f>SUM(C4:G4)</f>
        <v>1416671.4949999938</v>
      </c>
      <c r="H8" s="97" t="s">
        <v>140</v>
      </c>
      <c r="I8" s="1"/>
      <c r="K8" s="14" t="s">
        <v>2</v>
      </c>
      <c r="L8" s="50">
        <f t="array" ref="L8:M8">pK*K</f>
        <v>6425198.1590000018</v>
      </c>
      <c r="M8" s="55">
        <v>273229.1540000001</v>
      </c>
      <c r="N8" s="13"/>
      <c r="O8" s="13"/>
      <c r="P8" s="13"/>
      <c r="Q8" s="13"/>
      <c r="R8" s="1"/>
    </row>
    <row r="9" spans="2:18" x14ac:dyDescent="0.2">
      <c r="B9" s="2" t="s">
        <v>3</v>
      </c>
      <c r="C9" s="142">
        <v>1886393.7399999965</v>
      </c>
      <c r="D9" s="143">
        <v>262787.11299999768</v>
      </c>
      <c r="E9" s="97"/>
      <c r="F9" s="97"/>
      <c r="G9" s="97"/>
      <c r="H9" s="97"/>
      <c r="I9" s="1"/>
      <c r="K9" s="2" t="s">
        <v>3</v>
      </c>
      <c r="L9" s="118">
        <f t="array" ref="L9:M9">pW*M</f>
        <v>1886393.7399999965</v>
      </c>
      <c r="M9" s="119">
        <v>262787.11299999768</v>
      </c>
      <c r="N9" s="13"/>
      <c r="O9" s="13"/>
      <c r="P9" s="108"/>
      <c r="Q9" s="13"/>
      <c r="R9" s="1"/>
    </row>
    <row r="10" spans="2:18" x14ac:dyDescent="0.2">
      <c r="B10" s="185" t="s">
        <v>134</v>
      </c>
      <c r="C10" s="7">
        <v>422429.01700000005</v>
      </c>
      <c r="D10" s="131">
        <v>8129.6240000000016</v>
      </c>
      <c r="E10" s="97"/>
      <c r="F10" s="97"/>
      <c r="G10" s="97"/>
      <c r="H10" s="97"/>
      <c r="I10" s="1"/>
      <c r="K10" s="185" t="s">
        <v>134</v>
      </c>
      <c r="L10" s="56">
        <f t="array" ref="L10:M10">tauTS*pS*S</f>
        <v>422429.01700000011</v>
      </c>
      <c r="M10" s="57">
        <v>8129.6240000000025</v>
      </c>
      <c r="N10" s="13"/>
      <c r="O10" s="13"/>
      <c r="P10" s="13"/>
      <c r="Q10" s="13"/>
      <c r="R10" s="1"/>
    </row>
    <row r="11" spans="2:18" x14ac:dyDescent="0.2">
      <c r="B11" s="15"/>
      <c r="C11" s="7">
        <v>0</v>
      </c>
      <c r="D11" s="131">
        <v>0</v>
      </c>
      <c r="E11" s="97"/>
      <c r="F11" s="98" t="s">
        <v>24</v>
      </c>
      <c r="G11" s="99" t="s">
        <v>25</v>
      </c>
      <c r="H11" s="97"/>
      <c r="I11" s="1"/>
      <c r="K11" s="15"/>
      <c r="L11" s="58"/>
      <c r="M11" s="46"/>
      <c r="N11" s="13"/>
      <c r="O11" s="47" t="s">
        <v>24</v>
      </c>
      <c r="P11" s="16" t="s">
        <v>25</v>
      </c>
      <c r="Q11" s="13"/>
      <c r="R11" s="1"/>
    </row>
    <row r="12" spans="2:18" ht="10.5" x14ac:dyDescent="0.25">
      <c r="B12" s="1"/>
      <c r="C12" s="104">
        <f>SUM(C3:C11)</f>
        <v>30165832.890999991</v>
      </c>
      <c r="D12" s="105">
        <f>SUM(D3:D11)</f>
        <v>1507684.184999998</v>
      </c>
      <c r="E12" s="100"/>
      <c r="F12" s="101">
        <f>SUM(C3:C8)</f>
        <v>27857010.133999996</v>
      </c>
      <c r="G12" s="102">
        <f>SUM(D3:D8)</f>
        <v>1236767.4480000003</v>
      </c>
      <c r="H12" s="103"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3"/>
      <c r="D13" s="103"/>
      <c r="E13" s="97"/>
      <c r="F13" s="97"/>
      <c r="G13" s="97"/>
      <c r="H13" s="103"/>
      <c r="I13" s="1"/>
      <c r="K13" s="1"/>
      <c r="L13" s="1"/>
      <c r="M13" s="1"/>
      <c r="N13" s="13"/>
      <c r="O13" s="13"/>
      <c r="P13" s="13"/>
      <c r="Q13" s="1"/>
      <c r="R13" s="1"/>
    </row>
    <row r="14" spans="2:18" ht="10.5" x14ac:dyDescent="0.25">
      <c r="B14" s="22" t="s">
        <v>30</v>
      </c>
      <c r="C14" s="201">
        <f>I3-C12</f>
        <v>0</v>
      </c>
      <c r="D14" s="201">
        <f>I4-D12</f>
        <v>0</v>
      </c>
      <c r="E14" s="97"/>
      <c r="F14" s="97"/>
      <c r="G14" s="97"/>
      <c r="H14" s="97"/>
      <c r="I14" s="1"/>
      <c r="K14" s="22" t="s">
        <v>30</v>
      </c>
      <c r="L14" s="200">
        <f>R3-L12</f>
        <v>0</v>
      </c>
      <c r="M14" s="200">
        <f>R4-M12</f>
        <v>0</v>
      </c>
      <c r="N14" s="13"/>
      <c r="O14" s="13"/>
      <c r="P14" s="13"/>
      <c r="Q14" s="13"/>
      <c r="R14" s="1"/>
    </row>
    <row r="16" spans="2:18" x14ac:dyDescent="0.2">
      <c r="F16">
        <v>20952.175621751205</v>
      </c>
      <c r="G16">
        <v>1219.7862210892881</v>
      </c>
      <c r="L16" s="27"/>
      <c r="M16" s="27"/>
    </row>
    <row r="17" spans="2:16" x14ac:dyDescent="0.2">
      <c r="L17" s="27"/>
      <c r="M17" s="27"/>
    </row>
    <row r="20" spans="2:16" ht="10.5" x14ac:dyDescent="0.25">
      <c r="B20" s="92" t="s">
        <v>79</v>
      </c>
      <c r="H20" s="92" t="s">
        <v>60</v>
      </c>
      <c r="K20" s="92" t="s">
        <v>59</v>
      </c>
      <c r="N20" s="92" t="s">
        <v>42</v>
      </c>
    </row>
    <row r="21" spans="2:16" x14ac:dyDescent="0.2">
      <c r="B21" t="s">
        <v>12</v>
      </c>
      <c r="C21" s="162">
        <v>1000</v>
      </c>
      <c r="D21" s="163">
        <v>1000</v>
      </c>
      <c r="H21">
        <f t="array" ref="H21:I21">(aY^sigmaY*pKLE^(1-sigmaY)+bY^sigmaY*pMY^(1-sigmaY))^(1/(1-sigmaY))*(1+tauY)</f>
        <v>1000.0000000000014</v>
      </c>
      <c r="I21">
        <v>999.99999999999898</v>
      </c>
      <c r="K21" s="113">
        <f t="array" ref="K21:L21">H21:I21-pY</f>
        <v>1.3642420526593924E-12</v>
      </c>
      <c r="L21" s="113">
        <v>-1.0231815394945443E-12</v>
      </c>
      <c r="N21">
        <f t="array" ref="N21:O21">(aX^sigmaX*pD^(1-sigmaX)+bX^sigmaX*pX^(1-sigmaX))^(1/(1-sigmaX))</f>
        <v>999.99999999999977</v>
      </c>
      <c r="O21">
        <v>999.99999999999977</v>
      </c>
    </row>
    <row r="22" spans="2:16" x14ac:dyDescent="0.2">
      <c r="B22" t="s">
        <v>103</v>
      </c>
      <c r="C22" s="29">
        <v>1000</v>
      </c>
      <c r="D22" s="30">
        <v>1000</v>
      </c>
      <c r="K22" s="116"/>
      <c r="L22" s="116"/>
    </row>
    <row r="23" spans="2:16" x14ac:dyDescent="0.2">
      <c r="B23" t="s">
        <v>115</v>
      </c>
      <c r="C23" s="160">
        <v>1000</v>
      </c>
      <c r="D23" s="161">
        <v>1000</v>
      </c>
      <c r="H23" s="27">
        <f t="array" ref="H23:I23">(pY*Y+pW*M-pX*X)/S</f>
        <v>1000</v>
      </c>
      <c r="I23" s="27">
        <v>1000</v>
      </c>
      <c r="K23" s="113">
        <f t="array" ref="K23:L23">H23:I23-pS</f>
        <v>0</v>
      </c>
      <c r="L23" s="113">
        <v>0</v>
      </c>
    </row>
    <row r="24" spans="2:16" x14ac:dyDescent="0.2">
      <c r="B24" t="s">
        <v>77</v>
      </c>
      <c r="C24" s="29">
        <v>1000</v>
      </c>
      <c r="D24" s="30">
        <v>1000</v>
      </c>
      <c r="H24" s="27">
        <f t="array" ref="H24:I24">aX^(sigmaX/(sigmaX-1))*(pY^(1-sigmaX)-bX^sigmaX*pW^(1-sigmaX))^(1/(1-sigmaX))</f>
        <v>999.99999999999943</v>
      </c>
      <c r="I24" s="27">
        <v>999.99999999999909</v>
      </c>
      <c r="K24" s="113">
        <f t="array" ref="K24:L24">H24:I24-pD</f>
        <v>0</v>
      </c>
      <c r="L24" s="113">
        <v>-9.0949470177292824E-13</v>
      </c>
    </row>
    <row r="25" spans="2:16" x14ac:dyDescent="0.2">
      <c r="B25" t="s">
        <v>13</v>
      </c>
      <c r="C25" s="31">
        <f t="array" ref="C25:D26">C3:D4/(alpha*Y)</f>
        <v>1015.9116825427475</v>
      </c>
      <c r="D25" s="32">
        <v>1015.9116825427475</v>
      </c>
      <c r="E25" t="s">
        <v>63</v>
      </c>
      <c r="H25" s="27">
        <f t="array" ref="H25:I26">TRANSPOSE(pS*(1+tauTS))</f>
        <v>1015.9116825427475</v>
      </c>
      <c r="I25" s="27">
        <v>1015.9116825427475</v>
      </c>
      <c r="K25" s="113">
        <f t="array" ref="K25:L26">H25:I26-C25:D26</f>
        <v>0</v>
      </c>
      <c r="L25" s="113">
        <v>0</v>
      </c>
    </row>
    <row r="26" spans="2:16" x14ac:dyDescent="0.2">
      <c r="C26" s="33">
        <v>1005.7716594496609</v>
      </c>
      <c r="D26" s="34">
        <v>1005.771659449661</v>
      </c>
      <c r="E26" t="s">
        <v>41</v>
      </c>
      <c r="H26" s="27">
        <v>1005.7716594496609</v>
      </c>
      <c r="I26" s="27">
        <v>1005.7716594496609</v>
      </c>
      <c r="K26" s="113">
        <v>0</v>
      </c>
      <c r="L26" s="113">
        <v>0</v>
      </c>
    </row>
    <row r="27" spans="2:16" x14ac:dyDescent="0.2">
      <c r="B27" t="s">
        <v>14</v>
      </c>
      <c r="C27" s="31">
        <f t="array" ref="C27:D27">TRANSPOSE(E3:E4)/Consumption</f>
        <v>1015.9116825427475</v>
      </c>
      <c r="D27" s="32">
        <v>1005.7716594496608</v>
      </c>
      <c r="H27" s="27">
        <f t="array" ref="H27:I27">pS*(1+tauTS)</f>
        <v>1015.9116825427475</v>
      </c>
      <c r="I27" s="27">
        <v>1005.7716594496609</v>
      </c>
      <c r="K27" s="113">
        <f t="array" ref="K27:L27">H27:I27-pC</f>
        <v>0</v>
      </c>
      <c r="L27" s="113">
        <v>0</v>
      </c>
    </row>
    <row r="28" spans="2:16" x14ac:dyDescent="0.2">
      <c r="B28" t="s">
        <v>15</v>
      </c>
      <c r="C28" s="39">
        <f t="array" ref="C28:D28">IF(ISNUMBER(TRANSPOSE(F3:F4)/G),TRANSPOSE(F3:F4)/G,pC)</f>
        <v>1015.9116825427474</v>
      </c>
      <c r="D28" s="40">
        <v>1005.7716594496608</v>
      </c>
      <c r="H28" s="27">
        <f t="array" ref="H28:I28">pS*(1+tauTS)</f>
        <v>1015.9116825427475</v>
      </c>
      <c r="I28" s="27">
        <v>1005.7716594496609</v>
      </c>
      <c r="K28" s="113">
        <f t="array" ref="K28:L28">H28:I28-pG</f>
        <v>0</v>
      </c>
      <c r="L28" s="113">
        <v>0</v>
      </c>
    </row>
    <row r="29" spans="2:16" x14ac:dyDescent="0.2">
      <c r="B29" t="s">
        <v>29</v>
      </c>
      <c r="C29" s="39">
        <f t="array" ref="C29:D29">IF(ISNUMBER(TRANSPOSE(G3:G4)/I),TRANSPOSE(G3:G4)/I,pC)</f>
        <v>1015.9116825427475</v>
      </c>
      <c r="D29" s="40">
        <v>1005.7716594496608</v>
      </c>
      <c r="H29" s="27">
        <f t="array" ref="H29:I29">pS*(1+tauTS)</f>
        <v>1015.9116825427475</v>
      </c>
      <c r="I29" s="27">
        <v>1005.7716594496609</v>
      </c>
      <c r="K29" s="113">
        <f t="array" ref="K29:L29">H29:I29-pI</f>
        <v>0</v>
      </c>
      <c r="L29" s="113">
        <v>0</v>
      </c>
    </row>
    <row r="30" spans="2:16" x14ac:dyDescent="0.2">
      <c r="B30" t="s">
        <v>16</v>
      </c>
      <c r="C30" s="39">
        <f t="array" ref="C30:D30">pW</f>
        <v>1000</v>
      </c>
      <c r="D30" s="40">
        <v>1000</v>
      </c>
      <c r="H30" s="27">
        <f t="array" ref="H30:I30">pW</f>
        <v>1000</v>
      </c>
      <c r="I30" s="27">
        <v>1000</v>
      </c>
      <c r="K30" s="113">
        <f t="array" ref="K30:L30">H30:I30-pX</f>
        <v>0</v>
      </c>
      <c r="L30" s="113">
        <v>0</v>
      </c>
    </row>
    <row r="31" spans="2:16" x14ac:dyDescent="0.2">
      <c r="B31" t="s">
        <v>17</v>
      </c>
      <c r="C31" s="29">
        <v>1000</v>
      </c>
      <c r="D31" s="30">
        <v>1000</v>
      </c>
      <c r="K31" s="116"/>
      <c r="L31" s="116"/>
    </row>
    <row r="32" spans="2:16" x14ac:dyDescent="0.2">
      <c r="B32" t="s">
        <v>36</v>
      </c>
      <c r="C32" s="39">
        <f t="array" ref="C32:D32">(C5:D5+C6:D6)/Labour</f>
        <v>1457.0034251455234</v>
      </c>
      <c r="D32" s="40">
        <v>1457.0034251455236</v>
      </c>
      <c r="H32" s="27">
        <f t="array" ref="H32:I32">w*(1+tauL)</f>
        <v>1457.0034251455234</v>
      </c>
      <c r="I32" s="27">
        <v>1457.0034251455236</v>
      </c>
      <c r="K32" s="113">
        <f t="array" ref="K32:L32">H32:I32-pL</f>
        <v>0</v>
      </c>
      <c r="L32" s="113">
        <v>0</v>
      </c>
      <c r="N32" s="27">
        <f t="array" ref="N32:O32">bKL*(Labour/KL)^(rhoKL-1)*pKL</f>
        <v>1457.0034251455245</v>
      </c>
      <c r="O32" s="27">
        <v>1457.0034251455252</v>
      </c>
      <c r="P32" t="s">
        <v>120</v>
      </c>
    </row>
    <row r="33" spans="2:16" x14ac:dyDescent="0.2">
      <c r="B33" t="s">
        <v>18</v>
      </c>
      <c r="C33" s="168">
        <v>1000</v>
      </c>
      <c r="D33" s="169">
        <v>1000</v>
      </c>
      <c r="E33" t="s">
        <v>56</v>
      </c>
      <c r="K33" s="116"/>
      <c r="L33" s="116"/>
      <c r="N33" s="27">
        <f t="array" ref="N33:O33">aKL*(K/KL)^(rhoKL-1)*pKL</f>
        <v>999.99999999999966</v>
      </c>
      <c r="O33" s="27">
        <v>1000.0000000000005</v>
      </c>
      <c r="P33" t="s">
        <v>120</v>
      </c>
    </row>
    <row r="34" spans="2:16" x14ac:dyDescent="0.2">
      <c r="B34" t="s">
        <v>61</v>
      </c>
      <c r="C34" s="160">
        <v>1000</v>
      </c>
      <c r="D34" s="161">
        <v>1000</v>
      </c>
      <c r="H34" s="27">
        <f t="array" ref="H34:I34">(aKL^sigmaKL*pK^(1-sigmaKL)+bKL^sigmaKL*pL^(1-sigmaKL))^(1/(1-sigmaKL))</f>
        <v>999.99999999999977</v>
      </c>
      <c r="I34" s="27">
        <v>999.99999999999977</v>
      </c>
      <c r="K34" s="113">
        <f t="array" ref="K34:L34">H34:I34-pKL</f>
        <v>0</v>
      </c>
      <c r="L34" s="113">
        <v>0</v>
      </c>
    </row>
    <row r="35" spans="2:16" x14ac:dyDescent="0.2">
      <c r="B35" t="s">
        <v>62</v>
      </c>
      <c r="C35" s="160">
        <v>1000</v>
      </c>
      <c r="D35" s="161">
        <v>1000</v>
      </c>
      <c r="H35" s="27">
        <f t="array" ref="H35:I35">(aKLE^sigmaKLE*pKL^(1-sigmaKLE)+bKLE^sigmaKLE*pEY^(1-sigmaKLE))^(1/(1-sigmaKLE))</f>
        <v>1000.0000000000002</v>
      </c>
      <c r="I35" s="27">
        <v>999.99999999999977</v>
      </c>
      <c r="K35" s="113">
        <f t="array" ref="K35:L35">H35:I35-pKLE</f>
        <v>0</v>
      </c>
      <c r="L35" s="113">
        <v>0</v>
      </c>
    </row>
    <row r="37" spans="2:16" x14ac:dyDescent="0.2">
      <c r="B37" t="s">
        <v>19</v>
      </c>
      <c r="C37" s="84">
        <f t="array" ref="C37:D37">F12:G12/pY</f>
        <v>27857.010133999996</v>
      </c>
      <c r="D37" s="85">
        <v>1236.7674480000003</v>
      </c>
      <c r="E37" t="s">
        <v>112</v>
      </c>
      <c r="H37" s="27">
        <f t="array" ref="H37:I37">(aX*D^rhoX+bX*X^rhoX)^(1/rhoX)</f>
        <v>27857.010133999949</v>
      </c>
      <c r="I37" s="27">
        <v>1236.7674480000003</v>
      </c>
      <c r="K37" s="113">
        <f t="array" ref="K37:L37">H37:I37-Y</f>
        <v>-4.7293724492192268E-11</v>
      </c>
      <c r="L37" s="113">
        <v>0</v>
      </c>
    </row>
    <row r="38" spans="2:16" x14ac:dyDescent="0.2">
      <c r="B38" t="s">
        <v>3</v>
      </c>
      <c r="C38" s="86">
        <f t="array" ref="C38:D38">C9:D9/pW</f>
        <v>1886.3937399999966</v>
      </c>
      <c r="D38" s="87">
        <v>262.7871129999977</v>
      </c>
      <c r="E38" t="s">
        <v>113</v>
      </c>
      <c r="H38" s="27">
        <f t="array" ref="H38:I38">(bS/pW)^sigmaS*(aS^sigmaS*pD^(1-sigmaS)+bS^sigmaS*pW^(1-sigmaS))^(sigmaS/(1-sigmaS))*S</f>
        <v>1886.3937399999948</v>
      </c>
      <c r="I38" s="27">
        <v>262.78711299999759</v>
      </c>
      <c r="K38" s="113">
        <f t="array" ref="K38:L38">H38:I38-M</f>
        <v>-1.8189894035458565E-12</v>
      </c>
      <c r="L38" s="113">
        <v>0</v>
      </c>
    </row>
    <row r="39" spans="2:16" x14ac:dyDescent="0.2">
      <c r="B39" t="s">
        <v>114</v>
      </c>
      <c r="C39" s="86">
        <f t="array" ref="C39:D39">MMULT(Y,TRANSPOSE(alpha))+Consumption+G+I</f>
        <v>26548.356269999993</v>
      </c>
      <c r="D39" s="87">
        <v>1408.5418709999938</v>
      </c>
      <c r="E39" t="s">
        <v>109</v>
      </c>
      <c r="F39" s="60">
        <f t="array" ref="F39:G39">(F8:G8)/(1+tauTS)/pS</f>
        <v>26548.356269999997</v>
      </c>
      <c r="G39" s="61">
        <v>1408.5418709999938</v>
      </c>
      <c r="H39" s="27">
        <f t="array" ref="H39:I39">MMULT(Y,TRANSPOSE(alpha))+Consumption+G+I</f>
        <v>26548.356269999993</v>
      </c>
      <c r="I39" s="27">
        <v>1408.5418709999938</v>
      </c>
      <c r="K39" s="113">
        <f t="array" ref="K39:L39">H39:I39-S</f>
        <v>0</v>
      </c>
      <c r="L39" s="113">
        <v>0</v>
      </c>
      <c r="N39" s="27"/>
      <c r="O39" s="27"/>
    </row>
    <row r="40" spans="2:16" x14ac:dyDescent="0.2">
      <c r="B40" t="s">
        <v>76</v>
      </c>
      <c r="C40" s="86">
        <f t="array" ref="C40:D40">(pS*S-pW*M)/pD</f>
        <v>24661.962529999993</v>
      </c>
      <c r="D40" s="87">
        <v>1145.7547579999962</v>
      </c>
      <c r="E40" t="s">
        <v>111</v>
      </c>
      <c r="H40" s="27">
        <f t="array" ref="H40:I40">(aS/pD)^sigmaS*(aS^sigmaS*pD^(1-sigmaS)+bS^sigmaS*pW^(1-sigmaS))^(sigmaS/(1-sigmaS))*S</f>
        <v>24661.962529999983</v>
      </c>
      <c r="I40" s="27">
        <v>1145.754757999995</v>
      </c>
      <c r="K40" s="113">
        <f t="array" ref="K40:L40">H40:I40-D</f>
        <v>0</v>
      </c>
      <c r="L40" s="113">
        <v>0</v>
      </c>
    </row>
    <row r="41" spans="2:16" x14ac:dyDescent="0.2">
      <c r="B41" t="s">
        <v>28</v>
      </c>
      <c r="C41" s="39">
        <f t="array" ref="C41:D41">TRANSPOSE(E3:E4)/(1+tauTS)/pS</f>
        <v>6533.604468832069</v>
      </c>
      <c r="D41" s="40">
        <v>379.90788307663405</v>
      </c>
      <c r="E41" t="s">
        <v>57</v>
      </c>
      <c r="H41" s="27">
        <f t="array" ref="H41">(aU/pCQ)^sigmaU/(aU^sigmaU*pCQ^(1-sigmaU)+bU^sigmaU*pCE^(1-sigmaU))*Revenue</f>
        <v>6533.6044688320735</v>
      </c>
      <c r="I41" s="27">
        <f>(bU/pCE)^sigmaU/(aU^sigmaU*pCQ^(1-sigmaU)+bU^sigmaU*pCE^(1-sigmaU))*Revenue</f>
        <v>379.90788307663439</v>
      </c>
      <c r="K41" s="113">
        <f t="array" ref="K41:L41">H41:I41-Consumption</f>
        <v>0</v>
      </c>
      <c r="L41" s="113">
        <v>0</v>
      </c>
    </row>
    <row r="42" spans="2:16" x14ac:dyDescent="0.2">
      <c r="B42" t="s">
        <v>7</v>
      </c>
      <c r="C42" s="39">
        <f t="array" ref="C42:D42">TRANSPOSE(F3:F4)/(1+tauTS)/pS</f>
        <v>3278.5018080150412</v>
      </c>
      <c r="D42" s="40">
        <v>0</v>
      </c>
      <c r="H42" s="27">
        <f t="array" ref="H42">omegaG*GDP/pG</f>
        <v>3278.5018080150412</v>
      </c>
      <c r="I42" s="26">
        <v>0</v>
      </c>
      <c r="K42" s="113">
        <f t="array" ref="K42:L42">H42:I42-G</f>
        <v>0</v>
      </c>
      <c r="L42" s="113">
        <v>0</v>
      </c>
    </row>
    <row r="43" spans="2:16" x14ac:dyDescent="0.2">
      <c r="B43" t="s">
        <v>8</v>
      </c>
      <c r="C43" s="39">
        <f t="array" ref="C43:D43">TRANSPOSE(G3:G4)/(1+tauTS)/pS</f>
        <v>3196.3846373657216</v>
      </c>
      <c r="D43" s="40">
        <v>0</v>
      </c>
      <c r="H43" s="27">
        <f t="array" ref="H43">(sD*GDP-B)/pI</f>
        <v>3196.3846373657216</v>
      </c>
      <c r="I43" s="26">
        <v>0</v>
      </c>
      <c r="K43" s="113">
        <f t="array" ref="K43:L43">H43:I43-I</f>
        <v>0</v>
      </c>
      <c r="L43" s="113">
        <v>0</v>
      </c>
    </row>
    <row r="44" spans="2:16" x14ac:dyDescent="0.2">
      <c r="B44" t="s">
        <v>0</v>
      </c>
      <c r="C44" s="39">
        <f t="array" ref="C44:D44">TRANSPOSE(H3:H4)/pX</f>
        <v>3195.047603999999</v>
      </c>
      <c r="D44" s="40">
        <v>91.012690000004071</v>
      </c>
      <c r="H44" s="27">
        <f t="array" ref="H44:I44">(bX/pX)^sigmaX*(aX^sigmaX*pD^(1-sigmaX)+bX^sigmaX*pX^(1-sigmaX))^(-1/rhoX)*Y</f>
        <v>3195.0476040000012</v>
      </c>
      <c r="I44" s="27">
        <v>91.012690000004071</v>
      </c>
      <c r="K44" s="113">
        <f t="array" ref="K44:L44">H44:I44-X</f>
        <v>0</v>
      </c>
      <c r="L44" s="113">
        <v>0</v>
      </c>
    </row>
    <row r="45" spans="2:16" x14ac:dyDescent="0.2">
      <c r="B45" t="s">
        <v>27</v>
      </c>
      <c r="C45" s="39">
        <f t="array" ref="C45:D45">C5:D5/w</f>
        <v>5036.2953101960647</v>
      </c>
      <c r="D45" s="40">
        <v>74.905331803938267</v>
      </c>
      <c r="E45" t="s">
        <v>58</v>
      </c>
      <c r="H45" s="27">
        <f t="array" ref="H45:I45">lambda*Y</f>
        <v>5036.2953101960647</v>
      </c>
      <c r="I45" s="27">
        <v>74.905331803938267</v>
      </c>
      <c r="K45" s="113">
        <f t="array" ref="K45:L45">H45:I45-Labour</f>
        <v>0</v>
      </c>
      <c r="L45" s="113">
        <v>0</v>
      </c>
    </row>
    <row r="46" spans="2:16" x14ac:dyDescent="0.2">
      <c r="B46" t="s">
        <v>2</v>
      </c>
      <c r="C46" s="39">
        <f t="array" ref="C46:D46">C8:D8/pK</f>
        <v>6425.1981590000014</v>
      </c>
      <c r="D46" s="40">
        <v>273.22915400000011</v>
      </c>
      <c r="H46" s="27">
        <f t="array" ref="H46:I46">kappa*Y</f>
        <v>6425.1981590000014</v>
      </c>
      <c r="I46" s="27">
        <v>273.22915400000011</v>
      </c>
      <c r="K46" s="113">
        <f t="array" ref="K46:L46">H46:I46-K</f>
        <v>0</v>
      </c>
      <c r="L46" s="113">
        <v>0</v>
      </c>
    </row>
    <row r="47" spans="2:16" x14ac:dyDescent="0.2">
      <c r="B47" t="s">
        <v>35</v>
      </c>
      <c r="C47" s="110">
        <f t="array" ref="C47:D47">(pK*K+pL*Labour)/pKL</f>
        <v>13763.097676000005</v>
      </c>
      <c r="D47" s="164">
        <v>382.36647900000003</v>
      </c>
      <c r="H47" s="27">
        <f t="array" ref="H47:I47">(aKLE/pKL)^sigmaKLE*(aKLE^sigmaKLE*pKL^(1-sigmaKLE)+bKLE^sigmaKLE*pEY^(1-sigmaKLE))^(-1/rhoKLE)*KLE</f>
        <v>13763.097676000007</v>
      </c>
      <c r="I47" s="27">
        <v>382.36647900000003</v>
      </c>
      <c r="K47" s="113">
        <f t="array" ref="K47:L47">H47:I47-KL</f>
        <v>0</v>
      </c>
      <c r="L47" s="113">
        <v>0</v>
      </c>
    </row>
    <row r="48" spans="2:16" x14ac:dyDescent="0.2">
      <c r="B48" t="s">
        <v>53</v>
      </c>
      <c r="C48" s="158">
        <f t="array" ref="C48:D48">(pKL*KL+C4:D4)/pKLE</f>
        <v>14362.768558000003</v>
      </c>
      <c r="D48" s="159">
        <v>817.26651000000004</v>
      </c>
      <c r="H48" s="27">
        <f t="array" ref="H48:I48">(aY/pKLE)^sigmaY*(aY^sigmaY*pKLE^(1-sigmaY)+bY^sigmaY*pMY^(1-sigmaY))^(-1/rhoY)*Y</f>
        <v>14362.768558000025</v>
      </c>
      <c r="I48" s="27">
        <v>817.26650999999993</v>
      </c>
      <c r="K48" s="113">
        <f t="array" ref="K48:L48">H48:I48-KLE</f>
        <v>2.1827872842550278E-11</v>
      </c>
      <c r="L48" s="113">
        <v>0</v>
      </c>
    </row>
    <row r="50" spans="2:12" x14ac:dyDescent="0.2">
      <c r="B50" t="s">
        <v>26</v>
      </c>
      <c r="C50" s="41">
        <f t="array" ref="C50:D50">C6:D6/(w*lambda*Y)</f>
        <v>0.45700342514552333</v>
      </c>
      <c r="D50" s="42">
        <v>0.4570034251455235</v>
      </c>
      <c r="G50" s="27"/>
    </row>
    <row r="51" spans="2:12" x14ac:dyDescent="0.2">
      <c r="B51" t="s">
        <v>20</v>
      </c>
      <c r="C51" s="44">
        <f t="array" ref="C51:D51">C7:D7/(pY*Y-C7:D7)</f>
        <v>4.9682236719384319E-3</v>
      </c>
      <c r="D51" s="45">
        <v>1.7038360552061892E-2</v>
      </c>
    </row>
    <row r="52" spans="2:12" x14ac:dyDescent="0.2">
      <c r="B52" t="s">
        <v>136</v>
      </c>
      <c r="C52" s="43">
        <f t="array" ref="C52:D52">C10:D10/(TRANSPOSE(C3:C4+D3:D4+E3:E4+F3:F4+G3:G4)-C10:D10)</f>
        <v>1.5911682542747503E-2</v>
      </c>
      <c r="D52" s="199">
        <v>5.7716594496607888E-3</v>
      </c>
    </row>
    <row r="53" spans="2:12" x14ac:dyDescent="0.2">
      <c r="C53" s="27"/>
      <c r="D53" s="27"/>
    </row>
    <row r="54" spans="2:12" x14ac:dyDescent="0.2">
      <c r="C54" s="27"/>
      <c r="D54" s="27"/>
    </row>
    <row r="55" spans="2:12" x14ac:dyDescent="0.2">
      <c r="B55" t="s">
        <v>48</v>
      </c>
      <c r="C55" s="66">
        <f t="array" ref="C55">SUM(C6:D7,C10:D11)</f>
        <v>2924829.96</v>
      </c>
      <c r="H55" s="27">
        <f t="array" ref="H55">SUM(w*tauL*Labour+tauY/(1+tauY)*pY*Y+tauTS*pS*S)</f>
        <v>2924829.9599999995</v>
      </c>
      <c r="K55" s="113">
        <f t="array" ref="K55">H55-T</f>
        <v>0</v>
      </c>
      <c r="L55" s="116"/>
    </row>
    <row r="56" spans="2:12" x14ac:dyDescent="0.2">
      <c r="B56" t="s">
        <v>47</v>
      </c>
      <c r="C56" s="123">
        <v>1</v>
      </c>
      <c r="E56" t="s">
        <v>179</v>
      </c>
      <c r="K56" s="116"/>
      <c r="L56" s="116"/>
    </row>
    <row r="57" spans="2:12" x14ac:dyDescent="0.2">
      <c r="B57" t="s">
        <v>64</v>
      </c>
      <c r="C57" s="124">
        <f>SUM(C5:D8,C10:D11)</f>
        <v>14734457.915000005</v>
      </c>
      <c r="E57" s="62">
        <f>15693432.72*2437635/2728870.25</f>
        <v>14018570.823738214</v>
      </c>
      <c r="H57" s="115">
        <f t="array" ref="H57">SUM(pC*Consumption+pG*G+pI*I+pX*X-pW*M)</f>
        <v>14734457.915000003</v>
      </c>
      <c r="I57" s="115">
        <f t="array" ref="I57">SUM(w*Labour,pK*K,T)</f>
        <v>14734457.915000007</v>
      </c>
      <c r="K57" s="113">
        <f>H57-GDP</f>
        <v>0</v>
      </c>
      <c r="L57" s="113">
        <f>I57-GDP</f>
        <v>0</v>
      </c>
    </row>
    <row r="58" spans="2:12" x14ac:dyDescent="0.2">
      <c r="B58" t="s">
        <v>54</v>
      </c>
      <c r="C58" s="111">
        <f t="array" ref="C58">GDP-SUM(pG*G+pI*I+pX*X-pW*M)</f>
        <v>7019665.6909999968</v>
      </c>
      <c r="D58" t="s">
        <v>55</v>
      </c>
      <c r="K58" s="116"/>
      <c r="L58" s="116"/>
    </row>
    <row r="59" spans="2:12" x14ac:dyDescent="0.2">
      <c r="B59" t="s">
        <v>75</v>
      </c>
      <c r="C59" s="67">
        <f>SUM(H3:H4)-SUM(C9:D9)</f>
        <v>1136879.441000009</v>
      </c>
      <c r="K59" s="116"/>
      <c r="L59" s="116"/>
    </row>
    <row r="60" spans="2:12" x14ac:dyDescent="0.2">
      <c r="C60" s="27"/>
      <c r="D60" s="27"/>
    </row>
    <row r="61" spans="2:12" x14ac:dyDescent="0.2">
      <c r="C61" s="27"/>
      <c r="D61" s="27"/>
    </row>
    <row r="62" spans="2:12" x14ac:dyDescent="0.2">
      <c r="B62" t="s">
        <v>98</v>
      </c>
      <c r="C62" s="153">
        <f t="array" ref="C62">SUM(pG*G)/GDP</f>
        <v>0.22604620456442484</v>
      </c>
      <c r="D62" t="s">
        <v>81</v>
      </c>
    </row>
    <row r="63" spans="2:12" x14ac:dyDescent="0.2">
      <c r="B63" t="s">
        <v>99</v>
      </c>
      <c r="C63" s="172">
        <f t="array" ref="C63">SUM(pI*I)/GDP</f>
        <v>0.22038438833194082</v>
      </c>
      <c r="D63" t="s">
        <v>82</v>
      </c>
    </row>
    <row r="64" spans="2:12" x14ac:dyDescent="0.2">
      <c r="B64" t="s">
        <v>92</v>
      </c>
      <c r="C64" s="153">
        <f t="array" ref="C64">(SUM(pI*I)+B)/GDP</f>
        <v>0.29754226190682415</v>
      </c>
      <c r="D64" t="s">
        <v>80</v>
      </c>
    </row>
    <row r="65" spans="2:12" x14ac:dyDescent="0.2">
      <c r="B65" t="s">
        <v>84</v>
      </c>
      <c r="C65" s="154">
        <f t="array" ref="C65">(SUM(pI*I)+B-sL*(SUM(w*Labour))-sG*(T-SUM(pG*G)))/SUM(pK*K)</f>
        <v>0.40559806644645541</v>
      </c>
      <c r="D65" t="s">
        <v>83</v>
      </c>
      <c r="J65" s="59" t="s">
        <v>138</v>
      </c>
      <c r="K65" s="113">
        <f>sK-sL</f>
        <v>0</v>
      </c>
      <c r="L65" s="116"/>
    </row>
    <row r="66" spans="2:12" x14ac:dyDescent="0.2">
      <c r="B66" t="s">
        <v>85</v>
      </c>
      <c r="C66" s="198">
        <f>Model!K60</f>
        <v>0.40559806644645535</v>
      </c>
      <c r="D66" t="s">
        <v>96</v>
      </c>
      <c r="K66" s="116"/>
      <c r="L66" s="116"/>
    </row>
    <row r="67" spans="2:12" x14ac:dyDescent="0.2">
      <c r="B67" t="s">
        <v>110</v>
      </c>
      <c r="C67" s="155">
        <v>1</v>
      </c>
      <c r="D67" t="s">
        <v>137</v>
      </c>
      <c r="G67" s="167"/>
      <c r="K67" s="116"/>
      <c r="L67" s="116"/>
    </row>
    <row r="70" spans="2:12" x14ac:dyDescent="0.2">
      <c r="B70" t="s">
        <v>21</v>
      </c>
      <c r="C70" s="35">
        <f t="array" ref="C70:D71">(C3:D4)/Y/TRANSPOSE(pS*(1+tauTS))</f>
        <v>0.47195767671988131</v>
      </c>
      <c r="D70" s="36">
        <v>0.31738834428178964</v>
      </c>
      <c r="E70" t="s">
        <v>24</v>
      </c>
      <c r="H70" s="35">
        <f t="array" ref="H70:I70">(bY/pMY)^sigmaY*(aY^sigmaY*pKLE^(1-sigmaY)+bY^sigmaY*pMY^(1-sigmaY))^(-1/rhoY)</f>
        <v>0.47195767671988198</v>
      </c>
      <c r="I70" s="36">
        <v>0.31738834428178964</v>
      </c>
      <c r="K70" s="113">
        <f t="array" ref="K70:L71">H70:I71-C70:D71</f>
        <v>6.6613381477509392E-16</v>
      </c>
      <c r="L70" s="113">
        <v>0</v>
      </c>
    </row>
    <row r="71" spans="2:12" x14ac:dyDescent="0.2">
      <c r="C71" s="37">
        <v>2.1403217525954435E-2</v>
      </c>
      <c r="D71" s="38">
        <v>0.34962461301992526</v>
      </c>
      <c r="E71" t="s">
        <v>25</v>
      </c>
      <c r="H71" s="37">
        <f t="array" ref="H71:I71">(bKLE/pEY)^sigmaKLE*(aKLE^sigmaKLE*pKL^(1-sigmaKLE)+bKLE^sigmaKLE*pEY^(1-sigmaKLE))^(-1/rhoKLE)*KLE/Y</f>
        <v>2.1403217525954435E-2</v>
      </c>
      <c r="I71" s="38">
        <v>0.34962461301992509</v>
      </c>
      <c r="K71" s="113">
        <v>0</v>
      </c>
      <c r="L71" s="113">
        <v>0</v>
      </c>
    </row>
    <row r="72" spans="2:12" x14ac:dyDescent="0.2">
      <c r="B72" t="s">
        <v>22</v>
      </c>
      <c r="C72" s="35">
        <f t="array" ref="C72:D72">Labour/Y</f>
        <v>0.18079094942242827</v>
      </c>
      <c r="D72" s="36">
        <v>6.0565413429233668E-2</v>
      </c>
      <c r="H72" s="35">
        <f t="array" ref="H72:I72">(bKL/pL)^sigmaKL*(aKL^sigmaKL*pK^(1-sigmaKL)+bKL^sigmaKL*pL^(1-sigmaKL))^(-1/rhoKL)*KL/Y</f>
        <v>0.18079094942242829</v>
      </c>
      <c r="I72" s="36">
        <v>6.0565413429233668E-2</v>
      </c>
      <c r="K72" s="113">
        <f t="array" ref="K72:L72">H72:I72-lambda</f>
        <v>0</v>
      </c>
      <c r="L72" s="113">
        <v>0</v>
      </c>
    </row>
    <row r="73" spans="2:12" x14ac:dyDescent="0.2">
      <c r="B73" t="s">
        <v>23</v>
      </c>
      <c r="C73" s="37">
        <f t="array" ref="C73:D73">K/Y</f>
        <v>0.23064923795098627</v>
      </c>
      <c r="D73" s="38">
        <v>0.22092201281804763</v>
      </c>
      <c r="H73" s="37">
        <f t="array" ref="H73:I73">(aKL/pK)^sigmaKL*(aKL^sigmaKL*pK^(1-sigmaKL)+bKL^sigmaKL*pL^(1-sigmaKL))^(-1/rhoKL)*KL/Y</f>
        <v>0.23064923795098624</v>
      </c>
      <c r="I73" s="38">
        <v>0.22092201281804766</v>
      </c>
      <c r="K73" s="113">
        <f t="array" ref="K73:L73">H73:I73-kappa</f>
        <v>0</v>
      </c>
      <c r="L73" s="113">
        <v>0</v>
      </c>
    </row>
    <row r="75" spans="2:12" x14ac:dyDescent="0.2">
      <c r="F75" t="s">
        <v>42</v>
      </c>
    </row>
    <row r="77" spans="2:12" x14ac:dyDescent="0.2">
      <c r="B77" t="s">
        <v>116</v>
      </c>
      <c r="C77" s="173">
        <f t="array" ref="C77:D77">(S/D)^rhoS*pD*D/(pD*D+pW*M)</f>
        <v>0.96381792329050164</v>
      </c>
      <c r="D77" s="174">
        <v>0.94968696469905056</v>
      </c>
      <c r="E77" s="59" t="s">
        <v>114</v>
      </c>
      <c r="F77" s="60">
        <f t="array" ref="F77:G77">(aS*D^rhoS+bS*M^rhoS)^(1/rhoS)</f>
        <v>26548.356269999997</v>
      </c>
      <c r="G77" s="61">
        <v>1408.5418709999931</v>
      </c>
    </row>
    <row r="78" spans="2:12" x14ac:dyDescent="0.2">
      <c r="B78" t="s">
        <v>117</v>
      </c>
      <c r="C78" s="175">
        <f t="array" ref="C78:D78">(S/M)^rhoS*pW*M/(pD*D+pW*M)</f>
        <v>0.26656145772407763</v>
      </c>
      <c r="D78" s="176">
        <v>0.65721667750764312</v>
      </c>
      <c r="F78" s="120">
        <f t="array" ref="F78:G78">F77:G77-S</f>
        <v>0</v>
      </c>
      <c r="G78" s="121">
        <v>0</v>
      </c>
    </row>
    <row r="79" spans="2:12" x14ac:dyDescent="0.2">
      <c r="B79" t="s">
        <v>118</v>
      </c>
      <c r="C79" s="177">
        <v>2</v>
      </c>
      <c r="D79" s="178">
        <v>4</v>
      </c>
    </row>
    <row r="80" spans="2:12" x14ac:dyDescent="0.2">
      <c r="B80" t="s">
        <v>119</v>
      </c>
      <c r="C80" s="179">
        <f t="array" ref="C80:D80">(sigmaS-1)/sigmaS</f>
        <v>0.5</v>
      </c>
      <c r="D80" s="180">
        <v>0.75</v>
      </c>
    </row>
    <row r="81" spans="2:7" x14ac:dyDescent="0.2">
      <c r="C81" s="181"/>
      <c r="D81" s="181"/>
    </row>
    <row r="82" spans="2:7" x14ac:dyDescent="0.2">
      <c r="B82" t="s">
        <v>31</v>
      </c>
      <c r="C82" s="173">
        <f t="array" ref="C82:D82">(KL/K)^rhoKL*pK*K/(pK*K+pL*Labour)</f>
        <v>7.8928608681718054E-2</v>
      </c>
      <c r="D82" s="174">
        <v>0.10640976976244208</v>
      </c>
      <c r="E82" s="59" t="s">
        <v>35</v>
      </c>
      <c r="F82" s="60">
        <f t="array" ref="F82:G82">(aKL*K^rhoKL+bKL*Labour^rhoKL)^(1/rhoKL)</f>
        <v>13763.097676000012</v>
      </c>
      <c r="G82" s="61">
        <v>382.3664789999998</v>
      </c>
    </row>
    <row r="83" spans="2:7" x14ac:dyDescent="0.2">
      <c r="B83" t="s">
        <v>32</v>
      </c>
      <c r="C83" s="175">
        <f t="array" ref="C83:D83">(KL/Labour)^rhoKL*pL*Labour/(pK*K+pL*Labour)</f>
        <v>5.1063497539797449E-2</v>
      </c>
      <c r="D83" s="176">
        <v>2.7776661157113622E-5</v>
      </c>
      <c r="F83" s="120">
        <f t="array" ref="F83:G83">F82:G82-KL</f>
        <v>0</v>
      </c>
      <c r="G83" s="121">
        <v>0</v>
      </c>
    </row>
    <row r="84" spans="2:7" x14ac:dyDescent="0.2">
      <c r="B84" t="s">
        <v>33</v>
      </c>
      <c r="C84" s="177">
        <v>0.3</v>
      </c>
      <c r="D84" s="178">
        <v>0.15</v>
      </c>
    </row>
    <row r="85" spans="2:7" x14ac:dyDescent="0.2">
      <c r="B85" t="s">
        <v>34</v>
      </c>
      <c r="C85" s="179">
        <f t="array" ref="C85:D85">(sigmaKL-1)/sigmaKL</f>
        <v>-2.3333333333333335</v>
      </c>
      <c r="D85" s="180">
        <v>-5.666666666666667</v>
      </c>
    </row>
    <row r="86" spans="2:7" x14ac:dyDescent="0.2">
      <c r="C86" s="181"/>
      <c r="D86" s="181"/>
    </row>
    <row r="87" spans="2:7" x14ac:dyDescent="0.2">
      <c r="B87" t="s">
        <v>49</v>
      </c>
      <c r="C87" s="173">
        <f t="array" ref="C87:D87">(KLE/KL)^rhoKLE*(pK*K+pL*Labour)/(pK*K+pL*Labour+pEY*alphaEY*Y)</f>
        <v>0.91823968729733552</v>
      </c>
      <c r="D87" s="174">
        <v>4.7914221543935986E-2</v>
      </c>
      <c r="E87" s="59" t="s">
        <v>53</v>
      </c>
      <c r="F87" s="60">
        <f t="array" ref="F87:G87">(aKLE*KL^rhoKLE+bKLE*(alphaEY*Y)^rhoKLE)^(1/rhoKLE)</f>
        <v>14362.768558</v>
      </c>
      <c r="G87" s="61">
        <v>817.26650999999947</v>
      </c>
    </row>
    <row r="88" spans="2:7" x14ac:dyDescent="0.2">
      <c r="B88" t="s">
        <v>50</v>
      </c>
      <c r="C88" s="175">
        <f t="array" ref="C88:D88">(KLE/(alphaEY*Y))^rhoKLE*pEY*alphaEY*Y/(pEY*alphaEY*Y+pK*K+pL*Labour)</f>
        <v>1.7332060821993295E-3</v>
      </c>
      <c r="D88" s="176">
        <v>7.8814252643960914E-2</v>
      </c>
      <c r="F88" s="120">
        <f t="array" ref="F88:G88">F87:G87-KLE</f>
        <v>0</v>
      </c>
      <c r="G88" s="121">
        <v>0</v>
      </c>
    </row>
    <row r="89" spans="2:7" x14ac:dyDescent="0.2">
      <c r="B89" t="s">
        <v>51</v>
      </c>
      <c r="C89" s="177">
        <v>0.5</v>
      </c>
      <c r="D89" s="178">
        <v>0.25</v>
      </c>
    </row>
    <row r="90" spans="2:7" x14ac:dyDescent="0.2">
      <c r="B90" t="s">
        <v>52</v>
      </c>
      <c r="C90" s="179">
        <f t="array" ref="C90:D90">(sigmaKLE-1)/sigmaKLE</f>
        <v>-1</v>
      </c>
      <c r="D90" s="180">
        <v>-3</v>
      </c>
    </row>
    <row r="91" spans="2:7" x14ac:dyDescent="0.2">
      <c r="C91" s="181"/>
      <c r="D91" s="181"/>
    </row>
    <row r="92" spans="2:7" x14ac:dyDescent="0.2">
      <c r="B92" t="s">
        <v>37</v>
      </c>
      <c r="C92" s="173">
        <f t="array" ref="C92:D92">(Y/KLE)^rhoY*(pK*K+pL*Labour+pEY*alphaEY*Y)/(pK*K+pL*Labour+pEY*alphaEY*Y+pMY*alphaMY*Y)</f>
        <v>0.39008348025535444</v>
      </c>
      <c r="D92" s="174">
        <v>0.31136355826594386</v>
      </c>
      <c r="E92" s="59" t="s">
        <v>19</v>
      </c>
      <c r="F92" s="60">
        <f t="array" ref="F92:G92">(aY*KLE^rhoY+bY*(alphaMY*Y)^rhoY)^(1/rhoY)</f>
        <v>27857.010133999996</v>
      </c>
      <c r="G92" s="61">
        <v>1236.767447999998</v>
      </c>
    </row>
    <row r="93" spans="2:7" x14ac:dyDescent="0.2">
      <c r="B93" t="s">
        <v>38</v>
      </c>
      <c r="C93" s="175">
        <f t="array" ref="C93:D93">(Y/(alphaMY*Y))^rhoY*pMY*alphaMY*Y/(pMY*alphaMY*Y+pK*K+pL*Labour+pEY*alphaEY*Y)</f>
        <v>0.34926535250575885</v>
      </c>
      <c r="D93" s="176">
        <v>3.8919522129570013E-2</v>
      </c>
      <c r="F93" s="120">
        <f t="array" ref="F93:G93">F92:G92-Y</f>
        <v>0</v>
      </c>
      <c r="G93" s="121">
        <v>-2.2737367544323206E-12</v>
      </c>
    </row>
    <row r="94" spans="2:7" x14ac:dyDescent="0.2">
      <c r="B94" t="s">
        <v>39</v>
      </c>
      <c r="C94" s="177">
        <v>0.7</v>
      </c>
      <c r="D94" s="178">
        <v>0.35</v>
      </c>
    </row>
    <row r="95" spans="2:7" x14ac:dyDescent="0.2">
      <c r="B95" t="s">
        <v>40</v>
      </c>
      <c r="C95" s="179">
        <f t="array" ref="C95:D95">(sigmaY-1)/sigmaY</f>
        <v>-0.42857142857142866</v>
      </c>
      <c r="D95" s="180">
        <v>-1.8571428571428574</v>
      </c>
    </row>
    <row r="96" spans="2:7" x14ac:dyDescent="0.2">
      <c r="C96" s="181"/>
      <c r="D96" s="181"/>
    </row>
    <row r="97" spans="2:9" x14ac:dyDescent="0.2">
      <c r="B97" t="s">
        <v>104</v>
      </c>
      <c r="C97" s="173">
        <f t="array" ref="C97:D97">(Y/D)^rhoX*pD*D/(pD*D+pX*X)</f>
        <v>1.0628046216829141</v>
      </c>
      <c r="D97" s="174">
        <v>1.0389584707528505</v>
      </c>
      <c r="E97" s="59" t="s">
        <v>19</v>
      </c>
      <c r="F97" s="60">
        <f t="array" ref="F97:G97">(aX*D^rhoX+bX*X^rhoX)^(1/rhoX)</f>
        <v>27857.010133999949</v>
      </c>
      <c r="G97" s="61">
        <v>1236.7674480000003</v>
      </c>
    </row>
    <row r="98" spans="2:9" x14ac:dyDescent="0.2">
      <c r="B98" t="s">
        <v>105</v>
      </c>
      <c r="C98" s="175">
        <f t="array" ref="C98:D98">(Y/X)^rhoX*pX*X/(pD*D+pX*X)</f>
        <v>2.9527629608409791</v>
      </c>
      <c r="D98" s="176">
        <v>3.686320128465423</v>
      </c>
      <c r="F98" s="120">
        <f t="array" ref="F98:G98">F97:G97-Y</f>
        <v>-4.7293724492192268E-11</v>
      </c>
      <c r="G98" s="121">
        <v>0</v>
      </c>
    </row>
    <row r="99" spans="2:9" x14ac:dyDescent="0.2">
      <c r="B99" t="s">
        <v>66</v>
      </c>
      <c r="C99" s="170">
        <v>-2</v>
      </c>
      <c r="D99" s="171">
        <v>-2</v>
      </c>
    </row>
    <row r="100" spans="2:9" x14ac:dyDescent="0.2">
      <c r="B100" t="s">
        <v>106</v>
      </c>
      <c r="C100" s="179">
        <f t="array" ref="C100:D100">(sigmaX - 1)/sigmaX</f>
        <v>1.5</v>
      </c>
      <c r="D100" s="180">
        <v>1.5</v>
      </c>
    </row>
    <row r="102" spans="2:9" x14ac:dyDescent="0.2">
      <c r="B102" t="s">
        <v>97</v>
      </c>
      <c r="C102" s="28">
        <v>-0.1</v>
      </c>
    </row>
    <row r="104" spans="2:9" x14ac:dyDescent="0.2">
      <c r="B104" t="s">
        <v>43</v>
      </c>
      <c r="C104" s="63">
        <f>(U/CQ)^rhoU*pCQ*CQ/(pCQ*CQ+pCE*CE)</f>
        <v>754598012.73875809</v>
      </c>
      <c r="E104" s="59" t="s">
        <v>47</v>
      </c>
      <c r="F104" s="62">
        <f>(aU*CQ^rhoU+bU*CE^rhoU)^(1/rhoU)</f>
        <v>1</v>
      </c>
    </row>
    <row r="105" spans="2:9" x14ac:dyDescent="0.2">
      <c r="B105" t="s">
        <v>44</v>
      </c>
      <c r="C105" s="64">
        <f>(U/CE)^rhoU*pCE*CE/(pCQ*CQ+pCE*CE)</f>
        <v>56899.788039827064</v>
      </c>
      <c r="F105" s="114">
        <f t="array" ref="F105">F104-U</f>
        <v>0</v>
      </c>
    </row>
    <row r="106" spans="2:9" x14ac:dyDescent="0.2">
      <c r="B106" t="s">
        <v>45</v>
      </c>
      <c r="C106" s="197">
        <v>0.3</v>
      </c>
    </row>
    <row r="107" spans="2:9" x14ac:dyDescent="0.2">
      <c r="B107" t="s">
        <v>46</v>
      </c>
      <c r="C107" s="65">
        <f>(sigmaU-1)/sigmaU</f>
        <v>-2.3333333333333335</v>
      </c>
    </row>
    <row r="111" spans="2:9" x14ac:dyDescent="0.2">
      <c r="H111" s="109"/>
      <c r="I111" s="109"/>
    </row>
    <row r="112" spans="2:9" x14ac:dyDescent="0.2">
      <c r="H112" s="109"/>
      <c r="I112" s="109"/>
    </row>
    <row r="113" spans="2:16" ht="10.5" x14ac:dyDescent="0.25">
      <c r="B113" s="92" t="s">
        <v>93</v>
      </c>
    </row>
    <row r="114" spans="2:16" x14ac:dyDescent="0.2">
      <c r="B114" t="s">
        <v>12</v>
      </c>
      <c r="C114" s="81">
        <f t="array" ref="C114:D114">pY</f>
        <v>1000</v>
      </c>
      <c r="D114" s="82">
        <v>1000</v>
      </c>
    </row>
    <row r="115" spans="2:16" x14ac:dyDescent="0.2">
      <c r="B115" t="s">
        <v>115</v>
      </c>
      <c r="C115" s="93">
        <f t="array" ref="C115:D115">pS</f>
        <v>1000</v>
      </c>
      <c r="D115" s="94">
        <v>1000</v>
      </c>
    </row>
    <row r="116" spans="2:16" x14ac:dyDescent="0.2">
      <c r="B116" t="s">
        <v>17</v>
      </c>
      <c r="C116" s="93">
        <f t="array" ref="C116:D116">w</f>
        <v>1000</v>
      </c>
      <c r="D116" s="94">
        <v>1000</v>
      </c>
    </row>
    <row r="117" spans="2:16" x14ac:dyDescent="0.2">
      <c r="B117" t="s">
        <v>18</v>
      </c>
      <c r="C117" s="146">
        <f t="array" ref="C117:D117">pK</f>
        <v>1000</v>
      </c>
      <c r="D117" s="147">
        <v>1000</v>
      </c>
    </row>
    <row r="118" spans="2:16" x14ac:dyDescent="0.2">
      <c r="B118" t="s">
        <v>61</v>
      </c>
      <c r="C118" s="146">
        <f t="array" ref="C118:D118">pKL</f>
        <v>1000</v>
      </c>
      <c r="D118" s="147">
        <v>1000</v>
      </c>
    </row>
    <row r="119" spans="2:16" x14ac:dyDescent="0.2">
      <c r="B119" t="s">
        <v>114</v>
      </c>
      <c r="C119" s="79">
        <f t="array" ref="C119:D119">S</f>
        <v>26548.356269999993</v>
      </c>
      <c r="D119" s="80">
        <v>1408.5418709999938</v>
      </c>
    </row>
    <row r="120" spans="2:16" x14ac:dyDescent="0.2">
      <c r="B120" t="s">
        <v>8</v>
      </c>
      <c r="C120" s="93">
        <f>C43</f>
        <v>3196.3846373657216</v>
      </c>
      <c r="D120" s="186">
        <f>D52</f>
        <v>5.7716594496607888E-3</v>
      </c>
      <c r="E120" t="s">
        <v>135</v>
      </c>
    </row>
    <row r="121" spans="2:16" x14ac:dyDescent="0.2">
      <c r="B121" t="s">
        <v>64</v>
      </c>
      <c r="C121" s="149">
        <f>GDP</f>
        <v>14734457.915000005</v>
      </c>
      <c r="D121" s="150">
        <v>0</v>
      </c>
    </row>
    <row r="122" spans="2:16" x14ac:dyDescent="0.2">
      <c r="B122" t="s">
        <v>27</v>
      </c>
      <c r="C122" s="149">
        <f t="array" ref="C122:D122">Labour</f>
        <v>5036.2953101960647</v>
      </c>
      <c r="D122" s="157">
        <v>74.905331803938267</v>
      </c>
    </row>
    <row r="123" spans="2:16" x14ac:dyDescent="0.2">
      <c r="B123" t="s">
        <v>19</v>
      </c>
      <c r="C123" s="148">
        <f t="array" ref="C123:D123">Y</f>
        <v>27857.010133999996</v>
      </c>
      <c r="D123" s="151">
        <v>1236.7674480000003</v>
      </c>
    </row>
    <row r="126" spans="2:16" x14ac:dyDescent="0.2">
      <c r="E126" s="27"/>
      <c r="F126" s="27"/>
      <c r="G126" s="27"/>
      <c r="H126" s="27"/>
      <c r="I126" s="27"/>
      <c r="J126" s="27"/>
      <c r="K126" s="27"/>
      <c r="L126" s="27"/>
      <c r="M126" s="27"/>
      <c r="N126" s="27"/>
      <c r="O126" s="27"/>
      <c r="P126" s="27"/>
    </row>
    <row r="127" spans="2:16" x14ac:dyDescent="0.2">
      <c r="E127" s="27"/>
      <c r="F127" s="27"/>
      <c r="G127" s="27"/>
      <c r="H127" s="27"/>
      <c r="I127" s="27"/>
      <c r="J127" s="27"/>
      <c r="K127" s="27"/>
      <c r="L127" s="27"/>
      <c r="M127" s="27"/>
      <c r="N127" s="27"/>
      <c r="O127" s="27"/>
      <c r="P127" s="27"/>
    </row>
  </sheetData>
  <conditionalFormatting sqref="C14:D14">
    <cfRule type="cellIs" dxfId="110" priority="28" stopIfTrue="1" operator="notEqual">
      <formula>0</formula>
    </cfRule>
  </conditionalFormatting>
  <conditionalFormatting sqref="K21:L21">
    <cfRule type="cellIs" dxfId="109" priority="27" stopIfTrue="1" operator="notEqual">
      <formula>0</formula>
    </cfRule>
  </conditionalFormatting>
  <conditionalFormatting sqref="K23:L23 K25:L30">
    <cfRule type="cellIs" dxfId="108" priority="26" stopIfTrue="1" operator="notEqual">
      <formula>0</formula>
    </cfRule>
  </conditionalFormatting>
  <conditionalFormatting sqref="K32:L32">
    <cfRule type="cellIs" dxfId="107" priority="25" stopIfTrue="1" operator="notEqual">
      <formula>0</formula>
    </cfRule>
  </conditionalFormatting>
  <conditionalFormatting sqref="K37:L39 K41:L43">
    <cfRule type="cellIs" dxfId="106" priority="24" stopIfTrue="1" operator="notEqual">
      <formula>0</formula>
    </cfRule>
  </conditionalFormatting>
  <conditionalFormatting sqref="K45:L48">
    <cfRule type="cellIs" dxfId="105" priority="23" stopIfTrue="1" operator="notEqual">
      <formula>0</formula>
    </cfRule>
  </conditionalFormatting>
  <conditionalFormatting sqref="K34:L35">
    <cfRule type="cellIs" dxfId="104" priority="22" stopIfTrue="1" operator="notEqual">
      <formula>0</formula>
    </cfRule>
  </conditionalFormatting>
  <conditionalFormatting sqref="K70:L73">
    <cfRule type="cellIs" dxfId="103" priority="21" stopIfTrue="1" operator="notEqual">
      <formula>0</formula>
    </cfRule>
  </conditionalFormatting>
  <conditionalFormatting sqref="K57">
    <cfRule type="cellIs" dxfId="102" priority="20" stopIfTrue="1" operator="notEqual">
      <formula>0</formula>
    </cfRule>
  </conditionalFormatting>
  <conditionalFormatting sqref="K55">
    <cfRule type="cellIs" dxfId="101" priority="19" stopIfTrue="1" operator="notEqual">
      <formula>0</formula>
    </cfRule>
  </conditionalFormatting>
  <conditionalFormatting sqref="F78:G78">
    <cfRule type="cellIs" dxfId="100" priority="18" stopIfTrue="1" operator="notEqual">
      <formula>0</formula>
    </cfRule>
  </conditionalFormatting>
  <conditionalFormatting sqref="F83:G83">
    <cfRule type="cellIs" dxfId="99" priority="17" stopIfTrue="1" operator="notEqual">
      <formula>0</formula>
    </cfRule>
  </conditionalFormatting>
  <conditionalFormatting sqref="F88:G88">
    <cfRule type="cellIs" dxfId="98" priority="16" stopIfTrue="1" operator="notEqual">
      <formula>0</formula>
    </cfRule>
  </conditionalFormatting>
  <conditionalFormatting sqref="F93:G93">
    <cfRule type="cellIs" dxfId="97" priority="15" stopIfTrue="1" operator="notEqual">
      <formula>0</formula>
    </cfRule>
  </conditionalFormatting>
  <conditionalFormatting sqref="F105">
    <cfRule type="cellIs" dxfId="96" priority="14" stopIfTrue="1" operator="notEqual">
      <formula>0</formula>
    </cfRule>
  </conditionalFormatting>
  <conditionalFormatting sqref="K44:L44">
    <cfRule type="cellIs" dxfId="95" priority="11" stopIfTrue="1" operator="notEqual">
      <formula>0</formula>
    </cfRule>
  </conditionalFormatting>
  <conditionalFormatting sqref="L57">
    <cfRule type="cellIs" dxfId="94" priority="8" stopIfTrue="1" operator="notEqual">
      <formula>0</formula>
    </cfRule>
  </conditionalFormatting>
  <conditionalFormatting sqref="K24:L24">
    <cfRule type="cellIs" dxfId="93" priority="6" stopIfTrue="1" operator="notEqual">
      <formula>0</formula>
    </cfRule>
  </conditionalFormatting>
  <conditionalFormatting sqref="K40:L40">
    <cfRule type="cellIs" dxfId="92" priority="5" stopIfTrue="1" operator="notEqual">
      <formula>0</formula>
    </cfRule>
  </conditionalFormatting>
  <conditionalFormatting sqref="F98:G98">
    <cfRule type="cellIs" dxfId="91" priority="3" stopIfTrue="1" operator="notEqual">
      <formula>0</formula>
    </cfRule>
  </conditionalFormatting>
  <conditionalFormatting sqref="K65">
    <cfRule type="cellIs" dxfId="90"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I36"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17" t="s">
        <v>68</v>
      </c>
      <c r="C2" s="2" t="s">
        <v>24</v>
      </c>
      <c r="D2" s="3" t="s">
        <v>25</v>
      </c>
      <c r="E2" s="4" t="s">
        <v>6</v>
      </c>
      <c r="F2" s="5" t="s">
        <v>7</v>
      </c>
      <c r="G2" s="5" t="s">
        <v>8</v>
      </c>
      <c r="H2" s="6" t="s">
        <v>0</v>
      </c>
      <c r="I2" s="1"/>
      <c r="K2" s="117" t="s">
        <v>86</v>
      </c>
      <c r="L2" s="2" t="s">
        <v>24</v>
      </c>
      <c r="M2" s="3" t="s">
        <v>25</v>
      </c>
      <c r="N2" s="4" t="s">
        <v>6</v>
      </c>
      <c r="O2" s="5" t="s">
        <v>7</v>
      </c>
      <c r="P2" s="5" t="s">
        <v>8</v>
      </c>
      <c r="Q2" s="6" t="s">
        <v>0</v>
      </c>
      <c r="R2" s="1"/>
    </row>
    <row r="3" spans="2:18" ht="10.5" x14ac:dyDescent="0.25">
      <c r="B3" s="2" t="s">
        <v>24</v>
      </c>
      <c r="C3" s="48">
        <f t="array" ref="C3:D11">Calibration!C3:D11</f>
        <v>13356525.920999993</v>
      </c>
      <c r="D3" s="49">
        <v>398781.47400000016</v>
      </c>
      <c r="E3" s="50">
        <f t="array" ref="E3:H4">Calibration!E3:H4</f>
        <v>6637565.1090000011</v>
      </c>
      <c r="F3" s="51">
        <v>3330668.2879999997</v>
      </c>
      <c r="G3" s="51">
        <v>3247244.4950000001</v>
      </c>
      <c r="H3" s="57">
        <v>3195047.6039999989</v>
      </c>
      <c r="I3" s="9">
        <f>SUM(C3:H3)</f>
        <v>30165832.890999991</v>
      </c>
      <c r="K3" s="2" t="s">
        <v>24</v>
      </c>
      <c r="L3" s="48">
        <f t="array" ref="L3:M4">pIC*alpha*Y</f>
        <v>7768724.3844259875</v>
      </c>
      <c r="M3" s="49">
        <v>1.3012892485993325E-2</v>
      </c>
      <c r="N3" s="50">
        <f t="array" ref="N3:N4">TRANSPOSE(pC*Consumption)</f>
        <v>2127251.685943618</v>
      </c>
      <c r="O3" s="51">
        <f t="array" ref="O3:O4">TRANSPOSE(pG*G)</f>
        <v>2910558.2930836678</v>
      </c>
      <c r="P3" s="51">
        <f t="array" ref="P3:P4">TRANSPOSE(pI*I)</f>
        <v>18672133.413879305</v>
      </c>
      <c r="Q3" s="57">
        <f t="array" ref="Q3:Q4">TRANSPOSE(pX*X)</f>
        <v>3222.5286097819762</v>
      </c>
      <c r="R3" s="9">
        <f t="array" ref="R3">SUM(L3:Q3)</f>
        <v>31481890.318955254</v>
      </c>
    </row>
    <row r="4" spans="2:18" ht="10.5" x14ac:dyDescent="0.25">
      <c r="B4" s="10" t="s">
        <v>25</v>
      </c>
      <c r="C4" s="52">
        <v>599670.88199999998</v>
      </c>
      <c r="D4" s="53">
        <v>434900.03099999996</v>
      </c>
      <c r="E4" s="52">
        <v>382100.58199999394</v>
      </c>
      <c r="F4" s="54">
        <v>0</v>
      </c>
      <c r="G4" s="54">
        <v>0</v>
      </c>
      <c r="H4" s="46">
        <v>91012.690000004077</v>
      </c>
      <c r="I4" s="11">
        <f>SUM(C4:H4)</f>
        <v>1507684.184999998</v>
      </c>
      <c r="K4" s="10" t="s">
        <v>25</v>
      </c>
      <c r="L4" s="52">
        <v>2084773.6467334756</v>
      </c>
      <c r="M4" s="53">
        <v>0.19043169466190266</v>
      </c>
      <c r="N4" s="52">
        <v>1847438.4301282642</v>
      </c>
      <c r="O4" s="54">
        <v>0</v>
      </c>
      <c r="P4" s="54">
        <v>0</v>
      </c>
      <c r="Q4" s="46">
        <v>3.5116644856498502E-8</v>
      </c>
      <c r="R4" s="11">
        <f t="array" ref="R4">SUM(L4:Q4)</f>
        <v>3932212.2672934695</v>
      </c>
    </row>
    <row r="5" spans="2:18" x14ac:dyDescent="0.2">
      <c r="B5" s="12" t="s">
        <v>1</v>
      </c>
      <c r="C5" s="48">
        <v>5036295.3101960644</v>
      </c>
      <c r="D5" s="49">
        <v>74905.331803938272</v>
      </c>
      <c r="E5" s="13"/>
      <c r="F5" s="13"/>
      <c r="G5" s="13"/>
      <c r="H5" s="13"/>
      <c r="I5" s="1"/>
      <c r="K5" s="12" t="s">
        <v>1</v>
      </c>
      <c r="L5" s="48">
        <f t="array" ref="L5:M5">w*Labour</f>
        <v>3715211.1336153271</v>
      </c>
      <c r="M5" s="49">
        <v>3.0848854717288976E-3</v>
      </c>
      <c r="N5" s="13"/>
      <c r="O5" s="13"/>
      <c r="P5" s="13"/>
      <c r="Q5" s="13"/>
      <c r="R5" s="1"/>
    </row>
    <row r="6" spans="2:18" x14ac:dyDescent="0.2">
      <c r="B6" s="14" t="s">
        <v>9</v>
      </c>
      <c r="C6" s="50">
        <v>2301604.2068039379</v>
      </c>
      <c r="D6" s="55">
        <v>34231.993196061703</v>
      </c>
      <c r="E6" s="13"/>
      <c r="F6" s="13"/>
      <c r="G6" s="13"/>
      <c r="H6" s="13"/>
      <c r="I6" s="1"/>
      <c r="K6" s="14" t="s">
        <v>9</v>
      </c>
      <c r="L6" s="50">
        <f t="array" ref="L6:M6">w*tauL*Labour</f>
        <v>1697864.2132009869</v>
      </c>
      <c r="M6" s="55">
        <v>1.40980322676177E-3</v>
      </c>
      <c r="N6" s="13"/>
      <c r="O6" s="13"/>
      <c r="P6" s="13"/>
      <c r="Q6" s="13"/>
      <c r="R6" s="1"/>
    </row>
    <row r="7" spans="2:18" x14ac:dyDescent="0.2">
      <c r="B7" s="14" t="s">
        <v>10</v>
      </c>
      <c r="C7" s="50">
        <v>137715.65500000006</v>
      </c>
      <c r="D7" s="55">
        <v>20719.463999999996</v>
      </c>
      <c r="E7" s="13"/>
      <c r="F7" s="13"/>
      <c r="G7" s="13"/>
      <c r="H7" s="13"/>
      <c r="I7" s="1"/>
      <c r="K7" s="14" t="s">
        <v>10</v>
      </c>
      <c r="L7" s="50">
        <f t="array" ref="L7:M7">tauY*pY/(1+tauY)*Y</f>
        <v>90611.630985472351</v>
      </c>
      <c r="M7" s="55">
        <v>3.6517053690041643E-3</v>
      </c>
      <c r="N7" s="13"/>
      <c r="O7" s="13"/>
      <c r="P7" s="13"/>
      <c r="Q7" s="13"/>
      <c r="R7" s="1"/>
    </row>
    <row r="8" spans="2:18" x14ac:dyDescent="0.2">
      <c r="B8" s="14" t="s">
        <v>2</v>
      </c>
      <c r="C8" s="50">
        <v>6425198.1590000018</v>
      </c>
      <c r="D8" s="55">
        <v>273229.1540000001</v>
      </c>
      <c r="E8" s="13"/>
      <c r="F8" s="13"/>
      <c r="G8" s="13"/>
      <c r="H8" s="13"/>
      <c r="I8" s="1"/>
      <c r="K8" s="14" t="s">
        <v>2</v>
      </c>
      <c r="L8" s="50">
        <f t="array" ref="L8:M8">pK*kappa*Y</f>
        <v>2971661.6471119081</v>
      </c>
      <c r="M8" s="55">
        <v>6.383302776423367E-3</v>
      </c>
      <c r="N8" s="13"/>
      <c r="O8" s="13"/>
      <c r="P8" s="13"/>
      <c r="Q8" s="13"/>
      <c r="R8" s="1"/>
    </row>
    <row r="9" spans="2:18" x14ac:dyDescent="0.2">
      <c r="B9" s="2" t="s">
        <v>3</v>
      </c>
      <c r="C9" s="118">
        <v>1886393.7399999965</v>
      </c>
      <c r="D9" s="119">
        <v>262787.11299999768</v>
      </c>
      <c r="E9" s="13"/>
      <c r="F9" s="13"/>
      <c r="G9" s="13"/>
      <c r="H9" s="13"/>
      <c r="I9" s="1"/>
      <c r="K9" s="2" t="s">
        <v>3</v>
      </c>
      <c r="L9" s="118">
        <f t="array" ref="L9:M9">pW*M</f>
        <v>12660010.088202335</v>
      </c>
      <c r="M9" s="119">
        <v>24650.167446079035</v>
      </c>
      <c r="N9" s="13"/>
      <c r="O9" s="13"/>
      <c r="P9" s="13"/>
      <c r="Q9" s="13"/>
      <c r="R9" s="1"/>
    </row>
    <row r="10" spans="2:18" x14ac:dyDescent="0.2">
      <c r="B10" s="2" t="s">
        <v>4</v>
      </c>
      <c r="C10" s="56">
        <v>422429.01700000005</v>
      </c>
      <c r="D10" s="57">
        <v>8129.6240000000016</v>
      </c>
      <c r="E10" s="13"/>
      <c r="F10" s="13"/>
      <c r="G10" s="13"/>
      <c r="H10" s="13"/>
      <c r="I10" s="1"/>
      <c r="K10" s="2" t="s">
        <v>4</v>
      </c>
      <c r="L10" s="56">
        <f t="array" ref="L10:M10">tauTS*pS*S</f>
        <v>493033.57501836459</v>
      </c>
      <c r="M10" s="57">
        <v>3907561.8819968691</v>
      </c>
      <c r="N10" s="13"/>
      <c r="O10" s="13"/>
      <c r="P10" s="13"/>
      <c r="Q10" s="13"/>
      <c r="R10" s="1"/>
    </row>
    <row r="11" spans="2:18" x14ac:dyDescent="0.2">
      <c r="B11" s="15" t="s">
        <v>5</v>
      </c>
      <c r="C11" s="58">
        <v>0</v>
      </c>
      <c r="D11" s="46">
        <v>0</v>
      </c>
      <c r="E11" s="13"/>
      <c r="F11" s="47" t="s">
        <v>24</v>
      </c>
      <c r="G11" s="16" t="s">
        <v>25</v>
      </c>
      <c r="H11" s="13"/>
      <c r="I11" s="1"/>
      <c r="K11" s="15"/>
      <c r="L11" s="58"/>
      <c r="M11" s="46"/>
      <c r="N11" s="13"/>
      <c r="O11" s="98"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31481890.319293857</v>
      </c>
      <c r="M12" s="18">
        <f>SUM(M3:M11)</f>
        <v>3932212.267417232</v>
      </c>
      <c r="N12" s="19"/>
      <c r="O12" s="20">
        <f t="array" ref="O12:P12">pY*Y</f>
        <v>18328846.655963477</v>
      </c>
      <c r="P12" s="21">
        <v>0.21797428399070462</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00">
        <f>I3-C12</f>
        <v>0</v>
      </c>
      <c r="D14" s="200">
        <f>I4-D12</f>
        <v>0</v>
      </c>
      <c r="E14" s="13"/>
      <c r="F14" s="13"/>
      <c r="G14" s="13"/>
      <c r="H14" s="13"/>
      <c r="I14" s="1"/>
      <c r="K14" s="22" t="s">
        <v>30</v>
      </c>
      <c r="L14" s="200">
        <f t="array" ref="L14">R3-L12</f>
        <v>-3.3860281109809875E-4</v>
      </c>
      <c r="M14" s="200">
        <f t="array" ref="M14">R4-M12</f>
        <v>-1.2376252561807632E-4</v>
      </c>
      <c r="N14" s="13"/>
      <c r="O14" s="13"/>
      <c r="P14" s="13"/>
      <c r="Q14" s="13"/>
      <c r="R14" s="1"/>
    </row>
    <row r="15" spans="2:18" x14ac:dyDescent="0.2">
      <c r="B15" s="1"/>
      <c r="C15" s="1"/>
      <c r="D15" s="1"/>
      <c r="E15" s="13"/>
      <c r="F15" s="23"/>
      <c r="G15" s="24"/>
      <c r="H15" s="13"/>
      <c r="I15" s="1"/>
    </row>
    <row r="16" spans="2:18" x14ac:dyDescent="0.2">
      <c r="G16" s="24"/>
      <c r="H16" s="25"/>
      <c r="I16" s="1"/>
    </row>
    <row r="17" spans="2:21" x14ac:dyDescent="0.2">
      <c r="K17" s="59" t="s">
        <v>65</v>
      </c>
      <c r="L17" s="122">
        <f>MAX(ERROR1,ERROR2,ERROR3,ERROR4,ERROR5,ERROR6,ERROR7,ERROR8,ERROR9,ERROR10,ERROR11,ABS(MIN(ERROR1,ERROR2,ERROR3,ERROR4,ERROR5,ERROR6,ERROR7,ERROR8,ERROR9,ERROR10,ERROR11)))</f>
        <v>3.8207062946771231E-7</v>
      </c>
    </row>
    <row r="19" spans="2:21" ht="10.5" x14ac:dyDescent="0.25">
      <c r="B19" s="92" t="s">
        <v>79</v>
      </c>
      <c r="C19" s="106" t="s">
        <v>87</v>
      </c>
      <c r="H19" s="92" t="s">
        <v>60</v>
      </c>
      <c r="K19" s="92" t="s">
        <v>59</v>
      </c>
      <c r="Q19" s="92" t="s">
        <v>42</v>
      </c>
    </row>
    <row r="21" spans="2:21" ht="10.5" x14ac:dyDescent="0.25">
      <c r="B21" t="s">
        <v>12</v>
      </c>
      <c r="C21" s="81">
        <f t="array" ref="C21:D21">ABS(C80:D80)</f>
        <v>8672.8212538572352</v>
      </c>
      <c r="D21" s="82">
        <v>77013.828998587443</v>
      </c>
      <c r="H21" s="60">
        <f t="array" ref="H21:I21">(aY^sigmaY*pKLE^(1-sigmaY)+bY^sigmaY*pMY^(1-sigmaY))^(1/(1-sigmaY))*(1+tauY)</f>
        <v>8672.8212539031574</v>
      </c>
      <c r="I21" s="61">
        <v>77013.828998983707</v>
      </c>
      <c r="J21" s="107" t="s">
        <v>69</v>
      </c>
      <c r="K21" s="113">
        <f t="array" ref="K21:L21">H21:I21/pY-1</f>
        <v>5.2948756490422966E-12</v>
      </c>
      <c r="L21" s="113">
        <v>5.1454396299277505E-12</v>
      </c>
      <c r="N21" s="68">
        <f t="array" ref="N21:O35">PRICES/Calibration!PRICES-1</f>
        <v>7.6728212538572347</v>
      </c>
      <c r="O21" s="69">
        <v>76.013828998587442</v>
      </c>
      <c r="Q21" s="113">
        <f t="array" ref="Q21:R21">(pKLE*KLE+pMY*alphaMY*Y)*(1+tauY)/Y-pY</f>
        <v>4.5918568503111601E-8</v>
      </c>
      <c r="R21" s="113">
        <v>3.9624865166842937E-7</v>
      </c>
      <c r="T21" s="113">
        <f t="array" ref="T21:U21">(aX^sigmaX*pD^(1-sigmaX)+bX^sigmaX*pW^(1-sigmaX))^(1/(1-sigmaX))-pY</f>
        <v>-1.8189894035458565E-11</v>
      </c>
      <c r="U21" s="113">
        <v>-1.3096723705530167E-10</v>
      </c>
    </row>
    <row r="22" spans="2:21" x14ac:dyDescent="0.2">
      <c r="B22" t="s">
        <v>103</v>
      </c>
      <c r="C22" s="95">
        <f t="array" ref="C22:D22">Calibration!pW</f>
        <v>1000</v>
      </c>
      <c r="D22" s="96">
        <v>1000</v>
      </c>
      <c r="N22" s="70">
        <v>0</v>
      </c>
      <c r="O22" s="71">
        <v>0</v>
      </c>
    </row>
    <row r="23" spans="2:21" ht="10.5" x14ac:dyDescent="0.25">
      <c r="B23" t="s">
        <v>115</v>
      </c>
      <c r="C23" s="93">
        <f t="array" ref="C23:D23">ABS(C81:D81)</f>
        <v>5750.147068577694</v>
      </c>
      <c r="D23" s="94">
        <v>1750.0640859752425</v>
      </c>
      <c r="H23" s="60">
        <f t="array" ref="H23:I23">(aS^sigmaS*pD^(1-sigmaS)+bS^sigmaS*pW^(1-sigmaS))^(1/(1-sigmaS))</f>
        <v>5750.1470686161883</v>
      </c>
      <c r="I23" s="61">
        <v>1750.06408597175</v>
      </c>
      <c r="J23" s="107" t="s">
        <v>108</v>
      </c>
      <c r="K23" s="113">
        <f t="array" ref="K23:L23">(pY*Y+pW*M)/(pS*S+pW*X)-1</f>
        <v>1.0663470106919704E-11</v>
      </c>
      <c r="L23" s="113">
        <v>1.382893799473095E-12</v>
      </c>
      <c r="N23" s="70">
        <v>4.7501470685776939</v>
      </c>
      <c r="O23" s="71">
        <v>0.75006408597524254</v>
      </c>
      <c r="Q23" s="113">
        <f t="array" ref="Q23:R23">pS*S-pD*D-pW*M</f>
        <v>-2.074316143989563E-4</v>
      </c>
      <c r="R23" s="113">
        <v>4.9192749429494143E-8</v>
      </c>
    </row>
    <row r="24" spans="2:21" x14ac:dyDescent="0.2">
      <c r="B24" t="s">
        <v>77</v>
      </c>
      <c r="C24" s="110">
        <f t="array" ref="C24:D24">aX^(sigmaX/(sigmaX-1))*(pY^(1-sigmaX)-bX^sigmaX*pW^(1-sigmaX))^(1/(1-sigmaX))</f>
        <v>9031.7220584560309</v>
      </c>
      <c r="D24" s="164">
        <v>79001.284357276803</v>
      </c>
      <c r="N24" s="70">
        <v>8.0317220584560314</v>
      </c>
      <c r="O24" s="71">
        <v>78.001284357276802</v>
      </c>
    </row>
    <row r="25" spans="2:21" x14ac:dyDescent="0.2">
      <c r="B25" t="s">
        <v>13</v>
      </c>
      <c r="C25" s="31">
        <f t="array" ref="C25:D26">TRANSPOSE(pS*(1+tauTS))</f>
        <v>5841.6415833070123</v>
      </c>
      <c r="D25" s="32">
        <v>5841.6415833070123</v>
      </c>
      <c r="E25" t="s">
        <v>63</v>
      </c>
      <c r="N25" s="70">
        <v>4.7501470685776939</v>
      </c>
      <c r="O25" s="71">
        <v>4.7501470685776939</v>
      </c>
    </row>
    <row r="26" spans="2:21" x14ac:dyDescent="0.2">
      <c r="C26" s="33">
        <v>279169.00082108442</v>
      </c>
      <c r="D26" s="34">
        <v>279169.00082108442</v>
      </c>
      <c r="E26" t="s">
        <v>41</v>
      </c>
      <c r="N26" s="70">
        <v>276.56697874529533</v>
      </c>
      <c r="O26" s="71">
        <v>276.56697874529527</v>
      </c>
    </row>
    <row r="27" spans="2:21" ht="10.5" x14ac:dyDescent="0.25">
      <c r="B27" t="s">
        <v>14</v>
      </c>
      <c r="C27" s="39">
        <f t="array" ref="C27:D27">pS*(1+tauTS)</f>
        <v>5841.6415833070123</v>
      </c>
      <c r="D27" s="40">
        <v>279169.00082108442</v>
      </c>
      <c r="J27" s="92"/>
      <c r="N27" s="70">
        <v>4.7501470685776939</v>
      </c>
      <c r="O27" s="71">
        <v>276.56697874529533</v>
      </c>
    </row>
    <row r="28" spans="2:21" ht="10.5" x14ac:dyDescent="0.25">
      <c r="B28" t="s">
        <v>15</v>
      </c>
      <c r="C28" s="39">
        <f t="array" ref="C28:D28">pS*(1+tauTS)</f>
        <v>5841.6415833070123</v>
      </c>
      <c r="D28" s="40">
        <v>279169.00082108442</v>
      </c>
      <c r="J28" s="92"/>
      <c r="N28" s="70">
        <v>4.7501470685776948</v>
      </c>
      <c r="O28" s="71">
        <v>276.56697874529533</v>
      </c>
    </row>
    <row r="29" spans="2:21" ht="10.5" x14ac:dyDescent="0.25">
      <c r="B29" t="s">
        <v>29</v>
      </c>
      <c r="C29" s="39">
        <f t="array" ref="C29:D29">pS*(1+tauTS)</f>
        <v>5841.6415833070123</v>
      </c>
      <c r="D29" s="40">
        <v>279169.00082108442</v>
      </c>
      <c r="J29" s="92"/>
      <c r="N29" s="70">
        <v>4.7501470685776939</v>
      </c>
      <c r="O29" s="71">
        <v>276.56697874529533</v>
      </c>
    </row>
    <row r="30" spans="2:21" ht="10.5" x14ac:dyDescent="0.25">
      <c r="B30" t="s">
        <v>16</v>
      </c>
      <c r="C30" s="39">
        <f t="array" ref="C30:D30">pW</f>
        <v>1000</v>
      </c>
      <c r="D30" s="40">
        <v>1000</v>
      </c>
      <c r="J30" s="92"/>
      <c r="N30" s="70">
        <v>0</v>
      </c>
      <c r="O30" s="71">
        <v>0</v>
      </c>
    </row>
    <row r="31" spans="2:21" x14ac:dyDescent="0.2">
      <c r="B31" t="s">
        <v>17</v>
      </c>
      <c r="C31" s="93">
        <f>ABS(C82)</f>
        <v>11203.026184318258</v>
      </c>
      <c r="D31" s="164">
        <f>wQ</f>
        <v>11203.026184318258</v>
      </c>
      <c r="N31" s="70">
        <v>10.203026184318258</v>
      </c>
      <c r="O31" s="71">
        <v>10.203026184318258</v>
      </c>
    </row>
    <row r="32" spans="2:21" x14ac:dyDescent="0.2">
      <c r="B32" t="s">
        <v>36</v>
      </c>
      <c r="C32" s="39">
        <f t="array" ref="C32:D32">w*(1+tauL)</f>
        <v>16322.847522546685</v>
      </c>
      <c r="D32" s="40">
        <v>16322.847522546686</v>
      </c>
      <c r="N32" s="70">
        <v>10.203026184318258</v>
      </c>
      <c r="O32" s="71">
        <v>10.203026184318258</v>
      </c>
      <c r="Q32" s="113">
        <f t="array" ref="Q32:R32">bKL*(Labour/KL)^(rhoKL-1)*pKL/pL-1</f>
        <v>-2.10106376741237E-11</v>
      </c>
      <c r="R32" s="113">
        <v>2.9554659652930582E-7</v>
      </c>
      <c r="S32" t="s">
        <v>122</v>
      </c>
    </row>
    <row r="33" spans="2:19" x14ac:dyDescent="0.2">
      <c r="B33" t="s">
        <v>18</v>
      </c>
      <c r="C33" s="144">
        <f>ABS(C83)</f>
        <v>5750.147068577694</v>
      </c>
      <c r="D33" s="165">
        <f>C33</f>
        <v>5750.147068577694</v>
      </c>
      <c r="E33" t="s">
        <v>56</v>
      </c>
      <c r="N33" s="70">
        <v>4.7501470685776939</v>
      </c>
      <c r="O33" s="71">
        <v>4.7501470685776939</v>
      </c>
      <c r="Q33" s="113">
        <f t="array" ref="Q33:R33">aKL*(K/KL)^(rhoKL-1)*pKL/pK-1</f>
        <v>3.3857583403573699E-11</v>
      </c>
      <c r="R33" s="113">
        <v>-2.0810488021716367E-7</v>
      </c>
      <c r="S33" t="s">
        <v>122</v>
      </c>
    </row>
    <row r="34" spans="2:19" ht="10.5" x14ac:dyDescent="0.25">
      <c r="B34" t="s">
        <v>61</v>
      </c>
      <c r="C34" s="93">
        <f t="array" ref="C34:D34">ABS(C84:D84)</f>
        <v>8523.5872094898605</v>
      </c>
      <c r="D34" s="94">
        <v>7249.8097464226603</v>
      </c>
      <c r="J34" s="107" t="s">
        <v>121</v>
      </c>
      <c r="K34" s="113">
        <f t="array" ref="K34:L34">pKL*KL/(pK*K+pL*Labour)-1</f>
        <v>-1.5643042416968456E-12</v>
      </c>
      <c r="L34" s="113">
        <v>-5.9463545198923384E-13</v>
      </c>
      <c r="N34" s="70">
        <v>7.523587209489861</v>
      </c>
      <c r="O34" s="71">
        <v>6.2498097464226605</v>
      </c>
      <c r="Q34" s="113">
        <f t="array" ref="Q34:R34">(aKL^sigmaKL*pK^(1-sigmaKL)+bKL^sigmaKL*pL^(1-sigmaKL))^((rhoKL-1)/rhoKL)-pKL</f>
        <v>1.3335011317394674E-8</v>
      </c>
      <c r="R34" s="113">
        <v>4.2746250983327627E-9</v>
      </c>
      <c r="S34" t="s">
        <v>122</v>
      </c>
    </row>
    <row r="35" spans="2:19" x14ac:dyDescent="0.2">
      <c r="B35" t="s">
        <v>62</v>
      </c>
      <c r="C35" s="33">
        <f t="array" ref="C35:D35">(aKLE^sigmaKLE*pKL^(1-sigmaKLE)+bKLE^sigmaKLE*pEY^(1-sigmaKLE))^(1/(1-sigmaKLE))</f>
        <v>12202.599138496198</v>
      </c>
      <c r="D35" s="34">
        <v>128894.98849173771</v>
      </c>
      <c r="N35" s="72">
        <v>11.202599138496199</v>
      </c>
      <c r="O35" s="73">
        <v>127.89498849173771</v>
      </c>
      <c r="Q35" s="113">
        <f t="array" ref="Q35:R35">(pKL*KL+pEY*alphaEY*Y)/KLE-pKLE</f>
        <v>0</v>
      </c>
      <c r="R35" s="113">
        <v>2.4738255888223648E-10</v>
      </c>
    </row>
    <row r="37" spans="2:19" ht="10.5" x14ac:dyDescent="0.25">
      <c r="B37" t="s">
        <v>19</v>
      </c>
      <c r="C37" s="81">
        <f t="array" ref="C37:D37">ABS(C89:D89)</f>
        <v>2113.3661261393722</v>
      </c>
      <c r="D37" s="82">
        <v>2.8303265377793722E-6</v>
      </c>
      <c r="H37" s="60">
        <f t="array" ref="H37:I37">(aX*D^rhoX+bX*X^rhoX)^(1/rhoX)</f>
        <v>2113.3661261251891</v>
      </c>
      <c r="I37" s="61">
        <v>2.8303254563947303E-6</v>
      </c>
      <c r="J37" s="107" t="s">
        <v>107</v>
      </c>
      <c r="K37" s="113">
        <f t="array" ref="K37:L37">H37:I37/Y-1</f>
        <v>-6.7111871615566088E-12</v>
      </c>
      <c r="L37" s="113">
        <v>-3.8207062946771231E-7</v>
      </c>
      <c r="N37" s="68">
        <f t="array" ref="N37:O48">VOLUMES/Calibration!VOLUMES-1</f>
        <v>-0.9241352135073545</v>
      </c>
      <c r="O37" s="69">
        <v>-0.99999999771151271</v>
      </c>
      <c r="Q37" s="113">
        <f t="array" ref="Q37:R37">(aY*KLE^rhoY+bY*(alphaMY*Y)^rhoY)^(1/rhoY)-Y</f>
        <v>3.637978807091713E-12</v>
      </c>
      <c r="R37" s="113">
        <v>3.8116482626443515E-21</v>
      </c>
    </row>
    <row r="38" spans="2:19" x14ac:dyDescent="0.2">
      <c r="B38" t="s">
        <v>3</v>
      </c>
      <c r="C38" s="39">
        <f t="array" ref="C38:D38">(bS/pW)^sigmaS*(aS^sigmaS*pD^(1-sigmaS)+bS^sigmaS*pW^(1-sigmaS))^(-1/rhoS)*S</f>
        <v>12660.010088202334</v>
      </c>
      <c r="D38" s="40">
        <v>24.650167446079035</v>
      </c>
      <c r="N38" s="70">
        <v>5.7112235477426667</v>
      </c>
      <c r="O38" s="71">
        <v>-0.90619719831512724</v>
      </c>
      <c r="Q38" s="113">
        <f t="array" ref="Q38:R38">pD*D+pW*M-pS*S</f>
        <v>2.074316143989563E-4</v>
      </c>
      <c r="R38" s="113">
        <v>-4.9192749429494143E-8</v>
      </c>
    </row>
    <row r="39" spans="2:19" ht="10.5" x14ac:dyDescent="0.25">
      <c r="B39" t="s">
        <v>114</v>
      </c>
      <c r="C39" s="79">
        <f t="array" ref="C39:D39">ABS(C85:D85)</f>
        <v>5388.6681237337316</v>
      </c>
      <c r="D39" s="80">
        <v>14.08541870999948</v>
      </c>
      <c r="E39" t="s">
        <v>109</v>
      </c>
      <c r="H39" s="60">
        <f t="array" ref="H39:I39">MMULT(Y,TRANSPOSE(alpha))+Consumption+G+I</f>
        <v>5388.6681237511111</v>
      </c>
      <c r="I39" s="61">
        <v>14.085418709556279</v>
      </c>
      <c r="J39" s="107" t="s">
        <v>72</v>
      </c>
      <c r="K39" s="113">
        <f t="array" ref="K39:L39">H39:I39/S-1</f>
        <v>3.2251978865360797E-12</v>
      </c>
      <c r="L39" s="113">
        <v>-3.1465274830111412E-11</v>
      </c>
      <c r="N39" s="70">
        <v>-0.79702441578942496</v>
      </c>
      <c r="O39" s="71">
        <v>-0.99000000000000032</v>
      </c>
    </row>
    <row r="40" spans="2:19" x14ac:dyDescent="0.2">
      <c r="B40" t="s">
        <v>76</v>
      </c>
      <c r="C40" s="39">
        <f t="array" ref="C40:D40">(aS/pD)^sigmaS*(aS^sigmaS*pD^(1-sigmaS)+bS^sigmaS*pW^(1-sigmaS))^(-1/rhoS)*S</f>
        <v>2029.0287952421147</v>
      </c>
      <c r="D40" s="40">
        <v>2.7591217961307678E-6</v>
      </c>
      <c r="F40" s="156"/>
      <c r="N40" s="72">
        <v>-0.91772638561209774</v>
      </c>
      <c r="O40" s="73">
        <v>-0.99999999759187397</v>
      </c>
    </row>
    <row r="41" spans="2:19" ht="10.5" x14ac:dyDescent="0.25">
      <c r="B41" t="s">
        <v>28</v>
      </c>
      <c r="C41" s="39">
        <f>(aU/pCQ)^sigmaU/(aU^sigmaU*pCQ^(1-sigmaU)+bU^sigmaU*pCE^(1-sigmaU))*Revenue</f>
        <v>364.15306478617595</v>
      </c>
      <c r="D41" s="40">
        <f>(bU/pCE)^sigmaU/(aU^sigmaU*pCQ^(1-sigmaU)+bU^sigmaU*pCE^(1-sigmaU))*Revenue</f>
        <v>6.6176345679306356</v>
      </c>
      <c r="E41" t="s">
        <v>57</v>
      </c>
      <c r="H41" s="59" t="s">
        <v>67</v>
      </c>
      <c r="I41" s="91">
        <v>0.99000000000000032</v>
      </c>
      <c r="J41" s="107" t="s">
        <v>73</v>
      </c>
      <c r="K41" s="113">
        <f>Model!SE/(1-I41)/Calibration!SE-1</f>
        <v>0</v>
      </c>
      <c r="N41" s="70">
        <v>-0.9442645990397287</v>
      </c>
      <c r="O41" s="71">
        <v>-0.98258094958615072</v>
      </c>
    </row>
    <row r="42" spans="2:19" x14ac:dyDescent="0.2">
      <c r="B42" t="s">
        <v>7</v>
      </c>
      <c r="C42" s="110">
        <f t="array" ref="C42">omegaG*GDP/pG</f>
        <v>498.24321666718402</v>
      </c>
      <c r="D42" s="8">
        <v>0</v>
      </c>
      <c r="N42" s="70">
        <v>-0.8480271642830528</v>
      </c>
      <c r="O42" s="71" t="e">
        <v>#DIV/0!</v>
      </c>
    </row>
    <row r="43" spans="2:19" x14ac:dyDescent="0.2">
      <c r="B43" t="s">
        <v>8</v>
      </c>
      <c r="C43" s="93">
        <f>ABS(C86)</f>
        <v>3196.3846373657216</v>
      </c>
      <c r="D43" s="8">
        <v>0</v>
      </c>
      <c r="J43" s="59"/>
      <c r="N43" s="70">
        <v>0</v>
      </c>
      <c r="O43" s="71" t="e">
        <v>#DIV/0!</v>
      </c>
    </row>
    <row r="44" spans="2:19" x14ac:dyDescent="0.2">
      <c r="B44" t="s">
        <v>0</v>
      </c>
      <c r="C44" s="158">
        <f t="array" ref="C44:D44">(bX/pX)^sigmaX*(aX^sigmaX*pD^(1-sigmaX)+bX^sigmaX*pX^(1-sigmaX))^(-1/rhoX)*Y</f>
        <v>3.2225286097819761</v>
      </c>
      <c r="D44" s="159">
        <v>3.5116644856498503E-11</v>
      </c>
      <c r="N44" s="70">
        <v>-0.99899139887438682</v>
      </c>
      <c r="O44" s="71">
        <v>-0.9999999999996142</v>
      </c>
    </row>
    <row r="45" spans="2:19" x14ac:dyDescent="0.2">
      <c r="B45" t="s">
        <v>27</v>
      </c>
      <c r="C45" s="81">
        <f t="array" ref="C45:D45">ABS(C88:D88)</f>
        <v>331.6256761780844</v>
      </c>
      <c r="D45" s="82">
        <v>2.7536180144317168E-7</v>
      </c>
      <c r="H45" s="27"/>
      <c r="N45" s="70">
        <v>-0.93415285328747455</v>
      </c>
      <c r="O45" s="71">
        <v>-0.99999999632386916</v>
      </c>
      <c r="Q45" s="113">
        <f t="array" ref="Q45:R45">(bKL/pL)^sigmaKL*(aKL^sigmaKL*pK^(1-sigmaKL)+bKL^sigmaKL*pL^(1-sigmaKL))^(-1/rhoKL)*KL/Labour-1</f>
        <v>-5.8338889274978101E-12</v>
      </c>
      <c r="R45" s="113">
        <v>4.4332072235420128E-8</v>
      </c>
      <c r="S45" t="s">
        <v>122</v>
      </c>
    </row>
    <row r="46" spans="2:19" x14ac:dyDescent="0.2">
      <c r="B46" t="s">
        <v>2</v>
      </c>
      <c r="C46" s="33">
        <f t="array" ref="C46:D46">(KL^rhoKL/aKL-bKL*Labour^rhoKL/aKL)^(1/rhoKL)</f>
        <v>516.79750303272715</v>
      </c>
      <c r="D46" s="34">
        <v>1.1101112198165541E-6</v>
      </c>
      <c r="N46" s="70">
        <v>-0.91956707166940355</v>
      </c>
      <c r="O46" s="71">
        <v>-0.9999999959370689</v>
      </c>
      <c r="Q46" s="113">
        <f t="array" ref="Q46:R46">(aKL/pK)^sigmaKL*(aKL^sigmaKL*pK^(1-sigmaKL)+bKL^sigmaKL*pL^(1-sigmaKL))^(-1/rhoKL)*KL/K-1</f>
        <v>1.0626166613292298E-11</v>
      </c>
      <c r="R46" s="113">
        <v>-3.1215646623117266E-8</v>
      </c>
      <c r="S46" t="s">
        <v>122</v>
      </c>
    </row>
    <row r="47" spans="2:19" x14ac:dyDescent="0.2">
      <c r="B47" t="s">
        <v>35</v>
      </c>
      <c r="C47" s="39">
        <f t="array" ref="C47:D47">(aKLE/pKL)^sigmaKLE*(aKLE^sigmaKLE*pKL^(1-sigmaKLE)+bKLE^sigmaKLE*pEY^(1-sigmaKLE))^(-1/rhoKLE)*KLE</f>
        <v>983.70988503289277</v>
      </c>
      <c r="D47" s="40">
        <v>1.5004519918988482E-6</v>
      </c>
      <c r="N47" s="70">
        <v>-0.92852554648738128</v>
      </c>
      <c r="O47" s="71">
        <v>-0.99999999607587986</v>
      </c>
      <c r="Q47" s="113">
        <f t="array" ref="Q47:R47">(aKL*K^rhoKL+bKL*Labour^rhoKL)^(1/rhoKL)-KL</f>
        <v>0</v>
      </c>
      <c r="R47" s="113">
        <v>1.9058241313221758E-21</v>
      </c>
    </row>
    <row r="48" spans="2:19" x14ac:dyDescent="0.2">
      <c r="B48" t="s">
        <v>53</v>
      </c>
      <c r="C48" s="33">
        <f t="array" ref="C48:D48">(aY/pKLE)^sigmaY*(aY^sigmaY*pKLE^(1-sigmaY)+bY^sigmaY*pMY^(1-sigmaY))^(-1/rhoY)*Y</f>
        <v>857.97382359466769</v>
      </c>
      <c r="D48" s="34">
        <v>1.5618115839291454E-6</v>
      </c>
      <c r="N48" s="72">
        <v>-0.94026403613412124</v>
      </c>
      <c r="O48" s="73">
        <v>-0.99999999808898132</v>
      </c>
      <c r="Q48" s="113">
        <f t="array" ref="Q48:R48">(aKLE*KL^rhoKLE+bKLE*(alphaEY*Y)^rhoKLE)^(1/rhoKLE)-KLE</f>
        <v>0</v>
      </c>
      <c r="R48" s="113">
        <v>0</v>
      </c>
    </row>
    <row r="50" spans="2:38" x14ac:dyDescent="0.2">
      <c r="B50" t="s">
        <v>26</v>
      </c>
      <c r="C50" s="88">
        <f t="array" ref="C50:D50">Calibration!tauL</f>
        <v>0.45700342514552333</v>
      </c>
      <c r="D50" s="89">
        <v>0.4570034251455235</v>
      </c>
    </row>
    <row r="51" spans="2:38" x14ac:dyDescent="0.2">
      <c r="B51" t="s">
        <v>20</v>
      </c>
      <c r="C51" s="193">
        <f t="array" ref="C51:D51">Calibration!tauY</f>
        <v>4.9682236719384319E-3</v>
      </c>
      <c r="D51" s="194">
        <v>1.7038360552061892E-2</v>
      </c>
    </row>
    <row r="52" spans="2:38" x14ac:dyDescent="0.2">
      <c r="B52" t="s">
        <v>136</v>
      </c>
      <c r="C52" s="90">
        <f>Calibration!C52</f>
        <v>1.5911682542747503E-2</v>
      </c>
      <c r="D52" s="187">
        <f>D86</f>
        <v>158.51930164061073</v>
      </c>
      <c r="J52" s="27"/>
      <c r="AA52" s="78"/>
    </row>
    <row r="53" spans="2:38" x14ac:dyDescent="0.2">
      <c r="C53" s="27"/>
      <c r="D53" s="27"/>
      <c r="Y53" s="78"/>
      <c r="AA53" s="78"/>
      <c r="AC53" s="78"/>
    </row>
    <row r="54" spans="2:38" ht="10.5" x14ac:dyDescent="0.25">
      <c r="C54" s="27"/>
      <c r="D54" s="27"/>
      <c r="K54" s="184" t="s">
        <v>141</v>
      </c>
      <c r="U54" s="127" t="s">
        <v>89</v>
      </c>
      <c r="W54" s="127" t="s">
        <v>90</v>
      </c>
      <c r="Y54" s="127" t="s">
        <v>147</v>
      </c>
      <c r="AA54" s="184" t="s">
        <v>130</v>
      </c>
      <c r="AC54" s="184" t="s">
        <v>146</v>
      </c>
      <c r="AE54" s="184" t="s">
        <v>131</v>
      </c>
      <c r="AG54" s="184" t="s">
        <v>142</v>
      </c>
      <c r="AI54" s="184" t="s">
        <v>141</v>
      </c>
      <c r="AK54" s="184" t="s">
        <v>133</v>
      </c>
    </row>
    <row r="55" spans="2:38" ht="10.5" x14ac:dyDescent="0.25">
      <c r="B55" t="s">
        <v>48</v>
      </c>
      <c r="C55" s="112">
        <f t="array" ref="C55">SUM(w*tauL*Labour+tauY/(1+tauY)*pY*Y+tauTS*pS*S)</f>
        <v>6189071.3062632009</v>
      </c>
      <c r="J55" s="107" t="s">
        <v>71</v>
      </c>
      <c r="K55" s="113">
        <f t="array" ref="K55">pK/pI/Calibration!pK*Calibration!pI-1</f>
        <v>0</v>
      </c>
      <c r="N55" s="74">
        <f t="array" ref="N55:N59">AGGREGATES/Calibration!AGGREGATES-1</f>
        <v>1.1160448268463448</v>
      </c>
      <c r="T55" s="107" t="s">
        <v>124</v>
      </c>
      <c r="U55" s="113">
        <f>SUM(K)/SUM(Calibration!K)-1</f>
        <v>-0.92284793429946443</v>
      </c>
      <c r="W55" s="113">
        <f>SUM(K)/SUM(Calibration!K)-1</f>
        <v>-0.92284793429946443</v>
      </c>
      <c r="Y55" s="113">
        <f>SUM(K)/SUM(Calibration!K)-1</f>
        <v>-0.92284793429946443</v>
      </c>
      <c r="AA55" s="113">
        <f>SUM(K)/SUM(Calibration!K)-1</f>
        <v>-0.92284793429946443</v>
      </c>
      <c r="AC55" s="113">
        <f>SUM(K)/SUM(Calibration!K)-1</f>
        <v>-0.92284793429946443</v>
      </c>
      <c r="AE55" s="113">
        <f>SUM(K)/SUM(Calibration!K)-1</f>
        <v>-0.92284793429946443</v>
      </c>
      <c r="AG55" s="113">
        <f t="array" ref="AG55">pK/pI/Calibration!pK*Calibration!pI*20%^sigmaw*(20%+80%*(SUM(Calibration!K)-SUM(K))/SUM(Calibration!K))^-sigmaw-1</f>
        <v>0.16715939403365421</v>
      </c>
      <c r="AI55" s="113">
        <f t="array" ref="AI55">pK/pI/Calibration!pK*Calibration!pI-1</f>
        <v>0</v>
      </c>
      <c r="AK55" s="113">
        <f>SUM(K)/SUM(Calibration!K)-1</f>
        <v>-0.92284793429946443</v>
      </c>
    </row>
    <row r="56" spans="2:38" ht="10.5" x14ac:dyDescent="0.25">
      <c r="B56" t="s">
        <v>47</v>
      </c>
      <c r="C56" s="77">
        <f>(aU*CQ^rhoU+bU*CE^rhoU)^(1/rhoU)</f>
        <v>4.367151230060224E-2</v>
      </c>
      <c r="J56" s="107" t="s">
        <v>74</v>
      </c>
      <c r="K56" s="113">
        <f t="array" ref="K56">w/CPI/Calibration!w*6.1%^sigmaw*(6.1%+93.9%*(SUM(Calibration!Labour)-SUM(Labour))/SUM(Calibration!Labour))^-sigmaw-1</f>
        <v>-1.196653887092225E-11</v>
      </c>
      <c r="N56" s="75">
        <v>-0.95632848769939771</v>
      </c>
      <c r="T56" s="107" t="s">
        <v>125</v>
      </c>
      <c r="U56" s="113">
        <f>SUM(Labour)/SUM(Calibration!Labour)-1</f>
        <v>-0.93511785201144404</v>
      </c>
      <c r="W56" s="113">
        <f>SUM(Labour)/SUM(Calibration!Labour)-1</f>
        <v>-0.93511785201144404</v>
      </c>
      <c r="Y56" s="113">
        <f>SUM(Labour)/SUM(Calibration!Labour)-1</f>
        <v>-0.93511785201144404</v>
      </c>
      <c r="AA56" s="113">
        <f t="array" ref="AA56">omegaI*GDP/SUM(pI*I)-1</f>
        <v>-0.8480271642830528</v>
      </c>
      <c r="AC56" s="113">
        <f t="array" ref="AC56">w/CPI/Calibration!w-1</f>
        <v>-0.2392132768114944</v>
      </c>
      <c r="AE56" s="113">
        <f t="array" ref="AE56">w/CPI/Calibration!w-1</f>
        <v>-0.2392132768114944</v>
      </c>
      <c r="AG56" s="113">
        <f t="array" ref="AG56">w/CPI/Calibration!w*6.1%^sigmaw*(6.1%+93.9%*(SUM(Calibration!Labour)-SUM(Labour))/SUM(Calibration!Labour))^-sigmaw-1</f>
        <v>-1.196653887092225E-11</v>
      </c>
      <c r="AI56" s="113">
        <f t="array" ref="AI56">w/CPI/Calibration!w*6.1%^sigmaw*(6.1%+93.9%*(SUM(Calibration!Labour)-SUM(Labour))/SUM(Calibration!Labour))^-sigmaw-1</f>
        <v>-1.196653887092225E-11</v>
      </c>
      <c r="AK56" s="113">
        <f t="array" ref="AK56">w/CPI/Calibration!w-1</f>
        <v>-0.2392132768114944</v>
      </c>
    </row>
    <row r="57" spans="2:38" ht="10.5" x14ac:dyDescent="0.25">
      <c r="B57" t="s">
        <v>64</v>
      </c>
      <c r="C57" s="83">
        <f>ABS(C87)</f>
        <v>12875944.095996255</v>
      </c>
      <c r="J57" s="107" t="s">
        <v>88</v>
      </c>
      <c r="K57" s="113">
        <f t="array" ref="K57">I/SUM(K)/Calibration!I*SUM(K)-1</f>
        <v>0</v>
      </c>
      <c r="N57" s="75">
        <v>-0.12613384419875684</v>
      </c>
      <c r="Q57" s="113">
        <f t="array" ref="Q57">(SUM(pC*Consumption+pG*G+pI*I)+B)/GDP-1</f>
        <v>0</v>
      </c>
      <c r="R57" s="113">
        <f t="array" ref="R57">SUM(w*Labour,pK*K,T)/GDP-1</f>
        <v>3.5909497597685913E-11</v>
      </c>
      <c r="T57" s="107" t="s">
        <v>126</v>
      </c>
      <c r="U57" s="113">
        <f>B/GDP/Calibration!B*Calibration!GDP-1</f>
        <v>-13.764657335393711</v>
      </c>
      <c r="W57" s="113">
        <f>B/GDP/Calibration!B*Calibration!GDP-1</f>
        <v>-13.764657335393711</v>
      </c>
      <c r="Y57" s="113">
        <f>B/GDP/Calibration!B*Calibration!GDP-1</f>
        <v>-13.764657335393711</v>
      </c>
      <c r="AA57" s="113">
        <f>B/GDP/Calibration!B*Calibration!GDP-1</f>
        <v>-13.764657335393711</v>
      </c>
      <c r="AC57" s="113">
        <f>B/GDP/Calibration!B*Calibration!GDP-1</f>
        <v>-13.764657335393711</v>
      </c>
      <c r="AE57" s="113">
        <f>B/GDP/Calibration!B*Calibration!GDP-1</f>
        <v>-13.764657335393711</v>
      </c>
      <c r="AG57" s="113">
        <f>B/GDP/Calibration!B*Calibration!GDP-1</f>
        <v>-13.764657335393711</v>
      </c>
      <c r="AI57" s="113">
        <f t="array" ref="AI57">I/SUM(K)/Calibration!I*SUM(K)-1</f>
        <v>0</v>
      </c>
      <c r="AK57" s="113">
        <f>B/GDP/Calibration!B*Calibration!GDP-1</f>
        <v>-13.764657335393711</v>
      </c>
    </row>
    <row r="58" spans="2:38" ht="10.5" x14ac:dyDescent="0.25">
      <c r="B58" t="s">
        <v>54</v>
      </c>
      <c r="C58" s="111">
        <f t="array" ref="C58">GDP-SUM(pG*G,pI*I,B)</f>
        <v>3974690.116071878</v>
      </c>
      <c r="J58" s="107" t="s">
        <v>123</v>
      </c>
      <c r="K58" s="113">
        <f t="array" ref="K58:L58">bKL*(KL/Labour)^(1/sigmaKL)*pKL/pL-1</f>
        <v>-2.10106376741237E-11</v>
      </c>
      <c r="L58" s="113">
        <v>2.9554659852770726E-7</v>
      </c>
      <c r="N58" s="75">
        <v>-0.43377786193324286</v>
      </c>
      <c r="Q58" s="113">
        <f t="array" ref="Q58">SUM(pC*Consumption)-Revenue</f>
        <v>4.1909515857696533E-9</v>
      </c>
      <c r="T58" s="107" t="s">
        <v>127</v>
      </c>
      <c r="U58" s="113">
        <f t="array" ref="U58:V58">bKL*(KL/Labour)^(1/sigmaKL)*pKL/pL-1</f>
        <v>-2.10106376741237E-11</v>
      </c>
      <c r="V58" s="113">
        <v>2.9554659852770726E-7</v>
      </c>
      <c r="W58" s="113">
        <f t="array" ref="W58:X58">bKL*(KL/Labour)^(1/sigmaKL)*pKL/pL-1</f>
        <v>-2.10106376741237E-11</v>
      </c>
      <c r="X58" s="113">
        <v>2.9554659852770726E-7</v>
      </c>
      <c r="Y58" s="113">
        <f t="array" ref="Y58">omegaI*GDP/SUM(pI*I)-1</f>
        <v>-0.8480271642830528</v>
      </c>
      <c r="Z58" s="113">
        <f>Labour_Q/KL_Q/Calibration!Labour_Q*Calibration!KL_Q-Labour_E/KL_E/Calibration!Labour_E*Calibration!KL_E</f>
        <v>-1.5535577670512724E-2</v>
      </c>
      <c r="AA58" s="113">
        <f t="array" ref="AA58:AB58">bKL*(KL/Labour)^(1/sigmaKL)*pKL/pL-1</f>
        <v>-2.10106376741237E-11</v>
      </c>
      <c r="AB58" s="113">
        <v>2.9554659852770726E-7</v>
      </c>
      <c r="AC58" s="113">
        <f t="array" ref="AC58">omegaI*GDP/SUM(pI*I)-1</f>
        <v>-0.8480271642830528</v>
      </c>
      <c r="AD58" s="113">
        <f>Labour_Q/KL_Q/Calibration!Labour_Q*Calibration!KL_Q-Labour_E/KL_E/Calibration!Labour_E*Calibration!KL_E</f>
        <v>-1.5535577670512724E-2</v>
      </c>
      <c r="AE58" s="113">
        <f t="array" ref="AE58">omegaI*GDP/SUM(pI*I)-1</f>
        <v>-0.8480271642830528</v>
      </c>
      <c r="AF58" s="113">
        <f>Labour_Q/KL_Q/Calibration!Labour_Q*Calibration!KL_Q-Labour_E/KL_E/Calibration!Labour_E*Calibration!KL_E</f>
        <v>-1.5535577670512724E-2</v>
      </c>
      <c r="AG58" s="113">
        <f t="array" ref="AG58:AH58">bKL*(KL/Labour)^(1/sigmaKL)*pKL/pL-1</f>
        <v>-2.10106376741237E-11</v>
      </c>
      <c r="AH58" s="113">
        <v>2.9554659852770726E-7</v>
      </c>
      <c r="AI58" s="113">
        <f t="array" ref="AI58:AJ58">bKL*(KL/Labour)^(1/sigmaKL)*pKL/pL-1</f>
        <v>-2.10106376741237E-11</v>
      </c>
      <c r="AJ58" s="113">
        <v>2.9554659852770726E-7</v>
      </c>
      <c r="AK58" s="113">
        <f t="array" ref="AK58">(pI*I)/(Calibration!pI*Calibration!I)-1</f>
        <v>4.7501470685776939</v>
      </c>
      <c r="AL58" s="113">
        <f>Labour_Q/KL_Q/Calibration!Labour_Q*Calibration!KL_Q-Labour_E/KL_E/Calibration!Labour_E*Calibration!KL_E</f>
        <v>-1.5535577670512724E-2</v>
      </c>
    </row>
    <row r="59" spans="2:38" ht="10.5" x14ac:dyDescent="0.25">
      <c r="B59" t="s">
        <v>75</v>
      </c>
      <c r="C59" s="111">
        <f t="array" ref="C59">SUM(pX*X - pW*M)</f>
        <v>-12681437.727038596</v>
      </c>
      <c r="J59" s="107" t="s">
        <v>70</v>
      </c>
      <c r="K59" s="113">
        <f t="array" ref="K59">(sL*(SUM(w*Labour))+sG*(T-SUM(pG*G))+sK*SUM(pK*K)-B)/SUM(pI*I)-1</f>
        <v>3.2963631824145523E-11</v>
      </c>
      <c r="N59" s="76">
        <v>-12.154602035800641</v>
      </c>
      <c r="T59" s="107" t="s">
        <v>128</v>
      </c>
      <c r="U59" s="113">
        <f t="array" ref="U59">(sL*(SUM(w*Labour))+sG*(T-SUM(pG*G))+sK*SUM(pK*K)-B)/SUM(pI*I)-1</f>
        <v>3.2963631824145523E-11</v>
      </c>
      <c r="W59" s="113">
        <f t="array" ref="W59">omegaI*GDP/SUM(pI*I)-1</f>
        <v>-0.8480271642830528</v>
      </c>
      <c r="Y59" s="113">
        <f t="array" ref="Y59">(sL*(SUM(w*Labour))+sG*(T-SUM(pG*G))+sK*SUM(pK*K)-B)/SUM(pI*I)-1</f>
        <v>3.2963631824145523E-11</v>
      </c>
      <c r="AA59" s="113">
        <f t="array" ref="AA59">(sL*(SUM(w*Labour))+sG*(T-SUM(pG*G))+sK*SUM(pK*K)-B)/SUM(pI*I)-1</f>
        <v>3.2963631824145523E-11</v>
      </c>
      <c r="AC59" s="113">
        <f t="array" ref="AC59">(sL*(SUM(w*Labour))+sG*(T-SUM(pG*G))+sK*SUM(pK*K)-B)/SUM(pI*I)-1</f>
        <v>3.2963631824145523E-11</v>
      </c>
      <c r="AE59" s="113">
        <f t="array" ref="AE59">(sL*(SUM(w*Labour))+sG*(T-SUM(pG*G))+sK*SUM(pK*K)-B)/SUM(pI*I)-1</f>
        <v>3.2963631824145523E-11</v>
      </c>
      <c r="AG59" s="113">
        <f t="array" ref="AG59">(sL*(SUM(w*Labour))+sG*(T-SUM(pG*G))+sK*SUM(pK*K)-B)/SUM(pI*I)-1</f>
        <v>3.2963631824145523E-11</v>
      </c>
      <c r="AI59" s="113">
        <f t="array" ref="AI59">(sL*(SUM(w*Labour))+sG*(T-SUM(pG*G))+sK*SUM(pK*K)-B)/SUM(pI*I)-1</f>
        <v>3.2963631824145523E-11</v>
      </c>
      <c r="AK59" s="113">
        <f t="array" ref="AK59">(sL*(SUM(w*Labour))+sG*(T-SUM(pG*G))+sK*SUM(pK*K)-B)/SUM(pI*I)-1</f>
        <v>3.2963631824145523E-11</v>
      </c>
    </row>
    <row r="60" spans="2:38" ht="10.5" x14ac:dyDescent="0.25">
      <c r="B60" t="s">
        <v>145</v>
      </c>
      <c r="C60" s="191">
        <f t="array" ref="C60">SQRT(SUM(pC*Calibration!Consumption)*SUM(pC*Consumption)/SUM(Calibration!pC*Calibration!Consumption)/SUM(Calibration!pC*Consumption))</f>
        <v>14.725580563979433</v>
      </c>
      <c r="J60" s="107" t="s">
        <v>91</v>
      </c>
      <c r="K60" s="166">
        <v>0.40559806644645535</v>
      </c>
      <c r="N60" s="125"/>
      <c r="T60" s="107" t="s">
        <v>91</v>
      </c>
      <c r="U60" s="166">
        <v>0.40559806644645535</v>
      </c>
      <c r="W60" s="166">
        <v>0.40559806644645535</v>
      </c>
      <c r="Y60" s="166">
        <v>0</v>
      </c>
      <c r="AA60" s="166">
        <v>0.40559806644645535</v>
      </c>
      <c r="AC60" s="166">
        <v>0.40559806644645535</v>
      </c>
      <c r="AE60" s="166">
        <v>0</v>
      </c>
      <c r="AG60" s="166">
        <v>0.40559806644645535</v>
      </c>
      <c r="AI60" s="166">
        <v>0.40559806644645535</v>
      </c>
      <c r="AK60" s="166">
        <v>0.40559806644645535</v>
      </c>
    </row>
    <row r="61" spans="2:38" ht="10.5" x14ac:dyDescent="0.25">
      <c r="C61" s="27"/>
      <c r="O61" s="92"/>
      <c r="P61" s="92"/>
      <c r="Q61" s="92"/>
      <c r="R61" s="92"/>
    </row>
    <row r="62" spans="2:38" x14ac:dyDescent="0.2">
      <c r="B62" t="s">
        <v>98</v>
      </c>
      <c r="C62" s="182">
        <f>Calibration!omegaG</f>
        <v>0.22604620456442484</v>
      </c>
      <c r="D62" t="s">
        <v>81</v>
      </c>
    </row>
    <row r="63" spans="2:38" x14ac:dyDescent="0.2">
      <c r="B63" t="s">
        <v>99</v>
      </c>
      <c r="C63" s="182">
        <f>Calibration!omegaI</f>
        <v>0.22038438833194082</v>
      </c>
      <c r="D63" t="s">
        <v>82</v>
      </c>
    </row>
    <row r="64" spans="2:38" x14ac:dyDescent="0.2">
      <c r="B64" t="s">
        <v>92</v>
      </c>
      <c r="C64" s="153">
        <f t="array" ref="C64">(SUM(pI*I)+B)/GDP</f>
        <v>0.46526263566983816</v>
      </c>
      <c r="D64" t="s">
        <v>100</v>
      </c>
    </row>
    <row r="65" spans="2:15" x14ac:dyDescent="0.2">
      <c r="B65" t="s">
        <v>84</v>
      </c>
      <c r="C65" s="182">
        <f>Calibration!sK</f>
        <v>0.40559806644645541</v>
      </c>
      <c r="D65" t="s">
        <v>101</v>
      </c>
    </row>
    <row r="66" spans="2:15" x14ac:dyDescent="0.2">
      <c r="B66" t="s">
        <v>85</v>
      </c>
      <c r="C66" s="182">
        <f>Calibration!sL</f>
        <v>0.40559806644645535</v>
      </c>
      <c r="D66" t="s">
        <v>102</v>
      </c>
    </row>
    <row r="67" spans="2:15" x14ac:dyDescent="0.2">
      <c r="B67" t="s">
        <v>110</v>
      </c>
      <c r="C67" s="182">
        <f>Calibration!sG</f>
        <v>1</v>
      </c>
      <c r="D67" t="s">
        <v>137</v>
      </c>
    </row>
    <row r="69" spans="2:15" x14ac:dyDescent="0.2">
      <c r="C69" s="128"/>
    </row>
    <row r="70" spans="2:15" x14ac:dyDescent="0.2">
      <c r="B70" t="s">
        <v>21</v>
      </c>
      <c r="C70" s="35">
        <f t="array" ref="C70:D70">(bY/pMY)^sigmaY*(aY^sigmaY*pKLE^(1-sigmaY)+bY^sigmaY*pMY^(1-sigmaY))^(-1/rhoY)</f>
        <v>0.62927440080333608</v>
      </c>
      <c r="D70" s="36">
        <v>0.78705012289747733</v>
      </c>
      <c r="E70" t="s">
        <v>24</v>
      </c>
      <c r="N70" s="68">
        <f t="array" ref="N70:O73">FACTORS/Calibration!FACTORS-1</f>
        <v>0.33332803309146342</v>
      </c>
      <c r="O70" s="69">
        <v>1.4797700894734303</v>
      </c>
    </row>
    <row r="71" spans="2:15" x14ac:dyDescent="0.2">
      <c r="C71" s="37">
        <f t="array" ref="C71:D71">(bKLE/pEY)^sigmaKLE*(aKLE^sigmaKLE*pKL^(1-sigmaKLE)+bKLE^sigmaKLE*pEY^(1-sigmaKLE))^(-1/rhoKLE)*KLE/Y</f>
        <v>3.5335966480781367E-3</v>
      </c>
      <c r="D71" s="38">
        <v>0.24101024079827726</v>
      </c>
      <c r="E71" t="s">
        <v>25</v>
      </c>
      <c r="N71" s="70">
        <v>-0.83490348384334512</v>
      </c>
      <c r="O71" s="71">
        <v>-0.31065997122879341</v>
      </c>
    </row>
    <row r="72" spans="2:15" x14ac:dyDescent="0.2">
      <c r="B72" t="s">
        <v>22</v>
      </c>
      <c r="C72" s="35">
        <f t="array" ref="C72:D72">Labour/Y</f>
        <v>0.15691823204523833</v>
      </c>
      <c r="D72" s="36">
        <v>9.7289764190677461E-2</v>
      </c>
      <c r="N72" s="70">
        <v>-0.13204597604833623</v>
      </c>
      <c r="O72" s="71">
        <v>0.6063584590956943</v>
      </c>
    </row>
    <row r="73" spans="2:15" x14ac:dyDescent="0.2">
      <c r="B73" t="s">
        <v>23</v>
      </c>
      <c r="C73" s="37">
        <f t="array" ref="C73:D73">K/Y</f>
        <v>0.24453761070581548</v>
      </c>
      <c r="D73" s="38">
        <v>0.39222019261690177</v>
      </c>
      <c r="N73" s="72">
        <v>6.021425814457082E-2</v>
      </c>
      <c r="O73" s="73">
        <v>0.77537850399695607</v>
      </c>
    </row>
    <row r="79" spans="2:15" ht="10.5" x14ac:dyDescent="0.25">
      <c r="B79" s="92" t="s">
        <v>93</v>
      </c>
    </row>
    <row r="80" spans="2:15" x14ac:dyDescent="0.2">
      <c r="B80" t="s">
        <v>12</v>
      </c>
      <c r="C80" s="81">
        <v>8672.8212538572352</v>
      </c>
      <c r="D80" s="82">
        <v>77013.828998587443</v>
      </c>
    </row>
    <row r="81" spans="2:5" x14ac:dyDescent="0.2">
      <c r="B81" t="s">
        <v>115</v>
      </c>
      <c r="C81" s="93">
        <v>5750.147068577694</v>
      </c>
      <c r="D81" s="94">
        <v>1750.0640859752425</v>
      </c>
    </row>
    <row r="82" spans="2:5" x14ac:dyDescent="0.2">
      <c r="B82" t="s">
        <v>17</v>
      </c>
      <c r="C82" s="93">
        <v>11203.026184318258</v>
      </c>
      <c r="D82" s="94">
        <v>1000</v>
      </c>
    </row>
    <row r="83" spans="2:5" x14ac:dyDescent="0.2">
      <c r="B83" t="s">
        <v>18</v>
      </c>
      <c r="C83" s="146">
        <v>5750.147068577694</v>
      </c>
      <c r="D83" s="147">
        <v>1000</v>
      </c>
    </row>
    <row r="84" spans="2:5" x14ac:dyDescent="0.2">
      <c r="B84" t="s">
        <v>61</v>
      </c>
      <c r="C84" s="146">
        <v>8523.5872094898605</v>
      </c>
      <c r="D84" s="147">
        <v>7249.8097464226603</v>
      </c>
    </row>
    <row r="85" spans="2:5" x14ac:dyDescent="0.2">
      <c r="B85" t="s">
        <v>114</v>
      </c>
      <c r="C85" s="79">
        <v>5388.6681237337316</v>
      </c>
      <c r="D85" s="80">
        <v>14.08541870999948</v>
      </c>
    </row>
    <row r="86" spans="2:5" x14ac:dyDescent="0.2">
      <c r="B86" t="s">
        <v>8</v>
      </c>
      <c r="C86" s="93">
        <v>3196.3846373657216</v>
      </c>
      <c r="D86" s="186">
        <v>158.51930164061073</v>
      </c>
      <c r="E86" t="s">
        <v>148</v>
      </c>
    </row>
    <row r="87" spans="2:5" x14ac:dyDescent="0.2">
      <c r="B87" t="s">
        <v>64</v>
      </c>
      <c r="C87" s="149">
        <v>12875944.095996255</v>
      </c>
      <c r="D87" s="150">
        <v>0</v>
      </c>
    </row>
    <row r="88" spans="2:5" x14ac:dyDescent="0.2">
      <c r="B88" t="s">
        <v>27</v>
      </c>
      <c r="C88" s="149">
        <v>331.6256761780844</v>
      </c>
      <c r="D88" s="157">
        <v>2.7536180144317168E-7</v>
      </c>
    </row>
    <row r="89" spans="2:5" x14ac:dyDescent="0.2">
      <c r="B89" t="s">
        <v>19</v>
      </c>
      <c r="C89" s="148">
        <v>2113.3661261393722</v>
      </c>
      <c r="D89" s="151">
        <v>2.8303265377793722E-6</v>
      </c>
    </row>
  </sheetData>
  <conditionalFormatting sqref="K21:L21">
    <cfRule type="cellIs" dxfId="89" priority="1804" stopIfTrue="1" operator="notEqual">
      <formula>0</formula>
    </cfRule>
  </conditionalFormatting>
  <conditionalFormatting sqref="Q48:R48">
    <cfRule type="cellIs" dxfId="88" priority="1793" stopIfTrue="1" operator="notEqual">
      <formula>0</formula>
    </cfRule>
  </conditionalFormatting>
  <conditionalFormatting sqref="K39:L39">
    <cfRule type="cellIs" dxfId="87" priority="1801" stopIfTrue="1" operator="notEqual">
      <formula>0</formula>
    </cfRule>
  </conditionalFormatting>
  <conditionalFormatting sqref="K41">
    <cfRule type="cellIs" dxfId="86" priority="1800" stopIfTrue="1" operator="notEqual">
      <formula>0</formula>
    </cfRule>
  </conditionalFormatting>
  <conditionalFormatting sqref="Q47:R47">
    <cfRule type="cellIs" dxfId="85" priority="1798" stopIfTrue="1" operator="notEqual">
      <formula>0</formula>
    </cfRule>
  </conditionalFormatting>
  <conditionalFormatting sqref="Q37:R37">
    <cfRule type="cellIs" dxfId="84" priority="1795" stopIfTrue="1" operator="notEqual">
      <formula>0</formula>
    </cfRule>
  </conditionalFormatting>
  <conditionalFormatting sqref="R57">
    <cfRule type="cellIs" dxfId="83" priority="1789" stopIfTrue="1" operator="notEqual">
      <formula>0</formula>
    </cfRule>
  </conditionalFormatting>
  <conditionalFormatting sqref="Q57:Q58">
    <cfRule type="cellIs" dxfId="82" priority="1791" stopIfTrue="1" operator="notEqual">
      <formula>0</formula>
    </cfRule>
  </conditionalFormatting>
  <conditionalFormatting sqref="W59">
    <cfRule type="cellIs" dxfId="81" priority="1736" stopIfTrue="1" operator="notEqual">
      <formula>0</formula>
    </cfRule>
  </conditionalFormatting>
  <conditionalFormatting sqref="K37:L37">
    <cfRule type="cellIs" dxfId="80" priority="1370" stopIfTrue="1" operator="notEqual">
      <formula>0</formula>
    </cfRule>
  </conditionalFormatting>
  <conditionalFormatting sqref="Q21:R21">
    <cfRule type="cellIs" dxfId="79" priority="1353" stopIfTrue="1" operator="notEqual">
      <formula>0</formula>
    </cfRule>
  </conditionalFormatting>
  <conditionalFormatting sqref="Q23:R23">
    <cfRule type="cellIs" dxfId="78" priority="1357" stopIfTrue="1" operator="notEqual">
      <formula>0</formula>
    </cfRule>
  </conditionalFormatting>
  <conditionalFormatting sqref="Q38:R38">
    <cfRule type="cellIs" dxfId="77" priority="1356" stopIfTrue="1" operator="notEqual">
      <formula>0</formula>
    </cfRule>
  </conditionalFormatting>
  <conditionalFormatting sqref="Q34:R34">
    <cfRule type="cellIs" dxfId="76" priority="1355" stopIfTrue="1" operator="notEqual">
      <formula>0</formula>
    </cfRule>
  </conditionalFormatting>
  <conditionalFormatting sqref="Q35:R35">
    <cfRule type="cellIs" dxfId="75" priority="1354" stopIfTrue="1" operator="notEqual">
      <formula>0</formula>
    </cfRule>
  </conditionalFormatting>
  <conditionalFormatting sqref="K23:L23">
    <cfRule type="cellIs" dxfId="74" priority="1352" stopIfTrue="1" operator="notEqual">
      <formula>0</formula>
    </cfRule>
  </conditionalFormatting>
  <conditionalFormatting sqref="K34:L34">
    <cfRule type="cellIs" dxfId="73" priority="1123" stopIfTrue="1" operator="notEqual">
      <formula>0</formula>
    </cfRule>
  </conditionalFormatting>
  <conditionalFormatting sqref="Q33:R33">
    <cfRule type="cellIs" dxfId="72" priority="1117" stopIfTrue="1" operator="notEqual">
      <formula>0</formula>
    </cfRule>
  </conditionalFormatting>
  <conditionalFormatting sqref="Q46:R46">
    <cfRule type="cellIs" dxfId="71" priority="1121" stopIfTrue="1" operator="notEqual">
      <formula>0</formula>
    </cfRule>
  </conditionalFormatting>
  <conditionalFormatting sqref="Q45:R45">
    <cfRule type="cellIs" dxfId="70" priority="1122" stopIfTrue="1" operator="notEqual">
      <formula>0</formula>
    </cfRule>
  </conditionalFormatting>
  <conditionalFormatting sqref="W58">
    <cfRule type="cellIs" dxfId="69" priority="1108" stopIfTrue="1" operator="notEqual">
      <formula>0</formula>
    </cfRule>
  </conditionalFormatting>
  <conditionalFormatting sqref="Q32:R32">
    <cfRule type="cellIs" dxfId="68" priority="1118" stopIfTrue="1" operator="notEqual">
      <formula>0</formula>
    </cfRule>
  </conditionalFormatting>
  <conditionalFormatting sqref="X58">
    <cfRule type="cellIs" dxfId="67" priority="1107" stopIfTrue="1" operator="notEqual">
      <formula>0</formula>
    </cfRule>
  </conditionalFormatting>
  <conditionalFormatting sqref="W55">
    <cfRule type="cellIs" dxfId="66" priority="1066" stopIfTrue="1" operator="notEqual">
      <formula>0</formula>
    </cfRule>
  </conditionalFormatting>
  <conditionalFormatting sqref="W56">
    <cfRule type="cellIs" dxfId="65" priority="1065" stopIfTrue="1" operator="notEqual">
      <formula>0</formula>
    </cfRule>
  </conditionalFormatting>
  <conditionalFormatting sqref="Y55">
    <cfRule type="cellIs" dxfId="64" priority="1063" stopIfTrue="1" operator="notEqual">
      <formula>0</formula>
    </cfRule>
  </conditionalFormatting>
  <conditionalFormatting sqref="Y56">
    <cfRule type="cellIs" dxfId="63" priority="1062" stopIfTrue="1" operator="notEqual">
      <formula>0</formula>
    </cfRule>
  </conditionalFormatting>
  <conditionalFormatting sqref="AA59">
    <cfRule type="cellIs" dxfId="62" priority="1059" stopIfTrue="1" operator="notEqual">
      <formula>0</formula>
    </cfRule>
  </conditionalFormatting>
  <conditionalFormatting sqref="AA55">
    <cfRule type="cellIs" dxfId="61" priority="1057" stopIfTrue="1" operator="notEqual">
      <formula>0</formula>
    </cfRule>
  </conditionalFormatting>
  <conditionalFormatting sqref="AA58">
    <cfRule type="cellIs" dxfId="60" priority="1053" stopIfTrue="1" operator="notEqual">
      <formula>0</formula>
    </cfRule>
  </conditionalFormatting>
  <conditionalFormatting sqref="AB58">
    <cfRule type="cellIs" dxfId="59" priority="1052" stopIfTrue="1" operator="notEqual">
      <formula>0</formula>
    </cfRule>
  </conditionalFormatting>
  <conditionalFormatting sqref="U58">
    <cfRule type="cellIs" dxfId="58" priority="1030" stopIfTrue="1" operator="notEqual">
      <formula>0</formula>
    </cfRule>
  </conditionalFormatting>
  <conditionalFormatting sqref="V58">
    <cfRule type="cellIs" dxfId="57" priority="1029" stopIfTrue="1" operator="notEqual">
      <formula>0</formula>
    </cfRule>
  </conditionalFormatting>
  <conditionalFormatting sqref="U57">
    <cfRule type="cellIs" dxfId="56" priority="1027" stopIfTrue="1" operator="notEqual">
      <formula>0</formula>
    </cfRule>
  </conditionalFormatting>
  <conditionalFormatting sqref="U55">
    <cfRule type="cellIs" dxfId="55" priority="1031" stopIfTrue="1" operator="notEqual">
      <formula>0</formula>
    </cfRule>
  </conditionalFormatting>
  <conditionalFormatting sqref="U56">
    <cfRule type="cellIs" dxfId="54" priority="1028" stopIfTrue="1" operator="notEqual">
      <formula>0</formula>
    </cfRule>
  </conditionalFormatting>
  <conditionalFormatting sqref="U59">
    <cfRule type="cellIs" dxfId="53" priority="1026" stopIfTrue="1" operator="notEqual">
      <formula>0</formula>
    </cfRule>
  </conditionalFormatting>
  <conditionalFormatting sqref="Z58">
    <cfRule type="cellIs" dxfId="52" priority="1004" stopIfTrue="1" operator="notEqual">
      <formula>0</formula>
    </cfRule>
  </conditionalFormatting>
  <conditionalFormatting sqref="AC59">
    <cfRule type="cellIs" dxfId="51" priority="997" stopIfTrue="1" operator="notEqual">
      <formula>0</formula>
    </cfRule>
  </conditionalFormatting>
  <conditionalFormatting sqref="AC55">
    <cfRule type="cellIs" dxfId="50" priority="996" stopIfTrue="1" operator="notEqual">
      <formula>0</formula>
    </cfRule>
  </conditionalFormatting>
  <conditionalFormatting sqref="AC56">
    <cfRule type="cellIs" dxfId="49" priority="992" stopIfTrue="1" operator="notEqual">
      <formula>0</formula>
    </cfRule>
  </conditionalFormatting>
  <conditionalFormatting sqref="AD58">
    <cfRule type="cellIs" dxfId="48" priority="990" stopIfTrue="1" operator="notEqual">
      <formula>0</formula>
    </cfRule>
  </conditionalFormatting>
  <conditionalFormatting sqref="AE59">
    <cfRule type="cellIs" dxfId="47" priority="983" stopIfTrue="1" operator="notEqual">
      <formula>0</formula>
    </cfRule>
  </conditionalFormatting>
  <conditionalFormatting sqref="AE55">
    <cfRule type="cellIs" dxfId="46" priority="982" stopIfTrue="1" operator="notEqual">
      <formula>0</formula>
    </cfRule>
  </conditionalFormatting>
  <conditionalFormatting sqref="AE56">
    <cfRule type="cellIs" dxfId="45" priority="980" stopIfTrue="1" operator="notEqual">
      <formula>0</formula>
    </cfRule>
  </conditionalFormatting>
  <conditionalFormatting sqref="AF58">
    <cfRule type="cellIs" dxfId="44" priority="978" stopIfTrue="1" operator="notEqual">
      <formula>0</formula>
    </cfRule>
  </conditionalFormatting>
  <conditionalFormatting sqref="AI59">
    <cfRule type="cellIs" dxfId="43" priority="971" stopIfTrue="1" operator="notEqual">
      <formula>0</formula>
    </cfRule>
  </conditionalFormatting>
  <conditionalFormatting sqref="AI57">
    <cfRule type="cellIs" dxfId="42" priority="969" stopIfTrue="1" operator="notEqual">
      <formula>0</formula>
    </cfRule>
  </conditionalFormatting>
  <conditionalFormatting sqref="AI55">
    <cfRule type="cellIs" dxfId="41" priority="970" stopIfTrue="1" operator="notEqual">
      <formula>0</formula>
    </cfRule>
  </conditionalFormatting>
  <conditionalFormatting sqref="AI58">
    <cfRule type="cellIs" dxfId="40" priority="965" stopIfTrue="1" operator="notEqual">
      <formula>0</formula>
    </cfRule>
  </conditionalFormatting>
  <conditionalFormatting sqref="AJ58">
    <cfRule type="cellIs" dxfId="39" priority="964" stopIfTrue="1" operator="notEqual">
      <formula>0</formula>
    </cfRule>
  </conditionalFormatting>
  <conditionalFormatting sqref="W57">
    <cfRule type="cellIs" dxfId="38" priority="866" stopIfTrue="1" operator="notEqual">
      <formula>0</formula>
    </cfRule>
  </conditionalFormatting>
  <conditionalFormatting sqref="Y57">
    <cfRule type="cellIs" dxfId="37" priority="865" stopIfTrue="1" operator="notEqual">
      <formula>0</formula>
    </cfRule>
  </conditionalFormatting>
  <conditionalFormatting sqref="AA57">
    <cfRule type="cellIs" dxfId="36" priority="864" stopIfTrue="1" operator="notEqual">
      <formula>0</formula>
    </cfRule>
  </conditionalFormatting>
  <conditionalFormatting sqref="AC57">
    <cfRule type="cellIs" dxfId="35" priority="863" stopIfTrue="1" operator="notEqual">
      <formula>0</formula>
    </cfRule>
  </conditionalFormatting>
  <conditionalFormatting sqref="AE57">
    <cfRule type="cellIs" dxfId="34" priority="862" stopIfTrue="1" operator="notEqual">
      <formula>0</formula>
    </cfRule>
  </conditionalFormatting>
  <conditionalFormatting sqref="AK57">
    <cfRule type="cellIs" dxfId="33" priority="762" stopIfTrue="1" operator="notEqual">
      <formula>0</formula>
    </cfRule>
  </conditionalFormatting>
  <conditionalFormatting sqref="AK58">
    <cfRule type="cellIs" dxfId="32" priority="761" stopIfTrue="1" operator="notEqual">
      <formula>0</formula>
    </cfRule>
  </conditionalFormatting>
  <conditionalFormatting sqref="Y58">
    <cfRule type="cellIs" dxfId="31" priority="800" stopIfTrue="1" operator="notEqual">
      <formula>0</formula>
    </cfRule>
  </conditionalFormatting>
  <conditionalFormatting sqref="AA56">
    <cfRule type="cellIs" dxfId="30" priority="793" stopIfTrue="1" operator="notEqual">
      <formula>0</formula>
    </cfRule>
  </conditionalFormatting>
  <conditionalFormatting sqref="AC58">
    <cfRule type="cellIs" dxfId="29" priority="786" stopIfTrue="1" operator="notEqual">
      <formula>0</formula>
    </cfRule>
  </conditionalFormatting>
  <conditionalFormatting sqref="AE58">
    <cfRule type="cellIs" dxfId="28" priority="779" stopIfTrue="1" operator="notEqual">
      <formula>0</formula>
    </cfRule>
  </conditionalFormatting>
  <conditionalFormatting sqref="AK59">
    <cfRule type="cellIs" dxfId="27" priority="766" stopIfTrue="1" operator="notEqual">
      <formula>0</formula>
    </cfRule>
  </conditionalFormatting>
  <conditionalFormatting sqref="AK56">
    <cfRule type="cellIs" dxfId="26" priority="764" stopIfTrue="1" operator="notEqual">
      <formula>0</formula>
    </cfRule>
  </conditionalFormatting>
  <conditionalFormatting sqref="AK55">
    <cfRule type="cellIs" dxfId="25" priority="765" stopIfTrue="1" operator="notEqual">
      <formula>0</formula>
    </cfRule>
  </conditionalFormatting>
  <conditionalFormatting sqref="AL58">
    <cfRule type="cellIs" dxfId="24" priority="763" stopIfTrue="1" operator="notEqual">
      <formula>0</formula>
    </cfRule>
  </conditionalFormatting>
  <conditionalFormatting sqref="T21:U21">
    <cfRule type="cellIs" dxfId="23" priority="723" stopIfTrue="1" operator="notEqual">
      <formula>0</formula>
    </cfRule>
  </conditionalFormatting>
  <conditionalFormatting sqref="AG58">
    <cfRule type="cellIs" dxfId="22" priority="700" stopIfTrue="1" operator="notEqual">
      <formula>0</formula>
    </cfRule>
  </conditionalFormatting>
  <conditionalFormatting sqref="AH58">
    <cfRule type="cellIs" dxfId="21" priority="699" stopIfTrue="1" operator="notEqual">
      <formula>0</formula>
    </cfRule>
  </conditionalFormatting>
  <conditionalFormatting sqref="AG57">
    <cfRule type="cellIs" dxfId="20" priority="696" stopIfTrue="1" operator="notEqual">
      <formula>0</formula>
    </cfRule>
  </conditionalFormatting>
  <conditionalFormatting sqref="AG59">
    <cfRule type="cellIs" dxfId="19" priority="703" stopIfTrue="1" operator="notEqual">
      <formula>0</formula>
    </cfRule>
  </conditionalFormatting>
  <conditionalFormatting sqref="AG56">
    <cfRule type="cellIs" dxfId="18" priority="575" stopIfTrue="1" operator="notEqual">
      <formula>0</formula>
    </cfRule>
  </conditionalFormatting>
  <conditionalFormatting sqref="AG55">
    <cfRule type="cellIs" dxfId="17" priority="574" stopIfTrue="1" operator="notEqual">
      <formula>0</formula>
    </cfRule>
  </conditionalFormatting>
  <conditionalFormatting sqref="Y59">
    <cfRule type="cellIs" dxfId="16" priority="452" stopIfTrue="1" operator="notEqual">
      <formula>0</formula>
    </cfRule>
  </conditionalFormatting>
  <conditionalFormatting sqref="AI56">
    <cfRule type="cellIs" dxfId="15" priority="169" stopIfTrue="1" operator="notEqual">
      <formula>0</formula>
    </cfRule>
  </conditionalFormatting>
  <conditionalFormatting sqref="K59">
    <cfRule type="cellIs" dxfId="14" priority="6" stopIfTrue="1" operator="notEqual">
      <formula>0</formula>
    </cfRule>
  </conditionalFormatting>
  <conditionalFormatting sqref="K57">
    <cfRule type="cellIs" dxfId="13" priority="4" stopIfTrue="1" operator="notEqual">
      <formula>0</formula>
    </cfRule>
  </conditionalFormatting>
  <conditionalFormatting sqref="K55">
    <cfRule type="cellIs" dxfId="12" priority="5" stopIfTrue="1" operator="notEqual">
      <formula>0</formula>
    </cfRule>
  </conditionalFormatting>
  <conditionalFormatting sqref="K58">
    <cfRule type="cellIs" dxfId="11" priority="3" stopIfTrue="1" operator="notEqual">
      <formula>0</formula>
    </cfRule>
  </conditionalFormatting>
  <conditionalFormatting sqref="L58">
    <cfRule type="cellIs" dxfId="10" priority="2" stopIfTrue="1" operator="notEqual">
      <formula>0</formula>
    </cfRule>
  </conditionalFormatting>
  <conditionalFormatting sqref="K56">
    <cfRule type="cellIs" dxfId="9"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workbookViewId="0">
      <pane xSplit="1" ySplit="1" topLeftCell="AM48" activePane="bottomRight" state="frozen"/>
      <selection pane="topRight" activeCell="B1" sqref="B1"/>
      <selection pane="bottomLeft" activeCell="A2" sqref="A2"/>
      <selection pane="bottomRight" activeCell="AW70"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5.2524393292415442E-2</v>
      </c>
      <c r="E2" s="189"/>
      <c r="F2" s="188">
        <v>0.102764996800267</v>
      </c>
      <c r="G2" s="189"/>
      <c r="H2" s="188">
        <v>0.15676367719371637</v>
      </c>
      <c r="I2" s="189"/>
      <c r="J2" s="188">
        <v>0.21478341221898631</v>
      </c>
      <c r="K2" s="189"/>
      <c r="L2" s="188">
        <v>0.27706078714531523</v>
      </c>
      <c r="M2" s="189"/>
      <c r="N2" s="188">
        <v>0.3437781156763976</v>
      </c>
      <c r="O2" s="189"/>
      <c r="P2" s="188">
        <v>0.41503649058091979</v>
      </c>
      <c r="Q2" s="189"/>
      <c r="R2" s="188">
        <v>0.49082993201112912</v>
      </c>
      <c r="S2" s="189"/>
      <c r="T2" s="188">
        <v>0.57106366380400586</v>
      </c>
      <c r="U2" s="189"/>
      <c r="V2" s="188">
        <v>0.65568593673163289</v>
      </c>
      <c r="W2" s="189"/>
      <c r="X2" s="188">
        <v>0.74510936234555403</v>
      </c>
      <c r="Y2" s="189"/>
      <c r="Z2" s="188">
        <v>0.84127173305500091</v>
      </c>
      <c r="AA2" s="189"/>
      <c r="AB2" s="188">
        <v>0.95010127196972527</v>
      </c>
      <c r="AC2" s="189"/>
      <c r="AD2" s="188">
        <v>1.0872075172993565</v>
      </c>
      <c r="AE2" s="189"/>
      <c r="AF2" s="188">
        <v>1.2919922433655016</v>
      </c>
      <c r="AG2" s="189"/>
      <c r="AH2" s="188">
        <v>1.6692247611990292</v>
      </c>
      <c r="AI2" s="189"/>
      <c r="AJ2" s="188">
        <v>2.5463349151850623</v>
      </c>
      <c r="AK2" s="189"/>
      <c r="AL2" s="188">
        <v>5.2122277057468862</v>
      </c>
      <c r="AM2" s="189"/>
      <c r="AN2" s="188">
        <v>17.356380292305825</v>
      </c>
      <c r="AO2" s="189"/>
      <c r="AP2" s="188">
        <v>24.661187700981397</v>
      </c>
      <c r="AQ2" s="189"/>
      <c r="AR2" s="188">
        <v>37.849172014401027</v>
      </c>
      <c r="AS2" s="189"/>
      <c r="AT2" s="188">
        <v>66.438049233297647</v>
      </c>
      <c r="AU2" s="189"/>
      <c r="AV2" s="188">
        <v>158.51930164061073</v>
      </c>
      <c r="AW2" s="189"/>
    </row>
    <row r="3" spans="1:49" x14ac:dyDescent="0.2">
      <c r="A3" t="s">
        <v>12</v>
      </c>
      <c r="B3" s="81">
        <v>1000</v>
      </c>
      <c r="C3" s="82">
        <v>1000</v>
      </c>
      <c r="D3" s="81">
        <v>997.59754563409228</v>
      </c>
      <c r="E3" s="82">
        <v>1021.3479061527861</v>
      </c>
      <c r="F3" s="81">
        <v>995.45126981783847</v>
      </c>
      <c r="G3" s="82">
        <v>1045.0185991884</v>
      </c>
      <c r="H3" s="81">
        <v>993.64647665736652</v>
      </c>
      <c r="I3" s="82">
        <v>1071.3045929155335</v>
      </c>
      <c r="J3" s="81">
        <v>992.30149051227443</v>
      </c>
      <c r="K3" s="82">
        <v>1100.5346301877128</v>
      </c>
      <c r="L3" s="81">
        <v>991.58254520186642</v>
      </c>
      <c r="M3" s="82">
        <v>1133.0760359506498</v>
      </c>
      <c r="N3" s="81">
        <v>991.72618716738191</v>
      </c>
      <c r="O3" s="82">
        <v>1169.3379346562776</v>
      </c>
      <c r="P3" s="81">
        <v>993.07059847772018</v>
      </c>
      <c r="Q3" s="82">
        <v>1209.7813471780171</v>
      </c>
      <c r="R3" s="81">
        <v>996.10455290275308</v>
      </c>
      <c r="S3" s="82">
        <v>1254.9443191088367</v>
      </c>
      <c r="T3" s="81">
        <v>1001.540505713272</v>
      </c>
      <c r="U3" s="82">
        <v>1305.5123967872657</v>
      </c>
      <c r="V3" s="81">
        <v>1010.4292003122118</v>
      </c>
      <c r="W3" s="82">
        <v>1362.4879882850523</v>
      </c>
      <c r="X3" s="81">
        <v>1024.3435376198488</v>
      </c>
      <c r="Y3" s="82">
        <v>1427.5811677083798</v>
      </c>
      <c r="Z3" s="81">
        <v>1045.6893985721445</v>
      </c>
      <c r="AA3" s="82">
        <v>1504.0549826018203</v>
      </c>
      <c r="AB3" s="81">
        <v>1078.2581965252034</v>
      </c>
      <c r="AC3" s="82">
        <v>1598.5129896679164</v>
      </c>
      <c r="AD3" s="81">
        <v>1128.2782638916024</v>
      </c>
      <c r="AE3" s="82">
        <v>1724.7383866503512</v>
      </c>
      <c r="AF3" s="81">
        <v>1206.6839662787265</v>
      </c>
      <c r="AG3" s="82">
        <v>1912.6735374085731</v>
      </c>
      <c r="AH3" s="81">
        <v>1335.1163779686156</v>
      </c>
      <c r="AI3" s="82">
        <v>2233.5620827109465</v>
      </c>
      <c r="AJ3" s="81">
        <v>1564.7226915475719</v>
      </c>
      <c r="AK3" s="82">
        <v>2889.1400443466432</v>
      </c>
      <c r="AL3" s="81">
        <v>2035.7668594207371</v>
      </c>
      <c r="AM3" s="82">
        <v>4595.9128108614668</v>
      </c>
      <c r="AN3" s="81">
        <v>3256.7684725101362</v>
      </c>
      <c r="AO3" s="82">
        <v>11235.445564950696</v>
      </c>
      <c r="AP3" s="81">
        <v>3769.1670355535357</v>
      </c>
      <c r="AQ3" s="82">
        <v>14953.925123961704</v>
      </c>
      <c r="AR3" s="81">
        <v>4527.5003962107603</v>
      </c>
      <c r="AS3" s="82">
        <v>21450.931134328894</v>
      </c>
      <c r="AT3" s="81">
        <v>5806.1550163334477</v>
      </c>
      <c r="AU3" s="82">
        <v>35040.717427861979</v>
      </c>
      <c r="AV3" s="81">
        <v>8672.8212538572352</v>
      </c>
      <c r="AW3" s="82">
        <v>77013.828998587443</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997.47784836292192</v>
      </c>
      <c r="E5" s="40">
        <v>1018.5521447205612</v>
      </c>
      <c r="F5" s="39">
        <v>995.22247051396346</v>
      </c>
      <c r="G5" s="40">
        <v>1038.6764578413765</v>
      </c>
      <c r="H5" s="39">
        <v>993.32434221086544</v>
      </c>
      <c r="I5" s="40">
        <v>1060.4796284751794</v>
      </c>
      <c r="J5" s="39">
        <v>991.90884848303858</v>
      </c>
      <c r="K5" s="40">
        <v>1084.059124650375</v>
      </c>
      <c r="L5" s="39">
        <v>991.15187859207902</v>
      </c>
      <c r="M5" s="40">
        <v>1109.494979250542</v>
      </c>
      <c r="N5" s="39">
        <v>991.30313606065636</v>
      </c>
      <c r="O5" s="40">
        <v>1136.8409550658002</v>
      </c>
      <c r="P5" s="39">
        <v>992.7183741587711</v>
      </c>
      <c r="Q5" s="40">
        <v>1166.1186203262537</v>
      </c>
      <c r="R5" s="39">
        <v>995.90917801208366</v>
      </c>
      <c r="S5" s="40">
        <v>1197.3189760768926</v>
      </c>
      <c r="T5" s="39">
        <v>1001.615920279529</v>
      </c>
      <c r="U5" s="40">
        <v>1230.4265117213183</v>
      </c>
      <c r="V5" s="39">
        <v>1010.9196101392245</v>
      </c>
      <c r="W5" s="40">
        <v>1265.4848055712591</v>
      </c>
      <c r="X5" s="39">
        <v>1025.4163706720478</v>
      </c>
      <c r="Y5" s="40">
        <v>1302.7381024284432</v>
      </c>
      <c r="Z5" s="39">
        <v>1047.5033396403232</v>
      </c>
      <c r="AA5" s="40">
        <v>1342.8783509753005</v>
      </c>
      <c r="AB5" s="39">
        <v>1080.8700483056434</v>
      </c>
      <c r="AC5" s="40">
        <v>1387.4093136903377</v>
      </c>
      <c r="AD5" s="39">
        <v>1131.4021650235261</v>
      </c>
      <c r="AE5" s="40">
        <v>1439.0210964662845</v>
      </c>
      <c r="AF5" s="39">
        <v>1209.0802997834835</v>
      </c>
      <c r="AG5" s="40">
        <v>1501.5012700860032</v>
      </c>
      <c r="AH5" s="39">
        <v>1332.913568549729</v>
      </c>
      <c r="AI5" s="40">
        <v>1577.6895503176142</v>
      </c>
      <c r="AJ5" s="39">
        <v>1545.7970609198267</v>
      </c>
      <c r="AK5" s="40">
        <v>1661.7821605033403</v>
      </c>
      <c r="AL5" s="39">
        <v>1956.1347802889884</v>
      </c>
      <c r="AM5" s="40">
        <v>1726.4317788111732</v>
      </c>
      <c r="AN5" s="39">
        <v>2896.5077688352376</v>
      </c>
      <c r="AO5" s="40">
        <v>1748.4109827534003</v>
      </c>
      <c r="AP5" s="39">
        <v>3248.065462959346</v>
      </c>
      <c r="AQ5" s="40">
        <v>1749.365167946341</v>
      </c>
      <c r="AR5" s="39">
        <v>3729.2603546980508</v>
      </c>
      <c r="AS5" s="40">
        <v>1749.8305887255747</v>
      </c>
      <c r="AT5" s="39">
        <v>4450.1526706519735</v>
      </c>
      <c r="AU5" s="40">
        <v>1750.0144824016922</v>
      </c>
      <c r="AV5" s="39">
        <v>5750.147068577694</v>
      </c>
      <c r="AW5" s="40">
        <v>1750.0640859752425</v>
      </c>
    </row>
    <row r="6" spans="1:49" x14ac:dyDescent="0.2">
      <c r="A6" t="s">
        <v>77</v>
      </c>
      <c r="B6" s="39">
        <v>999.99999999999943</v>
      </c>
      <c r="C6" s="40">
        <v>999.99999999999909</v>
      </c>
      <c r="D6" s="39">
        <v>997.28545108267872</v>
      </c>
      <c r="E6" s="40">
        <v>1023.0057807912478</v>
      </c>
      <c r="F6" s="39">
        <v>994.85891580150951</v>
      </c>
      <c r="G6" s="40">
        <v>1048.4316382810134</v>
      </c>
      <c r="H6" s="39">
        <v>992.81738845598852</v>
      </c>
      <c r="I6" s="40">
        <v>1076.5740623597171</v>
      </c>
      <c r="J6" s="39">
        <v>991.29534271560942</v>
      </c>
      <c r="K6" s="40">
        <v>1107.7656464912693</v>
      </c>
      <c r="L6" s="39">
        <v>990.48152756072079</v>
      </c>
      <c r="M6" s="40">
        <v>1142.3774195699625</v>
      </c>
      <c r="N6" s="39">
        <v>990.64413664629899</v>
      </c>
      <c r="O6" s="40">
        <v>1180.8221628127146</v>
      </c>
      <c r="P6" s="39">
        <v>992.16576623452522</v>
      </c>
      <c r="Q6" s="40">
        <v>1223.5650514042843</v>
      </c>
      <c r="R6" s="39">
        <v>995.59764937271746</v>
      </c>
      <c r="S6" s="40">
        <v>1271.1500530156757</v>
      </c>
      <c r="T6" s="39">
        <v>1001.7397374167922</v>
      </c>
      <c r="U6" s="40">
        <v>1324.2735922912775</v>
      </c>
      <c r="V6" s="39">
        <v>1011.7646776590938</v>
      </c>
      <c r="W6" s="40">
        <v>1383.9606603443408</v>
      </c>
      <c r="X6" s="39">
        <v>1027.4137644011876</v>
      </c>
      <c r="Y6" s="40">
        <v>1451.9696363552546</v>
      </c>
      <c r="Z6" s="39">
        <v>1051.3233558322884</v>
      </c>
      <c r="AA6" s="40">
        <v>1531.6650270225487</v>
      </c>
      <c r="AB6" s="39">
        <v>1087.5976608577089</v>
      </c>
      <c r="AC6" s="40">
        <v>1629.8578286997722</v>
      </c>
      <c r="AD6" s="39">
        <v>1142.8892942161508</v>
      </c>
      <c r="AE6" s="40">
        <v>1760.7482736957661</v>
      </c>
      <c r="AF6" s="39">
        <v>1228.7308464271755</v>
      </c>
      <c r="AG6" s="40">
        <v>1955.1305221398977</v>
      </c>
      <c r="AH6" s="39">
        <v>1367.7425331031106</v>
      </c>
      <c r="AI6" s="40">
        <v>2286.1475739184434</v>
      </c>
      <c r="AJ6" s="39">
        <v>1613.1425734444699</v>
      </c>
      <c r="AK6" s="40">
        <v>2960.6811097399436</v>
      </c>
      <c r="AL6" s="39">
        <v>2110.4845579890493</v>
      </c>
      <c r="AM6" s="40">
        <v>4713.3257844295704</v>
      </c>
      <c r="AN6" s="39">
        <v>3387.9815782673577</v>
      </c>
      <c r="AO6" s="40">
        <v>11525.194079581517</v>
      </c>
      <c r="AP6" s="39">
        <v>3922.5690505371876</v>
      </c>
      <c r="AQ6" s="40">
        <v>15339.72149885756</v>
      </c>
      <c r="AR6" s="39">
        <v>4713.1916646712407</v>
      </c>
      <c r="AS6" s="40">
        <v>22004.45052302898</v>
      </c>
      <c r="AT6" s="39">
        <v>6045.5998240171548</v>
      </c>
      <c r="AU6" s="40">
        <v>35944.976220347235</v>
      </c>
      <c r="AV6" s="39">
        <v>9031.7220584560309</v>
      </c>
      <c r="AW6" s="40">
        <v>79001.284357276803</v>
      </c>
    </row>
    <row r="7" spans="1:49" x14ac:dyDescent="0.2">
      <c r="A7" t="s">
        <v>13</v>
      </c>
      <c r="B7" s="31">
        <v>1015.9116825427475</v>
      </c>
      <c r="C7" s="32">
        <v>1015.9116825427475</v>
      </c>
      <c r="D7" s="31">
        <v>1013.3493992294955</v>
      </c>
      <c r="E7" s="32">
        <v>1013.3493992294955</v>
      </c>
      <c r="F7" s="31">
        <v>1011.0581345241905</v>
      </c>
      <c r="G7" s="32">
        <v>1011.0581345241905</v>
      </c>
      <c r="H7" s="31">
        <v>1009.1298038061082</v>
      </c>
      <c r="I7" s="32">
        <v>1009.1298038061082</v>
      </c>
      <c r="J7" s="31">
        <v>1007.6917871914428</v>
      </c>
      <c r="K7" s="32">
        <v>1007.6917871914428</v>
      </c>
      <c r="L7" s="31">
        <v>1006.9227726358839</v>
      </c>
      <c r="M7" s="32">
        <v>1006.9227726358839</v>
      </c>
      <c r="N7" s="31">
        <v>1007.0764368652835</v>
      </c>
      <c r="O7" s="32">
        <v>1007.0764368652835</v>
      </c>
      <c r="P7" s="31">
        <v>1008.5141937827378</v>
      </c>
      <c r="Q7" s="32">
        <v>1008.5141937827378</v>
      </c>
      <c r="R7" s="31">
        <v>1011.7557686940205</v>
      </c>
      <c r="S7" s="32">
        <v>1011.7557686940205</v>
      </c>
      <c r="T7" s="31">
        <v>1017.5533148327786</v>
      </c>
      <c r="U7" s="32">
        <v>1017.5533148327786</v>
      </c>
      <c r="V7" s="31">
        <v>1027.0050420519979</v>
      </c>
      <c r="W7" s="32">
        <v>1027.0050420519979</v>
      </c>
      <c r="X7" s="31">
        <v>1041.7324704363177</v>
      </c>
      <c r="Y7" s="32">
        <v>1041.7324704363177</v>
      </c>
      <c r="Z7" s="31">
        <v>1064.1708802431478</v>
      </c>
      <c r="AA7" s="32">
        <v>1064.1708802431478</v>
      </c>
      <c r="AB7" s="31">
        <v>1098.0685093842469</v>
      </c>
      <c r="AC7" s="32">
        <v>1098.0685093842469</v>
      </c>
      <c r="AD7" s="31">
        <v>1149.4046771015576</v>
      </c>
      <c r="AE7" s="32">
        <v>1149.4046771015576</v>
      </c>
      <c r="AF7" s="31">
        <v>1228.3188016823283</v>
      </c>
      <c r="AG7" s="32">
        <v>1228.3188016823283</v>
      </c>
      <c r="AH7" s="31">
        <v>1354.1224661094129</v>
      </c>
      <c r="AI7" s="32">
        <v>1354.1224661094129</v>
      </c>
      <c r="AJ7" s="31">
        <v>1570.3932930286949</v>
      </c>
      <c r="AK7" s="32">
        <v>1570.3932930286949</v>
      </c>
      <c r="AL7" s="31">
        <v>1987.2601759237739</v>
      </c>
      <c r="AM7" s="32">
        <v>1987.2601759237739</v>
      </c>
      <c r="AN7" s="31">
        <v>2942.5960809355456</v>
      </c>
      <c r="AO7" s="32">
        <v>2942.5960809355456</v>
      </c>
      <c r="AP7" s="31">
        <v>3299.7476494840171</v>
      </c>
      <c r="AQ7" s="32">
        <v>3299.7476494840171</v>
      </c>
      <c r="AR7" s="31">
        <v>3788.59916158126</v>
      </c>
      <c r="AS7" s="32">
        <v>3788.59916158126</v>
      </c>
      <c r="AT7" s="31">
        <v>4520.9620872141477</v>
      </c>
      <c r="AU7" s="32">
        <v>4520.9620872141477</v>
      </c>
      <c r="AV7" s="31">
        <v>5841.6415833070123</v>
      </c>
      <c r="AW7" s="32">
        <v>5841.6415833070123</v>
      </c>
    </row>
    <row r="8" spans="1:49" x14ac:dyDescent="0.2">
      <c r="B8" s="33">
        <v>1005.7716594496609</v>
      </c>
      <c r="C8" s="34">
        <v>1005.7716594496609</v>
      </c>
      <c r="D8" s="33">
        <v>1072.0509781586973</v>
      </c>
      <c r="E8" s="34">
        <v>1072.0509781586973</v>
      </c>
      <c r="F8" s="33">
        <v>1145.4160407079582</v>
      </c>
      <c r="G8" s="34">
        <v>1145.4160407079582</v>
      </c>
      <c r="H8" s="33">
        <v>1226.7243146239748</v>
      </c>
      <c r="I8" s="34">
        <v>1226.7243146239748</v>
      </c>
      <c r="J8" s="33">
        <v>1316.8970424899098</v>
      </c>
      <c r="K8" s="34">
        <v>1316.8970424899098</v>
      </c>
      <c r="L8" s="33">
        <v>1416.8925315354722</v>
      </c>
      <c r="M8" s="34">
        <v>1416.8925315354722</v>
      </c>
      <c r="N8" s="33">
        <v>1527.6619964220774</v>
      </c>
      <c r="O8" s="34">
        <v>1527.6619964220774</v>
      </c>
      <c r="P8" s="33">
        <v>1650.1004001075262</v>
      </c>
      <c r="Q8" s="34">
        <v>1650.1004001075262</v>
      </c>
      <c r="R8" s="33">
        <v>1784.9989677003484</v>
      </c>
      <c r="S8" s="34">
        <v>1784.9989677003484</v>
      </c>
      <c r="T8" s="33">
        <v>1933.078383546477</v>
      </c>
      <c r="U8" s="34">
        <v>1933.078383546477</v>
      </c>
      <c r="V8" s="33">
        <v>2095.2453957318985</v>
      </c>
      <c r="W8" s="34">
        <v>2095.2453957318985</v>
      </c>
      <c r="X8" s="33">
        <v>2273.4204592321576</v>
      </c>
      <c r="Y8" s="34">
        <v>2273.4204592321576</v>
      </c>
      <c r="Z8" s="33">
        <v>2472.6039485823335</v>
      </c>
      <c r="AA8" s="34">
        <v>2472.6039485823335</v>
      </c>
      <c r="AB8" s="33">
        <v>2705.5886673701712</v>
      </c>
      <c r="AC8" s="34">
        <v>2705.5886673701712</v>
      </c>
      <c r="AD8" s="33">
        <v>3003.5356500967914</v>
      </c>
      <c r="AE8" s="34">
        <v>3003.5356500967914</v>
      </c>
      <c r="AF8" s="33">
        <v>3441.4292644405682</v>
      </c>
      <c r="AG8" s="34">
        <v>3441.4292644405682</v>
      </c>
      <c r="AH8" s="33">
        <v>4211.2080131927369</v>
      </c>
      <c r="AI8" s="34">
        <v>4211.2080131927369</v>
      </c>
      <c r="AJ8" s="33">
        <v>5893.2360972246624</v>
      </c>
      <c r="AK8" s="34">
        <v>5893.2360972246624</v>
      </c>
      <c r="AL8" s="33">
        <v>10724.98732841265</v>
      </c>
      <c r="AM8" s="34">
        <v>10724.98732841265</v>
      </c>
      <c r="AN8" s="33">
        <v>32094.496906665576</v>
      </c>
      <c r="AO8" s="34">
        <v>32094.496906665576</v>
      </c>
      <c r="AP8" s="33">
        <v>44890.787932229905</v>
      </c>
      <c r="AQ8" s="34">
        <v>44890.787932229905</v>
      </c>
      <c r="AR8" s="33">
        <v>67979.469537460463</v>
      </c>
      <c r="AS8" s="34">
        <v>67979.469537460463</v>
      </c>
      <c r="AT8" s="33">
        <v>118017.56282318922</v>
      </c>
      <c r="AU8" s="34">
        <v>118017.56282318922</v>
      </c>
      <c r="AV8" s="33">
        <v>279169.00082108442</v>
      </c>
      <c r="AW8" s="34">
        <v>279169.00082108442</v>
      </c>
    </row>
    <row r="9" spans="1:49" x14ac:dyDescent="0.2">
      <c r="A9" t="s">
        <v>14</v>
      </c>
      <c r="B9" s="39">
        <v>1015.9116825427475</v>
      </c>
      <c r="C9" s="40">
        <v>1005.7716594496609</v>
      </c>
      <c r="D9" s="39">
        <v>1013.3493992294955</v>
      </c>
      <c r="E9" s="40">
        <v>1072.0509781586973</v>
      </c>
      <c r="F9" s="39">
        <v>1011.0581345241905</v>
      </c>
      <c r="G9" s="40">
        <v>1145.4160407079582</v>
      </c>
      <c r="H9" s="39">
        <v>1009.1298038061082</v>
      </c>
      <c r="I9" s="40">
        <v>1226.7243146239748</v>
      </c>
      <c r="J9" s="39">
        <v>1007.6917871914428</v>
      </c>
      <c r="K9" s="40">
        <v>1316.8970424899098</v>
      </c>
      <c r="L9" s="39">
        <v>1006.9227726358839</v>
      </c>
      <c r="M9" s="40">
        <v>1416.8925315354722</v>
      </c>
      <c r="N9" s="39">
        <v>1007.0764368652835</v>
      </c>
      <c r="O9" s="40">
        <v>1527.6619964220774</v>
      </c>
      <c r="P9" s="39">
        <v>1008.5141937827378</v>
      </c>
      <c r="Q9" s="40">
        <v>1650.1004001075262</v>
      </c>
      <c r="R9" s="39">
        <v>1011.7557686940205</v>
      </c>
      <c r="S9" s="40">
        <v>1784.9989677003484</v>
      </c>
      <c r="T9" s="39">
        <v>1017.5533148327786</v>
      </c>
      <c r="U9" s="40">
        <v>1933.078383546477</v>
      </c>
      <c r="V9" s="39">
        <v>1027.0050420519979</v>
      </c>
      <c r="W9" s="40">
        <v>2095.2453957318985</v>
      </c>
      <c r="X9" s="39">
        <v>1041.7324704363177</v>
      </c>
      <c r="Y9" s="40">
        <v>2273.4204592321576</v>
      </c>
      <c r="Z9" s="39">
        <v>1064.1708802431478</v>
      </c>
      <c r="AA9" s="40">
        <v>2472.6039485823335</v>
      </c>
      <c r="AB9" s="39">
        <v>1098.0685093842469</v>
      </c>
      <c r="AC9" s="40">
        <v>2705.5886673701712</v>
      </c>
      <c r="AD9" s="39">
        <v>1149.4046771015576</v>
      </c>
      <c r="AE9" s="40">
        <v>3003.5356500967914</v>
      </c>
      <c r="AF9" s="39">
        <v>1228.3188016823283</v>
      </c>
      <c r="AG9" s="40">
        <v>3441.4292644405682</v>
      </c>
      <c r="AH9" s="39">
        <v>1354.1224661094129</v>
      </c>
      <c r="AI9" s="40">
        <v>4211.2080131927369</v>
      </c>
      <c r="AJ9" s="39">
        <v>1570.3932930286949</v>
      </c>
      <c r="AK9" s="40">
        <v>5893.2360972246624</v>
      </c>
      <c r="AL9" s="39">
        <v>1987.2601759237739</v>
      </c>
      <c r="AM9" s="40">
        <v>10724.98732841265</v>
      </c>
      <c r="AN9" s="39">
        <v>2942.5960809355456</v>
      </c>
      <c r="AO9" s="40">
        <v>32094.496906665576</v>
      </c>
      <c r="AP9" s="39">
        <v>3299.7476494840171</v>
      </c>
      <c r="AQ9" s="40">
        <v>44890.787932229905</v>
      </c>
      <c r="AR9" s="39">
        <v>3788.59916158126</v>
      </c>
      <c r="AS9" s="40">
        <v>67979.469537460463</v>
      </c>
      <c r="AT9" s="39">
        <v>4520.9620872141477</v>
      </c>
      <c r="AU9" s="40">
        <v>118017.56282318922</v>
      </c>
      <c r="AV9" s="39">
        <v>5841.6415833070123</v>
      </c>
      <c r="AW9" s="40">
        <v>279169.00082108442</v>
      </c>
    </row>
    <row r="10" spans="1:49" x14ac:dyDescent="0.2">
      <c r="A10" t="s">
        <v>15</v>
      </c>
      <c r="B10" s="39">
        <v>1015.9116825427475</v>
      </c>
      <c r="C10" s="40">
        <v>1005.7716594496609</v>
      </c>
      <c r="D10" s="39">
        <v>1013.3493992294955</v>
      </c>
      <c r="E10" s="40">
        <v>1072.0509781586973</v>
      </c>
      <c r="F10" s="39">
        <v>1011.0581345241905</v>
      </c>
      <c r="G10" s="40">
        <v>1145.4160407079582</v>
      </c>
      <c r="H10" s="39">
        <v>1009.1298038061082</v>
      </c>
      <c r="I10" s="40">
        <v>1226.7243146239748</v>
      </c>
      <c r="J10" s="39">
        <v>1007.6917871914428</v>
      </c>
      <c r="K10" s="40">
        <v>1316.8970424899098</v>
      </c>
      <c r="L10" s="39">
        <v>1006.9227726358839</v>
      </c>
      <c r="M10" s="40">
        <v>1416.8925315354722</v>
      </c>
      <c r="N10" s="39">
        <v>1007.0764368652835</v>
      </c>
      <c r="O10" s="40">
        <v>1527.6619964220774</v>
      </c>
      <c r="P10" s="39">
        <v>1008.5141937827378</v>
      </c>
      <c r="Q10" s="40">
        <v>1650.1004001075262</v>
      </c>
      <c r="R10" s="39">
        <v>1011.7557686940205</v>
      </c>
      <c r="S10" s="40">
        <v>1784.9989677003484</v>
      </c>
      <c r="T10" s="39">
        <v>1017.5533148327786</v>
      </c>
      <c r="U10" s="40">
        <v>1933.078383546477</v>
      </c>
      <c r="V10" s="39">
        <v>1027.0050420519979</v>
      </c>
      <c r="W10" s="40">
        <v>2095.2453957318985</v>
      </c>
      <c r="X10" s="39">
        <v>1041.7324704363177</v>
      </c>
      <c r="Y10" s="40">
        <v>2273.4204592321576</v>
      </c>
      <c r="Z10" s="39">
        <v>1064.1708802431478</v>
      </c>
      <c r="AA10" s="40">
        <v>2472.6039485823335</v>
      </c>
      <c r="AB10" s="39">
        <v>1098.0685093842469</v>
      </c>
      <c r="AC10" s="40">
        <v>2705.5886673701712</v>
      </c>
      <c r="AD10" s="39">
        <v>1149.4046771015576</v>
      </c>
      <c r="AE10" s="40">
        <v>3003.5356500967914</v>
      </c>
      <c r="AF10" s="39">
        <v>1228.3188016823283</v>
      </c>
      <c r="AG10" s="40">
        <v>3441.4292644405682</v>
      </c>
      <c r="AH10" s="39">
        <v>1354.1224661094129</v>
      </c>
      <c r="AI10" s="40">
        <v>4211.2080131927369</v>
      </c>
      <c r="AJ10" s="39">
        <v>1570.3932930286949</v>
      </c>
      <c r="AK10" s="40">
        <v>5893.2360972246624</v>
      </c>
      <c r="AL10" s="39">
        <v>1987.2601759237739</v>
      </c>
      <c r="AM10" s="40">
        <v>10724.98732841265</v>
      </c>
      <c r="AN10" s="39">
        <v>2942.5960809355456</v>
      </c>
      <c r="AO10" s="40">
        <v>32094.496906665576</v>
      </c>
      <c r="AP10" s="39">
        <v>3299.7476494840171</v>
      </c>
      <c r="AQ10" s="40">
        <v>44890.787932229905</v>
      </c>
      <c r="AR10" s="39">
        <v>3788.59916158126</v>
      </c>
      <c r="AS10" s="40">
        <v>67979.469537460463</v>
      </c>
      <c r="AT10" s="39">
        <v>4520.9620872141477</v>
      </c>
      <c r="AU10" s="40">
        <v>118017.56282318922</v>
      </c>
      <c r="AV10" s="39">
        <v>5841.6415833070123</v>
      </c>
      <c r="AW10" s="40">
        <v>279169.00082108442</v>
      </c>
    </row>
    <row r="11" spans="1:49" x14ac:dyDescent="0.2">
      <c r="A11" t="s">
        <v>29</v>
      </c>
      <c r="B11" s="39">
        <v>1015.9116825427475</v>
      </c>
      <c r="C11" s="40">
        <v>1005.7716594496609</v>
      </c>
      <c r="D11" s="39">
        <v>1013.3493992294955</v>
      </c>
      <c r="E11" s="40">
        <v>1072.0509781586973</v>
      </c>
      <c r="F11" s="39">
        <v>1011.0581345241905</v>
      </c>
      <c r="G11" s="40">
        <v>1145.4160407079582</v>
      </c>
      <c r="H11" s="39">
        <v>1009.1298038061082</v>
      </c>
      <c r="I11" s="40">
        <v>1226.7243146239748</v>
      </c>
      <c r="J11" s="39">
        <v>1007.6917871914428</v>
      </c>
      <c r="K11" s="40">
        <v>1316.8970424899098</v>
      </c>
      <c r="L11" s="39">
        <v>1006.9227726358839</v>
      </c>
      <c r="M11" s="40">
        <v>1416.8925315354722</v>
      </c>
      <c r="N11" s="39">
        <v>1007.0764368652835</v>
      </c>
      <c r="O11" s="40">
        <v>1527.6619964220774</v>
      </c>
      <c r="P11" s="39">
        <v>1008.5141937827378</v>
      </c>
      <c r="Q11" s="40">
        <v>1650.1004001075262</v>
      </c>
      <c r="R11" s="39">
        <v>1011.7557686940205</v>
      </c>
      <c r="S11" s="40">
        <v>1784.9989677003484</v>
      </c>
      <c r="T11" s="39">
        <v>1017.5533148327786</v>
      </c>
      <c r="U11" s="40">
        <v>1933.078383546477</v>
      </c>
      <c r="V11" s="39">
        <v>1027.0050420519979</v>
      </c>
      <c r="W11" s="40">
        <v>2095.2453957318985</v>
      </c>
      <c r="X11" s="39">
        <v>1041.7324704363177</v>
      </c>
      <c r="Y11" s="40">
        <v>2273.4204592321576</v>
      </c>
      <c r="Z11" s="39">
        <v>1064.1708802431478</v>
      </c>
      <c r="AA11" s="40">
        <v>2472.6039485823335</v>
      </c>
      <c r="AB11" s="39">
        <v>1098.0685093842469</v>
      </c>
      <c r="AC11" s="40">
        <v>2705.5886673701712</v>
      </c>
      <c r="AD11" s="39">
        <v>1149.4046771015576</v>
      </c>
      <c r="AE11" s="40">
        <v>3003.5356500967914</v>
      </c>
      <c r="AF11" s="39">
        <v>1228.3188016823283</v>
      </c>
      <c r="AG11" s="40">
        <v>3441.4292644405682</v>
      </c>
      <c r="AH11" s="39">
        <v>1354.1224661094129</v>
      </c>
      <c r="AI11" s="40">
        <v>4211.2080131927369</v>
      </c>
      <c r="AJ11" s="39">
        <v>1570.3932930286949</v>
      </c>
      <c r="AK11" s="40">
        <v>5893.2360972246624</v>
      </c>
      <c r="AL11" s="39">
        <v>1987.2601759237739</v>
      </c>
      <c r="AM11" s="40">
        <v>10724.98732841265</v>
      </c>
      <c r="AN11" s="39">
        <v>2942.5960809355456</v>
      </c>
      <c r="AO11" s="40">
        <v>32094.496906665576</v>
      </c>
      <c r="AP11" s="39">
        <v>3299.7476494840171</v>
      </c>
      <c r="AQ11" s="40">
        <v>44890.787932229905</v>
      </c>
      <c r="AR11" s="39">
        <v>3788.59916158126</v>
      </c>
      <c r="AS11" s="40">
        <v>67979.469537460463</v>
      </c>
      <c r="AT11" s="39">
        <v>4520.9620872141477</v>
      </c>
      <c r="AU11" s="40">
        <v>118017.56282318922</v>
      </c>
      <c r="AV11" s="39">
        <v>5841.6415833070123</v>
      </c>
      <c r="AW11" s="40">
        <v>279169.00082108442</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992.43638407525214</v>
      </c>
      <c r="E13" s="94">
        <v>992.43638407525214</v>
      </c>
      <c r="F13" s="93">
        <v>984.76754790553389</v>
      </c>
      <c r="G13" s="94">
        <v>984.76754790553389</v>
      </c>
      <c r="H13" s="93">
        <v>977.04564641368233</v>
      </c>
      <c r="I13" s="94">
        <v>977.04564641368233</v>
      </c>
      <c r="J13" s="93">
        <v>969.35381486929248</v>
      </c>
      <c r="K13" s="94">
        <v>969.35381486929248</v>
      </c>
      <c r="L13" s="93">
        <v>961.82150105833512</v>
      </c>
      <c r="M13" s="94">
        <v>961.82150105833512</v>
      </c>
      <c r="N13" s="93">
        <v>954.64740620592636</v>
      </c>
      <c r="O13" s="94">
        <v>954.64740620592636</v>
      </c>
      <c r="P13" s="93">
        <v>948.13077759411124</v>
      </c>
      <c r="Q13" s="94">
        <v>948.13077759411124</v>
      </c>
      <c r="R13" s="93">
        <v>942.71967000798156</v>
      </c>
      <c r="S13" s="94">
        <v>942.71967000798156</v>
      </c>
      <c r="T13" s="93">
        <v>939.0805642690791</v>
      </c>
      <c r="U13" s="94">
        <v>939.0805642690791</v>
      </c>
      <c r="V13" s="93">
        <v>938.20457367794643</v>
      </c>
      <c r="W13" s="94">
        <v>938.20457367794643</v>
      </c>
      <c r="X13" s="93">
        <v>941.57347468126716</v>
      </c>
      <c r="Y13" s="94">
        <v>941.57347468126716</v>
      </c>
      <c r="Z13" s="93">
        <v>951.43894393953394</v>
      </c>
      <c r="AA13" s="94">
        <v>951.43894393953394</v>
      </c>
      <c r="AB13" s="93">
        <v>971.32537010417502</v>
      </c>
      <c r="AC13" s="94">
        <v>971.32537010417502</v>
      </c>
      <c r="AD13" s="93">
        <v>1007.0103597916047</v>
      </c>
      <c r="AE13" s="94">
        <v>1007.0103597916047</v>
      </c>
      <c r="AF13" s="93">
        <v>1068.6947984270862</v>
      </c>
      <c r="AG13" s="94">
        <v>1068.6947984270862</v>
      </c>
      <c r="AH13" s="93">
        <v>1176.8859938436437</v>
      </c>
      <c r="AI13" s="94">
        <v>1176.8859938436437</v>
      </c>
      <c r="AJ13" s="93">
        <v>1381.6291240784983</v>
      </c>
      <c r="AK13" s="94">
        <v>1381.6291240784983</v>
      </c>
      <c r="AL13" s="93">
        <v>1829.9922146779959</v>
      </c>
      <c r="AM13" s="94">
        <v>1829.9922146779959</v>
      </c>
      <c r="AN13" s="93">
        <v>3137.8699587692599</v>
      </c>
      <c r="AO13" s="94">
        <v>3137.8699587692599</v>
      </c>
      <c r="AP13" s="93">
        <v>3746.9482484849577</v>
      </c>
      <c r="AQ13" s="94">
        <v>3746.9482484849577</v>
      </c>
      <c r="AR13" s="93">
        <v>4711.7579684281873</v>
      </c>
      <c r="AS13" s="94">
        <v>4711.7579684281873</v>
      </c>
      <c r="AT13" s="93">
        <v>6503.0198206092273</v>
      </c>
      <c r="AU13" s="94">
        <v>6503.0198206092273</v>
      </c>
      <c r="AV13" s="93">
        <v>11203.026184318258</v>
      </c>
      <c r="AW13" s="94">
        <v>11203.026184318258</v>
      </c>
    </row>
    <row r="14" spans="1:49" x14ac:dyDescent="0.2">
      <c r="A14" t="s">
        <v>36</v>
      </c>
      <c r="B14" s="39">
        <v>1457.0034251455234</v>
      </c>
      <c r="C14" s="40">
        <v>1457.0034251455236</v>
      </c>
      <c r="D14" s="39">
        <v>1445.9832108366804</v>
      </c>
      <c r="E14" s="40">
        <v>1445.9832108366807</v>
      </c>
      <c r="F14" s="39">
        <v>1434.8096902705211</v>
      </c>
      <c r="G14" s="40">
        <v>1434.8096902705213</v>
      </c>
      <c r="H14" s="39">
        <v>1423.5588533482571</v>
      </c>
      <c r="I14" s="40">
        <v>1423.5588533482573</v>
      </c>
      <c r="J14" s="39">
        <v>1412.3518284424385</v>
      </c>
      <c r="K14" s="40">
        <v>1412.3518284424388</v>
      </c>
      <c r="L14" s="39">
        <v>1401.3772214206028</v>
      </c>
      <c r="M14" s="40">
        <v>1401.3772214206031</v>
      </c>
      <c r="N14" s="39">
        <v>1390.9245406483244</v>
      </c>
      <c r="O14" s="40">
        <v>1390.9245406483246</v>
      </c>
      <c r="P14" s="39">
        <v>1381.4297904405084</v>
      </c>
      <c r="Q14" s="40">
        <v>1381.4297904405087</v>
      </c>
      <c r="R14" s="39">
        <v>1373.5457881536865</v>
      </c>
      <c r="S14" s="40">
        <v>1373.5457881536868</v>
      </c>
      <c r="T14" s="39">
        <v>1368.2435986276389</v>
      </c>
      <c r="U14" s="40">
        <v>1368.2435986276391</v>
      </c>
      <c r="V14" s="39">
        <v>1366.9672773359634</v>
      </c>
      <c r="W14" s="40">
        <v>1366.9672773359637</v>
      </c>
      <c r="X14" s="39">
        <v>1371.8757776367779</v>
      </c>
      <c r="Y14" s="40">
        <v>1371.8757776367781</v>
      </c>
      <c r="Z14" s="39">
        <v>1386.2498001367405</v>
      </c>
      <c r="AA14" s="40">
        <v>1386.2498001367408</v>
      </c>
      <c r="AB14" s="39">
        <v>1415.2243911725261</v>
      </c>
      <c r="AC14" s="40">
        <v>1415.2243911725263</v>
      </c>
      <c r="AD14" s="39">
        <v>1467.2175433733939</v>
      </c>
      <c r="AE14" s="40">
        <v>1467.2175433733942</v>
      </c>
      <c r="AF14" s="39">
        <v>1557.0919817434692</v>
      </c>
      <c r="AG14" s="40">
        <v>1557.0919817434694</v>
      </c>
      <c r="AH14" s="39">
        <v>1714.7269240359822</v>
      </c>
      <c r="AI14" s="40">
        <v>1714.7269240359824</v>
      </c>
      <c r="AJ14" s="39">
        <v>2013.0383660631812</v>
      </c>
      <c r="AK14" s="40">
        <v>2013.0383660631815</v>
      </c>
      <c r="AL14" s="39">
        <v>2666.3049247754816</v>
      </c>
      <c r="AM14" s="40">
        <v>2666.304924775482</v>
      </c>
      <c r="AN14" s="39">
        <v>4571.8872775880536</v>
      </c>
      <c r="AO14" s="40">
        <v>4571.8872775880545</v>
      </c>
      <c r="AP14" s="39">
        <v>5459.3164318856025</v>
      </c>
      <c r="AQ14" s="40">
        <v>5459.3164318856034</v>
      </c>
      <c r="AR14" s="39">
        <v>6865.0474984565808</v>
      </c>
      <c r="AS14" s="40">
        <v>6865.0474984565826</v>
      </c>
      <c r="AT14" s="39">
        <v>9474.9221524168697</v>
      </c>
      <c r="AU14" s="40">
        <v>9474.9221524168715</v>
      </c>
      <c r="AV14" s="39">
        <v>16322.847522546685</v>
      </c>
      <c r="AW14" s="40">
        <v>16322.847522546686</v>
      </c>
    </row>
    <row r="15" spans="1:49" x14ac:dyDescent="0.2">
      <c r="A15" t="s">
        <v>18</v>
      </c>
      <c r="B15" s="144">
        <v>1000</v>
      </c>
      <c r="C15" s="145">
        <v>1000</v>
      </c>
      <c r="D15" s="144">
        <v>997.47784836292192</v>
      </c>
      <c r="E15" s="145">
        <v>997.47784836292192</v>
      </c>
      <c r="F15" s="144">
        <v>995.22247051396346</v>
      </c>
      <c r="G15" s="145">
        <v>995.22247051396346</v>
      </c>
      <c r="H15" s="144">
        <v>993.32434221086544</v>
      </c>
      <c r="I15" s="145">
        <v>993.32434221086544</v>
      </c>
      <c r="J15" s="144">
        <v>991.90884848303858</v>
      </c>
      <c r="K15" s="145">
        <v>991.90884848303858</v>
      </c>
      <c r="L15" s="144">
        <v>991.15187859207902</v>
      </c>
      <c r="M15" s="145">
        <v>991.15187859207902</v>
      </c>
      <c r="N15" s="144">
        <v>991.30313606065636</v>
      </c>
      <c r="O15" s="145">
        <v>991.30313606065636</v>
      </c>
      <c r="P15" s="144">
        <v>992.7183741587711</v>
      </c>
      <c r="Q15" s="145">
        <v>992.7183741587711</v>
      </c>
      <c r="R15" s="144">
        <v>995.90917801208366</v>
      </c>
      <c r="S15" s="145">
        <v>995.90917801208366</v>
      </c>
      <c r="T15" s="144">
        <v>1001.615920279529</v>
      </c>
      <c r="U15" s="145">
        <v>1001.615920279529</v>
      </c>
      <c r="V15" s="144">
        <v>1010.9196101392245</v>
      </c>
      <c r="W15" s="145">
        <v>1010.9196101392245</v>
      </c>
      <c r="X15" s="144">
        <v>1025.4163706720478</v>
      </c>
      <c r="Y15" s="145">
        <v>1025.4163706720478</v>
      </c>
      <c r="Z15" s="144">
        <v>1047.5033396403232</v>
      </c>
      <c r="AA15" s="145">
        <v>1047.5033396403232</v>
      </c>
      <c r="AB15" s="144">
        <v>1080.8700483056434</v>
      </c>
      <c r="AC15" s="145">
        <v>1080.8700483056434</v>
      </c>
      <c r="AD15" s="144">
        <v>1131.4021650235261</v>
      </c>
      <c r="AE15" s="145">
        <v>1131.4021650235261</v>
      </c>
      <c r="AF15" s="144">
        <v>1209.0802997834835</v>
      </c>
      <c r="AG15" s="145">
        <v>1209.0802997834835</v>
      </c>
      <c r="AH15" s="144">
        <v>1332.913568549729</v>
      </c>
      <c r="AI15" s="145">
        <v>1332.913568549729</v>
      </c>
      <c r="AJ15" s="144">
        <v>1545.7970609198267</v>
      </c>
      <c r="AK15" s="145">
        <v>1545.7970609198267</v>
      </c>
      <c r="AL15" s="144">
        <v>1956.1347802889884</v>
      </c>
      <c r="AM15" s="145">
        <v>1956.1347802889884</v>
      </c>
      <c r="AN15" s="144">
        <v>2896.5077688352376</v>
      </c>
      <c r="AO15" s="145">
        <v>2896.5077688352376</v>
      </c>
      <c r="AP15" s="144">
        <v>3248.065462959346</v>
      </c>
      <c r="AQ15" s="145">
        <v>3248.065462959346</v>
      </c>
      <c r="AR15" s="144">
        <v>3729.2603546980508</v>
      </c>
      <c r="AS15" s="145">
        <v>3729.2603546980508</v>
      </c>
      <c r="AT15" s="144">
        <v>4450.1526706519735</v>
      </c>
      <c r="AU15" s="145">
        <v>4450.1526706519735</v>
      </c>
      <c r="AV15" s="144">
        <v>5750.147068577694</v>
      </c>
      <c r="AW15" s="145">
        <v>5750.147068577694</v>
      </c>
    </row>
    <row r="16" spans="1:49" s="27" customFormat="1" x14ac:dyDescent="0.2">
      <c r="A16" t="s">
        <v>61</v>
      </c>
      <c r="B16" s="39">
        <v>1000</v>
      </c>
      <c r="C16" s="40">
        <v>1000</v>
      </c>
      <c r="D16" s="39">
        <v>994.78899997550013</v>
      </c>
      <c r="E16" s="40">
        <v>996.03849288958656</v>
      </c>
      <c r="F16" s="39">
        <v>989.64422715336354</v>
      </c>
      <c r="G16" s="40">
        <v>992.23667599835039</v>
      </c>
      <c r="H16" s="39">
        <v>984.63518925388234</v>
      </c>
      <c r="I16" s="40">
        <v>988.67386838578409</v>
      </c>
      <c r="J16" s="39">
        <v>979.86409090086238</v>
      </c>
      <c r="K16" s="40">
        <v>985.46312934141167</v>
      </c>
      <c r="L16" s="39">
        <v>975.48126850319284</v>
      </c>
      <c r="M16" s="40">
        <v>982.76677031163365</v>
      </c>
      <c r="N16" s="39">
        <v>971.70828569083108</v>
      </c>
      <c r="O16" s="40">
        <v>980.81955250925409</v>
      </c>
      <c r="P16" s="39">
        <v>968.86964913034114</v>
      </c>
      <c r="Q16" s="40">
        <v>979.96064674477975</v>
      </c>
      <c r="R16" s="39">
        <v>967.44177555028216</v>
      </c>
      <c r="S16" s="40">
        <v>980.68297957352263</v>
      </c>
      <c r="T16" s="39">
        <v>968.12417755836645</v>
      </c>
      <c r="U16" s="40">
        <v>983.70524150608082</v>
      </c>
      <c r="V16" s="39">
        <v>971.94834704987602</v>
      </c>
      <c r="W16" s="40">
        <v>990.08214220388572</v>
      </c>
      <c r="X16" s="39">
        <v>980.44783005976103</v>
      </c>
      <c r="Y16" s="40">
        <v>1001.3765184192596</v>
      </c>
      <c r="Z16" s="39">
        <v>995.94082956830073</v>
      </c>
      <c r="AA16" s="40">
        <v>1019.9434356619919</v>
      </c>
      <c r="AB16" s="39">
        <v>1022.028359110677</v>
      </c>
      <c r="AC16" s="40">
        <v>1049.4251043152758</v>
      </c>
      <c r="AD16" s="39">
        <v>1064.5407352216923</v>
      </c>
      <c r="AE16" s="40">
        <v>1095.6772685397543</v>
      </c>
      <c r="AF16" s="39">
        <v>1133.5857267806466</v>
      </c>
      <c r="AG16" s="40">
        <v>1168.7473417224946</v>
      </c>
      <c r="AH16" s="39">
        <v>1249.0009660143469</v>
      </c>
      <c r="AI16" s="40">
        <v>1288.0840935351384</v>
      </c>
      <c r="AJ16" s="39">
        <v>1457.5814076117592</v>
      </c>
      <c r="AK16" s="40">
        <v>1498.6590003219767</v>
      </c>
      <c r="AL16" s="39">
        <v>1888.5669306188722</v>
      </c>
      <c r="AM16" s="40">
        <v>1920.0022376335771</v>
      </c>
      <c r="AN16" s="39">
        <v>3024.4709737481999</v>
      </c>
      <c r="AO16" s="40">
        <v>2965.1021701367681</v>
      </c>
      <c r="AP16" s="39">
        <v>3511.3904160248362</v>
      </c>
      <c r="AQ16" s="40">
        <v>3389.3620430248516</v>
      </c>
      <c r="AR16" s="39">
        <v>4244.529651778791</v>
      </c>
      <c r="AS16" s="40">
        <v>4006.1406819013691</v>
      </c>
      <c r="AT16" s="39">
        <v>5515.7403804367432</v>
      </c>
      <c r="AU16" s="40">
        <v>5024.0078128989699</v>
      </c>
      <c r="AV16" s="39">
        <v>8523.5872094898605</v>
      </c>
      <c r="AW16" s="40">
        <v>7249.8097464226603</v>
      </c>
    </row>
    <row r="17" spans="1:49" x14ac:dyDescent="0.2">
      <c r="A17" t="s">
        <v>62</v>
      </c>
      <c r="B17" s="33">
        <v>1000.0000000000002</v>
      </c>
      <c r="C17" s="34">
        <v>999.99999999999977</v>
      </c>
      <c r="D17" s="33">
        <v>997.70886435192278</v>
      </c>
      <c r="E17" s="34">
        <v>1033.0667277074497</v>
      </c>
      <c r="F17" s="33">
        <v>995.6640721696541</v>
      </c>
      <c r="G17" s="34">
        <v>1069.6238091938055</v>
      </c>
      <c r="H17" s="33">
        <v>993.9461073915279</v>
      </c>
      <c r="I17" s="34">
        <v>1110.0979002792305</v>
      </c>
      <c r="J17" s="33">
        <v>992.66671996707214</v>
      </c>
      <c r="K17" s="34">
        <v>1154.9576129185753</v>
      </c>
      <c r="L17" s="33">
        <v>991.98315536838777</v>
      </c>
      <c r="M17" s="34">
        <v>1204.7084638352233</v>
      </c>
      <c r="N17" s="33">
        <v>992.11971041144352</v>
      </c>
      <c r="O17" s="34">
        <v>1259.884324983376</v>
      </c>
      <c r="P17" s="33">
        <v>993.39822447296547</v>
      </c>
      <c r="Q17" s="34">
        <v>1321.0429365776283</v>
      </c>
      <c r="R17" s="33">
        <v>996.28626198553116</v>
      </c>
      <c r="S17" s="34">
        <v>1388.7735970608594</v>
      </c>
      <c r="T17" s="33">
        <v>1001.4703780304568</v>
      </c>
      <c r="U17" s="34">
        <v>1463.7592422721793</v>
      </c>
      <c r="V17" s="33">
        <v>1009.9732974554497</v>
      </c>
      <c r="W17" s="34">
        <v>1546.9698213373629</v>
      </c>
      <c r="X17" s="33">
        <v>1023.3465713187722</v>
      </c>
      <c r="Y17" s="34">
        <v>1640.1657698384449</v>
      </c>
      <c r="Z17" s="33">
        <v>1044.004514557022</v>
      </c>
      <c r="AA17" s="34">
        <v>1747.0551064855408</v>
      </c>
      <c r="AB17" s="33">
        <v>1075.8332958220842</v>
      </c>
      <c r="AC17" s="34">
        <v>1875.8258335922783</v>
      </c>
      <c r="AD17" s="33">
        <v>1125.3786424553268</v>
      </c>
      <c r="AE17" s="34">
        <v>2044.7001660161125</v>
      </c>
      <c r="AF17" s="33">
        <v>1204.458501420422</v>
      </c>
      <c r="AG17" s="34">
        <v>2295.1089735074338</v>
      </c>
      <c r="AH17" s="33">
        <v>1337.1671469659893</v>
      </c>
      <c r="AI17" s="34">
        <v>2729.0480554241735</v>
      </c>
      <c r="AJ17" s="33">
        <v>1582.4674105716549</v>
      </c>
      <c r="AK17" s="34">
        <v>3644.6515583107157</v>
      </c>
      <c r="AL17" s="33">
        <v>2111.8310915707434</v>
      </c>
      <c r="AM17" s="34">
        <v>6145.6753873875268</v>
      </c>
      <c r="AN17" s="33">
        <v>3618.9072017690387</v>
      </c>
      <c r="AO17" s="34">
        <v>16540.14115861915</v>
      </c>
      <c r="AP17" s="33">
        <v>4303.8344570652616</v>
      </c>
      <c r="AQ17" s="34">
        <v>22578.01128925637</v>
      </c>
      <c r="AR17" s="33">
        <v>5370.6222571630615</v>
      </c>
      <c r="AS17" s="34">
        <v>33320.99813249107</v>
      </c>
      <c r="AT17" s="33">
        <v>7304.9950744182497</v>
      </c>
      <c r="AU17" s="34">
        <v>56258.523804214543</v>
      </c>
      <c r="AV17" s="33">
        <v>12202.599138496198</v>
      </c>
      <c r="AW17" s="34">
        <v>128894.98849173771</v>
      </c>
    </row>
    <row r="18" spans="1:49" x14ac:dyDescent="0.2">
      <c r="A18" t="s">
        <v>19</v>
      </c>
      <c r="B18" s="31">
        <v>27857.010133999996</v>
      </c>
      <c r="C18" s="32">
        <v>1236.7674480000003</v>
      </c>
      <c r="D18" s="31">
        <v>27657.38133303884</v>
      </c>
      <c r="E18" s="32">
        <v>1150.8635796361032</v>
      </c>
      <c r="F18" s="31">
        <v>27422.825869005817</v>
      </c>
      <c r="G18" s="32">
        <v>1065.2683520043349</v>
      </c>
      <c r="H18" s="31">
        <v>27145.519317634607</v>
      </c>
      <c r="I18" s="32">
        <v>980.11881158451865</v>
      </c>
      <c r="J18" s="31">
        <v>26815.607517647644</v>
      </c>
      <c r="K18" s="32">
        <v>895.59180174829271</v>
      </c>
      <c r="L18" s="31">
        <v>26420.671647850417</v>
      </c>
      <c r="M18" s="32">
        <v>811.91591256320339</v>
      </c>
      <c r="N18" s="31">
        <v>25945.142661103811</v>
      </c>
      <c r="O18" s="32">
        <v>729.38684482571693</v>
      </c>
      <c r="P18" s="31">
        <v>25369.916497596136</v>
      </c>
      <c r="Q18" s="32">
        <v>648.37126839633311</v>
      </c>
      <c r="R18" s="31">
        <v>24672.242289827784</v>
      </c>
      <c r="S18" s="32">
        <v>569.30719001666625</v>
      </c>
      <c r="T18" s="31">
        <v>23826.480623780946</v>
      </c>
      <c r="U18" s="32">
        <v>492.68479889996104</v>
      </c>
      <c r="V18" s="31">
        <v>22806.320606420803</v>
      </c>
      <c r="W18" s="32">
        <v>418.99484035287145</v>
      </c>
      <c r="X18" s="31">
        <v>21589.186346126186</v>
      </c>
      <c r="Y18" s="32">
        <v>348.64659224009159</v>
      </c>
      <c r="Z18" s="31">
        <v>20163.098550605057</v>
      </c>
      <c r="AA18" s="32">
        <v>281.86384215190128</v>
      </c>
      <c r="AB18" s="31">
        <v>18535.050177287358</v>
      </c>
      <c r="AC18" s="32">
        <v>218.62944581327341</v>
      </c>
      <c r="AD18" s="31">
        <v>16737.4618908226</v>
      </c>
      <c r="AE18" s="32">
        <v>158.83303377630375</v>
      </c>
      <c r="AF18" s="31">
        <v>14824.969207738708</v>
      </c>
      <c r="AG18" s="32">
        <v>102.93378899142193</v>
      </c>
      <c r="AH18" s="31">
        <v>12849.526990269582</v>
      </c>
      <c r="AI18" s="32">
        <v>53.551888604864835</v>
      </c>
      <c r="AJ18" s="31">
        <v>10807.311639626787</v>
      </c>
      <c r="AK18" s="32">
        <v>17.533267155201472</v>
      </c>
      <c r="AL18" s="31">
        <v>8573.6332506378785</v>
      </c>
      <c r="AM18" s="32">
        <v>2.1167252816527276</v>
      </c>
      <c r="AN18" s="31">
        <v>5776.6801018566639</v>
      </c>
      <c r="AO18" s="32">
        <v>3.1126006342280479E-2</v>
      </c>
      <c r="AP18" s="31">
        <v>5065.4329803758565</v>
      </c>
      <c r="AQ18" s="32">
        <v>7.9519819483919556E-3</v>
      </c>
      <c r="AR18" s="31">
        <v>4259.1316996791229</v>
      </c>
      <c r="AS18" s="32">
        <v>1.4100104526918835E-3</v>
      </c>
      <c r="AT18" s="31">
        <v>3310.9279895010191</v>
      </c>
      <c r="AU18" s="32">
        <v>1.3206926516680961E-4</v>
      </c>
      <c r="AV18" s="31">
        <v>2113.3661261393722</v>
      </c>
      <c r="AW18" s="32">
        <v>2.8303265377793722E-6</v>
      </c>
    </row>
    <row r="19" spans="1:49" x14ac:dyDescent="0.2">
      <c r="A19" t="s">
        <v>3</v>
      </c>
      <c r="B19" s="39">
        <v>1886.3937399999918</v>
      </c>
      <c r="C19" s="40">
        <v>262.78711299999759</v>
      </c>
      <c r="D19" s="39">
        <v>1861.5559469157965</v>
      </c>
      <c r="E19" s="40">
        <v>268.69576547794492</v>
      </c>
      <c r="F19" s="39">
        <v>1835.7605218562114</v>
      </c>
      <c r="G19" s="40">
        <v>275.2756089271731</v>
      </c>
      <c r="H19" s="39">
        <v>1808.8797816687227</v>
      </c>
      <c r="I19" s="40">
        <v>282.50902038418116</v>
      </c>
      <c r="J19" s="39">
        <v>1780.7807792556282</v>
      </c>
      <c r="K19" s="40">
        <v>290.33936765422902</v>
      </c>
      <c r="L19" s="39">
        <v>1751.3359882527245</v>
      </c>
      <c r="M19" s="40">
        <v>298.65288154383592</v>
      </c>
      <c r="N19" s="39">
        <v>1720.445962946422</v>
      </c>
      <c r="O19" s="40">
        <v>307.25642712339942</v>
      </c>
      <c r="P19" s="39">
        <v>1688.0821770632213</v>
      </c>
      <c r="Q19" s="40">
        <v>315.85548810160168</v>
      </c>
      <c r="R19" s="39">
        <v>1654.3677771920657</v>
      </c>
      <c r="S19" s="40">
        <v>324.03717149648929</v>
      </c>
      <c r="T19" s="39">
        <v>1619.7213715518481</v>
      </c>
      <c r="U19" s="40">
        <v>331.27557868037269</v>
      </c>
      <c r="V19" s="39">
        <v>1585.1097827969788</v>
      </c>
      <c r="W19" s="40">
        <v>336.97822368323449</v>
      </c>
      <c r="X19" s="39">
        <v>1552.4741368791028</v>
      </c>
      <c r="Y19" s="40">
        <v>340.60035437012073</v>
      </c>
      <c r="Z19" s="39">
        <v>1525.4393915504436</v>
      </c>
      <c r="AA19" s="40">
        <v>341.83048648099799</v>
      </c>
      <c r="AB19" s="39">
        <v>1510.4944388007636</v>
      </c>
      <c r="AC19" s="40">
        <v>340.79290400742696</v>
      </c>
      <c r="AD19" s="39">
        <v>1519.0485603534221</v>
      </c>
      <c r="AE19" s="40">
        <v>338.06024430754627</v>
      </c>
      <c r="AF19" s="39">
        <v>1571.5622938664242</v>
      </c>
      <c r="AG19" s="40">
        <v>333.92361902388745</v>
      </c>
      <c r="AH19" s="39">
        <v>1708.3000315522791</v>
      </c>
      <c r="AI19" s="40">
        <v>325.62684632746124</v>
      </c>
      <c r="AJ19" s="39">
        <v>2024.099090050752</v>
      </c>
      <c r="AK19" s="40">
        <v>300.60195854275349</v>
      </c>
      <c r="AL19" s="39">
        <v>2779.2997060886769</v>
      </c>
      <c r="AM19" s="40">
        <v>233.45423413465747</v>
      </c>
      <c r="AN19" s="39">
        <v>4859.2198992431559</v>
      </c>
      <c r="AO19" s="40">
        <v>122.78580748338817</v>
      </c>
      <c r="AP19" s="39">
        <v>5716.1818833984489</v>
      </c>
      <c r="AQ19" s="40">
        <v>98.443252731654439</v>
      </c>
      <c r="AR19" s="39">
        <v>6943.2423386311975</v>
      </c>
      <c r="AS19" s="40">
        <v>73.911043726600639</v>
      </c>
      <c r="AT19" s="39">
        <v>8884.3960905981403</v>
      </c>
      <c r="AU19" s="40">
        <v>49.29474567437741</v>
      </c>
      <c r="AV19" s="39">
        <v>12660.010088202334</v>
      </c>
      <c r="AW19" s="40">
        <v>24.650167446079035</v>
      </c>
    </row>
    <row r="20" spans="1:49" x14ac:dyDescent="0.2">
      <c r="A20" t="s">
        <v>114</v>
      </c>
      <c r="B20" s="79">
        <v>26548.356269999993</v>
      </c>
      <c r="C20" s="80">
        <v>1408.5418709999938</v>
      </c>
      <c r="D20" s="79">
        <v>26331.455457605603</v>
      </c>
      <c r="E20" s="80">
        <v>1338.1147774499941</v>
      </c>
      <c r="F20" s="79">
        <v>26084.407153379016</v>
      </c>
      <c r="G20" s="80">
        <v>1267.6876838999945</v>
      </c>
      <c r="H20" s="79">
        <v>25800.780179461675</v>
      </c>
      <c r="I20" s="80">
        <v>1197.2605903499946</v>
      </c>
      <c r="J20" s="79">
        <v>25472.538170724201</v>
      </c>
      <c r="K20" s="80">
        <v>1126.8334967999949</v>
      </c>
      <c r="L20" s="79">
        <v>25089.635148560166</v>
      </c>
      <c r="M20" s="80">
        <v>1056.4064032499953</v>
      </c>
      <c r="N20" s="79">
        <v>24639.583752626673</v>
      </c>
      <c r="O20" s="80">
        <v>985.97930969999561</v>
      </c>
      <c r="P20" s="79">
        <v>24107.199079849957</v>
      </c>
      <c r="Q20" s="80">
        <v>915.55221614999596</v>
      </c>
      <c r="R20" s="79">
        <v>23474.582823525248</v>
      </c>
      <c r="S20" s="80">
        <v>845.12512259999642</v>
      </c>
      <c r="T20" s="79">
        <v>22721.822618109461</v>
      </c>
      <c r="U20" s="80">
        <v>774.69802904999653</v>
      </c>
      <c r="V20" s="79">
        <v>21828.877031429889</v>
      </c>
      <c r="W20" s="80">
        <v>704.27093549999688</v>
      </c>
      <c r="X20" s="79">
        <v>20779.216639750579</v>
      </c>
      <c r="Y20" s="80">
        <v>633.84384194999734</v>
      </c>
      <c r="Z20" s="79">
        <v>19565.430800016868</v>
      </c>
      <c r="AA20" s="80">
        <v>563.41674839999757</v>
      </c>
      <c r="AB20" s="79">
        <v>18196.063890821606</v>
      </c>
      <c r="AC20" s="80">
        <v>492.98965484999775</v>
      </c>
      <c r="AD20" s="79">
        <v>16701.017652708699</v>
      </c>
      <c r="AE20" s="80">
        <v>422.56256129999798</v>
      </c>
      <c r="AF20" s="79">
        <v>15129.570500408179</v>
      </c>
      <c r="AG20" s="80">
        <v>352.13546774999827</v>
      </c>
      <c r="AH20" s="79">
        <v>13532.108195104229</v>
      </c>
      <c r="AI20" s="80">
        <v>281.70837419999856</v>
      </c>
      <c r="AJ20" s="79">
        <v>11921.533004494024</v>
      </c>
      <c r="AK20" s="80">
        <v>211.28128064999879</v>
      </c>
      <c r="AL20" s="79">
        <v>10222.170538988104</v>
      </c>
      <c r="AM20" s="80">
        <v>140.85418709999902</v>
      </c>
      <c r="AN20" s="79">
        <v>8151.2168740647421</v>
      </c>
      <c r="AO20" s="80">
        <v>70.427093549999285</v>
      </c>
      <c r="AP20" s="79">
        <v>7625.3851175947848</v>
      </c>
      <c r="AQ20" s="80">
        <v>56.341674839999335</v>
      </c>
      <c r="AR20" s="79">
        <v>7026.227468615718</v>
      </c>
      <c r="AS20" s="80">
        <v>42.256256129999379</v>
      </c>
      <c r="AT20" s="79">
        <v>6313.6918485830693</v>
      </c>
      <c r="AU20" s="80">
        <v>28.170837419999433</v>
      </c>
      <c r="AV20" s="79">
        <v>5388.6681237337316</v>
      </c>
      <c r="AW20" s="80">
        <v>14.08541870999948</v>
      </c>
    </row>
    <row r="21" spans="1:49" x14ac:dyDescent="0.2">
      <c r="A21" t="s">
        <v>76</v>
      </c>
      <c r="B21" s="79">
        <v>24661.962529999968</v>
      </c>
      <c r="C21" s="80">
        <v>1145.7547579999991</v>
      </c>
      <c r="D21" s="79">
        <v>24469.912322853146</v>
      </c>
      <c r="E21" s="80">
        <v>1069.6361609149753</v>
      </c>
      <c r="F21" s="79">
        <v>24248.692171463736</v>
      </c>
      <c r="G21" s="80">
        <v>993.33300400760629</v>
      </c>
      <c r="H21" s="79">
        <v>23991.988345740669</v>
      </c>
      <c r="I21" s="80">
        <v>916.94708850348241</v>
      </c>
      <c r="J21" s="79">
        <v>23691.884946524729</v>
      </c>
      <c r="K21" s="80">
        <v>840.6243401318527</v>
      </c>
      <c r="L21" s="79">
        <v>23338.449405720243</v>
      </c>
      <c r="M21" s="80">
        <v>764.56757242259346</v>
      </c>
      <c r="N21" s="79">
        <v>22919.280338434539</v>
      </c>
      <c r="O21" s="80">
        <v>689.04978026079118</v>
      </c>
      <c r="P21" s="79">
        <v>22419.214673359093</v>
      </c>
      <c r="Q21" s="80">
        <v>614.42344343611717</v>
      </c>
      <c r="R21" s="79">
        <v>21820.245094888189</v>
      </c>
      <c r="S21" s="80">
        <v>541.12195956388484</v>
      </c>
      <c r="T21" s="79">
        <v>21102.105784802341</v>
      </c>
      <c r="U21" s="80">
        <v>469.64115988673075</v>
      </c>
      <c r="V21" s="79">
        <v>20243.966339061164</v>
      </c>
      <c r="W21" s="80">
        <v>400.49256793754745</v>
      </c>
      <c r="X21" s="79">
        <v>19227.769244009301</v>
      </c>
      <c r="Y21" s="80">
        <v>334.12006964378509</v>
      </c>
      <c r="Z21" s="79">
        <v>18043.368496788808</v>
      </c>
      <c r="AA21" s="80">
        <v>270.79660446439055</v>
      </c>
      <c r="AB21" s="79">
        <v>16694.671887640776</v>
      </c>
      <c r="AC21" s="80">
        <v>210.56164144716973</v>
      </c>
      <c r="AD21" s="79">
        <v>15204.02641048328</v>
      </c>
      <c r="AE21" s="80">
        <v>153.35312190257659</v>
      </c>
      <c r="AF21" s="79">
        <v>13608.597375929481</v>
      </c>
      <c r="AG21" s="80">
        <v>99.639541763457459</v>
      </c>
      <c r="AH21" s="79">
        <v>11938.52658619672</v>
      </c>
      <c r="AI21" s="80">
        <v>51.974553100970653</v>
      </c>
      <c r="AJ21" s="79">
        <v>10169.077343828705</v>
      </c>
      <c r="AK21" s="80">
        <v>17.057401834463249</v>
      </c>
      <c r="AL21" s="79">
        <v>8157.673341228633</v>
      </c>
      <c r="AM21" s="80">
        <v>2.06243145700134</v>
      </c>
      <c r="AN21" s="79">
        <v>5534.5174313282287</v>
      </c>
      <c r="AO21" s="80">
        <v>3.0341900963290987E-2</v>
      </c>
      <c r="AP21" s="79">
        <v>4856.9108442426341</v>
      </c>
      <c r="AQ21" s="80">
        <v>7.7518196747373581E-3</v>
      </c>
      <c r="AR21" s="79">
        <v>4086.2732885564683</v>
      </c>
      <c r="AS21" s="80">
        <v>1.374531914946893E-3</v>
      </c>
      <c r="AT21" s="79">
        <v>3177.9305811868512</v>
      </c>
      <c r="AU21" s="80">
        <v>1.2874650057901216E-4</v>
      </c>
      <c r="AV21" s="79">
        <v>2029.0287952421147</v>
      </c>
      <c r="AW21" s="80">
        <v>2.7591217961307678E-6</v>
      </c>
    </row>
    <row r="22" spans="1:49" x14ac:dyDescent="0.2">
      <c r="A22" t="s">
        <v>28</v>
      </c>
      <c r="B22" s="39">
        <v>6533.6044688320644</v>
      </c>
      <c r="C22" s="40">
        <v>379.90788307663388</v>
      </c>
      <c r="D22" s="39">
        <v>6452.6426363653054</v>
      </c>
      <c r="E22" s="40">
        <v>367.80636788157392</v>
      </c>
      <c r="F22" s="39">
        <v>6362.4148915147225</v>
      </c>
      <c r="G22" s="40">
        <v>355.29111213274911</v>
      </c>
      <c r="H22" s="39">
        <v>6261.193653946395</v>
      </c>
      <c r="I22" s="40">
        <v>342.32266277217678</v>
      </c>
      <c r="J22" s="39">
        <v>6146.8680680150892</v>
      </c>
      <c r="K22" s="40">
        <v>328.85553679449515</v>
      </c>
      <c r="L22" s="39">
        <v>6016.8593908890907</v>
      </c>
      <c r="M22" s="40">
        <v>314.83726825212727</v>
      </c>
      <c r="N22" s="39">
        <v>5868.0368904299739</v>
      </c>
      <c r="O22" s="40">
        <v>300.20773704955144</v>
      </c>
      <c r="P22" s="39">
        <v>5696.6866233079563</v>
      </c>
      <c r="Q22" s="40">
        <v>284.89991550006437</v>
      </c>
      <c r="R22" s="39">
        <v>5498.5468117883556</v>
      </c>
      <c r="S22" s="40">
        <v>268.84238541061598</v>
      </c>
      <c r="T22" s="39">
        <v>5269.0200973811889</v>
      </c>
      <c r="U22" s="40">
        <v>251.9652595150487</v>
      </c>
      <c r="V22" s="39">
        <v>5003.6651575787746</v>
      </c>
      <c r="W22" s="40">
        <v>234.21140584341612</v>
      </c>
      <c r="X22" s="39">
        <v>4699.0744582444049</v>
      </c>
      <c r="Y22" s="40">
        <v>215.55284294933088</v>
      </c>
      <c r="Z22" s="39">
        <v>4354.1551596533145</v>
      </c>
      <c r="AA22" s="40">
        <v>196.01054767469572</v>
      </c>
      <c r="AB22" s="39">
        <v>3971.5918898571831</v>
      </c>
      <c r="AC22" s="40">
        <v>175.66830559782048</v>
      </c>
      <c r="AD22" s="39">
        <v>3558.8123070695001</v>
      </c>
      <c r="AE22" s="40">
        <v>154.65915459106574</v>
      </c>
      <c r="AF22" s="39">
        <v>3126.9648660572288</v>
      </c>
      <c r="AG22" s="40">
        <v>133.08011721028544</v>
      </c>
      <c r="AH22" s="39">
        <v>2685.5706103492598</v>
      </c>
      <c r="AI22" s="40">
        <v>110.77211498635728</v>
      </c>
      <c r="AJ22" s="39">
        <v>2231.502624910941</v>
      </c>
      <c r="AK22" s="40">
        <v>86.998602602206802</v>
      </c>
      <c r="AL22" s="39">
        <v>1735.6532491955047</v>
      </c>
      <c r="AM22" s="40">
        <v>60.679060175449067</v>
      </c>
      <c r="AN22" s="39">
        <v>1121.391908390754</v>
      </c>
      <c r="AO22" s="40">
        <v>31.744313496179203</v>
      </c>
      <c r="AP22" s="39">
        <v>968.54704335251347</v>
      </c>
      <c r="AQ22" s="40">
        <v>25.658795598198829</v>
      </c>
      <c r="AR22" s="39">
        <v>797.95183508571097</v>
      </c>
      <c r="AS22" s="40">
        <v>19.454740465732083</v>
      </c>
      <c r="AT22" s="39">
        <v>601.95688518338761</v>
      </c>
      <c r="AU22" s="40">
        <v>13.115025842787906</v>
      </c>
      <c r="AV22" s="39">
        <v>364.15306478617595</v>
      </c>
      <c r="AW22" s="40">
        <v>6.6176345679306356</v>
      </c>
    </row>
    <row r="23" spans="1:49" x14ac:dyDescent="0.2">
      <c r="A23" t="s">
        <v>7</v>
      </c>
      <c r="B23" s="110">
        <v>3278.5018080150408</v>
      </c>
      <c r="C23" s="8">
        <v>0</v>
      </c>
      <c r="D23" s="110">
        <v>3259.9116385331567</v>
      </c>
      <c r="E23" s="8">
        <v>0</v>
      </c>
      <c r="F23" s="110">
        <v>3237.1806667921551</v>
      </c>
      <c r="G23" s="8">
        <v>0</v>
      </c>
      <c r="H23" s="110">
        <v>3209.3409094902372</v>
      </c>
      <c r="I23" s="8">
        <v>0</v>
      </c>
      <c r="J23" s="110">
        <v>3175.1674320335442</v>
      </c>
      <c r="K23" s="8">
        <v>0</v>
      </c>
      <c r="L23" s="110">
        <v>3133.1101590923681</v>
      </c>
      <c r="M23" s="8">
        <v>0</v>
      </c>
      <c r="N23" s="110">
        <v>3081.2187881699215</v>
      </c>
      <c r="O23" s="8">
        <v>0</v>
      </c>
      <c r="P23" s="110">
        <v>3017.0945967877215</v>
      </c>
      <c r="Q23" s="8">
        <v>0</v>
      </c>
      <c r="R23" s="110">
        <v>2937.8779644074043</v>
      </c>
      <c r="S23" s="8">
        <v>0</v>
      </c>
      <c r="T23" s="110">
        <v>2840.3514314755748</v>
      </c>
      <c r="U23" s="8">
        <v>0</v>
      </c>
      <c r="V23" s="110">
        <v>2721.2376900194008</v>
      </c>
      <c r="W23" s="8">
        <v>0</v>
      </c>
      <c r="X23" s="110">
        <v>2577.795825227463</v>
      </c>
      <c r="Y23" s="8">
        <v>0</v>
      </c>
      <c r="Z23" s="110">
        <v>2408.7645070509557</v>
      </c>
      <c r="AA23" s="8">
        <v>0</v>
      </c>
      <c r="AB23" s="110">
        <v>2215.5549662231911</v>
      </c>
      <c r="AC23" s="8">
        <v>0</v>
      </c>
      <c r="AD23" s="110">
        <v>2003.2933393377932</v>
      </c>
      <c r="AE23" s="8">
        <v>0</v>
      </c>
      <c r="AF23" s="110">
        <v>1780.8142182346633</v>
      </c>
      <c r="AG23" s="8">
        <v>0</v>
      </c>
      <c r="AH23" s="110">
        <v>1558.3435571693922</v>
      </c>
      <c r="AI23" s="8">
        <v>0</v>
      </c>
      <c r="AJ23" s="110">
        <v>1342.4917100603293</v>
      </c>
      <c r="AK23" s="8">
        <v>0</v>
      </c>
      <c r="AL23" s="110">
        <v>1128.2197596331803</v>
      </c>
      <c r="AM23" s="8">
        <v>0</v>
      </c>
      <c r="AN23" s="110">
        <v>873.91382366018615</v>
      </c>
      <c r="AO23" s="8">
        <v>0</v>
      </c>
      <c r="AP23" s="110">
        <v>807.34646616406451</v>
      </c>
      <c r="AQ23" s="8">
        <v>0</v>
      </c>
      <c r="AR23" s="110">
        <v>729.44562554359584</v>
      </c>
      <c r="AS23" s="8">
        <v>0</v>
      </c>
      <c r="AT23" s="110">
        <v>632.94817283021132</v>
      </c>
      <c r="AU23" s="8">
        <v>0</v>
      </c>
      <c r="AV23" s="110">
        <v>498.24321666718402</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3195.0476040000012</v>
      </c>
      <c r="C25" s="40">
        <v>91.012690000004397</v>
      </c>
      <c r="D25" s="39">
        <v>3187.4482666463687</v>
      </c>
      <c r="E25" s="40">
        <v>81.187720038632079</v>
      </c>
      <c r="F25" s="39">
        <v>3174.0592332413712</v>
      </c>
      <c r="G25" s="40">
        <v>71.783542914152719</v>
      </c>
      <c r="H25" s="39">
        <v>3153.3864105029088</v>
      </c>
      <c r="I25" s="40">
        <v>62.84441614852328</v>
      </c>
      <c r="J25" s="39">
        <v>3123.5120387955635</v>
      </c>
      <c r="K25" s="40">
        <v>54.414743741643221</v>
      </c>
      <c r="L25" s="39">
        <v>3081.9737700294259</v>
      </c>
      <c r="M25" s="40">
        <v>46.53790715284233</v>
      </c>
      <c r="N25" s="39">
        <v>3025.6266140496805</v>
      </c>
      <c r="O25" s="40">
        <v>39.254708166890374</v>
      </c>
      <c r="P25" s="39">
        <v>2950.5407747349627</v>
      </c>
      <c r="Q25" s="40">
        <v>32.600472749746409</v>
      </c>
      <c r="R25" s="39">
        <v>2851.9479960111953</v>
      </c>
      <c r="S25" s="40">
        <v>26.601838930723211</v>
      </c>
      <c r="T25" s="39">
        <v>2724.3675103550559</v>
      </c>
      <c r="U25" s="40">
        <v>21.272624172625456</v>
      </c>
      <c r="V25" s="39">
        <v>2562.0422042691225</v>
      </c>
      <c r="W25" s="40">
        <v>16.609525098010185</v>
      </c>
      <c r="X25" s="39">
        <v>2359.8687114721661</v>
      </c>
      <c r="Y25" s="40">
        <v>12.589187704957082</v>
      </c>
      <c r="Z25" s="39">
        <v>2114.9236500972665</v>
      </c>
      <c r="AA25" s="40">
        <v>9.1690817927304717</v>
      </c>
      <c r="AB25" s="39">
        <v>1828.4835635209515</v>
      </c>
      <c r="AC25" s="40">
        <v>6.2963696833607701</v>
      </c>
      <c r="AD25" s="39">
        <v>1507.9953036825384</v>
      </c>
      <c r="AE25" s="40">
        <v>3.9292374724718382</v>
      </c>
      <c r="AF25" s="39">
        <v>1167.7491149399286</v>
      </c>
      <c r="AG25" s="40">
        <v>2.0705711836847174</v>
      </c>
      <c r="AH25" s="39">
        <v>826.78335568543582</v>
      </c>
      <c r="AI25" s="40">
        <v>0.78993733343894412</v>
      </c>
      <c r="AJ25" s="39">
        <v>506.27413993497549</v>
      </c>
      <c r="AK25" s="40">
        <v>0.1545751111257449</v>
      </c>
      <c r="AL25" s="39">
        <v>237.27482009657066</v>
      </c>
      <c r="AM25" s="40">
        <v>7.3745383676256928E-3</v>
      </c>
      <c r="AN25" s="39">
        <v>62.466529586661636</v>
      </c>
      <c r="AO25" s="40">
        <v>1.8144988881616558E-5</v>
      </c>
      <c r="AP25" s="39">
        <v>40.894851577800317</v>
      </c>
      <c r="AQ25" s="40">
        <v>2.6168503463122155E-6</v>
      </c>
      <c r="AR25" s="39">
        <v>23.831254601704575</v>
      </c>
      <c r="AS25" s="40">
        <v>2.2549864657943135E-7</v>
      </c>
      <c r="AT25" s="39">
        <v>11.264588019129393</v>
      </c>
      <c r="AU25" s="40">
        <v>7.9153420566276481E-9</v>
      </c>
      <c r="AV25" s="39">
        <v>3.2225286097819761</v>
      </c>
      <c r="AW25" s="40">
        <v>3.5116644856498503E-11</v>
      </c>
    </row>
    <row r="26" spans="1:49" x14ac:dyDescent="0.2">
      <c r="A26" t="s">
        <v>27</v>
      </c>
      <c r="B26" s="31">
        <v>5036.2953101960647</v>
      </c>
      <c r="C26" s="32">
        <v>74.905331803938267</v>
      </c>
      <c r="D26" s="31">
        <v>5010.7038356409494</v>
      </c>
      <c r="E26" s="32">
        <v>70.099257752514532</v>
      </c>
      <c r="F26" s="31">
        <v>4979.4845523150634</v>
      </c>
      <c r="G26" s="32">
        <v>65.281847097728999</v>
      </c>
      <c r="H26" s="31">
        <v>4941.2300363716877</v>
      </c>
      <c r="I26" s="32">
        <v>60.456681249580555</v>
      </c>
      <c r="J26" s="31">
        <v>4894.1391653745177</v>
      </c>
      <c r="K26" s="32">
        <v>55.629231794263518</v>
      </c>
      <c r="L26" s="31">
        <v>4835.9049689908625</v>
      </c>
      <c r="M26" s="32">
        <v>50.807640733618847</v>
      </c>
      <c r="N26" s="31">
        <v>4763.5869520818851</v>
      </c>
      <c r="O26" s="32">
        <v>46.00375168274612</v>
      </c>
      <c r="P26" s="31">
        <v>4673.5144422453923</v>
      </c>
      <c r="Q26" s="32">
        <v>41.233772894081127</v>
      </c>
      <c r="R26" s="31">
        <v>4561.2322499597904</v>
      </c>
      <c r="S26" s="32">
        <v>36.518806197219419</v>
      </c>
      <c r="T26" s="31">
        <v>4421.6041161102585</v>
      </c>
      <c r="U26" s="32">
        <v>31.884402476350193</v>
      </c>
      <c r="V26" s="31">
        <v>4249.1900242232841</v>
      </c>
      <c r="W26" s="32">
        <v>27.358348328576962</v>
      </c>
      <c r="X26" s="31">
        <v>4039.0496526849156</v>
      </c>
      <c r="Y26" s="32">
        <v>22.966444723602329</v>
      </c>
      <c r="Z26" s="31">
        <v>3788.0385633552451</v>
      </c>
      <c r="AA26" s="32">
        <v>18.726687485139369</v>
      </c>
      <c r="AB26" s="31">
        <v>3496.4344008562553</v>
      </c>
      <c r="AC26" s="32">
        <v>14.645859888230248</v>
      </c>
      <c r="AD26" s="31">
        <v>3169.2410247809066</v>
      </c>
      <c r="AE26" s="32">
        <v>10.728335394006088</v>
      </c>
      <c r="AF26" s="31">
        <v>2815.6626083415249</v>
      </c>
      <c r="AG26" s="32">
        <v>7.0174051636162167</v>
      </c>
      <c r="AH26" s="31">
        <v>2444.3151538874995</v>
      </c>
      <c r="AI26" s="32">
        <v>3.6977970573351087</v>
      </c>
      <c r="AJ26" s="31">
        <v>2052.5302390007209</v>
      </c>
      <c r="AK26" s="32">
        <v>1.2375478319957147</v>
      </c>
      <c r="AL26" s="31">
        <v>1612.7168771201189</v>
      </c>
      <c r="AM26" s="32">
        <v>0.15601443774771706</v>
      </c>
      <c r="AN26" s="31">
        <v>1049.4698520457337</v>
      </c>
      <c r="AO26" s="32">
        <v>2.5090050808210746E-3</v>
      </c>
      <c r="AP26" s="31">
        <v>906.13891938345819</v>
      </c>
      <c r="AQ26" s="32">
        <v>6.5983050436594932E-4</v>
      </c>
      <c r="AR26" s="31">
        <v>744.85712228468037</v>
      </c>
      <c r="AS26" s="32">
        <v>1.2131969822769965E-4</v>
      </c>
      <c r="AT26" s="31">
        <v>558.30200509820475</v>
      </c>
      <c r="AU26" s="32">
        <v>1.1927126808470921E-5</v>
      </c>
      <c r="AV26" s="31">
        <v>331.6256761780844</v>
      </c>
      <c r="AW26" s="32">
        <v>2.7536180144317168E-7</v>
      </c>
    </row>
    <row r="27" spans="1:49" x14ac:dyDescent="0.2">
      <c r="A27" t="s">
        <v>2</v>
      </c>
      <c r="B27" s="33">
        <v>6425.1981590000414</v>
      </c>
      <c r="C27" s="34">
        <v>273.22915400000028</v>
      </c>
      <c r="D27" s="33">
        <v>6382.8392725264448</v>
      </c>
      <c r="E27" s="34">
        <v>255.50400713399503</v>
      </c>
      <c r="F27" s="33">
        <v>6332.6253578252863</v>
      </c>
      <c r="G27" s="34">
        <v>237.74903371197718</v>
      </c>
      <c r="H27" s="33">
        <v>6272.7437402226988</v>
      </c>
      <c r="I27" s="34">
        <v>219.97947135836307</v>
      </c>
      <c r="J27" s="33">
        <v>6200.9014451251351</v>
      </c>
      <c r="K27" s="34">
        <v>202.21762791056392</v>
      </c>
      <c r="L27" s="33">
        <v>6114.1963525224264</v>
      </c>
      <c r="M27" s="34">
        <v>184.49577638678937</v>
      </c>
      <c r="N27" s="33">
        <v>6008.974970508496</v>
      </c>
      <c r="O27" s="34">
        <v>166.86027807829157</v>
      </c>
      <c r="P27" s="33">
        <v>5880.7346816540521</v>
      </c>
      <c r="Q27" s="34">
        <v>149.37354552332241</v>
      </c>
      <c r="R27" s="33">
        <v>5724.0890033251171</v>
      </c>
      <c r="S27" s="34">
        <v>132.11594414982065</v>
      </c>
      <c r="T27" s="33">
        <v>5532.9364796262362</v>
      </c>
      <c r="U27" s="34">
        <v>115.18418891553854</v>
      </c>
      <c r="V27" s="33">
        <v>5300.9751644285852</v>
      </c>
      <c r="W27" s="34">
        <v>98.68276273670098</v>
      </c>
      <c r="X27" s="33">
        <v>5022.7402810303447</v>
      </c>
      <c r="Y27" s="34">
        <v>82.708689320772493</v>
      </c>
      <c r="Z27" s="33">
        <v>4695.2355317198471</v>
      </c>
      <c r="AA27" s="34">
        <v>67.330070607916824</v>
      </c>
      <c r="AB27" s="33">
        <v>4319.9437998755802</v>
      </c>
      <c r="AC27" s="34">
        <v>52.573621228212232</v>
      </c>
      <c r="AD27" s="33">
        <v>3904.4124445867992</v>
      </c>
      <c r="AE27" s="34">
        <v>38.455562388005774</v>
      </c>
      <c r="AF27" s="33">
        <v>3461.5891287461322</v>
      </c>
      <c r="AG27" s="34">
        <v>25.127573862548175</v>
      </c>
      <c r="AH27" s="33">
        <v>3004.0853017757677</v>
      </c>
      <c r="AI27" s="34">
        <v>13.238758540641099</v>
      </c>
      <c r="AJ27" s="33">
        <v>2531.8420182866562</v>
      </c>
      <c r="AK27" s="34">
        <v>4.4387641725353957</v>
      </c>
      <c r="AL27" s="33">
        <v>2016.7339512854855</v>
      </c>
      <c r="AM27" s="34">
        <v>0.56342570685547533</v>
      </c>
      <c r="AN27" s="33">
        <v>1371.4291584035971</v>
      </c>
      <c r="AO27" s="34">
        <v>9.2625361489556361E-3</v>
      </c>
      <c r="AP27" s="33">
        <v>1206.6630081296537</v>
      </c>
      <c r="AQ27" s="34">
        <v>2.4589778091600972E-3</v>
      </c>
      <c r="AR27" s="33">
        <v>1019.3337274100849</v>
      </c>
      <c r="AS27" s="34">
        <v>4.5833143206012994E-4</v>
      </c>
      <c r="AT27" s="33">
        <v>798.11702671317107</v>
      </c>
      <c r="AU27" s="34">
        <v>4.6053348859957511E-5</v>
      </c>
      <c r="AV27" s="33">
        <v>516.79750303272715</v>
      </c>
      <c r="AW27" s="34">
        <v>1.1101112198165541E-6</v>
      </c>
    </row>
    <row r="28" spans="1:49" x14ac:dyDescent="0.2">
      <c r="A28" t="s">
        <v>35</v>
      </c>
      <c r="B28" s="39">
        <v>13763.097676000029</v>
      </c>
      <c r="C28" s="40">
        <v>382.36647899999997</v>
      </c>
      <c r="D28" s="39">
        <v>13683.43880674779</v>
      </c>
      <c r="E28" s="40">
        <v>357.63872545725542</v>
      </c>
      <c r="F28" s="39">
        <v>13587.694822911397</v>
      </c>
      <c r="G28" s="40">
        <v>332.86434123887966</v>
      </c>
      <c r="H28" s="39">
        <v>13471.995475437465</v>
      </c>
      <c r="I28" s="40">
        <v>308.063778426439</v>
      </c>
      <c r="J28" s="39">
        <v>13331.415585467526</v>
      </c>
      <c r="K28" s="40">
        <v>283.26732212525121</v>
      </c>
      <c r="L28" s="39">
        <v>13159.68300413313</v>
      </c>
      <c r="M28" s="40">
        <v>258.51912522502442</v>
      </c>
      <c r="N28" s="39">
        <v>12948.85091757282</v>
      </c>
      <c r="O28" s="40">
        <v>233.8828416909698</v>
      </c>
      <c r="P28" s="39">
        <v>12689.060348791319</v>
      </c>
      <c r="Q28" s="40">
        <v>209.44455902295931</v>
      </c>
      <c r="R28" s="39">
        <v>12368.428181264315</v>
      </c>
      <c r="S28" s="40">
        <v>185.31547663221704</v>
      </c>
      <c r="T28" s="39">
        <v>11973.369801522012</v>
      </c>
      <c r="U28" s="40">
        <v>161.62966329705461</v>
      </c>
      <c r="V28" s="39">
        <v>11489.667633778537</v>
      </c>
      <c r="W28" s="40">
        <v>138.53225011685288</v>
      </c>
      <c r="X28" s="39">
        <v>10904.684742095613</v>
      </c>
      <c r="Y28" s="40">
        <v>116.15805953210528</v>
      </c>
      <c r="Z28" s="39">
        <v>10210.890345339409</v>
      </c>
      <c r="AA28" s="40">
        <v>94.601658513189832</v>
      </c>
      <c r="AB28" s="39">
        <v>9410.2448571672521</v>
      </c>
      <c r="AC28" s="40">
        <v>73.899919434571544</v>
      </c>
      <c r="AD28" s="39">
        <v>8517.6888246217495</v>
      </c>
      <c r="AE28" s="40">
        <v>54.075693770148114</v>
      </c>
      <c r="AF28" s="39">
        <v>7559.7148850811</v>
      </c>
      <c r="AG28" s="40">
        <v>35.343823576644063</v>
      </c>
      <c r="AH28" s="39">
        <v>6561.6595086918578</v>
      </c>
      <c r="AI28" s="40">
        <v>18.6221017585687</v>
      </c>
      <c r="AJ28" s="39">
        <v>5519.7850543168279</v>
      </c>
      <c r="AK28" s="40">
        <v>6.2406857568396967</v>
      </c>
      <c r="AL28" s="39">
        <v>4365.743274835505</v>
      </c>
      <c r="AM28" s="40">
        <v>0.79068589360787822</v>
      </c>
      <c r="AN28" s="39">
        <v>2899.8172416361817</v>
      </c>
      <c r="AO28" s="40">
        <v>1.2916889242037294E-2</v>
      </c>
      <c r="AP28" s="39">
        <v>2524.9882479129724</v>
      </c>
      <c r="AQ28" s="40">
        <v>3.419270135131062E-3</v>
      </c>
      <c r="AR28" s="39">
        <v>2100.3128999576415</v>
      </c>
      <c r="AS28" s="40">
        <v>6.3455153764582241E-4</v>
      </c>
      <c r="AT28" s="39">
        <v>1602.9780307593919</v>
      </c>
      <c r="AU28" s="40">
        <v>6.3286731088146812E-5</v>
      </c>
      <c r="AV28" s="39">
        <v>983.70988503289277</v>
      </c>
      <c r="AW28" s="40">
        <v>1.5004519918988482E-6</v>
      </c>
    </row>
    <row r="29" spans="1:49" x14ac:dyDescent="0.2">
      <c r="A29" t="s">
        <v>53</v>
      </c>
      <c r="B29" s="33">
        <v>14362.768558000025</v>
      </c>
      <c r="C29" s="34">
        <v>817.26650999999993</v>
      </c>
      <c r="D29" s="33">
        <v>14258.728389883379</v>
      </c>
      <c r="E29" s="34">
        <v>757.469876725679</v>
      </c>
      <c r="F29" s="33">
        <v>14136.792520874078</v>
      </c>
      <c r="G29" s="34">
        <v>698.22793039827889</v>
      </c>
      <c r="H29" s="33">
        <v>13992.978159608894</v>
      </c>
      <c r="I29" s="34">
        <v>639.65746438833992</v>
      </c>
      <c r="J29" s="33">
        <v>13822.271763059913</v>
      </c>
      <c r="K29" s="34">
        <v>581.9007960769876</v>
      </c>
      <c r="L29" s="33">
        <v>13618.357054108974</v>
      </c>
      <c r="M29" s="34">
        <v>525.13225429816964</v>
      </c>
      <c r="N29" s="33">
        <v>13373.316257324504</v>
      </c>
      <c r="O29" s="34">
        <v>469.56623788086932</v>
      </c>
      <c r="P29" s="33">
        <v>13077.430453433715</v>
      </c>
      <c r="Q29" s="34">
        <v>415.45682624165613</v>
      </c>
      <c r="R29" s="33">
        <v>12719.113109048161</v>
      </c>
      <c r="S29" s="34">
        <v>363.09467391099224</v>
      </c>
      <c r="T29" s="33">
        <v>12285.273951783482</v>
      </c>
      <c r="U29" s="34">
        <v>312.79067182511045</v>
      </c>
      <c r="V29" s="33">
        <v>11762.403759216051</v>
      </c>
      <c r="W29" s="34">
        <v>264.83911359446051</v>
      </c>
      <c r="X29" s="33">
        <v>11138.737265899184</v>
      </c>
      <c r="Y29" s="34">
        <v>219.46266771102199</v>
      </c>
      <c r="Z29" s="33">
        <v>10407.613667735226</v>
      </c>
      <c r="AA29" s="34">
        <v>176.74617014368087</v>
      </c>
      <c r="AB29" s="33">
        <v>9571.541288841785</v>
      </c>
      <c r="AC29" s="34">
        <v>136.60531274702674</v>
      </c>
      <c r="AD29" s="33">
        <v>8645.2100201583635</v>
      </c>
      <c r="AE29" s="34">
        <v>98.8892870160348</v>
      </c>
      <c r="AF29" s="33">
        <v>7653.474691961902</v>
      </c>
      <c r="AG29" s="34">
        <v>63.815584710472407</v>
      </c>
      <c r="AH29" s="33">
        <v>6617.9609330885833</v>
      </c>
      <c r="AI29" s="34">
        <v>32.991027731196944</v>
      </c>
      <c r="AJ29" s="33">
        <v>5528.3198128992026</v>
      </c>
      <c r="AK29" s="34">
        <v>10.681393347314335</v>
      </c>
      <c r="AL29" s="33">
        <v>4308.4074139220229</v>
      </c>
      <c r="AM29" s="34">
        <v>1.2634873874248012</v>
      </c>
      <c r="AN29" s="33">
        <v>2766.4866895655382</v>
      </c>
      <c r="AO29" s="34">
        <v>1.7964574669323555E-2</v>
      </c>
      <c r="AP29" s="33">
        <v>2380.0885329685898</v>
      </c>
      <c r="AQ29" s="34">
        <v>4.5490988378571956E-3</v>
      </c>
      <c r="AR29" s="33">
        <v>1948.5360821905483</v>
      </c>
      <c r="AS29" s="34">
        <v>7.9864327707997087E-4</v>
      </c>
      <c r="AT29" s="33">
        <v>1453.5885217939212</v>
      </c>
      <c r="AU29" s="34">
        <v>7.3945550794175403E-5</v>
      </c>
      <c r="AV29" s="33">
        <v>857.97382359466769</v>
      </c>
      <c r="AW29" s="34">
        <v>1.5618115839291454E-6</v>
      </c>
    </row>
    <row r="30" spans="1:49" x14ac:dyDescent="0.2">
      <c r="A30" t="s">
        <v>48</v>
      </c>
      <c r="B30" s="112">
        <v>2924829.9599999995</v>
      </c>
      <c r="D30" s="112">
        <v>2949982.9257358187</v>
      </c>
      <c r="F30" s="112">
        <v>2972336.138659636</v>
      </c>
      <c r="H30" s="112">
        <v>2991086.9414461679</v>
      </c>
      <c r="J30" s="112">
        <v>3005197.5580907548</v>
      </c>
      <c r="L30" s="112">
        <v>3013332.6949490844</v>
      </c>
      <c r="N30" s="112">
        <v>3013794.8309841761</v>
      </c>
      <c r="P30" s="112">
        <v>3004491.3018681277</v>
      </c>
      <c r="R30" s="112">
        <v>2982951.6781872194</v>
      </c>
      <c r="T30" s="112">
        <v>2946489.4317015358</v>
      </c>
      <c r="V30" s="112">
        <v>2892614.0636656904</v>
      </c>
      <c r="X30" s="112">
        <v>2819857.7989865332</v>
      </c>
      <c r="Z30" s="112">
        <v>2729172.855829915</v>
      </c>
      <c r="AB30" s="112">
        <v>2626014.9262587032</v>
      </c>
      <c r="AD30" s="112">
        <v>2523158.3424809068</v>
      </c>
      <c r="AF30" s="112">
        <v>2444512.4216825329</v>
      </c>
      <c r="AH30" s="112">
        <v>2432342.2693159459</v>
      </c>
      <c r="AJ30" s="112">
        <v>2568467.9337572148</v>
      </c>
      <c r="AL30" s="112">
        <v>3020968.6866274578</v>
      </c>
      <c r="AN30" s="112">
        <v>4110836.5120432801</v>
      </c>
      <c r="AP30" s="112">
        <v>4470789.8592859004</v>
      </c>
      <c r="AR30" s="112">
        <v>4914768.0853353208</v>
      </c>
      <c r="AT30" s="112">
        <v>5476677.9676525798</v>
      </c>
      <c r="AV30" s="112">
        <v>6189071.3062632009</v>
      </c>
    </row>
    <row r="31" spans="1:49" x14ac:dyDescent="0.2">
      <c r="A31" t="s">
        <v>47</v>
      </c>
      <c r="B31" s="77">
        <v>1</v>
      </c>
      <c r="D31" s="77">
        <v>0.98651522134199132</v>
      </c>
      <c r="F31" s="77">
        <v>0.97155919938692137</v>
      </c>
      <c r="H31" s="77">
        <v>0.95487192873641757</v>
      </c>
      <c r="J31" s="77">
        <v>0.93613872011872912</v>
      </c>
      <c r="L31" s="77">
        <v>0.91497894237533417</v>
      </c>
      <c r="N31" s="77">
        <v>0.89093530399624887</v>
      </c>
      <c r="P31" s="77">
        <v>0.86347134162881956</v>
      </c>
      <c r="R31" s="77">
        <v>0.83197899280681253</v>
      </c>
      <c r="T31" s="77">
        <v>0.79581173184311038</v>
      </c>
      <c r="V31" s="77">
        <v>0.75435715936546266</v>
      </c>
      <c r="X31" s="77">
        <v>0.70716245914151987</v>
      </c>
      <c r="Z31" s="77">
        <v>0.65411287863804302</v>
      </c>
      <c r="AB31" s="77">
        <v>0.59562882902088821</v>
      </c>
      <c r="AD31" s="77">
        <v>0.53278189714803714</v>
      </c>
      <c r="AF31" s="77">
        <v>0.46711176864809395</v>
      </c>
      <c r="AH31" s="77">
        <v>0.39979532202296264</v>
      </c>
      <c r="AJ31" s="77">
        <v>0.32994966645808432</v>
      </c>
      <c r="AL31" s="77">
        <v>0.25267223865338451</v>
      </c>
      <c r="AN31" s="77">
        <v>0.15665366023072377</v>
      </c>
      <c r="AP31" s="77">
        <v>0.13307574847596232</v>
      </c>
      <c r="AR31" s="77">
        <v>0.10707771869470741</v>
      </c>
      <c r="AT31" s="77">
        <v>7.7807533745911442E-2</v>
      </c>
      <c r="AV31" s="77">
        <v>4.367151230060224E-2</v>
      </c>
    </row>
    <row r="32" spans="1:49" x14ac:dyDescent="0.2">
      <c r="A32" t="s">
        <v>64</v>
      </c>
      <c r="B32" s="83">
        <v>14734457.915000005</v>
      </c>
      <c r="D32" s="83">
        <v>14613956.942184856</v>
      </c>
      <c r="F32" s="83">
        <v>14479242.650375172</v>
      </c>
      <c r="H32" s="83">
        <v>14327343.246401479</v>
      </c>
      <c r="J32" s="83">
        <v>14154584.680522867</v>
      </c>
      <c r="L32" s="83">
        <v>13956438.571689451</v>
      </c>
      <c r="N32" s="83">
        <v>13727383.055919202</v>
      </c>
      <c r="P32" s="83">
        <v>13460888.364433512</v>
      </c>
      <c r="R32" s="83">
        <v>13149590.296974339</v>
      </c>
      <c r="T32" s="83">
        <v>12785921.444499493</v>
      </c>
      <c r="V32" s="83">
        <v>12363511.405365529</v>
      </c>
      <c r="X32" s="83">
        <v>11879755.373328023</v>
      </c>
      <c r="Z32" s="83">
        <v>11339880.935874319</v>
      </c>
      <c r="AB32" s="83">
        <v>10762539.207006194</v>
      </c>
      <c r="AD32" s="83">
        <v>10186389.717439385</v>
      </c>
      <c r="AF32" s="83">
        <v>9676816.2543398347</v>
      </c>
      <c r="AH32" s="83">
        <v>9335206.5996689312</v>
      </c>
      <c r="AJ32" s="83">
        <v>9326588.7011365425</v>
      </c>
      <c r="AL32" s="83">
        <v>9918619.08201297</v>
      </c>
      <c r="AN32" s="83">
        <v>11376326.34678873</v>
      </c>
      <c r="AP32" s="83">
        <v>11785376.39761533</v>
      </c>
      <c r="AR32" s="83">
        <v>12225717.70527536</v>
      </c>
      <c r="AT32" s="83">
        <v>12659069.848356133</v>
      </c>
      <c r="AV32" s="83">
        <v>12875944.095996255</v>
      </c>
    </row>
    <row r="33" spans="1:49 16319:16384" x14ac:dyDescent="0.2">
      <c r="A33" t="s">
        <v>54</v>
      </c>
      <c r="B33" s="111">
        <v>7019665.6909999885</v>
      </c>
      <c r="D33" s="111">
        <v>6933088.7154638395</v>
      </c>
      <c r="F33" s="111">
        <v>6839727.4702416137</v>
      </c>
      <c r="H33" s="111">
        <v>6738292.6574684232</v>
      </c>
      <c r="J33" s="111">
        <v>6627217.3528992347</v>
      </c>
      <c r="L33" s="111">
        <v>6504603.314469764</v>
      </c>
      <c r="N33" s="111">
        <v>6368177.6339307195</v>
      </c>
      <c r="P33" s="111">
        <v>6215302.7816955829</v>
      </c>
      <c r="R33" s="111">
        <v>6043069.8366930243</v>
      </c>
      <c r="T33" s="111">
        <v>5848577.462583974</v>
      </c>
      <c r="V33" s="111">
        <v>5629519.7152946107</v>
      </c>
      <c r="X33" s="111">
        <v>5385220.6873578047</v>
      </c>
      <c r="Z33" s="111">
        <v>5118221.5831077406</v>
      </c>
      <c r="AB33" s="111">
        <v>4836366.1632196223</v>
      </c>
      <c r="AD33" s="111">
        <v>4555039.7951003592</v>
      </c>
      <c r="AF33" s="111">
        <v>4298895.5470608119</v>
      </c>
      <c r="AH33" s="111">
        <v>4103075.9160659518</v>
      </c>
      <c r="AJ33" s="111">
        <v>4017040.0607994962</v>
      </c>
      <c r="AL33" s="111">
        <v>4099976.7328206021</v>
      </c>
      <c r="AN33" s="111">
        <v>4318621.2061308054</v>
      </c>
      <c r="AP33" s="111">
        <v>4347804.3815123225</v>
      </c>
      <c r="AR33" s="111">
        <v>4345642.5902373791</v>
      </c>
      <c r="AT33" s="111">
        <v>4269227.6423805822</v>
      </c>
      <c r="AV33" s="111">
        <v>3974690.116071878</v>
      </c>
    </row>
    <row r="34" spans="1:49 16319:16384" x14ac:dyDescent="0.2">
      <c r="A34" t="s">
        <v>75</v>
      </c>
      <c r="B34" s="111">
        <v>1136879.4410000162</v>
      </c>
      <c r="D34" s="111">
        <v>1138384.2742912595</v>
      </c>
      <c r="F34" s="111">
        <v>1134806.6453721398</v>
      </c>
      <c r="H34" s="111">
        <v>1124842.0245985282</v>
      </c>
      <c r="J34" s="111">
        <v>1106806.6356273494</v>
      </c>
      <c r="L34" s="111">
        <v>1078522.8073857075</v>
      </c>
      <c r="N34" s="111">
        <v>1037178.9321467496</v>
      </c>
      <c r="P34" s="111">
        <v>979203.58231988619</v>
      </c>
      <c r="R34" s="111">
        <v>900144.88625336345</v>
      </c>
      <c r="T34" s="111">
        <v>794643.18429546058</v>
      </c>
      <c r="V34" s="111">
        <v>656563.72288691904</v>
      </c>
      <c r="X34" s="111">
        <v>479383.4079278998</v>
      </c>
      <c r="Z34" s="111">
        <v>256822.85385855567</v>
      </c>
      <c r="AB34" s="111">
        <v>-16507.409603878274</v>
      </c>
      <c r="AD34" s="111">
        <v>-345184.26350595808</v>
      </c>
      <c r="AF34" s="111">
        <v>-735666.2267666983</v>
      </c>
      <c r="AH34" s="111">
        <v>-1206353.5848608655</v>
      </c>
      <c r="AJ34" s="111">
        <v>-1818272.3335474043</v>
      </c>
      <c r="AL34" s="111">
        <v>-2775471.7455883962</v>
      </c>
      <c r="AN34" s="111">
        <v>-4919539.1589948935</v>
      </c>
      <c r="AP34" s="111">
        <v>-5773730.2819354525</v>
      </c>
      <c r="AR34" s="111">
        <v>-6993322.1275305953</v>
      </c>
      <c r="AT34" s="111">
        <v>-8922426.248245474</v>
      </c>
      <c r="AV34" s="111">
        <v>-12681437.727038596</v>
      </c>
    </row>
    <row r="35" spans="1:49 16319:16384" x14ac:dyDescent="0.2">
      <c r="A35" t="s">
        <v>78</v>
      </c>
      <c r="B35" s="192">
        <v>1</v>
      </c>
      <c r="D35" s="192">
        <v>1.0011674696114012</v>
      </c>
      <c r="F35" s="192">
        <v>1.0028933336544639</v>
      </c>
      <c r="H35" s="192">
        <v>1.0052966483314203</v>
      </c>
      <c r="J35" s="192">
        <v>1.008531602378866</v>
      </c>
      <c r="L35" s="192">
        <v>1.0128012371125794</v>
      </c>
      <c r="N35" s="192">
        <v>1.0183779525265078</v>
      </c>
      <c r="P35" s="192">
        <v>1.0256326963009967</v>
      </c>
      <c r="R35" s="192">
        <v>1.0350814476443464</v>
      </c>
      <c r="T35" s="192">
        <v>1.0474581244118044</v>
      </c>
      <c r="V35" s="192">
        <v>1.0638352291587256</v>
      </c>
      <c r="X35" s="192">
        <v>1.0858300299856178</v>
      </c>
      <c r="Z35" s="192">
        <v>1.115971461026158</v>
      </c>
      <c r="AB35" s="192">
        <v>1.158377943136816</v>
      </c>
      <c r="AD35" s="192">
        <v>1.2200814807792728</v>
      </c>
      <c r="AF35" s="192">
        <v>1.313936441216206</v>
      </c>
      <c r="AH35" s="192">
        <v>1.4664208465813255</v>
      </c>
      <c r="AJ35" s="192">
        <v>1.7429540813668525</v>
      </c>
      <c r="AL35" s="192">
        <v>2.336977569652031</v>
      </c>
      <c r="AN35" s="192">
        <v>4.0625611833947106</v>
      </c>
      <c r="AP35" s="192">
        <v>4.8667249171690683</v>
      </c>
      <c r="AR35" s="192">
        <v>6.1412825491657763</v>
      </c>
      <c r="AT35" s="192">
        <v>8.5090730063672808</v>
      </c>
      <c r="AV35" s="192">
        <v>14.725580563979433</v>
      </c>
    </row>
    <row r="36" spans="1:49 16319:16384" x14ac:dyDescent="0.2">
      <c r="A36" t="s">
        <v>21</v>
      </c>
      <c r="B36" s="35">
        <v>0.47195767671988198</v>
      </c>
      <c r="C36" s="36">
        <v>0.31738834428178964</v>
      </c>
      <c r="D36" s="35">
        <v>0.47199732013733747</v>
      </c>
      <c r="E36" s="36">
        <v>0.32002626793396449</v>
      </c>
      <c r="F36" s="35">
        <v>0.47203362538340227</v>
      </c>
      <c r="G36" s="36">
        <v>0.32285857126099271</v>
      </c>
      <c r="H36" s="35">
        <v>0.47206481025759911</v>
      </c>
      <c r="I36" s="36">
        <v>0.32589570389618389</v>
      </c>
      <c r="J36" s="35">
        <v>0.47208844402076894</v>
      </c>
      <c r="K36" s="36">
        <v>0.32914492063103595</v>
      </c>
      <c r="L36" s="35">
        <v>0.47210121667803606</v>
      </c>
      <c r="M36" s="36">
        <v>0.33260790862272688</v>
      </c>
      <c r="N36" s="35">
        <v>0.4720986569547847</v>
      </c>
      <c r="O36" s="36">
        <v>0.33627743147012457</v>
      </c>
      <c r="P36" s="35">
        <v>0.47207488844857681</v>
      </c>
      <c r="Q36" s="36">
        <v>0.34013338422200179</v>
      </c>
      <c r="R36" s="35">
        <v>0.47202248565984894</v>
      </c>
      <c r="S36" s="36">
        <v>0.34413799770798614</v>
      </c>
      <c r="T36" s="35">
        <v>0.47193280186842695</v>
      </c>
      <c r="U36" s="36">
        <v>0.34823217704548415</v>
      </c>
      <c r="V36" s="35">
        <v>0.47179739820097255</v>
      </c>
      <c r="W36" s="36">
        <v>0.35233565538757206</v>
      </c>
      <c r="X36" s="35">
        <v>0.47161197524659232</v>
      </c>
      <c r="Y36" s="36">
        <v>0.35635771902878899</v>
      </c>
      <c r="Z36" s="35">
        <v>0.47138543204661132</v>
      </c>
      <c r="AA36" s="36">
        <v>0.36022916970223001</v>
      </c>
      <c r="AB36" s="35">
        <v>0.47115906858966355</v>
      </c>
      <c r="AC36" s="36">
        <v>0.36397446268044686</v>
      </c>
      <c r="AD36" s="35">
        <v>0.47104511663669102</v>
      </c>
      <c r="AE36" s="36">
        <v>0.36785625985090908</v>
      </c>
      <c r="AF36" s="35">
        <v>0.47130270498788296</v>
      </c>
      <c r="AG36" s="36">
        <v>0.3726541555177193</v>
      </c>
      <c r="AH36" s="35">
        <v>0.47250352069455648</v>
      </c>
      <c r="AI36" s="36">
        <v>0.38024156450536511</v>
      </c>
      <c r="AJ36" s="35">
        <v>0.47599510531795491</v>
      </c>
      <c r="AK36" s="36">
        <v>0.39505413629657349</v>
      </c>
      <c r="AL36" s="35">
        <v>0.48532598004833521</v>
      </c>
      <c r="AM36" s="36">
        <v>0.42798793446962741</v>
      </c>
      <c r="AN36" s="35">
        <v>0.5123203250990005</v>
      </c>
      <c r="AO36" s="36">
        <v>0.51008368698872253</v>
      </c>
      <c r="AP36" s="35">
        <v>0.52376621586366601</v>
      </c>
      <c r="AQ36" s="36">
        <v>0.54160993672049351</v>
      </c>
      <c r="AR36" s="35">
        <v>0.54059012667558892</v>
      </c>
      <c r="AS36" s="36">
        <v>0.58550307364303034</v>
      </c>
      <c r="AT36" s="35">
        <v>0.56854213495266215</v>
      </c>
      <c r="AU36" s="36">
        <v>0.65352213431778028</v>
      </c>
      <c r="AV36" s="35">
        <v>0.62927440080333608</v>
      </c>
      <c r="AW36" s="36">
        <v>0.78705012289747733</v>
      </c>
    </row>
    <row r="37" spans="1:49 16319:16384" x14ac:dyDescent="0.2">
      <c r="B37" s="37">
        <v>2.1403217525954466E-2</v>
      </c>
      <c r="C37" s="38">
        <v>0.3496246130199252</v>
      </c>
      <c r="D37" s="37">
        <v>2.0705658056065789E-2</v>
      </c>
      <c r="E37" s="38">
        <v>0.34551821266640526</v>
      </c>
      <c r="F37" s="37">
        <v>2.000960742007548E-2</v>
      </c>
      <c r="G37" s="38">
        <v>0.34139435303553245</v>
      </c>
      <c r="H37" s="37">
        <v>1.9317238234120012E-2</v>
      </c>
      <c r="I37" s="38">
        <v>0.33726674001357038</v>
      </c>
      <c r="J37" s="37">
        <v>1.8631280701071642E-2</v>
      </c>
      <c r="K37" s="38">
        <v>0.33315289250466917</v>
      </c>
      <c r="L37" s="37">
        <v>1.7955175658064329E-2</v>
      </c>
      <c r="M37" s="38">
        <v>0.32907515454824371</v>
      </c>
      <c r="N37" s="37">
        <v>1.729324744561769E-2</v>
      </c>
      <c r="O37" s="38">
        <v>0.32506183079862383</v>
      </c>
      <c r="P37" s="37">
        <v>1.6650795555847295E-2</v>
      </c>
      <c r="Q37" s="38">
        <v>0.32114781310673979</v>
      </c>
      <c r="R37" s="37">
        <v>1.6034166778807687E-2</v>
      </c>
      <c r="S37" s="38">
        <v>0.31737504148819812</v>
      </c>
      <c r="T37" s="37">
        <v>1.545056520914837E-2</v>
      </c>
      <c r="U37" s="38">
        <v>0.31379127717654837</v>
      </c>
      <c r="V37" s="37">
        <v>1.4907453327644878E-2</v>
      </c>
      <c r="W37" s="38">
        <v>0.31044622108239289</v>
      </c>
      <c r="X37" s="37">
        <v>1.4411071563478694E-2</v>
      </c>
      <c r="Y37" s="38">
        <v>0.30738198778797332</v>
      </c>
      <c r="Z37" s="37">
        <v>1.3963455370095688E-2</v>
      </c>
      <c r="AA37" s="38">
        <v>0.30461399062327049</v>
      </c>
      <c r="AB37" s="37">
        <v>1.3556725991583854E-2</v>
      </c>
      <c r="AC37" s="38">
        <v>0.30209449533746274</v>
      </c>
      <c r="AD37" s="37">
        <v>1.3162669840609672E-2</v>
      </c>
      <c r="AE37" s="38">
        <v>0.29964622807765279</v>
      </c>
      <c r="AF37" s="37">
        <v>1.2715002491475986E-2</v>
      </c>
      <c r="AG37" s="38">
        <v>0.29684934821169823</v>
      </c>
      <c r="AH37" s="37">
        <v>1.2082356958454034E-2</v>
      </c>
      <c r="AI37" s="38">
        <v>0.29286897411337587</v>
      </c>
      <c r="AJ37" s="37">
        <v>1.1035475566093118E-2</v>
      </c>
      <c r="AK37" s="38">
        <v>0.2862475592218372</v>
      </c>
      <c r="AL37" s="37">
        <v>9.2834234503083052E-3</v>
      </c>
      <c r="AM37" s="38">
        <v>0.2751698276756569</v>
      </c>
      <c r="AN37" s="37">
        <v>6.6949726377632671E-3</v>
      </c>
      <c r="AO37" s="38">
        <v>0.25910266975550739</v>
      </c>
      <c r="AP37" s="37">
        <v>6.0569056062651288E-3</v>
      </c>
      <c r="AQ37" s="38">
        <v>0.25526030987713838</v>
      </c>
      <c r="AR37" s="37">
        <v>5.3534765304287177E-3</v>
      </c>
      <c r="AS37" s="38">
        <v>0.25111158895159441</v>
      </c>
      <c r="AT37" s="37">
        <v>4.5472988247279257E-3</v>
      </c>
      <c r="AU37" s="38">
        <v>0.24650282444662724</v>
      </c>
      <c r="AV37" s="37">
        <v>3.5335966480781367E-3</v>
      </c>
      <c r="AW37" s="38">
        <v>0.24101024079827726</v>
      </c>
    </row>
    <row r="38" spans="1:49 16319:16384" x14ac:dyDescent="0.2">
      <c r="A38" t="s">
        <v>22</v>
      </c>
      <c r="B38" s="35">
        <v>0.18079094942242827</v>
      </c>
      <c r="C38" s="36">
        <v>6.0565413429233668E-2</v>
      </c>
      <c r="D38" s="35">
        <v>0.18117058065997316</v>
      </c>
      <c r="E38" s="36">
        <v>6.0910136520854662E-2</v>
      </c>
      <c r="F38" s="35">
        <v>0.18158174420467152</v>
      </c>
      <c r="G38" s="36">
        <v>6.1282067541853856E-2</v>
      </c>
      <c r="H38" s="35">
        <v>0.1820274638533699</v>
      </c>
      <c r="I38" s="36">
        <v>6.1683012850087704E-2</v>
      </c>
      <c r="J38" s="35">
        <v>0.18251084418481406</v>
      </c>
      <c r="K38" s="36">
        <v>6.2114494221216857E-2</v>
      </c>
      <c r="L38" s="35">
        <v>0.1830348990913829</v>
      </c>
      <c r="M38" s="36">
        <v>6.2577466394543341E-2</v>
      </c>
      <c r="N38" s="35">
        <v>0.18360226475930361</v>
      </c>
      <c r="O38" s="36">
        <v>6.3071814372712559E-2</v>
      </c>
      <c r="P38" s="35">
        <v>0.18421481374163054</v>
      </c>
      <c r="Q38" s="36">
        <v>6.3595928604405647E-2</v>
      </c>
      <c r="R38" s="35">
        <v>0.18487303247019257</v>
      </c>
      <c r="S38" s="36">
        <v>6.4146047753499025E-2</v>
      </c>
      <c r="T38" s="35">
        <v>0.18557520877410255</v>
      </c>
      <c r="U38" s="36">
        <v>6.4715620509380234E-2</v>
      </c>
      <c r="V38" s="35">
        <v>0.18631633298301453</v>
      </c>
      <c r="W38" s="36">
        <v>6.5295191476668665E-2</v>
      </c>
      <c r="X38" s="35">
        <v>0.18708670108865194</v>
      </c>
      <c r="Y38" s="36">
        <v>6.587313696669303E-2</v>
      </c>
      <c r="Z38" s="35">
        <v>0.18786986304947526</v>
      </c>
      <c r="AA38" s="36">
        <v>6.6438771791974771E-2</v>
      </c>
      <c r="AB38" s="35">
        <v>0.188639057753442</v>
      </c>
      <c r="AC38" s="36">
        <v>6.6989420540995909E-2</v>
      </c>
      <c r="AD38" s="35">
        <v>0.18935015628138033</v>
      </c>
      <c r="AE38" s="36">
        <v>6.7544736374648556E-2</v>
      </c>
      <c r="AF38" s="35">
        <v>0.18992704597806079</v>
      </c>
      <c r="AG38" s="36">
        <v>6.817397117482013E-2</v>
      </c>
      <c r="AH38" s="35">
        <v>0.19022608036377361</v>
      </c>
      <c r="AI38" s="36">
        <v>6.9050731051139597E-2</v>
      </c>
      <c r="AJ38" s="35">
        <v>0.18992051931534767</v>
      </c>
      <c r="AK38" s="36">
        <v>7.0582842378499891E-2</v>
      </c>
      <c r="AL38" s="35">
        <v>0.18810192015154517</v>
      </c>
      <c r="AM38" s="36">
        <v>7.3705567321377591E-2</v>
      </c>
      <c r="AN38" s="35">
        <v>0.18167352762158787</v>
      </c>
      <c r="AO38" s="36">
        <v>8.0607998765743677E-2</v>
      </c>
      <c r="AP38" s="35">
        <v>0.17888676503942658</v>
      </c>
      <c r="AQ38" s="36">
        <v>8.2976861447652026E-2</v>
      </c>
      <c r="AR38" s="35">
        <v>0.17488473585843728</v>
      </c>
      <c r="AS38" s="36">
        <v>8.6041701319366407E-2</v>
      </c>
      <c r="AT38" s="35">
        <v>0.16862402530909315</v>
      </c>
      <c r="AU38" s="36">
        <v>9.0309632550816477E-2</v>
      </c>
      <c r="AV38" s="35">
        <v>0.15691823204523833</v>
      </c>
      <c r="AW38" s="36">
        <v>9.7289764190677461E-2</v>
      </c>
    </row>
    <row r="39" spans="1:49 16319:16384" x14ac:dyDescent="0.2">
      <c r="A39" t="s">
        <v>23</v>
      </c>
      <c r="B39" s="37">
        <v>0.23064923795098771</v>
      </c>
      <c r="C39" s="38">
        <v>0.22092201281804777</v>
      </c>
      <c r="D39" s="37">
        <v>0.23078248788874525</v>
      </c>
      <c r="E39" s="38">
        <v>0.22201068107028291</v>
      </c>
      <c r="F39" s="37">
        <v>0.23092533891565961</v>
      </c>
      <c r="G39" s="38">
        <v>0.22318229323592043</v>
      </c>
      <c r="H39" s="37">
        <v>0.23107842096606057</v>
      </c>
      <c r="I39" s="38">
        <v>0.22444163784871254</v>
      </c>
      <c r="J39" s="37">
        <v>0.23124225103027235</v>
      </c>
      <c r="K39" s="38">
        <v>0.22579218290722747</v>
      </c>
      <c r="L39" s="37">
        <v>0.23141714313761122</v>
      </c>
      <c r="M39" s="38">
        <v>0.22723507882034194</v>
      </c>
      <c r="N39" s="37">
        <v>0.23160308073838318</v>
      </c>
      <c r="O39" s="38">
        <v>0.22876787436187163</v>
      </c>
      <c r="P39" s="37">
        <v>0.23179952847741012</v>
      </c>
      <c r="Q39" s="38">
        <v>0.23038273409736304</v>
      </c>
      <c r="R39" s="37">
        <v>0.23200522012079641</v>
      </c>
      <c r="S39" s="38">
        <v>0.2320644222778093</v>
      </c>
      <c r="T39" s="37">
        <v>0.23221794972539392</v>
      </c>
      <c r="U39" s="38">
        <v>0.23378880203471941</v>
      </c>
      <c r="V39" s="37">
        <v>0.23243447533295525</v>
      </c>
      <c r="W39" s="38">
        <v>0.23552262040647509</v>
      </c>
      <c r="X39" s="37">
        <v>0.2326507447063465</v>
      </c>
      <c r="Y39" s="38">
        <v>0.23722787246925411</v>
      </c>
      <c r="Z39" s="37">
        <v>0.23286279734911836</v>
      </c>
      <c r="AA39" s="38">
        <v>0.23887445120268916</v>
      </c>
      <c r="AB39" s="37">
        <v>0.23306890235286176</v>
      </c>
      <c r="AC39" s="38">
        <v>0.24046907786206531</v>
      </c>
      <c r="AD39" s="37">
        <v>0.23327386613663609</v>
      </c>
      <c r="AE39" s="38">
        <v>0.24211312643039717</v>
      </c>
      <c r="AF39" s="37">
        <v>0.23349722216887744</v>
      </c>
      <c r="AG39" s="38">
        <v>0.24411395042149087</v>
      </c>
      <c r="AH39" s="37">
        <v>0.23378956315284119</v>
      </c>
      <c r="AI39" s="38">
        <v>0.24721366296385755</v>
      </c>
      <c r="AJ39" s="37">
        <v>0.23427121403654547</v>
      </c>
      <c r="AK39" s="38">
        <v>0.2531624102481424</v>
      </c>
      <c r="AL39" s="37">
        <v>0.235225124790058</v>
      </c>
      <c r="AM39" s="38">
        <v>0.26617800228452682</v>
      </c>
      <c r="AN39" s="37">
        <v>0.23740784225922609</v>
      </c>
      <c r="AO39" s="38">
        <v>0.2975819013560288</v>
      </c>
      <c r="AP39" s="37">
        <v>0.23821517584072724</v>
      </c>
      <c r="AQ39" s="38">
        <v>0.30922829366549931</v>
      </c>
      <c r="AR39" s="37">
        <v>0.23932899926219234</v>
      </c>
      <c r="AS39" s="38">
        <v>0.32505534351544618</v>
      </c>
      <c r="AT39" s="37">
        <v>0.24105538666017715</v>
      </c>
      <c r="AU39" s="38">
        <v>0.34870602786946681</v>
      </c>
      <c r="AV39" s="37">
        <v>0.24453761070581548</v>
      </c>
      <c r="AW39" s="38">
        <v>0.39222019261690177</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6.6584460509531346E-2</v>
      </c>
      <c r="E42" s="126"/>
      <c r="F42" s="167">
        <f>6.1%+(1-6.1%)*(1-SUM(F26:G26)/SUM($B$26:$C$26))</f>
        <v>7.320491194902129E-2</v>
      </c>
      <c r="G42" s="126"/>
      <c r="H42" s="167">
        <f>6.1%+(1-6.1%)*(1-SUM(H26:I26)/SUM($B$26:$C$26))</f>
        <v>8.1119260071033691E-2</v>
      </c>
      <c r="I42" s="126"/>
      <c r="J42" s="167">
        <f>6.1%+(1-6.1%)*(1-SUM(J26:K26)/SUM($B$26:$C$26))</f>
        <v>9.065739138685093E-2</v>
      </c>
      <c r="K42" s="126"/>
      <c r="L42" s="167">
        <f>6.1%+(1-6.1%)*(1-SUM(L26:M26)/SUM($B$26:$C$26))</f>
        <v>0.10224163324260194</v>
      </c>
      <c r="M42" s="126"/>
      <c r="N42" s="167">
        <f>6.1%+(1-6.1%)*(1-SUM(N26:O26)/SUM($B$26:$C$26))</f>
        <v>0.11641002043155835</v>
      </c>
      <c r="O42" s="126"/>
      <c r="P42" s="167">
        <f>6.1%+(1-6.1%)*(1-SUM(P26:Q26)/SUM($B$26:$C$26))</f>
        <v>0.13383392981347919</v>
      </c>
      <c r="Q42" s="126"/>
      <c r="R42" s="167">
        <f>6.1%+(1-6.1%)*(1-SUM(R26:S26)/SUM($B$26:$C$26))</f>
        <v>0.15532796614259209</v>
      </c>
      <c r="S42" s="126"/>
      <c r="T42" s="167">
        <f>6.1%+(1-6.1%)*(1-SUM(T26:U26)/SUM($B$26:$C$26))</f>
        <v>0.18183103895594971</v>
      </c>
      <c r="U42" s="126"/>
      <c r="V42" s="167">
        <f>6.1%+(1-6.1%)*(1-SUM(V26:W26)/SUM($B$26:$C$26))</f>
        <v>0.21433745159046053</v>
      </c>
      <c r="W42" s="126"/>
      <c r="X42" s="167">
        <f>6.1%+(1-6.1%)*(1-SUM(X26:Y26)/SUM($B$26:$C$26))</f>
        <v>0.25375007114295245</v>
      </c>
      <c r="Y42" s="152"/>
      <c r="Z42" s="167">
        <f>6.1%+(1-6.1%)*(1-SUM(Z26:AA26)/SUM($B$26:$C$26))</f>
        <v>0.30064326937860048</v>
      </c>
      <c r="AA42" s="126"/>
      <c r="AB42" s="167">
        <f>6.1%+(1-6.1%)*(1-SUM(AB26:AC26)/SUM($B$26:$C$26))</f>
        <v>0.35496479286146759</v>
      </c>
      <c r="AC42" s="126"/>
      <c r="AD42" s="167">
        <f>6.1%+(1-6.1%)*(1-SUM(AD26:AE26)/SUM($B$26:$C$26))</f>
        <v>0.41579455819683303</v>
      </c>
      <c r="AE42" s="126"/>
      <c r="AF42" s="167">
        <f>6.1%+(1-6.1%)*(1-SUM(AF26:AG26)/SUM($B$26:$C$26))</f>
        <v>0.48143367511313484</v>
      </c>
      <c r="AG42" s="126"/>
      <c r="AH42" s="167">
        <f>6.1%+(1-6.1%)*(1-SUM(AH26:AI26)/SUM($B$26:$C$26))</f>
        <v>0.55026532473635603</v>
      </c>
      <c r="AI42" s="126"/>
      <c r="AJ42" s="167">
        <f>6.1%+(1-6.1%)*(1-SUM(AJ26:AK26)/SUM($B$26:$C$26))</f>
        <v>0.62269374909897746</v>
      </c>
      <c r="AK42" s="126"/>
      <c r="AL42" s="167">
        <f>6.1%+(1-6.1%)*(1-SUM(AL26:AM26)/SUM($B$26:$C$26))</f>
        <v>0.70369239025212282</v>
      </c>
      <c r="AM42" s="126"/>
      <c r="AN42" s="167">
        <f>6.1%+(1-6.1%)*(1-SUM(AN26:AO26)/SUM($B$26:$C$26))</f>
        <v>0.80719705289418875</v>
      </c>
      <c r="AO42" s="126"/>
      <c r="AP42" s="167">
        <f>6.1%+(1-6.1%)*(1-SUM(AP26:AQ26)/SUM($B$26:$C$26))</f>
        <v>0.83352931640168038</v>
      </c>
      <c r="AQ42" s="126"/>
      <c r="AR42" s="167">
        <f>6.1%+(1-6.1%)*(1-SUM(AR26:AS26)/SUM($B$26:$C$26))</f>
        <v>0.86315916733982312</v>
      </c>
      <c r="AS42" s="126"/>
      <c r="AT42" s="167">
        <f>6.1%+(1-6.1%)*(1-SUM(AT26:AU26)/SUM($B$26:$C$26))</f>
        <v>0.89743200654677291</v>
      </c>
      <c r="AU42" s="126"/>
      <c r="AV42" s="167">
        <f>6.1%+(1-6.1%)*(1-SUM(AV26:AW26)/SUM($B$26:$C$26))</f>
        <v>0.93907566303874601</v>
      </c>
      <c r="XFD42" s="167"/>
    </row>
    <row r="43" spans="1:49 16319:16384" x14ac:dyDescent="0.2">
      <c r="A43" t="s">
        <v>95</v>
      </c>
      <c r="B43" s="152">
        <f>SUM(B15:C15*B27:C27)/SUM(B15:C15*B27:C27,B13:C13*B26:C26)</f>
        <v>0.56058995943839207</v>
      </c>
      <c r="C43" s="126"/>
      <c r="D43" s="152">
        <f t="array" ref="D43">SUM(D15:E15*D27:E27)/SUM(D15:E15*D27:E27,D13:E13*D26:E26)</f>
        <v>0.56769675974480394</v>
      </c>
      <c r="E43" s="126"/>
      <c r="F43" s="152">
        <f t="array" ref="F43">SUM(F15:G15*F27:G27)/SUM(F15:G15*F27:G27,F13:G13*F26:G26)</f>
        <v>0.56826604531780867</v>
      </c>
      <c r="G43" s="126"/>
      <c r="H43" s="152">
        <f t="array" ref="H43">SUM(H15:I15*H27:I27)/SUM(H15:I15*H27:I27,H13:I13*H26:I26)</f>
        <v>0.56891621657490565</v>
      </c>
      <c r="I43" s="126"/>
      <c r="J43" s="152">
        <f t="array" ref="J43">SUM(J15:K15*J27:K27)/SUM(J15:K15*J27:K27,J13:K13*J26:K26)</f>
        <v>0.56965555773892684</v>
      </c>
      <c r="K43" s="126"/>
      <c r="L43" s="152">
        <f t="array" ref="L43">SUM(L15:M15*L27:M27)/SUM(L15:M15*L27:M27,L13:M13*L26:M26)</f>
        <v>0.57049256891925126</v>
      </c>
      <c r="M43" s="126"/>
      <c r="N43" s="152">
        <f t="array" ref="N43">SUM(N15:O15*N27:O27)/SUM(N15:O15*N27:O27,N13:O13*N26:O26)</f>
        <v>0.57143552372267958</v>
      </c>
      <c r="O43" s="126"/>
      <c r="P43" s="152">
        <f t="array" ref="P43">SUM(P15:Q15*P27:Q27)/SUM(P15:Q15*P27:Q27,P13:Q13*P26:Q26)</f>
        <v>0.57249157264877848</v>
      </c>
      <c r="Q43" s="126"/>
      <c r="R43" s="152">
        <f t="array" ref="R43">SUM(R15:S15*R27:S27)/SUM(R15:S15*R27:S27,R13:S13*R26:S26)</f>
        <v>0.57366534574248196</v>
      </c>
      <c r="S43" s="126"/>
      <c r="T43" s="152">
        <f t="array" ref="T43">SUM(T15:U15*T27:U27)/SUM(T15:U15*T27:U27,T13:U13*T26:U26)</f>
        <v>0.57495671784907831</v>
      </c>
      <c r="U43" s="126"/>
      <c r="V43" s="152">
        <f t="array" ref="V43">SUM(V15:W15*V27:W27)/SUM(V15:W15*V27:W27,V13:W13*V26:W26)</f>
        <v>0.57635722327269379</v>
      </c>
      <c r="W43" s="126"/>
      <c r="X43" s="152">
        <f t="array" ref="X43">SUM(X15:Y15*X27:Y27)/SUM(X15:Y15*X27:Y27,X13:Y13*X26:Y26)</f>
        <v>0.57784438690835038</v>
      </c>
      <c r="Y43" s="126"/>
      <c r="Z43" s="152">
        <f t="array" ref="Z43">SUM(Z15:AA15*Z27:AA27)/SUM(Z15:AA15*Z27:AA27,Z13:AA13*Z26:AA26)</f>
        <v>0.57937202436255153</v>
      </c>
      <c r="AA43" s="126"/>
      <c r="AB43" s="152">
        <f t="array" ref="AB43">SUM(AB15:AC15*AB27:AC27)/SUM(AB15:AC15*AB27:AC27,AB13:AC13*AB26:AC26)</f>
        <v>0.58085281317190562</v>
      </c>
      <c r="AC43" s="126"/>
      <c r="AD43" s="152">
        <f t="array" ref="AD43">SUM(AD15:AE15*AD27:AE27)/SUM(AD15:AE15*AD27:AE27,AD13:AE13*AD26:AE26)</f>
        <v>0.58212640527579806</v>
      </c>
      <c r="AE43" s="126"/>
      <c r="AF43" s="152">
        <f t="array" ref="AF43">SUM(AF15:AG15*AF27:AG27)/SUM(AF15:AG15*AF27:AG27,AF13:AG13*AF26:AG26)</f>
        <v>0.58290145440349184</v>
      </c>
      <c r="AG43" s="126"/>
      <c r="AH43" s="152">
        <f t="array" ref="AH43">SUM(AH15:AI15*AH27:AI27)/SUM(AH15:AI15*AH27:AI27,AH13:AI13*AH26:AI26)</f>
        <v>0.58263236611347347</v>
      </c>
      <c r="AI43" s="126"/>
      <c r="AJ43" s="152">
        <f t="array" ref="AJ43">SUM(AJ15:AK15*AJ27:AK27)/SUM(AJ15:AK15*AJ27:AK27,AJ13:AK13*AJ26:AK26)</f>
        <v>0.58012804358327019</v>
      </c>
      <c r="AK43" s="126"/>
      <c r="AL43" s="152">
        <f t="array" ref="AL43">SUM(AL15:AM15*AL27:AM27)/SUM(AL15:AM15*AL27:AM27,AL13:AM13*AL26:AM26)</f>
        <v>0.5720941675343133</v>
      </c>
      <c r="AM43" s="126"/>
      <c r="AN43" s="152">
        <f t="array" ref="AN43">SUM(AN15:AO15*AN27:AO27)/SUM(AN15:AO15*AN27:AO27,AN13:AO13*AN26:AO26)</f>
        <v>0.54674662423694664</v>
      </c>
      <c r="AO43" s="126"/>
      <c r="AP43" s="152">
        <f t="array" ref="AP43">SUM(AP15:AQ15*AP27:AQ27)/SUM(AP15:AQ15*AP27:AQ27,AP13:AQ13*AP26:AQ26)</f>
        <v>0.53582364615528322</v>
      </c>
      <c r="AQ43" s="126"/>
      <c r="AR43" s="152">
        <f t="array" ref="AR43">SUM(AR15:AS15*AR27:AS27)/SUM(AR15:AS15*AR27:AS27,AR13:AS13*AR26:AS26)</f>
        <v>0.51995469325783172</v>
      </c>
      <c r="AS43" s="126"/>
      <c r="AT43" s="152">
        <f t="array" ref="AT43">SUM(AT15:AU15*AT27:AU27)/SUM(AT15:AU15*AT27:AU27,AT13:AU13*AT26:AU26)</f>
        <v>0.49450696503507974</v>
      </c>
      <c r="AU43" s="126"/>
      <c r="AV43" s="152">
        <f t="array" ref="AV43">SUM(AV15:AW15*AV27:AW27)/SUM(AV15:AW15*AV27:AW27,AV13:AW13*AV26:AW26)</f>
        <v>0.44440230085614718</v>
      </c>
    </row>
    <row r="44" spans="1:49 16319:16384" x14ac:dyDescent="0.2">
      <c r="A44" t="s">
        <v>129</v>
      </c>
      <c r="B44" s="183">
        <f>(SUM(B11:C11*B24:C24)+B34)/B32</f>
        <v>0.29754226190682465</v>
      </c>
      <c r="D44" s="183">
        <f>(SUM(D11:E11*D24:E24)+D34)/D32</f>
        <v>0.29953822524522605</v>
      </c>
      <c r="F44" s="183">
        <f>(SUM(F11:G11*F24:G24)+F34)/F32</f>
        <v>0.3015722188988777</v>
      </c>
      <c r="H44" s="183">
        <f>(SUM(H11:I11*H24:I24)+H34)/H32</f>
        <v>0.3036438055384012</v>
      </c>
      <c r="J44" s="183">
        <f>(SUM(J11:K11*J24:K24)+J34)/J32</f>
        <v>0.30575091259023918</v>
      </c>
      <c r="L44" s="183">
        <f>(SUM(L11:M11*L24:M24)+L34)/L32</f>
        <v>0.30788909841005235</v>
      </c>
      <c r="N44" s="183">
        <f>(SUM(N11:O11*N24:O24)+N34)/N32</f>
        <v>0.31005054395715287</v>
      </c>
      <c r="P44" s="183">
        <f>(SUM(P11:Q11*P24:Q24)+P34)/P32</f>
        <v>0.31222329047739461</v>
      </c>
      <c r="R44" s="183">
        <f>(SUM(R11:S11*R24:S24)+R34)/R32</f>
        <v>0.3143904402119902</v>
      </c>
      <c r="T44" s="183">
        <f>(SUM(T11:U11*T24:U24)+T34)/T32</f>
        <v>0.31653056724109613</v>
      </c>
      <c r="V44" s="183">
        <f>(SUM(V11:W11*V24:W24)+V34)/V32</f>
        <v>0.31862039291600402</v>
      </c>
      <c r="X44" s="183">
        <f>(SUM(X11:Y11*X24:Y24)+X34)/X32</f>
        <v>0.32064305644102492</v>
      </c>
      <c r="Z44" s="183">
        <f>(SUM(Z11:AA11*Z24:AA24)+Z34)/Z32</f>
        <v>0.32260676524622162</v>
      </c>
      <c r="AB44" s="183">
        <f>(SUM(AB11:AC11*AB24:AC24)+AB34)/AB32</f>
        <v>0.32458343123088573</v>
      </c>
      <c r="AD44" s="183">
        <f>(SUM(AD11:AE11*AD24:AE24)+AD34)/AD32</f>
        <v>0.326784590108392</v>
      </c>
      <c r="AF44" s="183">
        <f>(SUM(AF11:AG11*AF24:AG24)+AF34)/AF32</f>
        <v>0.32970690326865459</v>
      </c>
      <c r="AH44" s="183">
        <f>(SUM(AH11:AI11*AH24:AI24)+AH34)/AH32</f>
        <v>0.33442673491915703</v>
      </c>
      <c r="AJ44" s="183">
        <f>(SUM(AJ11:AK11*AJ24:AK24)+AJ34)/AJ32</f>
        <v>0.3432453993089209</v>
      </c>
      <c r="AL44" s="183">
        <f>(SUM(AL11:AM11*AL24:AM24)+AL34)/AL32</f>
        <v>0.36059214711340593</v>
      </c>
      <c r="AN44" s="183">
        <f>(SUM(AN11:AO11*AN24:AO24)+AN34)/AN32</f>
        <v>0.39433905210941789</v>
      </c>
      <c r="AP44" s="183">
        <f>(SUM(AP11:AQ11*AP24:AQ24)+AP34)/AP32</f>
        <v>0.40503860470886555</v>
      </c>
      <c r="AR44" s="183">
        <f>(SUM(AR11:AS11*AR24:AS24)+AR34)/AR32</f>
        <v>0.41850287672490938</v>
      </c>
      <c r="AT44" s="183">
        <f>(SUM(AT11:AU11*AT24:AU24)+AT34)/AT32</f>
        <v>0.43670724466036376</v>
      </c>
      <c r="AV44" s="183">
        <f>(SUM(AV11:AW11*AV24:AW24)+AV34)/AV32</f>
        <v>0.46526263566983816</v>
      </c>
    </row>
    <row r="45" spans="1:49 16319:16384" x14ac:dyDescent="0.2">
      <c r="A45" t="s">
        <v>82</v>
      </c>
      <c r="B45" s="183">
        <f>SUM(B11:C11*B24:C24)/B32</f>
        <v>0.22038438833194082</v>
      </c>
      <c r="D45" s="183">
        <f>SUM(D11:E11*D24:E24)/D32</f>
        <v>0.22164116568805825</v>
      </c>
      <c r="F45" s="183">
        <f>SUM(F11:G11*F24:G24)/F32</f>
        <v>0.22319749497347016</v>
      </c>
      <c r="H45" s="183">
        <f>SUM(H11:I11*H24:I24)/H32</f>
        <v>0.22513364456483423</v>
      </c>
      <c r="J45" s="183">
        <f>SUM(J11:K11*J24:K24)/J32</f>
        <v>0.22755669773981346</v>
      </c>
      <c r="L45" s="183">
        <f>SUM(L11:M11*L24:M24)/L32</f>
        <v>0.23061130280011186</v>
      </c>
      <c r="N45" s="183">
        <f>SUM(N11:O11*N24:O24)/N32</f>
        <v>0.23449507006079928</v>
      </c>
      <c r="P45" s="183">
        <f>SUM(P11:Q11*P24:Q24)/P32</f>
        <v>0.23947893989596145</v>
      </c>
      <c r="R45" s="183">
        <f>SUM(R11:S11*R24:S24)/R32</f>
        <v>0.24593622483917491</v>
      </c>
      <c r="T45" s="183">
        <f>SUM(T11:U11*T24:U24)/T32</f>
        <v>0.25438071063945744</v>
      </c>
      <c r="V45" s="183">
        <f>SUM(V11:W11*V24:W24)/V32</f>
        <v>0.26551543742560968</v>
      </c>
      <c r="X45" s="183">
        <f>SUM(X11:Y11*X24:Y24)/X32</f>
        <v>0.28029008679956302</v>
      </c>
      <c r="Z45" s="183">
        <f>SUM(Z11:AA11*Z24:AA24)/Z32</f>
        <v>0.29995900947957305</v>
      </c>
      <c r="AB45" s="183">
        <f>SUM(AB11:AC11*AB24:AC24)/AB32</f>
        <v>0.32611721515365483</v>
      </c>
      <c r="AD45" s="183">
        <f>SUM(AD11:AE11*AD24:AE24)/AD32</f>
        <v>0.36067140114557356</v>
      </c>
      <c r="AF45" s="183">
        <f>SUM(AF11:AG11*AF24:AG24)/AF32</f>
        <v>0.40573048452005722</v>
      </c>
      <c r="AH45" s="183">
        <f>SUM(AH11:AI11*AH24:AI24)/AH32</f>
        <v>0.46365296810221784</v>
      </c>
      <c r="AJ45" s="183">
        <f>SUM(AJ11:AK11*AJ24:AK24)/AJ32</f>
        <v>0.53820117486765529</v>
      </c>
      <c r="AL45" s="183">
        <f>SUM(AL11:AM11*AL24:AM24)/AL32</f>
        <v>0.64041655841896827</v>
      </c>
      <c r="AN45" s="183">
        <f>SUM(AN11:AO11*AN24:AO24)/AN32</f>
        <v>0.82677558821349717</v>
      </c>
      <c r="AP45" s="183">
        <f>SUM(AP11:AQ11*AP24:AQ24)/AP32</f>
        <v>0.89494491632261397</v>
      </c>
      <c r="AR45" s="183">
        <f>SUM(AR11:AS11*AR24:AS24)/AR32</f>
        <v>0.99052018451151058</v>
      </c>
      <c r="AT45" s="183">
        <f>SUM(AT11:AU11*AT24:AU24)/AT32</f>
        <v>1.1415320347221796</v>
      </c>
      <c r="AV45" s="183">
        <f>SUM(AV11:AW11*AV24:AW24)/AV32</f>
        <v>1.4501564525808528</v>
      </c>
      <c r="XCQ45" s="183"/>
    </row>
    <row r="46" spans="1:49 16319:16384" x14ac:dyDescent="0.2">
      <c r="A46" t="s">
        <v>126</v>
      </c>
      <c r="B46" s="183">
        <f>B34/B32</f>
        <v>7.7157873574883795E-2</v>
      </c>
      <c r="D46" s="183">
        <f>D34/D32</f>
        <v>7.7897059557167789E-2</v>
      </c>
      <c r="F46" s="183">
        <f>F34/F32</f>
        <v>7.8374723925407508E-2</v>
      </c>
      <c r="H46" s="183">
        <f>H34/H32</f>
        <v>7.8510160973567E-2</v>
      </c>
      <c r="J46" s="183">
        <f>J34/J32</f>
        <v>7.8194214850425714E-2</v>
      </c>
      <c r="L46" s="183">
        <f>L34/L32</f>
        <v>7.7277795609940511E-2</v>
      </c>
      <c r="N46" s="183">
        <f>N34/N32</f>
        <v>7.5555473896353573E-2</v>
      </c>
      <c r="P46" s="183">
        <f>P34/P32</f>
        <v>7.2744350581433193E-2</v>
      </c>
      <c r="R46" s="183">
        <f>R34/R32</f>
        <v>6.8454215372815277E-2</v>
      </c>
      <c r="T46" s="183">
        <f>T34/T32</f>
        <v>6.2149856601638701E-2</v>
      </c>
      <c r="V46" s="183">
        <f>V34/V32</f>
        <v>5.3104955490394332E-2</v>
      </c>
      <c r="X46" s="183">
        <f>X34/X32</f>
        <v>4.0352969641461921E-2</v>
      </c>
      <c r="Z46" s="183">
        <f>Z34/Z32</f>
        <v>2.2647755766648559E-2</v>
      </c>
      <c r="AB46" s="183">
        <f>AB34/AB32</f>
        <v>-1.5337839227691069E-3</v>
      </c>
      <c r="AD46" s="183">
        <f>AD34/AD32</f>
        <v>-3.3886811037181594E-2</v>
      </c>
      <c r="AF46" s="183">
        <f>AF34/AF32</f>
        <v>-7.6023581251402655E-2</v>
      </c>
      <c r="AH46" s="183">
        <f>AH34/AH32</f>
        <v>-0.12922623318306081</v>
      </c>
      <c r="AJ46" s="183">
        <f>AJ34/AJ32</f>
        <v>-0.19495577555873445</v>
      </c>
      <c r="AL46" s="183">
        <f>AL34/AL32</f>
        <v>-0.27982441130556229</v>
      </c>
      <c r="AN46" s="183">
        <f>AN34/AN32</f>
        <v>-0.43243653610407934</v>
      </c>
      <c r="AP46" s="183">
        <f>AP34/AP32</f>
        <v>-0.48990631161374848</v>
      </c>
      <c r="AR46" s="183">
        <f>AR34/AR32</f>
        <v>-0.5720173077866012</v>
      </c>
      <c r="AT46" s="183">
        <f>AT34/AT32</f>
        <v>-0.70482479006181575</v>
      </c>
      <c r="AV46" s="183">
        <f>AV34/AV32</f>
        <v>-0.98489381691101463</v>
      </c>
      <c r="XCS46" s="183"/>
    </row>
    <row r="48" spans="1:49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0.99127909585442475</v>
      </c>
      <c r="E49" s="181"/>
      <c r="F49" s="181">
        <f>F13/F35/$B$13*$B$35</f>
        <v>0.98192650689691896</v>
      </c>
      <c r="G49" s="181"/>
      <c r="H49" s="181">
        <f>H13/H35/$B$13*$B$35</f>
        <v>0.97189784531299428</v>
      </c>
      <c r="I49" s="181"/>
      <c r="J49" s="181">
        <f>J13/J35/$B$13*$B$35</f>
        <v>0.96115363423698053</v>
      </c>
      <c r="K49" s="181"/>
      <c r="L49" s="181">
        <f>L13/L35/$B$13*$B$35</f>
        <v>0.94966461909191213</v>
      </c>
      <c r="M49" s="181"/>
      <c r="N49" s="181">
        <f>N13/N35/$B$13*$B$35</f>
        <v>0.9374195541424758</v>
      </c>
      <c r="O49" s="181"/>
      <c r="P49" s="181">
        <f>P13/P35/$B$13*$B$35</f>
        <v>0.92443501558949848</v>
      </c>
      <c r="Q49" s="181"/>
      <c r="R49" s="181">
        <f>R13/R35/$B$13*$B$35</f>
        <v>0.91076858942205652</v>
      </c>
      <c r="S49" s="181"/>
      <c r="T49" s="181">
        <f>T13/T35/$B$13*$B$35</f>
        <v>0.89653279914785688</v>
      </c>
      <c r="U49" s="181"/>
      <c r="V49" s="181">
        <f>V13/V35/$B$13*$B$35</f>
        <v>0.8819077879380558</v>
      </c>
      <c r="W49" s="181"/>
      <c r="X49" s="181">
        <f>X13/X35/$B$13*$B$35</f>
        <v>0.86714628319290321</v>
      </c>
      <c r="Y49" s="181"/>
      <c r="Z49" s="181">
        <f>Z13/Z35/$B$13*$B$35</f>
        <v>0.85256565886072655</v>
      </c>
      <c r="AA49" s="181"/>
      <c r="AB49" s="181">
        <f>AB13/AB35/$B$13*$B$35</f>
        <v>0.83852198313953208</v>
      </c>
      <c r="AC49" s="181"/>
      <c r="AD49" s="181">
        <f>AD13/AD35/$B$13*$B$35</f>
        <v>0.82536320373326355</v>
      </c>
      <c r="AE49" s="181"/>
      <c r="AF49" s="181">
        <f>AF13/AF35/$B$13*$B$35</f>
        <v>0.8133534963364597</v>
      </c>
      <c r="AG49" s="181"/>
      <c r="AH49" s="181">
        <f>AH13/AH35/$B$13*$B$35</f>
        <v>0.80255678074089309</v>
      </c>
      <c r="AI49" s="181"/>
      <c r="AJ49" s="181">
        <f>AJ13/AJ35/$B$13*$B$35</f>
        <v>0.79269393201397631</v>
      </c>
      <c r="AK49" s="181"/>
      <c r="AL49" s="181">
        <f>AL13/AL35/$B$13*$B$35</f>
        <v>0.78305938338572778</v>
      </c>
      <c r="AM49" s="181"/>
      <c r="AN49" s="181">
        <f>AN13/AN35/$B$13*$B$35</f>
        <v>0.77238712652377317</v>
      </c>
      <c r="AO49" s="181"/>
      <c r="AP49" s="181">
        <f>AP13/AP35/$B$13*$B$35</f>
        <v>0.76991165768714231</v>
      </c>
      <c r="AQ49" s="181"/>
      <c r="AR49" s="181">
        <f>AR13/AR35/$B$13*$B$35</f>
        <v>0.76722702964842848</v>
      </c>
      <c r="AS49" s="181"/>
      <c r="AT49" s="181">
        <f>AT13/AT35/$B$13*$B$35</f>
        <v>0.76424539027260219</v>
      </c>
      <c r="AU49" s="181"/>
      <c r="AV49" s="181">
        <f>AV13/AV35/$B$13*$B$35</f>
        <v>0.7607867231885056</v>
      </c>
    </row>
    <row r="51" spans="1:48 16321:16384" x14ac:dyDescent="0.2">
      <c r="A51" t="s">
        <v>150</v>
      </c>
      <c r="B51" s="27">
        <f>B30-B10*B23</f>
        <v>-405838.32800000021</v>
      </c>
      <c r="D51" s="27">
        <f>D30-D10*D23</f>
        <v>-353446.57471299591</v>
      </c>
      <c r="F51" s="27">
        <f>F30-F10*F23</f>
        <v>-300641.70742501505</v>
      </c>
      <c r="H51" s="27">
        <f>H30-H10*H23</f>
        <v>-247554.62089463184</v>
      </c>
      <c r="J51" s="27">
        <f>J30-J10*J23</f>
        <v>-194392.58612719132</v>
      </c>
      <c r="L51" s="27">
        <f>L30-L10*L23</f>
        <v>-141467.27341785841</v>
      </c>
      <c r="N51" s="27">
        <f>N30-N10*N23</f>
        <v>-89228.007408355363</v>
      </c>
      <c r="P51" s="27">
        <f>P30-P10*P23</f>
        <v>-38291.422977495939</v>
      </c>
      <c r="R51" s="27">
        <f>R30-R10*R23</f>
        <v>10536.699978982098</v>
      </c>
      <c r="T51" s="27">
        <f>T30-T10*T23</f>
        <v>56280.417313537095</v>
      </c>
      <c r="V51" s="27">
        <f>V30-V10*V23</f>
        <v>97889.2353938343</v>
      </c>
      <c r="X51" s="27">
        <f>X30-X10*X23</f>
        <v>134484.18569190195</v>
      </c>
      <c r="Z51" s="27">
        <f>Z30-Z10*Z23</f>
        <v>165835.81006304733</v>
      </c>
      <c r="AB51" s="27">
        <f>AB30-AB10*AB23</f>
        <v>193183.78703913838</v>
      </c>
      <c r="AD51" s="27">
        <f>AD30-AD10*AD23</f>
        <v>220563.60863964958</v>
      </c>
      <c r="AF51" s="27">
        <f>AF30-AF10*AF23</f>
        <v>257104.83512167912</v>
      </c>
      <c r="AH51" s="27">
        <f>AH30-AH10*AH23</f>
        <v>322154.24863601383</v>
      </c>
      <c r="AJ51" s="27">
        <f>AJ30-AJ10*AJ23</f>
        <v>460227.9563318505</v>
      </c>
      <c r="AL51" s="27">
        <f>AL30-AL10*AL23</f>
        <v>778902.48861814616</v>
      </c>
      <c r="AN51" s="27">
        <f>AN30-AN10*AN23</f>
        <v>1539261.1194654186</v>
      </c>
      <c r="AP51" s="27">
        <f>AP30-AP10*AP23</f>
        <v>1806750.255241801</v>
      </c>
      <c r="AQ51" s="27"/>
      <c r="AR51" s="27">
        <f>AR30-AR10*AR23</f>
        <v>2151190.9999817358</v>
      </c>
      <c r="AT51" s="27">
        <f>AT30-AT10*AT23</f>
        <v>2615143.2751157265</v>
      </c>
      <c r="AV51" s="27">
        <f>AV30-AV10*AV23</f>
        <v>3278513.0131795332</v>
      </c>
      <c r="XFD51" s="27"/>
    </row>
    <row r="52" spans="1:48 16321:16384" x14ac:dyDescent="0.2">
      <c r="A52" t="s">
        <v>151</v>
      </c>
      <c r="B52" s="27">
        <f t="array" ref="B52">Calibration!sL*SUM(B13:C13*B26:C26)</f>
        <v>2073093.0976150823</v>
      </c>
      <c r="D52" s="27">
        <f t="array" ref="D52">Calibration!sL*SUM(D13:E13*D26:E26)</f>
        <v>2045177.0839436268</v>
      </c>
      <c r="F52" s="27">
        <f t="array" ref="F52">Calibration!sL*SUM(F13:G13*F26:G26)</f>
        <v>2014979.6535454087</v>
      </c>
      <c r="H52" s="27">
        <f t="array" ref="H52">Calibration!sL*SUM(H13:I13*H26:I26)</f>
        <v>1982107.5507341309</v>
      </c>
      <c r="J52" s="27">
        <f t="array" ref="J52">Calibration!sL*SUM(J13:K13*J26:K26)</f>
        <v>1946090.7045871366</v>
      </c>
      <c r="L52" s="27">
        <f t="array" ref="L52">Calibration!sL*SUM(L13:M13*L26:M26)</f>
        <v>1906369.8284699798</v>
      </c>
      <c r="N52" s="27">
        <f t="array" ref="N52">Calibration!sL*SUM(N13:O13*N26:O26)</f>
        <v>1862288.6326897584</v>
      </c>
      <c r="P52" s="27">
        <f t="array" ref="P52">Calibration!sL*SUM(P13:Q13*P26:Q26)</f>
        <v>1813103.6213770083</v>
      </c>
      <c r="R52" s="27">
        <f t="array" ref="R52">Calibration!sL*SUM(R13:S13*R26:S26)</f>
        <v>1758020.3486070922</v>
      </c>
      <c r="T52" s="27">
        <f t="array" ref="T52">Calibration!sL*SUM(T13:U13*T26:U26)</f>
        <v>1696285.9511839866</v>
      </c>
      <c r="V52" s="27">
        <f t="array" ref="V52">Calibration!sL*SUM(V13:W13*V26:W26)</f>
        <v>1627371.8916793945</v>
      </c>
      <c r="X52" s="27">
        <f t="array" ref="X52">Calibration!sL*SUM(X13:Y13*X26:Y26)</f>
        <v>1551285.4942047873</v>
      </c>
      <c r="Z52" s="27">
        <f t="array" ref="Z52">Calibration!sL*SUM(Z13:AA13*Z26:AA26)</f>
        <v>1469037.5472639033</v>
      </c>
      <c r="AB52" s="27">
        <f t="array" ref="AB52">Calibration!sL*SUM(AB13:AC13*AB26:AC26)</f>
        <v>1383252.1867685581</v>
      </c>
      <c r="AD52" s="27">
        <f t="array" ref="AD52">Calibration!sL*SUM(AD13:AE13*AD26:AE26)</f>
        <v>1298831.3117624829</v>
      </c>
      <c r="AF52" s="27">
        <f t="array" ref="AF52">Calibration!sL*SUM(AF13:AG13*AF26:AG26)</f>
        <v>1223520.4138063174</v>
      </c>
      <c r="AH52" s="27">
        <f t="array" ref="AH52">Calibration!sL*SUM(AH13:AI13*AH26:AI26)</f>
        <v>1168541.0713223971</v>
      </c>
      <c r="AJ52" s="27">
        <f t="array" ref="AJ52">Calibration!sL*SUM(AJ13:AK13*AJ26:AK26)</f>
        <v>1150902.922981926</v>
      </c>
      <c r="AL52" s="27">
        <f t="array" ref="AL52">Calibration!sL*SUM(AL13:AM13*AL26:AM26)</f>
        <v>1197140.8780314259</v>
      </c>
      <c r="AN52" s="27">
        <f t="array" ref="AN52">Calibration!sL*SUM(AN13:AO13*AN26:AO26)</f>
        <v>1335678.1539678301</v>
      </c>
      <c r="AP52" s="27">
        <f t="array" ref="AP52">Calibration!sL*SUM(AP13:AQ13*AP26:AQ26)</f>
        <v>1377110.1241857337</v>
      </c>
      <c r="AQ52" s="27"/>
      <c r="AR52" s="27">
        <f t="array" ref="AR52">Calibration!sL*SUM(AR13:AS13*AR26:AS26)</f>
        <v>1423481.7226794767</v>
      </c>
      <c r="AT52" s="27">
        <f t="array" ref="AT52">Calibration!sL*SUM(AT13:AU13*AT26:AU26)</f>
        <v>1472584.2478489038</v>
      </c>
      <c r="AV52" s="27">
        <f t="array" ref="AV52">Calibration!sL*SUM(AV13:AW13*AV26:AW26)</f>
        <v>1506882.4534859436</v>
      </c>
    </row>
    <row r="53" spans="1:48 16321:16384" x14ac:dyDescent="0.2">
      <c r="A53" t="s">
        <v>152</v>
      </c>
      <c r="B53" s="27">
        <f t="array" ref="B53">Calibration!sK*SUM(B15:C15*B27:C27)</f>
        <v>2716869.1663849424</v>
      </c>
      <c r="D53" s="27">
        <f t="array" ref="D53">Calibration!sK*SUM(D15:E15*D27:E27)</f>
        <v>2685708.3073764192</v>
      </c>
      <c r="F53" s="27">
        <f t="array" ref="F53">Calibration!sK*SUM(F15:G15*F27:G27)</f>
        <v>2652199.361894039</v>
      </c>
      <c r="H53" s="27">
        <f t="array" ref="H53">Calibration!sK*SUM(H15:I15*H27:I27)</f>
        <v>2615856.0631732908</v>
      </c>
      <c r="J53" s="27">
        <f t="array" ref="J53">Calibration!sK*SUM(J15:K15*J27:K27)</f>
        <v>2576079.2445870172</v>
      </c>
      <c r="L53" s="27">
        <f t="array" ref="L53">Calibration!sK*SUM(L15:M15*L27:M27)</f>
        <v>2532132.722401083</v>
      </c>
      <c r="N53" s="27">
        <f t="array" ref="N53">Calibration!sK*SUM(N15:O15*N27:O27)</f>
        <v>2483122.0015894277</v>
      </c>
      <c r="P53" s="27">
        <f t="array" ref="P53">Calibration!sK*SUM(P15:Q15*P27:Q27)</f>
        <v>2427990.8351948266</v>
      </c>
      <c r="R53" s="27">
        <f t="array" ref="R53">Calibration!sK*SUM(R15:S15*R27:S27)</f>
        <v>2365548.6154705938</v>
      </c>
      <c r="T53" s="27">
        <f t="array" ref="T53">Calibration!sK*SUM(T15:U15*T27:U27)</f>
        <v>2294568.680372525</v>
      </c>
      <c r="V53" s="27">
        <f t="array" ref="V53">Calibration!sK*SUM(V15:W15*V27:W27)</f>
        <v>2214005.7525968691</v>
      </c>
      <c r="X53" s="27">
        <f t="array" ref="X53">Calibration!sK*SUM(X15:Y15*X27:Y27)</f>
        <v>2123391.4403122594</v>
      </c>
      <c r="Z53" s="27">
        <f t="array" ref="Z53">Calibration!sK*SUM(Z15:AA15*Z27:AA27)</f>
        <v>2023449.0022520269</v>
      </c>
      <c r="AB53" s="27">
        <f t="array" ref="AB53">Calibration!sK*SUM(AB15:AC15*AB27:AC27)</f>
        <v>1916906.397704714</v>
      </c>
      <c r="AD53" s="27">
        <f t="array" ref="AD53">Calibration!sK*SUM(AD15:AE15*AD27:AE27)</f>
        <v>1809360.5629112837</v>
      </c>
      <c r="AF53" s="27">
        <f t="array" ref="AF53">Calibration!sK*SUM(AF15:AG15*AF27:AG27)</f>
        <v>1709888.0737646844</v>
      </c>
      <c r="AH53" s="27">
        <f t="array" ref="AH53">Calibration!sK*SUM(AH15:AI15*AH27:AI27)</f>
        <v>1631247.356067013</v>
      </c>
      <c r="AJ53" s="27">
        <f t="array" ref="AJ53">Calibration!sK*SUM(AJ15:AK15*AJ27:AK27)</f>
        <v>1590177.7931582013</v>
      </c>
      <c r="AL53" s="27">
        <f t="array" ref="AL53">Calibration!sK*SUM(AL15:AM15*AL27:AM27)</f>
        <v>1600532.7856651854</v>
      </c>
      <c r="AN53" s="27">
        <f t="array" ref="AN53">Calibration!sK*SUM(AN15:AO15*AN27:AO27)</f>
        <v>1611190.474907161</v>
      </c>
      <c r="AP53" s="27">
        <f t="array" ref="AP53">Calibration!sK*SUM(AP15:AQ15*AP27:AQ27)</f>
        <v>1589672.032594328</v>
      </c>
      <c r="AQ53" s="27"/>
      <c r="AR53" s="27">
        <f t="array" ref="AR53">Calibration!sK*SUM(AR15:AS15*AR27:AS27)</f>
        <v>1541825.3070672534</v>
      </c>
      <c r="AT53" s="27">
        <f t="array" ref="AT53">Calibration!sK*SUM(AT15:AU15*AT27:AU27)</f>
        <v>1440580.0214690643</v>
      </c>
      <c r="AV53" s="27">
        <f t="array" ref="AV53">Calibration!sK*SUM(AV15:AW15*AV27:AW27)</f>
        <v>1205300.220790734</v>
      </c>
      <c r="XFD53" s="27"/>
    </row>
    <row r="55" spans="1:48 16321:16384" x14ac:dyDescent="0.2">
      <c r="A55" t="s">
        <v>153</v>
      </c>
      <c r="B55" s="183">
        <f>B30/B32</f>
        <v>0.19850271905982084</v>
      </c>
      <c r="D55" s="183">
        <f>D30/D32</f>
        <v>0.20186065535887518</v>
      </c>
      <c r="F55" s="183">
        <f>F30/F32</f>
        <v>0.20528256970557915</v>
      </c>
      <c r="H55" s="183">
        <f>H30/H32</f>
        <v>0.20876773104444349</v>
      </c>
      <c r="J55" s="183">
        <f>J30/J32</f>
        <v>0.21231266235780105</v>
      </c>
      <c r="L55" s="183">
        <f>L30/L32</f>
        <v>0.21590985977336732</v>
      </c>
      <c r="N55" s="183">
        <f>N30/N32</f>
        <v>0.21954620328633123</v>
      </c>
      <c r="P55" s="183">
        <f>P30/P32</f>
        <v>0.22320156148138212</v>
      </c>
      <c r="R55" s="183">
        <f>R30/R32</f>
        <v>0.22684749949004748</v>
      </c>
      <c r="T55" s="183">
        <f>T30/T32</f>
        <v>0.23044795359423365</v>
      </c>
      <c r="V55" s="183">
        <f>V30/V32</f>
        <v>0.23396379627314864</v>
      </c>
      <c r="X55" s="183">
        <f>X30/X32</f>
        <v>0.23736665531998843</v>
      </c>
      <c r="Z55" s="183">
        <f>Z30/Z32</f>
        <v>0.2406703272514997</v>
      </c>
      <c r="AB55" s="183">
        <f>AB30/AB32</f>
        <v>0.24399585225661441</v>
      </c>
      <c r="AD55" s="183">
        <f>AD30/AD32</f>
        <v>0.2476989799596209</v>
      </c>
      <c r="AF55" s="183">
        <f>AF30/AF32</f>
        <v>0.25261535999365742</v>
      </c>
      <c r="AH55" s="183">
        <f>AH30/AH32</f>
        <v>0.26055580488194102</v>
      </c>
      <c r="AJ55" s="183">
        <f>AJ30/AJ32</f>
        <v>0.27539200194860314</v>
      </c>
      <c r="AL55" s="183">
        <f>AL30/AL32</f>
        <v>0.30457553230427681</v>
      </c>
      <c r="AN55" s="183">
        <f>AN30/AN32</f>
        <v>0.36135008672669383</v>
      </c>
      <c r="AP55" s="183">
        <f>AP30/AP32</f>
        <v>0.3793506213505855</v>
      </c>
      <c r="AR55" s="183">
        <f>AR30/AR32</f>
        <v>0.40200241849315832</v>
      </c>
      <c r="AT55" s="183">
        <f>AT30/AT32</f>
        <v>0.43262878183453296</v>
      </c>
      <c r="AV55" s="183">
        <f>AV30/AV32</f>
        <v>0.48066932103158777</v>
      </c>
      <c r="XCS55" s="183"/>
      <c r="XFD55" s="183"/>
    </row>
    <row r="56" spans="1:48 16321:16384" x14ac:dyDescent="0.2">
      <c r="A56" t="s">
        <v>154</v>
      </c>
      <c r="B56" s="183">
        <f>(Model!$C$52*B5*B20+B2*C5*C20)/B32</f>
        <v>2.9221206744340551E-2</v>
      </c>
      <c r="D56" s="183">
        <f>(Model!$C$52*D5*D20+D2*E5*E20)/D32</f>
        <v>3.3495966644953544E-2</v>
      </c>
      <c r="F56" s="183">
        <f>(Model!$C$52*F5*F20+F2*G5*G20)/F32</f>
        <v>3.7873276621775052E-2</v>
      </c>
      <c r="H56" s="183">
        <f>(Model!$C$52*H5*H20+H2*I5*I20)/H32</f>
        <v>4.2354778614468756E-2</v>
      </c>
      <c r="J56" s="183">
        <f>(Model!$C$52*J5*J20+J2*K5*K20)/J32</f>
        <v>4.6938931013427686E-2</v>
      </c>
      <c r="L56" s="183">
        <f>(Model!$C$52*L5*L20+L2*M5*M20)/L32</f>
        <v>5.1619381004851493E-2</v>
      </c>
      <c r="N56" s="183">
        <f>(Model!$C$52*N5*N20+N2*O5*O20)/N32</f>
        <v>5.6382853428857987E-2</v>
      </c>
      <c r="P56" s="183">
        <f>(Model!$C$52*P5*P20+P2*Q5*Q20)/P32</f>
        <v>6.1207220285420201E-2</v>
      </c>
      <c r="R56" s="183">
        <f>(Model!$C$52*R5*R20+R2*S5*S20)/R32</f>
        <v>6.6059490127524545E-2</v>
      </c>
      <c r="T56" s="183">
        <f>(Model!$C$52*T5*T20+T2*U5*U20)/T32</f>
        <v>7.089592065615026E-2</v>
      </c>
      <c r="V56" s="183">
        <f>(Model!$C$52*V5*V20+V2*W5*W20)/V32</f>
        <v>7.5666463322777489E-2</v>
      </c>
      <c r="X56" s="183">
        <f>(Model!$C$52*X5*X20+X2*Y5*Y20)/X32</f>
        <v>8.0329668084718614E-2</v>
      </c>
      <c r="Z56" s="183">
        <f>(Model!$C$52*Z5*Z20+Z2*AA5*AA20)/Z32</f>
        <v>8.4887481667797304E-2</v>
      </c>
      <c r="AB56" s="183">
        <f>(Model!$C$52*AB5*AB20+AB2*AC5*AC20)/AB32</f>
        <v>8.9457800124373488E-2</v>
      </c>
      <c r="AD56" s="183">
        <f>(Model!$C$52*AD5*AD20+AD2*AE5*AE20)/AD32</f>
        <v>9.4416724242836231E-2</v>
      </c>
      <c r="AF56" s="183">
        <f>(Model!$C$52*AF5*AF20+AF2*AG5*AG20)/AF32</f>
        <v>0.10067233859661932</v>
      </c>
      <c r="AH56" s="183">
        <f>(Model!$C$52*AH5*AH20+AH2*AI5*AI20)/AH32</f>
        <v>0.11021558977765369</v>
      </c>
      <c r="AJ56" s="183">
        <f>(Model!$C$52*AJ5*AJ20+AJ2*AK5*AK20)/AJ32</f>
        <v>0.12729754014877392</v>
      </c>
      <c r="AL56" s="183">
        <f>(Model!$C$52*AL5*AL20+AL2*AM5*AM20)/AL32</f>
        <v>0.1598663398780053</v>
      </c>
      <c r="AN56" s="183">
        <f>(Model!$C$52*AN5*AN20+AN2*AO5*AO20)/AN32</f>
        <v>0.22088522981218764</v>
      </c>
      <c r="AP56" s="183">
        <f>(Model!$C$52*AP5*AP20+AP2*AQ5*AQ20)/AP32</f>
        <v>0.23968318823162585</v>
      </c>
      <c r="AR56" s="183">
        <f>(Model!$C$52*AR5*AR20+AR2*AS5*AS20)/AR32</f>
        <v>0.26301478728772837</v>
      </c>
      <c r="AT56" s="183">
        <f>(Model!$C$52*AT5*AT20+AT2*AU5*AU20)/AT32</f>
        <v>0.29405186022930069</v>
      </c>
      <c r="AV56" s="183">
        <f>(Model!$C$52*AV5*AV20+AV2*AW5*AW20)/AV32</f>
        <v>0.34176876073759821</v>
      </c>
      <c r="XFD56" s="183"/>
    </row>
    <row r="57" spans="1:48 16321:16384" x14ac:dyDescent="0.2">
      <c r="A57" t="s">
        <v>155</v>
      </c>
      <c r="B57" s="183">
        <f t="array" ref="B57">SUM(Model!tauL*B13:C13*B26:C26)/B32</f>
        <v>0.15852881819439493</v>
      </c>
      <c r="D57" s="183">
        <f t="array" ref="D57">SUM(Model!tauL*D13:E13*D26:E26)/D32</f>
        <v>0.15768365334075896</v>
      </c>
      <c r="F57" s="183">
        <f t="array" ref="F57">SUM(Model!tauL*F13:G13*F26:G26)/F32</f>
        <v>0.15680084469499572</v>
      </c>
      <c r="H57" s="183">
        <f t="array" ref="H57">SUM(Model!tauL*H13:I13*H26:I26)/H32</f>
        <v>0.15587810928785209</v>
      </c>
      <c r="J57" s="183">
        <f t="array" ref="J57">SUM(Model!tauL*J13:K13*J26:K26)/J32</f>
        <v>0.1549135928099804</v>
      </c>
      <c r="L57" s="183">
        <f t="array" ref="L57">SUM(Model!tauL*L13:M13*L26:M26)/L32</f>
        <v>0.15390620396008411</v>
      </c>
      <c r="N57" s="183">
        <f t="array" ref="N57">SUM(Model!tauL*N13:O13*N26:O26)/N32</f>
        <v>0.15285611551244965</v>
      </c>
      <c r="P57" s="183">
        <f t="array" ref="P57">SUM(Model!tauL*P13:Q13*P26:Q26)/P32</f>
        <v>0.15176529900039926</v>
      </c>
      <c r="R57" s="183">
        <f t="array" ref="R57">SUM(Model!tauL*R13:S13*R26:S26)/R32</f>
        <v>0.15063824765553496</v>
      </c>
      <c r="T57" s="183">
        <f t="array" ref="T57">SUM(Model!tauL*T13:U13*T26:U26)/T32</f>
        <v>0.14948258945700521</v>
      </c>
      <c r="V57" s="183">
        <f t="array" ref="V57">SUM(Model!tauL*V13:W13*V26:W26)/V32</f>
        <v>0.14830935827372396</v>
      </c>
      <c r="X57" s="183">
        <f t="array" ref="X57">SUM(Model!tauL*X13:Y13*X26:Y26)/X32</f>
        <v>0.14713222843641624</v>
      </c>
      <c r="Y57" s="183"/>
      <c r="Z57" s="183">
        <f t="array" ref="Z57">SUM(Model!tauL*Z13:AA13*Z26:AA26)/Z32</f>
        <v>0.14596474755068156</v>
      </c>
      <c r="AB57" s="183">
        <f t="array" ref="AB57">SUM(Model!tauL*AB13:AC13*AB26:AC26)/AB32</f>
        <v>0.14481388273338822</v>
      </c>
      <c r="AD57" s="183">
        <f t="array" ref="AD57">SUM(Model!tauL*AD13:AE13*AD26:AE26)/AD32</f>
        <v>0.14366667521241822</v>
      </c>
      <c r="AF57" s="183">
        <f t="array" ref="AF57">SUM(Model!tauL*AF13:AG13*AF26:AG26)/AF32</f>
        <v>0.14246307171339487</v>
      </c>
      <c r="AH57" s="183">
        <f t="array" ref="AH57">SUM(Model!tauL*AH13:AI13*AH26:AI26)/AH32</f>
        <v>0.14104043103938971</v>
      </c>
      <c r="AJ57" s="183">
        <f t="array" ref="AJ57">SUM(Model!tauL*AJ13:AK13*AJ26:AK26)/AJ32</f>
        <v>0.13903990012324449</v>
      </c>
      <c r="AL57" s="183">
        <f t="array" ref="AL57">SUM(Model!tauL*AL13:AM13*AL26:AM26)/AL32</f>
        <v>0.13599333615176776</v>
      </c>
      <c r="AN57" s="183">
        <f t="array" ref="AN57">SUM(Model!tauL*AN13:AO13*AN26:AO26)/AN32</f>
        <v>0.13228888619157217</v>
      </c>
      <c r="AP57" s="183">
        <f t="array" ref="AP57">SUM(Model!tauL*AP13:AQ13*AP26:AQ26)/AP32</f>
        <v>0.13165846662988209</v>
      </c>
      <c r="AR57" s="183">
        <f t="array" ref="AR57">SUM(Model!tauL*AR13:AS13*AR26:AS26)/AR32</f>
        <v>0.13119011437071232</v>
      </c>
      <c r="AT57" s="183">
        <f t="array" ref="AT57">SUM(Model!tauL*AT13:AU13*AT26:AU26)/AT32</f>
        <v>0.1310695877443124</v>
      </c>
      <c r="AV57" s="183">
        <f t="array" ref="AV57">SUM(Model!tauL*AV13:AW13*AV26:AW26)/AV32</f>
        <v>0.1318632794576001</v>
      </c>
      <c r="XFD57" s="183"/>
    </row>
    <row r="58" spans="1:48 16321:16384" x14ac:dyDescent="0.2">
      <c r="A58" t="s">
        <v>156</v>
      </c>
      <c r="B58" s="183">
        <f t="array" ref="B58">SUM(Model!tauY/(1+Model!tauY)*B3:C3*B18:C18)/B32</f>
        <v>1.075269412108535E-2</v>
      </c>
      <c r="D58" s="183">
        <f t="array" ref="D58">SUM(Model!tauY/(1+Model!tauY)*D3:E3*D18:E18)/D32</f>
        <v>1.0681035373162687E-2</v>
      </c>
      <c r="F58" s="183">
        <f t="array" ref="F58">SUM(Model!tauY/(1+Model!tauY)*F3:G3*F18:G18)/F32</f>
        <v>1.06084483888084E-2</v>
      </c>
      <c r="H58" s="183">
        <f t="array" ref="H58">SUM(Model!tauY/(1+Model!tauY)*H3:I3*H18:I18)/H32</f>
        <v>1.0534843142122668E-2</v>
      </c>
      <c r="J58" s="183">
        <f t="array" ref="J58">SUM(Model!tauY/(1+Model!tauY)*J3:K3*J18:K18)/J32</f>
        <v>1.0460138534392982E-2</v>
      </c>
      <c r="L58" s="183">
        <f t="array" ref="L58">SUM(Model!tauY/(1+Model!tauY)*L3:M3*L18:M18)/L32</f>
        <v>1.0384274808431702E-2</v>
      </c>
      <c r="N58" s="183">
        <f t="array" ref="N58">SUM(Model!tauY/(1+Model!tauY)*N3:O3*N18:O18)/N32</f>
        <v>1.030723434502359E-2</v>
      </c>
      <c r="P58" s="183">
        <f t="array" ref="P58">SUM(Model!tauY/(1+Model!tauY)*P3:Q3*P18:Q18)/P32</f>
        <v>1.0229042195562683E-2</v>
      </c>
      <c r="R58" s="183">
        <f t="array" ref="R58">SUM(Model!tauY/(1+Model!tauY)*R3:S3*R18:S18)/R32</f>
        <v>1.0149761706987949E-2</v>
      </c>
      <c r="T58" s="183">
        <f t="array" ref="T58">SUM(Model!tauY/(1+Model!tauY)*T3:U3*T18:U18)/T32</f>
        <v>1.0069443481078194E-2</v>
      </c>
      <c r="V58" s="183">
        <f t="array" ref="V58">SUM(Model!tauY/(1+Model!tauY)*V3:W3*V18:W18)/V32</f>
        <v>9.9879746766472211E-3</v>
      </c>
      <c r="X58" s="183">
        <f t="array" ref="X58">SUM(Model!tauY/(1+Model!tauY)*X3:Y3*X18:Y18)/X32</f>
        <v>9.904758798853568E-3</v>
      </c>
      <c r="Y58" s="183"/>
      <c r="Z58" s="183">
        <f t="array" ref="Z58">SUM(Model!tauY/(1+Model!tauY)*Z3:AA3*Z18:AA18)/Z32</f>
        <v>9.8180980330208698E-3</v>
      </c>
      <c r="AB58" s="183">
        <f t="array" ref="AB58">SUM(Model!tauY/(1+Model!tauY)*AB3:AC3*AB18:AC18)/AB32</f>
        <v>9.7241693988527004E-3</v>
      </c>
      <c r="AD58" s="183">
        <f t="array" ref="AD58">SUM(Model!tauY/(1+Model!tauY)*AD3:AE3*AD18:AE18)/AD32</f>
        <v>9.6155805043664899E-3</v>
      </c>
      <c r="AF58" s="183">
        <f t="array" ref="AF58">SUM(Model!tauY/(1+Model!tauY)*AF3:AG3*AF18:AG18)/AF32</f>
        <v>9.4799496836432146E-3</v>
      </c>
      <c r="AH58" s="183">
        <f t="array" ref="AH58">SUM(Model!tauY/(1+Model!tauY)*AH3:AI3*AH18:AI18)/AH32</f>
        <v>9.2997840648975788E-3</v>
      </c>
      <c r="AJ58" s="183">
        <f t="array" ref="AJ58">SUM(Model!tauY/(1+Model!tauY)*AJ3:AK3*AJ18:AK18)/AJ32</f>
        <v>9.0545616765847301E-3</v>
      </c>
      <c r="AL58" s="183">
        <f t="array" ref="AL58">SUM(Model!tauY/(1+Model!tauY)*AL3:AM3*AL18:AM18)/AL32</f>
        <v>8.7158562745037367E-3</v>
      </c>
      <c r="AN58" s="183">
        <f t="array" ref="AN58">SUM(Model!tauY/(1+Model!tauY)*AN3:AO3*AN18:AO18)/AN32</f>
        <v>8.1759707229340436E-3</v>
      </c>
      <c r="AP58" s="183">
        <f t="array" ref="AP58">SUM(Model!tauY/(1+Model!tauY)*AP3:AQ3*AP18:AQ18)/AP32</f>
        <v>8.0089664890774914E-3</v>
      </c>
      <c r="AR58" s="183">
        <f t="array" ref="AR58">SUM(Model!tauY/(1+Model!tauY)*AR3:AS3*AR18:AS18)/AR32</f>
        <v>7.7975168347176119E-3</v>
      </c>
      <c r="AT58" s="183">
        <f t="array" ref="AT58">SUM(Model!tauY/(1+Model!tauY)*AT3:AU3*AT18:AU18)/AT32</f>
        <v>7.5073338609198065E-3</v>
      </c>
      <c r="AV58" s="183">
        <f t="array" ref="AV58">SUM(Model!tauY/(1+Model!tauY)*AV3:AW3*AV18:AW18)/AV32</f>
        <v>7.0372808363895574E-3</v>
      </c>
      <c r="XFD58" s="183"/>
    </row>
    <row r="59" spans="1:48 16321:16384" x14ac:dyDescent="0.2">
      <c r="A59" t="s">
        <v>157</v>
      </c>
      <c r="B59" s="183">
        <f>(B2*C5*C20)/B32</f>
        <v>5.5174232040962052E-4</v>
      </c>
      <c r="D59" s="183">
        <f>(D2*E5*E20)/D32</f>
        <v>4.8985760587031656E-3</v>
      </c>
      <c r="F59" s="183">
        <f>(F2*G5*G20)/F32</f>
        <v>9.3452715623273605E-3</v>
      </c>
      <c r="H59" s="183">
        <f>(H2*I5*I20)/H32</f>
        <v>1.3892192548053007E-2</v>
      </c>
      <c r="J59" s="183">
        <f>(J2*K5*K20)/J32</f>
        <v>1.8536012964603724E-2</v>
      </c>
      <c r="L59" s="183">
        <f>(L2*M5*M20)/L32</f>
        <v>2.3267880334163622E-2</v>
      </c>
      <c r="N59" s="183">
        <f>(N2*O5*O20)/N32</f>
        <v>2.8071006615243938E-2</v>
      </c>
      <c r="P59" s="183">
        <f>(P2*Q5*Q20)/P32</f>
        <v>3.2918376488861929E-2</v>
      </c>
      <c r="R59" s="183">
        <f>(R2*S5*S20)/R32</f>
        <v>3.7770235707238572E-2</v>
      </c>
      <c r="T59" s="183">
        <f>(T2*U5*U20)/T32</f>
        <v>4.2573624636605113E-2</v>
      </c>
      <c r="V59" s="183">
        <f>(V2*W5*W20)/V32</f>
        <v>4.7266205199588747E-2</v>
      </c>
      <c r="X59" s="183">
        <f>(X2*Y5*Y20)/X32</f>
        <v>5.1790715803029519E-2</v>
      </c>
      <c r="Z59" s="183">
        <f>(Z2*AA5*AA20)/Z32</f>
        <v>5.6129894695311724E-2</v>
      </c>
      <c r="AB59" s="183">
        <f>(AB2*AC5*AC20)/AB32</f>
        <v>6.0380619489681014E-2</v>
      </c>
      <c r="AD59" s="183">
        <f>(AD2*AE5*AE20)/AD32</f>
        <v>6.4900842723639302E-2</v>
      </c>
      <c r="AF59" s="183">
        <f>(AF2*AG5*AG20)/AF32</f>
        <v>7.0593202737212049E-2</v>
      </c>
      <c r="AH59" s="183">
        <f>(AH2*AI5*AI20)/AH32</f>
        <v>7.9471642826688046E-2</v>
      </c>
      <c r="AJ59" s="183">
        <f>(AJ2*AK5*AK20)/AJ32</f>
        <v>9.585787852454708E-2</v>
      </c>
      <c r="AL59" s="183">
        <f>(AL2*AM5*AM20)/AL32</f>
        <v>0.12778837623796183</v>
      </c>
      <c r="AN59" s="183">
        <f>(AN2*AO5*AO20)/AN32</f>
        <v>0.18786263395502512</v>
      </c>
      <c r="AP59" s="183">
        <f>(AP2*AQ5*AQ20)/AP32</f>
        <v>0.20624373219102554</v>
      </c>
      <c r="AR59" s="183">
        <f>(AR2*AS5*AS20)/AR32</f>
        <v>0.22891225319291722</v>
      </c>
      <c r="AT59" s="183">
        <f>(AT2*AU5*AU20)/AT32</f>
        <v>0.25873577132964293</v>
      </c>
      <c r="AV59" s="183">
        <f>(AV2*AW5*AW20)/AV32</f>
        <v>0.3034776986343018</v>
      </c>
      <c r="XFD59" s="183"/>
    </row>
    <row r="60" spans="1:48 16321:16384" x14ac:dyDescent="0.2">
      <c r="A60" t="s">
        <v>158</v>
      </c>
      <c r="B60" s="183">
        <f>Model!$C$52*B5*B20/B32</f>
        <v>2.8669464423930927E-2</v>
      </c>
      <c r="D60" s="183">
        <f>Model!$C$52*D5*D20/D32</f>
        <v>2.8597390586250378E-2</v>
      </c>
      <c r="F60" s="183">
        <f>Model!$C$52*F5*F20/F32</f>
        <v>2.8528005059447692E-2</v>
      </c>
      <c r="H60" s="183">
        <f>Model!$C$52*H5*H20/H32</f>
        <v>2.8462586066415746E-2</v>
      </c>
      <c r="J60" s="183">
        <f>Model!$C$52*J5*J20/J32</f>
        <v>2.8402918048823965E-2</v>
      </c>
      <c r="L60" s="183">
        <f>Model!$C$52*L5*L20/L32</f>
        <v>2.8351500670687868E-2</v>
      </c>
      <c r="N60" s="183">
        <f>Model!$C$52*N5*N20/N32</f>
        <v>2.8311846813614049E-2</v>
      </c>
      <c r="P60" s="183">
        <f>Model!$C$52*P5*P20/P32</f>
        <v>2.8288843796558272E-2</v>
      </c>
      <c r="R60" s="183">
        <f>Model!$C$52*R5*R20/R32</f>
        <v>2.8289254420285976E-2</v>
      </c>
      <c r="T60" s="183">
        <f>Model!$C$52*T5*T20/T32</f>
        <v>2.832229601954514E-2</v>
      </c>
      <c r="V60" s="183">
        <f>Model!$C$52*V5*V20/V32</f>
        <v>2.8400258123188728E-2</v>
      </c>
      <c r="X60" s="183">
        <f>Model!$C$52*X5*X20/X32</f>
        <v>2.8538952281689102E-2</v>
      </c>
      <c r="Z60" s="183">
        <f>Model!$C$52*Z5*Z20/Z32</f>
        <v>2.8757586972485587E-2</v>
      </c>
      <c r="AB60" s="183">
        <f>Model!$C$52*AB5*AB20/AB32</f>
        <v>2.9077180634692477E-2</v>
      </c>
      <c r="AD60" s="183">
        <f>Model!$C$52*AD5*AD20/AD32</f>
        <v>2.9515881519196926E-2</v>
      </c>
      <c r="AF60" s="183">
        <f>Model!$C$52*AF5*AF20/AF32</f>
        <v>3.0079135859407281E-2</v>
      </c>
      <c r="AH60" s="183">
        <f>Model!$C$52*AH5*AH20/AH32</f>
        <v>3.0743946950965637E-2</v>
      </c>
      <c r="AJ60" s="183">
        <f>Model!$C$52*AJ5*AJ20/AJ32</f>
        <v>3.1439661624226851E-2</v>
      </c>
      <c r="AL60" s="183">
        <f>Model!$C$52*AL5*AL20/AL32</f>
        <v>3.2077963640043478E-2</v>
      </c>
      <c r="AN60" s="183">
        <f>Model!$C$52*AN5*AN20/AN32</f>
        <v>3.3022595857162509E-2</v>
      </c>
      <c r="AP60" s="183">
        <f>Model!$C$52*AP5*AP20/AP32</f>
        <v>3.3439456040600314E-2</v>
      </c>
      <c r="AR60" s="183">
        <f>Model!$C$52*AR5*AR20/AR32</f>
        <v>3.4102534094811114E-2</v>
      </c>
      <c r="AT60" s="183">
        <f>Model!$C$52*AT5*AT20/AT32</f>
        <v>3.5316088899657753E-2</v>
      </c>
      <c r="AV60" s="183">
        <f>Model!$C$52*AV5*AV20/AV32</f>
        <v>3.8291062103296351E-2</v>
      </c>
      <c r="XFD60" s="183"/>
    </row>
    <row r="62" spans="1:48 16321:16384" x14ac:dyDescent="0.2">
      <c r="A62" t="s">
        <v>159</v>
      </c>
      <c r="B62">
        <f>B13/B15</f>
        <v>1</v>
      </c>
      <c r="D62">
        <f>D13/D15</f>
        <v>0.99494578822382485</v>
      </c>
      <c r="F62">
        <f>F13/F15</f>
        <v>0.98949488891360105</v>
      </c>
      <c r="H62">
        <f>H13/H15</f>
        <v>0.98361190287459255</v>
      </c>
      <c r="J62">
        <f>J13/J15</f>
        <v>0.9772609815425678</v>
      </c>
      <c r="L62">
        <f>L13/L15</f>
        <v>0.97040778697266117</v>
      </c>
      <c r="N62">
        <f>N13/N15</f>
        <v>0.96302268345443109</v>
      </c>
      <c r="P62">
        <f>P13/P15</f>
        <v>0.95508535177215459</v>
      </c>
      <c r="R62">
        <f>R13/R15</f>
        <v>0.94659200941367694</v>
      </c>
      <c r="T62">
        <f>T13/T15</f>
        <v>0.93756553311073809</v>
      </c>
      <c r="V62">
        <f>V13/V15</f>
        <v>0.92807040665551666</v>
      </c>
      <c r="X62">
        <f>X13/X15</f>
        <v>0.91823526677672318</v>
      </c>
      <c r="Z62">
        <f>Z13/Z15</f>
        <v>0.90829203873108932</v>
      </c>
      <c r="AB62">
        <f>AB13/AB15</f>
        <v>0.89865138887585139</v>
      </c>
      <c r="AD62">
        <f>AD13/AD15</f>
        <v>0.89005518189959021</v>
      </c>
      <c r="AF62">
        <f>AF13/AF15</f>
        <v>0.88389067179281899</v>
      </c>
      <c r="AH62">
        <f>AH13/AH15</f>
        <v>0.88294246649777119</v>
      </c>
      <c r="AJ62">
        <f>AJ13/AJ15</f>
        <v>0.89379722539798323</v>
      </c>
      <c r="AL62">
        <f>AL13/AL15</f>
        <v>0.93551437923292946</v>
      </c>
      <c r="AN62">
        <f>AN13/AN15</f>
        <v>1.0833286872318939</v>
      </c>
      <c r="AP62">
        <f>AP13/AP15</f>
        <v>1.1535938210651318</v>
      </c>
      <c r="AR62">
        <f>AR13/AR15</f>
        <v>1.2634564284288718</v>
      </c>
      <c r="AT62">
        <f>AT13/AT15</f>
        <v>1.4613026342883866</v>
      </c>
      <c r="AV62">
        <f>AV13/AV15</f>
        <v>1.9483025478667175</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0.99770726497119699</v>
      </c>
      <c r="E65" s="181"/>
      <c r="F65" s="181">
        <f t="array" ref="F65">SQRT((F9:G9*$B$22:$C$22+F10:G10*$B$23:$C$23+F11:G11*$B$24:$C$24+F4:G4*($B$25:$C$25-$B$19:$C$19))/($B$9:$C$9*$B$22:$C$22+$B$10:$C$10*$B$23:$C$23+$B$11:$C$11*$B$24:$C$24+$B$4:$C$4*($B$25:$C$25-$B$19:$C$19))*(F9:G9*F22:G22+F10:G10*F23:G23+F11:G11*F24:G24+F4:G4*(F25:G25-F19:G19))/($B$9:$C$9*F22:G22+$B$10:$C$10*F23:G23+$B$11:$C$11*F24:G24+$B$4:$C$4*(F25:G25-F19:G19)))</f>
        <v>0.99566067045107221</v>
      </c>
      <c r="G65" s="181"/>
      <c r="H65" s="181">
        <f t="array" ref="H65">SQRT((H9:I9*$B$22:$C$22+H10:I10*$B$23:$C$23+H11:I11*$B$24:$C$24+H4:I4*($B$25:$C$25-$B$19:$C$19))/($B$9:$C$9*$B$22:$C$22+$B$10:$C$10*$B$23:$C$23+$B$11:$C$11*$B$24:$C$24+$B$4:$C$4*($B$25:$C$25-$B$19:$C$19))*(H9:I9*H22:I22+H10:I10*H23:I23+H11:I11*H24:I24+H4:I4*(H25:I25-H19:I19))/($B$9:$C$9*H22:I22+$B$10:$C$10*H23:I23+$B$11:$C$11*H24:I24+$B$4:$C$4*(H25:I25-H19:I19)))</f>
        <v>0.99394083624937202</v>
      </c>
      <c r="I65" s="181"/>
      <c r="J65" s="181">
        <f t="array" ref="J65">SQRT((J9:K9*$B$22:$C$22+J10:K10*$B$23:$C$23+J11:K11*$B$24:$C$24+J4:K4*($B$25:$C$25-$B$19:$C$19))/($B$9:$C$9*$B$22:$C$22+$B$10:$C$10*$B$23:$C$23+$B$11:$C$11*$B$24:$C$24+$B$4:$C$4*($B$25:$C$25-$B$19:$C$19))*(J9:K9*J22:K22+J10:K10*J23:K23+J11:K11*J24:K24+J4:K4*(J25:K25-J19:K19))/($B$9:$C$9*J22:K22+$B$10:$C$10*J23:K23+$B$11:$C$11*J24:K24+$B$4:$C$4*(J25:K25-J19:K19)))</f>
        <v>0.99265970635205003</v>
      </c>
      <c r="K65" s="181"/>
      <c r="L65" s="181">
        <f t="array" ref="L65">SQRT((L9:M9*$B$22:$C$22+L10:M10*$B$23:$C$23+L11:M11*$B$24:$C$24+L4:M4*($B$25:$C$25-$B$19:$C$19))/($B$9:$C$9*$B$22:$C$22+$B$10:$C$10*$B$23:$C$23+$B$11:$C$11*$B$24:$C$24+$B$4:$C$4*($B$25:$C$25-$B$19:$C$19))*(L9:M9*L22:M22+L10:M10*L23:M23+L11:M11*L24:M24+L4:M4*(L25:M25-L19:M19))/($B$9:$C$9*L22:M22+$B$10:$C$10*L23:M23+$B$11:$C$11*L24:M24+$B$4:$C$4*(L25:M25-L19:M19)))</f>
        <v>0.99197481823371447</v>
      </c>
      <c r="M65" s="181"/>
      <c r="N65" s="181">
        <f t="array" ref="N65">SQRT((N9:O9*$B$22:$C$22+N10:O10*$B$23:$C$23+N11:O11*$B$24:$C$24+N4:O4*($B$25:$C$25-$B$19:$C$19))/($B$9:$C$9*$B$22:$C$22+$B$10:$C$10*$B$23:$C$23+$B$11:$C$11*$B$24:$C$24+$B$4:$C$4*($B$25:$C$25-$B$19:$C$19))*(N9:O9*N22:O22+N10:O10*N23:O23+N11:O11*N24:O24+N4:O4*(N25:O25-N19:O19))/($B$9:$C$9*N22:O22+$B$10:$C$10*N23:O23+$B$11:$C$11*N24:O24+$B$4:$C$4*(N25:O25-N19:O19)))</f>
        <v>0.99211090555571058</v>
      </c>
      <c r="O65" s="181"/>
      <c r="P65" s="181">
        <f t="array" ref="P65">SQRT((P9:Q9*$B$22:$C$22+P10:Q10*$B$23:$C$23+P11:Q11*$B$24:$C$24+P4:Q4*($B$25:$C$25-$B$19:$C$19))/($B$9:$C$9*$B$22:$C$22+$B$10:$C$10*$B$23:$C$23+$B$11:$C$11*$B$24:$C$24+$B$4:$C$4*($B$25:$C$25-$B$19:$C$19))*(P9:Q9*P22:Q22+P10:Q10*P23:Q23+P11:Q11*P24:Q24+P4:Q4*(P25:Q25-P19:Q19))/($B$9:$C$9*P22:Q22+$B$10:$C$10*P23:Q23+$B$11:$C$11*P24:Q24+$B$4:$C$4*(P25:Q25-P19:Q19)))</f>
        <v>0.99339040380435062</v>
      </c>
      <c r="Q65" s="181"/>
      <c r="R65" s="181">
        <f t="array" ref="R65">SQRT((R9:S9*$B$22:$C$22+R10:S10*$B$23:$C$23+R11:S11*$B$24:$C$24+R4:S4*($B$25:$C$25-$B$19:$C$19))/($B$9:$C$9*$B$22:$C$22+$B$10:$C$10*$B$23:$C$23+$B$11:$C$11*$B$24:$C$24+$B$4:$C$4*($B$25:$C$25-$B$19:$C$19))*(R9:S9*R22:S22+R10:S10*R23:S23+R11:S11*R24:S24+R4:S4*(R25:S25-R19:S19))/($B$9:$C$9*R22:S22+$B$10:$C$10*R23:S23+$B$11:$C$11*R24:S24+$B$4:$C$4*(R25:S25-R19:S19)))</f>
        <v>0.99628167593476114</v>
      </c>
      <c r="S65" s="181"/>
      <c r="T65" s="181">
        <f t="array" ref="T65">SQRT((T9:U9*$B$22:$C$22+T10:U10*$B$23:$C$23+T11:U11*$B$24:$C$24+T4:U4*($B$25:$C$25-$B$19:$C$19))/($B$9:$C$9*$B$22:$C$22+$B$10:$C$10*$B$23:$C$23+$B$11:$C$11*$B$24:$C$24+$B$4:$C$4*($B$25:$C$25-$B$19:$C$19))*(T9:U9*T22:U22+T10:U10*T23:U23+T11:U11*T24:U24+T4:U4*(T25:U25-T19:U19))/($B$9:$C$9*T22:U22+$B$10:$C$10*T23:U23+$B$11:$C$11*T24:U24+$B$4:$C$4*(T25:U25-T19:U19)))</f>
        <v>1.0014722326959649</v>
      </c>
      <c r="U65" s="181"/>
      <c r="V65" s="181">
        <f t="array" ref="V65">SQRT((V9:W9*$B$22:$C$22+V10:W10*$B$23:$C$23+V11:W11*$B$24:$C$24+V4:W4*($B$25:$C$25-$B$19:$C$19))/($B$9:$C$9*$B$22:$C$22+$B$10:$C$10*$B$23:$C$23+$B$11:$C$11*$B$24:$C$24+$B$4:$C$4*($B$25:$C$25-$B$19:$C$19))*(V9:W9*V22:W22+V10:W10*V23:W23+V11:W11*V24:W24+V4:W4*(V25:W25-V19:W19))/($B$9:$C$9*V22:W22+$B$10:$C$10*V23:W23+$B$11:$C$11*V24:W24+$B$4:$C$4*(V25:W25-V19:W19)))</f>
        <v>1.0099858318296646</v>
      </c>
      <c r="W65" s="181"/>
      <c r="X65" s="181">
        <f t="array" ref="X65">SQRT((X9:Y9*$B$22:$C$22+X10:Y10*$B$23:$C$23+X11:Y11*$B$24:$C$24+X4:Y4*($B$25:$C$25-$B$19:$C$19))/($B$9:$C$9*$B$22:$C$22+$B$10:$C$10*$B$23:$C$23+$B$11:$C$11*$B$24:$C$24+$B$4:$C$4*($B$25:$C$25-$B$19:$C$19))*(X9:Y9*X22:Y22+X10:Y10*X23:Y23+X11:Y11*X24:Y24+X4:Y4*(X25:Y25-X19:Y19))/($B$9:$C$9*X22:Y22+$B$10:$C$10*X23:Y23+$B$11:$C$11*X24:Y24+$B$4:$C$4*(X25:Y25-X19:Y19)))</f>
        <v>1.0233749801580432</v>
      </c>
      <c r="Y65" s="181"/>
      <c r="Z65" s="181">
        <f t="array" ref="Z65">SQRT((Z9:AA9*$B$22:$C$22+Z10:AA10*$B$23:$C$23+Z11:AA11*$B$24:$C$24+Z4:AA4*($B$25:$C$25-$B$19:$C$19))/($B$9:$C$9*$B$22:$C$22+$B$10:$C$10*$B$23:$C$23+$B$11:$C$11*$B$24:$C$24+$B$4:$C$4*($B$25:$C$25-$B$19:$C$19))*(Z9:AA9*Z22:AA22+Z10:AA10*Z23:AA23+Z11:AA11*Z24:AA24+Z4:AA4*(Z25:AA25-Z19:AA19))/($B$9:$C$9*Z22:AA22+$B$10:$C$10*Z23:AA23+$B$11:$C$11*Z24:AA24+$B$4:$C$4*(Z25:AA25-Z19:AA19)))</f>
        <v>1.0440552942396601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1.0759189693652986</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1.1255480813677199</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1.2049618793475798</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1.3393807840961183</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1.5952337705783621</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2.2170546098201567</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7.7341516635357115</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#NUM!</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0.99747784836292197</v>
      </c>
      <c r="E66" s="181"/>
      <c r="F66" s="181">
        <f t="array" ref="F66">SQRT((F9:G9*$B$22:$C$22)/($B$9:$C$9*$B$22:$C$22)*(F9:G9*F22:G22)/($B$9:$C$9*F22:G22))</f>
        <v>0.9952224705139634</v>
      </c>
      <c r="G66" s="181"/>
      <c r="H66" s="181">
        <f t="array" ref="H66">SQRT((H9:I9*$B$22:$C$22)/($B$9:$C$9*$B$22:$C$22)*(H9:I9*H22:I22)/($B$9:$C$9*H22:I22))</f>
        <v>0.99332434221086541</v>
      </c>
      <c r="I66" s="181"/>
      <c r="J66" s="181">
        <f t="array" ref="J66">SQRT((J9:K9*$B$22:$C$22)/($B$9:$C$9*$B$22:$C$22)*(J9:K9*J22:K22)/($B$9:$C$9*J22:K22))</f>
        <v>0.9919088484830384</v>
      </c>
      <c r="K66" s="181"/>
      <c r="L66" s="181">
        <f t="array" ref="L66">SQRT((L9:M9*$B$22:$C$22)/($B$9:$C$9*$B$22:$C$22)*(L9:M9*L22:M22)/($B$9:$C$9*L22:M22))</f>
        <v>0.99115187859207898</v>
      </c>
      <c r="M66" s="181"/>
      <c r="N66" s="181">
        <f t="array" ref="N66">SQRT((N9:O9*$B$22:$C$22)/($B$9:$C$9*$B$22:$C$22)*(N9:O9*N22:O22)/($B$9:$C$9*N22:O22))</f>
        <v>0.99130313606065634</v>
      </c>
      <c r="O66" s="181"/>
      <c r="P66" s="181">
        <f t="array" ref="P66">SQRT((P9:Q9*$B$22:$C$22)/($B$9:$C$9*$B$22:$C$22)*(P9:Q9*P22:Q22)/($B$9:$C$9*P22:Q22))</f>
        <v>0.99271837415877118</v>
      </c>
      <c r="Q66" s="181"/>
      <c r="R66" s="181">
        <f t="array" ref="R66">SQRT((R9:S9*$B$22:$C$22)/($B$9:$C$9*$B$22:$C$22)*(R9:S9*R22:S22)/($B$9:$C$9*R22:S22))</f>
        <v>0.99590917801208367</v>
      </c>
      <c r="S66" s="181"/>
      <c r="T66" s="181">
        <f t="array" ref="T66">SQRT((T9:U9*$B$22:$C$22)/($B$9:$C$9*$B$22:$C$22)*(T9:U9*T22:U22)/($B$9:$C$9*T22:U22))</f>
        <v>1.0016159202795289</v>
      </c>
      <c r="U66" s="181"/>
      <c r="V66" s="181">
        <f t="array" ref="V66">SQRT((V9:W9*$B$22:$C$22)/($B$9:$C$9*$B$22:$C$22)*(V9:W9*V22:W22)/($B$9:$C$9*V22:W22))</f>
        <v>1.0109196101392244</v>
      </c>
      <c r="W66" s="181"/>
      <c r="X66" s="181">
        <f t="array" ref="X66">SQRT((X9:Y9*$B$22:$C$22)/($B$9:$C$9*$B$22:$C$22)*(X9:Y9*X22:Y22)/($B$9:$C$9*X22:Y22))</f>
        <v>1.0254163706720478</v>
      </c>
      <c r="Y66" s="181"/>
      <c r="Z66" s="181">
        <f t="array" ref="Z66">SQRT((Z9:AA9*$B$22:$C$22)/($B$9:$C$9*$B$22:$C$22)*(Z9:AA9*Z22:AA22)/($B$9:$C$9*Z22:AA22))</f>
        <v>1.0475033396403233</v>
      </c>
      <c r="AA66" s="181"/>
      <c r="AB66" s="181">
        <f t="array" ref="AB66">SQRT((AB9:AC9*$B$22:$C$22)/($B$9:$C$9*$B$22:$C$22)*(AB9:AC9*AB22:AC22)/($B$9:$C$9*AB22:AC22))</f>
        <v>1.0808700483056435</v>
      </c>
      <c r="AC66" s="181"/>
      <c r="AD66" s="181">
        <f t="array" ref="AD66">SQRT((AD9:AE9*$B$22:$C$22)/($B$9:$C$9*$B$22:$C$22)*(AD9:AE9*AD22:AE22)/($B$9:$C$9*AD22:AE22))</f>
        <v>1.131402165023526</v>
      </c>
      <c r="AE66" s="181"/>
      <c r="AF66" s="181">
        <f t="array" ref="AF66">SQRT((AF9:AG9*$B$22:$C$22)/($B$9:$C$9*$B$22:$C$22)*(AF9:AG9*AF22:AG22)/($B$9:$C$9*AF22:AG22))</f>
        <v>1.2090802997834835</v>
      </c>
      <c r="AG66" s="181"/>
      <c r="AH66" s="181">
        <f t="array" ref="AH66">SQRT((AH9:AI9*$B$22:$C$22)/($B$9:$C$9*$B$22:$C$22)*(AH9:AI9*AH22:AI22)/($B$9:$C$9*AH22:AI22))</f>
        <v>1.3329135685497289</v>
      </c>
      <c r="AI66" s="181"/>
      <c r="AJ66" s="181">
        <f t="array" ref="AJ66">SQRT((AJ9:AK9*$B$22:$C$22)/($B$9:$C$9*$B$22:$C$22)*(AJ9:AK9*AJ22:AK22)/($B$9:$C$9*AJ22:AK22))</f>
        <v>1.5457970609198266</v>
      </c>
      <c r="AK66" s="181"/>
      <c r="AL66" s="181">
        <f t="array" ref="AL66">SQRT((AL9:AM9*$B$22:$C$22)/($B$9:$C$9*$B$22:$C$22)*(AL9:AM9*AL22:AM22)/($B$9:$C$9*AL22:AM22))</f>
        <v>1.9561347802889884</v>
      </c>
      <c r="AM66" s="181"/>
      <c r="AN66" s="181">
        <f t="array" ref="AN66">SQRT((AN9:AO9*$B$22:$C$22)/($B$9:$C$9*$B$22:$C$22)*(AN9:AO9*AN22:AO22)/($B$9:$C$9*AN22:AO22))</f>
        <v>2.8965077688352379</v>
      </c>
      <c r="AO66" s="181"/>
      <c r="AP66" s="181">
        <f t="array" ref="AP66">SQRT((AP9:AQ9*$B$22:$C$22)/($B$9:$C$9*$B$22:$C$22)*(AP9:AQ9*AP22:AQ22)/($B$9:$C$9*AP22:AQ22))</f>
        <v>3.248065462959346</v>
      </c>
      <c r="AQ66" s="181"/>
      <c r="AR66" s="181">
        <f t="array" ref="AR66">SQRT((AR9:AS9*$B$22:$C$22)/($B$9:$C$9*$B$22:$C$22)*(AR9:AS9*AR22:AS22)/($B$9:$C$9*AR22:AS22))</f>
        <v>3.7292603546980505</v>
      </c>
      <c r="AS66" s="181"/>
      <c r="AT66" s="181">
        <f t="array" ref="AT66">SQRT((AT9:AU9*$B$22:$C$22)/($B$9:$C$9*$B$22:$C$22)*(AT9:AU9*AT22:AU22)/($B$9:$C$9*AT22:AU22))</f>
        <v>4.4501526706519732</v>
      </c>
      <c r="AU66" s="181"/>
      <c r="AV66" s="181">
        <f t="array" ref="AV66">SQRT((AV9:AW9*$B$22:$C$22)/($B$9:$C$9*$B$22:$C$22)*(AV9:AW9*AV22:AW22)/($B$9:$C$9*AV22:AW22))</f>
        <v>5.7501470685776948</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0.99747784836292197</v>
      </c>
      <c r="E68" s="181"/>
      <c r="F68" s="181">
        <f>F66/F67</f>
        <v>0.9952224705139634</v>
      </c>
      <c r="G68" s="181"/>
      <c r="H68" s="181">
        <f>H66/H67</f>
        <v>0.99332434221086541</v>
      </c>
      <c r="I68" s="181"/>
      <c r="J68" s="181">
        <f>J66/J67</f>
        <v>0.9919088484830384</v>
      </c>
      <c r="K68" s="181"/>
      <c r="L68" s="181">
        <f>L66/L67</f>
        <v>0.99115187859207898</v>
      </c>
      <c r="M68" s="181"/>
      <c r="N68" s="181">
        <f>N66/N67</f>
        <v>0.99130313606065634</v>
      </c>
      <c r="O68" s="181"/>
      <c r="P68" s="181">
        <f>P66/P67</f>
        <v>0.99271837415877118</v>
      </c>
      <c r="Q68" s="181"/>
      <c r="R68" s="181">
        <f>R66/R67</f>
        <v>0.99590917801208367</v>
      </c>
      <c r="S68" s="181"/>
      <c r="T68" s="181">
        <f>T66/T67</f>
        <v>1.0016159202795289</v>
      </c>
      <c r="U68" s="181"/>
      <c r="V68" s="181">
        <f>V66/V67</f>
        <v>1.0109196101392244</v>
      </c>
      <c r="W68" s="181"/>
      <c r="X68" s="181">
        <f>X66/X67</f>
        <v>1.0254163706720478</v>
      </c>
      <c r="Y68" s="181"/>
      <c r="Z68" s="181">
        <f>Z66/Z67</f>
        <v>1.0475033396403233</v>
      </c>
      <c r="AA68" s="181"/>
      <c r="AB68" s="181">
        <f>AB66/AB67</f>
        <v>1.0808700483056435</v>
      </c>
      <c r="AC68" s="181"/>
      <c r="AD68" s="181">
        <f>AD66/AD67</f>
        <v>1.131402165023526</v>
      </c>
      <c r="AE68" s="181"/>
      <c r="AF68" s="181">
        <f>AF66/AF67</f>
        <v>1.2090802997834835</v>
      </c>
      <c r="AG68" s="181"/>
      <c r="AH68" s="181">
        <f>AH66/AH67</f>
        <v>1.3329135685497289</v>
      </c>
      <c r="AI68" s="181"/>
      <c r="AJ68" s="181">
        <f>AJ66/AJ67</f>
        <v>1.5457970609198266</v>
      </c>
      <c r="AK68" s="181"/>
      <c r="AL68" s="181">
        <f>AL66/AL67</f>
        <v>1.9561347802889884</v>
      </c>
      <c r="AM68" s="181"/>
      <c r="AN68" s="181">
        <f>AN66/AN67</f>
        <v>2.8965077688352379</v>
      </c>
      <c r="AO68" s="181"/>
      <c r="AP68" s="181">
        <f>AP66/AP67</f>
        <v>3.248065462959346</v>
      </c>
      <c r="AQ68" s="181"/>
      <c r="AR68" s="181">
        <f>AR66/AR67</f>
        <v>3.7292603546980505</v>
      </c>
      <c r="AS68" s="181"/>
      <c r="AT68" s="181">
        <f>AT66/AT67</f>
        <v>4.4501526706519732</v>
      </c>
      <c r="AU68" s="181"/>
      <c r="AV68" s="181">
        <f>AV66/AV67</f>
        <v>5.7501470685776948</v>
      </c>
      <c r="XFD68" s="181"/>
    </row>
    <row r="69" spans="1:48 16384:16384" x14ac:dyDescent="0.2">
      <c r="A69" t="s">
        <v>161</v>
      </c>
      <c r="B69" s="181">
        <f>B32/B65/($B$32)</f>
        <v>1</v>
      </c>
      <c r="C69" s="181"/>
      <c r="D69" s="181">
        <f>D32/D65/($B$32)</f>
        <v>0.9941010354387666</v>
      </c>
      <c r="E69" s="181"/>
      <c r="F69" s="181">
        <f>F32/F65/($B$32)</f>
        <v>0.98696177144406239</v>
      </c>
      <c r="G69" s="181"/>
      <c r="H69" s="181">
        <f>H32/H65/($B$32)</f>
        <v>0.9782975567480241</v>
      </c>
      <c r="I69" s="181"/>
      <c r="J69" s="181">
        <f>J32/J65/($B$32)</f>
        <v>0.96774865135966359</v>
      </c>
      <c r="K69" s="181"/>
      <c r="L69" s="181">
        <f>L32/L65/($B$32)</f>
        <v>0.95486021440541891</v>
      </c>
      <c r="M69" s="181"/>
      <c r="N69" s="181">
        <f>N32/N65/($B$32)</f>
        <v>0.93906005318660213</v>
      </c>
      <c r="O69" s="181"/>
      <c r="P69" s="181">
        <f>P32/P65/($B$32)</f>
        <v>0.91964369876851559</v>
      </c>
      <c r="Q69" s="181"/>
      <c r="R69" s="181">
        <f>R32/R65/($B$32)</f>
        <v>0.89576876835672425</v>
      </c>
      <c r="S69" s="181"/>
      <c r="T69" s="181">
        <f>T32/T65/($B$32)</f>
        <v>0.86648082602708409</v>
      </c>
      <c r="U69" s="181"/>
      <c r="V69" s="181">
        <f>V32/V65/($B$32)</f>
        <v>0.83079216020063318</v>
      </c>
      <c r="W69" s="181"/>
      <c r="X69" s="181">
        <f>X32/X65/($B$32)</f>
        <v>0.78784093105184705</v>
      </c>
      <c r="Y69" s="181"/>
      <c r="Z69" s="181">
        <f>Z32/Z65/($B$32)</f>
        <v>0.73714144909837687</v>
      </c>
      <c r="AA69" s="181"/>
      <c r="AB69" s="181">
        <f>AB32/AB65/($B$32)</f>
        <v>0.67889251323499755</v>
      </c>
      <c r="AC69" s="181"/>
      <c r="AD69" s="181">
        <f>AD32/AD65/($B$32)</f>
        <v>0.61421734020271745</v>
      </c>
      <c r="AE69" s="181"/>
      <c r="AF69" s="181">
        <f>AF32/AF65/($B$32)</f>
        <v>0.54503579380076594</v>
      </c>
      <c r="AG69" s="181"/>
      <c r="AH69" s="181">
        <f>AH32/AH65/($B$32)</f>
        <v>0.47302675678241862</v>
      </c>
      <c r="AI69" s="181"/>
      <c r="AJ69" s="181">
        <f>AJ32/AJ65/($B$32)</f>
        <v>0.39679329730577856</v>
      </c>
      <c r="AK69" s="181"/>
      <c r="AL69" s="181">
        <f>AL32/AL65/($B$32)</f>
        <v>0.30362718872317701</v>
      </c>
      <c r="AM69" s="181"/>
      <c r="AN69" s="181">
        <f>AN32/AN65/($B$32)</f>
        <v>9.9828649313968468E-2</v>
      </c>
      <c r="AO69" s="181"/>
      <c r="AP69" s="181" t="e">
        <f>AP32/AP65/($B$32)</f>
        <v>#NUM!</v>
      </c>
      <c r="AQ69" s="181"/>
      <c r="AR69" s="181" t="e">
        <f>AR32/AR65/($B$32)</f>
        <v>#NUM!</v>
      </c>
      <c r="AS69" s="181"/>
      <c r="AT69" s="181" t="e">
        <f>AT32/AT65/($B$32)</f>
        <v>#NUM!</v>
      </c>
      <c r="AU69" s="181"/>
      <c r="AV69" s="181" t="e">
        <f>AV32/AV65/($B$32)</f>
        <v>#NUM!</v>
      </c>
    </row>
    <row r="70" spans="1:48 16384:16384" x14ac:dyDescent="0.2">
      <c r="A70" t="s">
        <v>162</v>
      </c>
      <c r="B70" s="129">
        <f>B18/$B$18</f>
        <v>1</v>
      </c>
      <c r="C70" s="129"/>
      <c r="D70" s="129">
        <f>D18/$B$18</f>
        <v>0.99283380377144259</v>
      </c>
      <c r="E70" s="129"/>
      <c r="F70" s="129">
        <f>F18/$B$18</f>
        <v>0.98441382392059906</v>
      </c>
      <c r="G70" s="129"/>
      <c r="H70" s="129">
        <f>H18/$B$18</f>
        <v>0.97445918234071349</v>
      </c>
      <c r="I70" s="129"/>
      <c r="J70" s="129">
        <f>J18/$B$18</f>
        <v>0.96261613822363146</v>
      </c>
      <c r="K70" s="129"/>
      <c r="L70" s="129">
        <f>L18/$B$18</f>
        <v>0.94843888560759426</v>
      </c>
      <c r="M70" s="129"/>
      <c r="N70" s="129">
        <f>N18/$B$18</f>
        <v>0.93136853295814703</v>
      </c>
      <c r="O70" s="129"/>
      <c r="P70" s="129">
        <f>P18/$B$18</f>
        <v>0.91071929024542675</v>
      </c>
      <c r="Q70" s="129"/>
      <c r="R70" s="129">
        <f>R18/$B$18</f>
        <v>0.88567445577064474</v>
      </c>
      <c r="S70" s="129"/>
      <c r="T70" s="129">
        <f>T18/$B$18</f>
        <v>0.85531363592750698</v>
      </c>
      <c r="U70" s="129"/>
      <c r="V70" s="129">
        <f>V18/$B$18</f>
        <v>0.81869233261990548</v>
      </c>
      <c r="W70" s="129"/>
      <c r="X70" s="129">
        <f>X18/$B$18</f>
        <v>0.77500012536435792</v>
      </c>
      <c r="Y70" s="129"/>
      <c r="Z70" s="129">
        <f>Z18/$B$18</f>
        <v>0.72380698623488027</v>
      </c>
      <c r="AA70" s="129"/>
      <c r="AB70" s="129">
        <f>AB18/$B$18</f>
        <v>0.66536394566856205</v>
      </c>
      <c r="AC70" s="129"/>
      <c r="AD70" s="129">
        <f>AD18/$B$18</f>
        <v>0.60083482794135967</v>
      </c>
      <c r="AE70" s="129"/>
      <c r="AF70" s="129">
        <f>AF18/$B$18</f>
        <v>0.53218091734994055</v>
      </c>
      <c r="AG70" s="129"/>
      <c r="AH70" s="129">
        <f>AH18/$B$18</f>
        <v>0.46126726911681365</v>
      </c>
      <c r="AI70" s="129"/>
      <c r="AJ70" s="129">
        <f>AJ18/$B$18</f>
        <v>0.38795662519561863</v>
      </c>
      <c r="AK70" s="129"/>
      <c r="AL70" s="129">
        <f>AL18/$B$18</f>
        <v>0.30777291638249432</v>
      </c>
      <c r="AM70" s="129"/>
      <c r="AN70" s="129">
        <f>AN18/$B$18</f>
        <v>0.20736899164947062</v>
      </c>
      <c r="AO70" s="129"/>
      <c r="AP70" s="129">
        <f>AP18/$B$18</f>
        <v>0.18183692205336141</v>
      </c>
      <c r="AQ70" s="129"/>
      <c r="AR70" s="129">
        <f>AR18/$B$18</f>
        <v>0.15289263561277791</v>
      </c>
      <c r="AS70" s="129"/>
      <c r="AT70" s="129">
        <f>AT18/$B$18</f>
        <v>0.11885439153644023</v>
      </c>
      <c r="AU70" s="129"/>
      <c r="AV70" s="129">
        <f>AV18/$B$18</f>
        <v>7.5864786492645511E-2</v>
      </c>
    </row>
    <row r="71" spans="1:48 16384:16384" x14ac:dyDescent="0.2">
      <c r="A71" t="s">
        <v>163</v>
      </c>
      <c r="B71" s="129">
        <f>C18/$C$18</f>
        <v>1</v>
      </c>
      <c r="D71" s="129">
        <f>E18/$C$18</f>
        <v>0.93054161596602991</v>
      </c>
      <c r="E71" s="129"/>
      <c r="F71" s="129">
        <f>G18/$C$18</f>
        <v>0.86133278631079779</v>
      </c>
      <c r="G71" s="129"/>
      <c r="H71" s="129">
        <f>I18/$C$18</f>
        <v>0.79248432125981894</v>
      </c>
      <c r="I71" s="129"/>
      <c r="J71" s="129">
        <f>K18/$C$18</f>
        <v>0.72413920919132446</v>
      </c>
      <c r="K71" s="129"/>
      <c r="L71" s="129">
        <f>M18/$C$18</f>
        <v>0.65648227876321275</v>
      </c>
      <c r="M71" s="129"/>
      <c r="N71" s="129">
        <f>O18/$C$18</f>
        <v>0.58975262164703801</v>
      </c>
      <c r="O71" s="129"/>
      <c r="P71" s="129">
        <f>Q18/$C$18</f>
        <v>0.52424671222130437</v>
      </c>
      <c r="Q71" s="129"/>
      <c r="R71" s="129">
        <f>S18/$C$18</f>
        <v>0.46031870497343985</v>
      </c>
      <c r="S71" s="129"/>
      <c r="T71" s="129">
        <f>U18/$C$18</f>
        <v>0.39836494702111608</v>
      </c>
      <c r="U71" s="129"/>
      <c r="V71" s="129">
        <f>W18/$C$18</f>
        <v>0.33878223511658218</v>
      </c>
      <c r="W71" s="129"/>
      <c r="X71" s="129">
        <f>Y18/$C$18</f>
        <v>0.28190149474251969</v>
      </c>
      <c r="Y71" s="129"/>
      <c r="Z71" s="129">
        <f>AA18/$C$18</f>
        <v>0.22790367146847904</v>
      </c>
      <c r="AA71" s="129"/>
      <c r="AB71" s="129">
        <f>AC18/$C$18</f>
        <v>0.17677490312897801</v>
      </c>
      <c r="AC71" s="129"/>
      <c r="AD71" s="129">
        <f>AE18/$C$18</f>
        <v>0.12842594946459468</v>
      </c>
      <c r="AE71" s="129"/>
      <c r="AF71" s="129">
        <f>AG18/$C$18</f>
        <v>8.3228087186380986E-2</v>
      </c>
      <c r="AG71" s="129"/>
      <c r="AH71" s="129">
        <f>AI18/$C$18</f>
        <v>4.3299885270642102E-2</v>
      </c>
      <c r="AI71" s="129"/>
      <c r="AJ71" s="129">
        <f>AK18/$C$18</f>
        <v>1.4176688740922835E-2</v>
      </c>
      <c r="AK71" s="129"/>
      <c r="AL71" s="129">
        <f>AM18/$C$18</f>
        <v>1.7114982166418784E-3</v>
      </c>
      <c r="AM71" s="129"/>
      <c r="AN71" s="129">
        <f>AO18/$C$18</f>
        <v>2.5167226379231541E-5</v>
      </c>
      <c r="AO71" s="129"/>
      <c r="AP71" s="129">
        <f>AQ18/$C$18</f>
        <v>6.4296501021685639E-6</v>
      </c>
      <c r="AQ71" s="129"/>
      <c r="AR71" s="129">
        <f>AS18/$C$18</f>
        <v>1.1400772675348447E-6</v>
      </c>
      <c r="AS71" s="129"/>
      <c r="AT71" s="129">
        <f>AU18/$C$18</f>
        <v>1.06785851600785E-7</v>
      </c>
      <c r="AU71" s="129"/>
      <c r="AV71" s="129">
        <f>AW18/$C$18</f>
        <v>2.2884872514686135E-9</v>
      </c>
      <c r="XFD71" s="129"/>
    </row>
    <row r="72" spans="1:48 16384:16384" x14ac:dyDescent="0.2">
      <c r="A72" t="s">
        <v>164</v>
      </c>
      <c r="B72" s="129">
        <f>C19/$C$19</f>
        <v>1</v>
      </c>
      <c r="D72" s="129">
        <f>E19/$C$19</f>
        <v>1.0224845594994887</v>
      </c>
      <c r="E72" s="129"/>
      <c r="F72" s="129">
        <f>G19/$C$19</f>
        <v>1.0475232433760009</v>
      </c>
      <c r="G72" s="129"/>
      <c r="H72" s="129">
        <f>I19/$C$19</f>
        <v>1.0750489898801991</v>
      </c>
      <c r="I72" s="129"/>
      <c r="J72" s="129">
        <f>K19/$C$19</f>
        <v>1.1048462930304794</v>
      </c>
      <c r="K72" s="129"/>
      <c r="L72" s="129">
        <f>M19/$C$19</f>
        <v>1.1364822199018514</v>
      </c>
      <c r="M72" s="129"/>
      <c r="N72" s="129">
        <f>O19/$C$19</f>
        <v>1.1692218222413451</v>
      </c>
      <c r="O72" s="129"/>
      <c r="P72" s="129">
        <f>Q19/$C$19</f>
        <v>1.2019443590508359</v>
      </c>
      <c r="Q72" s="129"/>
      <c r="R72" s="129">
        <f>S19/$C$19</f>
        <v>1.2330786232142681</v>
      </c>
      <c r="S72" s="129"/>
      <c r="T72" s="129">
        <f>U19/$C$19</f>
        <v>1.260623380265895</v>
      </c>
      <c r="U72" s="129"/>
      <c r="V72" s="129">
        <f>W19/$C$19</f>
        <v>1.2823240068215886</v>
      </c>
      <c r="W72" s="129"/>
      <c r="X72" s="129">
        <f>Y19/$C$19</f>
        <v>1.2961075240022286</v>
      </c>
      <c r="Y72" s="129"/>
      <c r="Z72" s="129">
        <f>AA19/$C$19</f>
        <v>1.3007886215523861</v>
      </c>
      <c r="AA72" s="129"/>
      <c r="AB72" s="129">
        <f>AC19/$C$19</f>
        <v>1.296840245006345</v>
      </c>
      <c r="AC72" s="129"/>
      <c r="AD72" s="129">
        <f>AE19/$C$19</f>
        <v>1.28644148660193</v>
      </c>
      <c r="AE72" s="129"/>
      <c r="AF72" s="129">
        <f>AG19/$C$19</f>
        <v>1.2707001314173672</v>
      </c>
      <c r="AG72" s="129"/>
      <c r="AH72" s="129">
        <f>AI19/$C$19</f>
        <v>1.2391279108403777</v>
      </c>
      <c r="AI72" s="129"/>
      <c r="AJ72" s="129">
        <f>AK19/$C$19</f>
        <v>1.1438991627521562</v>
      </c>
      <c r="AK72" s="129"/>
      <c r="AL72" s="129">
        <f>AM19/$C$19</f>
        <v>0.88837778789654576</v>
      </c>
      <c r="AM72" s="129"/>
      <c r="AN72" s="129">
        <f>AO19/$C$19</f>
        <v>0.46724440206239981</v>
      </c>
      <c r="AO72" s="129"/>
      <c r="AP72" s="129">
        <f>AQ19/$C$19</f>
        <v>0.37461217792538914</v>
      </c>
      <c r="AQ72" s="129"/>
      <c r="AR72" s="129">
        <f>AS19/$C$19</f>
        <v>0.28125825076742372</v>
      </c>
      <c r="AS72" s="129"/>
      <c r="AT72" s="129">
        <f>AU19/$C$19</f>
        <v>0.18758433437479052</v>
      </c>
      <c r="AU72" s="129"/>
      <c r="AV72" s="129">
        <f>AW19/$C$19</f>
        <v>9.3802801684872802E-2</v>
      </c>
      <c r="XFD72" s="129"/>
    </row>
    <row r="73" spans="1:48 16384:16384" x14ac:dyDescent="0.2">
      <c r="A73" t="s">
        <v>168</v>
      </c>
      <c r="B73" s="183">
        <f t="array" ref="B73">SUM(B9:C9*B22:C22)/B32</f>
        <v>0.47641153352875065</v>
      </c>
      <c r="D73" s="183">
        <f t="array" ref="D73">SUM(D9:E9*D22:E22)/D32</f>
        <v>0.4744155701903498</v>
      </c>
      <c r="E73" s="129"/>
      <c r="F73" s="183">
        <f t="array" ref="F73">SUM(F9:G9*F22:G22)/F32</f>
        <v>0.47238157653669827</v>
      </c>
      <c r="G73" s="129"/>
      <c r="H73" s="183">
        <f t="array" ref="H73">SUM(H9:I9*H22:I22)/H32</f>
        <v>0.47030998989717426</v>
      </c>
      <c r="I73" s="129"/>
      <c r="J73" s="183">
        <f t="array" ref="J73">SUM(J9:K9*J22:K22)/J32</f>
        <v>0.46820288284533623</v>
      </c>
      <c r="K73" s="129"/>
      <c r="L73" s="183">
        <f t="array" ref="L73">SUM(L9:M9*L22:M22)/L32</f>
        <v>0.46606469702552311</v>
      </c>
      <c r="M73" s="129"/>
      <c r="N73" s="183">
        <f t="array" ref="N73">SUM(N9:O9*N22:O22)/N32</f>
        <v>0.46390325147842298</v>
      </c>
      <c r="O73" s="129"/>
      <c r="P73" s="183">
        <f t="array" ref="P73">SUM(P9:Q9*P22:Q22)/P32</f>
        <v>0.46173050495818091</v>
      </c>
      <c r="Q73" s="129"/>
      <c r="R73" s="183">
        <f t="array" ref="R73">SUM(R9:S9*R22:S22)/R32</f>
        <v>0.4595633552235856</v>
      </c>
      <c r="S73" s="129"/>
      <c r="T73" s="183">
        <f t="array" ref="T73">SUM(T9:U9*T22:U22)/T32</f>
        <v>0.45742322819447928</v>
      </c>
      <c r="U73" s="129"/>
      <c r="V73" s="183">
        <f t="array" ref="V73">SUM(V9:W9*V22:W22)/V32</f>
        <v>0.45533340251957183</v>
      </c>
      <c r="W73" s="129"/>
      <c r="X73" s="183">
        <f t="array" ref="X73">SUM(X9:Y9*X22:Y22)/X32</f>
        <v>0.45331073899455071</v>
      </c>
      <c r="Y73" s="129"/>
      <c r="Z73" s="183">
        <f t="array" ref="Z73">SUM(Z9:AA9*Z22:AA22)/Z32</f>
        <v>0.45134703018935435</v>
      </c>
      <c r="AA73" s="129"/>
      <c r="AB73" s="183">
        <f t="array" ref="AB73">SUM(AB9:AC9*AB22:AC22)/AB32</f>
        <v>0.44937036420468957</v>
      </c>
      <c r="AC73" s="129"/>
      <c r="AD73" s="183">
        <f t="array" ref="AD73">SUM(AD9:AE9*AD22:AE22)/AD32</f>
        <v>0.44716920532718368</v>
      </c>
      <c r="AE73" s="129"/>
      <c r="AF73" s="183">
        <f t="array" ref="AF73">SUM(AF9:AG9*AF22:AG22)/AF32</f>
        <v>0.44424689216692076</v>
      </c>
      <c r="AG73" s="129"/>
      <c r="AH73" s="183">
        <f t="array" ref="AH73">SUM(AH9:AI9*AH22:AI22)/AH32</f>
        <v>0.43952706051641854</v>
      </c>
      <c r="AI73" s="129"/>
      <c r="AJ73" s="183">
        <f t="array" ref="AJ73">SUM(AJ9:AK9*AJ22:AK22)/AJ32</f>
        <v>0.43070839612665446</v>
      </c>
      <c r="AK73" s="129"/>
      <c r="AL73" s="183">
        <f t="array" ref="AL73">SUM(AL9:AM9*AL22:AM22)/AL32</f>
        <v>0.41336164832216987</v>
      </c>
      <c r="AM73" s="129"/>
      <c r="AN73" s="183">
        <f t="array" ref="AN73">SUM(AN9:AO9*AN22:AO22)/AN32</f>
        <v>0.37961474332615786</v>
      </c>
      <c r="AO73" s="129"/>
      <c r="AP73" s="183">
        <f t="array" ref="AP73">SUM(AP9:AQ9*AP22:AQ22)/AP32</f>
        <v>0.36891519072671025</v>
      </c>
      <c r="AQ73" s="129"/>
      <c r="AR73" s="183">
        <f t="array" ref="AR73">SUM(AR9:AS9*AR22:AS22)/AR32</f>
        <v>0.35545091871066636</v>
      </c>
      <c r="AS73" s="129"/>
      <c r="AT73" s="183">
        <f t="array" ref="AT73">SUM(AT9:AU9*AT22:AU22)/AT32</f>
        <v>0.3372465507752116</v>
      </c>
      <c r="AU73" s="129"/>
      <c r="AV73" s="183">
        <f t="array" ref="AV73">SUM(AV9:AW9*AV22:AW22)/AV32</f>
        <v>0.3086911597657373</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0.22604620456442481</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0.22604620456442487</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0.22604620456442487</v>
      </c>
      <c r="AM74" s="129"/>
      <c r="AN74" s="183">
        <f t="array" ref="AN74">SUM(AN10:AO10*AN23:AO23)/AN32</f>
        <v>0.22604620456442484</v>
      </c>
      <c r="AO74" s="129"/>
      <c r="AP74" s="183">
        <f t="array" ref="AP74">SUM(AP10:AQ10*AP23:AQ23)/AP32</f>
        <v>0.22604620456442484</v>
      </c>
      <c r="AQ74" s="129"/>
      <c r="AR74" s="183">
        <f t="array" ref="AR74">SUM(AR10:AS10*AR23:AS23)/AR32</f>
        <v>0.22604620456442487</v>
      </c>
      <c r="AS74" s="129"/>
      <c r="AT74" s="183">
        <f t="array" ref="AT74">SUM(AT10:AU10*AT23:AU23)/AT32</f>
        <v>0.22604620456442487</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0.22164116568805825</v>
      </c>
      <c r="E75" s="129"/>
      <c r="F75" s="183">
        <f t="array" ref="F75">SUM(F11:G11*F24:G24)/F32</f>
        <v>0.22319749497347016</v>
      </c>
      <c r="G75" s="129"/>
      <c r="H75" s="183">
        <f t="array" ref="H75">SUM(H11:I11*H24:I24)/H32</f>
        <v>0.22513364456483423</v>
      </c>
      <c r="I75" s="129"/>
      <c r="J75" s="183">
        <f t="array" ref="J75">SUM(J11:K11*J24:K24)/J32</f>
        <v>0.22755669773981346</v>
      </c>
      <c r="K75" s="129"/>
      <c r="L75" s="183">
        <f t="array" ref="L75">SUM(L11:M11*L24:M24)/L32</f>
        <v>0.23061130280011186</v>
      </c>
      <c r="M75" s="129"/>
      <c r="N75" s="183">
        <f t="array" ref="N75">SUM(N11:O11*N24:O24)/N32</f>
        <v>0.23449507006079928</v>
      </c>
      <c r="O75" s="129"/>
      <c r="P75" s="183">
        <f t="array" ref="P75">SUM(P11:Q11*P24:Q24)/P32</f>
        <v>0.23947893989596145</v>
      </c>
      <c r="Q75" s="129"/>
      <c r="R75" s="183">
        <f t="array" ref="R75">SUM(R11:S11*R24:S24)/R32</f>
        <v>0.24593622483917491</v>
      </c>
      <c r="S75" s="129"/>
      <c r="T75" s="183">
        <f t="array" ref="T75">SUM(T11:U11*T24:U24)/T32</f>
        <v>0.25438071063945744</v>
      </c>
      <c r="U75" s="129"/>
      <c r="V75" s="183">
        <f t="array" ref="V75">SUM(V11:W11*V24:W24)/V32</f>
        <v>0.26551543742560968</v>
      </c>
      <c r="W75" s="129"/>
      <c r="X75" s="183">
        <f t="array" ref="X75">SUM(X11:Y11*X24:Y24)/X32</f>
        <v>0.28029008679956302</v>
      </c>
      <c r="Y75" s="129"/>
      <c r="Z75" s="183">
        <f t="array" ref="Z75">SUM(Z11:AA11*Z24:AA24)/Z32</f>
        <v>0.29995900947957305</v>
      </c>
      <c r="AA75" s="129"/>
      <c r="AB75" s="183">
        <f t="array" ref="AB75">SUM(AB11:AC11*AB24:AC24)/AB32</f>
        <v>0.32611721515365483</v>
      </c>
      <c r="AC75" s="129"/>
      <c r="AD75" s="183">
        <f t="array" ref="AD75">SUM(AD11:AE11*AD24:AE24)/AD32</f>
        <v>0.36067140114557356</v>
      </c>
      <c r="AE75" s="129"/>
      <c r="AF75" s="183">
        <f t="array" ref="AF75">SUM(AF11:AG11*AF24:AG24)/AF32</f>
        <v>0.40573048452005722</v>
      </c>
      <c r="AG75" s="129"/>
      <c r="AH75" s="183">
        <f t="array" ref="AH75">SUM(AH11:AI11*AH24:AI24)/AH32</f>
        <v>0.46365296810221784</v>
      </c>
      <c r="AI75" s="129"/>
      <c r="AJ75" s="183">
        <f t="array" ref="AJ75">SUM(AJ11:AK11*AJ24:AK24)/AJ32</f>
        <v>0.53820117486765529</v>
      </c>
      <c r="AK75" s="129"/>
      <c r="AL75" s="183">
        <f t="array" ref="AL75">SUM(AL11:AM11*AL24:AM24)/AL32</f>
        <v>0.64041655841896827</v>
      </c>
      <c r="AM75" s="129"/>
      <c r="AN75" s="183">
        <f t="array" ref="AN75">SUM(AN11:AO11*AN24:AO24)/AN32</f>
        <v>0.82677558821349717</v>
      </c>
      <c r="AO75" s="129"/>
      <c r="AP75" s="183">
        <f t="array" ref="AP75">SUM(AP11:AQ11*AP24:AQ24)/AP32</f>
        <v>0.89494491632261397</v>
      </c>
      <c r="AQ75" s="129"/>
      <c r="AR75" s="183">
        <f t="array" ref="AR75">SUM(AR11:AS11*AR24:AS24)/AR32</f>
        <v>0.99052018451151058</v>
      </c>
      <c r="AS75" s="129"/>
      <c r="AT75" s="183">
        <f t="array" ref="AT75">SUM(AT11:AU11*AT24:AU24)/AT32</f>
        <v>1.1415320347221796</v>
      </c>
      <c r="AU75" s="129"/>
      <c r="AV75" s="183">
        <f t="array" ref="AV75">SUM(AV11:AW11*AV24:AW24)/AV32</f>
        <v>1.4501564525808528</v>
      </c>
      <c r="XFD75" s="183"/>
    </row>
    <row r="76" spans="1:48 16384:16384" x14ac:dyDescent="0.2">
      <c r="A76" t="s">
        <v>171</v>
      </c>
      <c r="B76" s="183">
        <f t="array" ref="B76">SUM(B12:C12*B25:C25)/B32</f>
        <v>0.22301874374724867</v>
      </c>
      <c r="D76" s="183">
        <f t="array" ref="D76">SUM(D12:E12*D25:E25)/D32</f>
        <v>0.22366536316045313</v>
      </c>
      <c r="E76" s="129"/>
      <c r="F76" s="183">
        <f t="array" ref="F76">SUM(F12:G12*F25:G25)/F32</f>
        <v>0.22417213762706165</v>
      </c>
      <c r="G76" s="129"/>
      <c r="H76" s="183">
        <f t="array" ref="H76">SUM(H12:I12*H25:I25)/H32</f>
        <v>0.2244820111683466</v>
      </c>
      <c r="I76" s="129"/>
      <c r="J76" s="183">
        <f t="array" ref="J76">SUM(J12:K12*J25:K25)/J32</f>
        <v>0.22451572082578511</v>
      </c>
      <c r="K76" s="129"/>
      <c r="L76" s="183">
        <f t="array" ref="L76">SUM(L12:M12*L25:M25)/L32</f>
        <v>0.2241626086133775</v>
      </c>
      <c r="M76" s="129"/>
      <c r="N76" s="183">
        <f t="array" ref="N76">SUM(N12:O12*N25:O25)/N32</f>
        <v>0.22326770584980538</v>
      </c>
      <c r="O76" s="129"/>
      <c r="P76" s="183">
        <f t="array" ref="P76">SUM(P12:Q12*P25:Q25)/P32</f>
        <v>0.22161548084499336</v>
      </c>
      <c r="Q76" s="129"/>
      <c r="R76" s="183">
        <f t="array" ref="R76">SUM(R12:S12*R25:S25)/R32</f>
        <v>0.21890794845556974</v>
      </c>
      <c r="S76" s="129"/>
      <c r="T76" s="183">
        <f t="array" ref="T76">SUM(T12:U12*T25:U25)/T32</f>
        <v>0.21473932453330194</v>
      </c>
      <c r="U76" s="129"/>
      <c r="V76" s="183">
        <f t="array" ref="V76">SUM(V12:W12*V25:W25)/V32</f>
        <v>0.2085695272823582</v>
      </c>
      <c r="W76" s="129"/>
      <c r="X76" s="183">
        <f t="array" ref="X76">SUM(X12:Y12*X25:Y25)/X32</f>
        <v>0.19970595560441221</v>
      </c>
      <c r="Y76" s="129"/>
      <c r="Z76" s="183">
        <f t="array" ref="Z76">SUM(Z12:AA12*Z25:AA25)/Z32</f>
        <v>0.18731173139307983</v>
      </c>
      <c r="AA76" s="129"/>
      <c r="AB76" s="183">
        <f t="array" ref="AB76">SUM(AB12:AC12*AB25:AC25)/AB32</f>
        <v>0.17047835068604514</v>
      </c>
      <c r="AC76" s="129"/>
      <c r="AD76" s="183">
        <f t="array" ref="AD76">SUM(AD12:AE12*AD25:AE25)/AD32</f>
        <v>0.14842594708177648</v>
      </c>
      <c r="AE76" s="129"/>
      <c r="AF76" s="183">
        <f t="array" ref="AF76">SUM(AF12:AG12*AF25:AG25)/AF32</f>
        <v>0.12088890140897068</v>
      </c>
      <c r="AG76" s="129"/>
      <c r="AH76" s="183">
        <f t="array" ref="AH76">SUM(AH12:AI12*AH25:AI25)/AH32</f>
        <v>8.8650774268694194E-2</v>
      </c>
      <c r="AI76" s="129"/>
      <c r="AJ76" s="183">
        <f t="array" ref="AJ76">SUM(AJ12:AK12*AJ25:AK25)/AJ32</f>
        <v>5.4299458384434555E-2</v>
      </c>
      <c r="AK76" s="129"/>
      <c r="AL76" s="183">
        <f t="array" ref="AL76">SUM(AL12:AM12*AL25:AM25)/AL32</f>
        <v>2.3922906270817512E-2</v>
      </c>
      <c r="AM76" s="129"/>
      <c r="AN76" s="183">
        <f t="array" ref="AN76">SUM(AN12:AO12*AN25:AO25)/AN32</f>
        <v>5.4909243834485606E-3</v>
      </c>
      <c r="AO76" s="129"/>
      <c r="AP76" s="183">
        <f t="array" ref="AP76">SUM(AP12:AQ12*AP25:AQ25)/AP32</f>
        <v>3.4699658979856925E-3</v>
      </c>
      <c r="AQ76" s="129"/>
      <c r="AR76" s="183">
        <f t="array" ref="AR76">SUM(AR12:AS12*AR25:AS25)/AR32</f>
        <v>1.9492724600470783E-3</v>
      </c>
      <c r="AS76" s="129"/>
      <c r="AT76" s="183">
        <f t="array" ref="AT76">SUM(AT12:AU12*AT25:AU25)/AT32</f>
        <v>8.8984326352441428E-4</v>
      </c>
      <c r="AU76" s="129"/>
      <c r="AV76" s="183">
        <f t="array" ref="AV76">SUM(AV12:AW12*AV25:AW25)/AV32</f>
        <v>2.5027513212170051E-4</v>
      </c>
      <c r="XFD76" s="183"/>
    </row>
    <row r="77" spans="1:48 16384:16384" x14ac:dyDescent="0.2">
      <c r="A77" t="s">
        <v>172</v>
      </c>
      <c r="B77" s="183">
        <f t="array" ref="B77">SUM(B4:C4*B19:C19)/B32</f>
        <v>0.14586087017236485</v>
      </c>
      <c r="D77" s="183">
        <f t="array" ref="D77">SUM(D4:E4*D19:E19)/D32</f>
        <v>0.14576830360328535</v>
      </c>
      <c r="E77" s="129"/>
      <c r="F77" s="183">
        <f t="array" ref="F77">SUM(F4:G4*F19:G19)/F32</f>
        <v>0.14579741370165417</v>
      </c>
      <c r="G77" s="129"/>
      <c r="H77" s="183">
        <f t="array" ref="H77">SUM(H4:I4*H19:I19)/H32</f>
        <v>0.1459718501947796</v>
      </c>
      <c r="I77" s="129"/>
      <c r="J77" s="183">
        <f t="array" ref="J77">SUM(J4:K4*J19:K19)/J32</f>
        <v>0.14632150597535939</v>
      </c>
      <c r="K77" s="129"/>
      <c r="L77" s="183">
        <f t="array" ref="L77">SUM(L4:M4*L19:M19)/L32</f>
        <v>0.146884813003437</v>
      </c>
      <c r="M77" s="129"/>
      <c r="N77" s="183">
        <f t="array" ref="N77">SUM(N4:O4*N19:O19)/N32</f>
        <v>0.14771223195345182</v>
      </c>
      <c r="O77" s="129"/>
      <c r="P77" s="183">
        <f t="array" ref="P77">SUM(P4:Q4*P19:Q19)/P32</f>
        <v>0.14887113026356019</v>
      </c>
      <c r="Q77" s="129"/>
      <c r="R77" s="183">
        <f t="array" ref="R77">SUM(R4:S4*R19:S19)/R32</f>
        <v>0.15045373308275445</v>
      </c>
      <c r="S77" s="129"/>
      <c r="T77" s="183">
        <f t="array" ref="T77">SUM(T4:U4*T19:U19)/T32</f>
        <v>0.15258946793166325</v>
      </c>
      <c r="U77" s="129"/>
      <c r="V77" s="183">
        <f t="array" ref="V77">SUM(V4:W4*V19:W19)/V32</f>
        <v>0.15546457179196388</v>
      </c>
      <c r="W77" s="129"/>
      <c r="X77" s="183">
        <f t="array" ref="X77">SUM(X4:Y4*X19:Y19)/X32</f>
        <v>0.15935298596295028</v>
      </c>
      <c r="Y77" s="129"/>
      <c r="Z77" s="183">
        <f t="array" ref="Z77">SUM(Z4:AA4*Z19:AA19)/Z32</f>
        <v>0.16466397562643129</v>
      </c>
      <c r="AA77" s="129"/>
      <c r="AB77" s="183">
        <f t="array" ref="AB77">SUM(AB4:AC4*AB19:AC19)/AB32</f>
        <v>0.17201213460881426</v>
      </c>
      <c r="AC77" s="129"/>
      <c r="AD77" s="183">
        <f t="array" ref="AD77">SUM(AD4:AE4*AD19:AE19)/AD32</f>
        <v>0.18231275811895808</v>
      </c>
      <c r="AE77" s="129"/>
      <c r="AF77" s="183">
        <f t="array" ref="AF77">SUM(AF4:AG4*AF19:AG19)/AF32</f>
        <v>0.19691248266037334</v>
      </c>
      <c r="AG77" s="129"/>
      <c r="AH77" s="183">
        <f t="array" ref="AH77">SUM(AH4:AI4*AH19:AI19)/AH32</f>
        <v>0.21787700745175503</v>
      </c>
      <c r="AI77" s="129"/>
      <c r="AJ77" s="183">
        <f t="array" ref="AJ77">SUM(AJ4:AK4*AJ19:AK19)/AJ32</f>
        <v>0.24925523394316898</v>
      </c>
      <c r="AK77" s="129"/>
      <c r="AL77" s="183">
        <f t="array" ref="AL77">SUM(AL4:AM4*AL19:AM19)/AL32</f>
        <v>0.30374731757637979</v>
      </c>
      <c r="AM77" s="129"/>
      <c r="AN77" s="183">
        <f t="array" ref="AN77">SUM(AN4:AO4*AN19:AO19)/AN32</f>
        <v>0.43792746048752784</v>
      </c>
      <c r="AO77" s="129"/>
      <c r="AP77" s="183">
        <f t="array" ref="AP77">SUM(AP4:AQ4*AP19:AQ19)/AP32</f>
        <v>0.49337627751173424</v>
      </c>
      <c r="AQ77" s="129"/>
      <c r="AR77" s="183">
        <f t="array" ref="AR77">SUM(AR4:AS4*AR19:AS19)/AR32</f>
        <v>0.57396658024664826</v>
      </c>
      <c r="AS77" s="129"/>
      <c r="AT77" s="183">
        <f t="array" ref="AT77">SUM(AT4:AU4*AT19:AU19)/AT32</f>
        <v>0.70571463332534012</v>
      </c>
      <c r="AU77" s="129"/>
      <c r="AV77" s="183">
        <f t="array" ref="AV77">SUM(AV4:AW4*AV19:AW19)/AV32</f>
        <v>0.98514409204313647</v>
      </c>
      <c r="XFD77" s="183"/>
    </row>
    <row r="78" spans="1:48 16384:16384" x14ac:dyDescent="0.2">
      <c r="A78" t="s">
        <v>173</v>
      </c>
      <c r="B78" s="183">
        <f t="array" ref="B78">SUM(B13:C13*B26:C26)/B32</f>
        <v>0.346887593115773</v>
      </c>
      <c r="D78" s="183">
        <f t="array" ref="D78">SUM(D13:E13*D26:E26)/D32</f>
        <v>0.34503823092911795</v>
      </c>
      <c r="E78" s="129"/>
      <c r="F78" s="183">
        <f t="array" ref="F78">SUM(F13:G13*F26:G26)/F32</f>
        <v>0.343106497823437</v>
      </c>
      <c r="G78" s="129"/>
      <c r="H78" s="183">
        <f t="array" ref="H78">SUM(H13:I13*H26:I26)/H32</f>
        <v>0.34108739827981793</v>
      </c>
      <c r="I78" s="129"/>
      <c r="J78" s="183">
        <f t="array" ref="J78">SUM(J13:K13*J26:K26)/J32</f>
        <v>0.33897687475898314</v>
      </c>
      <c r="K78" s="129"/>
      <c r="L78" s="183">
        <f t="array" ref="L78">SUM(L13:M13*L26:M26)/L32</f>
        <v>0.33677253931100376</v>
      </c>
      <c r="M78" s="129"/>
      <c r="N78" s="183">
        <f t="array" ref="N78">SUM(N13:O13*N26:O26)/N32</f>
        <v>0.33447476999494219</v>
      </c>
      <c r="O78" s="129"/>
      <c r="P78" s="183">
        <f t="array" ref="P78">SUM(P13:Q13*P26:Q26)/P32</f>
        <v>0.33208788085575663</v>
      </c>
      <c r="Q78" s="129"/>
      <c r="R78" s="183">
        <f t="array" ref="R78">SUM(R13:S13*R26:S26)/R32</f>
        <v>0.32962170383639322</v>
      </c>
      <c r="S78" s="129"/>
      <c r="T78" s="183">
        <f t="array" ref="T78">SUM(T13:U13*T26:U26)/T32</f>
        <v>0.32709293023220903</v>
      </c>
      <c r="U78" s="129"/>
      <c r="V78" s="183">
        <f t="array" ref="V78">SUM(V13:W13*V26:W26)/V32</f>
        <v>0.32452570399553982</v>
      </c>
      <c r="W78" s="129"/>
      <c r="X78" s="183">
        <f t="array" ref="X78">SUM(X13:Y13*X26:Y26)/X32</f>
        <v>0.32194994685119699</v>
      </c>
      <c r="Y78" s="129"/>
      <c r="Z78" s="183">
        <f t="array" ref="Z78">SUM(Z13:AA13*Z26:AA26)/Z32</f>
        <v>0.31939530322820248</v>
      </c>
      <c r="AA78" s="129"/>
      <c r="AB78" s="183">
        <f t="array" ref="AB78">SUM(AB13:AC13*AB26:AC26)/AB32</f>
        <v>0.31687701834461141</v>
      </c>
      <c r="AC78" s="129"/>
      <c r="AD78" s="183">
        <f t="array" ref="AD78">SUM(AD13:AE13*AD26:AE26)/AD32</f>
        <v>0.31436673623763439</v>
      </c>
      <c r="AE78" s="129"/>
      <c r="AF78" s="183">
        <f t="array" ref="AF78">SUM(AF13:AG13*AF26:AG26)/AF32</f>
        <v>0.31173305028956932</v>
      </c>
      <c r="AG78" s="129"/>
      <c r="AH78" s="183">
        <f t="array" ref="AH78">SUM(AH13:AI13*AH26:AI26)/AH32</f>
        <v>0.30862007433418742</v>
      </c>
      <c r="AI78" s="129"/>
      <c r="AJ78" s="183">
        <f t="array" ref="AJ78">SUM(AJ13:AK13*AJ26:AK26)/AJ32</f>
        <v>0.30424257778586694</v>
      </c>
      <c r="AK78" s="129"/>
      <c r="AL78" s="183">
        <f t="array" ref="AL78">SUM(AL13:AM13*AL26:AM26)/AL32</f>
        <v>0.29757618579874645</v>
      </c>
      <c r="AM78" s="129"/>
      <c r="AN78" s="183">
        <f t="array" ref="AN78">SUM(AN13:AO13*AN26:AO26)/AN32</f>
        <v>0.28947022913328818</v>
      </c>
      <c r="AO78" s="129"/>
      <c r="AP78" s="183">
        <f t="array" ref="AP78">SUM(AP13:AQ13*AP26:AQ26)/AP32</f>
        <v>0.28809076559537417</v>
      </c>
      <c r="AQ78" s="129"/>
      <c r="AR78" s="183">
        <f t="array" ref="AR78">SUM(AR13:AS13*AR26:AS26)/AR32</f>
        <v>0.28706593244664974</v>
      </c>
      <c r="AS78" s="129"/>
      <c r="AT78" s="183">
        <f t="array" ref="AT78">SUM(AT13:AU13*AT26:AU26)/AT32</f>
        <v>0.28680220001103046</v>
      </c>
      <c r="AU78" s="129"/>
      <c r="AV78" s="183">
        <f t="array" ref="AV78">SUM(AV13:AW13*AV26:AW26)/AV32</f>
        <v>0.28853893034961597</v>
      </c>
      <c r="XFD78" s="183"/>
    </row>
    <row r="79" spans="1:48 16384:16384" x14ac:dyDescent="0.2">
      <c r="A79" t="s">
        <v>174</v>
      </c>
      <c r="B79" s="183">
        <f t="array" ref="B79">SUM(B15:C15*B27:C27)/B32</f>
        <v>0.45460968782440875</v>
      </c>
      <c r="D79" s="183">
        <f t="array" ref="D79">SUM(D15:E15*D27:E27)/D32</f>
        <v>0.45310112774290112</v>
      </c>
      <c r="F79" s="183">
        <f t="array" ref="F79">SUM(F15:G15*F27:G27)/F32</f>
        <v>0.45161092966267558</v>
      </c>
      <c r="H79" s="183">
        <f t="array" ref="H79">SUM(H15:I15*H27:I27)/H32</f>
        <v>0.45014486652442226</v>
      </c>
      <c r="J79" s="183">
        <f t="array" ref="J79">SUM(J15:K15*J27:K27)/J32</f>
        <v>0.4487104786037428</v>
      </c>
      <c r="L79" s="183">
        <f t="array" ref="L79">SUM(L15:M15*L27:M27)/L32</f>
        <v>0.44731759497049034</v>
      </c>
      <c r="N79" s="183">
        <f t="array" ref="N79">SUM(N15:O15*N27:O27)/N32</f>
        <v>0.44597902052993166</v>
      </c>
      <c r="P79" s="183">
        <f t="array" ref="P79">SUM(P15:Q15*P27:Q27)/P32</f>
        <v>0.44471056242482071</v>
      </c>
      <c r="R79" s="183">
        <f t="array" ref="R79">SUM(R15:S15*R27:S27)/R32</f>
        <v>0.44353079630564884</v>
      </c>
      <c r="T79" s="183">
        <f t="array" ref="T79">SUM(T15:U15*T27:U27)/T32</f>
        <v>0.4424591223892626</v>
      </c>
      <c r="V79" s="183">
        <f t="array" ref="V79">SUM(V15:W15*V27:W27)/V32</f>
        <v>0.44151049872823078</v>
      </c>
      <c r="X79" s="183">
        <f t="array" ref="X79">SUM(X15:Y15*X27:Y27)/X32</f>
        <v>0.44068339703212106</v>
      </c>
      <c r="Z79" s="183">
        <f t="array" ref="Z79">SUM(Z15:AA15*Z27:AA27)/Z32</f>
        <v>0.43993436984969703</v>
      </c>
      <c r="AB79" s="183">
        <f t="array" ref="AB79">SUM(AB15:AC15*AB27:AC27)/AB32</f>
        <v>0.43912714511544948</v>
      </c>
      <c r="AD79" s="183">
        <f t="array" ref="AD79">SUM(AD15:AE15*AD27:AE27)/AD32</f>
        <v>0.43793429499913844</v>
      </c>
      <c r="AF79" s="183">
        <f t="array" ref="AF79">SUM(AF15:AG15*AF27:AG27)/AF32</f>
        <v>0.43565159916718749</v>
      </c>
      <c r="AH79" s="183">
        <f t="array" ref="AH79">SUM(AH15:AI15*AH27:AI27)/AH32</f>
        <v>0.43082412132688469</v>
      </c>
      <c r="AJ79" s="183">
        <f t="array" ref="AJ79">SUM(AJ15:AK15*AJ27:AK27)/AJ32</f>
        <v>0.42036542028652912</v>
      </c>
      <c r="AL79" s="183">
        <f t="array" ref="AL79">SUM(AL15:AM15*AL27:AM27)/AL32</f>
        <v>0.39784828197269662</v>
      </c>
      <c r="AN79" s="183">
        <f t="array" ref="AN79">SUM(AN15:AO15*AN27:AO27)/AN32</f>
        <v>0.34917968416512729</v>
      </c>
      <c r="AP79" s="183">
        <f t="array" ref="AP79">SUM(AP15:AQ15*AP27:AQ27)/AP32</f>
        <v>0.33255861304951612</v>
      </c>
      <c r="AR79" s="183">
        <f t="array" ref="AR79">SUM(AR15:AS15*AR27:AS27)/AR32</f>
        <v>0.31093164906253168</v>
      </c>
      <c r="AT79" s="183">
        <f t="array" ref="AT79">SUM(AT15:AU15*AT27:AU27)/AT32</f>
        <v>0.28056902011059548</v>
      </c>
      <c r="AV79" s="183">
        <f t="array" ref="AV79">SUM(AV15:AW15*AV27:AW27)/AV32</f>
        <v>0.23079174865470578</v>
      </c>
      <c r="XFD79" s="183"/>
    </row>
    <row r="80" spans="1:48 16384:16384" x14ac:dyDescent="0.2">
      <c r="A80" t="s">
        <v>153</v>
      </c>
      <c r="B80" s="195">
        <f>B55</f>
        <v>0.19850271905982084</v>
      </c>
      <c r="D80" s="195">
        <f>D55</f>
        <v>0.20186065535887518</v>
      </c>
      <c r="F80" s="195">
        <f>F55</f>
        <v>0.20528256970557915</v>
      </c>
      <c r="H80" s="195">
        <f>H55</f>
        <v>0.20876773104444349</v>
      </c>
      <c r="J80" s="195">
        <f>J55</f>
        <v>0.21231266235780105</v>
      </c>
      <c r="L80" s="195">
        <f>L55</f>
        <v>0.21590985977336732</v>
      </c>
      <c r="N80" s="195">
        <f>N55</f>
        <v>0.21954620328633123</v>
      </c>
      <c r="P80" s="195">
        <f>P55</f>
        <v>0.22320156148138212</v>
      </c>
      <c r="R80" s="195">
        <f>R55</f>
        <v>0.22684749949004748</v>
      </c>
      <c r="T80" s="195">
        <f>T55</f>
        <v>0.23044795359423365</v>
      </c>
      <c r="V80" s="195">
        <f>V55</f>
        <v>0.23396379627314864</v>
      </c>
      <c r="X80" s="195">
        <f>X55</f>
        <v>0.23736665531998843</v>
      </c>
      <c r="Z80" s="195">
        <f>Z55</f>
        <v>0.2406703272514997</v>
      </c>
      <c r="AB80" s="195">
        <f>AB55</f>
        <v>0.24399585225661441</v>
      </c>
      <c r="AD80" s="195">
        <f>AD55</f>
        <v>0.2476989799596209</v>
      </c>
      <c r="AF80" s="195">
        <f>AF55</f>
        <v>0.25261535999365742</v>
      </c>
      <c r="AH80" s="195">
        <f>AH55</f>
        <v>0.26055580488194102</v>
      </c>
      <c r="AJ80" s="195">
        <f>AJ55</f>
        <v>0.27539200194860314</v>
      </c>
      <c r="AL80" s="195">
        <f>AL55</f>
        <v>0.30457553230427681</v>
      </c>
      <c r="AN80" s="195">
        <f>AN55</f>
        <v>0.36135008672669383</v>
      </c>
      <c r="AP80" s="195">
        <f>AP55</f>
        <v>0.3793506213505855</v>
      </c>
      <c r="AR80" s="195">
        <f>AR55</f>
        <v>0.40200241849315832</v>
      </c>
      <c r="AT80" s="195">
        <f>AT55</f>
        <v>0.43262878183453296</v>
      </c>
      <c r="AV80" s="195">
        <f>AV55</f>
        <v>0.48066932103158777</v>
      </c>
      <c r="XFD80" s="195"/>
    </row>
    <row r="81" spans="1:48 16384:16384" x14ac:dyDescent="0.2">
      <c r="A81" t="s">
        <v>175</v>
      </c>
      <c r="B81" s="195">
        <f>B51/B$32</f>
        <v>-2.7543485504603994E-2</v>
      </c>
      <c r="D81" s="195">
        <f>D51/D$32</f>
        <v>-2.4185549205549661E-2</v>
      </c>
      <c r="F81" s="195">
        <f>F51/F$32</f>
        <v>-2.0763634858845682E-2</v>
      </c>
      <c r="H81" s="195">
        <f>H51/H$32</f>
        <v>-1.7278473519981366E-2</v>
      </c>
      <c r="J81" s="195">
        <f>J51/J$32</f>
        <v>-1.3733542206623791E-2</v>
      </c>
      <c r="L81" s="195">
        <f>L51/L$32</f>
        <v>-1.0136344791057504E-2</v>
      </c>
      <c r="N81" s="195">
        <f>N51/N$32</f>
        <v>-6.5000012780936089E-3</v>
      </c>
      <c r="P81" s="195">
        <f>P51/P$32</f>
        <v>-2.8446430830427138E-3</v>
      </c>
      <c r="R81" s="195">
        <f>R51/R$32</f>
        <v>8.0129492562262914E-4</v>
      </c>
      <c r="T81" s="195">
        <f>T51/T$32</f>
        <v>4.4017490298087943E-3</v>
      </c>
      <c r="V81" s="195">
        <f>V51/V$32</f>
        <v>7.9175917087238052E-3</v>
      </c>
      <c r="X81" s="195">
        <f>X51/X$32</f>
        <v>1.1320450755563601E-2</v>
      </c>
      <c r="Z81" s="195">
        <f>Z51/Z$32</f>
        <v>1.4624122687074862E-2</v>
      </c>
      <c r="AB81" s="195">
        <f>AB51/AB$32</f>
        <v>1.7949647692189558E-2</v>
      </c>
      <c r="AD81" s="195">
        <f>AD51/AD$32</f>
        <v>2.1652775395196052E-2</v>
      </c>
      <c r="AF81" s="195">
        <f>AF51/AF$32</f>
        <v>2.6569155429232563E-2</v>
      </c>
      <c r="AH81" s="195">
        <f>AH51/AH$32</f>
        <v>3.4509600317516154E-2</v>
      </c>
      <c r="AJ81" s="195">
        <f>AJ51/AJ$32</f>
        <v>4.9345797384178304E-2</v>
      </c>
      <c r="AL81" s="195">
        <f>AL51/AL$32</f>
        <v>7.8529327739851967E-2</v>
      </c>
      <c r="AN81" s="195">
        <f>AN51/AN$32</f>
        <v>0.13530388216226902</v>
      </c>
      <c r="AP81" s="195">
        <f>AP51/AP$32</f>
        <v>0.15330441678616064</v>
      </c>
      <c r="AR81" s="195">
        <f>AR51/AR$32</f>
        <v>0.17595621392873348</v>
      </c>
      <c r="AT81" s="195">
        <f>AT51/AT$32</f>
        <v>0.20658257727010809</v>
      </c>
      <c r="AV81" s="195">
        <f>AV51/AV$32</f>
        <v>0.2546231164671629</v>
      </c>
      <c r="XFD81" s="195"/>
    </row>
    <row r="82" spans="1:48 16384:16384" x14ac:dyDescent="0.2">
      <c r="A82" t="s">
        <v>176</v>
      </c>
      <c r="B82" s="195">
        <f>B52/B$32</f>
        <v>0.14069693704202227</v>
      </c>
      <c r="D82" s="195">
        <f>D52/D$32</f>
        <v>0.1399468393149558</v>
      </c>
      <c r="F82" s="195">
        <f>F52/F$32</f>
        <v>0.13916333210240098</v>
      </c>
      <c r="H82" s="195">
        <f>H52/H$32</f>
        <v>0.13834438923154618</v>
      </c>
      <c r="J82" s="195">
        <f>J52/J$32</f>
        <v>0.13748836497230582</v>
      </c>
      <c r="L82" s="195">
        <f>L52/L$32</f>
        <v>0.13659429077680599</v>
      </c>
      <c r="N82" s="195">
        <f>N52/N$32</f>
        <v>0.13566231998507142</v>
      </c>
      <c r="P82" s="195">
        <f>P52/P$32</f>
        <v>0.13469420236539573</v>
      </c>
      <c r="R82" s="195">
        <f>R52/R$32</f>
        <v>0.13369392573482725</v>
      </c>
      <c r="T82" s="195">
        <f>T52/T$32</f>
        <v>0.13266826005048932</v>
      </c>
      <c r="V82" s="195">
        <f>V52/V$32</f>
        <v>0.13162699805276568</v>
      </c>
      <c r="X82" s="195">
        <f>X52/X$32</f>
        <v>0.13058227593538457</v>
      </c>
      <c r="Z82" s="195">
        <f>Z52/Z$32</f>
        <v>0.12954611742143823</v>
      </c>
      <c r="AB82" s="195">
        <f>AB52/AB$32</f>
        <v>0.12852470594189233</v>
      </c>
      <c r="AD82" s="195">
        <f>AD52/AD$32</f>
        <v>0.12750654037306733</v>
      </c>
      <c r="AF82" s="195">
        <f>AF52/AF$32</f>
        <v>0.12643832244490494</v>
      </c>
      <c r="AH82" s="195">
        <f>AH52/AH$32</f>
        <v>0.12517570541650774</v>
      </c>
      <c r="AJ82" s="195">
        <f>AJ52/AJ$32</f>
        <v>0.12340020128063291</v>
      </c>
      <c r="AL82" s="195">
        <f>AL52/AL$32</f>
        <v>0.1206963255804827</v>
      </c>
      <c r="AN82" s="195">
        <f>AN52/AN$32</f>
        <v>0.11740856523027407</v>
      </c>
      <c r="AP82" s="195">
        <f>AP52/AP$32</f>
        <v>0.11684905748656277</v>
      </c>
      <c r="AR82" s="195">
        <f>AR52/AR$32</f>
        <v>0.11643338714300991</v>
      </c>
      <c r="AT82" s="195">
        <f>AT52/AT$32</f>
        <v>0.11632641777706353</v>
      </c>
      <c r="AV82" s="195">
        <f>AV52/AV$32</f>
        <v>0.11703083224433268</v>
      </c>
    </row>
    <row r="83" spans="1:48 16384:16384" x14ac:dyDescent="0.2">
      <c r="A83" t="s">
        <v>177</v>
      </c>
      <c r="B83" s="195">
        <f>B53/B$32</f>
        <v>0.18438881036940691</v>
      </c>
      <c r="D83" s="195">
        <f>D53/D$32</f>
        <v>0.1837769413172291</v>
      </c>
      <c r="F83" s="195">
        <f>F53/F$32</f>
        <v>0.18317251985726737</v>
      </c>
      <c r="H83" s="195">
        <f>H53/H$32</f>
        <v>0.18257788748310341</v>
      </c>
      <c r="J83" s="195">
        <f>J53/J$32</f>
        <v>0.18199610251594167</v>
      </c>
      <c r="L83" s="195">
        <f>L53/L$32</f>
        <v>0.18143115160750956</v>
      </c>
      <c r="N83" s="195">
        <f>N53/N$32</f>
        <v>0.18088822840262433</v>
      </c>
      <c r="P83" s="195">
        <f>P53/P$32</f>
        <v>0.18037374424782299</v>
      </c>
      <c r="R83" s="195">
        <f>R53/R$32</f>
        <v>0.17989523339102784</v>
      </c>
      <c r="T83" s="195">
        <f>T53/T$32</f>
        <v>0.17946056452268047</v>
      </c>
      <c r="V83" s="195">
        <f>V53/V$32</f>
        <v>0.17907580459998063</v>
      </c>
      <c r="X83" s="195">
        <f>X53/X$32</f>
        <v>0.17874033375128393</v>
      </c>
      <c r="Z83" s="195">
        <f>Z53/Z$32</f>
        <v>0.17843652977437691</v>
      </c>
      <c r="AB83" s="195">
        <f>AB53/AB$32</f>
        <v>0.17810912098297835</v>
      </c>
      <c r="AD83" s="195">
        <f>AD53/AD$32</f>
        <v>0.17762530328224216</v>
      </c>
      <c r="AF83" s="195">
        <f>AF53/AF$32</f>
        <v>0.17669944626651746</v>
      </c>
      <c r="AH83" s="195">
        <f>AH53/AH$32</f>
        <v>0.17474143058867753</v>
      </c>
      <c r="AJ83" s="195">
        <f>AJ53/AJ$32</f>
        <v>0.1704994016691678</v>
      </c>
      <c r="AL83" s="195">
        <f>AL53/AL$32</f>
        <v>0.16136649390716995</v>
      </c>
      <c r="AN83" s="195">
        <f>AN53/AN$32</f>
        <v>0.1416266047397596</v>
      </c>
      <c r="AP83" s="195">
        <f>AP53/AP$32</f>
        <v>0.13488513043299868</v>
      </c>
      <c r="AR83" s="195">
        <f>AR53/AR$32</f>
        <v>0.12611327565677069</v>
      </c>
      <c r="AT83" s="195">
        <f>AT53/AT$32</f>
        <v>0.11379825206163417</v>
      </c>
      <c r="AV83" s="195">
        <f>AV53/AV$32</f>
        <v>9.3608687006144997E-2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XFD83"/>
  <sheetViews>
    <sheetView showGridLines="0" workbookViewId="0">
      <pane xSplit="1" ySplit="1" topLeftCell="AH2" activePane="bottomRight" state="frozen"/>
      <selection pane="topRight" activeCell="B1" sqref="B1"/>
      <selection pane="bottomLeft" activeCell="A2" sqref="A2"/>
      <selection pane="bottomRight" sqref="A1:AY39"/>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c r="AX1">
        <v>0.99000000000000032</v>
      </c>
    </row>
    <row r="2" spans="1:51" x14ac:dyDescent="0.2">
      <c r="A2" s="190" t="s">
        <v>139</v>
      </c>
      <c r="B2" s="188">
        <v>5.7716594496607888E-3</v>
      </c>
      <c r="C2" s="189"/>
      <c r="D2" s="188">
        <v>6.1015866890627976E-2</v>
      </c>
      <c r="E2" s="189"/>
      <c r="F2" s="188">
        <v>0.12198497928437815</v>
      </c>
      <c r="G2" s="189"/>
      <c r="H2" s="188">
        <v>0.18963510920292664</v>
      </c>
      <c r="I2" s="189"/>
      <c r="J2" s="188">
        <v>0.26517535441886136</v>
      </c>
      <c r="K2" s="189"/>
      <c r="L2" s="188">
        <v>0.35016772527441492</v>
      </c>
      <c r="M2" s="189"/>
      <c r="N2" s="188">
        <v>0.44668755084603656</v>
      </c>
      <c r="O2" s="189"/>
      <c r="P2" s="188">
        <v>0.55757345360611799</v>
      </c>
      <c r="Q2" s="189"/>
      <c r="R2" s="188">
        <v>0.68684489297702445</v>
      </c>
      <c r="S2" s="189"/>
      <c r="T2" s="188">
        <v>0.8404305250000732</v>
      </c>
      <c r="U2" s="189"/>
      <c r="V2" s="188">
        <v>1.0274749154759568</v>
      </c>
      <c r="W2" s="189"/>
      <c r="X2" s="188">
        <v>1.2628304581272447</v>
      </c>
      <c r="Y2" s="189"/>
      <c r="Z2" s="188">
        <v>1.5720676078366289</v>
      </c>
      <c r="AA2" s="189"/>
      <c r="AB2" s="188">
        <v>2.0020856516899768</v>
      </c>
      <c r="AC2" s="189"/>
      <c r="AD2" s="188">
        <v>2.6445256356636144</v>
      </c>
      <c r="AE2" s="189"/>
      <c r="AF2" s="188">
        <v>3.6879318233561791</v>
      </c>
      <c r="AG2" s="189"/>
      <c r="AH2" s="188">
        <v>5.5342245781970307</v>
      </c>
      <c r="AI2" s="189"/>
      <c r="AJ2" s="188">
        <v>9.1022936606657172</v>
      </c>
      <c r="AK2" s="189"/>
      <c r="AL2" s="188">
        <v>16.991712208378882</v>
      </c>
      <c r="AM2" s="189"/>
      <c r="AN2" s="188">
        <v>40.75685361434163</v>
      </c>
      <c r="AO2" s="189"/>
      <c r="AP2" s="188">
        <v>51.753906387831655</v>
      </c>
      <c r="AQ2" s="189"/>
      <c r="AR2" s="188">
        <v>68.544519127417658</v>
      </c>
      <c r="AS2" s="189"/>
      <c r="AT2" s="188">
        <v>96.993101923413434</v>
      </c>
      <c r="AU2" s="189"/>
      <c r="AV2" s="188">
        <v>154.78735298122035</v>
      </c>
      <c r="AW2" s="189"/>
      <c r="AX2">
        <v>5.7716594496607888E-3</v>
      </c>
    </row>
    <row r="3" spans="1:51" x14ac:dyDescent="0.2">
      <c r="A3" t="s">
        <v>12</v>
      </c>
      <c r="B3" s="81">
        <v>1000</v>
      </c>
      <c r="C3" s="82">
        <v>1000</v>
      </c>
      <c r="D3" s="81">
        <v>998.24011534730948</v>
      </c>
      <c r="E3" s="82">
        <v>1024.929790921203</v>
      </c>
      <c r="F3" s="81">
        <v>996.40359285553484</v>
      </c>
      <c r="G3" s="82">
        <v>1053.0630336569513</v>
      </c>
      <c r="H3" s="81">
        <v>994.47784073290018</v>
      </c>
      <c r="I3" s="82">
        <v>1084.989668240964</v>
      </c>
      <c r="J3" s="81">
        <v>992.44858594121513</v>
      </c>
      <c r="K3" s="82">
        <v>1121.4534266831138</v>
      </c>
      <c r="L3" s="81">
        <v>990.30013142933626</v>
      </c>
      <c r="M3" s="82">
        <v>1163.407113748033</v>
      </c>
      <c r="N3" s="81">
        <v>988.01600017222222</v>
      </c>
      <c r="O3" s="82">
        <v>1212.0989920445529</v>
      </c>
      <c r="P3" s="81">
        <v>985.58044849064663</v>
      </c>
      <c r="Q3" s="82">
        <v>1269.2024121433362</v>
      </c>
      <c r="R3" s="81">
        <v>982.9813643633629</v>
      </c>
      <c r="S3" s="82">
        <v>1337.0279921748279</v>
      </c>
      <c r="T3" s="81">
        <v>980.21581432679113</v>
      </c>
      <c r="U3" s="82">
        <v>1418.8813114512852</v>
      </c>
      <c r="V3" s="81">
        <v>977.30036832737676</v>
      </c>
      <c r="W3" s="82">
        <v>1519.6890292365636</v>
      </c>
      <c r="X3" s="81">
        <v>974.29019095598585</v>
      </c>
      <c r="Y3" s="82">
        <v>1647.1588925266185</v>
      </c>
      <c r="Z3" s="81">
        <v>971.31395042884833</v>
      </c>
      <c r="AA3" s="82">
        <v>1814.0391302634962</v>
      </c>
      <c r="AB3" s="81">
        <v>968.63387489412855</v>
      </c>
      <c r="AC3" s="82">
        <v>2042.7442923039284</v>
      </c>
      <c r="AD3" s="81">
        <v>966.72961000806697</v>
      </c>
      <c r="AE3" s="82">
        <v>2375.1797729752452</v>
      </c>
      <c r="AF3" s="81">
        <v>966.33011556804775</v>
      </c>
      <c r="AG3" s="82">
        <v>2893.8573255315887</v>
      </c>
      <c r="AH3" s="81">
        <v>968.14148652890151</v>
      </c>
      <c r="AI3" s="82">
        <v>3768.32700136521</v>
      </c>
      <c r="AJ3" s="81">
        <v>972.17679435444791</v>
      </c>
      <c r="AK3" s="82">
        <v>5379.2456649539326</v>
      </c>
      <c r="AL3" s="81">
        <v>977.6431768773391</v>
      </c>
      <c r="AM3" s="82">
        <v>8801.6420301062499</v>
      </c>
      <c r="AN3" s="81">
        <v>984.40406243368568</v>
      </c>
      <c r="AO3" s="82">
        <v>18800.55755282184</v>
      </c>
      <c r="AP3" s="81">
        <v>986.22550820894435</v>
      </c>
      <c r="AQ3" s="82">
        <v>23372.379914778874</v>
      </c>
      <c r="AR3" s="81">
        <v>988.50525011481807</v>
      </c>
      <c r="AS3" s="82">
        <v>30323.086317182537</v>
      </c>
      <c r="AT3" s="81">
        <v>991.6903513155878</v>
      </c>
      <c r="AU3" s="82">
        <v>42052.7998216626</v>
      </c>
      <c r="AV3" s="81">
        <v>996.9980145003899</v>
      </c>
      <c r="AW3" s="82">
        <v>65795.569019811621</v>
      </c>
      <c r="AX3">
        <v>1000</v>
      </c>
      <c r="AY3">
        <v>1000</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c r="AX4">
        <v>1000</v>
      </c>
      <c r="AY4">
        <v>1000</v>
      </c>
    </row>
    <row r="5" spans="1:51" x14ac:dyDescent="0.2">
      <c r="A5" t="s">
        <v>115</v>
      </c>
      <c r="B5" s="39">
        <v>1000</v>
      </c>
      <c r="C5" s="40">
        <v>1000</v>
      </c>
      <c r="D5" s="39">
        <v>998.1526817989303</v>
      </c>
      <c r="E5" s="40">
        <v>1021.6274505629841</v>
      </c>
      <c r="F5" s="39">
        <v>996.22345565827163</v>
      </c>
      <c r="G5" s="40">
        <v>1045.4095534898638</v>
      </c>
      <c r="H5" s="39">
        <v>994.19888161982726</v>
      </c>
      <c r="I5" s="40">
        <v>1071.6059582893536</v>
      </c>
      <c r="J5" s="39">
        <v>992.06369400304879</v>
      </c>
      <c r="K5" s="40">
        <v>1100.5078413668443</v>
      </c>
      <c r="L5" s="39">
        <v>989.80105820989775</v>
      </c>
      <c r="M5" s="40">
        <v>1132.4396304293466</v>
      </c>
      <c r="N5" s="39">
        <v>987.39323298324598</v>
      </c>
      <c r="O5" s="40">
        <v>1167.7579120915918</v>
      </c>
      <c r="P5" s="39">
        <v>984.82315357939922</v>
      </c>
      <c r="Q5" s="40">
        <v>1206.8467692533131</v>
      </c>
      <c r="R5" s="39">
        <v>982.07748619347433</v>
      </c>
      <c r="S5" s="40">
        <v>1250.1073498430842</v>
      </c>
      <c r="T5" s="39">
        <v>979.15250662823132</v>
      </c>
      <c r="U5" s="40">
        <v>1297.9272372453077</v>
      </c>
      <c r="V5" s="39">
        <v>976.0650928121255</v>
      </c>
      <c r="W5" s="40">
        <v>1350.6229930935267</v>
      </c>
      <c r="X5" s="39">
        <v>972.87312076166506</v>
      </c>
      <c r="Y5" s="40">
        <v>1408.3158905314704</v>
      </c>
      <c r="Z5" s="39">
        <v>969.712856640464</v>
      </c>
      <c r="AA5" s="40">
        <v>1470.6706617705943</v>
      </c>
      <c r="AB5" s="39">
        <v>966.86339230841372</v>
      </c>
      <c r="AC5" s="40">
        <v>1536.3795175474181</v>
      </c>
      <c r="AD5" s="39">
        <v>964.83663550754784</v>
      </c>
      <c r="AE5" s="40">
        <v>1602.2443567663972</v>
      </c>
      <c r="AF5" s="39">
        <v>964.41121697466031</v>
      </c>
      <c r="AG5" s="40">
        <v>1662.1726872064928</v>
      </c>
      <c r="AH5" s="39">
        <v>966.33950183249488</v>
      </c>
      <c r="AI5" s="40">
        <v>1708.0745356123293</v>
      </c>
      <c r="AJ5" s="39">
        <v>970.62949148021005</v>
      </c>
      <c r="AK5" s="40">
        <v>1735.1812803011028</v>
      </c>
      <c r="AL5" s="39">
        <v>976.42833074110888</v>
      </c>
      <c r="AM5" s="40">
        <v>1746.6267743252588</v>
      </c>
      <c r="AN5" s="39">
        <v>983.58080991684119</v>
      </c>
      <c r="AO5" s="40">
        <v>1749.7148051879626</v>
      </c>
      <c r="AP5" s="39">
        <v>985.50410906766467</v>
      </c>
      <c r="AQ5" s="40">
        <v>1749.8847311903935</v>
      </c>
      <c r="AR5" s="39">
        <v>987.90917811824477</v>
      </c>
      <c r="AS5" s="40">
        <v>1749.9847429142033</v>
      </c>
      <c r="AT5" s="39">
        <v>991.26540115856176</v>
      </c>
      <c r="AU5" s="40">
        <v>1750.0375614672921</v>
      </c>
      <c r="AV5" s="39">
        <v>996.84804644769702</v>
      </c>
      <c r="AW5" s="40">
        <v>1750.0609719955428</v>
      </c>
      <c r="AX5">
        <v>1000</v>
      </c>
      <c r="AY5">
        <v>1000</v>
      </c>
    </row>
    <row r="6" spans="1:51" x14ac:dyDescent="0.2">
      <c r="A6" t="s">
        <v>77</v>
      </c>
      <c r="B6" s="39">
        <v>999.99999999999943</v>
      </c>
      <c r="C6" s="40">
        <v>999.99999999999909</v>
      </c>
      <c r="D6" s="39">
        <v>998.01166136686891</v>
      </c>
      <c r="E6" s="40">
        <v>1026.8586722257696</v>
      </c>
      <c r="F6" s="39">
        <v>995.93576177444743</v>
      </c>
      <c r="G6" s="40">
        <v>1057.0541093705895</v>
      </c>
      <c r="H6" s="39">
        <v>993.7579238037041</v>
      </c>
      <c r="I6" s="40">
        <v>1091.1902711954754</v>
      </c>
      <c r="J6" s="39">
        <v>991.46182906913111</v>
      </c>
      <c r="K6" s="40">
        <v>1130.0281943962652</v>
      </c>
      <c r="L6" s="39">
        <v>989.02949933946616</v>
      </c>
      <c r="M6" s="40">
        <v>1174.5426016027479</v>
      </c>
      <c r="N6" s="39">
        <v>986.44201511027495</v>
      </c>
      <c r="O6" s="40">
        <v>1226.0105472163398</v>
      </c>
      <c r="P6" s="39">
        <v>983.68122062913403</v>
      </c>
      <c r="Q6" s="40">
        <v>1286.1443190453381</v>
      </c>
      <c r="R6" s="39">
        <v>980.73300595914884</v>
      </c>
      <c r="S6" s="40">
        <v>1357.3091302169576</v>
      </c>
      <c r="T6" s="39">
        <v>977.59361145868991</v>
      </c>
      <c r="U6" s="40">
        <v>1442.8900876874452</v>
      </c>
      <c r="V6" s="39">
        <v>974.28139668563654</v>
      </c>
      <c r="W6" s="40">
        <v>1547.9343398048977</v>
      </c>
      <c r="X6" s="39">
        <v>970.8586519018703</v>
      </c>
      <c r="Y6" s="40">
        <v>1680.340540986318</v>
      </c>
      <c r="Z6" s="39">
        <v>967.47155025560937</v>
      </c>
      <c r="AA6" s="40">
        <v>1853.1750084276273</v>
      </c>
      <c r="AB6" s="39">
        <v>964.41895728234113</v>
      </c>
      <c r="AC6" s="40">
        <v>2089.412817370524</v>
      </c>
      <c r="AD6" s="39">
        <v>962.24852753208904</v>
      </c>
      <c r="AE6" s="40">
        <v>2432.0064171675099</v>
      </c>
      <c r="AF6" s="39">
        <v>961.79303710736826</v>
      </c>
      <c r="AG6" s="40">
        <v>2965.5299725548425</v>
      </c>
      <c r="AH6" s="39">
        <v>963.85786487860628</v>
      </c>
      <c r="AI6" s="40">
        <v>3863.8016393144426</v>
      </c>
      <c r="AJ6" s="39">
        <v>968.45381111962786</v>
      </c>
      <c r="AK6" s="40">
        <v>5517.1955947804327</v>
      </c>
      <c r="AL6" s="39">
        <v>974.67100165644774</v>
      </c>
      <c r="AM6" s="40">
        <v>9028.4570365606924</v>
      </c>
      <c r="AN6" s="39">
        <v>982.34707629435627</v>
      </c>
      <c r="AO6" s="40">
        <v>19285.663494137738</v>
      </c>
      <c r="AP6" s="39">
        <v>984.41260140200177</v>
      </c>
      <c r="AQ6" s="40">
        <v>23975.493848640253</v>
      </c>
      <c r="AR6" s="39">
        <v>986.99637714418111</v>
      </c>
      <c r="AS6" s="40">
        <v>31105.592553527862</v>
      </c>
      <c r="AT6" s="39">
        <v>990.60356945804801</v>
      </c>
      <c r="AU6" s="40">
        <v>43138.022385376185</v>
      </c>
      <c r="AV6" s="39">
        <v>996.6077713340261</v>
      </c>
      <c r="AW6" s="40">
        <v>67493.518458489358</v>
      </c>
      <c r="AX6">
        <v>999.99999999999943</v>
      </c>
      <c r="AY6">
        <v>999.99999999999909</v>
      </c>
    </row>
    <row r="7" spans="1:51" x14ac:dyDescent="0.2">
      <c r="A7" t="s">
        <v>13</v>
      </c>
      <c r="B7" s="31">
        <v>1015.9116825427475</v>
      </c>
      <c r="C7" s="32">
        <v>1015.9116825427475</v>
      </c>
      <c r="D7" s="31">
        <v>1014.0349704009069</v>
      </c>
      <c r="E7" s="32">
        <v>1014.0349704009069</v>
      </c>
      <c r="F7" s="31">
        <v>1012.0750470263449</v>
      </c>
      <c r="G7" s="32">
        <v>1012.0750470263449</v>
      </c>
      <c r="H7" s="31">
        <v>1010.0182586085165</v>
      </c>
      <c r="I7" s="32">
        <v>1010.0182586085165</v>
      </c>
      <c r="J7" s="31">
        <v>1007.8490965642106</v>
      </c>
      <c r="K7" s="32">
        <v>1007.8490965642106</v>
      </c>
      <c r="L7" s="31">
        <v>1005.5504584286091</v>
      </c>
      <c r="M7" s="32">
        <v>1005.5504584286091</v>
      </c>
      <c r="N7" s="31">
        <v>1003.1043206513325</v>
      </c>
      <c r="O7" s="32">
        <v>1003.1043206513325</v>
      </c>
      <c r="P7" s="31">
        <v>1000.4933469599021</v>
      </c>
      <c r="Q7" s="32">
        <v>1000.4933469599021</v>
      </c>
      <c r="R7" s="31">
        <v>997.70399138616438</v>
      </c>
      <c r="S7" s="32">
        <v>997.70399138616438</v>
      </c>
      <c r="T7" s="31">
        <v>994.73247047463519</v>
      </c>
      <c r="U7" s="32">
        <v>994.73247047463519</v>
      </c>
      <c r="V7" s="31">
        <v>991.59593071000938</v>
      </c>
      <c r="W7" s="32">
        <v>991.59593071000938</v>
      </c>
      <c r="X7" s="31">
        <v>988.3531690135967</v>
      </c>
      <c r="Y7" s="32">
        <v>988.3531690135967</v>
      </c>
      <c r="Z7" s="31">
        <v>985.1426197729478</v>
      </c>
      <c r="AA7" s="32">
        <v>985.1426197729478</v>
      </c>
      <c r="AB7" s="31">
        <v>982.24781566902902</v>
      </c>
      <c r="AC7" s="32">
        <v>982.24781566902902</v>
      </c>
      <c r="AD7" s="31">
        <v>980.18880975735647</v>
      </c>
      <c r="AE7" s="32">
        <v>980.18880975735647</v>
      </c>
      <c r="AF7" s="31">
        <v>979.75662209982579</v>
      </c>
      <c r="AG7" s="32">
        <v>979.75662209982579</v>
      </c>
      <c r="AH7" s="31">
        <v>981.71558921417022</v>
      </c>
      <c r="AI7" s="32">
        <v>981.71558921417022</v>
      </c>
      <c r="AJ7" s="31">
        <v>986.07383981527153</v>
      </c>
      <c r="AK7" s="32">
        <v>986.07383981527153</v>
      </c>
      <c r="AL7" s="31">
        <v>991.96494836560623</v>
      </c>
      <c r="AM7" s="32">
        <v>991.96494836560623</v>
      </c>
      <c r="AN7" s="31">
        <v>999.23123551937636</v>
      </c>
      <c r="AO7" s="32">
        <v>999.23123551937636</v>
      </c>
      <c r="AP7" s="31">
        <v>1001.1851375957225</v>
      </c>
      <c r="AQ7" s="32">
        <v>1001.1851375957225</v>
      </c>
      <c r="AR7" s="31">
        <v>1003.6284753415288</v>
      </c>
      <c r="AS7" s="32">
        <v>1003.6284753415288</v>
      </c>
      <c r="AT7" s="31">
        <v>1007.038101537406</v>
      </c>
      <c r="AU7" s="32">
        <v>1007.038101537406</v>
      </c>
      <c r="AV7" s="31">
        <v>1012.7095761061307</v>
      </c>
      <c r="AW7" s="32">
        <v>1012.7095761061307</v>
      </c>
      <c r="AX7">
        <v>1015.9116825427475</v>
      </c>
      <c r="AY7">
        <v>1015.9116825427475</v>
      </c>
    </row>
    <row r="8" spans="1:51" x14ac:dyDescent="0.2">
      <c r="B8" s="33">
        <v>1005.7716594496609</v>
      </c>
      <c r="C8" s="34">
        <v>1005.7716594496609</v>
      </c>
      <c r="D8" s="33">
        <v>1083.9629350983469</v>
      </c>
      <c r="E8" s="34">
        <v>1083.9629350983469</v>
      </c>
      <c r="F8" s="33">
        <v>1172.9338162160159</v>
      </c>
      <c r="G8" s="34">
        <v>1172.9338162160159</v>
      </c>
      <c r="H8" s="33">
        <v>1274.820071212062</v>
      </c>
      <c r="I8" s="34">
        <v>1274.820071212062</v>
      </c>
      <c r="J8" s="33">
        <v>1392.3353982420333</v>
      </c>
      <c r="K8" s="34">
        <v>1392.3353982420333</v>
      </c>
      <c r="L8" s="33">
        <v>1528.9834398273899</v>
      </c>
      <c r="M8" s="34">
        <v>1528.9834398273899</v>
      </c>
      <c r="N8" s="33">
        <v>1689.3808338248664</v>
      </c>
      <c r="O8" s="34">
        <v>1689.3808338248664</v>
      </c>
      <c r="P8" s="33">
        <v>1879.7524903592689</v>
      </c>
      <c r="Q8" s="34">
        <v>1879.7524903592689</v>
      </c>
      <c r="R8" s="33">
        <v>2108.737198755849</v>
      </c>
      <c r="S8" s="34">
        <v>2108.737198755849</v>
      </c>
      <c r="T8" s="33">
        <v>2388.7449066552763</v>
      </c>
      <c r="U8" s="34">
        <v>2388.7449066552763</v>
      </c>
      <c r="V8" s="33">
        <v>2738.3542387621824</v>
      </c>
      <c r="W8" s="34">
        <v>2738.3542387621824</v>
      </c>
      <c r="X8" s="33">
        <v>3186.7800917592058</v>
      </c>
      <c r="Y8" s="34">
        <v>3186.7800917592058</v>
      </c>
      <c r="Z8" s="33">
        <v>3782.6643709358041</v>
      </c>
      <c r="AA8" s="34">
        <v>3782.6643709358041</v>
      </c>
      <c r="AB8" s="33">
        <v>4612.3429051794728</v>
      </c>
      <c r="AC8" s="34">
        <v>4612.3429051794728</v>
      </c>
      <c r="AD8" s="33">
        <v>5839.4206328324926</v>
      </c>
      <c r="AE8" s="34">
        <v>5839.4206328324926</v>
      </c>
      <c r="AF8" s="33">
        <v>7792.1522362687729</v>
      </c>
      <c r="AG8" s="34">
        <v>7792.1522362687729</v>
      </c>
      <c r="AH8" s="33">
        <v>11160.942611990562</v>
      </c>
      <c r="AI8" s="34">
        <v>11160.942611990562</v>
      </c>
      <c r="AJ8" s="33">
        <v>17529.310848091653</v>
      </c>
      <c r="AK8" s="34">
        <v>17529.310848091653</v>
      </c>
      <c r="AL8" s="33">
        <v>31424.806259109184</v>
      </c>
      <c r="AM8" s="34">
        <v>31424.806259109184</v>
      </c>
      <c r="AN8" s="33">
        <v>73062.58498708003</v>
      </c>
      <c r="AO8" s="34">
        <v>73062.58498708003</v>
      </c>
      <c r="AP8" s="33">
        <v>92313.255298713979</v>
      </c>
      <c r="AQ8" s="34">
        <v>92313.255298713979</v>
      </c>
      <c r="AR8" s="33">
        <v>121701.84742628588</v>
      </c>
      <c r="AS8" s="34">
        <v>121701.84742628588</v>
      </c>
      <c r="AT8" s="33">
        <v>171491.60913066627</v>
      </c>
      <c r="AU8" s="34">
        <v>171491.60913066627</v>
      </c>
      <c r="AV8" s="33">
        <v>272637.36638292723</v>
      </c>
      <c r="AW8" s="34">
        <v>272637.36638292723</v>
      </c>
      <c r="AX8">
        <v>1005.7716594496609</v>
      </c>
      <c r="AY8">
        <v>1005.7716594496609</v>
      </c>
    </row>
    <row r="9" spans="1:51" x14ac:dyDescent="0.2">
      <c r="A9" t="s">
        <v>14</v>
      </c>
      <c r="B9" s="39">
        <v>1015.9116825427475</v>
      </c>
      <c r="C9" s="40">
        <v>1005.7716594496609</v>
      </c>
      <c r="D9" s="39">
        <v>1014.0349704009069</v>
      </c>
      <c r="E9" s="40">
        <v>1083.9629350983469</v>
      </c>
      <c r="F9" s="39">
        <v>1012.0750470263449</v>
      </c>
      <c r="G9" s="40">
        <v>1172.9338162160159</v>
      </c>
      <c r="H9" s="39">
        <v>1010.0182586085165</v>
      </c>
      <c r="I9" s="40">
        <v>1274.820071212062</v>
      </c>
      <c r="J9" s="39">
        <v>1007.8490965642106</v>
      </c>
      <c r="K9" s="40">
        <v>1392.3353982420333</v>
      </c>
      <c r="L9" s="39">
        <v>1005.5504584286091</v>
      </c>
      <c r="M9" s="40">
        <v>1528.9834398273899</v>
      </c>
      <c r="N9" s="39">
        <v>1003.1043206513325</v>
      </c>
      <c r="O9" s="40">
        <v>1689.3808338248664</v>
      </c>
      <c r="P9" s="39">
        <v>1000.4933469599021</v>
      </c>
      <c r="Q9" s="40">
        <v>1879.7524903592689</v>
      </c>
      <c r="R9" s="39">
        <v>997.70399138616438</v>
      </c>
      <c r="S9" s="40">
        <v>2108.737198755849</v>
      </c>
      <c r="T9" s="39">
        <v>994.73247047463519</v>
      </c>
      <c r="U9" s="40">
        <v>2388.7449066552763</v>
      </c>
      <c r="V9" s="39">
        <v>991.59593071000938</v>
      </c>
      <c r="W9" s="40">
        <v>2738.3542387621824</v>
      </c>
      <c r="X9" s="39">
        <v>988.3531690135967</v>
      </c>
      <c r="Y9" s="40">
        <v>3186.7800917592058</v>
      </c>
      <c r="Z9" s="39">
        <v>985.1426197729478</v>
      </c>
      <c r="AA9" s="40">
        <v>3782.6643709358041</v>
      </c>
      <c r="AB9" s="39">
        <v>982.24781566902902</v>
      </c>
      <c r="AC9" s="40">
        <v>4612.3429051794728</v>
      </c>
      <c r="AD9" s="39">
        <v>980.18880975735647</v>
      </c>
      <c r="AE9" s="40">
        <v>5839.4206328324926</v>
      </c>
      <c r="AF9" s="39">
        <v>979.75662209982579</v>
      </c>
      <c r="AG9" s="40">
        <v>7792.1522362687729</v>
      </c>
      <c r="AH9" s="39">
        <v>981.71558921417022</v>
      </c>
      <c r="AI9" s="40">
        <v>11160.942611990562</v>
      </c>
      <c r="AJ9" s="39">
        <v>986.07383981527153</v>
      </c>
      <c r="AK9" s="40">
        <v>17529.310848091653</v>
      </c>
      <c r="AL9" s="39">
        <v>991.96494836560623</v>
      </c>
      <c r="AM9" s="40">
        <v>31424.806259109184</v>
      </c>
      <c r="AN9" s="39">
        <v>999.23123551937636</v>
      </c>
      <c r="AO9" s="40">
        <v>73062.58498708003</v>
      </c>
      <c r="AP9" s="39">
        <v>1001.1851375957225</v>
      </c>
      <c r="AQ9" s="40">
        <v>92313.255298713979</v>
      </c>
      <c r="AR9" s="39">
        <v>1003.6284753415288</v>
      </c>
      <c r="AS9" s="40">
        <v>121701.84742628588</v>
      </c>
      <c r="AT9" s="39">
        <v>1007.038101537406</v>
      </c>
      <c r="AU9" s="40">
        <v>171491.60913066627</v>
      </c>
      <c r="AV9" s="39">
        <v>1012.7095761061307</v>
      </c>
      <c r="AW9" s="40">
        <v>272637.36638292723</v>
      </c>
      <c r="AX9">
        <v>1015.9116825427475</v>
      </c>
      <c r="AY9">
        <v>1005.7716594496609</v>
      </c>
    </row>
    <row r="10" spans="1:51" x14ac:dyDescent="0.2">
      <c r="A10" t="s">
        <v>15</v>
      </c>
      <c r="B10" s="39">
        <v>1015.9116825427475</v>
      </c>
      <c r="C10" s="40">
        <v>1005.7716594496609</v>
      </c>
      <c r="D10" s="39">
        <v>1014.0349704009069</v>
      </c>
      <c r="E10" s="40">
        <v>1083.9629350983469</v>
      </c>
      <c r="F10" s="39">
        <v>1012.0750470263449</v>
      </c>
      <c r="G10" s="40">
        <v>1172.9338162160159</v>
      </c>
      <c r="H10" s="39">
        <v>1010.0182586085165</v>
      </c>
      <c r="I10" s="40">
        <v>1274.820071212062</v>
      </c>
      <c r="J10" s="39">
        <v>1007.8490965642106</v>
      </c>
      <c r="K10" s="40">
        <v>1392.3353982420333</v>
      </c>
      <c r="L10" s="39">
        <v>1005.5504584286091</v>
      </c>
      <c r="M10" s="40">
        <v>1528.9834398273899</v>
      </c>
      <c r="N10" s="39">
        <v>1003.1043206513325</v>
      </c>
      <c r="O10" s="40">
        <v>1689.3808338248664</v>
      </c>
      <c r="P10" s="39">
        <v>1000.4933469599021</v>
      </c>
      <c r="Q10" s="40">
        <v>1879.7524903592689</v>
      </c>
      <c r="R10" s="39">
        <v>997.70399138616438</v>
      </c>
      <c r="S10" s="40">
        <v>2108.737198755849</v>
      </c>
      <c r="T10" s="39">
        <v>994.73247047463519</v>
      </c>
      <c r="U10" s="40">
        <v>2388.7449066552763</v>
      </c>
      <c r="V10" s="39">
        <v>991.59593071000938</v>
      </c>
      <c r="W10" s="40">
        <v>2738.3542387621824</v>
      </c>
      <c r="X10" s="39">
        <v>988.3531690135967</v>
      </c>
      <c r="Y10" s="40">
        <v>3186.7800917592058</v>
      </c>
      <c r="Z10" s="39">
        <v>985.1426197729478</v>
      </c>
      <c r="AA10" s="40">
        <v>3782.6643709358041</v>
      </c>
      <c r="AB10" s="39">
        <v>982.24781566902902</v>
      </c>
      <c r="AC10" s="40">
        <v>4612.3429051794728</v>
      </c>
      <c r="AD10" s="39">
        <v>980.18880975735647</v>
      </c>
      <c r="AE10" s="40">
        <v>5839.4206328324926</v>
      </c>
      <c r="AF10" s="39">
        <v>979.75662209982579</v>
      </c>
      <c r="AG10" s="40">
        <v>7792.1522362687729</v>
      </c>
      <c r="AH10" s="39">
        <v>981.71558921417022</v>
      </c>
      <c r="AI10" s="40">
        <v>11160.942611990562</v>
      </c>
      <c r="AJ10" s="39">
        <v>986.07383981527153</v>
      </c>
      <c r="AK10" s="40">
        <v>17529.310848091653</v>
      </c>
      <c r="AL10" s="39">
        <v>991.96494836560623</v>
      </c>
      <c r="AM10" s="40">
        <v>31424.806259109184</v>
      </c>
      <c r="AN10" s="39">
        <v>999.23123551937636</v>
      </c>
      <c r="AO10" s="40">
        <v>73062.58498708003</v>
      </c>
      <c r="AP10" s="39">
        <v>1001.1851375957225</v>
      </c>
      <c r="AQ10" s="40">
        <v>92313.255298713979</v>
      </c>
      <c r="AR10" s="39">
        <v>1003.6284753415288</v>
      </c>
      <c r="AS10" s="40">
        <v>121701.84742628588</v>
      </c>
      <c r="AT10" s="39">
        <v>1007.038101537406</v>
      </c>
      <c r="AU10" s="40">
        <v>171491.60913066627</v>
      </c>
      <c r="AV10" s="39">
        <v>1012.7095761061307</v>
      </c>
      <c r="AW10" s="40">
        <v>272637.36638292723</v>
      </c>
      <c r="AX10">
        <v>1015.9116825427475</v>
      </c>
      <c r="AY10">
        <v>1005.7716594496609</v>
      </c>
    </row>
    <row r="11" spans="1:51" x14ac:dyDescent="0.2">
      <c r="A11" t="s">
        <v>29</v>
      </c>
      <c r="B11" s="39">
        <v>1015.9116825427475</v>
      </c>
      <c r="C11" s="40">
        <v>1005.7716594496609</v>
      </c>
      <c r="D11" s="39">
        <v>1014.0349704009069</v>
      </c>
      <c r="E11" s="40">
        <v>1083.9629350983469</v>
      </c>
      <c r="F11" s="39">
        <v>1012.0750470263449</v>
      </c>
      <c r="G11" s="40">
        <v>1172.9338162160159</v>
      </c>
      <c r="H11" s="39">
        <v>1010.0182586085165</v>
      </c>
      <c r="I11" s="40">
        <v>1274.820071212062</v>
      </c>
      <c r="J11" s="39">
        <v>1007.8490965642106</v>
      </c>
      <c r="K11" s="40">
        <v>1392.3353982420333</v>
      </c>
      <c r="L11" s="39">
        <v>1005.5504584286091</v>
      </c>
      <c r="M11" s="40">
        <v>1528.9834398273899</v>
      </c>
      <c r="N11" s="39">
        <v>1003.1043206513325</v>
      </c>
      <c r="O11" s="40">
        <v>1689.3808338248664</v>
      </c>
      <c r="P11" s="39">
        <v>1000.4933469599021</v>
      </c>
      <c r="Q11" s="40">
        <v>1879.7524903592689</v>
      </c>
      <c r="R11" s="39">
        <v>997.70399138616438</v>
      </c>
      <c r="S11" s="40">
        <v>2108.737198755849</v>
      </c>
      <c r="T11" s="39">
        <v>994.73247047463519</v>
      </c>
      <c r="U11" s="40">
        <v>2388.7449066552763</v>
      </c>
      <c r="V11" s="39">
        <v>991.59593071000938</v>
      </c>
      <c r="W11" s="40">
        <v>2738.3542387621824</v>
      </c>
      <c r="X11" s="39">
        <v>988.3531690135967</v>
      </c>
      <c r="Y11" s="40">
        <v>3186.7800917592058</v>
      </c>
      <c r="Z11" s="39">
        <v>985.1426197729478</v>
      </c>
      <c r="AA11" s="40">
        <v>3782.6643709358041</v>
      </c>
      <c r="AB11" s="39">
        <v>982.24781566902902</v>
      </c>
      <c r="AC11" s="40">
        <v>4612.3429051794728</v>
      </c>
      <c r="AD11" s="39">
        <v>980.18880975735647</v>
      </c>
      <c r="AE11" s="40">
        <v>5839.4206328324926</v>
      </c>
      <c r="AF11" s="39">
        <v>979.75662209982579</v>
      </c>
      <c r="AG11" s="40">
        <v>7792.1522362687729</v>
      </c>
      <c r="AH11" s="39">
        <v>981.71558921417022</v>
      </c>
      <c r="AI11" s="40">
        <v>11160.942611990562</v>
      </c>
      <c r="AJ11" s="39">
        <v>986.07383981527153</v>
      </c>
      <c r="AK11" s="40">
        <v>17529.310848091653</v>
      </c>
      <c r="AL11" s="39">
        <v>991.96494836560623</v>
      </c>
      <c r="AM11" s="40">
        <v>31424.806259109184</v>
      </c>
      <c r="AN11" s="39">
        <v>999.23123551937636</v>
      </c>
      <c r="AO11" s="40">
        <v>73062.58498708003</v>
      </c>
      <c r="AP11" s="39">
        <v>1001.1851375957225</v>
      </c>
      <c r="AQ11" s="40">
        <v>92313.255298713979</v>
      </c>
      <c r="AR11" s="39">
        <v>1003.6284753415288</v>
      </c>
      <c r="AS11" s="40">
        <v>121701.84742628588</v>
      </c>
      <c r="AT11" s="39">
        <v>1007.038101537406</v>
      </c>
      <c r="AU11" s="40">
        <v>171491.60913066627</v>
      </c>
      <c r="AV11" s="39">
        <v>1012.7095761061307</v>
      </c>
      <c r="AW11" s="40">
        <v>272637.36638292723</v>
      </c>
      <c r="AX11">
        <v>1015.9116825427475</v>
      </c>
      <c r="AY11">
        <v>1005.7716594496609</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c r="AX12">
        <v>1000</v>
      </c>
      <c r="AY12">
        <v>1000</v>
      </c>
    </row>
    <row r="13" spans="1:51" x14ac:dyDescent="0.2">
      <c r="A13" t="s">
        <v>17</v>
      </c>
      <c r="B13" s="93">
        <v>1000</v>
      </c>
      <c r="C13" s="94">
        <v>1000</v>
      </c>
      <c r="D13" s="93">
        <v>997.74817943516359</v>
      </c>
      <c r="E13" s="94">
        <v>997.74817943516359</v>
      </c>
      <c r="F13" s="93">
        <v>995.10273121926502</v>
      </c>
      <c r="G13" s="94">
        <v>995.10273121926502</v>
      </c>
      <c r="H13" s="93">
        <v>992.00572606721403</v>
      </c>
      <c r="I13" s="94">
        <v>992.00572606721403</v>
      </c>
      <c r="J13" s="93">
        <v>988.38727915334528</v>
      </c>
      <c r="K13" s="94">
        <v>988.38727915334528</v>
      </c>
      <c r="L13" s="93">
        <v>984.16217503618589</v>
      </c>
      <c r="M13" s="94">
        <v>984.16217503618589</v>
      </c>
      <c r="N13" s="93">
        <v>979.2251728663324</v>
      </c>
      <c r="O13" s="94">
        <v>979.2251728663324</v>
      </c>
      <c r="P13" s="93">
        <v>973.44433152867384</v>
      </c>
      <c r="Q13" s="94">
        <v>973.44433152867384</v>
      </c>
      <c r="R13" s="93">
        <v>966.65082567573711</v>
      </c>
      <c r="S13" s="94">
        <v>966.65082567573711</v>
      </c>
      <c r="T13" s="93">
        <v>958.62371549635009</v>
      </c>
      <c r="U13" s="94">
        <v>958.62371549635009</v>
      </c>
      <c r="V13" s="93">
        <v>949.06504622725822</v>
      </c>
      <c r="W13" s="94">
        <v>949.06504622725822</v>
      </c>
      <c r="X13" s="93">
        <v>937.55831489652917</v>
      </c>
      <c r="Y13" s="94">
        <v>937.55831489652917</v>
      </c>
      <c r="Z13" s="93">
        <v>923.49592270463938</v>
      </c>
      <c r="AA13" s="94">
        <v>923.49592270463938</v>
      </c>
      <c r="AB13" s="93">
        <v>905.94664038672431</v>
      </c>
      <c r="AC13" s="94">
        <v>905.94664038672431</v>
      </c>
      <c r="AD13" s="93">
        <v>883.40826144243215</v>
      </c>
      <c r="AE13" s="94">
        <v>883.40826144243215</v>
      </c>
      <c r="AF13" s="93">
        <v>853.34148348871099</v>
      </c>
      <c r="AG13" s="94">
        <v>853.34148348871099</v>
      </c>
      <c r="AH13" s="93">
        <v>811.28119483692137</v>
      </c>
      <c r="AI13" s="94">
        <v>811.28119483692137</v>
      </c>
      <c r="AJ13" s="93">
        <v>748.90532181732419</v>
      </c>
      <c r="AK13" s="94">
        <v>748.90532181732419</v>
      </c>
      <c r="AL13" s="93">
        <v>648.47194558788578</v>
      </c>
      <c r="AM13" s="94">
        <v>648.47194558788578</v>
      </c>
      <c r="AN13" s="93">
        <v>460.02475075072573</v>
      </c>
      <c r="AO13" s="94">
        <v>460.02475075072573</v>
      </c>
      <c r="AP13" s="93">
        <v>399.61885308383427</v>
      </c>
      <c r="AQ13" s="94">
        <v>399.61885308383427</v>
      </c>
      <c r="AR13" s="93">
        <v>325.08976009640213</v>
      </c>
      <c r="AS13" s="94">
        <v>325.08976009640213</v>
      </c>
      <c r="AT13" s="93">
        <v>230.65645791315347</v>
      </c>
      <c r="AU13" s="94">
        <v>230.65645791315347</v>
      </c>
      <c r="AV13" s="93">
        <v>109.86528827883573</v>
      </c>
      <c r="AW13" s="94">
        <v>109.86528827883573</v>
      </c>
      <c r="AX13">
        <v>1000</v>
      </c>
      <c r="AY13">
        <v>1000</v>
      </c>
    </row>
    <row r="14" spans="1:51" x14ac:dyDescent="0.2">
      <c r="A14" t="s">
        <v>36</v>
      </c>
      <c r="B14" s="39">
        <v>1457.0034251455234</v>
      </c>
      <c r="C14" s="40">
        <v>1457.0034251455236</v>
      </c>
      <c r="D14" s="39">
        <v>1453.7225148697435</v>
      </c>
      <c r="E14" s="40">
        <v>1453.7225148697437</v>
      </c>
      <c r="F14" s="39">
        <v>1449.8680877581342</v>
      </c>
      <c r="G14" s="40">
        <v>1449.8680877581344</v>
      </c>
      <c r="H14" s="39">
        <v>1445.3557406439024</v>
      </c>
      <c r="I14" s="40">
        <v>1445.3557406439027</v>
      </c>
      <c r="J14" s="39">
        <v>1440.0836510966885</v>
      </c>
      <c r="K14" s="40">
        <v>1440.0836510966888</v>
      </c>
      <c r="L14" s="39">
        <v>1433.9276599263908</v>
      </c>
      <c r="M14" s="40">
        <v>1433.927659926391</v>
      </c>
      <c r="N14" s="39">
        <v>1426.7344308549634</v>
      </c>
      <c r="O14" s="40">
        <v>1426.7344308549636</v>
      </c>
      <c r="P14" s="39">
        <v>1418.3117252257721</v>
      </c>
      <c r="Q14" s="40">
        <v>1418.3117252257723</v>
      </c>
      <c r="R14" s="39">
        <v>1408.4135639292972</v>
      </c>
      <c r="S14" s="40">
        <v>1408.4135639292974</v>
      </c>
      <c r="T14" s="39">
        <v>1396.7180369039097</v>
      </c>
      <c r="U14" s="40">
        <v>1396.7180369039099</v>
      </c>
      <c r="V14" s="39">
        <v>1382.7910230390096</v>
      </c>
      <c r="W14" s="40">
        <v>1382.7910230390098</v>
      </c>
      <c r="X14" s="39">
        <v>1366.025676077908</v>
      </c>
      <c r="Y14" s="40">
        <v>1366.0256760779082</v>
      </c>
      <c r="Z14" s="39">
        <v>1345.5367224885849</v>
      </c>
      <c r="AA14" s="40">
        <v>1345.5367224885852</v>
      </c>
      <c r="AB14" s="39">
        <v>1319.9673580425369</v>
      </c>
      <c r="AC14" s="40">
        <v>1319.9673580425372</v>
      </c>
      <c r="AD14" s="39">
        <v>1287.1288627234755</v>
      </c>
      <c r="AE14" s="40">
        <v>1287.1288627234758</v>
      </c>
      <c r="AF14" s="39">
        <v>1243.3214642618138</v>
      </c>
      <c r="AG14" s="40">
        <v>1243.3214642618141</v>
      </c>
      <c r="AH14" s="39">
        <v>1182.039479633547</v>
      </c>
      <c r="AI14" s="40">
        <v>1182.0394796335472</v>
      </c>
      <c r="AJ14" s="39">
        <v>1091.1576189975517</v>
      </c>
      <c r="AK14" s="40">
        <v>1091.1576189975519</v>
      </c>
      <c r="AL14" s="39">
        <v>944.82584583233097</v>
      </c>
      <c r="AM14" s="40">
        <v>944.82584583233108</v>
      </c>
      <c r="AN14" s="39">
        <v>670.257637495523</v>
      </c>
      <c r="AO14" s="40">
        <v>670.25763749552311</v>
      </c>
      <c r="AP14" s="39">
        <v>582.24603769587213</v>
      </c>
      <c r="AQ14" s="40">
        <v>582.24603769587225</v>
      </c>
      <c r="AR14" s="39">
        <v>473.65689394019438</v>
      </c>
      <c r="AS14" s="40">
        <v>473.65689394019444</v>
      </c>
      <c r="AT14" s="39">
        <v>336.06724921139886</v>
      </c>
      <c r="AU14" s="40">
        <v>336.06724921139892</v>
      </c>
      <c r="AV14" s="39">
        <v>160.07410132686397</v>
      </c>
      <c r="AW14" s="40">
        <v>160.074101326864</v>
      </c>
      <c r="AX14">
        <v>1457.0034251455234</v>
      </c>
      <c r="AY14">
        <v>1457.0034251455236</v>
      </c>
    </row>
    <row r="15" spans="1:51" x14ac:dyDescent="0.2">
      <c r="A15" t="s">
        <v>18</v>
      </c>
      <c r="B15" s="144">
        <v>1000</v>
      </c>
      <c r="C15" s="145">
        <v>1000</v>
      </c>
      <c r="D15" s="144">
        <v>991.71458683227422</v>
      </c>
      <c r="E15" s="145">
        <v>991.71458683227422</v>
      </c>
      <c r="F15" s="144">
        <v>983.07680886063724</v>
      </c>
      <c r="G15" s="145">
        <v>983.07680886063724</v>
      </c>
      <c r="H15" s="144">
        <v>974.03302166296464</v>
      </c>
      <c r="I15" s="145">
        <v>974.03302166296464</v>
      </c>
      <c r="J15" s="144">
        <v>964.5197942970766</v>
      </c>
      <c r="K15" s="145">
        <v>964.5197942970766</v>
      </c>
      <c r="L15" s="144">
        <v>954.46184844779407</v>
      </c>
      <c r="M15" s="145">
        <v>954.46184844779407</v>
      </c>
      <c r="N15" s="144">
        <v>943.76901621899799</v>
      </c>
      <c r="O15" s="145">
        <v>943.76901621899799</v>
      </c>
      <c r="P15" s="144">
        <v>932.33241344736609</v>
      </c>
      <c r="Q15" s="145">
        <v>932.33241344736609</v>
      </c>
      <c r="R15" s="144">
        <v>920.01870136974139</v>
      </c>
      <c r="S15" s="145">
        <v>920.01870136974139</v>
      </c>
      <c r="T15" s="144">
        <v>906.66091517207519</v>
      </c>
      <c r="U15" s="145">
        <v>906.66091517207519</v>
      </c>
      <c r="V15" s="144">
        <v>892.04366059362383</v>
      </c>
      <c r="W15" s="145">
        <v>892.04366059362383</v>
      </c>
      <c r="X15" s="144">
        <v>875.87653063498647</v>
      </c>
      <c r="Y15" s="145">
        <v>875.87653063498647</v>
      </c>
      <c r="Z15" s="144">
        <v>857.7435656659103</v>
      </c>
      <c r="AA15" s="145">
        <v>857.7435656659103</v>
      </c>
      <c r="AB15" s="144">
        <v>837.00021710387637</v>
      </c>
      <c r="AC15" s="145">
        <v>837.00021710387637</v>
      </c>
      <c r="AD15" s="144">
        <v>812.55068704633823</v>
      </c>
      <c r="AE15" s="145">
        <v>812.55068704633823</v>
      </c>
      <c r="AF15" s="144">
        <v>782.35802796616565</v>
      </c>
      <c r="AG15" s="145">
        <v>782.35802796616565</v>
      </c>
      <c r="AH15" s="144">
        <v>742.4292407573198</v>
      </c>
      <c r="AI15" s="145">
        <v>742.4292407573198</v>
      </c>
      <c r="AJ15" s="144">
        <v>684.85188324447461</v>
      </c>
      <c r="AK15" s="145">
        <v>684.85188324447461</v>
      </c>
      <c r="AL15" s="144">
        <v>592.90537328647292</v>
      </c>
      <c r="AM15" s="145">
        <v>592.90537328647292</v>
      </c>
      <c r="AN15" s="144">
        <v>420.59705691301406</v>
      </c>
      <c r="AO15" s="145">
        <v>420.59705691301406</v>
      </c>
      <c r="AP15" s="144">
        <v>365.36825383490594</v>
      </c>
      <c r="AQ15" s="145">
        <v>365.36825383490594</v>
      </c>
      <c r="AR15" s="144">
        <v>297.22685994890554</v>
      </c>
      <c r="AS15" s="145">
        <v>297.22685994890554</v>
      </c>
      <c r="AT15" s="144">
        <v>210.88726583162864</v>
      </c>
      <c r="AU15" s="145">
        <v>210.88726583162864</v>
      </c>
      <c r="AV15" s="144">
        <v>100.4489106240303</v>
      </c>
      <c r="AW15" s="145">
        <v>100.4489106240303</v>
      </c>
      <c r="AX15">
        <v>1000</v>
      </c>
      <c r="AY15">
        <v>1000</v>
      </c>
    </row>
    <row r="16" spans="1:51" s="27" customFormat="1" x14ac:dyDescent="0.2">
      <c r="A16" t="s">
        <v>61</v>
      </c>
      <c r="B16" s="39">
        <v>1000</v>
      </c>
      <c r="C16" s="40">
        <v>1000</v>
      </c>
      <c r="D16" s="39">
        <v>994.93007602048897</v>
      </c>
      <c r="E16" s="40">
        <v>993.43617090203236</v>
      </c>
      <c r="F16" s="39">
        <v>989.48306144948606</v>
      </c>
      <c r="G16" s="40">
        <v>986.5070814324348</v>
      </c>
      <c r="H16" s="39">
        <v>983.60303739223684</v>
      </c>
      <c r="I16" s="40">
        <v>979.15786715410013</v>
      </c>
      <c r="J16" s="39">
        <v>977.22314480261093</v>
      </c>
      <c r="K16" s="40">
        <v>971.3232591593902</v>
      </c>
      <c r="L16" s="39">
        <v>970.26282855577062</v>
      </c>
      <c r="M16" s="40">
        <v>962.92515039141836</v>
      </c>
      <c r="N16" s="39">
        <v>962.62392329493559</v>
      </c>
      <c r="O16" s="40">
        <v>953.86908553789317</v>
      </c>
      <c r="P16" s="39">
        <v>954.18532560697236</v>
      </c>
      <c r="Q16" s="40">
        <v>944.03962860557351</v>
      </c>
      <c r="R16" s="39">
        <v>944.79491363973682</v>
      </c>
      <c r="S16" s="40">
        <v>933.29336698274506</v>
      </c>
      <c r="T16" s="39">
        <v>934.2571919820482</v>
      </c>
      <c r="U16" s="40">
        <v>921.44803050608766</v>
      </c>
      <c r="V16" s="39">
        <v>922.31318145032878</v>
      </c>
      <c r="W16" s="40">
        <v>908.26483717051622</v>
      </c>
      <c r="X16" s="39">
        <v>908.60598561995425</v>
      </c>
      <c r="Y16" s="40">
        <v>893.41769263950323</v>
      </c>
      <c r="Z16" s="39">
        <v>892.6186975151677</v>
      </c>
      <c r="AA16" s="40">
        <v>876.43644353127706</v>
      </c>
      <c r="AB16" s="39">
        <v>873.55587158908452</v>
      </c>
      <c r="AC16" s="40">
        <v>856.59551866142317</v>
      </c>
      <c r="AD16" s="39">
        <v>850.10787529185279</v>
      </c>
      <c r="AE16" s="40">
        <v>832.68429473907247</v>
      </c>
      <c r="AF16" s="39">
        <v>819.97336768007551</v>
      </c>
      <c r="AG16" s="40">
        <v>802.5238599279885</v>
      </c>
      <c r="AH16" s="39">
        <v>778.91033875802532</v>
      </c>
      <c r="AI16" s="40">
        <v>761.98757675875811</v>
      </c>
      <c r="AJ16" s="39">
        <v>718.78876930854688</v>
      </c>
      <c r="AK16" s="40">
        <v>703.04642145375533</v>
      </c>
      <c r="AL16" s="39">
        <v>622.34537516028342</v>
      </c>
      <c r="AM16" s="40">
        <v>608.68904699074801</v>
      </c>
      <c r="AN16" s="39">
        <v>441.4864083527757</v>
      </c>
      <c r="AO16" s="40">
        <v>431.79647260071465</v>
      </c>
      <c r="AP16" s="39">
        <v>383.51470657025669</v>
      </c>
      <c r="AQ16" s="40">
        <v>375.09711829974043</v>
      </c>
      <c r="AR16" s="39">
        <v>311.98901901651914</v>
      </c>
      <c r="AS16" s="40">
        <v>305.14130180970471</v>
      </c>
      <c r="AT16" s="39">
        <v>221.36126370643447</v>
      </c>
      <c r="AU16" s="40">
        <v>216.50269423422154</v>
      </c>
      <c r="AV16" s="39">
        <v>105.43784082610581</v>
      </c>
      <c r="AW16" s="40">
        <v>103.12362764182539</v>
      </c>
      <c r="AX16" s="27">
        <v>1000</v>
      </c>
      <c r="AY16" s="27">
        <v>1000</v>
      </c>
    </row>
    <row r="17" spans="1:51" x14ac:dyDescent="0.2">
      <c r="A17" t="s">
        <v>62</v>
      </c>
      <c r="B17" s="33">
        <v>1000.0000000000002</v>
      </c>
      <c r="C17" s="34">
        <v>999.99999999999977</v>
      </c>
      <c r="D17" s="33">
        <v>998.32142843257145</v>
      </c>
      <c r="E17" s="34">
        <v>1038.0853851516656</v>
      </c>
      <c r="F17" s="33">
        <v>996.57113062220617</v>
      </c>
      <c r="G17" s="34">
        <v>1081.1961558303085</v>
      </c>
      <c r="H17" s="33">
        <v>994.73730590953721</v>
      </c>
      <c r="I17" s="34">
        <v>1130.2899626463866</v>
      </c>
      <c r="J17" s="33">
        <v>992.80661144677219</v>
      </c>
      <c r="K17" s="34">
        <v>1186.5793194480552</v>
      </c>
      <c r="L17" s="33">
        <v>990.76439893748466</v>
      </c>
      <c r="M17" s="34">
        <v>1251.6248944736828</v>
      </c>
      <c r="N17" s="33">
        <v>988.5953838674925</v>
      </c>
      <c r="O17" s="34">
        <v>1327.4779917316764</v>
      </c>
      <c r="P17" s="33">
        <v>986.28505876694157</v>
      </c>
      <c r="Q17" s="34">
        <v>1416.8987951738031</v>
      </c>
      <c r="R17" s="33">
        <v>983.82244178127348</v>
      </c>
      <c r="S17" s="34">
        <v>1523.7116141584918</v>
      </c>
      <c r="T17" s="33">
        <v>981.20535315762334</v>
      </c>
      <c r="U17" s="34">
        <v>1653.4027362156717</v>
      </c>
      <c r="V17" s="33">
        <v>978.45008528375308</v>
      </c>
      <c r="W17" s="34">
        <v>1814.1745309072148</v>
      </c>
      <c r="X17" s="33">
        <v>975.60928257593002</v>
      </c>
      <c r="Y17" s="34">
        <v>2018.9040942509457</v>
      </c>
      <c r="Z17" s="33">
        <v>972.80453268660642</v>
      </c>
      <c r="AA17" s="34">
        <v>2288.9814427246165</v>
      </c>
      <c r="AB17" s="33">
        <v>970.28235503452197</v>
      </c>
      <c r="AC17" s="34">
        <v>2662.2410212660147</v>
      </c>
      <c r="AD17" s="33">
        <v>968.49229877436301</v>
      </c>
      <c r="AE17" s="34">
        <v>3210.0172202675012</v>
      </c>
      <c r="AF17" s="33">
        <v>968.11697558424112</v>
      </c>
      <c r="AG17" s="34">
        <v>4074.4518606340735</v>
      </c>
      <c r="AH17" s="33">
        <v>969.81933590894766</v>
      </c>
      <c r="AI17" s="34">
        <v>5552.120932842714</v>
      </c>
      <c r="AJ17" s="33">
        <v>973.61724315427045</v>
      </c>
      <c r="AK17" s="34">
        <v>8318.9499610199746</v>
      </c>
      <c r="AL17" s="33">
        <v>978.77386107155667</v>
      </c>
      <c r="AM17" s="34">
        <v>14303.144008668005</v>
      </c>
      <c r="AN17" s="33">
        <v>985.1700713491698</v>
      </c>
      <c r="AO17" s="34">
        <v>32113.974479835098</v>
      </c>
      <c r="AP17" s="33">
        <v>986.89669842832154</v>
      </c>
      <c r="AQ17" s="34">
        <v>40330.791244875487</v>
      </c>
      <c r="AR17" s="33">
        <v>989.05978771745708</v>
      </c>
      <c r="AS17" s="34">
        <v>52868.837396679432</v>
      </c>
      <c r="AT17" s="33">
        <v>992.08564426547559</v>
      </c>
      <c r="AU17" s="34">
        <v>74106.947404652688</v>
      </c>
      <c r="AV17" s="33">
        <v>997.13749009775802</v>
      </c>
      <c r="AW17" s="34">
        <v>117266.00206826786</v>
      </c>
      <c r="AX17">
        <v>1000.0000000000002</v>
      </c>
      <c r="AY17">
        <v>999.99999999999977</v>
      </c>
    </row>
    <row r="18" spans="1:51" x14ac:dyDescent="0.2">
      <c r="A18" t="s">
        <v>19</v>
      </c>
      <c r="B18" s="31">
        <v>27857.010133999996</v>
      </c>
      <c r="C18" s="32">
        <v>1236.7674480000003</v>
      </c>
      <c r="D18" s="31">
        <v>27862.684760681488</v>
      </c>
      <c r="E18" s="32">
        <v>1146.8485182195025</v>
      </c>
      <c r="F18" s="31">
        <v>27864.013161643103</v>
      </c>
      <c r="G18" s="32">
        <v>1056.8220136396633</v>
      </c>
      <c r="H18" s="31">
        <v>27860.333043582432</v>
      </c>
      <c r="I18" s="32">
        <v>966.70901173325251</v>
      </c>
      <c r="J18" s="31">
        <v>27850.823280987934</v>
      </c>
      <c r="K18" s="32">
        <v>876.5521634122515</v>
      </c>
      <c r="L18" s="31">
        <v>27834.445307646212</v>
      </c>
      <c r="M18" s="32">
        <v>786.43054924653961</v>
      </c>
      <c r="N18" s="31">
        <v>27809.855896609173</v>
      </c>
      <c r="O18" s="32">
        <v>696.47946736555571</v>
      </c>
      <c r="P18" s="31">
        <v>27775.273489203824</v>
      </c>
      <c r="Q18" s="32">
        <v>606.9235150533018</v>
      </c>
      <c r="R18" s="31">
        <v>27728.264644670369</v>
      </c>
      <c r="S18" s="32">
        <v>518.12801956075555</v>
      </c>
      <c r="T18" s="31">
        <v>27665.40323041458</v>
      </c>
      <c r="U18" s="32">
        <v>430.67018014542657</v>
      </c>
      <c r="V18" s="31">
        <v>27581.695375424501</v>
      </c>
      <c r="W18" s="32">
        <v>345.45307936086186</v>
      </c>
      <c r="X18" s="31">
        <v>27469.591355486788</v>
      </c>
      <c r="Y18" s="32">
        <v>263.86888042075753</v>
      </c>
      <c r="Z18" s="31">
        <v>27317.240140745052</v>
      </c>
      <c r="AA18" s="32">
        <v>188.02017363769235</v>
      </c>
      <c r="AB18" s="31">
        <v>27105.372788153898</v>
      </c>
      <c r="AC18" s="32">
        <v>120.95745291616772</v>
      </c>
      <c r="AD18" s="31">
        <v>26801.936009920602</v>
      </c>
      <c r="AE18" s="32">
        <v>66.669789994678965</v>
      </c>
      <c r="AF18" s="31">
        <v>26353.809394107633</v>
      </c>
      <c r="AG18" s="32">
        <v>29.058490161497364</v>
      </c>
      <c r="AH18" s="31">
        <v>25674.998401197387</v>
      </c>
      <c r="AI18" s="32">
        <v>8.9857366709165394</v>
      </c>
      <c r="AJ18" s="31">
        <v>24617.08059100814</v>
      </c>
      <c r="AK18" s="32">
        <v>1.7254051766960741</v>
      </c>
      <c r="AL18" s="31">
        <v>22841.706516429305</v>
      </c>
      <c r="AM18" s="32">
        <v>0.16463974699852343</v>
      </c>
      <c r="AN18" s="31">
        <v>19171.005238168233</v>
      </c>
      <c r="AO18" s="32">
        <v>3.9816322676203197E-3</v>
      </c>
      <c r="AP18" s="31">
        <v>17851.199300990382</v>
      </c>
      <c r="AQ18" s="32">
        <v>1.3340934101577688E-3</v>
      </c>
      <c r="AR18" s="31">
        <v>16081.787173983737</v>
      </c>
      <c r="AS18" s="32">
        <v>3.5323377972182308E-4</v>
      </c>
      <c r="AT18" s="31">
        <v>13523.927232783388</v>
      </c>
      <c r="AU18" s="32">
        <v>6.3670156742530798E-5</v>
      </c>
      <c r="AV18" s="31">
        <v>9308.2641314142184</v>
      </c>
      <c r="AW18" s="32">
        <v>5.3127779631899895E-6</v>
      </c>
      <c r="AX18">
        <v>27857.010133999996</v>
      </c>
      <c r="AY18">
        <v>1236.7674480000003</v>
      </c>
    </row>
    <row r="19" spans="1:51" x14ac:dyDescent="0.2">
      <c r="A19" t="s">
        <v>3</v>
      </c>
      <c r="B19" s="39">
        <v>1886.3937399999918</v>
      </c>
      <c r="C19" s="40">
        <v>262.78711299999759</v>
      </c>
      <c r="D19" s="39">
        <v>1878.4222865356987</v>
      </c>
      <c r="E19" s="40">
        <v>271.95553939204217</v>
      </c>
      <c r="F19" s="39">
        <v>1869.8047122100195</v>
      </c>
      <c r="G19" s="40">
        <v>282.48310180403445</v>
      </c>
      <c r="H19" s="39">
        <v>1860.4428998882227</v>
      </c>
      <c r="I19" s="40">
        <v>294.55305786576253</v>
      </c>
      <c r="J19" s="39">
        <v>1850.2220064478088</v>
      </c>
      <c r="K19" s="40">
        <v>308.36640170613902</v>
      </c>
      <c r="L19" s="39">
        <v>1839.0084432924978</v>
      </c>
      <c r="M19" s="40">
        <v>324.13483343799163</v>
      </c>
      <c r="N19" s="39">
        <v>1826.6480358298354</v>
      </c>
      <c r="O19" s="40">
        <v>342.06871799284983</v>
      </c>
      <c r="P19" s="39">
        <v>1812.9655459680678</v>
      </c>
      <c r="Q19" s="40">
        <v>362.34855830851825</v>
      </c>
      <c r="R19" s="39">
        <v>1797.7658720585518</v>
      </c>
      <c r="S19" s="40">
        <v>385.07450149486715</v>
      </c>
      <c r="T19" s="39">
        <v>1780.8398210855974</v>
      </c>
      <c r="U19" s="40">
        <v>410.17406114951035</v>
      </c>
      <c r="V19" s="39">
        <v>1761.9773335683747</v>
      </c>
      <c r="W19" s="40">
        <v>437.23096054303403</v>
      </c>
      <c r="X19" s="39">
        <v>1740.9945186095849</v>
      </c>
      <c r="Y19" s="40">
        <v>465.17553450354171</v>
      </c>
      <c r="Z19" s="39">
        <v>1717.7826968709587</v>
      </c>
      <c r="AA19" s="40">
        <v>491.72909566025533</v>
      </c>
      <c r="AB19" s="39">
        <v>1692.3760754513642</v>
      </c>
      <c r="AC19" s="40">
        <v>512.46721770999375</v>
      </c>
      <c r="AD19" s="39">
        <v>1664.9568764519649</v>
      </c>
      <c r="AE19" s="40">
        <v>519.56544206223418</v>
      </c>
      <c r="AF19" s="39">
        <v>1635.3726511864991</v>
      </c>
      <c r="AG19" s="40">
        <v>501.47419193687426</v>
      </c>
      <c r="AH19" s="39">
        <v>1600.9677733685805</v>
      </c>
      <c r="AI19" s="40">
        <v>447.36427772584688</v>
      </c>
      <c r="AJ19" s="39">
        <v>1551.5277276086547</v>
      </c>
      <c r="AK19" s="40">
        <v>357.33433190809774</v>
      </c>
      <c r="AL19" s="39">
        <v>1460.4874349112806</v>
      </c>
      <c r="AM19" s="40">
        <v>244.57075074582457</v>
      </c>
      <c r="AN19" s="39">
        <v>1247.5436883623281</v>
      </c>
      <c r="AO19" s="40">
        <v>123.15247219899015</v>
      </c>
      <c r="AP19" s="39">
        <v>1167.1359290925454</v>
      </c>
      <c r="AQ19" s="40">
        <v>98.560255771868469</v>
      </c>
      <c r="AR19" s="39">
        <v>1057.6364954638195</v>
      </c>
      <c r="AS19" s="40">
        <v>73.937092409492934</v>
      </c>
      <c r="AT19" s="39">
        <v>896.70181404113748</v>
      </c>
      <c r="AU19" s="40">
        <v>49.297346117152784</v>
      </c>
      <c r="AV19" s="39">
        <v>625.5687323880295</v>
      </c>
      <c r="AW19" s="40">
        <v>24.649992001434455</v>
      </c>
      <c r="AX19">
        <v>1886.3937399999918</v>
      </c>
      <c r="AY19">
        <v>262.78711299999759</v>
      </c>
    </row>
    <row r="20" spans="1:51" x14ac:dyDescent="0.2">
      <c r="A20" t="s">
        <v>114</v>
      </c>
      <c r="B20" s="79">
        <v>26548.356269999993</v>
      </c>
      <c r="C20" s="80">
        <v>1408.5418709999938</v>
      </c>
      <c r="D20" s="79">
        <v>26534.112548261415</v>
      </c>
      <c r="E20" s="80">
        <v>1338.1147774499941</v>
      </c>
      <c r="F20" s="79">
        <v>26514.779198958382</v>
      </c>
      <c r="G20" s="80">
        <v>1267.6876838999945</v>
      </c>
      <c r="H20" s="79">
        <v>26489.581395067235</v>
      </c>
      <c r="I20" s="80">
        <v>1197.2605903499946</v>
      </c>
      <c r="J20" s="79">
        <v>26457.574031234915</v>
      </c>
      <c r="K20" s="80">
        <v>1126.8334967999949</v>
      </c>
      <c r="L20" s="79">
        <v>26417.589421868288</v>
      </c>
      <c r="M20" s="80">
        <v>1056.4064032499953</v>
      </c>
      <c r="N20" s="79">
        <v>26368.162822457129</v>
      </c>
      <c r="O20" s="80">
        <v>985.97930969999561</v>
      </c>
      <c r="P20" s="79">
        <v>26307.424959482269</v>
      </c>
      <c r="Q20" s="80">
        <v>915.55221614999607</v>
      </c>
      <c r="R20" s="79">
        <v>26232.936746258783</v>
      </c>
      <c r="S20" s="80">
        <v>845.12512259999642</v>
      </c>
      <c r="T20" s="79">
        <v>26141.437697753379</v>
      </c>
      <c r="U20" s="80">
        <v>774.69802904999653</v>
      </c>
      <c r="V20" s="79">
        <v>26028.434336961203</v>
      </c>
      <c r="W20" s="80">
        <v>704.27093549999688</v>
      </c>
      <c r="X20" s="79">
        <v>25887.510331887239</v>
      </c>
      <c r="Y20" s="80">
        <v>633.84384194999734</v>
      </c>
      <c r="Z20" s="79">
        <v>25709.119747961529</v>
      </c>
      <c r="AA20" s="80">
        <v>563.41674839999746</v>
      </c>
      <c r="AB20" s="79">
        <v>25478.387205926563</v>
      </c>
      <c r="AC20" s="80">
        <v>492.98965484999781</v>
      </c>
      <c r="AD20" s="79">
        <v>25171.013864631215</v>
      </c>
      <c r="AE20" s="80">
        <v>422.56256129999809</v>
      </c>
      <c r="AF20" s="79">
        <v>24745.573034715824</v>
      </c>
      <c r="AG20" s="80">
        <v>352.13546774999827</v>
      </c>
      <c r="AH20" s="79">
        <v>24128.393925087348</v>
      </c>
      <c r="AI20" s="80">
        <v>281.70837419999856</v>
      </c>
      <c r="AJ20" s="79">
        <v>23177.034457310281</v>
      </c>
      <c r="AK20" s="80">
        <v>211.28128064999876</v>
      </c>
      <c r="AL20" s="79">
        <v>21558.690204571511</v>
      </c>
      <c r="AM20" s="80">
        <v>140.85418709999902</v>
      </c>
      <c r="AN20" s="79">
        <v>18148.509375201778</v>
      </c>
      <c r="AO20" s="80">
        <v>70.427093549999285</v>
      </c>
      <c r="AP20" s="79">
        <v>16912.579469864486</v>
      </c>
      <c r="AQ20" s="80">
        <v>56.341674839999335</v>
      </c>
      <c r="AR20" s="79">
        <v>15251.328605759578</v>
      </c>
      <c r="AS20" s="80">
        <v>42.256256129999379</v>
      </c>
      <c r="AT20" s="79">
        <v>12843.205836213434</v>
      </c>
      <c r="AU20" s="80">
        <v>28.170837419999433</v>
      </c>
      <c r="AV20" s="79">
        <v>8859.7690206649331</v>
      </c>
      <c r="AW20" s="80">
        <v>14.08541870999948</v>
      </c>
      <c r="AX20">
        <v>26548.356269999993</v>
      </c>
      <c r="AY20">
        <v>1408.5418709999938</v>
      </c>
    </row>
    <row r="21" spans="1:51" x14ac:dyDescent="0.2">
      <c r="A21" t="s">
        <v>76</v>
      </c>
      <c r="B21" s="79">
        <v>24661.962529999968</v>
      </c>
      <c r="C21" s="80">
        <v>1145.7547579999991</v>
      </c>
      <c r="D21" s="79">
        <v>24655.697187888563</v>
      </c>
      <c r="E21" s="80">
        <v>1066.4556856856414</v>
      </c>
      <c r="F21" s="79">
        <v>24645.003412316935</v>
      </c>
      <c r="G21" s="80">
        <v>986.48662963386653</v>
      </c>
      <c r="H21" s="79">
        <v>24629.206682442898</v>
      </c>
      <c r="I21" s="80">
        <v>905.83521527189623</v>
      </c>
      <c r="J21" s="79">
        <v>24607.47948995759</v>
      </c>
      <c r="K21" s="80">
        <v>824.51306434529783</v>
      </c>
      <c r="L21" s="79">
        <v>24578.791166676026</v>
      </c>
      <c r="M21" s="80">
        <v>742.57139690682197</v>
      </c>
      <c r="N21" s="79">
        <v>24541.835333864739</v>
      </c>
      <c r="O21" s="80">
        <v>660.12189870716986</v>
      </c>
      <c r="P21" s="79">
        <v>24494.922909661003</v>
      </c>
      <c r="Q21" s="80">
        <v>577.37148100529544</v>
      </c>
      <c r="R21" s="79">
        <v>24435.81541360162</v>
      </c>
      <c r="S21" s="80">
        <v>494.67195106630231</v>
      </c>
      <c r="T21" s="79">
        <v>24361.466920877807</v>
      </c>
      <c r="U21" s="80">
        <v>412.59389605427839</v>
      </c>
      <c r="V21" s="79">
        <v>24267.597558447313</v>
      </c>
      <c r="W21" s="80">
        <v>332.03844646804276</v>
      </c>
      <c r="X21" s="79">
        <v>24147.972931089676</v>
      </c>
      <c r="Y21" s="80">
        <v>254.39891144489704</v>
      </c>
      <c r="Z21" s="79">
        <v>23993.140934841111</v>
      </c>
      <c r="AA21" s="80">
        <v>181.78070062309459</v>
      </c>
      <c r="AB21" s="79">
        <v>23788.151026829222</v>
      </c>
      <c r="AC21" s="80">
        <v>117.23483500883253</v>
      </c>
      <c r="AD21" s="79">
        <v>23508.437587288703</v>
      </c>
      <c r="AE21" s="80">
        <v>64.75435719480673</v>
      </c>
      <c r="AF21" s="79">
        <v>23112.597717298351</v>
      </c>
      <c r="AG21" s="80">
        <v>28.270072465102235</v>
      </c>
      <c r="AH21" s="79">
        <v>22529.517248848384</v>
      </c>
      <c r="AI21" s="80">
        <v>8.7516435053184711</v>
      </c>
      <c r="AJ21" s="79">
        <v>21627.036004428312</v>
      </c>
      <c r="AK21" s="80">
        <v>1.681468852541659</v>
      </c>
      <c r="AL21" s="79">
        <v>20099.119006526387</v>
      </c>
      <c r="AM21" s="80">
        <v>0.16048630552193696</v>
      </c>
      <c r="AN21" s="79">
        <v>16901.339925917386</v>
      </c>
      <c r="AO21" s="80">
        <v>3.8814357470086484E-3</v>
      </c>
      <c r="AP21" s="79">
        <v>15745.715375155563</v>
      </c>
      <c r="AQ21" s="80">
        <v>1.3005264261473663E-3</v>
      </c>
      <c r="AR21" s="79">
        <v>14193.862649423787</v>
      </c>
      <c r="AS21" s="80">
        <v>3.4434680496306646E-4</v>
      </c>
      <c r="AT21" s="79">
        <v>11946.578970868675</v>
      </c>
      <c r="AU21" s="80">
        <v>6.2068352767587158E-5</v>
      </c>
      <c r="AV21" s="79">
        <v>8234.2070209376361</v>
      </c>
      <c r="AW21" s="80">
        <v>5.1791216706619581E-6</v>
      </c>
      <c r="AX21">
        <v>24661.962529999968</v>
      </c>
      <c r="AY21">
        <v>1145.7547579999991</v>
      </c>
    </row>
    <row r="22" spans="1:51" x14ac:dyDescent="0.2">
      <c r="A22" t="s">
        <v>28</v>
      </c>
      <c r="B22" s="39">
        <v>6533.6044688320644</v>
      </c>
      <c r="C22" s="40">
        <v>379.90788307663388</v>
      </c>
      <c r="D22" s="39">
        <v>6489.0684522972933</v>
      </c>
      <c r="E22" s="40">
        <v>368.73333638648967</v>
      </c>
      <c r="F22" s="39">
        <v>6440.6459952132909</v>
      </c>
      <c r="G22" s="40">
        <v>357.21500190647129</v>
      </c>
      <c r="H22" s="39">
        <v>6387.7642626647048</v>
      </c>
      <c r="I22" s="40">
        <v>345.32774878585002</v>
      </c>
      <c r="J22" s="39">
        <v>6329.7298345231156</v>
      </c>
      <c r="K22" s="40">
        <v>333.04212210400738</v>
      </c>
      <c r="L22" s="39">
        <v>6265.6904232064016</v>
      </c>
      <c r="M22" s="40">
        <v>320.32272972384385</v>
      </c>
      <c r="N22" s="39">
        <v>6194.5805833645918</v>
      </c>
      <c r="O22" s="40">
        <v>307.12556316426708</v>
      </c>
      <c r="P22" s="39">
        <v>6115.038967937413</v>
      </c>
      <c r="Q22" s="40">
        <v>293.39437767950676</v>
      </c>
      <c r="R22" s="39">
        <v>6025.2782488823541</v>
      </c>
      <c r="S22" s="40">
        <v>279.05472477691575</v>
      </c>
      <c r="T22" s="39">
        <v>5922.8828410147626</v>
      </c>
      <c r="U22" s="40">
        <v>264.00526965813913</v>
      </c>
      <c r="V22" s="39">
        <v>5804.4688673365072</v>
      </c>
      <c r="W22" s="40">
        <v>248.10442825395117</v>
      </c>
      <c r="X22" s="39">
        <v>5665.1109758753319</v>
      </c>
      <c r="Y22" s="40">
        <v>231.15055385420655</v>
      </c>
      <c r="Z22" s="39">
        <v>5497.3552900078848</v>
      </c>
      <c r="AA22" s="40">
        <v>212.85442997284795</v>
      </c>
      <c r="AB22" s="39">
        <v>5289.531454876359</v>
      </c>
      <c r="AC22" s="40">
        <v>192.80822066749622</v>
      </c>
      <c r="AD22" s="39">
        <v>5023.1159981699502</v>
      </c>
      <c r="AE22" s="40">
        <v>170.48010289834116</v>
      </c>
      <c r="AF22" s="39">
        <v>4669.6747390315941</v>
      </c>
      <c r="AG22" s="40">
        <v>145.32601415975145</v>
      </c>
      <c r="AH22" s="39">
        <v>4189.9731064993266</v>
      </c>
      <c r="AI22" s="40">
        <v>117.14268565438128</v>
      </c>
      <c r="AJ22" s="39">
        <v>3535.8830867375377</v>
      </c>
      <c r="AK22" s="40">
        <v>86.44895992339157</v>
      </c>
      <c r="AL22" s="39">
        <v>2643.9598988547014</v>
      </c>
      <c r="AM22" s="40">
        <v>54.355122216535392</v>
      </c>
      <c r="AN22" s="39">
        <v>1417.1249879778265</v>
      </c>
      <c r="AO22" s="40">
        <v>22.668247392603472</v>
      </c>
      <c r="AP22" s="39">
        <v>1122.0235753570948</v>
      </c>
      <c r="AQ22" s="40">
        <v>16.741546675033987</v>
      </c>
      <c r="AR22" s="39">
        <v>811.24013206828704</v>
      </c>
      <c r="AS22" s="40">
        <v>11.149378667499017</v>
      </c>
      <c r="AT22" s="39">
        <v>491.25542763217646</v>
      </c>
      <c r="AU22" s="40">
        <v>6.097710018139221</v>
      </c>
      <c r="AV22" s="39">
        <v>185.17290958669875</v>
      </c>
      <c r="AW22" s="40">
        <v>2.0033914208912935</v>
      </c>
      <c r="AX22">
        <v>6533.6044688320644</v>
      </c>
      <c r="AY22">
        <v>379.90788307663388</v>
      </c>
    </row>
    <row r="23" spans="1:51" x14ac:dyDescent="0.2">
      <c r="A23" t="s">
        <v>7</v>
      </c>
      <c r="B23" s="110">
        <v>3278.5018080150408</v>
      </c>
      <c r="C23" s="8">
        <v>0</v>
      </c>
      <c r="D23" s="110">
        <v>3284.740079076952</v>
      </c>
      <c r="E23" s="8">
        <v>0</v>
      </c>
      <c r="F23" s="110">
        <v>3290.7154974012938</v>
      </c>
      <c r="G23" s="8">
        <v>0</v>
      </c>
      <c r="H23" s="110">
        <v>3296.3844436606782</v>
      </c>
      <c r="I23" s="8">
        <v>0</v>
      </c>
      <c r="J23" s="110">
        <v>3301.6928537235876</v>
      </c>
      <c r="K23" s="8">
        <v>0</v>
      </c>
      <c r="L23" s="110">
        <v>3306.573106275911</v>
      </c>
      <c r="M23" s="8">
        <v>0</v>
      </c>
      <c r="N23" s="110">
        <v>3310.940400063007</v>
      </c>
      <c r="O23" s="8">
        <v>0</v>
      </c>
      <c r="P23" s="110">
        <v>3314.6876315174777</v>
      </c>
      <c r="Q23" s="8">
        <v>0</v>
      </c>
      <c r="R23" s="110">
        <v>3317.6782954845376</v>
      </c>
      <c r="S23" s="8">
        <v>0</v>
      </c>
      <c r="T23" s="110">
        <v>3319.7381950967278</v>
      </c>
      <c r="U23" s="8">
        <v>0</v>
      </c>
      <c r="V23" s="110">
        <v>3320.6425055459094</v>
      </c>
      <c r="W23" s="8">
        <v>0</v>
      </c>
      <c r="X23" s="110">
        <v>3320.0966452985936</v>
      </c>
      <c r="Y23" s="8">
        <v>0</v>
      </c>
      <c r="Z23" s="110">
        <v>3317.701196934855</v>
      </c>
      <c r="AA23" s="8">
        <v>0</v>
      </c>
      <c r="AB23" s="110">
        <v>3312.8649833377276</v>
      </c>
      <c r="AC23" s="8">
        <v>0</v>
      </c>
      <c r="AD23" s="110">
        <v>3304.5351971564955</v>
      </c>
      <c r="AE23" s="8">
        <v>0</v>
      </c>
      <c r="AF23" s="110">
        <v>3290.2632472088994</v>
      </c>
      <c r="AG23" s="8">
        <v>0</v>
      </c>
      <c r="AH23" s="110">
        <v>3263.2277446664089</v>
      </c>
      <c r="AI23" s="8">
        <v>0</v>
      </c>
      <c r="AJ23" s="110">
        <v>3204.2933220287168</v>
      </c>
      <c r="AK23" s="8">
        <v>0</v>
      </c>
      <c r="AL23" s="110">
        <v>3059.5692881385435</v>
      </c>
      <c r="AM23" s="8">
        <v>0</v>
      </c>
      <c r="AN23" s="110">
        <v>2633.8464726136795</v>
      </c>
      <c r="AO23" s="8">
        <v>0</v>
      </c>
      <c r="AP23" s="110">
        <v>2456.043113795221</v>
      </c>
      <c r="AQ23" s="8">
        <v>0</v>
      </c>
      <c r="AR23" s="110">
        <v>2207.0082803134956</v>
      </c>
      <c r="AS23" s="8">
        <v>0</v>
      </c>
      <c r="AT23" s="110">
        <v>1836.3497789990563</v>
      </c>
      <c r="AU23" s="8">
        <v>0</v>
      </c>
      <c r="AV23" s="110">
        <v>1226.0864936035514</v>
      </c>
      <c r="AW23" s="8">
        <v>0</v>
      </c>
      <c r="AX23">
        <v>3278.5018080150408</v>
      </c>
      <c r="AY23">
        <v>0</v>
      </c>
    </row>
    <row r="24" spans="1:51" x14ac:dyDescent="0.2">
      <c r="A24" t="s">
        <v>8</v>
      </c>
      <c r="B24" s="93">
        <v>3196.3846373657216</v>
      </c>
      <c r="C24" s="8">
        <v>0</v>
      </c>
      <c r="D24" s="93">
        <v>3242.1050813183615</v>
      </c>
      <c r="E24" s="8">
        <v>0</v>
      </c>
      <c r="F24" s="93">
        <v>3289.1176209971618</v>
      </c>
      <c r="G24" s="8">
        <v>0</v>
      </c>
      <c r="H24" s="93">
        <v>3337.6005500261103</v>
      </c>
      <c r="I24" s="8">
        <v>0</v>
      </c>
      <c r="J24" s="93">
        <v>3387.7676508483846</v>
      </c>
      <c r="K24" s="8">
        <v>0</v>
      </c>
      <c r="L24" s="93">
        <v>3439.8807595061971</v>
      </c>
      <c r="M24" s="8">
        <v>0</v>
      </c>
      <c r="N24" s="93">
        <v>3494.271306911075</v>
      </c>
      <c r="O24" s="8">
        <v>0</v>
      </c>
      <c r="P24" s="93">
        <v>3551.3735629604494</v>
      </c>
      <c r="Q24" s="8">
        <v>0</v>
      </c>
      <c r="R24" s="93">
        <v>3611.7825804152412</v>
      </c>
      <c r="S24" s="8">
        <v>0</v>
      </c>
      <c r="T24" s="93">
        <v>3676.3541843766607</v>
      </c>
      <c r="U24" s="8">
        <v>0</v>
      </c>
      <c r="V24" s="93">
        <v>3746.3806420237543</v>
      </c>
      <c r="W24" s="8">
        <v>0</v>
      </c>
      <c r="X24" s="93">
        <v>3823.9053093375892</v>
      </c>
      <c r="Y24" s="8">
        <v>0</v>
      </c>
      <c r="Z24" s="93">
        <v>3912.2835640660637</v>
      </c>
      <c r="AA24" s="8">
        <v>0</v>
      </c>
      <c r="AB24" s="93">
        <v>4017.1294492960055</v>
      </c>
      <c r="AC24" s="8">
        <v>0</v>
      </c>
      <c r="AD24" s="93">
        <v>4147.6121732925221</v>
      </c>
      <c r="AE24" s="8">
        <v>0</v>
      </c>
      <c r="AF24" s="93">
        <v>4316.8856721122111</v>
      </c>
      <c r="AG24" s="8">
        <v>0</v>
      </c>
      <c r="AH24" s="93">
        <v>4537.2755840590189</v>
      </c>
      <c r="AI24" s="8">
        <v>0</v>
      </c>
      <c r="AJ24" s="93">
        <v>4804.6792098908345</v>
      </c>
      <c r="AK24" s="8">
        <v>0</v>
      </c>
      <c r="AL24" s="93">
        <v>5065.3424087496114</v>
      </c>
      <c r="AM24" s="8">
        <v>0</v>
      </c>
      <c r="AN24" s="93">
        <v>5044.3308014780587</v>
      </c>
      <c r="AO24" s="8">
        <v>0</v>
      </c>
      <c r="AP24" s="93">
        <v>4905.1843872694117</v>
      </c>
      <c r="AQ24" s="8">
        <v>0</v>
      </c>
      <c r="AR24" s="93">
        <v>4639.9515422676941</v>
      </c>
      <c r="AS24" s="8">
        <v>0</v>
      </c>
      <c r="AT24" s="93">
        <v>4130.9640339428388</v>
      </c>
      <c r="AU24" s="8">
        <v>0</v>
      </c>
      <c r="AV24" s="93">
        <v>3054.9402706803216</v>
      </c>
      <c r="AW24" s="8">
        <v>0</v>
      </c>
      <c r="AX24">
        <v>3196.3846373657216</v>
      </c>
      <c r="AY24">
        <v>0</v>
      </c>
    </row>
    <row r="25" spans="1:51" x14ac:dyDescent="0.2">
      <c r="A25" t="s">
        <v>0</v>
      </c>
      <c r="B25" s="39">
        <v>3195.0476040000012</v>
      </c>
      <c r="C25" s="40">
        <v>91.012690000004397</v>
      </c>
      <c r="D25" s="39">
        <v>3206.9763370739402</v>
      </c>
      <c r="E25" s="40">
        <v>80.339981834457618</v>
      </c>
      <c r="F25" s="39">
        <v>3218.9625787002169</v>
      </c>
      <c r="G25" s="40">
        <v>70.130513741785151</v>
      </c>
      <c r="H25" s="39">
        <v>3231.0145502007845</v>
      </c>
      <c r="I25" s="40">
        <v>60.430817105497972</v>
      </c>
      <c r="J25" s="39">
        <v>3243.1335583154896</v>
      </c>
      <c r="K25" s="40">
        <v>51.289585119790544</v>
      </c>
      <c r="L25" s="39">
        <v>3255.30532535062</v>
      </c>
      <c r="M25" s="40">
        <v>42.757356832929943</v>
      </c>
      <c r="N25" s="39">
        <v>3267.4850868228268</v>
      </c>
      <c r="O25" s="40">
        <v>34.885587580666702</v>
      </c>
      <c r="P25" s="39">
        <v>3279.570836726461</v>
      </c>
      <c r="Q25" s="40">
        <v>27.725928024660142</v>
      </c>
      <c r="R25" s="39">
        <v>3291.3567088444265</v>
      </c>
      <c r="S25" s="40">
        <v>21.328974941730099</v>
      </c>
      <c r="T25" s="39">
        <v>3302.4513287605423</v>
      </c>
      <c r="U25" s="40">
        <v>15.742241467786307</v>
      </c>
      <c r="V25" s="39">
        <v>3312.1322071632999</v>
      </c>
      <c r="W25" s="40">
        <v>11.007622226828975</v>
      </c>
      <c r="X25" s="39">
        <v>3319.0849614387034</v>
      </c>
      <c r="Y25" s="40">
        <v>7.1570011768181878</v>
      </c>
      <c r="Z25" s="39">
        <v>3320.9351804249645</v>
      </c>
      <c r="AA25" s="40">
        <v>4.2046035468376166</v>
      </c>
      <c r="AB25" s="39">
        <v>3313.4384651664664</v>
      </c>
      <c r="AC25" s="40">
        <v>2.133135907487933</v>
      </c>
      <c r="AD25" s="39">
        <v>3289.2656929852219</v>
      </c>
      <c r="AE25" s="40">
        <v>0.86966105002539218</v>
      </c>
      <c r="AF25" s="39">
        <v>3236.9441234307064</v>
      </c>
      <c r="AG25" s="40">
        <v>0.25534815187740634</v>
      </c>
      <c r="AH25" s="39">
        <v>3141.7787265244974</v>
      </c>
      <c r="AI25" s="40">
        <v>4.6566160169605984E-2</v>
      </c>
      <c r="AJ25" s="39">
        <v>2987.3690536160989</v>
      </c>
      <c r="AK25" s="40">
        <v>4.3879558006349158E-3</v>
      </c>
      <c r="AL25" s="39">
        <v>2741.0100695181932</v>
      </c>
      <c r="AM25" s="40">
        <v>1.5639439767032413E-4</v>
      </c>
      <c r="AN25" s="39">
        <v>2269.0335757082476</v>
      </c>
      <c r="AO25" s="40">
        <v>8.2896003654116755E-7</v>
      </c>
      <c r="AP25" s="39">
        <v>2105.027469365265</v>
      </c>
      <c r="AQ25" s="40">
        <v>1.7971911424010098E-7</v>
      </c>
      <c r="AR25" s="39">
        <v>1887.6400400486591</v>
      </c>
      <c r="AS25" s="40">
        <v>2.8270229151504344E-8</v>
      </c>
      <c r="AT25" s="39">
        <v>1577.2243772904524</v>
      </c>
      <c r="AU25" s="40">
        <v>2.6494760129398343E-9</v>
      </c>
      <c r="AV25" s="39">
        <v>1074.0461496255382</v>
      </c>
      <c r="AW25" s="40">
        <v>9.0311337914531298E-11</v>
      </c>
      <c r="AX25">
        <v>3195.0476040000012</v>
      </c>
      <c r="AY25">
        <v>91.012690000004397</v>
      </c>
    </row>
    <row r="26" spans="1:51" x14ac:dyDescent="0.2">
      <c r="A26" t="s">
        <v>27</v>
      </c>
      <c r="B26" s="31">
        <v>5036.2953101960647</v>
      </c>
      <c r="C26" s="32">
        <v>74.905331803938267</v>
      </c>
      <c r="D26" s="31">
        <v>5041.3318485503078</v>
      </c>
      <c r="E26" s="32">
        <v>69.868793449691779</v>
      </c>
      <c r="F26" s="31">
        <v>5046.3961789002924</v>
      </c>
      <c r="G26" s="32">
        <v>64.804463099711</v>
      </c>
      <c r="H26" s="31">
        <v>5051.4918831802725</v>
      </c>
      <c r="I26" s="32">
        <v>59.708758819730669</v>
      </c>
      <c r="J26" s="31">
        <v>5056.6222456859505</v>
      </c>
      <c r="K26" s="32">
        <v>54.578396314050799</v>
      </c>
      <c r="L26" s="31">
        <v>5061.7895417212449</v>
      </c>
      <c r="M26" s="32">
        <v>49.411100278756145</v>
      </c>
      <c r="N26" s="31">
        <v>5066.9940203715287</v>
      </c>
      <c r="O26" s="32">
        <v>44.206621628471474</v>
      </c>
      <c r="P26" s="31">
        <v>5072.2320321590905</v>
      </c>
      <c r="Q26" s="32">
        <v>38.968609840915086</v>
      </c>
      <c r="R26" s="31">
        <v>5077.4929970408111</v>
      </c>
      <c r="S26" s="32">
        <v>33.707644959189807</v>
      </c>
      <c r="T26" s="31">
        <v>5082.7548231639003</v>
      </c>
      <c r="U26" s="32">
        <v>28.445818836103388</v>
      </c>
      <c r="V26" s="31">
        <v>5087.9762488093411</v>
      </c>
      <c r="W26" s="32">
        <v>23.224393190661562</v>
      </c>
      <c r="X26" s="31">
        <v>5093.0850111212176</v>
      </c>
      <c r="Y26" s="32">
        <v>18.115630878777644</v>
      </c>
      <c r="Z26" s="31">
        <v>5097.9601537970857</v>
      </c>
      <c r="AA26" s="32">
        <v>13.240488202919684</v>
      </c>
      <c r="AB26" s="31">
        <v>5102.409111977091</v>
      </c>
      <c r="AC26" s="32">
        <v>8.7915300229132871</v>
      </c>
      <c r="AD26" s="31">
        <v>5106.1537442921281</v>
      </c>
      <c r="AE26" s="32">
        <v>5.0468977078825246</v>
      </c>
      <c r="AF26" s="31">
        <v>5108.8784746246029</v>
      </c>
      <c r="AG26" s="32">
        <v>2.3221673753984087</v>
      </c>
      <c r="AH26" s="31">
        <v>5110.4272246288829</v>
      </c>
      <c r="AI26" s="32">
        <v>0.77341737111901288</v>
      </c>
      <c r="AJ26" s="31">
        <v>5111.0358261370247</v>
      </c>
      <c r="AK26" s="32">
        <v>0.16481586298255732</v>
      </c>
      <c r="AL26" s="31">
        <v>5111.1822939340555</v>
      </c>
      <c r="AM26" s="32">
        <v>1.8348065944919754E-2</v>
      </c>
      <c r="AN26" s="31">
        <v>5111.2000603910919</v>
      </c>
      <c r="AO26" s="32">
        <v>5.8160891155924525E-4</v>
      </c>
      <c r="AP26" s="31">
        <v>5111.2004290723698</v>
      </c>
      <c r="AQ26" s="32">
        <v>2.1292763833728379E-4</v>
      </c>
      <c r="AR26" s="31">
        <v>5111.2005787097132</v>
      </c>
      <c r="AS26" s="32">
        <v>6.3290286742665418E-5</v>
      </c>
      <c r="AT26" s="31">
        <v>5111.2006285255366</v>
      </c>
      <c r="AU26" s="32">
        <v>1.3474472940111517E-5</v>
      </c>
      <c r="AV26" s="31">
        <v>5111.2006404880703</v>
      </c>
      <c r="AW26" s="32">
        <v>1.5119347892402562E-6</v>
      </c>
      <c r="AX26">
        <v>5036.2953101960647</v>
      </c>
      <c r="AY26">
        <v>74.905331803938267</v>
      </c>
    </row>
    <row r="27" spans="1:51" x14ac:dyDescent="0.2">
      <c r="A27" t="s">
        <v>2</v>
      </c>
      <c r="B27" s="33">
        <v>6425.1981590000414</v>
      </c>
      <c r="C27" s="34">
        <v>273.22915400000028</v>
      </c>
      <c r="D27" s="33">
        <v>6443.337757579071</v>
      </c>
      <c r="E27" s="34">
        <v>255.08955581136573</v>
      </c>
      <c r="F27" s="33">
        <v>6461.6111838642219</v>
      </c>
      <c r="G27" s="34">
        <v>236.81612956903038</v>
      </c>
      <c r="H27" s="33">
        <v>6480.0319565793925</v>
      </c>
      <c r="I27" s="34">
        <v>218.39535682639826</v>
      </c>
      <c r="J27" s="33">
        <v>6498.6126247677003</v>
      </c>
      <c r="K27" s="34">
        <v>199.81470065925373</v>
      </c>
      <c r="L27" s="33">
        <v>6517.3621115396791</v>
      </c>
      <c r="M27" s="34">
        <v>181.06520127955557</v>
      </c>
      <c r="N27" s="33">
        <v>6536.282084313937</v>
      </c>
      <c r="O27" s="34">
        <v>162.14523074165405</v>
      </c>
      <c r="P27" s="33">
        <v>6555.3600776456005</v>
      </c>
      <c r="Q27" s="34">
        <v>143.06724453301683</v>
      </c>
      <c r="R27" s="33">
        <v>6574.5580280894492</v>
      </c>
      <c r="S27" s="34">
        <v>123.8692877569827</v>
      </c>
      <c r="T27" s="33">
        <v>6593.7956258863669</v>
      </c>
      <c r="U27" s="34">
        <v>104.63168778799809</v>
      </c>
      <c r="V27" s="33">
        <v>6612.9216041364652</v>
      </c>
      <c r="W27" s="34">
        <v>85.505711920359161</v>
      </c>
      <c r="X27" s="33">
        <v>6631.6696598565459</v>
      </c>
      <c r="Y27" s="34">
        <v>66.757668293275145</v>
      </c>
      <c r="Z27" s="33">
        <v>6649.5924614529122</v>
      </c>
      <c r="AA27" s="34">
        <v>48.834849637133743</v>
      </c>
      <c r="AB27" s="33">
        <v>6665.9757691372033</v>
      </c>
      <c r="AC27" s="34">
        <v>32.451546304206424</v>
      </c>
      <c r="AD27" s="33">
        <v>6679.7856210230457</v>
      </c>
      <c r="AE27" s="34">
        <v>18.641700687597833</v>
      </c>
      <c r="AF27" s="33">
        <v>6689.8457701952493</v>
      </c>
      <c r="AG27" s="34">
        <v>8.5815454693662918</v>
      </c>
      <c r="AH27" s="33">
        <v>6695.5683697954073</v>
      </c>
      <c r="AI27" s="34">
        <v>2.8589447943897484</v>
      </c>
      <c r="AJ27" s="33">
        <v>6697.8180034834713</v>
      </c>
      <c r="AK27" s="34">
        <v>0.60930930019946283</v>
      </c>
      <c r="AL27" s="33">
        <v>6698.359480099416</v>
      </c>
      <c r="AM27" s="34">
        <v>6.7832913283186455E-2</v>
      </c>
      <c r="AN27" s="33">
        <v>6698.4251627934109</v>
      </c>
      <c r="AO27" s="34">
        <v>2.1502188392907135E-3</v>
      </c>
      <c r="AP27" s="33">
        <v>6698.4265257953539</v>
      </c>
      <c r="AQ27" s="34">
        <v>7.8719726851194706E-4</v>
      </c>
      <c r="AR27" s="33">
        <v>6698.4270790120618</v>
      </c>
      <c r="AS27" s="34">
        <v>2.3398532238898072E-4</v>
      </c>
      <c r="AT27" s="33">
        <v>6698.4272631799977</v>
      </c>
      <c r="AU27" s="34">
        <v>4.9815368024549898E-5</v>
      </c>
      <c r="AV27" s="33">
        <v>6698.4273074131688</v>
      </c>
      <c r="AW27" s="34">
        <v>5.5896507674219459E-6</v>
      </c>
      <c r="AX27">
        <v>6425.1981590000414</v>
      </c>
      <c r="AY27">
        <v>273.22915400000028</v>
      </c>
    </row>
    <row r="28" spans="1:51" x14ac:dyDescent="0.2">
      <c r="A28" t="s">
        <v>35</v>
      </c>
      <c r="B28" s="39">
        <v>13763.097676000029</v>
      </c>
      <c r="C28" s="40">
        <v>382.36647899999997</v>
      </c>
      <c r="D28" s="39">
        <v>13788.556589269972</v>
      </c>
      <c r="E28" s="40">
        <v>356.88842621166447</v>
      </c>
      <c r="F28" s="39">
        <v>13814.15146325453</v>
      </c>
      <c r="G28" s="40">
        <v>331.23570432618385</v>
      </c>
      <c r="H28" s="39">
        <v>13839.900226513981</v>
      </c>
      <c r="I28" s="40">
        <v>305.3896584923159</v>
      </c>
      <c r="J28" s="39">
        <v>13865.819296920574</v>
      </c>
      <c r="K28" s="40">
        <v>279.33305175342531</v>
      </c>
      <c r="L28" s="39">
        <v>13891.919926215865</v>
      </c>
      <c r="M28" s="40">
        <v>253.05369790131991</v>
      </c>
      <c r="N28" s="39">
        <v>13918.203171239433</v>
      </c>
      <c r="O28" s="40">
        <v>226.54969882651403</v>
      </c>
      <c r="P28" s="39">
        <v>13944.650467569456</v>
      </c>
      <c r="Q28" s="40">
        <v>199.838926177487</v>
      </c>
      <c r="R28" s="39">
        <v>13971.208096506287</v>
      </c>
      <c r="S28" s="40">
        <v>172.97494158258479</v>
      </c>
      <c r="T28" s="39">
        <v>13997.764456671559</v>
      </c>
      <c r="U28" s="40">
        <v>146.07036489631105</v>
      </c>
      <c r="V28" s="39">
        <v>14024.11126448349</v>
      </c>
      <c r="W28" s="40">
        <v>119.33668050293662</v>
      </c>
      <c r="X28" s="39">
        <v>14049.88401068753</v>
      </c>
      <c r="Y28" s="40">
        <v>93.14556058236397</v>
      </c>
      <c r="Z28" s="39">
        <v>14074.47298595284</v>
      </c>
      <c r="AA28" s="40">
        <v>68.120559794365079</v>
      </c>
      <c r="AB28" s="39">
        <v>14096.90787004634</v>
      </c>
      <c r="AC28" s="40">
        <v>45.256463657450972</v>
      </c>
      <c r="AD28" s="39">
        <v>14115.787662041575</v>
      </c>
      <c r="AE28" s="40">
        <v>25.992245254512536</v>
      </c>
      <c r="AF28" s="39">
        <v>14129.523307262554</v>
      </c>
      <c r="AG28" s="40">
        <v>11.963558980818378</v>
      </c>
      <c r="AH28" s="39">
        <v>14137.329973163749</v>
      </c>
      <c r="AI28" s="40">
        <v>3.9853327962165821</v>
      </c>
      <c r="AJ28" s="39">
        <v>14140.39755483479</v>
      </c>
      <c r="AK28" s="40">
        <v>0.84934179042149993</v>
      </c>
      <c r="AL28" s="39">
        <v>14141.135795792195</v>
      </c>
      <c r="AM28" s="40">
        <v>9.4554396832881638E-2</v>
      </c>
      <c r="AN28" s="39">
        <v>14141.22534363281</v>
      </c>
      <c r="AO28" s="40">
        <v>2.9972535966727421E-3</v>
      </c>
      <c r="AP28" s="39">
        <v>14141.227201868971</v>
      </c>
      <c r="AQ28" s="40">
        <v>1.0972975932896224E-3</v>
      </c>
      <c r="AR28" s="39">
        <v>14141.227956086635</v>
      </c>
      <c r="AS28" s="40">
        <v>3.2615907021659227E-4</v>
      </c>
      <c r="AT28" s="39">
        <v>14141.228207170025</v>
      </c>
      <c r="AU28" s="40">
        <v>6.9439116533121732E-5</v>
      </c>
      <c r="AV28" s="39">
        <v>14141.228267471588</v>
      </c>
      <c r="AW28" s="40">
        <v>7.7915794021433905E-6</v>
      </c>
      <c r="AX28">
        <v>13763.097676000029</v>
      </c>
      <c r="AY28">
        <v>382.36647899999997</v>
      </c>
    </row>
    <row r="29" spans="1:51" x14ac:dyDescent="0.2">
      <c r="A29" t="s">
        <v>53</v>
      </c>
      <c r="B29" s="33">
        <v>14362.768558000025</v>
      </c>
      <c r="C29" s="34">
        <v>817.26650999999993</v>
      </c>
      <c r="D29" s="33">
        <v>14364.875266367675</v>
      </c>
      <c r="E29" s="34">
        <v>754.47191500014515</v>
      </c>
      <c r="F29" s="33">
        <v>14364.68856667482</v>
      </c>
      <c r="G29" s="34">
        <v>691.94243124218758</v>
      </c>
      <c r="H29" s="33">
        <v>14361.858953060919</v>
      </c>
      <c r="I29" s="34">
        <v>629.72934095732205</v>
      </c>
      <c r="J29" s="33">
        <v>14355.953672742491</v>
      </c>
      <c r="K29" s="34">
        <v>567.90144058722865</v>
      </c>
      <c r="L29" s="33">
        <v>14346.42664333022</v>
      </c>
      <c r="M29" s="34">
        <v>506.55448311893412</v>
      </c>
      <c r="N29" s="33">
        <v>14332.573522436209</v>
      </c>
      <c r="O29" s="34">
        <v>445.82327826523624</v>
      </c>
      <c r="P29" s="33">
        <v>14313.463758020511</v>
      </c>
      <c r="Q29" s="34">
        <v>385.90182000806703</v>
      </c>
      <c r="R29" s="33">
        <v>14287.832243474953</v>
      </c>
      <c r="S29" s="34">
        <v>327.07393338485633</v>
      </c>
      <c r="T29" s="33">
        <v>14253.907034154596</v>
      </c>
      <c r="U29" s="34">
        <v>269.75472068973613</v>
      </c>
      <c r="V29" s="33">
        <v>14209.120228229149</v>
      </c>
      <c r="W29" s="34">
        <v>214.55626628111875</v>
      </c>
      <c r="X29" s="33">
        <v>14149.612419527364</v>
      </c>
      <c r="Y29" s="34">
        <v>162.37933803807618</v>
      </c>
      <c r="Z29" s="33">
        <v>14069.358926474359</v>
      </c>
      <c r="AA29" s="34">
        <v>114.53326414314949</v>
      </c>
      <c r="AB29" s="33">
        <v>13958.607913959344</v>
      </c>
      <c r="AC29" s="34">
        <v>72.852861194751426</v>
      </c>
      <c r="AD29" s="33">
        <v>13801.173670556625</v>
      </c>
      <c r="AE29" s="34">
        <v>39.647968521876656</v>
      </c>
      <c r="AF29" s="33">
        <v>13570.17462033636</v>
      </c>
      <c r="AG29" s="34">
        <v>17.034974054626932</v>
      </c>
      <c r="AH29" s="33">
        <v>13221.711602497515</v>
      </c>
      <c r="AI29" s="34">
        <v>5.184665323464146</v>
      </c>
      <c r="AJ29" s="33">
        <v>12679.148927069498</v>
      </c>
      <c r="AK29" s="34">
        <v>0.97880292088981924</v>
      </c>
      <c r="AL29" s="33">
        <v>11767.408091120165</v>
      </c>
      <c r="AM29" s="34">
        <v>9.179237639149751E-2</v>
      </c>
      <c r="AN29" s="33">
        <v>9878.9793394667722</v>
      </c>
      <c r="AO29" s="34">
        <v>2.1814920716440402E-3</v>
      </c>
      <c r="AP29" s="33">
        <v>9199.5002043324275</v>
      </c>
      <c r="AQ29" s="34">
        <v>7.2834151272298427E-4</v>
      </c>
      <c r="AR29" s="33">
        <v>8288.3384151089449</v>
      </c>
      <c r="AS29" s="34">
        <v>1.9214923504882117E-4</v>
      </c>
      <c r="AT29" s="33">
        <v>6970.8434759610718</v>
      </c>
      <c r="AU29" s="34">
        <v>3.4505567366896069E-5</v>
      </c>
      <c r="AV29" s="33">
        <v>4798.7688637137571</v>
      </c>
      <c r="AW29" s="34">
        <v>2.8678465342066925E-6</v>
      </c>
      <c r="AX29">
        <v>14362.768558000025</v>
      </c>
      <c r="AY29">
        <v>817.26650999999993</v>
      </c>
    </row>
    <row r="30" spans="1:51" x14ac:dyDescent="0.2">
      <c r="A30" t="s">
        <v>48</v>
      </c>
      <c r="B30" s="112">
        <v>2924829.9599999995</v>
      </c>
      <c r="D30" s="112">
        <v>2992604.1147875795</v>
      </c>
      <c r="F30" s="112">
        <v>3062258.5602069777</v>
      </c>
      <c r="H30" s="112">
        <v>3134054.9340809109</v>
      </c>
      <c r="J30" s="112">
        <v>3208308.9887090898</v>
      </c>
      <c r="L30" s="112">
        <v>3285411.5001219995</v>
      </c>
      <c r="N30" s="112">
        <v>3365869.3305414598</v>
      </c>
      <c r="P30" s="112">
        <v>3450365.7944175983</v>
      </c>
      <c r="R30" s="112">
        <v>3539868.6621669671</v>
      </c>
      <c r="T30" s="112">
        <v>3635824.69663129</v>
      </c>
      <c r="V30" s="112">
        <v>3740497.0289865988</v>
      </c>
      <c r="X30" s="112">
        <v>3857581.5154215456</v>
      </c>
      <c r="Z30" s="112">
        <v>3993324.0736263096</v>
      </c>
      <c r="AB30" s="112">
        <v>4158467.5380327618</v>
      </c>
      <c r="AD30" s="112">
        <v>4371143.1248589186</v>
      </c>
      <c r="AF30" s="112">
        <v>4658886.4382571727</v>
      </c>
      <c r="AH30" s="112">
        <v>5052424.4191811187</v>
      </c>
      <c r="AJ30" s="112">
        <v>5562746.2601663796</v>
      </c>
      <c r="AL30" s="112">
        <v>6140390.6106207799</v>
      </c>
      <c r="AN30" s="112">
        <v>6474230.6692585722</v>
      </c>
      <c r="AP30" s="112">
        <v>6388178.0242952332</v>
      </c>
      <c r="AR30" s="112">
        <v>6146402.4706816748</v>
      </c>
      <c r="AT30" s="112">
        <v>5589412.169656802</v>
      </c>
      <c r="AV30" s="112">
        <v>4258596.7061232952</v>
      </c>
      <c r="AX30">
        <v>2924829.9599999995</v>
      </c>
    </row>
    <row r="31" spans="1:51" x14ac:dyDescent="0.2">
      <c r="A31" t="s">
        <v>47</v>
      </c>
      <c r="B31" s="77">
        <v>1</v>
      </c>
      <c r="D31" s="77">
        <v>0.99190801582956367</v>
      </c>
      <c r="F31" s="77">
        <v>0.98310327976471679</v>
      </c>
      <c r="H31" s="77">
        <v>0.97348207889665117</v>
      </c>
      <c r="J31" s="77">
        <v>0.96291924132935047</v>
      </c>
      <c r="L31" s="77">
        <v>0.95126147339577427</v>
      </c>
      <c r="N31" s="77">
        <v>0.93831785113151878</v>
      </c>
      <c r="P31" s="77">
        <v>0.92384551380225488</v>
      </c>
      <c r="R31" s="77">
        <v>0.90752724774037274</v>
      </c>
      <c r="T31" s="77">
        <v>0.8889367427581808</v>
      </c>
      <c r="V31" s="77">
        <v>0.86748080847293274</v>
      </c>
      <c r="X31" s="77">
        <v>0.84230296819433892</v>
      </c>
      <c r="Z31" s="77">
        <v>0.81212019877795139</v>
      </c>
      <c r="AB31" s="77">
        <v>0.77495155511477942</v>
      </c>
      <c r="AD31" s="77">
        <v>0.7277189342040995</v>
      </c>
      <c r="AF31" s="77">
        <v>0.66586984540464578</v>
      </c>
      <c r="AH31" s="77">
        <v>0.58358636742952541</v>
      </c>
      <c r="AJ31" s="77">
        <v>0.47488525240136831</v>
      </c>
      <c r="AL31" s="77">
        <v>0.33432498439874764</v>
      </c>
      <c r="AN31" s="77">
        <v>0.15940789256407581</v>
      </c>
      <c r="AP31" s="77">
        <v>0.12139709984921597</v>
      </c>
      <c r="AR31" s="77">
        <v>8.3533823886445591E-2</v>
      </c>
      <c r="AT31" s="77">
        <v>4.7332992273538696E-2</v>
      </c>
      <c r="AV31" s="77">
        <v>1.6178038331674794E-2</v>
      </c>
      <c r="AX31">
        <v>1</v>
      </c>
    </row>
    <row r="32" spans="1:51" x14ac:dyDescent="0.2">
      <c r="A32" t="s">
        <v>64</v>
      </c>
      <c r="B32" s="83">
        <v>14734457.915000005</v>
      </c>
      <c r="D32" s="83">
        <v>14735223.337546265</v>
      </c>
      <c r="F32" s="83">
        <v>14733496.845037861</v>
      </c>
      <c r="H32" s="83">
        <v>14728884.662787847</v>
      </c>
      <c r="J32" s="83">
        <v>14720920.292246869</v>
      </c>
      <c r="L32" s="83">
        <v>14709055.209532721</v>
      </c>
      <c r="N32" s="83">
        <v>14692653.774576789</v>
      </c>
      <c r="P32" s="83">
        <v>14670995.82129164</v>
      </c>
      <c r="R32" s="83">
        <v>14643293.321020029</v>
      </c>
      <c r="T32" s="83">
        <v>14608745.068296019</v>
      </c>
      <c r="V32" s="83">
        <v>14566648.45219093</v>
      </c>
      <c r="X32" s="83">
        <v>14516625.24984818</v>
      </c>
      <c r="Z32" s="83">
        <v>14459029.980486698</v>
      </c>
      <c r="AB32" s="83">
        <v>14395527.674354151</v>
      </c>
      <c r="AD32" s="83">
        <v>14329231.618569195</v>
      </c>
      <c r="AF32" s="83">
        <v>14261054.33230501</v>
      </c>
      <c r="AH32" s="83">
        <v>14172153.672158528</v>
      </c>
      <c r="AJ32" s="83">
        <v>13977982.183048598</v>
      </c>
      <c r="AL32" s="83">
        <v>13426394.381527213</v>
      </c>
      <c r="AN32" s="83">
        <v>11642848.284356084</v>
      </c>
      <c r="AP32" s="83">
        <v>10878102.853194665</v>
      </c>
      <c r="AR32" s="83">
        <v>9798953.9780388866</v>
      </c>
      <c r="AT32" s="83">
        <v>8180956.6268332889</v>
      </c>
      <c r="AV32" s="83">
        <v>5492989.9645929234</v>
      </c>
      <c r="AX32">
        <v>14734457.915000005</v>
      </c>
    </row>
    <row r="33" spans="1:51 16319:16384" x14ac:dyDescent="0.2">
      <c r="A33" t="s">
        <v>54</v>
      </c>
      <c r="B33" s="111">
        <v>7019665.6909999885</v>
      </c>
      <c r="D33" s="111">
        <v>6979835.6055328436</v>
      </c>
      <c r="F33" s="111">
        <v>6937406.6538812937</v>
      </c>
      <c r="H33" s="111">
        <v>6891989.282276989</v>
      </c>
      <c r="J33" s="111">
        <v>6843118.8309307052</v>
      </c>
      <c r="L33" s="111">
        <v>6790236.026575</v>
      </c>
      <c r="N33" s="111">
        <v>6732662.5877832491</v>
      </c>
      <c r="P33" s="111">
        <v>6669564.6159223802</v>
      </c>
      <c r="R33" s="111">
        <v>6599897.2367478153</v>
      </c>
      <c r="T33" s="111">
        <v>6522325.1240004655</v>
      </c>
      <c r="V33" s="111">
        <v>6435085.5215486884</v>
      </c>
      <c r="X33" s="111">
        <v>6335756.3690417837</v>
      </c>
      <c r="Z33" s="111">
        <v>6220835.8606751747</v>
      </c>
      <c r="AB33" s="111">
        <v>6084928.3461209266</v>
      </c>
      <c r="AD33" s="111">
        <v>5919107.1218713112</v>
      </c>
      <c r="AF33" s="111">
        <v>5707547.1748414077</v>
      </c>
      <c r="AH33" s="111">
        <v>5420784.7090415098</v>
      </c>
      <c r="AJ33" s="111">
        <v>5002032.5034685023</v>
      </c>
      <c r="AL33" s="111">
        <v>4330814.7293929588</v>
      </c>
      <c r="AN33" s="111">
        <v>3072236.3042527102</v>
      </c>
      <c r="AP33" s="111">
        <v>2668819.9999872837</v>
      </c>
      <c r="AR33" s="111">
        <v>2171083.6783734057</v>
      </c>
      <c r="AT33" s="111">
        <v>1540419.0362355318</v>
      </c>
      <c r="AV33" s="111">
        <v>733725.73959983699</v>
      </c>
      <c r="AX33">
        <v>7019665.6909999885</v>
      </c>
    </row>
    <row r="34" spans="1:51 16319:16384" x14ac:dyDescent="0.2">
      <c r="A34" t="s">
        <v>75</v>
      </c>
      <c r="B34" s="111">
        <v>1136879.4410000162</v>
      </c>
      <c r="D34" s="111">
        <v>1136938.4929806571</v>
      </c>
      <c r="F34" s="111">
        <v>1136805.278427948</v>
      </c>
      <c r="H34" s="111">
        <v>1136449.4095522976</v>
      </c>
      <c r="J34" s="111">
        <v>1135834.7352813322</v>
      </c>
      <c r="L34" s="111">
        <v>1134919.4054530605</v>
      </c>
      <c r="N34" s="111">
        <v>1133653.9205808085</v>
      </c>
      <c r="P34" s="111">
        <v>1131982.6604745351</v>
      </c>
      <c r="R34" s="111">
        <v>1129845.3102327378</v>
      </c>
      <c r="T34" s="111">
        <v>1127179.687993221</v>
      </c>
      <c r="V34" s="111">
        <v>1123931.5352787203</v>
      </c>
      <c r="X34" s="111">
        <v>1120071.909502395</v>
      </c>
      <c r="Z34" s="111">
        <v>1115627.9914405881</v>
      </c>
      <c r="AB34" s="111">
        <v>1110728.3079125963</v>
      </c>
      <c r="AD34" s="111">
        <v>1105613.0355210481</v>
      </c>
      <c r="AF34" s="111">
        <v>1100352.6284592107</v>
      </c>
      <c r="AH34" s="111">
        <v>1093493.2415902396</v>
      </c>
      <c r="AJ34" s="111">
        <v>1078511.3820551473</v>
      </c>
      <c r="AL34" s="111">
        <v>1035952.0402554856</v>
      </c>
      <c r="AN34" s="111">
        <v>898337.41597588954</v>
      </c>
      <c r="AP34" s="111">
        <v>839331.28468057036</v>
      </c>
      <c r="AR34" s="111">
        <v>756066.45220361685</v>
      </c>
      <c r="AT34" s="111">
        <v>631225.21713481157</v>
      </c>
      <c r="AV34" s="111">
        <v>423827.42523616453</v>
      </c>
      <c r="AX34">
        <v>1136879.4410000162</v>
      </c>
    </row>
    <row r="35" spans="1:51 16319:16384" x14ac:dyDescent="0.2">
      <c r="A35" t="s">
        <v>78</v>
      </c>
      <c r="B35" s="192">
        <v>1</v>
      </c>
      <c r="D35" s="192">
        <v>1.0024383268420698</v>
      </c>
      <c r="F35" s="192">
        <v>1.0052734657617144</v>
      </c>
      <c r="H35" s="192">
        <v>1.0085794300566044</v>
      </c>
      <c r="J35" s="192">
        <v>1.0124509355792499</v>
      </c>
      <c r="L35" s="192">
        <v>1.0170116697448235</v>
      </c>
      <c r="N35" s="192">
        <v>1.0224271508823437</v>
      </c>
      <c r="P35" s="192">
        <v>1.0289248073298078</v>
      </c>
      <c r="R35" s="192">
        <v>1.036826973581813</v>
      </c>
      <c r="T35" s="192">
        <v>1.0466067561895087</v>
      </c>
      <c r="V35" s="192">
        <v>1.058986356728814</v>
      </c>
      <c r="X35" s="192">
        <v>1.0751180037733252</v>
      </c>
      <c r="Z35" s="192">
        <v>1.0969315471338181</v>
      </c>
      <c r="AB35" s="192">
        <v>1.1278277068126181</v>
      </c>
      <c r="AD35" s="192">
        <v>1.1740816421164368</v>
      </c>
      <c r="AF35" s="192">
        <v>1.2476185711722669</v>
      </c>
      <c r="AH35" s="192">
        <v>1.3714262189549757</v>
      </c>
      <c r="AJ35" s="192">
        <v>1.5930000180362873</v>
      </c>
      <c r="AL35" s="192">
        <v>2.0362753211647351</v>
      </c>
      <c r="AN35" s="192">
        <v>3.203179442145577</v>
      </c>
      <c r="AP35" s="192">
        <v>3.6982554997978814</v>
      </c>
      <c r="AR35" s="192">
        <v>4.4210970999282395</v>
      </c>
      <c r="AT35" s="192">
        <v>5.5818688763743163</v>
      </c>
      <c r="AV35" s="192">
        <v>7.7831767575676016</v>
      </c>
      <c r="AX35">
        <v>1</v>
      </c>
    </row>
    <row r="36" spans="1:51 16319:16384" x14ac:dyDescent="0.2">
      <c r="A36" t="s">
        <v>21</v>
      </c>
      <c r="B36" s="35">
        <v>0.47195767671988198</v>
      </c>
      <c r="C36" s="36">
        <v>0.31738834428178964</v>
      </c>
      <c r="D36" s="35">
        <v>0.4719866152945586</v>
      </c>
      <c r="E36" s="36">
        <v>0.32034280330014819</v>
      </c>
      <c r="F36" s="35">
        <v>0.47201741275642861</v>
      </c>
      <c r="G36" s="36">
        <v>0.32361238536473447</v>
      </c>
      <c r="H36" s="35">
        <v>0.47205037048531923</v>
      </c>
      <c r="I36" s="36">
        <v>0.32724595642651177</v>
      </c>
      <c r="J36" s="35">
        <v>0.47208584424014222</v>
      </c>
      <c r="K36" s="36">
        <v>0.33130313685769996</v>
      </c>
      <c r="L36" s="35">
        <v>0.47212424219794513</v>
      </c>
      <c r="M36" s="36">
        <v>0.33585769445372632</v>
      </c>
      <c r="N36" s="35">
        <v>0.47216602777877725</v>
      </c>
      <c r="O36" s="36">
        <v>0.34100265036712729</v>
      </c>
      <c r="P36" s="35">
        <v>0.47221169168538035</v>
      </c>
      <c r="Q36" s="36">
        <v>0.3468577340381816</v>
      </c>
      <c r="R36" s="35">
        <v>0.47226169922143235</v>
      </c>
      <c r="S36" s="36">
        <v>0.35358117107774961</v>
      </c>
      <c r="T36" s="35">
        <v>0.47231638308863139</v>
      </c>
      <c r="U36" s="36">
        <v>0.36138862422931123</v>
      </c>
      <c r="V36" s="35">
        <v>0.47237570351710251</v>
      </c>
      <c r="W36" s="36">
        <v>0.37058475642670291</v>
      </c>
      <c r="X36" s="35">
        <v>0.47243878415287305</v>
      </c>
      <c r="Y36" s="36">
        <v>0.38161789242050226</v>
      </c>
      <c r="Z36" s="35">
        <v>0.47250301653726262</v>
      </c>
      <c r="AA36" s="36">
        <v>0.39517748870602554</v>
      </c>
      <c r="AB36" s="35">
        <v>0.47256247215434755</v>
      </c>
      <c r="AC36" s="36">
        <v>0.41237097120868288</v>
      </c>
      <c r="AD36" s="35">
        <v>0.47260566132542153</v>
      </c>
      <c r="AE36" s="36">
        <v>0.43503672575295455</v>
      </c>
      <c r="AF36" s="35">
        <v>0.47261482207545058</v>
      </c>
      <c r="AG36" s="36">
        <v>0.46624713541613189</v>
      </c>
      <c r="AH36" s="35">
        <v>0.4725735638561796</v>
      </c>
      <c r="AI36" s="36">
        <v>0.51103138306912965</v>
      </c>
      <c r="AJ36" s="35">
        <v>0.47248420190042412</v>
      </c>
      <c r="AK36" s="36">
        <v>0.57792933225053955</v>
      </c>
      <c r="AL36" s="35">
        <v>0.4723686380761718</v>
      </c>
      <c r="AM36" s="36">
        <v>0.68519492735052512</v>
      </c>
      <c r="AN36" s="35">
        <v>0.47223416046726119</v>
      </c>
      <c r="AO36" s="36">
        <v>0.89138888100333535</v>
      </c>
      <c r="AP36" s="35">
        <v>0.47219948468793366</v>
      </c>
      <c r="AQ36" s="36">
        <v>0.96129470013002605</v>
      </c>
      <c r="AR36" s="35">
        <v>0.47215699333166944</v>
      </c>
      <c r="AS36" s="36">
        <v>1.0521089315653684</v>
      </c>
      <c r="AT36" s="35">
        <v>0.47209929562029118</v>
      </c>
      <c r="AU36" s="36">
        <v>1.1782914125218782</v>
      </c>
      <c r="AV36" s="35">
        <v>0.47200737725729547</v>
      </c>
      <c r="AW36" s="36">
        <v>1.3754337081917849</v>
      </c>
      <c r="AX36">
        <v>0.47195767671988198</v>
      </c>
      <c r="AY36">
        <v>0.31738834428178964</v>
      </c>
    </row>
    <row r="37" spans="1:51 16319:16384" x14ac:dyDescent="0.2">
      <c r="B37" s="37">
        <v>2.1403217525954466E-2</v>
      </c>
      <c r="C37" s="38">
        <v>0.3496246130199252</v>
      </c>
      <c r="D37" s="37">
        <v>2.0598328528153149E-2</v>
      </c>
      <c r="E37" s="38">
        <v>0.3448203367938259</v>
      </c>
      <c r="F37" s="37">
        <v>1.9783131950097239E-2</v>
      </c>
      <c r="G37" s="38">
        <v>0.3399202589577795</v>
      </c>
      <c r="H37" s="37">
        <v>1.895741914352965E-2</v>
      </c>
      <c r="I37" s="38">
        <v>0.33492271009483943</v>
      </c>
      <c r="J37" s="37">
        <v>1.8120889445221097E-2</v>
      </c>
      <c r="K37" s="38">
        <v>0.32982579838968307</v>
      </c>
      <c r="L37" s="37">
        <v>1.7273091705335444E-2</v>
      </c>
      <c r="M37" s="38">
        <v>0.32462714400143888</v>
      </c>
      <c r="N37" s="37">
        <v>1.641330537404093E-2</v>
      </c>
      <c r="O37" s="38">
        <v>0.3193232608267525</v>
      </c>
      <c r="P37" s="37">
        <v>1.5540407174712221E-2</v>
      </c>
      <c r="Q37" s="38">
        <v>0.31390887419402752</v>
      </c>
      <c r="R37" s="37">
        <v>1.4652640254181993E-2</v>
      </c>
      <c r="S37" s="38">
        <v>0.30837568343650784</v>
      </c>
      <c r="T37" s="37">
        <v>1.3747289771849367E-2</v>
      </c>
      <c r="U37" s="38">
        <v>0.30271062270550253</v>
      </c>
      <c r="V37" s="37">
        <v>1.2820231190127547E-2</v>
      </c>
      <c r="W37" s="38">
        <v>0.29689349643402085</v>
      </c>
      <c r="X37" s="37">
        <v>1.1865317439006959E-2</v>
      </c>
      <c r="Y37" s="38">
        <v>0.29089394470221075</v>
      </c>
      <c r="Z37" s="37">
        <v>1.0873678276091302E-2</v>
      </c>
      <c r="AA37" s="38">
        <v>0.28466855367297711</v>
      </c>
      <c r="AB37" s="37">
        <v>9.8333183401175389E-3</v>
      </c>
      <c r="AC37" s="38">
        <v>0.27816124149962568</v>
      </c>
      <c r="AD37" s="37">
        <v>8.7304808285215904E-3</v>
      </c>
      <c r="AE37" s="38">
        <v>0.27131727324502047</v>
      </c>
      <c r="AF37" s="37">
        <v>7.5561808032807492E-3</v>
      </c>
      <c r="AG37" s="38">
        <v>0.26413293804744697</v>
      </c>
      <c r="AH37" s="37">
        <v>6.3197127494122041E-3</v>
      </c>
      <c r="AI37" s="38">
        <v>0.25674839711936243</v>
      </c>
      <c r="AJ37" s="37">
        <v>5.0534778323045801E-3</v>
      </c>
      <c r="AK37" s="38">
        <v>0.24947743360776781</v>
      </c>
      <c r="AL37" s="37">
        <v>3.7851426113849999E-3</v>
      </c>
      <c r="AM37" s="38">
        <v>0.24264024697119096</v>
      </c>
      <c r="AN37" s="37">
        <v>2.4911528854588885E-3</v>
      </c>
      <c r="AO37" s="38">
        <v>0.23637058938252434</v>
      </c>
      <c r="AP37" s="37">
        <v>2.2183279536818895E-3</v>
      </c>
      <c r="AQ37" s="38">
        <v>0.23517610019020313</v>
      </c>
      <c r="AR37" s="37">
        <v>1.9342871828657029E-3</v>
      </c>
      <c r="AS37" s="38">
        <v>0.23399321750818969</v>
      </c>
      <c r="AT37" s="37">
        <v>1.6321525691937152E-3</v>
      </c>
      <c r="AU37" s="38">
        <v>0.23281365899435322</v>
      </c>
      <c r="AV37" s="37">
        <v>1.2979891726287959E-3</v>
      </c>
      <c r="AW37" s="38">
        <v>0.23162323198134707</v>
      </c>
      <c r="AX37">
        <v>2.1403217525954466E-2</v>
      </c>
      <c r="AY37">
        <v>0.3496246130199252</v>
      </c>
    </row>
    <row r="38" spans="1:51 16319:16384" x14ac:dyDescent="0.2">
      <c r="A38" t="s">
        <v>22</v>
      </c>
      <c r="B38" s="35">
        <v>0.18079094942242827</v>
      </c>
      <c r="C38" s="36">
        <v>6.0565413429233668E-2</v>
      </c>
      <c r="D38" s="35">
        <v>0.18093489166070595</v>
      </c>
      <c r="E38" s="36">
        <v>6.0922425533726114E-2</v>
      </c>
      <c r="F38" s="35">
        <v>0.18110801734213341</v>
      </c>
      <c r="G38" s="36">
        <v>6.1320129845257837E-2</v>
      </c>
      <c r="H38" s="35">
        <v>0.18131484197543979</v>
      </c>
      <c r="I38" s="36">
        <v>6.1764975907979143E-2</v>
      </c>
      <c r="J38" s="35">
        <v>0.18156096122076934</v>
      </c>
      <c r="K38" s="36">
        <v>6.2264858376012033E-2</v>
      </c>
      <c r="L38" s="35">
        <v>0.1818534368396684</v>
      </c>
      <c r="M38" s="36">
        <v>6.2829578945141115E-2</v>
      </c>
      <c r="N38" s="35">
        <v>0.18220137634691383</v>
      </c>
      <c r="O38" s="36">
        <v>6.3471536060759545E-2</v>
      </c>
      <c r="P38" s="35">
        <v>0.1826168168652112</v>
      </c>
      <c r="Q38" s="36">
        <v>6.4206788622274344E-2</v>
      </c>
      <c r="R38" s="35">
        <v>0.18311614744403965</v>
      </c>
      <c r="S38" s="36">
        <v>6.5056595448679949E-2</v>
      </c>
      <c r="T38" s="35">
        <v>0.18372241968900926</v>
      </c>
      <c r="U38" s="36">
        <v>6.6050124079865352E-2</v>
      </c>
      <c r="V38" s="35">
        <v>0.18446930761706426</v>
      </c>
      <c r="W38" s="36">
        <v>6.7228791920541126E-2</v>
      </c>
      <c r="X38" s="35">
        <v>0.18540810983356412</v>
      </c>
      <c r="Y38" s="36">
        <v>6.8653911934939027E-2</v>
      </c>
      <c r="Z38" s="35">
        <v>0.1866206149497957</v>
      </c>
      <c r="AA38" s="36">
        <v>7.0420572147931293E-2</v>
      </c>
      <c r="AB38" s="35">
        <v>0.18824345829351743</v>
      </c>
      <c r="AC38" s="36">
        <v>7.2682830292453773E-2</v>
      </c>
      <c r="AD38" s="35">
        <v>0.19051436218645215</v>
      </c>
      <c r="AE38" s="36">
        <v>7.569991908307086E-2</v>
      </c>
      <c r="AF38" s="35">
        <v>0.1938573053414768</v>
      </c>
      <c r="AG38" s="36">
        <v>7.9913559255576583E-2</v>
      </c>
      <c r="AH38" s="35">
        <v>0.19904294227299937</v>
      </c>
      <c r="AI38" s="36">
        <v>8.607167107648224E-2</v>
      </c>
      <c r="AJ38" s="35">
        <v>0.20762152551931476</v>
      </c>
      <c r="AK38" s="36">
        <v>9.552299089432327E-2</v>
      </c>
      <c r="AL38" s="35">
        <v>0.2237653430253885</v>
      </c>
      <c r="AM38" s="36">
        <v>0.11144372048314863</v>
      </c>
      <c r="AN38" s="35">
        <v>0.26661095737510015</v>
      </c>
      <c r="AO38" s="36">
        <v>0.14607298526512399</v>
      </c>
      <c r="AP38" s="35">
        <v>0.28632252337179392</v>
      </c>
      <c r="AQ38" s="36">
        <v>0.15960474485223874</v>
      </c>
      <c r="AR38" s="35">
        <v>0.31782540854528546</v>
      </c>
      <c r="AS38" s="36">
        <v>0.17917393628805114</v>
      </c>
      <c r="AT38" s="35">
        <v>0.37793760204029059</v>
      </c>
      <c r="AU38" s="36">
        <v>0.21162933514675569</v>
      </c>
      <c r="AV38" s="35">
        <v>0.54910352438736798</v>
      </c>
      <c r="AW38" s="36">
        <v>0.28458459956652027</v>
      </c>
      <c r="AX38">
        <v>0.18079094942242827</v>
      </c>
      <c r="AY38">
        <v>6.0565413429233668E-2</v>
      </c>
    </row>
    <row r="39" spans="1:51 16319:16384" x14ac:dyDescent="0.2">
      <c r="A39" t="s">
        <v>23</v>
      </c>
      <c r="B39" s="37">
        <v>0.23064923795098771</v>
      </c>
      <c r="C39" s="38">
        <v>0.22092201281804777</v>
      </c>
      <c r="D39" s="37">
        <v>0.23125329855763241</v>
      </c>
      <c r="E39" s="38">
        <v>0.22242654697535438</v>
      </c>
      <c r="F39" s="37">
        <v>0.23189808109763288</v>
      </c>
      <c r="G39" s="38">
        <v>0.22408326710894558</v>
      </c>
      <c r="H39" s="37">
        <v>0.23258989569301125</v>
      </c>
      <c r="I39" s="38">
        <v>0.22591633488016027</v>
      </c>
      <c r="J39" s="37">
        <v>0.23333646403206718</v>
      </c>
      <c r="K39" s="38">
        <v>0.22795528777364824</v>
      </c>
      <c r="L39" s="37">
        <v>0.23414736810829634</v>
      </c>
      <c r="M39" s="38">
        <v>0.23023673413123361</v>
      </c>
      <c r="N39" s="37">
        <v>0.23503473403869379</v>
      </c>
      <c r="O39" s="38">
        <v>0.23280690722293779</v>
      </c>
      <c r="P39" s="37">
        <v>0.23601424051481085</v>
      </c>
      <c r="Q39" s="38">
        <v>0.23572532779596164</v>
      </c>
      <c r="R39" s="37">
        <v>0.23710672529783217</v>
      </c>
      <c r="S39" s="38">
        <v>0.23907081470327204</v>
      </c>
      <c r="T39" s="37">
        <v>0.23834084654285212</v>
      </c>
      <c r="U39" s="38">
        <v>0.24295085337152106</v>
      </c>
      <c r="V39" s="37">
        <v>0.23975761874408302</v>
      </c>
      <c r="W39" s="38">
        <v>0.24751758495989409</v>
      </c>
      <c r="X39" s="37">
        <v>0.24141857714719639</v>
      </c>
      <c r="Y39" s="38">
        <v>0.2529956097392968</v>
      </c>
      <c r="Z39" s="37">
        <v>0.2434210933166234</v>
      </c>
      <c r="AA39" s="38">
        <v>0.25973196754533701</v>
      </c>
      <c r="AB39" s="37">
        <v>0.24592820844915639</v>
      </c>
      <c r="AC39" s="38">
        <v>0.26828893566978212</v>
      </c>
      <c r="AD39" s="37">
        <v>0.24922772812197433</v>
      </c>
      <c r="AE39" s="38">
        <v>0.27961241049485325</v>
      </c>
      <c r="AF39" s="37">
        <v>0.25384739147771979</v>
      </c>
      <c r="AG39" s="38">
        <v>0.29531973002289291</v>
      </c>
      <c r="AH39" s="37">
        <v>0.26078164700034218</v>
      </c>
      <c r="AI39" s="38">
        <v>0.31816476479252731</v>
      </c>
      <c r="AJ39" s="37">
        <v>0.27208011034135288</v>
      </c>
      <c r="AK39" s="38">
        <v>0.35313983545952415</v>
      </c>
      <c r="AL39" s="37">
        <v>0.29325127154056996</v>
      </c>
      <c r="AM39" s="38">
        <v>0.41200812391794317</v>
      </c>
      <c r="AN39" s="37">
        <v>0.34940396080312364</v>
      </c>
      <c r="AO39" s="38">
        <v>0.54003451217151777</v>
      </c>
      <c r="AP39" s="37">
        <v>0.37523677893303931</v>
      </c>
      <c r="AQ39" s="38">
        <v>0.59006158228369765</v>
      </c>
      <c r="AR39" s="37">
        <v>0.41652255477229683</v>
      </c>
      <c r="AS39" s="38">
        <v>0.66240924798655354</v>
      </c>
      <c r="AT39" s="37">
        <v>0.49530193026640384</v>
      </c>
      <c r="AU39" s="38">
        <v>0.7823974460435702</v>
      </c>
      <c r="AV39" s="37">
        <v>0.71962153338631862</v>
      </c>
      <c r="AW39" s="38">
        <v>1.0521145069773841</v>
      </c>
      <c r="AX39">
        <v>0.23064923795098771</v>
      </c>
      <c r="AY39">
        <v>0.22092201281804777</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6.1000000000000623E-2</v>
      </c>
      <c r="E42" s="126"/>
      <c r="F42" s="167">
        <f>6.1%+(1-6.1%)*(1-SUM(F26:G26)/SUM($B$26:$C$26))</f>
        <v>6.0999999999999999E-2</v>
      </c>
      <c r="G42" s="126"/>
      <c r="H42" s="167">
        <f>6.1%+(1-6.1%)*(1-SUM(H26:I26)/SUM($B$26:$C$26))</f>
        <v>6.0999999999999999E-2</v>
      </c>
      <c r="I42" s="126"/>
      <c r="J42" s="167">
        <f>6.1%+(1-6.1%)*(1-SUM(J26:K26)/SUM($B$26:$C$26))</f>
        <v>6.1000000000000311E-2</v>
      </c>
      <c r="K42" s="126"/>
      <c r="L42" s="167">
        <f>6.1%+(1-6.1%)*(1-SUM(L26:M26)/SUM($B$26:$C$26))</f>
        <v>6.1000000000000519E-2</v>
      </c>
      <c r="M42" s="126"/>
      <c r="N42" s="167">
        <f>6.1%+(1-6.1%)*(1-SUM(N26:O26)/SUM($B$26:$C$26))</f>
        <v>6.1000000000000623E-2</v>
      </c>
      <c r="O42" s="126"/>
      <c r="P42" s="167">
        <f>6.1%+(1-6.1%)*(1-SUM(P26:Q26)/SUM($B$26:$C$26))</f>
        <v>6.0999999999999582E-2</v>
      </c>
      <c r="Q42" s="126"/>
      <c r="R42" s="167">
        <f>6.1%+(1-6.1%)*(1-SUM(R26:S26)/SUM($B$26:$C$26))</f>
        <v>6.1000000000000519E-2</v>
      </c>
      <c r="S42" s="126"/>
      <c r="T42" s="167">
        <f>6.1%+(1-6.1%)*(1-SUM(T26:U26)/SUM($B$26:$C$26))</f>
        <v>6.0999999999999999E-2</v>
      </c>
      <c r="U42" s="126"/>
      <c r="V42" s="167">
        <f>6.1%+(1-6.1%)*(1-SUM(V26:W26)/SUM($B$26:$C$26))</f>
        <v>6.1000000000000207E-2</v>
      </c>
      <c r="W42" s="126"/>
      <c r="X42" s="167">
        <f>6.1%+(1-6.1%)*(1-SUM(X26:Y26)/SUM($B$26:$C$26))</f>
        <v>6.1000000000001456E-2</v>
      </c>
      <c r="Y42" s="152"/>
      <c r="Z42" s="167">
        <f>6.1%+(1-6.1%)*(1-SUM(Z26:AA26)/SUM($B$26:$C$26))</f>
        <v>6.0999999999999582E-2</v>
      </c>
      <c r="AA42" s="126"/>
      <c r="AB42" s="167">
        <f>6.1%+(1-6.1%)*(1-SUM(AB26:AC26)/SUM($B$26:$C$26))</f>
        <v>6.0999999999999791E-2</v>
      </c>
      <c r="AC42" s="126"/>
      <c r="AD42" s="167">
        <f>6.1%+(1-6.1%)*(1-SUM(AD26:AE26)/SUM($B$26:$C$26))</f>
        <v>6.099999999999875E-2</v>
      </c>
      <c r="AE42" s="126"/>
      <c r="AF42" s="167">
        <f>6.1%+(1-6.1%)*(1-SUM(AF26:AG26)/SUM($B$26:$C$26))</f>
        <v>6.1000000000000311E-2</v>
      </c>
      <c r="AG42" s="126"/>
      <c r="AH42" s="167">
        <f>6.1%+(1-6.1%)*(1-SUM(AH26:AI26)/SUM($B$26:$C$26))</f>
        <v>6.1000000000000311E-2</v>
      </c>
      <c r="AI42" s="126"/>
      <c r="AJ42" s="167">
        <f>6.1%+(1-6.1%)*(1-SUM(AJ26:AK26)/SUM($B$26:$C$26))</f>
        <v>6.0999999999999374E-2</v>
      </c>
      <c r="AK42" s="126"/>
      <c r="AL42" s="167">
        <f>6.1%+(1-6.1%)*(1-SUM(AL26:AM26)/SUM($B$26:$C$26))</f>
        <v>6.1000000000000519E-2</v>
      </c>
      <c r="AM42" s="126"/>
      <c r="AN42" s="167">
        <f>6.1%+(1-6.1%)*(1-SUM(AN26:AO26)/SUM($B$26:$C$26))</f>
        <v>6.0999999999999999E-2</v>
      </c>
      <c r="AO42" s="126"/>
      <c r="AP42" s="167">
        <f>6.1%+(1-6.1%)*(1-SUM(AP26:AQ26)/SUM($B$26:$C$26))</f>
        <v>6.0999999999999166E-2</v>
      </c>
      <c r="AQ42" s="126"/>
      <c r="AR42" s="167">
        <f>6.1%+(1-6.1%)*(1-SUM(AR26:AS26)/SUM($B$26:$C$26))</f>
        <v>6.1000000000000623E-2</v>
      </c>
      <c r="AS42" s="126"/>
      <c r="AT42" s="167">
        <f>6.1%+(1-6.1%)*(1-SUM(AT26:AU26)/SUM($B$26:$C$26))</f>
        <v>6.099999999999875E-2</v>
      </c>
      <c r="AU42" s="126"/>
      <c r="AV42" s="167">
        <f>6.1%+(1-6.1%)*(1-SUM(AV26:AW26)/SUM($B$26:$C$26))</f>
        <v>6.0999999999999582E-2</v>
      </c>
      <c r="XFD42" s="167"/>
    </row>
    <row r="43" spans="1:51 16319:16384" x14ac:dyDescent="0.2">
      <c r="A43" t="s">
        <v>95</v>
      </c>
      <c r="B43" s="152">
        <f>SUM(B15:C15*B27:C27)/SUM(B15:C15*B27:C27,B13:C13*B26:C26)</f>
        <v>0.56058995943839207</v>
      </c>
      <c r="C43" s="126"/>
      <c r="D43" s="152">
        <f t="array" ref="D43">SUM(D15:E15*D27:E27)/SUM(D15:E15*D27:E27,D13:E13*D26:E26)</f>
        <v>0.56571093350371204</v>
      </c>
      <c r="E43" s="126"/>
      <c r="F43" s="152">
        <f t="array" ref="F43">SUM(F15:G15*F27:G27)/SUM(F15:G15*F27:G27,F13:G13*F26:G26)</f>
        <v>0.56421335914861881</v>
      </c>
      <c r="G43" s="126"/>
      <c r="H43" s="152">
        <f t="array" ref="H43">SUM(H15:I15*H27:I27)/SUM(H15:I15*H27:I27,H13:I13*H26:I26)</f>
        <v>0.5627067895819412</v>
      </c>
      <c r="I43" s="126"/>
      <c r="J43" s="152">
        <f t="array" ref="J43">SUM(J15:K15*J27:K27)/SUM(J15:K15*J27:K27,J13:K13*J26:K26)</f>
        <v>0.56119028933641757</v>
      </c>
      <c r="K43" s="126"/>
      <c r="L43" s="152">
        <f t="array" ref="L43">SUM(L15:M15*L27:M27)/SUM(L15:M15*L27:M27,L13:M13*L26:M26)</f>
        <v>0.55966323070422752</v>
      </c>
      <c r="M43" s="126"/>
      <c r="N43" s="152">
        <f t="array" ref="N43">SUM(N15:O15*N27:O27)/SUM(N15:O15*N27:O27,N13:O13*N26:O26)</f>
        <v>0.55812557952087005</v>
      </c>
      <c r="O43" s="126"/>
      <c r="P43" s="152">
        <f t="array" ref="P43">SUM(P15:Q15*P27:Q27)/SUM(P15:Q15*P27:Q27,P13:Q13*P26:Q26)</f>
        <v>0.556578445072202</v>
      </c>
      <c r="Q43" s="126"/>
      <c r="R43" s="152">
        <f t="array" ref="R43">SUM(R15:S15*R27:S27)/SUM(R15:S15*R27:S27,R13:S13*R26:S26)</f>
        <v>0.55502500851092407</v>
      </c>
      <c r="S43" s="126"/>
      <c r="T43" s="152">
        <f t="array" ref="T43">SUM(T15:U15*T27:U27)/SUM(T15:U15*T27:U27,T13:U13*T26:U26)</f>
        <v>0.55347182184867239</v>
      </c>
      <c r="U43" s="126"/>
      <c r="V43" s="152">
        <f t="array" ref="V43">SUM(V15:W15*V27:W27)/SUM(V15:W15*V27:W27,V13:W13*V26:W26)</f>
        <v>0.55193109250273387</v>
      </c>
      <c r="W43" s="126"/>
      <c r="X43" s="152">
        <f t="array" ref="X43">SUM(X15:Y15*X27:Y27)/SUM(X15:Y15*X27:Y27,X13:Y13*X26:Y26)</f>
        <v>0.55042415778240383</v>
      </c>
      <c r="Y43" s="126"/>
      <c r="Z43" s="152">
        <f t="array" ref="Z43">SUM(Z15:AA15*Z27:AA27)/SUM(Z15:AA15*Z27:AA27,Z13:AA13*Z26:AA26)</f>
        <v>0.54898666105244243</v>
      </c>
      <c r="AA43" s="126"/>
      <c r="AB43" s="152">
        <f t="array" ref="AB43">SUM(AB15:AC15*AB27:AC27)/SUM(AB15:AC15*AB27:AC27,AB13:AC13*AB26:AC26)</f>
        <v>0.54767531163097871</v>
      </c>
      <c r="AC43" s="126"/>
      <c r="AD43" s="152">
        <f t="array" ref="AD43">SUM(AD15:AE15*AD27:AE27)/SUM(AD15:AE15*AD27:AE27,AD13:AE13*AD26:AE26)</f>
        <v>0.54657193197598197</v>
      </c>
      <c r="AE43" s="126"/>
      <c r="AF43" s="152">
        <f t="array" ref="AF43">SUM(AF15:AG15*AF27:AG27)/SUM(AF15:AG15*AF27:AG27,AF13:AG13*AF26:AG26)</f>
        <v>0.54576929157645437</v>
      </c>
      <c r="AG43" s="126"/>
      <c r="AH43" s="152">
        <f t="array" ref="AH43">SUM(AH15:AI15*AH27:AI27)/SUM(AH15:AI15*AH27:AI27,AH13:AI13*AH26:AI26)</f>
        <v>0.54531315114393375</v>
      </c>
      <c r="AI43" s="126"/>
      <c r="AJ43" s="152">
        <f t="array" ref="AJ43">SUM(AJ15:AK15*AJ27:AK27)/SUM(AJ15:AK15*AJ27:AK27,AJ13:AK13*AJ26:AK26)</f>
        <v>0.54513392169528263</v>
      </c>
      <c r="AK43" s="126"/>
      <c r="AL43" s="152">
        <f t="array" ref="AL43">SUM(AL15:AM15*AL27:AM27)/SUM(AL15:AM15*AL27:AM27,AL13:AM13*AL26:AM26)</f>
        <v>0.5450907893059288</v>
      </c>
      <c r="AM43" s="126"/>
      <c r="AN43" s="152">
        <f t="array" ref="AN43">SUM(AN15:AO15*AN27:AO27)/SUM(AN15:AO15*AN27:AO27,AN13:AO13*AN26:AO26)</f>
        <v>0.54508555740877906</v>
      </c>
      <c r="AO43" s="126"/>
      <c r="AP43" s="152">
        <f t="array" ref="AP43">SUM(AP15:AQ15*AP27:AQ27)/SUM(AP15:AQ15*AP27:AQ27,AP13:AQ13*AP26:AQ26)</f>
        <v>0.5450854488381921</v>
      </c>
      <c r="AQ43" s="126"/>
      <c r="AR43" s="152">
        <f t="array" ref="AR43">SUM(AR15:AS15*AR27:AS27)/SUM(AR15:AS15*AR27:AS27,AR13:AS13*AR26:AS26)</f>
        <v>0.54508540477294232</v>
      </c>
      <c r="AS43" s="126"/>
      <c r="AT43" s="152">
        <f t="array" ref="AT43">SUM(AT15:AU15*AT27:AU27)/SUM(AT15:AU15*AT27:AU27,AT13:AU13*AT26:AU26)</f>
        <v>0.54508539010303547</v>
      </c>
      <c r="AU43" s="126"/>
      <c r="AV43" s="152">
        <f t="array" ref="AV43">SUM(AV15:AW15*AV27:AW27)/SUM(AV15:AW15*AV27:AW27,AV13:AW13*AV26:AW26)</f>
        <v>0.54508538658055894</v>
      </c>
    </row>
    <row r="44" spans="1:51 16319:16384" x14ac:dyDescent="0.2">
      <c r="A44" t="s">
        <v>129</v>
      </c>
      <c r="B44" s="183">
        <f>(SUM(B11:C11*B24:C24)+B34)/B32</f>
        <v>0.29754226190682465</v>
      </c>
      <c r="D44" s="183">
        <f>(SUM(D11:E11*D24:E24)+D34)/D32</f>
        <v>0.30027006186448035</v>
      </c>
      <c r="F44" s="183">
        <f>(SUM(F11:G11*F24:G24)+F34)/F32</f>
        <v>0.30309431605693976</v>
      </c>
      <c r="H44" s="183">
        <f>(SUM(H11:I11*H24:I24)+H34)/H32</f>
        <v>0.30603042988099072</v>
      </c>
      <c r="J44" s="183">
        <f>(SUM(J11:K11*J24:K24)+J34)/J32</f>
        <v>0.30909706806542553</v>
      </c>
      <c r="L44" s="183">
        <f>(SUM(L11:M11*L24:M24)+L34)/L32</f>
        <v>0.31231734565365116</v>
      </c>
      <c r="N44" s="183">
        <f>(SUM(N11:O11*N24:O24)+N34)/N32</f>
        <v>0.3157205387972809</v>
      </c>
      <c r="P44" s="183">
        <f>(SUM(P11:Q11*P24:Q24)+P34)/P32</f>
        <v>0.31934494017007148</v>
      </c>
      <c r="R44" s="183">
        <f>(SUM(R11:S11*R24:S24)+R34)/R32</f>
        <v>0.32324253178330292</v>
      </c>
      <c r="T44" s="183">
        <f>(SUM(T11:U11*T24:U24)+T34)/T32</f>
        <v>0.3274866215949383</v>
      </c>
      <c r="V44" s="183">
        <f>(SUM(V11:W11*V24:W24)+V34)/V32</f>
        <v>0.33218535826423634</v>
      </c>
      <c r="X44" s="183">
        <f>(SUM(X11:Y11*X24:Y24)+X34)/X32</f>
        <v>0.33750549839711264</v>
      </c>
      <c r="Z44" s="183">
        <f>(SUM(Z11:AA11*Z24:AA24)+Z34)/Z32</f>
        <v>0.3437149848742474</v>
      </c>
      <c r="AB44" s="183">
        <f>(SUM(AB11:AC11*AB24:AC24)+AB34)/AB32</f>
        <v>0.35125804688296614</v>
      </c>
      <c r="AD44" s="183">
        <f>(SUM(AD11:AE11*AD24:AE24)+AD34)/AD32</f>
        <v>0.36087462416998101</v>
      </c>
      <c r="AF44" s="183">
        <f>(SUM(AF11:AG11*AF24:AG24)+AF34)/AF32</f>
        <v>0.37373463618924058</v>
      </c>
      <c r="AH44" s="183">
        <f>(SUM(AH11:AI11*AH24:AI24)+AH34)/AH32</f>
        <v>0.39145831631226119</v>
      </c>
      <c r="AJ44" s="183">
        <f>(SUM(AJ11:AK11*AJ24:AK24)+AJ34)/AJ32</f>
        <v>0.41610296704243449</v>
      </c>
      <c r="AL44" s="183">
        <f>(SUM(AL11:AM11*AL24:AM24)+AL34)/AL32</f>
        <v>0.45139402202749351</v>
      </c>
      <c r="AN44" s="183">
        <f>(SUM(AN11:AO11*AN24:AO24)+AN34)/AN32</f>
        <v>0.5100805378598734</v>
      </c>
      <c r="AP44" s="183">
        <f>(SUM(AP11:AQ11*AP24:AQ24)+AP34)/AP32</f>
        <v>0.52861505981188051</v>
      </c>
      <c r="AR44" s="183">
        <f>(SUM(AR11:AS11*AR24:AS24)+AR34)/AR32</f>
        <v>0.5523909956470292</v>
      </c>
      <c r="AT44" s="183">
        <f>(SUM(AT11:AU11*AT24:AU24)+AT34)/AT32</f>
        <v>0.58566053017329467</v>
      </c>
      <c r="AV44" s="183">
        <f>(SUM(AV11:AW11*AV24:AW24)+AV34)/AV32</f>
        <v>0.64037886733096638</v>
      </c>
    </row>
    <row r="45" spans="1:51 16319:16384" x14ac:dyDescent="0.2">
      <c r="A45" t="s">
        <v>82</v>
      </c>
      <c r="B45" s="183">
        <f>SUM(B11:C11*B24:C24)/B32</f>
        <v>0.22038438833194082</v>
      </c>
      <c r="D45" s="183">
        <f>SUM(D11:E11*D24:E24)/D32</f>
        <v>0.22311218872361882</v>
      </c>
      <c r="F45" s="183">
        <f>SUM(F11:G11*F24:G24)/F32</f>
        <v>0.22593644305608346</v>
      </c>
      <c r="H45" s="183">
        <f>SUM(H11:I11*H24:I24)/H32</f>
        <v>0.22887255706367499</v>
      </c>
      <c r="J45" s="183">
        <f>SUM(J11:K11*J24:K24)/J32</f>
        <v>0.23193920614292421</v>
      </c>
      <c r="L45" s="183">
        <f>SUM(L11:M11*L24:M24)/L32</f>
        <v>0.23515947322160424</v>
      </c>
      <c r="N45" s="183">
        <f>SUM(N11:O11*N24:O24)/N32</f>
        <v>0.23856266534746137</v>
      </c>
      <c r="P45" s="183">
        <f>SUM(P11:Q11*P24:Q24)/P32</f>
        <v>0.24218707888626431</v>
      </c>
      <c r="R45" s="183">
        <f>SUM(R11:S11*R24:S24)/R32</f>
        <v>0.24608466261661233</v>
      </c>
      <c r="T45" s="183">
        <f>SUM(T11:U11*T24:U24)/T32</f>
        <v>0.25032874918881132</v>
      </c>
      <c r="V45" s="183">
        <f>SUM(V11:W11*V24:W24)/V32</f>
        <v>0.25502749048376738</v>
      </c>
      <c r="X45" s="183">
        <f>SUM(X11:Y11*X24:Y24)/X32</f>
        <v>0.26034762663114486</v>
      </c>
      <c r="Z45" s="183">
        <f>SUM(Z11:AA11*Z24:AA24)/Z32</f>
        <v>0.26655711239274671</v>
      </c>
      <c r="AB45" s="183">
        <f>SUM(AB11:AC11*AB24:AC24)/AB32</f>
        <v>0.27410017306001661</v>
      </c>
      <c r="AD45" s="183">
        <f>SUM(AD11:AE11*AD24:AE24)/AD32</f>
        <v>0.28371675102287608</v>
      </c>
      <c r="AF45" s="183">
        <f>SUM(AF11:AG11*AF24:AG24)/AF32</f>
        <v>0.29657676252721937</v>
      </c>
      <c r="AH45" s="183">
        <f>SUM(AH11:AI11*AH24:AI24)/AH32</f>
        <v>0.31430044271832552</v>
      </c>
      <c r="AJ45" s="183">
        <f>SUM(AJ11:AK11*AJ24:AK24)/AJ32</f>
        <v>0.33894509347159241</v>
      </c>
      <c r="AL45" s="183">
        <f>SUM(AL11:AM11*AL24:AM24)/AL32</f>
        <v>0.37423614845267827</v>
      </c>
      <c r="AN45" s="183">
        <f>SUM(AN11:AO11*AN24:AO24)/AN32</f>
        <v>0.43292266428499049</v>
      </c>
      <c r="AP45" s="183">
        <f>SUM(AP11:AQ11*AP24:AQ24)/AP32</f>
        <v>0.45145718623707087</v>
      </c>
      <c r="AR45" s="183">
        <f>SUM(AR11:AS11*AR24:AS24)/AR32</f>
        <v>0.47523312207214663</v>
      </c>
      <c r="AT45" s="183">
        <f>SUM(AT11:AU11*AT24:AU24)/AT32</f>
        <v>0.50850265659841076</v>
      </c>
      <c r="AV45" s="183">
        <f>SUM(AV11:AW11*AV24:AW24)/AV32</f>
        <v>0.56322099375608292</v>
      </c>
      <c r="XCQ45" s="183"/>
    </row>
    <row r="46" spans="1:51 16319:16384" x14ac:dyDescent="0.2">
      <c r="A46" t="s">
        <v>126</v>
      </c>
      <c r="B46" s="183">
        <f>B34/B32</f>
        <v>7.7157873574883795E-2</v>
      </c>
      <c r="D46" s="183">
        <f>D34/D32</f>
        <v>7.7157873140861546E-2</v>
      </c>
      <c r="F46" s="183">
        <f>F34/F32</f>
        <v>7.7157873000856289E-2</v>
      </c>
      <c r="H46" s="183">
        <f>H34/H32</f>
        <v>7.7157872817315773E-2</v>
      </c>
      <c r="J46" s="183">
        <f>J34/J32</f>
        <v>7.7157861922501347E-2</v>
      </c>
      <c r="L46" s="183">
        <f>L34/L32</f>
        <v>7.7157872432046901E-2</v>
      </c>
      <c r="N46" s="183">
        <f>N34/N32</f>
        <v>7.7157873449819489E-2</v>
      </c>
      <c r="P46" s="183">
        <f>P34/P32</f>
        <v>7.7157861283807166E-2</v>
      </c>
      <c r="R46" s="183">
        <f>R34/R32</f>
        <v>7.715786916669061E-2</v>
      </c>
      <c r="T46" s="183">
        <f>T34/T32</f>
        <v>7.7157872406126982E-2</v>
      </c>
      <c r="V46" s="183">
        <f>V34/V32</f>
        <v>7.7157867780468944E-2</v>
      </c>
      <c r="X46" s="183">
        <f>X34/X32</f>
        <v>7.7157871765967723E-2</v>
      </c>
      <c r="Z46" s="183">
        <f>Z34/Z32</f>
        <v>7.7157872481500689E-2</v>
      </c>
      <c r="AB46" s="183">
        <f>AB34/AB32</f>
        <v>7.7157873822949571E-2</v>
      </c>
      <c r="AD46" s="183">
        <f>AD34/AD32</f>
        <v>7.7157873147105011E-2</v>
      </c>
      <c r="AF46" s="183">
        <f>AF34/AF32</f>
        <v>7.7157873662021245E-2</v>
      </c>
      <c r="AH46" s="183">
        <f>AH34/AH32</f>
        <v>7.7157873593935722E-2</v>
      </c>
      <c r="AJ46" s="183">
        <f>AJ34/AJ32</f>
        <v>7.7157873570842112E-2</v>
      </c>
      <c r="AL46" s="183">
        <f>AL34/AL32</f>
        <v>7.7157873574815183E-2</v>
      </c>
      <c r="AN46" s="183">
        <f>AN34/AN32</f>
        <v>7.7157873574882949E-2</v>
      </c>
      <c r="AP46" s="183">
        <f>AP34/AP32</f>
        <v>7.7157873574809674E-2</v>
      </c>
      <c r="AR46" s="183">
        <f>AR34/AR32</f>
        <v>7.7157873574882546E-2</v>
      </c>
      <c r="AT46" s="183">
        <f>AT34/AT32</f>
        <v>7.7157873574883906E-2</v>
      </c>
      <c r="AV46" s="183">
        <f>AV34/AV32</f>
        <v>7.715787357488349E-2</v>
      </c>
      <c r="XCS46" s="183"/>
    </row>
    <row r="48" spans="1:51 16319:16384" x14ac:dyDescent="0.2">
      <c r="A48" t="s">
        <v>143</v>
      </c>
      <c r="B48" s="181">
        <f>B24/$B$24</f>
        <v>1</v>
      </c>
      <c r="C48" s="181"/>
      <c r="D48" s="181">
        <f>D24/$B$24</f>
        <v>1.0143037991792878</v>
      </c>
      <c r="E48" s="181"/>
      <c r="F48" s="181">
        <f>F24/$B$24</f>
        <v>1.0290118349798683</v>
      </c>
      <c r="G48" s="181"/>
      <c r="H48" s="181">
        <f>H24/$B$24</f>
        <v>1.044179887179276</v>
      </c>
      <c r="I48" s="181"/>
      <c r="J48" s="181">
        <f>J24/$B$24</f>
        <v>1.0598748383549954</v>
      </c>
      <c r="K48" s="181"/>
      <c r="L48" s="181">
        <f>L24/$B$24</f>
        <v>1.0761786048193347</v>
      </c>
      <c r="M48" s="181"/>
      <c r="N48" s="181">
        <f>N24/$B$24</f>
        <v>1.0931948758804118</v>
      </c>
      <c r="O48" s="181"/>
      <c r="P48" s="181">
        <f>P24/$B$24</f>
        <v>1.1110595143791235</v>
      </c>
      <c r="Q48" s="181"/>
      <c r="R48" s="181">
        <f>R24/$B$24</f>
        <v>1.1299586846318554</v>
      </c>
      <c r="S48" s="181"/>
      <c r="T48" s="181">
        <f>T24/$B$24</f>
        <v>1.1501601344844727</v>
      </c>
      <c r="U48" s="181"/>
      <c r="V48" s="181">
        <f>V24/$B$24</f>
        <v>1.1720681541978966</v>
      </c>
      <c r="W48" s="181"/>
      <c r="X48" s="181">
        <f>X24/$B$24</f>
        <v>1.1963220147651048</v>
      </c>
      <c r="Y48" s="181"/>
      <c r="Z48" s="181">
        <f>Z24/$B$24</f>
        <v>1.2239714577311775</v>
      </c>
      <c r="AA48" s="181"/>
      <c r="AB48" s="181">
        <f>AB24/$B$24</f>
        <v>1.2567728559122018</v>
      </c>
      <c r="AC48" s="181"/>
      <c r="AD48" s="181">
        <f>AD24/$B$24</f>
        <v>1.2975948278586236</v>
      </c>
      <c r="AE48" s="181"/>
      <c r="AF48" s="181">
        <f>AF24/$B$24</f>
        <v>1.3505526280059783</v>
      </c>
      <c r="AG48" s="181"/>
      <c r="AH48" s="181">
        <f>AH24/$B$24</f>
        <v>1.4195023749702362</v>
      </c>
      <c r="AI48" s="181"/>
      <c r="AJ48" s="181">
        <f>AJ24/$B$24</f>
        <v>1.5031605250895517</v>
      </c>
      <c r="AK48" s="181"/>
      <c r="AL48" s="181">
        <f>AL24/$B$24</f>
        <v>1.5847099092943264</v>
      </c>
      <c r="AM48" s="181"/>
      <c r="AN48" s="181">
        <f>AN24/$B$24</f>
        <v>1.5781363552151562</v>
      </c>
      <c r="AO48" s="181"/>
      <c r="AP48" s="181">
        <f>AP24/$B$24</f>
        <v>1.5346039177913162</v>
      </c>
      <c r="AQ48" s="181"/>
      <c r="AR48" s="181">
        <f>AR24/$B$24</f>
        <v>1.451624903970155</v>
      </c>
      <c r="AS48" s="181"/>
      <c r="AT48" s="181">
        <f>AT24/$B$24</f>
        <v>1.292386399825568</v>
      </c>
      <c r="AU48" s="181"/>
      <c r="AV48" s="181">
        <f>AV24/$B$24</f>
        <v>0.95574864018806871</v>
      </c>
    </row>
    <row r="49" spans="1:48 16321:16384" x14ac:dyDescent="0.2">
      <c r="A49" t="s">
        <v>144</v>
      </c>
      <c r="B49" s="181">
        <f>B13/B35/$B$13*$B$35</f>
        <v>1</v>
      </c>
      <c r="C49" s="181"/>
      <c r="D49" s="181">
        <f>D13/D35/$B$13*$B$35</f>
        <v>0.99532126088825701</v>
      </c>
      <c r="E49" s="181"/>
      <c r="F49" s="181">
        <f>F13/F35/$B$13*$B$35</f>
        <v>0.98988261911922359</v>
      </c>
      <c r="G49" s="181"/>
      <c r="H49" s="181">
        <f>H13/H35/$B$13*$B$35</f>
        <v>0.98356727938774213</v>
      </c>
      <c r="I49" s="181"/>
      <c r="J49" s="181">
        <f>J13/J35/$B$13*$B$35</f>
        <v>0.97623227399939416</v>
      </c>
      <c r="K49" s="181"/>
      <c r="L49" s="181">
        <f>L13/L35/$B$13*$B$35</f>
        <v>0.96769998252145928</v>
      </c>
      <c r="M49" s="181"/>
      <c r="N49" s="181">
        <f>N13/N35/$B$13*$B$35</f>
        <v>0.95774566630128277</v>
      </c>
      <c r="O49" s="181"/>
      <c r="P49" s="181">
        <f>P13/P35/$B$13*$B$35</f>
        <v>0.94607917371035799</v>
      </c>
      <c r="Q49" s="181"/>
      <c r="R49" s="181">
        <f>R13/R35/$B$13*$B$35</f>
        <v>0.93231643302677014</v>
      </c>
      <c r="S49" s="181"/>
      <c r="T49" s="181">
        <f>T13/T35/$B$13*$B$35</f>
        <v>0.91593495821344806</v>
      </c>
      <c r="U49" s="181"/>
      <c r="V49" s="181">
        <f>V13/V35/$B$13*$B$35</f>
        <v>0.89620139126145082</v>
      </c>
      <c r="W49" s="181"/>
      <c r="X49" s="181">
        <f>X13/X35/$B$13*$B$35</f>
        <v>0.8720515437431009</v>
      </c>
      <c r="Y49" s="181"/>
      <c r="Z49" s="181">
        <f>Z13/Z35/$B$13*$B$35</f>
        <v>0.8418902028277423</v>
      </c>
      <c r="AA49" s="181"/>
      <c r="AB49" s="181">
        <f>AB13/AB35/$B$13*$B$35</f>
        <v>0.80326687747993231</v>
      </c>
      <c r="AC49" s="181"/>
      <c r="AD49" s="181">
        <f>AD13/AD35/$B$13*$B$35</f>
        <v>0.75242489938772261</v>
      </c>
      <c r="AE49" s="181"/>
      <c r="AF49" s="181">
        <f>AF13/AF35/$B$13*$B$35</f>
        <v>0.68397625941629603</v>
      </c>
      <c r="AG49" s="181"/>
      <c r="AH49" s="181">
        <f>AH13/AH35/$B$13*$B$35</f>
        <v>0.59156021929864822</v>
      </c>
      <c r="AI49" s="181"/>
      <c r="AJ49" s="181">
        <f>AJ13/AJ35/$B$13*$B$35</f>
        <v>0.47012260724297417</v>
      </c>
      <c r="AK49" s="181"/>
      <c r="AL49" s="181">
        <f>AL13/AL35/$B$13*$B$35</f>
        <v>0.31845985601640764</v>
      </c>
      <c r="AM49" s="181"/>
      <c r="AN49" s="181">
        <f>AN13/AN35/$B$13*$B$35</f>
        <v>0.14361504219775731</v>
      </c>
      <c r="AO49" s="181"/>
      <c r="AP49" s="181">
        <f>AP13/AP35/$B$13*$B$35</f>
        <v>0.1080560423977398</v>
      </c>
      <c r="AQ49" s="181"/>
      <c r="AR49" s="181">
        <f>AR13/AR35/$B$13*$B$35</f>
        <v>7.3531468038030387E-2</v>
      </c>
      <c r="AS49" s="181"/>
      <c r="AT49" s="181">
        <f>AT13/AT35/$B$13*$B$35</f>
        <v>4.1322442898905139E-2</v>
      </c>
      <c r="AU49" s="181"/>
      <c r="AV49" s="181">
        <f>AV13/AV35/$B$13*$B$35</f>
        <v>1.4115738560352423E-2</v>
      </c>
    </row>
    <row r="51" spans="1:48 16321:16384" x14ac:dyDescent="0.2">
      <c r="A51" t="s">
        <v>150</v>
      </c>
      <c r="B51" s="27">
        <f>B30-B10*B23</f>
        <v>-405838.32800000021</v>
      </c>
      <c r="D51" s="27">
        <f>D30-D10*D23</f>
        <v>-338237.19407389034</v>
      </c>
      <c r="F51" s="27">
        <f>F30-F10*F23</f>
        <v>-268192.48157575866</v>
      </c>
      <c r="H51" s="27">
        <f>H30-H10*H23</f>
        <v>-195353.54140945058</v>
      </c>
      <c r="J51" s="27">
        <f>J30-J10*J23</f>
        <v>-119299.17104873853</v>
      </c>
      <c r="L51" s="27">
        <f>L30-L10*L23</f>
        <v>-39514.602721452713</v>
      </c>
      <c r="N51" s="27">
        <f>N30-N10*N23</f>
        <v>44650.709819206037</v>
      </c>
      <c r="P51" s="27">
        <f>P30-P10*P23</f>
        <v>134042.87183408625</v>
      </c>
      <c r="R51" s="27">
        <f>R30-R10*R23</f>
        <v>229807.78462679731</v>
      </c>
      <c r="T51" s="27">
        <f>T30-T10*T23</f>
        <v>333573.32049371535</v>
      </c>
      <c r="V51" s="27">
        <f>V30-V10*V23</f>
        <v>447761.43314458523</v>
      </c>
      <c r="X51" s="27">
        <f>X30-X10*X23</f>
        <v>576153.47460926929</v>
      </c>
      <c r="Z51" s="27">
        <f>Z30-Z10*Z23</f>
        <v>724915.22485406185</v>
      </c>
      <c r="AB51" s="27">
        <f>AB30-AB10*AB23</f>
        <v>904413.14454286452</v>
      </c>
      <c r="AD51" s="27">
        <f>AD30-AD10*AD23</f>
        <v>1132074.7031568019</v>
      </c>
      <c r="AF51" s="27">
        <f>AF30-AF10*AF23</f>
        <v>1435229.2333525773</v>
      </c>
      <c r="AH51" s="27">
        <f>AH30-AH10*AH23</f>
        <v>1848862.8710859073</v>
      </c>
      <c r="AJ51" s="27">
        <f>AJ30-AJ10*AJ23</f>
        <v>2403076.4402190903</v>
      </c>
      <c r="AL51" s="27">
        <f>AL30-AL10*AL23</f>
        <v>3105405.1196914352</v>
      </c>
      <c r="AN51" s="27">
        <f>AN30-AN10*AN23</f>
        <v>3842409.0042604539</v>
      </c>
      <c r="AP51" s="27">
        <f>AP30-AP10*AP23</f>
        <v>3929224.1614691382</v>
      </c>
      <c r="AQ51" s="27"/>
      <c r="AR51" s="27">
        <f>AR30-AR10*AR23</f>
        <v>3931386.115244512</v>
      </c>
      <c r="AT51" s="27">
        <f>AT30-AT10*AT23</f>
        <v>3740137.9744549571</v>
      </c>
      <c r="AV51" s="27">
        <f>AV30-AV10*AV23</f>
        <v>3016927.1729165902</v>
      </c>
      <c r="XFD51" s="27"/>
    </row>
    <row r="52" spans="1:48 16321:16384" x14ac:dyDescent="0.2">
      <c r="A52" t="s">
        <v>151</v>
      </c>
      <c r="B52" s="27">
        <f t="array" ref="B52">Calibration!sL*SUM(B13:C13*B26:C26)</f>
        <v>2073093.0976150823</v>
      </c>
      <c r="D52" s="27">
        <f t="array" ref="D52">Calibration!sL*SUM(D13:E13*D26:E26)</f>
        <v>2068424.8639450511</v>
      </c>
      <c r="F52" s="27">
        <f t="array" ref="F52">Calibration!sL*SUM(F13:G13*F26:G26)</f>
        <v>2062940.6035085749</v>
      </c>
      <c r="H52" s="27">
        <f t="array" ref="H52">Calibration!sL*SUM(H13:I13*H26:I26)</f>
        <v>2056520.2235045801</v>
      </c>
      <c r="J52" s="27">
        <f t="array" ref="J52">Calibration!sL*SUM(J13:K13*J26:K26)</f>
        <v>2049018.8461833508</v>
      </c>
      <c r="L52" s="27">
        <f t="array" ref="L52">Calibration!sL*SUM(L13:M13*L26:M26)</f>
        <v>2040259.8120013629</v>
      </c>
      <c r="N52" s="27">
        <f t="array" ref="N52">Calibration!sL*SUM(N13:O13*N26:O26)</f>
        <v>2030024.9468801285</v>
      </c>
      <c r="P52" s="27">
        <f t="array" ref="P52">Calibration!sL*SUM(P13:Q13*P26:Q26)</f>
        <v>2018040.7246046225</v>
      </c>
      <c r="R52" s="27">
        <f t="array" ref="R52">Calibration!sL*SUM(R13:S13*R26:S26)</f>
        <v>2003957.1545122899</v>
      </c>
      <c r="T52" s="27">
        <f t="array" ref="T52">Calibration!sL*SUM(T13:U13*T26:U26)</f>
        <v>1987316.2078056079</v>
      </c>
      <c r="V52" s="27">
        <f t="array" ref="V52">Calibration!sL*SUM(V13:W13*V26:W26)</f>
        <v>1967500.1965214682</v>
      </c>
      <c r="X52" s="27">
        <f t="array" ref="X52">Calibration!sL*SUM(X13:Y13*X26:Y26)</f>
        <v>1943645.6712236197</v>
      </c>
      <c r="Z52" s="27">
        <f t="array" ref="Z52">Calibration!sL*SUM(Z13:AA13*Z26:AA26)</f>
        <v>1914493.0230346604</v>
      </c>
      <c r="AB52" s="27">
        <f t="array" ref="AB52">Calibration!sL*SUM(AB13:AC13*AB26:AC26)</f>
        <v>1878111.7269932921</v>
      </c>
      <c r="AD52" s="27">
        <f t="array" ref="AD52">Calibration!sL*SUM(AD13:AE13*AD26:AE26)</f>
        <v>1831387.5691724489</v>
      </c>
      <c r="AF52" s="27">
        <f t="array" ref="AF52">Calibration!sL*SUM(AF13:AG13*AF26:AG26)</f>
        <v>1769056.3393290613</v>
      </c>
      <c r="AH52" s="27">
        <f t="array" ref="AH52">Calibration!sL*SUM(AH13:AI13*AH26:AI26)</f>
        <v>1681861.4452413381</v>
      </c>
      <c r="AJ52" s="27">
        <f t="array" ref="AJ52">Calibration!sL*SUM(AJ13:AK13*AJ26:AK26)</f>
        <v>1552550.453426698</v>
      </c>
      <c r="AL52" s="27">
        <f t="array" ref="AL52">Calibration!sL*SUM(AL13:AM13*AL26:AM26)</f>
        <v>1344342.7143952688</v>
      </c>
      <c r="AN52" s="27">
        <f t="array" ref="AN52">Calibration!sL*SUM(AN13:AO13*AN26:AO26)</f>
        <v>953674.13551342825</v>
      </c>
      <c r="AP52" s="27">
        <f t="array" ref="AP52">Calibration!sL*SUM(AP13:AQ13*AP26:AQ26)</f>
        <v>828447.08600495348</v>
      </c>
      <c r="AQ52" s="27"/>
      <c r="AR52" s="27">
        <f t="array" ref="AR52">Calibration!sL*SUM(AR13:AS13*AR26:AS26)</f>
        <v>673941.33776119398</v>
      </c>
      <c r="AT52" s="27">
        <f t="array" ref="AT52">Calibration!sL*SUM(AT13:AU13*AT26:AU26)</f>
        <v>478172.31082010292</v>
      </c>
      <c r="AV52" s="27">
        <f t="array" ref="AV52">Calibration!sL*SUM(AV13:AW13*AV26:AW26)</f>
        <v>227760.97079834566</v>
      </c>
    </row>
    <row r="53" spans="1:48 16321:16384" x14ac:dyDescent="0.2">
      <c r="A53" t="s">
        <v>152</v>
      </c>
      <c r="B53" s="27">
        <f t="array" ref="B53">Calibration!sK*SUM(B15:C15*B27:C27)</f>
        <v>2716869.1663849424</v>
      </c>
      <c r="D53" s="27">
        <f t="array" ref="D53">Calibration!sK*SUM(D15:E15*D27:E27)</f>
        <v>2694358.7829758204</v>
      </c>
      <c r="F53" s="27">
        <f t="array" ref="F53">Calibration!sK*SUM(F15:G15*F27:G27)</f>
        <v>2670891.0703543052</v>
      </c>
      <c r="H53" s="27">
        <f t="array" ref="H53">Calibration!sK*SUM(H15:I15*H27:I27)</f>
        <v>2646320.2837571632</v>
      </c>
      <c r="J53" s="27">
        <f t="array" ref="J53">Calibration!sK*SUM(J15:K15*J27:K27)</f>
        <v>2620474.0943551743</v>
      </c>
      <c r="L53" s="27">
        <f t="array" ref="L53">Calibration!sK*SUM(L15:M15*L27:M27)</f>
        <v>2593147.966468594</v>
      </c>
      <c r="N53" s="27">
        <f t="array" ref="N53">Calibration!sK*SUM(N15:O15*N27:O27)</f>
        <v>2564096.941141692</v>
      </c>
      <c r="P53" s="27">
        <f t="array" ref="P53">Calibration!sK*SUM(P15:Q15*P27:Q27)</f>
        <v>2533025.1903873063</v>
      </c>
      <c r="R53" s="27">
        <f t="array" ref="R53">Calibration!sK*SUM(R15:S15*R27:S27)</f>
        <v>2499570.4433111199</v>
      </c>
      <c r="T53" s="27">
        <f t="array" ref="T53">Calibration!sK*SUM(T15:U15*T27:U27)</f>
        <v>2463279.0850453405</v>
      </c>
      <c r="V53" s="27">
        <f t="array" ref="V53">Calibration!sK*SUM(V15:W15*V27:W27)</f>
        <v>2423565.9176419494</v>
      </c>
      <c r="X53" s="27">
        <f t="array" ref="X53">Calibration!sK*SUM(X15:Y15*X27:Y27)</f>
        <v>2379641.945024428</v>
      </c>
      <c r="Z53" s="27">
        <f t="array" ref="Z53">Calibration!sK*SUM(Z15:AA15*Z27:AA27)</f>
        <v>2330377.0455583041</v>
      </c>
      <c r="AB53" s="27">
        <f t="array" ref="AB53">Calibration!sK*SUM(AB15:AC15*AB27:AC27)</f>
        <v>2274020.0829358338</v>
      </c>
      <c r="AD53" s="27">
        <f t="array" ref="AD53">Calibration!sK*SUM(AD15:AE15*AD27:AE27)</f>
        <v>2207593.9106318415</v>
      </c>
      <c r="AF53" s="27">
        <f t="array" ref="AF53">Calibration!sK*SUM(AF15:AG15*AF27:AG27)</f>
        <v>2125564.404100534</v>
      </c>
      <c r="AH53" s="27">
        <f t="array" ref="AH53">Calibration!sK*SUM(AH15:AI15*AH27:AI27)</f>
        <v>2017083.1129148649</v>
      </c>
      <c r="AJ53" s="27">
        <f t="array" ref="AJ53">Calibration!sK*SUM(AJ15:AK15*AJ27:AK27)</f>
        <v>1860652.9650674714</v>
      </c>
      <c r="AL53" s="27">
        <f t="array" ref="AL53">Calibration!sK*SUM(AL15:AM15*AL27:AM27)</f>
        <v>1610846.3272690168</v>
      </c>
      <c r="AN53" s="27">
        <f t="array" ref="AN53">Calibration!sK*SUM(AN15:AO15*AN27:AO27)</f>
        <v>1142707.1754013035</v>
      </c>
      <c r="AP53" s="27">
        <f t="array" ref="AP53">Calibration!sK*SUM(AP15:AQ15*AP27:AQ27)</f>
        <v>992657.7432188635</v>
      </c>
      <c r="AQ53" s="27"/>
      <c r="AR53" s="27">
        <f t="array" ref="AR53">Calibration!sK*SUM(AR15:AS15*AR27:AS27)</f>
        <v>807526.49121627666</v>
      </c>
      <c r="AT53" s="27">
        <f t="array" ref="AT53">Calibration!sK*SUM(AT15:AU15*AT27:AU27)</f>
        <v>572953.11012077669</v>
      </c>
      <c r="AV53" s="27">
        <f t="array" ref="AV53">Calibration!sK*SUM(AV15:AW15*AV27:AW27)</f>
        <v>272906.54807149799</v>
      </c>
      <c r="XFD53" s="27"/>
    </row>
    <row r="55" spans="1:48 16321:16384" x14ac:dyDescent="0.2">
      <c r="A55" t="s">
        <v>153</v>
      </c>
      <c r="B55" s="183">
        <f>B30/B32</f>
        <v>0.19850271905982084</v>
      </c>
      <c r="D55" s="183">
        <f>D30/D32</f>
        <v>0.20309187354916014</v>
      </c>
      <c r="F55" s="183">
        <f>F30/F32</f>
        <v>0.2078432969725259</v>
      </c>
      <c r="H55" s="183">
        <f>H30/H32</f>
        <v>0.21278290962512736</v>
      </c>
      <c r="J55" s="183">
        <f>J30/J32</f>
        <v>0.21794214797826356</v>
      </c>
      <c r="L55" s="183">
        <f>L30/L32</f>
        <v>0.22335979118446528</v>
      </c>
      <c r="N55" s="183">
        <f>N30/N32</f>
        <v>0.22908518652808255</v>
      </c>
      <c r="P55" s="183">
        <f>P30/P32</f>
        <v>0.23518279443650109</v>
      </c>
      <c r="R55" s="183">
        <f>R30/R32</f>
        <v>0.24173992725294841</v>
      </c>
      <c r="T55" s="183">
        <f>T30/T32</f>
        <v>0.24888001533559356</v>
      </c>
      <c r="V55" s="183">
        <f>V30/V32</f>
        <v>0.25678501415498917</v>
      </c>
      <c r="X55" s="183">
        <f>X30/X32</f>
        <v>0.26573542052839655</v>
      </c>
      <c r="Z55" s="183">
        <f>Z30/Z32</f>
        <v>0.27618201767445899</v>
      </c>
      <c r="AB55" s="183">
        <f>AB30/AB32</f>
        <v>0.28887218531357722</v>
      </c>
      <c r="AD55" s="183">
        <f>AD30/AD32</f>
        <v>0.30505076903037642</v>
      </c>
      <c r="AF55" s="183">
        <f>AF30/AF32</f>
        <v>0.32668597494251028</v>
      </c>
      <c r="AH55" s="183">
        <f>AH30/AH32</f>
        <v>0.35650364341636409</v>
      </c>
      <c r="AJ55" s="183">
        <f>AJ30/AJ32</f>
        <v>0.39796489846098404</v>
      </c>
      <c r="AL55" s="183">
        <f>AL30/AL32</f>
        <v>0.45733727433696375</v>
      </c>
      <c r="AN55" s="183">
        <f>AN30/AN32</f>
        <v>0.5560693149250836</v>
      </c>
      <c r="AP55" s="183">
        <f>AP30/AP32</f>
        <v>0.58725111451020728</v>
      </c>
      <c r="AR55" s="183">
        <f>AR30/AR32</f>
        <v>0.62725087641566668</v>
      </c>
      <c r="AT55" s="183">
        <f>AT30/AT32</f>
        <v>0.68322232039755593</v>
      </c>
      <c r="AV55" s="183">
        <f>AV30/AV32</f>
        <v>0.77527844281049818</v>
      </c>
      <c r="XCS55" s="183"/>
      <c r="XFD55" s="183"/>
    </row>
    <row r="56" spans="1:48 16321:16384" x14ac:dyDescent="0.2">
      <c r="A56" t="s">
        <v>154</v>
      </c>
      <c r="B56" s="183">
        <f>(Model!$C$52*B5*B20+B2*C5*C20)/B32</f>
        <v>2.9221206744340551E-2</v>
      </c>
      <c r="D56" s="183">
        <f>(Model!$C$52*D5*D20+D2*E5*E20)/D32</f>
        <v>3.4260387829938239E-2</v>
      </c>
      <c r="F56" s="183">
        <f>(Model!$C$52*F5*F20+F2*G5*G20)/F32</f>
        <v>3.9499270842070965E-2</v>
      </c>
      <c r="H56" s="183">
        <f>(Model!$C$52*H5*H20+H2*I5*I20)/H32</f>
        <v>4.496938758980433E-2</v>
      </c>
      <c r="J56" s="183">
        <f>(Model!$C$52*J5*J20+J2*K5*K20)/J32</f>
        <v>5.0709093482709057E-2</v>
      </c>
      <c r="L56" s="183">
        <f>(Model!$C$52*L5*L20+L2*M5*M20)/L32</f>
        <v>5.6765889864544568E-2</v>
      </c>
      <c r="N56" s="183">
        <f>(Model!$C$52*N5*N20+N2*O5*O20)/N32</f>
        <v>6.3200422489436886E-2</v>
      </c>
      <c r="P56" s="183">
        <f>(Model!$C$52*P5*P20+P2*Q5*Q20)/P32</f>
        <v>7.0092226403905403E-2</v>
      </c>
      <c r="R56" s="183">
        <f>(Model!$C$52*R5*R20+R2*S5*S20)/R32</f>
        <v>7.7549411441840646E-2</v>
      </c>
      <c r="T56" s="183">
        <f>(Model!$C$52*T5*T20+T2*U5*U20)/T32</f>
        <v>8.5725156193372093E-2</v>
      </c>
      <c r="V56" s="183">
        <f>(Model!$C$52*V5*V20+V2*W5*W20)/V32</f>
        <v>9.4845576974496137E-2</v>
      </c>
      <c r="X56" s="183">
        <f>(Model!$C$52*X5*X20+X2*Y5*Y20)/X32</f>
        <v>0.10525920899919185</v>
      </c>
      <c r="Z56" s="183">
        <f>(Model!$C$52*Z5*Z20+Z2*AA5*AA20)/Z32</f>
        <v>0.11752528408116786</v>
      </c>
      <c r="AB56" s="183">
        <f>(Model!$C$52*AB5*AB20+AB2*AC5*AC20)/AB32</f>
        <v>0.13256814666970776</v>
      </c>
      <c r="AD56" s="183">
        <f>(Model!$C$52*AD5*AD20+AD2*AE5*AE20)/AD32</f>
        <v>0.15192034777127947</v>
      </c>
      <c r="AF56" s="183">
        <f>(Model!$C$52*AF5*AF20+AF2*AG5*AG20)/AF32</f>
        <v>0.17798922856139138</v>
      </c>
      <c r="AH56" s="183">
        <f>(Model!$C$52*AH5*AH20+AH2*AI5*AI20)/AH32</f>
        <v>0.21407842878922967</v>
      </c>
      <c r="AJ56" s="183">
        <f>(Model!$C$52*AJ5*AJ20+AJ2*AK5*AK20)/AJ32</f>
        <v>0.2643413095667112</v>
      </c>
      <c r="AL56" s="183">
        <f>(Model!$C$52*AL5*AL20+AL2*AM5*AM20)/AL32</f>
        <v>0.33629616737184925</v>
      </c>
      <c r="AN56" s="183">
        <f>(Model!$C$52*AN5*AN20+AN2*AO5*AO20)/AN32</f>
        <v>0.45576391152691637</v>
      </c>
      <c r="AP56" s="183">
        <f>(Model!$C$52*AP5*AP20+AP2*AQ5*AQ20)/AP32</f>
        <v>0.49344069370546478</v>
      </c>
      <c r="AR56" s="183">
        <f>(Model!$C$52*AR5*AR20+AR2*AS5*AS20)/AR32</f>
        <v>0.54173708868519321</v>
      </c>
      <c r="AT56" s="183">
        <f>(Model!$C$52*AT5*AT20+AT2*AU5*AU20)/AT32</f>
        <v>0.60926056462652012</v>
      </c>
      <c r="AV56" s="183">
        <f>(Model!$C$52*AV5*AV20+AV2*AW5*AW20)/AV32</f>
        <v>0.72020714301774802</v>
      </c>
      <c r="XFD56" s="183"/>
    </row>
    <row r="57" spans="1:48 16321:16384" x14ac:dyDescent="0.2">
      <c r="A57" t="s">
        <v>155</v>
      </c>
      <c r="B57" s="183">
        <f t="array" ref="B57">SUM(Model!tauL*B13:C13*B26:C26)/B32</f>
        <v>0.15852881819439493</v>
      </c>
      <c r="D57" s="183">
        <f t="array" ref="D57">SUM(Model!tauL*D13:E13*D26:E26)/D32</f>
        <v>0.15816362349054428</v>
      </c>
      <c r="F57" s="183">
        <f t="array" ref="F57">SUM(Model!tauL*F13:G13*F26:G26)/F32</f>
        <v>0.15776275019759953</v>
      </c>
      <c r="H57" s="183">
        <f t="array" ref="H57">SUM(Model!tauL*H13:I13*H26:I26)/H32</f>
        <v>0.15732100146111774</v>
      </c>
      <c r="J57" s="183">
        <f t="array" ref="J57">SUM(Model!tauL*J13:K13*J26:K26)/J32</f>
        <v>0.15683196026010859</v>
      </c>
      <c r="L57" s="183">
        <f t="array" ref="L57">SUM(Model!tauL*L13:M13*L26:M26)/L32</f>
        <v>0.15628751149362827</v>
      </c>
      <c r="N57" s="183">
        <f t="array" ref="N57">SUM(Model!tauL*N13:O13*N26:O26)/N32</f>
        <v>0.15567709154695025</v>
      </c>
      <c r="P57" s="183">
        <f t="array" ref="P57">SUM(Model!tauL*P13:Q13*P26:Q26)/P32</f>
        <v>0.15498651461474489</v>
      </c>
      <c r="R57" s="183">
        <f t="array" ref="R57">SUM(Model!tauL*R13:S13*R26:S26)/R32</f>
        <v>0.15419605015574392</v>
      </c>
      <c r="T57" s="183">
        <f t="array" ref="T57">SUM(Model!tauL*T13:U13*T26:U26)/T32</f>
        <v>0.15327722993088388</v>
      </c>
      <c r="V57" s="183">
        <f t="array" ref="V57">SUM(Model!tauL*V13:W13*V26:W26)/V32</f>
        <v>0.15218740936930281</v>
      </c>
      <c r="X57" s="183">
        <f t="array" ref="X57">SUM(Model!tauL*X13:Y13*X26:Y26)/X32</f>
        <v>0.15086031456031504</v>
      </c>
      <c r="Y57" s="183"/>
      <c r="Z57" s="183">
        <f t="array" ref="Z57">SUM(Model!tauL*Z13:AA13*Z26:AA26)/Z32</f>
        <v>0.14918948295404866</v>
      </c>
      <c r="AB57" s="183">
        <f t="array" ref="AB57">SUM(Model!tauL*AB13:AC13*AB26:AC26)/AB32</f>
        <v>0.14700002707463322</v>
      </c>
      <c r="AD57" s="183">
        <f t="array" ref="AD57">SUM(Model!tauL*AD13:AE13*AD26:AE26)/AD32</f>
        <v>0.14400611640488956</v>
      </c>
      <c r="AF57" s="183">
        <f t="array" ref="AF57">SUM(Model!tauL*AF13:AG13*AF26:AG26)/AF32</f>
        <v>0.13976988528676765</v>
      </c>
      <c r="AH57" s="183">
        <f t="array" ref="AH57">SUM(Model!tauL*AH13:AI13*AH26:AI26)/AH32</f>
        <v>0.1337143264966239</v>
      </c>
      <c r="AJ57" s="183">
        <f t="array" ref="AJ57">SUM(Model!tauL*AJ13:AK13*AJ26:AK26)/AJ32</f>
        <v>0.12514826089812842</v>
      </c>
      <c r="AL57" s="183">
        <f t="array" ref="AL57">SUM(Model!tauL*AL13:AM13*AL26:AM26)/AL32</f>
        <v>0.11281690393905419</v>
      </c>
      <c r="AN57" s="183">
        <f t="array" ref="AN57">SUM(Model!tauL*AN13:AO13*AN26:AO26)/AN32</f>
        <v>9.2292061139655268E-2</v>
      </c>
      <c r="AP57" s="183">
        <f t="array" ref="AP57">SUM(Model!tauL*AP13:AQ13*AP26:AQ26)/AP32</f>
        <v>8.5809464741507746E-2</v>
      </c>
      <c r="AR57" s="183">
        <f t="array" ref="AR57">SUM(Model!tauL*AR13:AS13*AR26:AS26)/AR32</f>
        <v>7.7493621419626721E-2</v>
      </c>
      <c r="AT57" s="183">
        <f t="array" ref="AT57">SUM(Model!tauL*AT13:AU13*AT26:AU26)/AT32</f>
        <v>6.5857298691714472E-2</v>
      </c>
      <c r="AV57" s="183">
        <f t="array" ref="AV57">SUM(Model!tauL*AV13:AW13*AV26:AW26)/AV32</f>
        <v>4.6719058133971744E-2</v>
      </c>
      <c r="XFD57" s="183"/>
    </row>
    <row r="58" spans="1:48 16321:16384" x14ac:dyDescent="0.2">
      <c r="A58" t="s">
        <v>156</v>
      </c>
      <c r="B58" s="183">
        <f t="array" ref="B58">SUM(Model!tauY/(1+Model!tauY)*B3:C3*B18:C18)/B32</f>
        <v>1.075269412108535E-2</v>
      </c>
      <c r="D58" s="183">
        <f t="array" ref="D58">SUM(Model!tauY/(1+Model!tauY)*D3:E3*D18:E18)/D32</f>
        <v>1.066786222867764E-2</v>
      </c>
      <c r="F58" s="183">
        <f t="array" ref="F58">SUM(Model!tauY/(1+Model!tauY)*F3:G3*F18:G18)/F32</f>
        <v>1.0581275932855438E-2</v>
      </c>
      <c r="H58" s="183">
        <f t="array" ref="H58">SUM(Model!tauY/(1+Model!tauY)*H3:I3*H18:I18)/H32</f>
        <v>1.0492520574205312E-2</v>
      </c>
      <c r="J58" s="183">
        <f t="array" ref="J58">SUM(Model!tauY/(1+Model!tauY)*J3:K3*J18:K18)/J32</f>
        <v>1.040109423544589E-2</v>
      </c>
      <c r="L58" s="183">
        <f t="array" ref="L58">SUM(Model!tauY/(1+Model!tauY)*L3:M3*L18:M18)/L32</f>
        <v>1.0306389826292429E-2</v>
      </c>
      <c r="N58" s="183">
        <f t="array" ref="N58">SUM(Model!tauY/(1+Model!tauY)*N3:O3*N18:O18)/N32</f>
        <v>1.0207672491695408E-2</v>
      </c>
      <c r="P58" s="183">
        <f t="array" ref="P58">SUM(Model!tauY/(1+Model!tauY)*P3:Q3*P18:Q18)/P32</f>
        <v>1.010405341785079E-2</v>
      </c>
      <c r="R58" s="183">
        <f t="array" ref="R58">SUM(Model!tauY/(1+Model!tauY)*R3:S3*R18:S18)/R32</f>
        <v>9.994465655363818E-3</v>
      </c>
      <c r="T58" s="183">
        <f t="array" ref="T58">SUM(Model!tauY/(1+Model!tauY)*T3:U3*T18:U18)/T32</f>
        <v>9.8776292113376078E-3</v>
      </c>
      <c r="V58" s="183">
        <f t="array" ref="V58">SUM(Model!tauY/(1+Model!tauY)*V3:W3*V18:W18)/V32</f>
        <v>9.7520278111902E-3</v>
      </c>
      <c r="X58" s="183">
        <f t="array" ref="X58">SUM(Model!tauY/(1+Model!tauY)*X3:Y3*X18:Y18)/X32</f>
        <v>9.6158969688896929E-3</v>
      </c>
      <c r="Y58" s="183"/>
      <c r="Z58" s="183">
        <f t="array" ref="Z58">SUM(Model!tauY/(1+Model!tauY)*Z3:AA3*Z18:AA18)/Z32</f>
        <v>9.4672506392424853E-3</v>
      </c>
      <c r="AB58" s="183">
        <f t="array" ref="AB58">SUM(Model!tauY/(1+Model!tauY)*AB3:AC3*AB18:AC18)/AB32</f>
        <v>9.3040115692362441E-3</v>
      </c>
      <c r="AD58" s="183">
        <f t="array" ref="AD58">SUM(Model!tauY/(1+Model!tauY)*AD3:AE3*AD18:AE18)/AD32</f>
        <v>9.1243048542073955E-3</v>
      </c>
      <c r="AF58" s="183">
        <f t="array" ref="AF58">SUM(Model!tauY/(1+Model!tauY)*AF3:AG3*AF18:AG18)/AF32</f>
        <v>8.9268610943512659E-3</v>
      </c>
      <c r="AH58" s="183">
        <f t="array" ref="AH58">SUM(Model!tauY/(1+Model!tauY)*AH3:AI3*AH18:AI18)/AH32</f>
        <v>8.7108881305104635E-3</v>
      </c>
      <c r="AJ58" s="183">
        <f t="array" ref="AJ58">SUM(Model!tauY/(1+Model!tauY)*AJ3:AK3*AJ18:AK18)/AJ32</f>
        <v>8.4753279961444546E-3</v>
      </c>
      <c r="AL58" s="183">
        <f t="array" ref="AL58">SUM(Model!tauY/(1+Model!tauY)*AL3:AM3*AL18:AM18)/AL32</f>
        <v>8.22420302606028E-3</v>
      </c>
      <c r="AN58" s="183">
        <f t="array" ref="AN58">SUM(Model!tauY/(1+Model!tauY)*AN3:AO3*AN18:AO18)/AN32</f>
        <v>8.0133422585119372E-3</v>
      </c>
      <c r="AP58" s="183">
        <f t="array" ref="AP58">SUM(Model!tauY/(1+Model!tauY)*AP3:AQ3*AP18:AQ18)/AP32</f>
        <v>8.0009560632348011E-3</v>
      </c>
      <c r="AR58" s="183">
        <f t="array" ref="AR58">SUM(Model!tauY/(1+Model!tauY)*AR3:AS3*AR18:AS18)/AR32</f>
        <v>8.0201663108467533E-3</v>
      </c>
      <c r="AT58" s="183">
        <f t="array" ref="AT58">SUM(Model!tauY/(1+Model!tauY)*AT3:AU3*AT18:AU18)/AT32</f>
        <v>8.1044570793214806E-3</v>
      </c>
      <c r="AV58" s="183">
        <f t="array" ref="AV58">SUM(Model!tauY/(1+Model!tauY)*AV3:AW3*AV18:AW18)/AV32</f>
        <v>8.3522416587785159E-3</v>
      </c>
      <c r="XFD58" s="183"/>
    </row>
    <row r="59" spans="1:48 16321:16384" x14ac:dyDescent="0.2">
      <c r="A59" t="s">
        <v>157</v>
      </c>
      <c r="B59" s="183">
        <f>(B2*C5*C20)/B32</f>
        <v>5.5174232040962052E-4</v>
      </c>
      <c r="D59" s="183">
        <f>(D2*E5*E20)/D32</f>
        <v>5.660724042351995E-3</v>
      </c>
      <c r="F59" s="183">
        <f>(F2*G5*G20)/F32</f>
        <v>1.0972340032829094E-2</v>
      </c>
      <c r="H59" s="183">
        <f>(H2*I5*I20)/H32</f>
        <v>1.6518579266221307E-2</v>
      </c>
      <c r="J59" s="183">
        <f>(J2*K5*K20)/J32</f>
        <v>2.2338349766723536E-2</v>
      </c>
      <c r="L59" s="183">
        <f>(L2*M5*M20)/L32</f>
        <v>2.8479831875656322E-2</v>
      </c>
      <c r="N59" s="183">
        <f>(N2*O5*O20)/N32</f>
        <v>3.5004527853517944E-2</v>
      </c>
      <c r="P59" s="183">
        <f>(P2*Q5*Q20)/P32</f>
        <v>4.1993081568768985E-2</v>
      </c>
      <c r="R59" s="183">
        <f>(R2*S5*S20)/R32</f>
        <v>4.9555085759893057E-2</v>
      </c>
      <c r="T59" s="183">
        <f>(T2*U5*U20)/T32</f>
        <v>5.7845783097328109E-2</v>
      </c>
      <c r="V59" s="183">
        <f>(V2*W5*W20)/V32</f>
        <v>6.7094279498633808E-2</v>
      </c>
      <c r="X59" s="183">
        <f>(X2*Y5*Y20)/X32</f>
        <v>7.7653625596521503E-2</v>
      </c>
      <c r="Z59" s="183">
        <f>(Z2*AA5*AA20)/Z32</f>
        <v>9.0090136039351745E-2</v>
      </c>
      <c r="AB59" s="183">
        <f>(AB2*AC5*AC20)/AB32</f>
        <v>0.10533953065864186</v>
      </c>
      <c r="AD59" s="183">
        <f>(AD2*AE5*AE20)/AD32</f>
        <v>0.12495241249180532</v>
      </c>
      <c r="AF59" s="183">
        <f>(AF2*AG5*AG20)/AF32</f>
        <v>0.15136210588001306</v>
      </c>
      <c r="AH59" s="183">
        <f>(AH2*AI5*AI20)/AH32</f>
        <v>0.18790031204325713</v>
      </c>
      <c r="AJ59" s="183">
        <f>(AJ2*AK5*AK20)/AJ32</f>
        <v>0.23873287847523914</v>
      </c>
      <c r="AL59" s="183">
        <f>(AL2*AM5*AM20)/AL32</f>
        <v>0.31134910290499085</v>
      </c>
      <c r="AN59" s="183">
        <f>(AN2*AO5*AO20)/AN32</f>
        <v>0.43136851541451077</v>
      </c>
      <c r="AP59" s="183">
        <f>(AP2*AQ5*AQ20)/AP32</f>
        <v>0.46906083218649547</v>
      </c>
      <c r="AR59" s="183">
        <f>(AR2*AS5*AS20)/AR32</f>
        <v>0.51727119488252726</v>
      </c>
      <c r="AT59" s="183">
        <f>(AT2*AU5*AU20)/AT32</f>
        <v>0.58449915263052088</v>
      </c>
      <c r="AV59" s="183">
        <f>(AV2*AW5*AW20)/AV32</f>
        <v>0.69462371941894585</v>
      </c>
      <c r="XFD59" s="183"/>
    </row>
    <row r="60" spans="1:48 16321:16384" x14ac:dyDescent="0.2">
      <c r="A60" t="s">
        <v>158</v>
      </c>
      <c r="B60" s="183">
        <f>Model!$C$52*B5*B20/B32</f>
        <v>2.8669464423930927E-2</v>
      </c>
      <c r="D60" s="183">
        <f>Model!$C$52*D5*D20/D32</f>
        <v>2.8599663787586247E-2</v>
      </c>
      <c r="F60" s="183">
        <f>Model!$C$52*F5*F20/F32</f>
        <v>2.852693080924187E-2</v>
      </c>
      <c r="H60" s="183">
        <f>Model!$C$52*H5*H20/H32</f>
        <v>2.8450808323583023E-2</v>
      </c>
      <c r="J60" s="183">
        <f>Model!$C$52*J5*J20/J32</f>
        <v>2.8370743715985518E-2</v>
      </c>
      <c r="L60" s="183">
        <f>Model!$C$52*L5*L20/L32</f>
        <v>2.8286057988888245E-2</v>
      </c>
      <c r="N60" s="183">
        <f>Model!$C$52*N5*N20/N32</f>
        <v>2.8195894635918949E-2</v>
      </c>
      <c r="P60" s="183">
        <f>Model!$C$52*P5*P20/P32</f>
        <v>2.8099144835136418E-2</v>
      </c>
      <c r="R60" s="183">
        <f>Model!$C$52*R5*R20/R32</f>
        <v>2.7994325681947596E-2</v>
      </c>
      <c r="T60" s="183">
        <f>Model!$C$52*T5*T20/T32</f>
        <v>2.7879373096043984E-2</v>
      </c>
      <c r="V60" s="183">
        <f>Model!$C$52*V5*V20/V32</f>
        <v>2.7751297475862333E-2</v>
      </c>
      <c r="X60" s="183">
        <f>Model!$C$52*X5*X20/X32</f>
        <v>2.7605583402670341E-2</v>
      </c>
      <c r="Z60" s="183">
        <f>Model!$C$52*Z5*Z20/Z32</f>
        <v>2.7435148041816113E-2</v>
      </c>
      <c r="AB60" s="183">
        <f>Model!$C$52*AB5*AB20/AB32</f>
        <v>2.7228616011065892E-2</v>
      </c>
      <c r="AD60" s="183">
        <f>Model!$C$52*AD5*AD20/AD32</f>
        <v>2.6967935279474154E-2</v>
      </c>
      <c r="AF60" s="183">
        <f>Model!$C$52*AF5*AF20/AF32</f>
        <v>2.6627122681378318E-2</v>
      </c>
      <c r="AH60" s="183">
        <f>Model!$C$52*AH5*AH20/AH32</f>
        <v>2.6178116745972556E-2</v>
      </c>
      <c r="AJ60" s="183">
        <f>Model!$C$52*AJ5*AJ20/AJ32</f>
        <v>2.560843109147205E-2</v>
      </c>
      <c r="AL60" s="183">
        <f>Model!$C$52*AL5*AL20/AL32</f>
        <v>2.4947064466858408E-2</v>
      </c>
      <c r="AN60" s="183">
        <f>Model!$C$52*AN5*AN20/AN32</f>
        <v>2.4395396112405626E-2</v>
      </c>
      <c r="AP60" s="183">
        <f>Model!$C$52*AP5*AP20/AP32</f>
        <v>2.4379861518969346E-2</v>
      </c>
      <c r="AR60" s="183">
        <f>Model!$C$52*AR5*AR20/AR32</f>
        <v>2.4465893802665905E-2</v>
      </c>
      <c r="AT60" s="183">
        <f>Model!$C$52*AT5*AT20/AT32</f>
        <v>2.4761411995999179E-2</v>
      </c>
      <c r="AV60" s="183">
        <f>Model!$C$52*AV5*AV20/AV32</f>
        <v>2.5583423598802075E-2</v>
      </c>
      <c r="XFD60" s="183"/>
    </row>
    <row r="62" spans="1:48 16321:16384" x14ac:dyDescent="0.2">
      <c r="A62" t="s">
        <v>159</v>
      </c>
      <c r="B62">
        <f>B13/B15</f>
        <v>1</v>
      </c>
      <c r="D62">
        <f>D13/D15</f>
        <v>1.0060840010654293</v>
      </c>
      <c r="F62">
        <f>F13/F15</f>
        <v>1.0122329427876195</v>
      </c>
      <c r="H62">
        <f>H13/H15</f>
        <v>1.0184518430120209</v>
      </c>
      <c r="J62">
        <f>J13/J15</f>
        <v>1.0247454588256146</v>
      </c>
      <c r="L62">
        <f>L13/L15</f>
        <v>1.0311173533407254</v>
      </c>
      <c r="N62">
        <f>N13/N15</f>
        <v>1.0375686805118711</v>
      </c>
      <c r="P62">
        <f>P13/P15</f>
        <v>1.0440957725896212</v>
      </c>
      <c r="R62">
        <f>R13/R15</f>
        <v>1.0506860613121982</v>
      </c>
      <c r="T62">
        <f>T13/T15</f>
        <v>1.0573122756862336</v>
      </c>
      <c r="V62">
        <f>V13/V15</f>
        <v>1.0639221914269181</v>
      </c>
      <c r="X62">
        <f>X13/X15</f>
        <v>1.0704229216152477</v>
      </c>
      <c r="Z62">
        <f>Z13/Z15</f>
        <v>1.076657359694307</v>
      </c>
      <c r="AB62">
        <f>AB13/AB15</f>
        <v>1.0823732442046563</v>
      </c>
      <c r="AD62">
        <f>AD13/AD15</f>
        <v>1.0872038822016934</v>
      </c>
      <c r="AF62">
        <f>AF13/AF15</f>
        <v>1.0907301427034313</v>
      </c>
      <c r="AH62">
        <f>AH13/AH15</f>
        <v>1.0927387423606438</v>
      </c>
      <c r="AJ62">
        <f>AJ13/AJ15</f>
        <v>1.0935288930934928</v>
      </c>
      <c r="AL62">
        <f>AL13/AL15</f>
        <v>1.0937191241722224</v>
      </c>
      <c r="AN62">
        <f>AN13/AN15</f>
        <v>1.0937422009728088</v>
      </c>
      <c r="AP62">
        <f>AP13/AP15</f>
        <v>1.093742679856375</v>
      </c>
      <c r="AR62">
        <f>AR13/AR15</f>
        <v>1.0937428742216848</v>
      </c>
      <c r="AT62">
        <f>AT13/AT15</f>
        <v>1.0937429389278936</v>
      </c>
      <c r="AV62">
        <f>AV13/AV15</f>
        <v>1.0937429544661756</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0.99832023515283574</v>
      </c>
      <c r="E65" s="181"/>
      <c r="F65" s="181">
        <f t="array" ref="F65">SQRT((F9:G9*$B$22:$C$22+F10:G10*$B$23:$C$23+F11:G11*$B$24:$C$24+F4:G4*($B$25:$C$25-$B$19:$C$19))/($B$9:$C$9*$B$22:$C$22+$B$10:$C$10*$B$23:$C$23+$B$11:$C$11*$B$24:$C$24+$B$4:$C$4*($B$25:$C$25-$B$19:$C$19))*(F9:G9*F22:G22+F10:G10*F23:G23+F11:G11*F24:G24+F4:G4*(F25:G25-F19:G19))/($B$9:$C$9*F22:G22+$B$10:$C$10*F23:G23+$B$11:$C$11*F24:G24+$B$4:$C$4*(F25:G25-F19:G19)))</f>
        <v>0.99656836194938092</v>
      </c>
      <c r="G65" s="181"/>
      <c r="H65" s="181">
        <f t="array" ref="H65">SQRT((H9:I9*$B$22:$C$22+H10:I10*$B$23:$C$23+H11:I11*$B$24:$C$24+H4:I4*($B$25:$C$25-$B$19:$C$19))/($B$9:$C$9*$B$22:$C$22+$B$10:$C$10*$B$23:$C$23+$B$11:$C$11*$B$24:$C$24+$B$4:$C$4*($B$25:$C$25-$B$19:$C$19))*(H9:I9*H22:I22+H10:I10*H23:I23+H11:I11*H24:I24+H4:I4*(H25:I25-H19:I19))/($B$9:$C$9*H22:I22+$B$10:$C$10*H23:I23+$B$11:$C$11*H24:I24+$B$4:$C$4*(H25:I25-H19:I19)))</f>
        <v>0.99473252615469532</v>
      </c>
      <c r="I65" s="181"/>
      <c r="J65" s="181">
        <f t="array" ref="J65">SQRT((J9:K9*$B$22:$C$22+J10:K10*$B$23:$C$23+J11:K11*$B$24:$C$24+J4:K4*($B$25:$C$25-$B$19:$C$19))/($B$9:$C$9*$B$22:$C$22+$B$10:$C$10*$B$23:$C$23+$B$11:$C$11*$B$24:$C$24+$B$4:$C$4*($B$25:$C$25-$B$19:$C$19))*(J9:K9*J22:K22+J10:K10*J23:K23+J11:K11*J24:K24+J4:K4*(J25:K25-J19:K19))/($B$9:$C$9*J22:K22+$B$10:$C$10*J23:K23+$B$11:$C$11*J24:K24+$B$4:$C$4*(J25:K25-J19:K19)))</f>
        <v>0.99279931496873164</v>
      </c>
      <c r="K65" s="181"/>
      <c r="L65" s="181">
        <f t="array" ref="L65">SQRT((L9:M9*$B$22:$C$22+L10:M10*$B$23:$C$23+L11:M11*$B$24:$C$24+L4:M4*($B$25:$C$25-$B$19:$C$19))/($B$9:$C$9*$B$22:$C$22+$B$10:$C$10*$B$23:$C$23+$B$11:$C$11*$B$24:$C$24+$B$4:$C$4*($B$25:$C$25-$B$19:$C$19))*(L9:M9*L22:M22+L10:M10*L23:M23+L11:M11*L24:M24+L4:M4*(L25:M25-L19:M19))/($B$9:$C$9*L22:M22+$B$10:$C$10*L23:M23+$B$11:$C$11*L24:M24+$B$4:$C$4*(L25:M25-L19:M19)))</f>
        <v>0.99075401341585245</v>
      </c>
      <c r="M65" s="181"/>
      <c r="N65" s="181">
        <f t="array" ref="N65">SQRT((N9:O9*$B$22:$C$22+N10:O10*$B$23:$C$23+N11:O11*$B$24:$C$24+N4:O4*($B$25:$C$25-$B$19:$C$19))/($B$9:$C$9*$B$22:$C$22+$B$10:$C$10*$B$23:$C$23+$B$11:$C$11*$B$24:$C$24+$B$4:$C$4*($B$25:$C$25-$B$19:$C$19))*(N9:O9*N22:O22+N10:O10*N23:O23+N11:O11*N24:O24+N4:O4*(N25:O25-N19:O19))/($B$9:$C$9*N22:O22+$B$10:$C$10*N23:O23+$B$11:$C$11*N24:O24+$B$4:$C$4*(N25:O25-N19:O19)))</f>
        <v>0.98858122793032543</v>
      </c>
      <c r="O65" s="181"/>
      <c r="P65" s="181">
        <f t="array" ref="P65">SQRT((P9:Q9*$B$22:$C$22+P10:Q10*$B$23:$C$23+P11:Q11*$B$24:$C$24+P4:Q4*($B$25:$C$25-$B$19:$C$19))/($B$9:$C$9*$B$22:$C$22+$B$10:$C$10*$B$23:$C$23+$B$11:$C$11*$B$24:$C$24+$B$4:$C$4*($B$25:$C$25-$B$19:$C$19))*(P9:Q9*P22:Q22+P10:Q10*P23:Q23+P11:Q11*P24:Q24+P4:Q4*(P25:Q25-P19:Q19))/($B$9:$C$9*P22:Q22+$B$10:$C$10*P23:Q23+$B$11:$C$11*P24:Q24+$B$4:$C$4*(P25:Q25-P19:Q19)))</f>
        <v>0.98626633623534565</v>
      </c>
      <c r="Q65" s="181"/>
      <c r="R65" s="181">
        <f t="array" ref="R65">SQRT((R9:S9*$B$22:$C$22+R10:S10*$B$23:$C$23+R11:S11*$B$24:$C$24+R4:S4*($B$25:$C$25-$B$19:$C$19))/($B$9:$C$9*$B$22:$C$22+$B$10:$C$10*$B$23:$C$23+$B$11:$C$11*$B$24:$C$24+$B$4:$C$4*($B$25:$C$25-$B$19:$C$19))*(R9:S9*R22:S22+R10:S10*R23:S23+R11:S11*R24:S24+R4:S4*(R25:S25-R19:S19))/($B$9:$C$9*R22:S22+$B$10:$C$10*R23:S23+$B$11:$C$11*R24:S24+$B$4:$C$4*(R25:S25-R19:S19)))</f>
        <v>0.98379824425782125</v>
      </c>
      <c r="S65" s="181"/>
      <c r="T65" s="181">
        <f t="array" ref="T65">SQRT((T9:U9*$B$22:$C$22+T10:U10*$B$23:$C$23+T11:U11*$B$24:$C$24+T4:U4*($B$25:$C$25-$B$19:$C$19))/($B$9:$C$9*$B$22:$C$22+$B$10:$C$10*$B$23:$C$23+$B$11:$C$11*$B$24:$C$24+$B$4:$C$4*($B$25:$C$25-$B$19:$C$19))*(T9:U9*T22:U22+T10:U10*T23:U23+T11:U11*T24:U24+T4:U4*(T25:U25-T19:U19))/($B$9:$C$9*T22:U22+$B$10:$C$10*T23:U23+$B$11:$C$11*T24:U24+$B$4:$C$4*(T25:U25-T19:U19)))</f>
        <v>0.98117463636275082</v>
      </c>
      <c r="U65" s="181"/>
      <c r="V65" s="181">
        <f t="array" ref="V65">SQRT((V9:W9*$B$22:$C$22+V10:W10*$B$23:$C$23+V11:W11*$B$24:$C$24+V4:W4*($B$25:$C$25-$B$19:$C$19))/($B$9:$C$9*$B$22:$C$22+$B$10:$C$10*$B$23:$C$23+$B$11:$C$11*$B$24:$C$24+$B$4:$C$4*($B$25:$C$25-$B$19:$C$19))*(V9:W9*V22:W22+V10:W10*V23:W23+V11:W11*V24:W24+V4:W4*(V25:W25-V19:W19))/($B$9:$C$9*V22:W22+$B$10:$C$10*V23:W23+$B$11:$C$11*V24:W24+$B$4:$C$4*(V25:W25-V19:W19)))</f>
        <v>0.97841171244993319</v>
      </c>
      <c r="W65" s="181"/>
      <c r="X65" s="181">
        <f t="array" ref="X65">SQRT((X9:Y9*$B$22:$C$22+X10:Y10*$B$23:$C$23+X11:Y11*$B$24:$C$24+X4:Y4*($B$25:$C$25-$B$19:$C$19))/($B$9:$C$9*$B$22:$C$22+$B$10:$C$10*$B$23:$C$23+$B$11:$C$11*$B$24:$C$24+$B$4:$C$4*($B$25:$C$25-$B$19:$C$19))*(X9:Y9*X22:Y22+X10:Y10*X23:Y23+X11:Y11*X24:Y24+X4:Y4*(X25:Y25-X19:Y19))/($B$9:$C$9*X22:Y22+$B$10:$C$10*X23:Y23+$B$11:$C$11*X24:Y24+$B$4:$C$4*(X25:Y25-X19:Y19)))</f>
        <v>0.97556213636776212</v>
      </c>
      <c r="Y65" s="181"/>
      <c r="Z65" s="181">
        <f t="array" ref="Z65">SQRT((Z9:AA9*$B$22:$C$22+Z10:AA10*$B$23:$C$23+Z11:AA11*$B$24:$C$24+Z4:AA4*($B$25:$C$25-$B$19:$C$19))/($B$9:$C$9*$B$22:$C$22+$B$10:$C$10*$B$23:$C$23+$B$11:$C$11*$B$24:$C$24+$B$4:$C$4*($B$25:$C$25-$B$19:$C$19))*(Z9:AA9*Z22:AA22+Z10:AA10*Z23:AA23+Z11:AA11*Z24:AA24+Z4:AA4*(Z25:AA25-Z19:AA19))/($B$9:$C$9*Z22:AA22+$B$10:$C$10*Z23:AA23+$B$11:$C$11*Z24:AA24+$B$4:$C$4*(Z25:AA25-Z19:AA19)))</f>
        <v>0.97274777985099614</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0.97021597221321543</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0.96841803031386231</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0.96803941235259217</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0.96974568811070938</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0.97355434449212264</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0.97872519470352071</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0.9851377382489872</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0.98686851586361179</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0.98903665457457679</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0.9920693018046689</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0.99713180741878238</v>
      </c>
    </row>
    <row r="66" spans="1:48 16384:16384" x14ac:dyDescent="0.2">
      <c r="A66" t="s">
        <v>166</v>
      </c>
      <c r="B66" s="181">
        <f t="array" ref="B66">SQRT((B9:C9*$B$22:$C$22)/($B$9:$C$9*$B$22:$C$22)*(B9:C9*B22:C22)/($B$9:$C$9*B22:C22))</f>
        <v>1</v>
      </c>
      <c r="C66" s="181"/>
      <c r="D66" s="181">
        <f t="array" ref="D66">SQRT((D9:E9*$B$22:$C$22)/($B$9:$C$9*$B$22:$C$22)*(D9:E9*D22:E22)/($B$9:$C$9*D22:E22))</f>
        <v>0.99815268179893035</v>
      </c>
      <c r="E66" s="181"/>
      <c r="F66" s="181">
        <f t="array" ref="F66">SQRT((F9:G9*$B$22:$C$22)/($B$9:$C$9*$B$22:$C$22)*(F9:G9*F22:G22)/($B$9:$C$9*F22:G22))</f>
        <v>0.99622345565827164</v>
      </c>
      <c r="G66" s="181"/>
      <c r="H66" s="181">
        <f t="array" ref="H66">SQRT((H9:I9*$B$22:$C$22)/($B$9:$C$9*$B$22:$C$22)*(H9:I9*H22:I22)/($B$9:$C$9*H22:I22))</f>
        <v>0.99419888161982728</v>
      </c>
      <c r="I66" s="181"/>
      <c r="J66" s="181">
        <f t="array" ref="J66">SQRT((J9:K9*$B$22:$C$22)/($B$9:$C$9*$B$22:$C$22)*(J9:K9*J22:K22)/($B$9:$C$9*J22:K22))</f>
        <v>0.99206369400304872</v>
      </c>
      <c r="K66" s="181"/>
      <c r="L66" s="181">
        <f t="array" ref="L66">SQRT((L9:M9*$B$22:$C$22)/($B$9:$C$9*$B$22:$C$22)*(L9:M9*L22:M22)/($B$9:$C$9*L22:M22))</f>
        <v>0.98980105820989761</v>
      </c>
      <c r="M66" s="181"/>
      <c r="N66" s="181">
        <f t="array" ref="N66">SQRT((N9:O9*$B$22:$C$22)/($B$9:$C$9*$B$22:$C$22)*(N9:O9*N22:O22)/($B$9:$C$9*N22:O22))</f>
        <v>0.98739323298324599</v>
      </c>
      <c r="O66" s="181"/>
      <c r="P66" s="181">
        <f t="array" ref="P66">SQRT((P9:Q9*$B$22:$C$22)/($B$9:$C$9*$B$22:$C$22)*(P9:Q9*P22:Q22)/($B$9:$C$9*P22:Q22))</f>
        <v>0.9848231535793992</v>
      </c>
      <c r="Q66" s="181"/>
      <c r="R66" s="181">
        <f t="array" ref="R66">SQRT((R9:S9*$B$22:$C$22)/($B$9:$C$9*$B$22:$C$22)*(R9:S9*R22:S22)/($B$9:$C$9*R22:S22))</f>
        <v>0.98207748619347435</v>
      </c>
      <c r="S66" s="181"/>
      <c r="T66" s="181">
        <f t="array" ref="T66">SQRT((T9:U9*$B$22:$C$22)/($B$9:$C$9*$B$22:$C$22)*(T9:U9*T22:U22)/($B$9:$C$9*T22:U22))</f>
        <v>0.97915250662823128</v>
      </c>
      <c r="U66" s="181"/>
      <c r="V66" s="181">
        <f t="array" ref="V66">SQRT((V9:W9*$B$22:$C$22)/($B$9:$C$9*$B$22:$C$22)*(V9:W9*V22:W22)/($B$9:$C$9*V22:W22))</f>
        <v>0.97606509281212539</v>
      </c>
      <c r="W66" s="181"/>
      <c r="X66" s="181">
        <f t="array" ref="X66">SQRT((X9:Y9*$B$22:$C$22)/($B$9:$C$9*$B$22:$C$22)*(X9:Y9*X22:Y22)/($B$9:$C$9*X22:Y22))</f>
        <v>0.97287312076166499</v>
      </c>
      <c r="Y66" s="181"/>
      <c r="Z66" s="181">
        <f t="array" ref="Z66">SQRT((Z9:AA9*$B$22:$C$22)/($B$9:$C$9*$B$22:$C$22)*(Z9:AA9*Z22:AA22)/($B$9:$C$9*Z22:AA22))</f>
        <v>0.96971285664046381</v>
      </c>
      <c r="AA66" s="181"/>
      <c r="AB66" s="181">
        <f t="array" ref="AB66">SQRT((AB9:AC9*$B$22:$C$22)/($B$9:$C$9*$B$22:$C$22)*(AB9:AC9*AB22:AC22)/($B$9:$C$9*AB22:AC22))</f>
        <v>0.96686339230841367</v>
      </c>
      <c r="AC66" s="181"/>
      <c r="AD66" s="181">
        <f t="array" ref="AD66">SQRT((AD9:AE9*$B$22:$C$22)/($B$9:$C$9*$B$22:$C$22)*(AD9:AE9*AD22:AE22)/($B$9:$C$9*AD22:AE22))</f>
        <v>0.96483663550754784</v>
      </c>
      <c r="AE66" s="181"/>
      <c r="AF66" s="181">
        <f t="array" ref="AF66">SQRT((AF9:AG9*$B$22:$C$22)/($B$9:$C$9*$B$22:$C$22)*(AF9:AG9*AF22:AG22)/($B$9:$C$9*AF22:AG22))</f>
        <v>0.96441121697466015</v>
      </c>
      <c r="AG66" s="181"/>
      <c r="AH66" s="181">
        <f t="array" ref="AH66">SQRT((AH9:AI9*$B$22:$C$22)/($B$9:$C$9*$B$22:$C$22)*(AH9:AI9*AH22:AI22)/($B$9:$C$9*AH22:AI22))</f>
        <v>0.96633950183249484</v>
      </c>
      <c r="AI66" s="181"/>
      <c r="AJ66" s="181">
        <f t="array" ref="AJ66">SQRT((AJ9:AK9*$B$22:$C$22)/($B$9:$C$9*$B$22:$C$22)*(AJ9:AK9*AJ22:AK22)/($B$9:$C$9*AJ22:AK22))</f>
        <v>0.97062949148020994</v>
      </c>
      <c r="AK66" s="181"/>
      <c r="AL66" s="181">
        <f t="array" ref="AL66">SQRT((AL9:AM9*$B$22:$C$22)/($B$9:$C$9*$B$22:$C$22)*(AL9:AM9*AL22:AM22)/($B$9:$C$9*AL22:AM22))</f>
        <v>0.9764283307411088</v>
      </c>
      <c r="AM66" s="181"/>
      <c r="AN66" s="181">
        <f t="array" ref="AN66">SQRT((AN9:AO9*$B$22:$C$22)/($B$9:$C$9*$B$22:$C$22)*(AN9:AO9*AN22:AO22)/($B$9:$C$9*AN22:AO22))</f>
        <v>0.98358080991684105</v>
      </c>
      <c r="AO66" s="181"/>
      <c r="AP66" s="181">
        <f t="array" ref="AP66">SQRT((AP9:AQ9*$B$22:$C$22)/($B$9:$C$9*$B$22:$C$22)*(AP9:AQ9*AP22:AQ22)/($B$9:$C$9*AP22:AQ22))</f>
        <v>0.98550410906766461</v>
      </c>
      <c r="AQ66" s="181"/>
      <c r="AR66" s="181">
        <f t="array" ref="AR66">SQRT((AR9:AS9*$B$22:$C$22)/($B$9:$C$9*$B$22:$C$22)*(AR9:AS9*AR22:AS22)/($B$9:$C$9*AR22:AS22))</f>
        <v>0.98790917811824464</v>
      </c>
      <c r="AS66" s="181"/>
      <c r="AT66" s="181">
        <f t="array" ref="AT66">SQRT((AT9:AU9*$B$22:$C$22)/($B$9:$C$9*$B$22:$C$22)*(AT9:AU9*AT22:AU22)/($B$9:$C$9*AT22:AU22))</f>
        <v>0.99126540115856177</v>
      </c>
      <c r="AU66" s="181"/>
      <c r="AV66" s="181">
        <f t="array" ref="AV66">SQRT((AV9:AW9*$B$22:$C$22)/($B$9:$C$9*$B$22:$C$22)*(AV9:AW9*AV22:AW22)/($B$9:$C$9*AV22:AW22))</f>
        <v>0.99684804644769698</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0.99815268179893035</v>
      </c>
      <c r="E68" s="181"/>
      <c r="F68" s="181">
        <f>F66/F67</f>
        <v>0.99622345565827164</v>
      </c>
      <c r="G68" s="181"/>
      <c r="H68" s="181">
        <f>H66/H67</f>
        <v>0.99419888161982728</v>
      </c>
      <c r="I68" s="181"/>
      <c r="J68" s="181">
        <f>J66/J67</f>
        <v>0.99206369400304872</v>
      </c>
      <c r="K68" s="181"/>
      <c r="L68" s="181">
        <f>L66/L67</f>
        <v>0.98980105820989761</v>
      </c>
      <c r="M68" s="181"/>
      <c r="N68" s="181">
        <f>N66/N67</f>
        <v>0.98739323298324599</v>
      </c>
      <c r="O68" s="181"/>
      <c r="P68" s="181">
        <f>P66/P67</f>
        <v>0.9848231535793992</v>
      </c>
      <c r="Q68" s="181"/>
      <c r="R68" s="181">
        <f>R66/R67</f>
        <v>0.98207748619347435</v>
      </c>
      <c r="S68" s="181"/>
      <c r="T68" s="181">
        <f>T66/T67</f>
        <v>0.97915250662823128</v>
      </c>
      <c r="U68" s="181"/>
      <c r="V68" s="181">
        <f>V66/V67</f>
        <v>0.97606509281212539</v>
      </c>
      <c r="W68" s="181"/>
      <c r="X68" s="181">
        <f>X66/X67</f>
        <v>0.97287312076166499</v>
      </c>
      <c r="Y68" s="181"/>
      <c r="Z68" s="181">
        <f>Z66/Z67</f>
        <v>0.96971285664046381</v>
      </c>
      <c r="AA68" s="181"/>
      <c r="AB68" s="181">
        <f>AB66/AB67</f>
        <v>0.96686339230841367</v>
      </c>
      <c r="AC68" s="181"/>
      <c r="AD68" s="181">
        <f>AD66/AD67</f>
        <v>0.96483663550754784</v>
      </c>
      <c r="AE68" s="181"/>
      <c r="AF68" s="181">
        <f>AF66/AF67</f>
        <v>0.96441121697466015</v>
      </c>
      <c r="AG68" s="181"/>
      <c r="AH68" s="181">
        <f>AH66/AH67</f>
        <v>0.96633950183249484</v>
      </c>
      <c r="AI68" s="181"/>
      <c r="AJ68" s="181">
        <f>AJ66/AJ67</f>
        <v>0.97062949148020994</v>
      </c>
      <c r="AK68" s="181"/>
      <c r="AL68" s="181">
        <f>AL66/AL67</f>
        <v>0.9764283307411088</v>
      </c>
      <c r="AM68" s="181"/>
      <c r="AN68" s="181">
        <f>AN66/AN67</f>
        <v>0.98358080991684105</v>
      </c>
      <c r="AO68" s="181"/>
      <c r="AP68" s="181">
        <f>AP66/AP67</f>
        <v>0.98550410906766461</v>
      </c>
      <c r="AQ68" s="181"/>
      <c r="AR68" s="181">
        <f>AR66/AR67</f>
        <v>0.98790917811824464</v>
      </c>
      <c r="AS68" s="181"/>
      <c r="AT68" s="181">
        <f>AT66/AT67</f>
        <v>0.99126540115856177</v>
      </c>
      <c r="AU68" s="181"/>
      <c r="AV68" s="181">
        <f>AV66/AV67</f>
        <v>0.99684804644769698</v>
      </c>
      <c r="XFD68" s="181"/>
    </row>
    <row r="69" spans="1:48 16384:16384" x14ac:dyDescent="0.2">
      <c r="A69" t="s">
        <v>161</v>
      </c>
      <c r="B69" s="181">
        <f>B32/B65/($B$32)</f>
        <v>1</v>
      </c>
      <c r="C69" s="181"/>
      <c r="D69" s="181">
        <f>D32/D65/($B$32)</f>
        <v>1.0017346264030258</v>
      </c>
      <c r="E69" s="181"/>
      <c r="F69" s="181">
        <f>F32/F65/($B$32)</f>
        <v>1.0033780041238411</v>
      </c>
      <c r="G69" s="181"/>
      <c r="H69" s="181">
        <f>H32/H65/($B$32)</f>
        <v>1.0049151179346265</v>
      </c>
      <c r="I69" s="181"/>
      <c r="J69" s="181">
        <f>J32/J65/($B$32)</f>
        <v>1.0063274741353652</v>
      </c>
      <c r="K69" s="181"/>
      <c r="L69" s="181">
        <f>L32/L65/($B$32)</f>
        <v>1.0075921495615963</v>
      </c>
      <c r="M69" s="181"/>
      <c r="N69" s="181">
        <f>N32/N65/($B$32)</f>
        <v>1.0086807267719267</v>
      </c>
      <c r="O69" s="181"/>
      <c r="P69" s="181">
        <f>P32/P65/($B$32)</f>
        <v>1.0095578752369292</v>
      </c>
      <c r="Q69" s="181"/>
      <c r="R69" s="181">
        <f>R32/R65/($B$32)</f>
        <v>1.0101795118422199</v>
      </c>
      <c r="S69" s="181"/>
      <c r="T69" s="181">
        <f>T32/T65/($B$32)</f>
        <v>1.0104909649424427</v>
      </c>
      <c r="U69" s="181"/>
      <c r="V69" s="181">
        <f>V32/V65/($B$32)</f>
        <v>1.0104244196812695</v>
      </c>
      <c r="W69" s="181"/>
      <c r="X69" s="181">
        <f>X32/X65/($B$32)</f>
        <v>1.0098958018066242</v>
      </c>
      <c r="Y69" s="181"/>
      <c r="Z69" s="181">
        <f>Z32/Z65/($B$32)</f>
        <v>1.0087992421351379</v>
      </c>
      <c r="AA69" s="181"/>
      <c r="AB69" s="181">
        <f>AB32/AB65/($B$32)</f>
        <v>1.0069896484587442</v>
      </c>
      <c r="AC69" s="181"/>
      <c r="AD69" s="181">
        <f>AD32/AD65/($B$32)</f>
        <v>1.0042130789468484</v>
      </c>
      <c r="AE69" s="181"/>
      <c r="AF69" s="181">
        <f>AF32/AF65/($B$32)</f>
        <v>0.99982601445610431</v>
      </c>
      <c r="AG69" s="181"/>
      <c r="AH69" s="181">
        <f>AH32/AH65/($B$32)</f>
        <v>0.99184505624145081</v>
      </c>
      <c r="AI69" s="181"/>
      <c r="AJ69" s="181">
        <f>AJ32/AJ65/($B$32)</f>
        <v>0.9744288210031129</v>
      </c>
      <c r="AK69" s="181"/>
      <c r="AL69" s="181">
        <f>AL32/AL65/($B$32)</f>
        <v>0.93103170158209447</v>
      </c>
      <c r="AM69" s="181"/>
      <c r="AN69" s="181">
        <f>AN32/AN65/($B$32)</f>
        <v>0.80209926701968337</v>
      </c>
      <c r="AO69" s="181"/>
      <c r="AP69" s="181">
        <f>AP32/AP65/($B$32)</f>
        <v>0.74810008528929395</v>
      </c>
      <c r="AQ69" s="181"/>
      <c r="AR69" s="181">
        <f>AR32/AR65/($B$32)</f>
        <v>0.67240845864641552</v>
      </c>
      <c r="AS69" s="181"/>
      <c r="AT69" s="181">
        <f>AT32/AT65/($B$32)</f>
        <v>0.55966470127044787</v>
      </c>
      <c r="AU69" s="181"/>
      <c r="AV69" s="181">
        <f>AV32/AV65/($B$32)</f>
        <v>0.37387125251963865</v>
      </c>
    </row>
    <row r="70" spans="1:48 16384:16384" x14ac:dyDescent="0.2">
      <c r="A70" t="s">
        <v>162</v>
      </c>
      <c r="B70" s="129">
        <f>B18/$B$18</f>
        <v>1</v>
      </c>
      <c r="C70" s="129"/>
      <c r="D70" s="129">
        <f>D18/$B$18</f>
        <v>1.0002037055180795</v>
      </c>
      <c r="E70" s="129"/>
      <c r="F70" s="129">
        <f>F18/$B$18</f>
        <v>1.0002513919336433</v>
      </c>
      <c r="G70" s="129"/>
      <c r="H70" s="129">
        <f>H18/$B$18</f>
        <v>1.0001192845020499</v>
      </c>
      <c r="I70" s="129"/>
      <c r="J70" s="129">
        <f>J18/$B$18</f>
        <v>0.99977790678244716</v>
      </c>
      <c r="K70" s="129"/>
      <c r="L70" s="129">
        <f>L18/$B$18</f>
        <v>0.99918997673313681</v>
      </c>
      <c r="M70" s="129"/>
      <c r="N70" s="129">
        <f>N18/$B$18</f>
        <v>0.99830727572112021</v>
      </c>
      <c r="O70" s="129"/>
      <c r="P70" s="129">
        <f>P18/$B$18</f>
        <v>0.99706585005343373</v>
      </c>
      <c r="Q70" s="129"/>
      <c r="R70" s="129">
        <f>R18/$B$18</f>
        <v>0.99537834503019795</v>
      </c>
      <c r="S70" s="129"/>
      <c r="T70" s="129">
        <f>T18/$B$18</f>
        <v>0.99312177069025953</v>
      </c>
      <c r="U70" s="129"/>
      <c r="V70" s="129">
        <f>V18/$B$18</f>
        <v>0.99011685901497848</v>
      </c>
      <c r="W70" s="129"/>
      <c r="X70" s="129">
        <f>X18/$B$18</f>
        <v>0.98609259297212382</v>
      </c>
      <c r="Y70" s="129"/>
      <c r="Z70" s="129">
        <f>Z18/$B$18</f>
        <v>0.98062354895021042</v>
      </c>
      <c r="AA70" s="129"/>
      <c r="AB70" s="129">
        <f>AB18/$B$18</f>
        <v>0.9730180180058623</v>
      </c>
      <c r="AC70" s="129"/>
      <c r="AD70" s="129">
        <f>AD18/$B$18</f>
        <v>0.96212536381312308</v>
      </c>
      <c r="AE70" s="129"/>
      <c r="AF70" s="129">
        <f>AF18/$B$18</f>
        <v>0.94603869070436675</v>
      </c>
      <c r="AG70" s="129"/>
      <c r="AH70" s="129">
        <f>AH18/$B$18</f>
        <v>0.92167100050197337</v>
      </c>
      <c r="AI70" s="129"/>
      <c r="AJ70" s="129">
        <f>AJ18/$B$18</f>
        <v>0.88369428278889617</v>
      </c>
      <c r="AK70" s="129"/>
      <c r="AL70" s="129">
        <f>AL18/$B$18</f>
        <v>0.81996260210820615</v>
      </c>
      <c r="AM70" s="129"/>
      <c r="AN70" s="129">
        <f>AN18/$B$18</f>
        <v>0.68819321046840076</v>
      </c>
      <c r="AO70" s="129"/>
      <c r="AP70" s="129">
        <f>AP18/$B$18</f>
        <v>0.64081533571338523</v>
      </c>
      <c r="AQ70" s="129"/>
      <c r="AR70" s="129">
        <f>AR18/$B$18</f>
        <v>0.57729767468317139</v>
      </c>
      <c r="AS70" s="129"/>
      <c r="AT70" s="129">
        <f>AT18/$B$18</f>
        <v>0.48547662393521496</v>
      </c>
      <c r="AU70" s="129"/>
      <c r="AV70" s="129">
        <f>AV18/$B$18</f>
        <v>0.3341444069783106</v>
      </c>
    </row>
    <row r="71" spans="1:48 16384:16384" x14ac:dyDescent="0.2">
      <c r="A71" t="s">
        <v>163</v>
      </c>
      <c r="B71" s="129">
        <f>C18/$C$18</f>
        <v>1</v>
      </c>
      <c r="D71" s="129">
        <f>E18/$C$18</f>
        <v>0.92729520013976163</v>
      </c>
      <c r="E71" s="129"/>
      <c r="F71" s="129">
        <f>G18/$C$18</f>
        <v>0.85450341965958909</v>
      </c>
      <c r="G71" s="129"/>
      <c r="H71" s="129">
        <f>I18/$C$18</f>
        <v>0.7816417009491442</v>
      </c>
      <c r="I71" s="129"/>
      <c r="J71" s="129">
        <f>K18/$C$18</f>
        <v>0.70874452980610081</v>
      </c>
      <c r="K71" s="129"/>
      <c r="L71" s="129">
        <f>M18/$C$18</f>
        <v>0.63587584757206472</v>
      </c>
      <c r="M71" s="129"/>
      <c r="N71" s="129">
        <f>O18/$C$18</f>
        <v>0.56314505082733679</v>
      </c>
      <c r="O71" s="129"/>
      <c r="P71" s="129">
        <f>Q18/$C$18</f>
        <v>0.49073373982697327</v>
      </c>
      <c r="Q71" s="129"/>
      <c r="R71" s="129">
        <f>S18/$C$18</f>
        <v>0.41893730336986962</v>
      </c>
      <c r="S71" s="129"/>
      <c r="T71" s="129">
        <f>U18/$C$18</f>
        <v>0.34822244136670266</v>
      </c>
      <c r="U71" s="129"/>
      <c r="V71" s="129">
        <f>W18/$C$18</f>
        <v>0.27931934974477252</v>
      </c>
      <c r="W71" s="129"/>
      <c r="X71" s="129">
        <f>Y18/$C$18</f>
        <v>0.21335367521797635</v>
      </c>
      <c r="Y71" s="129"/>
      <c r="Z71" s="129">
        <f>AA18/$C$18</f>
        <v>0.1520254870402219</v>
      </c>
      <c r="AA71" s="129"/>
      <c r="AB71" s="129">
        <f>AC18/$C$18</f>
        <v>9.7801290866581486E-2</v>
      </c>
      <c r="AC71" s="129"/>
      <c r="AD71" s="129">
        <f>AE18/$C$18</f>
        <v>5.3906488323647202E-2</v>
      </c>
      <c r="AE71" s="129"/>
      <c r="AF71" s="129">
        <f>AG18/$C$18</f>
        <v>2.3495516645824072E-2</v>
      </c>
      <c r="AG71" s="129"/>
      <c r="AH71" s="129">
        <f>AI18/$C$18</f>
        <v>7.26550224575165E-3</v>
      </c>
      <c r="AI71" s="129"/>
      <c r="AJ71" s="129">
        <f>AK18/$C$18</f>
        <v>1.3950926501875992E-3</v>
      </c>
      <c r="AK71" s="129"/>
      <c r="AL71" s="129">
        <f>AM18/$C$18</f>
        <v>1.3312102227849338E-4</v>
      </c>
      <c r="AM71" s="129"/>
      <c r="AN71" s="129">
        <f>AO18/$C$18</f>
        <v>3.219386372158397E-6</v>
      </c>
      <c r="AO71" s="129"/>
      <c r="AP71" s="129">
        <f>AQ18/$C$18</f>
        <v>1.0786938258402225E-6</v>
      </c>
      <c r="AQ71" s="129"/>
      <c r="AR71" s="129">
        <f>AS18/$C$18</f>
        <v>2.8561050850185619E-7</v>
      </c>
      <c r="AS71" s="129"/>
      <c r="AT71" s="129">
        <f>AU18/$C$18</f>
        <v>5.1481106529358445E-8</v>
      </c>
      <c r="AU71" s="129"/>
      <c r="AV71" s="129">
        <f>AW18/$C$18</f>
        <v>4.2956967955304629E-9</v>
      </c>
      <c r="XFD71" s="129"/>
    </row>
    <row r="72" spans="1:48 16384:16384" x14ac:dyDescent="0.2">
      <c r="A72" t="s">
        <v>164</v>
      </c>
      <c r="B72" s="129">
        <f>C19/$C$19</f>
        <v>1</v>
      </c>
      <c r="D72" s="129">
        <f>E19/$C$19</f>
        <v>1.0348891781159932</v>
      </c>
      <c r="E72" s="129"/>
      <c r="F72" s="129">
        <f>G19/$C$19</f>
        <v>1.0749503603094761</v>
      </c>
      <c r="G72" s="129"/>
      <c r="H72" s="129">
        <f>I19/$C$19</f>
        <v>1.1208809081355722</v>
      </c>
      <c r="I72" s="129"/>
      <c r="J72" s="129">
        <f>K19/$C$19</f>
        <v>1.1734456769428485</v>
      </c>
      <c r="K72" s="129"/>
      <c r="L72" s="129">
        <f>M19/$C$19</f>
        <v>1.2334502622204104</v>
      </c>
      <c r="M72" s="129"/>
      <c r="N72" s="129">
        <f>O19/$C$19</f>
        <v>1.301695178609664</v>
      </c>
      <c r="O72" s="129"/>
      <c r="P72" s="129">
        <f>Q19/$C$19</f>
        <v>1.3788673050665219</v>
      </c>
      <c r="Q72" s="129"/>
      <c r="R72" s="129">
        <f>S19/$C$19</f>
        <v>1.4653477375615094</v>
      </c>
      <c r="S72" s="129"/>
      <c r="T72" s="129">
        <f>U19/$C$19</f>
        <v>1.56086063911937</v>
      </c>
      <c r="U72" s="129"/>
      <c r="V72" s="129">
        <f>W19/$C$19</f>
        <v>1.6638219262412539</v>
      </c>
      <c r="W72" s="129"/>
      <c r="X72" s="129">
        <f>Y19/$C$19</f>
        <v>1.7701611361115184</v>
      </c>
      <c r="Y72" s="129"/>
      <c r="Z72" s="129">
        <f>AA19/$C$19</f>
        <v>1.8712070392137525</v>
      </c>
      <c r="AA72" s="129"/>
      <c r="AB72" s="129">
        <f>AC19/$C$19</f>
        <v>1.9501230934029801</v>
      </c>
      <c r="AC72" s="129"/>
      <c r="AD72" s="129">
        <f>AE19/$C$19</f>
        <v>1.977134404084111</v>
      </c>
      <c r="AE72" s="129"/>
      <c r="AF72" s="129">
        <f>AG19/$C$19</f>
        <v>1.9082906547889922</v>
      </c>
      <c r="AG72" s="129"/>
      <c r="AH72" s="129">
        <f>AI19/$C$19</f>
        <v>1.7023828627618089</v>
      </c>
      <c r="AI72" s="129"/>
      <c r="AJ72" s="129">
        <f>AK19/$C$19</f>
        <v>1.3597863602546636</v>
      </c>
      <c r="AK72" s="129"/>
      <c r="AL72" s="129">
        <f>AM19/$C$19</f>
        <v>0.93068015380886204</v>
      </c>
      <c r="AM72" s="129"/>
      <c r="AN72" s="129">
        <f>AO19/$C$19</f>
        <v>0.46863969390687465</v>
      </c>
      <c r="AO72" s="129"/>
      <c r="AP72" s="129">
        <f>AQ19/$C$19</f>
        <v>0.37505741680669619</v>
      </c>
      <c r="AQ72" s="129"/>
      <c r="AR72" s="129">
        <f>AS19/$C$19</f>
        <v>0.28135737542614431</v>
      </c>
      <c r="AS72" s="129"/>
      <c r="AT72" s="129">
        <f>AU19/$C$19</f>
        <v>0.1875942299999819</v>
      </c>
      <c r="AU72" s="129"/>
      <c r="AV72" s="129">
        <f>AW19/$C$19</f>
        <v>9.3802134054551914E-2</v>
      </c>
      <c r="XFD72" s="129"/>
    </row>
    <row r="73" spans="1:48 16384:16384" x14ac:dyDescent="0.2">
      <c r="A73" t="s">
        <v>168</v>
      </c>
      <c r="B73" s="183">
        <f t="array" ref="B73">SUM(B9:C9*B22:C22)/B32</f>
        <v>0.47641153352875065</v>
      </c>
      <c r="D73" s="183">
        <f t="array" ref="D73">SUM(D9:E9*D22:E22)/D32</f>
        <v>0.47368373357109528</v>
      </c>
      <c r="E73" s="129"/>
      <c r="F73" s="183">
        <f t="array" ref="F73">SUM(F9:G9*F22:G22)/F32</f>
        <v>0.47085947937863581</v>
      </c>
      <c r="G73" s="129"/>
      <c r="H73" s="183">
        <f t="array" ref="H73">SUM(H9:I9*H22:I22)/H32</f>
        <v>0.46792336555458491</v>
      </c>
      <c r="I73" s="129"/>
      <c r="J73" s="183">
        <f t="array" ref="J73">SUM(J9:K9*J22:K22)/J32</f>
        <v>0.46485672737014977</v>
      </c>
      <c r="K73" s="129"/>
      <c r="L73" s="183">
        <f t="array" ref="L73">SUM(L9:M9*L22:M22)/L32</f>
        <v>0.46163644978192436</v>
      </c>
      <c r="M73" s="129"/>
      <c r="N73" s="183">
        <f t="array" ref="N73">SUM(N9:O9*N22:O22)/N32</f>
        <v>0.45823325663829473</v>
      </c>
      <c r="O73" s="129"/>
      <c r="P73" s="183">
        <f t="array" ref="P73">SUM(P9:Q9*P22:Q22)/P32</f>
        <v>0.45460885526550421</v>
      </c>
      <c r="Q73" s="129"/>
      <c r="R73" s="183">
        <f t="array" ref="R73">SUM(R9:S9*R22:S22)/R32</f>
        <v>0.45071126365227265</v>
      </c>
      <c r="S73" s="129"/>
      <c r="T73" s="183">
        <f t="array" ref="T73">SUM(T9:U9*T22:U22)/T32</f>
        <v>0.44646717384063739</v>
      </c>
      <c r="U73" s="129"/>
      <c r="V73" s="183">
        <f t="array" ref="V73">SUM(V9:W9*V22:W22)/V32</f>
        <v>0.44176843717133907</v>
      </c>
      <c r="W73" s="129"/>
      <c r="X73" s="183">
        <f t="array" ref="X73">SUM(X9:Y9*X22:Y22)/X32</f>
        <v>0.43644829703846316</v>
      </c>
      <c r="Y73" s="129"/>
      <c r="Z73" s="183">
        <f t="array" ref="Z73">SUM(Z9:AA9*Z22:AA22)/Z32</f>
        <v>0.43023881056132823</v>
      </c>
      <c r="AA73" s="129"/>
      <c r="AB73" s="183">
        <f t="array" ref="AB73">SUM(AB9:AC9*AB22:AC22)/AB32</f>
        <v>0.42269574855260922</v>
      </c>
      <c r="AC73" s="129"/>
      <c r="AD73" s="183">
        <f t="array" ref="AD73">SUM(AD9:AE9*AD22:AE22)/AD32</f>
        <v>0.41307917126559462</v>
      </c>
      <c r="AE73" s="129"/>
      <c r="AF73" s="183">
        <f t="array" ref="AF73">SUM(AF9:AG9*AF22:AG22)/AF32</f>
        <v>0.400219159246335</v>
      </c>
      <c r="AG73" s="129"/>
      <c r="AH73" s="183">
        <f t="array" ref="AH73">SUM(AH9:AI9*AH22:AI22)/AH32</f>
        <v>0.38249547912331422</v>
      </c>
      <c r="AI73" s="129"/>
      <c r="AJ73" s="183">
        <f t="array" ref="AJ73">SUM(AJ9:AK9*AJ22:AK22)/AJ32</f>
        <v>0.35785082839314103</v>
      </c>
      <c r="AK73" s="129"/>
      <c r="AL73" s="183">
        <f t="array" ref="AL73">SUM(AL9:AM9*AL22:AM22)/AL32</f>
        <v>0.32255977340808201</v>
      </c>
      <c r="AM73" s="129"/>
      <c r="AN73" s="183">
        <f t="array" ref="AN73">SUM(AN9:AO9*AN22:AO22)/AN32</f>
        <v>0.26387325757570185</v>
      </c>
      <c r="AO73" s="129"/>
      <c r="AP73" s="183">
        <f t="array" ref="AP73">SUM(AP9:AQ9*AP22:AQ22)/AP32</f>
        <v>0.24533873562369479</v>
      </c>
      <c r="AQ73" s="129"/>
      <c r="AR73" s="183">
        <f t="array" ref="AR73">SUM(AR9:AS9*AR22:AS22)/AR32</f>
        <v>0.22156279978854609</v>
      </c>
      <c r="AS73" s="129"/>
      <c r="AT73" s="183">
        <f t="array" ref="AT73">SUM(AT9:AU9*AT22:AU22)/AT32</f>
        <v>0.1882932652622806</v>
      </c>
      <c r="AU73" s="129"/>
      <c r="AV73" s="183">
        <f t="array" ref="AV73">SUM(AV9:AW9*AV22:AW22)/AV32</f>
        <v>0.13357492810460878</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0.22604620456442487</v>
      </c>
      <c r="O74" s="129"/>
      <c r="P74" s="183">
        <f t="array" ref="P74">SUM(P10:Q10*P23:Q23)/P32</f>
        <v>0.22604620456442484</v>
      </c>
      <c r="Q74" s="129"/>
      <c r="R74" s="183">
        <f t="array" ref="R74">SUM(R10:S10*R23:S23)/R32</f>
        <v>0.22604620456442484</v>
      </c>
      <c r="S74" s="129"/>
      <c r="T74" s="183">
        <f t="array" ref="T74">SUM(T10:U10*T23:U23)/T32</f>
        <v>0.22604620456442487</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f t="array" ref="AN74">SUM(AN10:AO10*AN23:AO23)/AN32</f>
        <v>0.22604620456442487</v>
      </c>
      <c r="AO74" s="129"/>
      <c r="AP74" s="183">
        <f t="array" ref="AP74">SUM(AP10:AQ10*AP23:AQ23)/AP32</f>
        <v>0.22604620456442487</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0.22311218872361882</v>
      </c>
      <c r="E75" s="129"/>
      <c r="F75" s="183">
        <f t="array" ref="F75">SUM(F11:G11*F24:G24)/F32</f>
        <v>0.22593644305608346</v>
      </c>
      <c r="G75" s="129"/>
      <c r="H75" s="183">
        <f t="array" ref="H75">SUM(H11:I11*H24:I24)/H32</f>
        <v>0.22887255706367499</v>
      </c>
      <c r="I75" s="129"/>
      <c r="J75" s="183">
        <f t="array" ref="J75">SUM(J11:K11*J24:K24)/J32</f>
        <v>0.23193920614292421</v>
      </c>
      <c r="K75" s="129"/>
      <c r="L75" s="183">
        <f t="array" ref="L75">SUM(L11:M11*L24:M24)/L32</f>
        <v>0.23515947322160424</v>
      </c>
      <c r="M75" s="129"/>
      <c r="N75" s="183">
        <f t="array" ref="N75">SUM(N11:O11*N24:O24)/N32</f>
        <v>0.23856266534746137</v>
      </c>
      <c r="O75" s="129"/>
      <c r="P75" s="183">
        <f t="array" ref="P75">SUM(P11:Q11*P24:Q24)/P32</f>
        <v>0.24218707888626431</v>
      </c>
      <c r="Q75" s="129"/>
      <c r="R75" s="183">
        <f t="array" ref="R75">SUM(R11:S11*R24:S24)/R32</f>
        <v>0.24608466261661233</v>
      </c>
      <c r="S75" s="129"/>
      <c r="T75" s="183">
        <f t="array" ref="T75">SUM(T11:U11*T24:U24)/T32</f>
        <v>0.25032874918881132</v>
      </c>
      <c r="U75" s="129"/>
      <c r="V75" s="183">
        <f t="array" ref="V75">SUM(V11:W11*V24:W24)/V32</f>
        <v>0.25502749048376738</v>
      </c>
      <c r="W75" s="129"/>
      <c r="X75" s="183">
        <f t="array" ref="X75">SUM(X11:Y11*X24:Y24)/X32</f>
        <v>0.26034762663114486</v>
      </c>
      <c r="Y75" s="129"/>
      <c r="Z75" s="183">
        <f t="array" ref="Z75">SUM(Z11:AA11*Z24:AA24)/Z32</f>
        <v>0.26655711239274671</v>
      </c>
      <c r="AA75" s="129"/>
      <c r="AB75" s="183">
        <f t="array" ref="AB75">SUM(AB11:AC11*AB24:AC24)/AB32</f>
        <v>0.27410017306001661</v>
      </c>
      <c r="AC75" s="129"/>
      <c r="AD75" s="183">
        <f t="array" ref="AD75">SUM(AD11:AE11*AD24:AE24)/AD32</f>
        <v>0.28371675102287608</v>
      </c>
      <c r="AE75" s="129"/>
      <c r="AF75" s="183">
        <f t="array" ref="AF75">SUM(AF11:AG11*AF24:AG24)/AF32</f>
        <v>0.29657676252721937</v>
      </c>
      <c r="AG75" s="129"/>
      <c r="AH75" s="183">
        <f t="array" ref="AH75">SUM(AH11:AI11*AH24:AI24)/AH32</f>
        <v>0.31430044271832552</v>
      </c>
      <c r="AI75" s="129"/>
      <c r="AJ75" s="183">
        <f t="array" ref="AJ75">SUM(AJ11:AK11*AJ24:AK24)/AJ32</f>
        <v>0.33894509347159241</v>
      </c>
      <c r="AK75" s="129"/>
      <c r="AL75" s="183">
        <f t="array" ref="AL75">SUM(AL11:AM11*AL24:AM24)/AL32</f>
        <v>0.37423614845267827</v>
      </c>
      <c r="AM75" s="129"/>
      <c r="AN75" s="183">
        <f t="array" ref="AN75">SUM(AN11:AO11*AN24:AO24)/AN32</f>
        <v>0.43292266428499049</v>
      </c>
      <c r="AO75" s="129"/>
      <c r="AP75" s="183">
        <f t="array" ref="AP75">SUM(AP11:AQ11*AP24:AQ24)/AP32</f>
        <v>0.45145718623707087</v>
      </c>
      <c r="AQ75" s="129"/>
      <c r="AR75" s="183">
        <f t="array" ref="AR75">SUM(AR11:AS11*AR24:AS24)/AR32</f>
        <v>0.47523312207214663</v>
      </c>
      <c r="AS75" s="129"/>
      <c r="AT75" s="183">
        <f t="array" ref="AT75">SUM(AT11:AU11*AT24:AU24)/AT32</f>
        <v>0.50850265659841076</v>
      </c>
      <c r="AU75" s="129"/>
      <c r="AV75" s="183">
        <f t="array" ref="AV75">SUM(AV11:AW11*AV24:AW24)/AV32</f>
        <v>0.56322099375608292</v>
      </c>
      <c r="XFD75" s="183"/>
    </row>
    <row r="76" spans="1:48 16384:16384" x14ac:dyDescent="0.2">
      <c r="A76" t="s">
        <v>171</v>
      </c>
      <c r="B76" s="183">
        <f t="array" ref="B76">SUM(B12:C12*B25:C25)/B32</f>
        <v>0.22301874374724867</v>
      </c>
      <c r="D76" s="183">
        <f t="array" ref="D76">SUM(D12:E12*D25:E25)/D32</f>
        <v>0.22309239864265321</v>
      </c>
      <c r="E76" s="129"/>
      <c r="F76" s="183">
        <f t="array" ref="F76">SUM(F12:G12*F25:G25)/F32</f>
        <v>0.22323913508351861</v>
      </c>
      <c r="G76" s="129"/>
      <c r="H76" s="183">
        <f t="array" ref="H76">SUM(H12:I12*H25:I25)/H32</f>
        <v>0.22346874475988232</v>
      </c>
      <c r="I76" s="129"/>
      <c r="J76" s="183">
        <f t="array" ref="J76">SUM(J12:K12*J25:K25)/J32</f>
        <v>0.22379192863168806</v>
      </c>
      <c r="K76" s="129"/>
      <c r="L76" s="183">
        <f t="array" ref="L76">SUM(L12:M12*L25:M25)/L32</f>
        <v>0.22421988599554132</v>
      </c>
      <c r="M76" s="129"/>
      <c r="N76" s="183">
        <f t="array" ref="N76">SUM(N12:O12*N25:O25)/N32</f>
        <v>0.2247633902677065</v>
      </c>
      <c r="O76" s="129"/>
      <c r="P76" s="183">
        <f t="array" ref="P76">SUM(P12:Q12*P25:Q25)/P32</f>
        <v>0.2254309663118659</v>
      </c>
      <c r="Q76" s="129"/>
      <c r="R76" s="183">
        <f t="array" ref="R76">SUM(R12:S12*R25:S25)/R32</f>
        <v>0.22622545428567567</v>
      </c>
      <c r="S76" s="129"/>
      <c r="T76" s="183">
        <f t="array" ref="T76">SUM(T12:U12*T25:U25)/T32</f>
        <v>0.22713748201613096</v>
      </c>
      <c r="U76" s="129"/>
      <c r="V76" s="183">
        <f t="array" ref="V76">SUM(V12:W12*V25:W25)/V32</f>
        <v>0.22813345432870008</v>
      </c>
      <c r="W76" s="129"/>
      <c r="X76" s="183">
        <f t="array" ref="X76">SUM(X12:Y12*X25:Y25)/X32</f>
        <v>0.22913328031598176</v>
      </c>
      <c r="Y76" s="129"/>
      <c r="Z76" s="183">
        <f t="array" ref="Z76">SUM(Z12:AA12*Z25:AA25)/Z32</f>
        <v>0.22996976895817159</v>
      </c>
      <c r="AA76" s="129"/>
      <c r="AB76" s="183">
        <f t="array" ref="AB76">SUM(AB12:AC12*AB25:AC25)/AB32</f>
        <v>0.23031956007980833</v>
      </c>
      <c r="AC76" s="129"/>
      <c r="AD76" s="183">
        <f t="array" ref="AD76">SUM(AD12:AE12*AD25:AE25)/AD32</f>
        <v>0.22961003364420277</v>
      </c>
      <c r="AE76" s="129"/>
      <c r="AF76" s="183">
        <f t="array" ref="AF76">SUM(AF12:AG12*AF25:AG25)/AF32</f>
        <v>0.22699580242461334</v>
      </c>
      <c r="AG76" s="129"/>
      <c r="AH76" s="183">
        <f t="array" ref="AH76">SUM(AH12:AI12*AH25:AI25)/AH32</f>
        <v>0.22169003846302088</v>
      </c>
      <c r="AI76" s="129"/>
      <c r="AJ76" s="183">
        <f t="array" ref="AJ76">SUM(AJ12:AK12*AJ25:AK25)/AJ32</f>
        <v>0.21371993485545804</v>
      </c>
      <c r="AK76" s="129"/>
      <c r="AL76" s="183">
        <f t="array" ref="AL76">SUM(AL12:AM12*AL25:AM25)/AL32</f>
        <v>0.20415087982845392</v>
      </c>
      <c r="AM76" s="129"/>
      <c r="AN76" s="183">
        <f t="array" ref="AN76">SUM(AN12:AO12*AN25:AO25)/AN32</f>
        <v>0.19488646773710822</v>
      </c>
      <c r="AO76" s="129"/>
      <c r="AP76" s="183">
        <f t="array" ref="AP76">SUM(AP12:AQ12*AP25:AQ25)/AP32</f>
        <v>0.19351053193312867</v>
      </c>
      <c r="AQ76" s="129"/>
      <c r="AR76" s="183">
        <f t="array" ref="AR76">SUM(AR12:AS12*AR25:AS25)/AR32</f>
        <v>0.19263689209148752</v>
      </c>
      <c r="AS76" s="129"/>
      <c r="AT76" s="183">
        <f t="array" ref="AT76">SUM(AT12:AU12*AT25:AU25)/AT32</f>
        <v>0.1927921695758481</v>
      </c>
      <c r="AU76" s="129"/>
      <c r="AV76" s="183">
        <f t="array" ref="AV76">SUM(AV12:AW12*AV25:AW25)/AV32</f>
        <v>0.19553033166795969</v>
      </c>
      <c r="XFD76" s="183"/>
    </row>
    <row r="77" spans="1:48 16384:16384" x14ac:dyDescent="0.2">
      <c r="A77" t="s">
        <v>172</v>
      </c>
      <c r="B77" s="183">
        <f t="array" ref="B77">SUM(B4:C4*B19:C19)/B32</f>
        <v>0.14586087017236485</v>
      </c>
      <c r="D77" s="183">
        <f t="array" ref="D77">SUM(D4:E4*D19:E19)/D32</f>
        <v>0.14593452550179165</v>
      </c>
      <c r="E77" s="129"/>
      <c r="F77" s="183">
        <f t="array" ref="F77">SUM(F4:G4*F19:G19)/F32</f>
        <v>0.14608126208266231</v>
      </c>
      <c r="G77" s="129"/>
      <c r="H77" s="183">
        <f t="array" ref="H77">SUM(H4:I4*H19:I19)/H32</f>
        <v>0.14631087194256656</v>
      </c>
      <c r="I77" s="129"/>
      <c r="J77" s="183">
        <f t="array" ref="J77">SUM(J4:K4*J19:K19)/J32</f>
        <v>0.14663406670918672</v>
      </c>
      <c r="K77" s="129"/>
      <c r="L77" s="183">
        <f t="array" ref="L77">SUM(L4:M4*L19:M19)/L32</f>
        <v>0.14706201356349444</v>
      </c>
      <c r="M77" s="129"/>
      <c r="N77" s="183">
        <f t="array" ref="N77">SUM(N4:O4*N19:O19)/N32</f>
        <v>0.147605516817887</v>
      </c>
      <c r="O77" s="129"/>
      <c r="P77" s="183">
        <f t="array" ref="P77">SUM(P4:Q4*P19:Q19)/P32</f>
        <v>0.14827310502805874</v>
      </c>
      <c r="Q77" s="129"/>
      <c r="R77" s="183">
        <f t="array" ref="R77">SUM(R4:S4*R19:S19)/R32</f>
        <v>0.14906758511898507</v>
      </c>
      <c r="S77" s="129"/>
      <c r="T77" s="183">
        <f t="array" ref="T77">SUM(T4:U4*T19:U19)/T32</f>
        <v>0.14997960961000398</v>
      </c>
      <c r="U77" s="129"/>
      <c r="V77" s="183">
        <f t="array" ref="V77">SUM(V4:W4*V19:W19)/V32</f>
        <v>0.15097558654823112</v>
      </c>
      <c r="W77" s="129"/>
      <c r="X77" s="183">
        <f t="array" ref="X77">SUM(X4:Y4*X19:Y19)/X32</f>
        <v>0.15197540855001404</v>
      </c>
      <c r="Y77" s="129"/>
      <c r="Z77" s="183">
        <f t="array" ref="Z77">SUM(Z4:AA4*Z19:AA19)/Z32</f>
        <v>0.1528118964766709</v>
      </c>
      <c r="AA77" s="129"/>
      <c r="AB77" s="183">
        <f t="array" ref="AB77">SUM(AB4:AC4*AB19:AC19)/AB32</f>
        <v>0.15316168625685878</v>
      </c>
      <c r="AC77" s="129"/>
      <c r="AD77" s="183">
        <f t="array" ref="AD77">SUM(AD4:AE4*AD19:AE19)/AD32</f>
        <v>0.15245216049709776</v>
      </c>
      <c r="AE77" s="129"/>
      <c r="AF77" s="183">
        <f t="array" ref="AF77">SUM(AF4:AG4*AF19:AG19)/AF32</f>
        <v>0.14983792876259205</v>
      </c>
      <c r="AG77" s="129"/>
      <c r="AH77" s="183">
        <f t="array" ref="AH77">SUM(AH4:AI4*AH19:AI19)/AH32</f>
        <v>0.14453216486908518</v>
      </c>
      <c r="AI77" s="129"/>
      <c r="AJ77" s="183">
        <f t="array" ref="AJ77">SUM(AJ4:AK4*AJ19:AK19)/AJ32</f>
        <v>0.13656206128461593</v>
      </c>
      <c r="AK77" s="129"/>
      <c r="AL77" s="183">
        <f t="array" ref="AL77">SUM(AL4:AM4*AL19:AM19)/AL32</f>
        <v>0.12699300625363871</v>
      </c>
      <c r="AM77" s="129"/>
      <c r="AN77" s="183">
        <f t="array" ref="AN77">SUM(AN4:AO4*AN19:AO19)/AN32</f>
        <v>0.11772859416222528</v>
      </c>
      <c r="AO77" s="129"/>
      <c r="AP77" s="183">
        <f t="array" ref="AP77">SUM(AP4:AQ4*AP19:AQ19)/AP32</f>
        <v>0.116352658358319</v>
      </c>
      <c r="AQ77" s="129"/>
      <c r="AR77" s="183">
        <f t="array" ref="AR77">SUM(AR4:AS4*AR19:AS19)/AR32</f>
        <v>0.11547901851660496</v>
      </c>
      <c r="AS77" s="129"/>
      <c r="AT77" s="183">
        <f t="array" ref="AT77">SUM(AT4:AU4*AT19:AU19)/AT32</f>
        <v>0.11563429600096421</v>
      </c>
      <c r="AU77" s="129"/>
      <c r="AV77" s="183">
        <f t="array" ref="AV77">SUM(AV4:AW4*AV19:AW19)/AV32</f>
        <v>0.11837245809307619</v>
      </c>
      <c r="XFD77" s="183"/>
    </row>
    <row r="78" spans="1:48 16384:16384" x14ac:dyDescent="0.2">
      <c r="A78" t="s">
        <v>173</v>
      </c>
      <c r="B78" s="183">
        <f t="array" ref="B78">SUM(B13:C13*B26:C26)/B32</f>
        <v>0.346887593115773</v>
      </c>
      <c r="D78" s="183">
        <f t="array" ref="D78">SUM(D13:E13*D26:E26)/D32</f>
        <v>0.34608848596743075</v>
      </c>
      <c r="E78" s="129"/>
      <c r="F78" s="183">
        <f t="array" ref="F78">SUM(F13:G13*F26:G26)/F32</f>
        <v>0.34521130809328882</v>
      </c>
      <c r="G78" s="129"/>
      <c r="H78" s="183">
        <f t="array" ref="H78">SUM(H13:I13*H26:I26)/H32</f>
        <v>0.34424468790583379</v>
      </c>
      <c r="I78" s="129"/>
      <c r="J78" s="183">
        <f t="array" ref="J78">SUM(J13:K13*J26:K26)/J32</f>
        <v>0.34317458388888156</v>
      </c>
      <c r="K78" s="129"/>
      <c r="L78" s="183">
        <f t="array" ref="L78">SUM(L13:M13*L26:M26)/L32</f>
        <v>0.34198323884303872</v>
      </c>
      <c r="M78" s="129"/>
      <c r="N78" s="183">
        <f t="array" ref="N78">SUM(N13:O13*N26:O26)/N32</f>
        <v>0.34064753781085577</v>
      </c>
      <c r="O78" s="129"/>
      <c r="P78" s="183">
        <f t="array" ref="P78">SUM(P13:Q13*P26:Q26)/P32</f>
        <v>0.33913643987546177</v>
      </c>
      <c r="Q78" s="129"/>
      <c r="R78" s="183">
        <f t="array" ref="R78">SUM(R13:S13*R26:S26)/R32</f>
        <v>0.33740677130952212</v>
      </c>
      <c r="S78" s="129"/>
      <c r="T78" s="183">
        <f t="array" ref="T78">SUM(T13:U13*T26:U26)/T32</f>
        <v>0.33539623884017039</v>
      </c>
      <c r="U78" s="129"/>
      <c r="V78" s="183">
        <f t="array" ref="V78">SUM(V13:W13*V26:W26)/V32</f>
        <v>0.33301152900734138</v>
      </c>
      <c r="W78" s="129"/>
      <c r="X78" s="183">
        <f t="array" ref="X78">SUM(X13:Y13*X26:Y26)/X32</f>
        <v>0.33010762339970795</v>
      </c>
      <c r="Y78" s="129"/>
      <c r="Z78" s="183">
        <f t="array" ref="Z78">SUM(Z13:AA13*Z26:AA26)/Z32</f>
        <v>0.32645156413552551</v>
      </c>
      <c r="AA78" s="129"/>
      <c r="AB78" s="183">
        <f t="array" ref="AB78">SUM(AB13:AC13*AB26:AC26)/AB32</f>
        <v>0.32166066814012201</v>
      </c>
      <c r="AC78" s="129"/>
      <c r="AD78" s="183">
        <f t="array" ref="AD78">SUM(AD13:AE13*AD26:AE26)/AD32</f>
        <v>0.31510949039174874</v>
      </c>
      <c r="AE78" s="129"/>
      <c r="AF78" s="183">
        <f t="array" ref="AF78">SUM(AF13:AG13*AF26:AG26)/AF32</f>
        <v>0.30583990752861606</v>
      </c>
      <c r="AG78" s="129"/>
      <c r="AH78" s="183">
        <f t="array" ref="AH78">SUM(AH13:AI13*AH26:AI26)/AH32</f>
        <v>0.29258933115007907</v>
      </c>
      <c r="AI78" s="129"/>
      <c r="AJ78" s="183">
        <f t="array" ref="AJ78">SUM(AJ13:AK13*AJ26:AK26)/AJ32</f>
        <v>0.273845345597306</v>
      </c>
      <c r="AK78" s="129"/>
      <c r="AL78" s="183">
        <f t="array" ref="AL78">SUM(AL13:AM13*AL26:AM26)/AL32</f>
        <v>0.24686227220973231</v>
      </c>
      <c r="AM78" s="129"/>
      <c r="AN78" s="183">
        <f t="array" ref="AN78">SUM(AN13:AO13*AN26:AO26)/AN32</f>
        <v>0.20195048015289327</v>
      </c>
      <c r="AO78" s="129"/>
      <c r="AP78" s="183">
        <f t="array" ref="AP78">SUM(AP13:AQ13*AP26:AQ26)/AP32</f>
        <v>0.18776547399876375</v>
      </c>
      <c r="AQ78" s="129"/>
      <c r="AR78" s="183">
        <f t="array" ref="AR78">SUM(AR13:AS13*AR26:AS26)/AR32</f>
        <v>0.16956901667629842</v>
      </c>
      <c r="AS78" s="129"/>
      <c r="AT78" s="183">
        <f t="array" ref="AT78">SUM(AT13:AU13*AT26:AU26)/AT32</f>
        <v>0.14410679454042075</v>
      </c>
      <c r="AU78" s="129"/>
      <c r="AV78" s="183">
        <f t="array" ref="AV78">SUM(AV13:AW13*AV26:AW26)/AV32</f>
        <v>0.10222912031588172</v>
      </c>
      <c r="XFD78" s="183"/>
    </row>
    <row r="79" spans="1:48 16384:16384" x14ac:dyDescent="0.2">
      <c r="A79" t="s">
        <v>174</v>
      </c>
      <c r="B79" s="183">
        <f t="array" ref="B79">SUM(B15:C15*B27:C27)/B32</f>
        <v>0.45460968782440875</v>
      </c>
      <c r="D79" s="183">
        <f t="array" ref="D79">SUM(D15:E15*D27:E27)/D32</f>
        <v>0.45081963967240485</v>
      </c>
      <c r="F79" s="183">
        <f t="array" ref="F79">SUM(F15:G15*F27:G27)/F32</f>
        <v>0.44694539367907754</v>
      </c>
      <c r="H79" s="183">
        <f t="array" ref="H79">SUM(H15:I15*H27:I27)/H32</f>
        <v>0.44297240054777082</v>
      </c>
      <c r="J79" s="183">
        <f t="array" ref="J79">SUM(J15:K15*J27:K27)/J32</f>
        <v>0.43888327752426204</v>
      </c>
      <c r="L79" s="183">
        <f t="array" ref="L79">SUM(L15:M15*L27:M27)/L32</f>
        <v>0.43465696631168893</v>
      </c>
      <c r="N79" s="183">
        <f t="array" ref="N79">SUM(N15:O15*N27:O27)/N32</f>
        <v>0.43026727875962439</v>
      </c>
      <c r="P79" s="183">
        <f t="array" ref="P79">SUM(P15:Q15*P27:Q27)/P32</f>
        <v>0.42568077775096397</v>
      </c>
      <c r="R79" s="183">
        <f t="array" ref="R79">SUM(R15:S15*R27:S27)/R32</f>
        <v>0.42085330569034551</v>
      </c>
      <c r="T79" s="183">
        <f t="array" ref="T79">SUM(T15:U15*T27:U27)/T32</f>
        <v>0.41572374697739933</v>
      </c>
      <c r="V79" s="183">
        <f t="array" ref="V79">SUM(V15:W15*V27:W27)/V32</f>
        <v>0.41020346189084594</v>
      </c>
      <c r="X79" s="183">
        <f t="array" ref="X79">SUM(X15:Y15*X27:Y27)/X32</f>
        <v>0.4041569709152481</v>
      </c>
      <c r="Z79" s="183">
        <f t="array" ref="Z79">SUM(Z15:AA15*Z27:AA27)/Z32</f>
        <v>0.39736641627565766</v>
      </c>
      <c r="AB79" s="183">
        <f t="array" ref="AB79">SUM(AB15:AC15*AB27:AC27)/AB32</f>
        <v>0.38946714869418858</v>
      </c>
      <c r="AD79" s="183">
        <f t="array" ref="AD79">SUM(AD15:AE15*AD27:AE27)/AD32</f>
        <v>0.37983974767583689</v>
      </c>
      <c r="AF79" s="183">
        <f t="array" ref="AF79">SUM(AF15:AG15*AF27:AG27)/AF32</f>
        <v>0.36747411958783505</v>
      </c>
      <c r="AH79" s="183">
        <f t="array" ref="AH79">SUM(AH15:AI15*AH27:AI27)/AH32</f>
        <v>0.3509070265875513</v>
      </c>
      <c r="AJ79" s="183">
        <f t="array" ref="AJ79">SUM(AJ15:AK15*AJ27:AK27)/AJ32</f>
        <v>0.32818975585041155</v>
      </c>
      <c r="AL79" s="183">
        <f t="array" ref="AL79">SUM(AL15:AM15*AL27:AM27)/AL32</f>
        <v>0.29580045346488248</v>
      </c>
      <c r="AN79" s="183">
        <f t="array" ref="AN79">SUM(AN15:AO15*AN27:AO27)/AN32</f>
        <v>0.24198020492839536</v>
      </c>
      <c r="AP79" s="183">
        <f t="array" ref="AP79">SUM(AP15:AQ15*AP27:AQ27)/AP32</f>
        <v>0.22498341152100881</v>
      </c>
      <c r="AR79" s="183">
        <f t="array" ref="AR79">SUM(AR15:AS15*AR27:AS27)/AR32</f>
        <v>0.20318010690735547</v>
      </c>
      <c r="AT79" s="183">
        <f t="array" ref="AT79">SUM(AT15:AU15*AT27:AU27)/AT32</f>
        <v>0.1726708850620437</v>
      </c>
      <c r="AV79" s="183">
        <f t="array" ref="AV79">SUM(AV15:AW15*AV27:AW27)/AV32</f>
        <v>0.12249243687363036</v>
      </c>
      <c r="XFD79" s="183"/>
    </row>
    <row r="80" spans="1:48 16384:16384" x14ac:dyDescent="0.2">
      <c r="A80" t="s">
        <v>153</v>
      </c>
      <c r="B80" s="195">
        <f>B55</f>
        <v>0.19850271905982084</v>
      </c>
      <c r="D80" s="195">
        <f>D55</f>
        <v>0.20309187354916014</v>
      </c>
      <c r="F80" s="195">
        <f>F55</f>
        <v>0.2078432969725259</v>
      </c>
      <c r="H80" s="195">
        <f>H55</f>
        <v>0.21278290962512736</v>
      </c>
      <c r="J80" s="195">
        <f>J55</f>
        <v>0.21794214797826356</v>
      </c>
      <c r="L80" s="195">
        <f>L55</f>
        <v>0.22335979118446528</v>
      </c>
      <c r="N80" s="195">
        <f>N55</f>
        <v>0.22908518652808255</v>
      </c>
      <c r="P80" s="195">
        <f>P55</f>
        <v>0.23518279443650109</v>
      </c>
      <c r="R80" s="195">
        <f>R55</f>
        <v>0.24173992725294841</v>
      </c>
      <c r="T80" s="195">
        <f>T55</f>
        <v>0.24888001533559356</v>
      </c>
      <c r="V80" s="195">
        <f>V55</f>
        <v>0.25678501415498917</v>
      </c>
      <c r="X80" s="195">
        <f>X55</f>
        <v>0.26573542052839655</v>
      </c>
      <c r="Z80" s="195">
        <f>Z55</f>
        <v>0.27618201767445899</v>
      </c>
      <c r="AB80" s="195">
        <f>AB55</f>
        <v>0.28887218531357722</v>
      </c>
      <c r="AD80" s="195">
        <f>AD55</f>
        <v>0.30505076903037642</v>
      </c>
      <c r="AF80" s="195">
        <f>AF55</f>
        <v>0.32668597494251028</v>
      </c>
      <c r="AH80" s="195">
        <f>AH55</f>
        <v>0.35650364341636409</v>
      </c>
      <c r="AJ80" s="195">
        <f>AJ55</f>
        <v>0.39796489846098404</v>
      </c>
      <c r="AL80" s="195">
        <f>AL55</f>
        <v>0.45733727433696375</v>
      </c>
      <c r="AN80" s="195">
        <f>AN55</f>
        <v>0.5560693149250836</v>
      </c>
      <c r="AP80" s="195">
        <f>AP55</f>
        <v>0.58725111451020728</v>
      </c>
      <c r="AR80" s="195">
        <f>AR55</f>
        <v>0.62725087641566668</v>
      </c>
      <c r="AT80" s="195">
        <f>AT55</f>
        <v>0.68322232039755593</v>
      </c>
      <c r="AV80" s="195">
        <f>AV55</f>
        <v>0.77527844281049818</v>
      </c>
      <c r="XFD80" s="195"/>
    </row>
    <row r="81" spans="1:48 16384:16384" x14ac:dyDescent="0.2">
      <c r="A81" t="s">
        <v>175</v>
      </c>
      <c r="B81" s="195">
        <f>B51/B$32</f>
        <v>-2.7543485504603994E-2</v>
      </c>
      <c r="D81" s="195">
        <f>D51/D$32</f>
        <v>-2.2954331015264694E-2</v>
      </c>
      <c r="F81" s="195">
        <f>F51/F$32</f>
        <v>-1.8202907591898933E-2</v>
      </c>
      <c r="H81" s="195">
        <f>H51/H$32</f>
        <v>-1.3263294939297498E-2</v>
      </c>
      <c r="J81" s="195">
        <f>J51/J$32</f>
        <v>-8.1040565861612845E-3</v>
      </c>
      <c r="L81" s="195">
        <f>L51/L$32</f>
        <v>-2.6864133799595698E-3</v>
      </c>
      <c r="N81" s="195">
        <f>N51/N$32</f>
        <v>3.0389819636576967E-3</v>
      </c>
      <c r="P81" s="195">
        <f>P51/P$32</f>
        <v>9.1365898720762537E-3</v>
      </c>
      <c r="R81" s="195">
        <f>R51/R$32</f>
        <v>1.5693722688523544E-2</v>
      </c>
      <c r="T81" s="195">
        <f>T51/T$32</f>
        <v>2.2833810771168705E-2</v>
      </c>
      <c r="V81" s="195">
        <f>V51/V$32</f>
        <v>3.0738809590564305E-2</v>
      </c>
      <c r="X81" s="195">
        <f>X51/X$32</f>
        <v>3.9689215963971715E-2</v>
      </c>
      <c r="Z81" s="195">
        <f>Z51/Z$32</f>
        <v>5.013581311003415E-2</v>
      </c>
      <c r="AB81" s="195">
        <f>AB51/AB$32</f>
        <v>6.2825980749152396E-2</v>
      </c>
      <c r="AD81" s="195">
        <f>AD51/AD$32</f>
        <v>7.9004564465951596E-2</v>
      </c>
      <c r="AF81" s="195">
        <f>AF51/AF$32</f>
        <v>0.10063977037808547</v>
      </c>
      <c r="AH81" s="195">
        <f>AH51/AH$32</f>
        <v>0.13045743885193925</v>
      </c>
      <c r="AJ81" s="195">
        <f>AJ51/AJ$32</f>
        <v>0.1719186938965592</v>
      </c>
      <c r="AL81" s="195">
        <f>AL51/AL$32</f>
        <v>0.23129106977253891</v>
      </c>
      <c r="AN81" s="195">
        <f>AN51/AN$32</f>
        <v>0.33002311036065873</v>
      </c>
      <c r="AP81" s="195">
        <f>AP51/AP$32</f>
        <v>0.36120490994578247</v>
      </c>
      <c r="AR81" s="195">
        <f>AR51/AR$32</f>
        <v>0.40120467185124181</v>
      </c>
      <c r="AT81" s="195">
        <f>AT51/AT$32</f>
        <v>0.45717611583313106</v>
      </c>
      <c r="AV81" s="195">
        <f>AV51/AV$32</f>
        <v>0.54923223824607326</v>
      </c>
      <c r="XFD81" s="195"/>
    </row>
    <row r="82" spans="1:48 16384:16384" x14ac:dyDescent="0.2">
      <c r="A82" t="s">
        <v>176</v>
      </c>
      <c r="B82" s="195">
        <f>B52/B$32</f>
        <v>0.14069693704202227</v>
      </c>
      <c r="D82" s="195">
        <f>D52/D$32</f>
        <v>0.14037282072777113</v>
      </c>
      <c r="F82" s="195">
        <f>F52/F$32</f>
        <v>0.14001703907808952</v>
      </c>
      <c r="H82" s="195">
        <f>H52/H$32</f>
        <v>0.13962497979906965</v>
      </c>
      <c r="J82" s="195">
        <f>J52/J$32</f>
        <v>0.13919094767889725</v>
      </c>
      <c r="L82" s="195">
        <f>L52/L$32</f>
        <v>0.13870774043183282</v>
      </c>
      <c r="N82" s="195">
        <f>N52/N$32</f>
        <v>0.13816598267582889</v>
      </c>
      <c r="P82" s="195">
        <f>P52/P$32</f>
        <v>0.13755308427502186</v>
      </c>
      <c r="R82" s="195">
        <f>R52/R$32</f>
        <v>0.13685153404908351</v>
      </c>
      <c r="T82" s="195">
        <f>T52/T$32</f>
        <v>0.13603606596698664</v>
      </c>
      <c r="V82" s="195">
        <f>V52/V$32</f>
        <v>0.13506883226975536</v>
      </c>
      <c r="X82" s="195">
        <f>X52/X$32</f>
        <v>0.13389101377015619</v>
      </c>
      <c r="Z82" s="195">
        <f>Z52/Z$32</f>
        <v>0.13240812320179016</v>
      </c>
      <c r="AB82" s="195">
        <f>AB52/AB$32</f>
        <v>0.13046494504950842</v>
      </c>
      <c r="AD82" s="195">
        <f>AD52/AD$32</f>
        <v>0.12780780002182118</v>
      </c>
      <c r="AF82" s="195">
        <f>AF52/AF$32</f>
        <v>0.12404807513576938</v>
      </c>
      <c r="AH82" s="195">
        <f>AH52/AH$32</f>
        <v>0.1186736669773337</v>
      </c>
      <c r="AJ82" s="195">
        <f>AJ52/AJ$32</f>
        <v>0.11107114267962864</v>
      </c>
      <c r="AL82" s="195">
        <f>AL52/AL$32</f>
        <v>0.10012686028684596</v>
      </c>
      <c r="AN82" s="195">
        <f>AN52/AN$32</f>
        <v>8.1910724267946766E-2</v>
      </c>
      <c r="AP82" s="195">
        <f>AP52/AP$32</f>
        <v>7.6157313199300775E-2</v>
      </c>
      <c r="AR82" s="195">
        <f>AR52/AR$32</f>
        <v>6.8776865293133385E-2</v>
      </c>
      <c r="AT82" s="195">
        <f>AT52/AT$32</f>
        <v>5.8449437227391265E-2</v>
      </c>
      <c r="AV82" s="195">
        <f>AV52/AV$32</f>
        <v>4.1463933534643671E-2</v>
      </c>
    </row>
    <row r="83" spans="1:48 16384:16384" x14ac:dyDescent="0.2">
      <c r="A83" t="s">
        <v>177</v>
      </c>
      <c r="B83" s="195">
        <f>B53/B$32</f>
        <v>0.18438881036940691</v>
      </c>
      <c r="D83" s="195">
        <f>D53/D$32</f>
        <v>0.18285157416721515</v>
      </c>
      <c r="F83" s="195">
        <f>F53/F$32</f>
        <v>0.18128018748338368</v>
      </c>
      <c r="H83" s="195">
        <f>H53/H$32</f>
        <v>0.17966874915132061</v>
      </c>
      <c r="J83" s="195">
        <f>J53/J$32</f>
        <v>0.17801020875952375</v>
      </c>
      <c r="L83" s="195">
        <f>L53/L$32</f>
        <v>0.17629602510350312</v>
      </c>
      <c r="N83" s="195">
        <f>N53/N$32</f>
        <v>0.17451557632008169</v>
      </c>
      <c r="P83" s="195">
        <f>P53/P$32</f>
        <v>0.17265530037921431</v>
      </c>
      <c r="R83" s="195">
        <f>R53/R$32</f>
        <v>0.17069728704560319</v>
      </c>
      <c r="T83" s="195">
        <f>T53/T$32</f>
        <v>0.16861674794990864</v>
      </c>
      <c r="V83" s="195">
        <f>V53/V$32</f>
        <v>0.16637773099256936</v>
      </c>
      <c r="X83" s="195">
        <f>X53/X$32</f>
        <v>0.16392528594408093</v>
      </c>
      <c r="Z83" s="195">
        <f>Z53/Z$32</f>
        <v>0.16117105011216404</v>
      </c>
      <c r="AB83" s="195">
        <f>AB53/AB$32</f>
        <v>0.15796712245477704</v>
      </c>
      <c r="AD83" s="195">
        <f>AD53/AD$32</f>
        <v>0.15406226721682892</v>
      </c>
      <c r="AF83" s="195">
        <f>AF53/AF$32</f>
        <v>0.14904679237393942</v>
      </c>
      <c r="AH83" s="195">
        <f>AH53/AH$32</f>
        <v>0.14232721148638572</v>
      </c>
      <c r="AJ83" s="195">
        <f>AJ53/AJ$32</f>
        <v>0.13311313040046119</v>
      </c>
      <c r="AL83" s="195">
        <f>AL53/AL$32</f>
        <v>0.11997609197934105</v>
      </c>
      <c r="AN83" s="195">
        <f>AN53/AN$32</f>
        <v>9.8146703237274188E-2</v>
      </c>
      <c r="AP83" s="195">
        <f>AP53/AP$32</f>
        <v>9.1252836695448342E-2</v>
      </c>
      <c r="AR83" s="195">
        <f>AR53/AR$32</f>
        <v>8.2409458502007468E-2</v>
      </c>
      <c r="AT83" s="195">
        <f>AT53/AT$32</f>
        <v>7.0034977112763061E-2</v>
      </c>
      <c r="AV83" s="195">
        <f>AV53/AV$32</f>
        <v>4.9682695550258969E-2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c r="AX1">
        <v>0.99000000000000032</v>
      </c>
    </row>
    <row r="2" spans="1:51" x14ac:dyDescent="0.2">
      <c r="A2" s="190" t="s">
        <v>139</v>
      </c>
      <c r="B2" s="188">
        <v>5.7716594496607888E-3</v>
      </c>
      <c r="C2" s="189"/>
      <c r="D2" s="188">
        <v>6.3570557080961945E-2</v>
      </c>
      <c r="E2" s="189"/>
      <c r="F2" s="188">
        <v>0.12752169200043201</v>
      </c>
      <c r="G2" s="189"/>
      <c r="H2" s="188">
        <v>0.19867808427650266</v>
      </c>
      <c r="I2" s="189"/>
      <c r="J2" s="188">
        <v>0.27837974034613988</v>
      </c>
      <c r="K2" s="189"/>
      <c r="L2" s="188">
        <v>0.36837398374423502</v>
      </c>
      <c r="M2" s="189"/>
      <c r="N2" s="188">
        <v>0.4710037302082426</v>
      </c>
      <c r="O2" s="189"/>
      <c r="P2" s="188">
        <v>0.58951764808144558</v>
      </c>
      <c r="Q2" s="189"/>
      <c r="R2" s="188">
        <v>0.7285886076766942</v>
      </c>
      <c r="S2" s="189"/>
      <c r="T2" s="188">
        <v>0.89524369025735462</v>
      </c>
      <c r="U2" s="189"/>
      <c r="V2" s="188">
        <v>1.100577609469805</v>
      </c>
      <c r="W2" s="189"/>
      <c r="X2" s="188">
        <v>1.3631319479489692</v>
      </c>
      <c r="Y2" s="189"/>
      <c r="Z2" s="188">
        <v>1.7159304317259225</v>
      </c>
      <c r="AA2" s="189"/>
      <c r="AB2" s="188">
        <v>2.2219986047873674</v>
      </c>
      <c r="AC2" s="189"/>
      <c r="AD2" s="188">
        <v>3.009701040227573</v>
      </c>
      <c r="AE2" s="189"/>
      <c r="AF2" s="188">
        <v>4.3517756950618693</v>
      </c>
      <c r="AG2" s="189"/>
      <c r="AH2" s="188">
        <v>6.8365284922198164</v>
      </c>
      <c r="AI2" s="189"/>
      <c r="AJ2" s="188">
        <v>11.814526797711222</v>
      </c>
      <c r="AK2" s="189"/>
      <c r="AL2" s="188">
        <v>23.11201737303378</v>
      </c>
      <c r="AM2" s="189"/>
      <c r="AN2" s="188">
        <v>56.779125705066136</v>
      </c>
      <c r="AO2" s="189"/>
      <c r="AP2" s="188">
        <v>71.662641807164746</v>
      </c>
      <c r="AQ2" s="189"/>
      <c r="AR2" s="188">
        <v>93.365723131417766</v>
      </c>
      <c r="AS2" s="189"/>
      <c r="AT2" s="188">
        <v>127.35246628649108</v>
      </c>
      <c r="AU2" s="189"/>
      <c r="AV2" s="188"/>
      <c r="AW2" s="189"/>
      <c r="AX2">
        <v>5.7716594496607888E-3</v>
      </c>
    </row>
    <row r="3" spans="1:51" x14ac:dyDescent="0.2">
      <c r="A3" t="s">
        <v>12</v>
      </c>
      <c r="B3" s="81">
        <v>1000</v>
      </c>
      <c r="C3" s="82">
        <v>1000</v>
      </c>
      <c r="D3" s="81">
        <v>998.1185941601409</v>
      </c>
      <c r="E3" s="82">
        <v>1026.0774524800192</v>
      </c>
      <c r="F3" s="81">
        <v>996.14517787062698</v>
      </c>
      <c r="G3" s="82">
        <v>1055.597789948846</v>
      </c>
      <c r="H3" s="81">
        <v>994.06393666100325</v>
      </c>
      <c r="I3" s="82">
        <v>1089.2106926068934</v>
      </c>
      <c r="J3" s="81">
        <v>991.85675547510459</v>
      </c>
      <c r="K3" s="82">
        <v>1127.7393119768124</v>
      </c>
      <c r="L3" s="81">
        <v>989.50340981066142</v>
      </c>
      <c r="M3" s="82">
        <v>1172.2459436692532</v>
      </c>
      <c r="N3" s="81">
        <v>986.98225066129055</v>
      </c>
      <c r="O3" s="82">
        <v>1224.1321295566572</v>
      </c>
      <c r="P3" s="81">
        <v>984.2717987118649</v>
      </c>
      <c r="Q3" s="82">
        <v>1285.2973672300996</v>
      </c>
      <c r="R3" s="81">
        <v>981.35399418844963</v>
      </c>
      <c r="S3" s="82">
        <v>1358.3992090439021</v>
      </c>
      <c r="T3" s="81">
        <v>978.22048635154681</v>
      </c>
      <c r="U3" s="82">
        <v>1447.3047489091232</v>
      </c>
      <c r="V3" s="81">
        <v>974.88455830981025</v>
      </c>
      <c r="W3" s="82">
        <v>1557.9032087793862</v>
      </c>
      <c r="X3" s="81">
        <v>971.40356330745067</v>
      </c>
      <c r="Y3" s="82">
        <v>1699.6622486880672</v>
      </c>
      <c r="Z3" s="81">
        <v>967.92028807993643</v>
      </c>
      <c r="AA3" s="82">
        <v>1888.7718079770857</v>
      </c>
      <c r="AB3" s="81">
        <v>964.73333144362778</v>
      </c>
      <c r="AC3" s="82">
        <v>2154.8377715846345</v>
      </c>
      <c r="AD3" s="81">
        <v>962.38159207795979</v>
      </c>
      <c r="AE3" s="82">
        <v>2555.539314442723</v>
      </c>
      <c r="AF3" s="81">
        <v>961.59289004988398</v>
      </c>
      <c r="AG3" s="82">
        <v>3208.2161563273175</v>
      </c>
      <c r="AH3" s="81">
        <v>962.72268169782751</v>
      </c>
      <c r="AI3" s="82">
        <v>4357.6309639950259</v>
      </c>
      <c r="AJ3" s="81">
        <v>964.86762899681389</v>
      </c>
      <c r="AK3" s="82">
        <v>6558.7783706276441</v>
      </c>
      <c r="AL3" s="81">
        <v>965.94276854373925</v>
      </c>
      <c r="AM3" s="82">
        <v>11384.700584915267</v>
      </c>
      <c r="AN3" s="81">
        <v>963.1618538839374</v>
      </c>
      <c r="AO3" s="82">
        <v>25417.764259901531</v>
      </c>
      <c r="AP3" s="81">
        <v>961.78013153947938</v>
      </c>
      <c r="AQ3" s="82">
        <v>31565.44431802737</v>
      </c>
      <c r="AR3" s="81">
        <v>959.98951809568575</v>
      </c>
      <c r="AS3" s="82">
        <v>40503.44620057357</v>
      </c>
      <c r="AT3" s="81">
        <v>957.68903996015797</v>
      </c>
      <c r="AU3" s="82">
        <v>54463.885153870018</v>
      </c>
      <c r="AV3" s="81"/>
      <c r="AW3" s="82"/>
      <c r="AX3">
        <v>1000</v>
      </c>
      <c r="AY3">
        <v>1000</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c r="AW4" s="96"/>
      <c r="AX4">
        <v>1000</v>
      </c>
      <c r="AY4">
        <v>1000</v>
      </c>
    </row>
    <row r="5" spans="1:51" x14ac:dyDescent="0.2">
      <c r="A5" t="s">
        <v>115</v>
      </c>
      <c r="B5" s="39">
        <v>1000</v>
      </c>
      <c r="C5" s="40">
        <v>1000</v>
      </c>
      <c r="D5" s="39">
        <v>998.0250727325589</v>
      </c>
      <c r="E5" s="40">
        <v>1022.6105165071268</v>
      </c>
      <c r="F5" s="39">
        <v>995.95187605853982</v>
      </c>
      <c r="G5" s="40">
        <v>1047.5200207304229</v>
      </c>
      <c r="H5" s="39">
        <v>993.76352090119656</v>
      </c>
      <c r="I5" s="40">
        <v>1075.006881851815</v>
      </c>
      <c r="J5" s="39">
        <v>991.44061888202361</v>
      </c>
      <c r="K5" s="40">
        <v>1105.3819681606419</v>
      </c>
      <c r="L5" s="39">
        <v>988.96146155063991</v>
      </c>
      <c r="M5" s="40">
        <v>1138.9887579712793</v>
      </c>
      <c r="N5" s="39">
        <v>986.30271759439142</v>
      </c>
      <c r="O5" s="40">
        <v>1176.2020960522998</v>
      </c>
      <c r="P5" s="39">
        <v>983.44109022422674</v>
      </c>
      <c r="Q5" s="40">
        <v>1217.4192359584554</v>
      </c>
      <c r="R5" s="39">
        <v>980.35673448033708</v>
      </c>
      <c r="S5" s="40">
        <v>1263.0459922056327</v>
      </c>
      <c r="T5" s="39">
        <v>977.03991839256821</v>
      </c>
      <c r="U5" s="40">
        <v>1313.4567281440754</v>
      </c>
      <c r="V5" s="39">
        <v>973.50372729188211</v>
      </c>
      <c r="W5" s="40">
        <v>1368.9204804727369</v>
      </c>
      <c r="X5" s="39">
        <v>969.80807292219481</v>
      </c>
      <c r="Y5" s="40">
        <v>1429.4374552408369</v>
      </c>
      <c r="Z5" s="39">
        <v>966.10411279181415</v>
      </c>
      <c r="AA5" s="40">
        <v>1494.401181552256</v>
      </c>
      <c r="AB5" s="39">
        <v>962.71002546946784</v>
      </c>
      <c r="AC5" s="40">
        <v>1561.9126001997724</v>
      </c>
      <c r="AD5" s="39">
        <v>960.20220627686501</v>
      </c>
      <c r="AE5" s="40">
        <v>1627.6262245448736</v>
      </c>
      <c r="AF5" s="39">
        <v>959.36054042252465</v>
      </c>
      <c r="AG5" s="40">
        <v>1683.8923372757627</v>
      </c>
      <c r="AH5" s="39">
        <v>960.56610453843371</v>
      </c>
      <c r="AI5" s="40">
        <v>1722.4626397672143</v>
      </c>
      <c r="AJ5" s="39">
        <v>962.85315289888968</v>
      </c>
      <c r="AK5" s="40">
        <v>1741.7945941121975</v>
      </c>
      <c r="AL5" s="39">
        <v>963.99865885303996</v>
      </c>
      <c r="AM5" s="40">
        <v>1748.475236477215</v>
      </c>
      <c r="AN5" s="39">
        <v>961.03455840650145</v>
      </c>
      <c r="AO5" s="40">
        <v>1749.9257800861014</v>
      </c>
      <c r="AP5" s="39">
        <v>959.5603840306004</v>
      </c>
      <c r="AQ5" s="40">
        <v>1749.9943320420425</v>
      </c>
      <c r="AR5" s="39">
        <v>957.64853237455554</v>
      </c>
      <c r="AS5" s="40">
        <v>1750.0337849364762</v>
      </c>
      <c r="AT5" s="39">
        <v>955.18991427763751</v>
      </c>
      <c r="AU5" s="40">
        <v>1750.0546598632716</v>
      </c>
      <c r="AV5" s="39"/>
      <c r="AW5" s="40"/>
      <c r="AX5">
        <v>1000</v>
      </c>
      <c r="AY5">
        <v>1000</v>
      </c>
    </row>
    <row r="6" spans="1:51" x14ac:dyDescent="0.2">
      <c r="A6" t="s">
        <v>77</v>
      </c>
      <c r="B6" s="39">
        <v>999.99999999999943</v>
      </c>
      <c r="C6" s="40">
        <v>999.99999999999909</v>
      </c>
      <c r="D6" s="39">
        <v>997.87433163597302</v>
      </c>
      <c r="E6" s="40">
        <v>1028.092746998836</v>
      </c>
      <c r="F6" s="39">
        <v>995.64358394736621</v>
      </c>
      <c r="G6" s="40">
        <v>1059.769153027742</v>
      </c>
      <c r="H6" s="39">
        <v>993.28969356691141</v>
      </c>
      <c r="I6" s="40">
        <v>1095.693891158855</v>
      </c>
      <c r="J6" s="39">
        <v>990.79194032435908</v>
      </c>
      <c r="K6" s="40">
        <v>1136.7087686237878</v>
      </c>
      <c r="L6" s="39">
        <v>988.12714835086024</v>
      </c>
      <c r="M6" s="40">
        <v>1183.9000399763763</v>
      </c>
      <c r="N6" s="39">
        <v>985.27044456834221</v>
      </c>
      <c r="O6" s="40">
        <v>1238.7010753907184</v>
      </c>
      <c r="P6" s="39">
        <v>982.19704824426219</v>
      </c>
      <c r="Q6" s="40">
        <v>1303.0552072463656</v>
      </c>
      <c r="R6" s="39">
        <v>978.88594512946281</v>
      </c>
      <c r="S6" s="40">
        <v>1379.682597794455</v>
      </c>
      <c r="T6" s="39">
        <v>975.32703265197938</v>
      </c>
      <c r="U6" s="40">
        <v>1472.5435008837785</v>
      </c>
      <c r="V6" s="39">
        <v>971.53471773986416</v>
      </c>
      <c r="W6" s="40">
        <v>1587.6717129133137</v>
      </c>
      <c r="X6" s="39">
        <v>967.57357709005555</v>
      </c>
      <c r="Y6" s="40">
        <v>1734.7704559675904</v>
      </c>
      <c r="Z6" s="39">
        <v>963.60577525041413</v>
      </c>
      <c r="AA6" s="40">
        <v>1930.435207753422</v>
      </c>
      <c r="AB6" s="39">
        <v>959.97188758194397</v>
      </c>
      <c r="AC6" s="40">
        <v>2205.0141924225777</v>
      </c>
      <c r="AD6" s="39">
        <v>957.28809341952262</v>
      </c>
      <c r="AE6" s="40">
        <v>2617.6302902561561</v>
      </c>
      <c r="AF6" s="39">
        <v>956.38759749116161</v>
      </c>
      <c r="AG6" s="40">
        <v>3288.5625310574774</v>
      </c>
      <c r="AH6" s="39">
        <v>957.6774629403501</v>
      </c>
      <c r="AI6" s="40">
        <v>4468.7607741253987</v>
      </c>
      <c r="AJ6" s="39">
        <v>960.12508930652052</v>
      </c>
      <c r="AK6" s="40">
        <v>6727.4526819356115</v>
      </c>
      <c r="AL6" s="39">
        <v>961.3513444001884</v>
      </c>
      <c r="AM6" s="40">
        <v>11678.306046033775</v>
      </c>
      <c r="AN6" s="39">
        <v>958.17873831153543</v>
      </c>
      <c r="AO6" s="40">
        <v>26073.669579097219</v>
      </c>
      <c r="AP6" s="39">
        <v>956.60139914080116</v>
      </c>
      <c r="AQ6" s="40">
        <v>32380.013613747851</v>
      </c>
      <c r="AR6" s="39">
        <v>954.55628152434815</v>
      </c>
      <c r="AS6" s="40">
        <v>41548.684215947622</v>
      </c>
      <c r="AT6" s="39">
        <v>951.92716121228716</v>
      </c>
      <c r="AU6" s="40">
        <v>55869.400495446273</v>
      </c>
      <c r="AV6" s="39"/>
      <c r="AW6" s="40"/>
      <c r="AX6">
        <v>999.99999999999943</v>
      </c>
      <c r="AY6">
        <v>999.99999999999909</v>
      </c>
    </row>
    <row r="7" spans="1:51" x14ac:dyDescent="0.2">
      <c r="A7" t="s">
        <v>13</v>
      </c>
      <c r="B7" s="31">
        <v>1015.9116825427475</v>
      </c>
      <c r="C7" s="32">
        <v>1015.9116825427475</v>
      </c>
      <c r="D7" s="31">
        <v>1013.9053308595818</v>
      </c>
      <c r="E7" s="32">
        <v>1013.9053308595818</v>
      </c>
      <c r="F7" s="31">
        <v>1011.799146138237</v>
      </c>
      <c r="G7" s="32">
        <v>1011.799146138237</v>
      </c>
      <c r="H7" s="31">
        <v>1009.5759705683394</v>
      </c>
      <c r="I7" s="32">
        <v>1009.5759705683394</v>
      </c>
      <c r="J7" s="31">
        <v>1007.2161072696595</v>
      </c>
      <c r="K7" s="32">
        <v>1007.2161072696595</v>
      </c>
      <c r="L7" s="31">
        <v>1004.6975023738452</v>
      </c>
      <c r="M7" s="32">
        <v>1004.6975023738452</v>
      </c>
      <c r="N7" s="31">
        <v>1001.9964533278024</v>
      </c>
      <c r="O7" s="32">
        <v>1001.9964533278024</v>
      </c>
      <c r="P7" s="31">
        <v>999.08929265136805</v>
      </c>
      <c r="Q7" s="32">
        <v>999.08929265136805</v>
      </c>
      <c r="R7" s="31">
        <v>995.95585961803272</v>
      </c>
      <c r="S7" s="32">
        <v>995.95585961803272</v>
      </c>
      <c r="T7" s="31">
        <v>992.58626740562261</v>
      </c>
      <c r="U7" s="32">
        <v>992.58626740562261</v>
      </c>
      <c r="V7" s="31">
        <v>988.99380955473191</v>
      </c>
      <c r="W7" s="32">
        <v>988.99380955473191</v>
      </c>
      <c r="X7" s="31">
        <v>985.2393511059264</v>
      </c>
      <c r="Y7" s="32">
        <v>985.2393511059264</v>
      </c>
      <c r="Z7" s="31">
        <v>981.47645473780017</v>
      </c>
      <c r="AA7" s="32">
        <v>981.47645473780017</v>
      </c>
      <c r="AB7" s="31">
        <v>978.02836177545828</v>
      </c>
      <c r="AC7" s="32">
        <v>978.02836177545828</v>
      </c>
      <c r="AD7" s="31">
        <v>975.48063895998814</v>
      </c>
      <c r="AE7" s="32">
        <v>975.48063895998814</v>
      </c>
      <c r="AF7" s="31">
        <v>974.62558078576649</v>
      </c>
      <c r="AG7" s="32">
        <v>974.62558078576649</v>
      </c>
      <c r="AH7" s="31">
        <v>975.85032745517276</v>
      </c>
      <c r="AI7" s="32">
        <v>975.85032745517276</v>
      </c>
      <c r="AJ7" s="31">
        <v>978.17376660310026</v>
      </c>
      <c r="AK7" s="32">
        <v>978.17376660310026</v>
      </c>
      <c r="AL7" s="31">
        <v>979.33749948434377</v>
      </c>
      <c r="AM7" s="32">
        <v>979.33749948434377</v>
      </c>
      <c r="AN7" s="31">
        <v>976.32623521247513</v>
      </c>
      <c r="AO7" s="32">
        <v>976.32623521247513</v>
      </c>
      <c r="AP7" s="31">
        <v>974.82860424189209</v>
      </c>
      <c r="AQ7" s="32">
        <v>974.82860424189209</v>
      </c>
      <c r="AR7" s="31">
        <v>972.8863318092275</v>
      </c>
      <c r="AS7" s="32">
        <v>972.8863318092275</v>
      </c>
      <c r="AT7" s="31">
        <v>970.38859296165742</v>
      </c>
      <c r="AU7" s="32">
        <v>970.38859296165742</v>
      </c>
      <c r="AV7" s="31"/>
      <c r="AW7" s="32"/>
      <c r="AX7">
        <v>1015.9116825427475</v>
      </c>
      <c r="AY7">
        <v>1015.9116825427475</v>
      </c>
    </row>
    <row r="8" spans="1:51" x14ac:dyDescent="0.2">
      <c r="B8" s="33">
        <v>1005.7716594496609</v>
      </c>
      <c r="C8" s="34">
        <v>1005.7716594496609</v>
      </c>
      <c r="D8" s="33">
        <v>1087.618436718335</v>
      </c>
      <c r="E8" s="34">
        <v>1087.618436718335</v>
      </c>
      <c r="F8" s="33">
        <v>1181.101546178294</v>
      </c>
      <c r="G8" s="34">
        <v>1181.101546178294</v>
      </c>
      <c r="H8" s="33">
        <v>1288.5871897221903</v>
      </c>
      <c r="I8" s="34">
        <v>1288.5871897221903</v>
      </c>
      <c r="J8" s="33">
        <v>1413.0979134405065</v>
      </c>
      <c r="K8" s="34">
        <v>1413.0979134405065</v>
      </c>
      <c r="L8" s="33">
        <v>1558.5625841850576</v>
      </c>
      <c r="M8" s="34">
        <v>1558.5625841850576</v>
      </c>
      <c r="N8" s="33">
        <v>1730.1976707716867</v>
      </c>
      <c r="O8" s="34">
        <v>1730.1976707716867</v>
      </c>
      <c r="P8" s="33">
        <v>1935.1093606697946</v>
      </c>
      <c r="Q8" s="34">
        <v>1935.1093606697946</v>
      </c>
      <c r="R8" s="33">
        <v>2183.2869130983631</v>
      </c>
      <c r="S8" s="34">
        <v>2183.2869130983631</v>
      </c>
      <c r="T8" s="33">
        <v>2489.3205764411287</v>
      </c>
      <c r="U8" s="34">
        <v>2489.3205764411287</v>
      </c>
      <c r="V8" s="33">
        <v>2875.5237104256785</v>
      </c>
      <c r="W8" s="34">
        <v>2875.5237104256785</v>
      </c>
      <c r="X8" s="33">
        <v>3377.9493180744962</v>
      </c>
      <c r="Y8" s="34">
        <v>3377.9493180744962</v>
      </c>
      <c r="Z8" s="33">
        <v>4058.6896461849478</v>
      </c>
      <c r="AA8" s="34">
        <v>4058.6896461849478</v>
      </c>
      <c r="AB8" s="33">
        <v>5032.4802186434763</v>
      </c>
      <c r="AC8" s="34">
        <v>5032.4802186434763</v>
      </c>
      <c r="AD8" s="33">
        <v>6526.2945656592574</v>
      </c>
      <c r="AE8" s="34">
        <v>6526.2945656592574</v>
      </c>
      <c r="AF8" s="33">
        <v>9011.8140837333503</v>
      </c>
      <c r="AG8" s="34">
        <v>9011.8140837333503</v>
      </c>
      <c r="AH8" s="33">
        <v>13498.127553319933</v>
      </c>
      <c r="AI8" s="34">
        <v>13498.127553319933</v>
      </c>
      <c r="AJ8" s="33">
        <v>22320.273502359298</v>
      </c>
      <c r="AK8" s="34">
        <v>22320.273502359298</v>
      </c>
      <c r="AL8" s="33">
        <v>42159.265278257953</v>
      </c>
      <c r="AM8" s="34">
        <v>42159.265278257953</v>
      </c>
      <c r="AN8" s="33">
        <v>101109.18162213077</v>
      </c>
      <c r="AO8" s="34">
        <v>101109.18162213077</v>
      </c>
      <c r="AP8" s="33">
        <v>127159.21131373946</v>
      </c>
      <c r="AQ8" s="34">
        <v>127159.21131373946</v>
      </c>
      <c r="AR8" s="33">
        <v>165143.20361994262</v>
      </c>
      <c r="AS8" s="34">
        <v>165143.20361994262</v>
      </c>
      <c r="AT8" s="33">
        <v>224623.83172961717</v>
      </c>
      <c r="AU8" s="34">
        <v>224623.83172961717</v>
      </c>
      <c r="AV8" s="33"/>
      <c r="AW8" s="34"/>
      <c r="AX8">
        <v>1005.7716594496609</v>
      </c>
      <c r="AY8">
        <v>1005.7716594496609</v>
      </c>
    </row>
    <row r="9" spans="1:51" x14ac:dyDescent="0.2">
      <c r="A9" t="s">
        <v>14</v>
      </c>
      <c r="B9" s="39">
        <v>1015.9116825427475</v>
      </c>
      <c r="C9" s="40">
        <v>1005.7716594496609</v>
      </c>
      <c r="D9" s="39">
        <v>1013.9053308595818</v>
      </c>
      <c r="E9" s="40">
        <v>1087.618436718335</v>
      </c>
      <c r="F9" s="39">
        <v>1011.799146138237</v>
      </c>
      <c r="G9" s="40">
        <v>1181.101546178294</v>
      </c>
      <c r="H9" s="39">
        <v>1009.5759705683394</v>
      </c>
      <c r="I9" s="40">
        <v>1288.5871897221903</v>
      </c>
      <c r="J9" s="39">
        <v>1007.2161072696595</v>
      </c>
      <c r="K9" s="40">
        <v>1413.0979134405065</v>
      </c>
      <c r="L9" s="39">
        <v>1004.6975023738452</v>
      </c>
      <c r="M9" s="40">
        <v>1558.5625841850576</v>
      </c>
      <c r="N9" s="39">
        <v>1001.9964533278024</v>
      </c>
      <c r="O9" s="40">
        <v>1730.1976707716867</v>
      </c>
      <c r="P9" s="39">
        <v>999.08929265136805</v>
      </c>
      <c r="Q9" s="40">
        <v>1935.1093606697946</v>
      </c>
      <c r="R9" s="39">
        <v>995.95585961803272</v>
      </c>
      <c r="S9" s="40">
        <v>2183.2869130983631</v>
      </c>
      <c r="T9" s="39">
        <v>992.58626740562261</v>
      </c>
      <c r="U9" s="40">
        <v>2489.3205764411287</v>
      </c>
      <c r="V9" s="39">
        <v>988.99380955473191</v>
      </c>
      <c r="W9" s="40">
        <v>2875.5237104256785</v>
      </c>
      <c r="X9" s="39">
        <v>985.2393511059264</v>
      </c>
      <c r="Y9" s="40">
        <v>3377.9493180744962</v>
      </c>
      <c r="Z9" s="39">
        <v>981.47645473780017</v>
      </c>
      <c r="AA9" s="40">
        <v>4058.6896461849478</v>
      </c>
      <c r="AB9" s="39">
        <v>978.02836177545828</v>
      </c>
      <c r="AC9" s="40">
        <v>5032.4802186434763</v>
      </c>
      <c r="AD9" s="39">
        <v>975.48063895998814</v>
      </c>
      <c r="AE9" s="40">
        <v>6526.2945656592574</v>
      </c>
      <c r="AF9" s="39">
        <v>974.62558078576649</v>
      </c>
      <c r="AG9" s="40">
        <v>9011.8140837333503</v>
      </c>
      <c r="AH9" s="39">
        <v>975.85032745517276</v>
      </c>
      <c r="AI9" s="40">
        <v>13498.127553319933</v>
      </c>
      <c r="AJ9" s="39">
        <v>978.17376660310026</v>
      </c>
      <c r="AK9" s="40">
        <v>22320.273502359298</v>
      </c>
      <c r="AL9" s="39">
        <v>979.33749948434377</v>
      </c>
      <c r="AM9" s="40">
        <v>42159.265278257953</v>
      </c>
      <c r="AN9" s="39">
        <v>976.32623521247513</v>
      </c>
      <c r="AO9" s="40">
        <v>101109.18162213077</v>
      </c>
      <c r="AP9" s="39">
        <v>974.82860424189209</v>
      </c>
      <c r="AQ9" s="40">
        <v>127159.21131373946</v>
      </c>
      <c r="AR9" s="39">
        <v>972.8863318092275</v>
      </c>
      <c r="AS9" s="40">
        <v>165143.20361994262</v>
      </c>
      <c r="AT9" s="39">
        <v>970.38859296165742</v>
      </c>
      <c r="AU9" s="40">
        <v>224623.83172961717</v>
      </c>
      <c r="AV9" s="39"/>
      <c r="AW9" s="40"/>
      <c r="AX9">
        <v>1015.9116825427475</v>
      </c>
      <c r="AY9">
        <v>1005.7716594496609</v>
      </c>
    </row>
    <row r="10" spans="1:51" x14ac:dyDescent="0.2">
      <c r="A10" t="s">
        <v>15</v>
      </c>
      <c r="B10" s="39">
        <v>1015.9116825427475</v>
      </c>
      <c r="C10" s="40">
        <v>1005.7716594496609</v>
      </c>
      <c r="D10" s="39">
        <v>1013.9053308595818</v>
      </c>
      <c r="E10" s="40">
        <v>1087.618436718335</v>
      </c>
      <c r="F10" s="39">
        <v>1011.799146138237</v>
      </c>
      <c r="G10" s="40">
        <v>1181.101546178294</v>
      </c>
      <c r="H10" s="39">
        <v>1009.5759705683394</v>
      </c>
      <c r="I10" s="40">
        <v>1288.5871897221903</v>
      </c>
      <c r="J10" s="39">
        <v>1007.2161072696595</v>
      </c>
      <c r="K10" s="40">
        <v>1413.0979134405065</v>
      </c>
      <c r="L10" s="39">
        <v>1004.6975023738452</v>
      </c>
      <c r="M10" s="40">
        <v>1558.5625841850576</v>
      </c>
      <c r="N10" s="39">
        <v>1001.9964533278024</v>
      </c>
      <c r="O10" s="40">
        <v>1730.1976707716867</v>
      </c>
      <c r="P10" s="39">
        <v>999.08929265136805</v>
      </c>
      <c r="Q10" s="40">
        <v>1935.1093606697946</v>
      </c>
      <c r="R10" s="39">
        <v>995.95585961803272</v>
      </c>
      <c r="S10" s="40">
        <v>2183.2869130983631</v>
      </c>
      <c r="T10" s="39">
        <v>992.58626740562261</v>
      </c>
      <c r="U10" s="40">
        <v>2489.3205764411287</v>
      </c>
      <c r="V10" s="39">
        <v>988.99380955473191</v>
      </c>
      <c r="W10" s="40">
        <v>2875.5237104256785</v>
      </c>
      <c r="X10" s="39">
        <v>985.2393511059264</v>
      </c>
      <c r="Y10" s="40">
        <v>3377.9493180744962</v>
      </c>
      <c r="Z10" s="39">
        <v>981.47645473780017</v>
      </c>
      <c r="AA10" s="40">
        <v>4058.6896461849478</v>
      </c>
      <c r="AB10" s="39">
        <v>978.02836177545828</v>
      </c>
      <c r="AC10" s="40">
        <v>5032.4802186434763</v>
      </c>
      <c r="AD10" s="39">
        <v>975.48063895998814</v>
      </c>
      <c r="AE10" s="40">
        <v>6526.2945656592574</v>
      </c>
      <c r="AF10" s="39">
        <v>974.62558078576649</v>
      </c>
      <c r="AG10" s="40">
        <v>9011.8140837333503</v>
      </c>
      <c r="AH10" s="39">
        <v>975.85032745517276</v>
      </c>
      <c r="AI10" s="40">
        <v>13498.127553319933</v>
      </c>
      <c r="AJ10" s="39">
        <v>978.17376660310026</v>
      </c>
      <c r="AK10" s="40">
        <v>22320.273502359298</v>
      </c>
      <c r="AL10" s="39">
        <v>979.33749948434377</v>
      </c>
      <c r="AM10" s="40">
        <v>42159.265278257953</v>
      </c>
      <c r="AN10" s="39">
        <v>976.32623521247513</v>
      </c>
      <c r="AO10" s="40">
        <v>101109.18162213077</v>
      </c>
      <c r="AP10" s="39">
        <v>974.82860424189209</v>
      </c>
      <c r="AQ10" s="40">
        <v>127159.21131373946</v>
      </c>
      <c r="AR10" s="39">
        <v>972.8863318092275</v>
      </c>
      <c r="AS10" s="40">
        <v>165143.20361994262</v>
      </c>
      <c r="AT10" s="39">
        <v>970.38859296165742</v>
      </c>
      <c r="AU10" s="40">
        <v>224623.83172961717</v>
      </c>
      <c r="AV10" s="39"/>
      <c r="AW10" s="40"/>
      <c r="AX10">
        <v>1015.9116825427475</v>
      </c>
      <c r="AY10">
        <v>1005.7716594496609</v>
      </c>
    </row>
    <row r="11" spans="1:51" x14ac:dyDescent="0.2">
      <c r="A11" t="s">
        <v>29</v>
      </c>
      <c r="B11" s="39">
        <v>1015.9116825427475</v>
      </c>
      <c r="C11" s="40">
        <v>1005.7716594496609</v>
      </c>
      <c r="D11" s="39">
        <v>1013.9053308595818</v>
      </c>
      <c r="E11" s="40">
        <v>1087.618436718335</v>
      </c>
      <c r="F11" s="39">
        <v>1011.799146138237</v>
      </c>
      <c r="G11" s="40">
        <v>1181.101546178294</v>
      </c>
      <c r="H11" s="39">
        <v>1009.5759705683394</v>
      </c>
      <c r="I11" s="40">
        <v>1288.5871897221903</v>
      </c>
      <c r="J11" s="39">
        <v>1007.2161072696595</v>
      </c>
      <c r="K11" s="40">
        <v>1413.0979134405065</v>
      </c>
      <c r="L11" s="39">
        <v>1004.6975023738452</v>
      </c>
      <c r="M11" s="40">
        <v>1558.5625841850576</v>
      </c>
      <c r="N11" s="39">
        <v>1001.9964533278024</v>
      </c>
      <c r="O11" s="40">
        <v>1730.1976707716867</v>
      </c>
      <c r="P11" s="39">
        <v>999.08929265136805</v>
      </c>
      <c r="Q11" s="40">
        <v>1935.1093606697946</v>
      </c>
      <c r="R11" s="39">
        <v>995.95585961803272</v>
      </c>
      <c r="S11" s="40">
        <v>2183.2869130983631</v>
      </c>
      <c r="T11" s="39">
        <v>992.58626740562261</v>
      </c>
      <c r="U11" s="40">
        <v>2489.3205764411287</v>
      </c>
      <c r="V11" s="39">
        <v>988.99380955473191</v>
      </c>
      <c r="W11" s="40">
        <v>2875.5237104256785</v>
      </c>
      <c r="X11" s="39">
        <v>985.2393511059264</v>
      </c>
      <c r="Y11" s="40">
        <v>3377.9493180744962</v>
      </c>
      <c r="Z11" s="39">
        <v>981.47645473780017</v>
      </c>
      <c r="AA11" s="40">
        <v>4058.6896461849478</v>
      </c>
      <c r="AB11" s="39">
        <v>978.02836177545828</v>
      </c>
      <c r="AC11" s="40">
        <v>5032.4802186434763</v>
      </c>
      <c r="AD11" s="39">
        <v>975.48063895998814</v>
      </c>
      <c r="AE11" s="40">
        <v>6526.2945656592574</v>
      </c>
      <c r="AF11" s="39">
        <v>974.62558078576649</v>
      </c>
      <c r="AG11" s="40">
        <v>9011.8140837333503</v>
      </c>
      <c r="AH11" s="39">
        <v>975.85032745517276</v>
      </c>
      <c r="AI11" s="40">
        <v>13498.127553319933</v>
      </c>
      <c r="AJ11" s="39">
        <v>978.17376660310026</v>
      </c>
      <c r="AK11" s="40">
        <v>22320.273502359298</v>
      </c>
      <c r="AL11" s="39">
        <v>979.33749948434377</v>
      </c>
      <c r="AM11" s="40">
        <v>42159.265278257953</v>
      </c>
      <c r="AN11" s="39">
        <v>976.32623521247513</v>
      </c>
      <c r="AO11" s="40">
        <v>101109.18162213077</v>
      </c>
      <c r="AP11" s="39">
        <v>974.82860424189209</v>
      </c>
      <c r="AQ11" s="40">
        <v>127159.21131373946</v>
      </c>
      <c r="AR11" s="39">
        <v>972.8863318092275</v>
      </c>
      <c r="AS11" s="40">
        <v>165143.20361994262</v>
      </c>
      <c r="AT11" s="39">
        <v>970.38859296165742</v>
      </c>
      <c r="AU11" s="40">
        <v>224623.83172961717</v>
      </c>
      <c r="AV11" s="39"/>
      <c r="AW11" s="40"/>
      <c r="AX11">
        <v>1015.9116825427475</v>
      </c>
      <c r="AY11">
        <v>1005.7716594496609</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c r="AW12" s="40"/>
      <c r="AX12">
        <v>1000</v>
      </c>
      <c r="AY12">
        <v>1000</v>
      </c>
    </row>
    <row r="13" spans="1:51" x14ac:dyDescent="0.2">
      <c r="A13" t="s">
        <v>17</v>
      </c>
      <c r="B13" s="93">
        <v>1000</v>
      </c>
      <c r="C13" s="94">
        <v>1000</v>
      </c>
      <c r="D13" s="93">
        <v>997.50731520249246</v>
      </c>
      <c r="E13" s="94">
        <v>997.50731520249246</v>
      </c>
      <c r="F13" s="93">
        <v>994.58646977693525</v>
      </c>
      <c r="G13" s="94">
        <v>994.58646977693525</v>
      </c>
      <c r="H13" s="93">
        <v>991.17273060313812</v>
      </c>
      <c r="I13" s="94">
        <v>991.17273060313812</v>
      </c>
      <c r="J13" s="93">
        <v>987.1876851679242</v>
      </c>
      <c r="K13" s="94">
        <v>987.1876851679242</v>
      </c>
      <c r="L13" s="93">
        <v>982.53532022431148</v>
      </c>
      <c r="M13" s="94">
        <v>982.53532022431148</v>
      </c>
      <c r="N13" s="93">
        <v>977.09629175112809</v>
      </c>
      <c r="O13" s="94">
        <v>977.09629175112809</v>
      </c>
      <c r="P13" s="93">
        <v>970.71990566160059</v>
      </c>
      <c r="Q13" s="94">
        <v>970.71990566160059</v>
      </c>
      <c r="R13" s="93">
        <v>963.21137130161105</v>
      </c>
      <c r="S13" s="94">
        <v>963.21137130161105</v>
      </c>
      <c r="T13" s="93">
        <v>954.31224820699777</v>
      </c>
      <c r="U13" s="94">
        <v>954.31224820699777</v>
      </c>
      <c r="V13" s="93">
        <v>943.66748846737732</v>
      </c>
      <c r="W13" s="94">
        <v>943.66748846737732</v>
      </c>
      <c r="X13" s="93">
        <v>930.76856358249574</v>
      </c>
      <c r="Y13" s="94">
        <v>930.76856358249574</v>
      </c>
      <c r="Z13" s="93">
        <v>914.849995901542</v>
      </c>
      <c r="AA13" s="94">
        <v>914.849995901542</v>
      </c>
      <c r="AB13" s="93">
        <v>894.69526819837836</v>
      </c>
      <c r="AC13" s="94">
        <v>894.69526819837836</v>
      </c>
      <c r="AD13" s="93">
        <v>868.27177519342615</v>
      </c>
      <c r="AE13" s="94">
        <v>868.27177519342615</v>
      </c>
      <c r="AF13" s="93">
        <v>832.0857031424199</v>
      </c>
      <c r="AG13" s="94">
        <v>832.0857031424199</v>
      </c>
      <c r="AH13" s="93">
        <v>780.14136563353929</v>
      </c>
      <c r="AI13" s="94">
        <v>780.14136563353929</v>
      </c>
      <c r="AJ13" s="93">
        <v>701.99795416513257</v>
      </c>
      <c r="AK13" s="94">
        <v>701.99795416513257</v>
      </c>
      <c r="AL13" s="93">
        <v>577.57342702152664</v>
      </c>
      <c r="AM13" s="94">
        <v>577.57342702152664</v>
      </c>
      <c r="AN13" s="93">
        <v>360.70545088863821</v>
      </c>
      <c r="AO13" s="94">
        <v>360.70545088863821</v>
      </c>
      <c r="AP13" s="93">
        <v>297.81834709587918</v>
      </c>
      <c r="AQ13" s="94">
        <v>297.81834709587918</v>
      </c>
      <c r="AR13" s="93">
        <v>225.62338101649917</v>
      </c>
      <c r="AS13" s="94">
        <v>225.62338101649917</v>
      </c>
      <c r="AT13" s="93">
        <v>143.69509418505643</v>
      </c>
      <c r="AU13" s="94">
        <v>143.69509418505643</v>
      </c>
      <c r="AV13" s="93"/>
      <c r="AW13" s="94"/>
      <c r="AX13">
        <v>1000</v>
      </c>
      <c r="AY13">
        <v>1000</v>
      </c>
    </row>
    <row r="14" spans="1:51" x14ac:dyDescent="0.2">
      <c r="A14" t="s">
        <v>36</v>
      </c>
      <c r="B14" s="39">
        <v>1457.0034251455234</v>
      </c>
      <c r="C14" s="40">
        <v>1457.0034251455236</v>
      </c>
      <c r="D14" s="39">
        <v>1453.3715748577467</v>
      </c>
      <c r="E14" s="40">
        <v>1453.3715748577467</v>
      </c>
      <c r="F14" s="39">
        <v>1449.1158930683891</v>
      </c>
      <c r="G14" s="40">
        <v>1449.1158930683894</v>
      </c>
      <c r="H14" s="39">
        <v>1444.1420633996133</v>
      </c>
      <c r="I14" s="40">
        <v>1444.1420633996136</v>
      </c>
      <c r="J14" s="39">
        <v>1438.335838551146</v>
      </c>
      <c r="K14" s="40">
        <v>1438.3358385511463</v>
      </c>
      <c r="L14" s="39">
        <v>1431.5573268932753</v>
      </c>
      <c r="M14" s="40">
        <v>1431.5573268932756</v>
      </c>
      <c r="N14" s="39">
        <v>1423.6326437783832</v>
      </c>
      <c r="O14" s="40">
        <v>1423.6326437783835</v>
      </c>
      <c r="P14" s="39">
        <v>1414.3422274058912</v>
      </c>
      <c r="Q14" s="40">
        <v>1414.3422274058914</v>
      </c>
      <c r="R14" s="39">
        <v>1403.4022671255636</v>
      </c>
      <c r="S14" s="40">
        <v>1403.4022671255639</v>
      </c>
      <c r="T14" s="39">
        <v>1390.4362142959205</v>
      </c>
      <c r="U14" s="40">
        <v>1390.4362142959208</v>
      </c>
      <c r="V14" s="39">
        <v>1374.9267628954424</v>
      </c>
      <c r="W14" s="40">
        <v>1374.9267628954426</v>
      </c>
      <c r="X14" s="39">
        <v>1356.1329851574751</v>
      </c>
      <c r="Y14" s="40">
        <v>1356.1329851574753</v>
      </c>
      <c r="Z14" s="39">
        <v>1332.9395775229145</v>
      </c>
      <c r="AA14" s="40">
        <v>1332.9395775229148</v>
      </c>
      <c r="AB14" s="39">
        <v>1303.5740702265298</v>
      </c>
      <c r="AC14" s="40">
        <v>1303.57407022653</v>
      </c>
      <c r="AD14" s="39">
        <v>1265.0749504140058</v>
      </c>
      <c r="AE14" s="40">
        <v>1265.0749504140058</v>
      </c>
      <c r="AF14" s="39">
        <v>1212.3517194931269</v>
      </c>
      <c r="AG14" s="40">
        <v>1212.3517194931271</v>
      </c>
      <c r="AH14" s="39">
        <v>1136.6686418257727</v>
      </c>
      <c r="AI14" s="40">
        <v>1136.668641825773</v>
      </c>
      <c r="AJ14" s="39">
        <v>1022.8134236637483</v>
      </c>
      <c r="AK14" s="40">
        <v>1022.8134236637484</v>
      </c>
      <c r="AL14" s="39">
        <v>841.52646144340224</v>
      </c>
      <c r="AM14" s="40">
        <v>841.52646144340235</v>
      </c>
      <c r="AN14" s="39">
        <v>525.54907741340617</v>
      </c>
      <c r="AO14" s="40">
        <v>525.54907741340628</v>
      </c>
      <c r="AP14" s="39">
        <v>433.92235178987426</v>
      </c>
      <c r="AQ14" s="40">
        <v>433.92235178987431</v>
      </c>
      <c r="AR14" s="39">
        <v>328.73403893395272</v>
      </c>
      <c r="AS14" s="40">
        <v>328.73403893395277</v>
      </c>
      <c r="AT14" s="39">
        <v>209.36424440423579</v>
      </c>
      <c r="AU14" s="40">
        <v>209.36424440423582</v>
      </c>
      <c r="AV14" s="39"/>
      <c r="AW14" s="40"/>
      <c r="AX14">
        <v>1457.0034251455234</v>
      </c>
      <c r="AY14">
        <v>1457.0034251455236</v>
      </c>
    </row>
    <row r="15" spans="1:51" x14ac:dyDescent="0.2">
      <c r="A15" t="s">
        <v>18</v>
      </c>
      <c r="B15" s="144">
        <v>1000</v>
      </c>
      <c r="C15" s="145">
        <v>1000</v>
      </c>
      <c r="D15" s="144">
        <v>991.40556975313984</v>
      </c>
      <c r="E15" s="145">
        <v>991.40556975313984</v>
      </c>
      <c r="F15" s="144">
        <v>982.42157742409313</v>
      </c>
      <c r="G15" s="145">
        <v>982.42157742409313</v>
      </c>
      <c r="H15" s="144">
        <v>972.9873392675288</v>
      </c>
      <c r="I15" s="145">
        <v>972.9873392675288</v>
      </c>
      <c r="J15" s="144">
        <v>963.03094867243146</v>
      </c>
      <c r="K15" s="145">
        <v>963.03094867243146</v>
      </c>
      <c r="L15" s="144">
        <v>952.46670429302003</v>
      </c>
      <c r="M15" s="145">
        <v>952.46670429302003</v>
      </c>
      <c r="N15" s="144">
        <v>941.19178411719713</v>
      </c>
      <c r="O15" s="145">
        <v>941.19178411719713</v>
      </c>
      <c r="P15" s="144">
        <v>929.08123384872113</v>
      </c>
      <c r="Q15" s="145">
        <v>929.08123384872113</v>
      </c>
      <c r="R15" s="144">
        <v>915.9808273421412</v>
      </c>
      <c r="S15" s="145">
        <v>915.9808273421412</v>
      </c>
      <c r="T15" s="144">
        <v>901.69491932724645</v>
      </c>
      <c r="U15" s="145">
        <v>901.69491932724645</v>
      </c>
      <c r="V15" s="144">
        <v>885.96600041360239</v>
      </c>
      <c r="W15" s="145">
        <v>885.96600041360239</v>
      </c>
      <c r="X15" s="144">
        <v>868.43652129885072</v>
      </c>
      <c r="Y15" s="145">
        <v>868.43652129885072</v>
      </c>
      <c r="Z15" s="144">
        <v>848.57377468495804</v>
      </c>
      <c r="AA15" s="145">
        <v>848.57377468495804</v>
      </c>
      <c r="AB15" s="144">
        <v>825.51281790897974</v>
      </c>
      <c r="AC15" s="145">
        <v>825.51281790897974</v>
      </c>
      <c r="AD15" s="144">
        <v>797.71721754045132</v>
      </c>
      <c r="AE15" s="145">
        <v>797.71721754045132</v>
      </c>
      <c r="AF15" s="144">
        <v>762.27595519808312</v>
      </c>
      <c r="AG15" s="145">
        <v>762.27595519808312</v>
      </c>
      <c r="AH15" s="144">
        <v>713.67232139655391</v>
      </c>
      <c r="AI15" s="145">
        <v>713.67232139655391</v>
      </c>
      <c r="AJ15" s="144">
        <v>641.89230543886879</v>
      </c>
      <c r="AK15" s="145">
        <v>641.89230543886879</v>
      </c>
      <c r="AL15" s="144">
        <v>528.07505568094416</v>
      </c>
      <c r="AM15" s="145">
        <v>528.07505568094416</v>
      </c>
      <c r="AN15" s="144">
        <v>329.79004265640395</v>
      </c>
      <c r="AO15" s="145">
        <v>329.79004265640395</v>
      </c>
      <c r="AP15" s="144">
        <v>272.29283771093213</v>
      </c>
      <c r="AQ15" s="145">
        <v>272.29283771093213</v>
      </c>
      <c r="AR15" s="144">
        <v>206.28556824877842</v>
      </c>
      <c r="AS15" s="145">
        <v>206.28556824877842</v>
      </c>
      <c r="AT15" s="144">
        <v>131.37921878343653</v>
      </c>
      <c r="AU15" s="145">
        <v>131.37921878343653</v>
      </c>
      <c r="AV15" s="144"/>
      <c r="AW15" s="145"/>
      <c r="AX15">
        <v>1000</v>
      </c>
      <c r="AY15">
        <v>1000</v>
      </c>
    </row>
    <row r="16" spans="1:51" s="27" customFormat="1" x14ac:dyDescent="0.2">
      <c r="A16" t="s">
        <v>61</v>
      </c>
      <c r="B16" s="39">
        <v>1000</v>
      </c>
      <c r="C16" s="40">
        <v>1000</v>
      </c>
      <c r="D16" s="39">
        <v>994.65736371895809</v>
      </c>
      <c r="E16" s="40">
        <v>993.14659353270895</v>
      </c>
      <c r="F16" s="39">
        <v>988.90179272041917</v>
      </c>
      <c r="G16" s="40">
        <v>985.89146224516514</v>
      </c>
      <c r="H16" s="39">
        <v>982.67044657934969</v>
      </c>
      <c r="I16" s="40">
        <v>978.1727663644333</v>
      </c>
      <c r="J16" s="39">
        <v>975.88795398469756</v>
      </c>
      <c r="K16" s="40">
        <v>969.91674277363029</v>
      </c>
      <c r="L16" s="39">
        <v>968.46312771203918</v>
      </c>
      <c r="M16" s="40">
        <v>961.03475057194203</v>
      </c>
      <c r="N16" s="39">
        <v>960.284367866205</v>
      </c>
      <c r="O16" s="40">
        <v>951.41926342563249</v>
      </c>
      <c r="P16" s="39">
        <v>951.21306735088945</v>
      </c>
      <c r="Q16" s="40">
        <v>940.93800811138306</v>
      </c>
      <c r="R16" s="39">
        <v>941.07351734712472</v>
      </c>
      <c r="S16" s="40">
        <v>929.42523832351299</v>
      </c>
      <c r="T16" s="39">
        <v>929.63686882747493</v>
      </c>
      <c r="U16" s="40">
        <v>916.66749795861597</v>
      </c>
      <c r="V16" s="39">
        <v>916.59411150404503</v>
      </c>
      <c r="W16" s="40">
        <v>902.37964332431932</v>
      </c>
      <c r="X16" s="39">
        <v>901.50808000907296</v>
      </c>
      <c r="Y16" s="40">
        <v>886.16139330942792</v>
      </c>
      <c r="Z16" s="39">
        <v>883.72344800511814</v>
      </c>
      <c r="AA16" s="40">
        <v>867.41421309926272</v>
      </c>
      <c r="AB16" s="39">
        <v>862.19020352216342</v>
      </c>
      <c r="AC16" s="40">
        <v>845.17379107290606</v>
      </c>
      <c r="AD16" s="39">
        <v>835.11079266559136</v>
      </c>
      <c r="AE16" s="40">
        <v>817.76348393892613</v>
      </c>
      <c r="AF16" s="39">
        <v>799.26729851440496</v>
      </c>
      <c r="AG16" s="40">
        <v>782.10750712934919</v>
      </c>
      <c r="AH16" s="39">
        <v>748.88993622430803</v>
      </c>
      <c r="AI16" s="40">
        <v>732.55338617204654</v>
      </c>
      <c r="AJ16" s="39">
        <v>673.73734373342609</v>
      </c>
      <c r="AK16" s="40">
        <v>658.96537147247113</v>
      </c>
      <c r="AL16" s="39">
        <v>554.30000943152095</v>
      </c>
      <c r="AM16" s="40">
        <v>542.13504802413695</v>
      </c>
      <c r="AN16" s="39">
        <v>346.1694639203476</v>
      </c>
      <c r="AO16" s="40">
        <v>338.57154788028174</v>
      </c>
      <c r="AP16" s="39">
        <v>285.81661406482436</v>
      </c>
      <c r="AQ16" s="40">
        <v>279.54334498584649</v>
      </c>
      <c r="AR16" s="39">
        <v>216.53101526376042</v>
      </c>
      <c r="AS16" s="40">
        <v>211.77846359122691</v>
      </c>
      <c r="AT16" s="39">
        <v>137.90434394624842</v>
      </c>
      <c r="AU16" s="40">
        <v>134.87753658069164</v>
      </c>
      <c r="AV16" s="39"/>
      <c r="AW16" s="40"/>
      <c r="AX16" s="27">
        <v>1000</v>
      </c>
      <c r="AY16" s="27">
        <v>1000</v>
      </c>
    </row>
    <row r="17" spans="1:51" x14ac:dyDescent="0.2">
      <c r="A17" t="s">
        <v>62</v>
      </c>
      <c r="B17" s="33">
        <v>1000.0000000000002</v>
      </c>
      <c r="C17" s="34">
        <v>999.99999999999977</v>
      </c>
      <c r="D17" s="33">
        <v>998.20556933849718</v>
      </c>
      <c r="E17" s="34">
        <v>1039.8640075825761</v>
      </c>
      <c r="F17" s="33">
        <v>996.32496115573088</v>
      </c>
      <c r="G17" s="34">
        <v>1085.1399824992336</v>
      </c>
      <c r="H17" s="33">
        <v>994.34336326880157</v>
      </c>
      <c r="I17" s="34">
        <v>1136.8857698608188</v>
      </c>
      <c r="J17" s="33">
        <v>992.24384761965905</v>
      </c>
      <c r="K17" s="34">
        <v>1196.4478792060518</v>
      </c>
      <c r="L17" s="33">
        <v>990.00757726930556</v>
      </c>
      <c r="M17" s="34">
        <v>1265.5713647330679</v>
      </c>
      <c r="N17" s="33">
        <v>987.61447070753263</v>
      </c>
      <c r="O17" s="34">
        <v>1346.5676838787604</v>
      </c>
      <c r="P17" s="33">
        <v>985.04475599707177</v>
      </c>
      <c r="Q17" s="34">
        <v>1442.5798582513607</v>
      </c>
      <c r="R17" s="33">
        <v>982.28202793754076</v>
      </c>
      <c r="S17" s="34">
        <v>1558.0200250470448</v>
      </c>
      <c r="T17" s="33">
        <v>979.31924405246491</v>
      </c>
      <c r="U17" s="34">
        <v>1699.3253365380622</v>
      </c>
      <c r="V17" s="33">
        <v>976.16987948626206</v>
      </c>
      <c r="W17" s="34">
        <v>1876.328859280582</v>
      </c>
      <c r="X17" s="33">
        <v>972.88892459625583</v>
      </c>
      <c r="Y17" s="34">
        <v>2104.8931074392344</v>
      </c>
      <c r="Z17" s="33">
        <v>969.611368164341</v>
      </c>
      <c r="AA17" s="34">
        <v>2412.2696749205284</v>
      </c>
      <c r="AB17" s="33">
        <v>966.6175555066327</v>
      </c>
      <c r="AC17" s="34">
        <v>2848.62190424136</v>
      </c>
      <c r="AD17" s="33">
        <v>964.41139817834016</v>
      </c>
      <c r="AE17" s="34">
        <v>3512.6242358760896</v>
      </c>
      <c r="AF17" s="33">
        <v>963.67210377202514</v>
      </c>
      <c r="AG17" s="34">
        <v>4607.7760180804726</v>
      </c>
      <c r="AH17" s="33">
        <v>964.73121006563008</v>
      </c>
      <c r="AI17" s="34">
        <v>6565.8283450743984</v>
      </c>
      <c r="AJ17" s="33">
        <v>966.74361854215999</v>
      </c>
      <c r="AK17" s="34">
        <v>10380.524676568893</v>
      </c>
      <c r="AL17" s="33">
        <v>967.75313694580382</v>
      </c>
      <c r="AM17" s="34">
        <v>18892.872738849463</v>
      </c>
      <c r="AN17" s="33">
        <v>965.14306883680968</v>
      </c>
      <c r="AO17" s="34">
        <v>44062.220810099992</v>
      </c>
      <c r="AP17" s="33">
        <v>963.84758878035711</v>
      </c>
      <c r="AQ17" s="34">
        <v>55171.83602280874</v>
      </c>
      <c r="AR17" s="33">
        <v>962.17008841829625</v>
      </c>
      <c r="AS17" s="34">
        <v>71370.209395849786</v>
      </c>
      <c r="AT17" s="33">
        <v>960.01718310209412</v>
      </c>
      <c r="AU17" s="34">
        <v>96742.083210491473</v>
      </c>
      <c r="AV17" s="33"/>
      <c r="AW17" s="34"/>
      <c r="AX17">
        <v>1000.0000000000002</v>
      </c>
      <c r="AY17">
        <v>999.99999999999977</v>
      </c>
    </row>
    <row r="18" spans="1:51" x14ac:dyDescent="0.2">
      <c r="A18" t="s">
        <v>19</v>
      </c>
      <c r="B18" s="31">
        <v>27857.010133999996</v>
      </c>
      <c r="C18" s="32">
        <v>1236.7674480000003</v>
      </c>
      <c r="D18" s="31">
        <v>27861.189093788307</v>
      </c>
      <c r="E18" s="32">
        <v>1145.5635828072475</v>
      </c>
      <c r="F18" s="31">
        <v>27860.761804871472</v>
      </c>
      <c r="G18" s="32">
        <v>1054.1664840225662</v>
      </c>
      <c r="H18" s="31">
        <v>27855.01265424443</v>
      </c>
      <c r="I18" s="32">
        <v>962.58775144933975</v>
      </c>
      <c r="J18" s="31">
        <v>27843.049063290262</v>
      </c>
      <c r="K18" s="32">
        <v>870.86275067749284</v>
      </c>
      <c r="L18" s="31">
        <v>27823.734180274561</v>
      </c>
      <c r="M18" s="32">
        <v>779.06623133938513</v>
      </c>
      <c r="N18" s="31">
        <v>27795.582029496116</v>
      </c>
      <c r="O18" s="32">
        <v>687.3396644174901</v>
      </c>
      <c r="P18" s="31">
        <v>27756.598507725274</v>
      </c>
      <c r="Q18" s="32">
        <v>595.92695159817231</v>
      </c>
      <c r="R18" s="31">
        <v>27704.018763400221</v>
      </c>
      <c r="S18" s="32">
        <v>505.23809393169392</v>
      </c>
      <c r="T18" s="31">
        <v>27633.880167614818</v>
      </c>
      <c r="U18" s="32">
        <v>415.93488689117601</v>
      </c>
      <c r="V18" s="31">
        <v>27540.284073301507</v>
      </c>
      <c r="W18" s="32">
        <v>329.06950792043665</v>
      </c>
      <c r="X18" s="31">
        <v>27414.091810890321</v>
      </c>
      <c r="Y18" s="32">
        <v>246.28297647175924</v>
      </c>
      <c r="Z18" s="31">
        <v>27240.547296150642</v>
      </c>
      <c r="AA18" s="32">
        <v>170.0765646536305</v>
      </c>
      <c r="AB18" s="31">
        <v>26994.929448553678</v>
      </c>
      <c r="AC18" s="32">
        <v>104.07437576273628</v>
      </c>
      <c r="AD18" s="31">
        <v>26635.064077270152</v>
      </c>
      <c r="AE18" s="32">
        <v>52.861974092890257</v>
      </c>
      <c r="AF18" s="31">
        <v>26090.684364118635</v>
      </c>
      <c r="AG18" s="32">
        <v>20.229070178376716</v>
      </c>
      <c r="AH18" s="31">
        <v>25250.651299469635</v>
      </c>
      <c r="AI18" s="32">
        <v>5.1915311322941617</v>
      </c>
      <c r="AJ18" s="31">
        <v>23926.166323758287</v>
      </c>
      <c r="AK18" s="32">
        <v>0.79233553466644702</v>
      </c>
      <c r="AL18" s="31">
        <v>21690.207696145706</v>
      </c>
      <c r="AM18" s="32">
        <v>5.9059541383647496E-2</v>
      </c>
      <c r="AN18" s="31">
        <v>17166.376658159115</v>
      </c>
      <c r="AO18" s="32">
        <v>1.1923351393363757E-3</v>
      </c>
      <c r="AP18" s="31">
        <v>15609.815818834291</v>
      </c>
      <c r="AQ18" s="32">
        <v>4.0110327416317045E-4</v>
      </c>
      <c r="AR18" s="31">
        <v>13599.699807489444</v>
      </c>
      <c r="AS18" s="32">
        <v>1.1097761988799145E-4</v>
      </c>
      <c r="AT18" s="31">
        <v>10866.584328825105</v>
      </c>
      <c r="AU18" s="32">
        <v>2.2630681997873301E-5</v>
      </c>
      <c r="AV18" s="31"/>
      <c r="AW18" s="32"/>
      <c r="AX18">
        <v>27857.010133999996</v>
      </c>
      <c r="AY18">
        <v>1236.7674480000003</v>
      </c>
    </row>
    <row r="19" spans="1:51" x14ac:dyDescent="0.2">
      <c r="A19" t="s">
        <v>3</v>
      </c>
      <c r="B19" s="39">
        <v>1886.3937399999918</v>
      </c>
      <c r="C19" s="40">
        <v>262.78711299999759</v>
      </c>
      <c r="D19" s="39">
        <v>1877.7449615085523</v>
      </c>
      <c r="E19" s="40">
        <v>273.00381457272783</v>
      </c>
      <c r="F19" s="39">
        <v>1868.3625581919744</v>
      </c>
      <c r="G19" s="40">
        <v>284.77112614796346</v>
      </c>
      <c r="H19" s="39">
        <v>1858.1308099460389</v>
      </c>
      <c r="I19" s="40">
        <v>298.31016263318037</v>
      </c>
      <c r="J19" s="39">
        <v>1846.9136297845887</v>
      </c>
      <c r="K19" s="40">
        <v>313.86548072696331</v>
      </c>
      <c r="L19" s="39">
        <v>1834.5518710443764</v>
      </c>
      <c r="M19" s="40">
        <v>331.6983005430622</v>
      </c>
      <c r="N19" s="39">
        <v>1820.8608271368225</v>
      </c>
      <c r="O19" s="40">
        <v>352.0706946544679</v>
      </c>
      <c r="P19" s="39">
        <v>1805.6289222501164</v>
      </c>
      <c r="Q19" s="40">
        <v>375.2138389359402</v>
      </c>
      <c r="R19" s="39">
        <v>1788.6180121962821</v>
      </c>
      <c r="S19" s="40">
        <v>401.26611066728287</v>
      </c>
      <c r="T19" s="39">
        <v>1769.5679865660425</v>
      </c>
      <c r="U19" s="40">
        <v>430.1602623255589</v>
      </c>
      <c r="V19" s="39">
        <v>1748.2082923949517</v>
      </c>
      <c r="W19" s="40">
        <v>461.40994658957698</v>
      </c>
      <c r="X19" s="39">
        <v>1724.2821114990868</v>
      </c>
      <c r="Y19" s="40">
        <v>493.71599351749609</v>
      </c>
      <c r="Z19" s="39">
        <v>1697.5870913441479</v>
      </c>
      <c r="AA19" s="40">
        <v>524.2431893587426</v>
      </c>
      <c r="AB19" s="39">
        <v>1668.0133960946603</v>
      </c>
      <c r="AC19" s="40">
        <v>547.39275857267296</v>
      </c>
      <c r="AD19" s="39">
        <v>1635.4135979242471</v>
      </c>
      <c r="AE19" s="40">
        <v>553.27872204152993</v>
      </c>
      <c r="AF19" s="39">
        <v>1598.5880798615124</v>
      </c>
      <c r="AG19" s="40">
        <v>528.20361516931428</v>
      </c>
      <c r="AH19" s="39">
        <v>1551.833383083864</v>
      </c>
      <c r="AI19" s="40">
        <v>462.62949035519796</v>
      </c>
      <c r="AJ19" s="39">
        <v>1478.9270876538133</v>
      </c>
      <c r="AK19" s="40">
        <v>362.81319509962754</v>
      </c>
      <c r="AL19" s="39">
        <v>1344.5820707550715</v>
      </c>
      <c r="AM19" s="40">
        <v>245.60771641731307</v>
      </c>
      <c r="AN19" s="39">
        <v>1056.2435085918953</v>
      </c>
      <c r="AO19" s="40">
        <v>123.21188026275061</v>
      </c>
      <c r="AP19" s="39">
        <v>956.903334181795</v>
      </c>
      <c r="AQ19" s="40">
        <v>98.584950653713477</v>
      </c>
      <c r="AR19" s="39">
        <v>829.66036611209006</v>
      </c>
      <c r="AS19" s="40">
        <v>73.945380881668257</v>
      </c>
      <c r="AT19" s="39">
        <v>658.80477630140786</v>
      </c>
      <c r="AU19" s="40">
        <v>49.29927274478645</v>
      </c>
      <c r="AV19" s="39"/>
      <c r="AW19" s="40"/>
      <c r="AX19">
        <v>1886.3937399999918</v>
      </c>
      <c r="AY19">
        <v>262.78711299999759</v>
      </c>
    </row>
    <row r="20" spans="1:51" x14ac:dyDescent="0.2">
      <c r="A20" t="s">
        <v>114</v>
      </c>
      <c r="B20" s="79">
        <v>26548.356269999993</v>
      </c>
      <c r="C20" s="80">
        <v>1408.5418709999938</v>
      </c>
      <c r="D20" s="79">
        <v>26531.328202456632</v>
      </c>
      <c r="E20" s="80">
        <v>1338.1147774499941</v>
      </c>
      <c r="F20" s="79">
        <v>26508.779823703364</v>
      </c>
      <c r="G20" s="80">
        <v>1267.6876838999945</v>
      </c>
      <c r="H20" s="79">
        <v>26479.847145637232</v>
      </c>
      <c r="I20" s="80">
        <v>1197.2605903499943</v>
      </c>
      <c r="J20" s="79">
        <v>26443.471044653459</v>
      </c>
      <c r="K20" s="80">
        <v>1126.8334967999951</v>
      </c>
      <c r="L20" s="79">
        <v>26398.335867523052</v>
      </c>
      <c r="M20" s="80">
        <v>1056.4064032499953</v>
      </c>
      <c r="N20" s="79">
        <v>26342.778726776429</v>
      </c>
      <c r="O20" s="80">
        <v>985.97930969999561</v>
      </c>
      <c r="P20" s="79">
        <v>26274.659275927221</v>
      </c>
      <c r="Q20" s="80">
        <v>915.55221614999596</v>
      </c>
      <c r="R20" s="79">
        <v>26191.152990385828</v>
      </c>
      <c r="S20" s="80">
        <v>845.12512259999642</v>
      </c>
      <c r="T20" s="79">
        <v>26088.429017627906</v>
      </c>
      <c r="U20" s="80">
        <v>774.69802904999653</v>
      </c>
      <c r="V20" s="79">
        <v>25961.108315462767</v>
      </c>
      <c r="W20" s="80">
        <v>704.27093549999688</v>
      </c>
      <c r="X20" s="79">
        <v>25801.325831513324</v>
      </c>
      <c r="Y20" s="80">
        <v>633.84384194999734</v>
      </c>
      <c r="Z20" s="79">
        <v>25597.025011609829</v>
      </c>
      <c r="AA20" s="80">
        <v>563.41674839999757</v>
      </c>
      <c r="AB20" s="79">
        <v>25328.754568211672</v>
      </c>
      <c r="AC20" s="80">
        <v>492.98965484999775</v>
      </c>
      <c r="AD20" s="79">
        <v>24963.61614238091</v>
      </c>
      <c r="AE20" s="80">
        <v>422.56256129999798</v>
      </c>
      <c r="AF20" s="79">
        <v>24444.331112229367</v>
      </c>
      <c r="AG20" s="80">
        <v>352.13546774999827</v>
      </c>
      <c r="AH20" s="79">
        <v>23669.869605385204</v>
      </c>
      <c r="AI20" s="80">
        <v>281.70837419999856</v>
      </c>
      <c r="AJ20" s="79">
        <v>22450.806164225167</v>
      </c>
      <c r="AK20" s="80">
        <v>211.28128064999879</v>
      </c>
      <c r="AL20" s="79">
        <v>20362.905558166934</v>
      </c>
      <c r="AM20" s="80">
        <v>140.85418709999902</v>
      </c>
      <c r="AN20" s="79">
        <v>16095.013061011272</v>
      </c>
      <c r="AO20" s="80">
        <v>70.427093549999285</v>
      </c>
      <c r="AP20" s="79">
        <v>14626.10676211544</v>
      </c>
      <c r="AQ20" s="80">
        <v>56.341674839999335</v>
      </c>
      <c r="AR20" s="79">
        <v>12731.903535682883</v>
      </c>
      <c r="AS20" s="80">
        <v>42.256256129999379</v>
      </c>
      <c r="AT20" s="79">
        <v>10162.079153809118</v>
      </c>
      <c r="AU20" s="80">
        <v>28.170837419999433</v>
      </c>
      <c r="AV20" s="79"/>
      <c r="AW20" s="80"/>
      <c r="AX20">
        <v>26548.356269999993</v>
      </c>
      <c r="AY20">
        <v>1408.5418709999938</v>
      </c>
    </row>
    <row r="21" spans="1:51" x14ac:dyDescent="0.2">
      <c r="A21" t="s">
        <v>76</v>
      </c>
      <c r="B21" s="79">
        <v>24661.962529999968</v>
      </c>
      <c r="C21" s="80">
        <v>1145.7547579999991</v>
      </c>
      <c r="D21" s="79">
        <v>24653.591156221395</v>
      </c>
      <c r="E21" s="80">
        <v>1065.4354424871119</v>
      </c>
      <c r="F21" s="79">
        <v>24640.450493346929</v>
      </c>
      <c r="G21" s="80">
        <v>984.32487739598446</v>
      </c>
      <c r="H21" s="79">
        <v>24621.795112635104</v>
      </c>
      <c r="I21" s="80">
        <v>902.39918259499302</v>
      </c>
      <c r="J21" s="79">
        <v>24596.705601117159</v>
      </c>
      <c r="K21" s="80">
        <v>819.66108975277223</v>
      </c>
      <c r="L21" s="79">
        <v>24564.030035738509</v>
      </c>
      <c r="M21" s="80">
        <v>736.15744939402714</v>
      </c>
      <c r="N21" s="79">
        <v>24522.295937343701</v>
      </c>
      <c r="O21" s="80">
        <v>652.00574782326942</v>
      </c>
      <c r="P21" s="79">
        <v>24469.581421787487</v>
      </c>
      <c r="Q21" s="80">
        <v>567.43378394895001</v>
      </c>
      <c r="R21" s="79">
        <v>24403.307991019796</v>
      </c>
      <c r="S21" s="80">
        <v>482.84011227804899</v>
      </c>
      <c r="T21" s="79">
        <v>24319.912991710742</v>
      </c>
      <c r="U21" s="80">
        <v>398.88284695501528</v>
      </c>
      <c r="V21" s="79">
        <v>24214.294134575877</v>
      </c>
      <c r="W21" s="80">
        <v>316.61517730461259</v>
      </c>
      <c r="X21" s="79">
        <v>24078.842708585275</v>
      </c>
      <c r="Y21" s="80">
        <v>237.68224046813995</v>
      </c>
      <c r="Z21" s="79">
        <v>23901.687431764982</v>
      </c>
      <c r="AA21" s="80">
        <v>164.58849869387407</v>
      </c>
      <c r="AB21" s="79">
        <v>23663.435203944337</v>
      </c>
      <c r="AC21" s="80">
        <v>100.95808334879008</v>
      </c>
      <c r="AD21" s="79">
        <v>23331.226881593298</v>
      </c>
      <c r="AE21" s="80">
        <v>51.380502114654732</v>
      </c>
      <c r="AF21" s="79">
        <v>22848.831042516598</v>
      </c>
      <c r="AG21" s="80">
        <v>19.690854267518425</v>
      </c>
      <c r="AH21" s="79">
        <v>22120.851621223592</v>
      </c>
      <c r="AI21" s="80">
        <v>5.0579262693853995</v>
      </c>
      <c r="AJ21" s="79">
        <v>20974.248706736162</v>
      </c>
      <c r="AK21" s="80">
        <v>0.77226805748430316</v>
      </c>
      <c r="AL21" s="79">
        <v>19020.342234063879</v>
      </c>
      <c r="AM21" s="80">
        <v>5.7571852425459494E-2</v>
      </c>
      <c r="AN21" s="79">
        <v>15040.638750176789</v>
      </c>
      <c r="AO21" s="80">
        <v>1.1623356558937688E-3</v>
      </c>
      <c r="AP21" s="79">
        <v>13671.032991476273</v>
      </c>
      <c r="AQ21" s="80">
        <v>3.9101203161003034E-4</v>
      </c>
      <c r="AR21" s="79">
        <v>11903.98993658417</v>
      </c>
      <c r="AS21" s="80">
        <v>1.0818562450562672E-4</v>
      </c>
      <c r="AT21" s="79">
        <v>9504.8351472454215</v>
      </c>
      <c r="AU21" s="80">
        <v>2.2061349433650693E-5</v>
      </c>
      <c r="AV21" s="79"/>
      <c r="AW21" s="80"/>
      <c r="AX21">
        <v>24661.962529999968</v>
      </c>
      <c r="AY21">
        <v>1145.7547579999991</v>
      </c>
    </row>
    <row r="22" spans="1:51" x14ac:dyDescent="0.2">
      <c r="A22" t="s">
        <v>28</v>
      </c>
      <c r="B22" s="39">
        <v>6533.6044688320644</v>
      </c>
      <c r="C22" s="40">
        <v>379.90788307663388</v>
      </c>
      <c r="D22" s="39">
        <v>6526.1746490891646</v>
      </c>
      <c r="E22" s="40">
        <v>370.45327882545143</v>
      </c>
      <c r="F22" s="39">
        <v>6516.0128929759376</v>
      </c>
      <c r="G22" s="40">
        <v>360.61397539204415</v>
      </c>
      <c r="H22" s="39">
        <v>6502.6840614734956</v>
      </c>
      <c r="I22" s="40">
        <v>350.36338215918886</v>
      </c>
      <c r="J22" s="39">
        <v>6485.6549205362571</v>
      </c>
      <c r="K22" s="40">
        <v>339.67020804192771</v>
      </c>
      <c r="L22" s="39">
        <v>6464.2639271776952</v>
      </c>
      <c r="M22" s="40">
        <v>328.49661610510515</v>
      </c>
      <c r="N22" s="39">
        <v>6437.6765873238219</v>
      </c>
      <c r="O22" s="40">
        <v>316.79534458064211</v>
      </c>
      <c r="P22" s="39">
        <v>6404.822532368521</v>
      </c>
      <c r="Q22" s="40">
        <v>304.50556592510793</v>
      </c>
      <c r="R22" s="39">
        <v>6364.2943374230435</v>
      </c>
      <c r="S22" s="40">
        <v>291.5463026217285</v>
      </c>
      <c r="T22" s="39">
        <v>6314.1946228468196</v>
      </c>
      <c r="U22" s="40">
        <v>277.80668457660886</v>
      </c>
      <c r="V22" s="39">
        <v>6251.8763772884095</v>
      </c>
      <c r="W22" s="40">
        <v>263.13090858049367</v>
      </c>
      <c r="X22" s="39">
        <v>6173.501122698799</v>
      </c>
      <c r="Y22" s="40">
        <v>247.29572853131282</v>
      </c>
      <c r="Z22" s="39">
        <v>6073.2425720736801</v>
      </c>
      <c r="AA22" s="40">
        <v>229.97855329826962</v>
      </c>
      <c r="AB22" s="39">
        <v>5941.8210521341844</v>
      </c>
      <c r="AC22" s="40">
        <v>210.72151371130789</v>
      </c>
      <c r="AD22" s="39">
        <v>5763.8353217462191</v>
      </c>
      <c r="AE22" s="40">
        <v>188.92770813269382</v>
      </c>
      <c r="AF22" s="39">
        <v>5513.3799125750156</v>
      </c>
      <c r="AG22" s="40">
        <v>164.00009204354265</v>
      </c>
      <c r="AH22" s="39">
        <v>5148.0591916169424</v>
      </c>
      <c r="AI22" s="40">
        <v>135.70471411946349</v>
      </c>
      <c r="AJ22" s="39">
        <v>4599.9521674261305</v>
      </c>
      <c r="AK22" s="40">
        <v>104.3486327421346</v>
      </c>
      <c r="AL22" s="39">
        <v>3754.0734575287156</v>
      </c>
      <c r="AM22" s="40">
        <v>70.393582650379358</v>
      </c>
      <c r="AN22" s="39">
        <v>2392.6745157237256</v>
      </c>
      <c r="AO22" s="40">
        <v>34.478108394832269</v>
      </c>
      <c r="AP22" s="39">
        <v>2023.951884518387</v>
      </c>
      <c r="AQ22" s="40">
        <v>27.214027091222732</v>
      </c>
      <c r="AR22" s="39">
        <v>1610.4967766395043</v>
      </c>
      <c r="AS22" s="40">
        <v>20.009617019080828</v>
      </c>
      <c r="AT22" s="39">
        <v>1143.7667569621515</v>
      </c>
      <c r="AU22" s="40">
        <v>12.948006915045031</v>
      </c>
      <c r="AV22" s="39"/>
      <c r="AW22" s="40"/>
      <c r="AX22">
        <v>6533.6044688320644</v>
      </c>
      <c r="AY22">
        <v>379.90788307663388</v>
      </c>
    </row>
    <row r="23" spans="1:51" x14ac:dyDescent="0.2">
      <c r="A23" t="s">
        <v>7</v>
      </c>
      <c r="B23" s="110">
        <v>3278.5018080150408</v>
      </c>
      <c r="C23" s="8">
        <v>0</v>
      </c>
      <c r="D23" s="110">
        <v>3285.0686902428738</v>
      </c>
      <c r="E23" s="8">
        <v>0</v>
      </c>
      <c r="F23" s="110">
        <v>3291.4300123194694</v>
      </c>
      <c r="G23" s="8">
        <v>0</v>
      </c>
      <c r="H23" s="110">
        <v>3297.5544742278494</v>
      </c>
      <c r="I23" s="8">
        <v>0</v>
      </c>
      <c r="J23" s="110">
        <v>3303.4037459679898</v>
      </c>
      <c r="K23" s="8">
        <v>0</v>
      </c>
      <c r="L23" s="110">
        <v>3308.9310634917065</v>
      </c>
      <c r="M23" s="8">
        <v>0</v>
      </c>
      <c r="N23" s="110">
        <v>3314.0793223810861</v>
      </c>
      <c r="O23" s="8">
        <v>0</v>
      </c>
      <c r="P23" s="110">
        <v>3318.7804168056145</v>
      </c>
      <c r="Q23" s="8">
        <v>0</v>
      </c>
      <c r="R23" s="110">
        <v>3322.9544296046847</v>
      </c>
      <c r="S23" s="8">
        <v>0</v>
      </c>
      <c r="T23" s="110">
        <v>3326.5137462602174</v>
      </c>
      <c r="U23" s="8">
        <v>0</v>
      </c>
      <c r="V23" s="110">
        <v>3329.3730815347094</v>
      </c>
      <c r="W23" s="8">
        <v>0</v>
      </c>
      <c r="X23" s="110">
        <v>3331.4762907519607</v>
      </c>
      <c r="Y23" s="8">
        <v>0</v>
      </c>
      <c r="Z23" s="110">
        <v>3332.8531907610254</v>
      </c>
      <c r="AA23" s="8">
        <v>0</v>
      </c>
      <c r="AB23" s="110">
        <v>3333.719415607924</v>
      </c>
      <c r="AC23" s="8">
        <v>0</v>
      </c>
      <c r="AD23" s="110">
        <v>3334.5398940390824</v>
      </c>
      <c r="AE23" s="8">
        <v>0</v>
      </c>
      <c r="AF23" s="110">
        <v>3335.4750929814327</v>
      </c>
      <c r="AG23" s="8">
        <v>0</v>
      </c>
      <c r="AH23" s="110">
        <v>3333.2703974604183</v>
      </c>
      <c r="AI23" s="8">
        <v>0</v>
      </c>
      <c r="AJ23" s="110">
        <v>3312.3278919882259</v>
      </c>
      <c r="AK23" s="8">
        <v>0</v>
      </c>
      <c r="AL23" s="110">
        <v>3219.054381811563</v>
      </c>
      <c r="AM23" s="8">
        <v>0</v>
      </c>
      <c r="AN23" s="110">
        <v>2829.4268919101128</v>
      </c>
      <c r="AO23" s="8">
        <v>0</v>
      </c>
      <c r="AP23" s="110">
        <v>2644.6487020098534</v>
      </c>
      <c r="AQ23" s="8">
        <v>0</v>
      </c>
      <c r="AR23" s="110">
        <v>2375.7250236406257</v>
      </c>
      <c r="AS23" s="8">
        <v>0</v>
      </c>
      <c r="AT23" s="110">
        <v>1964.7838363966885</v>
      </c>
      <c r="AU23" s="8">
        <v>0</v>
      </c>
      <c r="AV23" s="110"/>
      <c r="AW23" s="8"/>
      <c r="AX23">
        <v>3278.5018080150408</v>
      </c>
      <c r="AY23">
        <v>0</v>
      </c>
    </row>
    <row r="24" spans="1:51" x14ac:dyDescent="0.2">
      <c r="A24" t="s">
        <v>8</v>
      </c>
      <c r="B24" s="93">
        <v>3196.3846373657216</v>
      </c>
      <c r="C24" s="8">
        <v>0</v>
      </c>
      <c r="D24" s="93">
        <v>3202.787037720107</v>
      </c>
      <c r="E24" s="8">
        <v>0</v>
      </c>
      <c r="F24" s="93">
        <v>3208.9890266395087</v>
      </c>
      <c r="G24" s="8">
        <v>0</v>
      </c>
      <c r="H24" s="93">
        <v>3214.9600880434241</v>
      </c>
      <c r="I24" s="8">
        <v>0</v>
      </c>
      <c r="J24" s="93">
        <v>3220.6628524086677</v>
      </c>
      <c r="K24" s="8">
        <v>0</v>
      </c>
      <c r="L24" s="93">
        <v>3226.0517257382176</v>
      </c>
      <c r="M24" s="8">
        <v>0</v>
      </c>
      <c r="N24" s="93">
        <v>3231.0710361517163</v>
      </c>
      <c r="O24" s="8">
        <v>0</v>
      </c>
      <c r="P24" s="93">
        <v>3235.6543809725749</v>
      </c>
      <c r="Q24" s="8">
        <v>0</v>
      </c>
      <c r="R24" s="93">
        <v>3239.7238466759877</v>
      </c>
      <c r="S24" s="8">
        <v>0</v>
      </c>
      <c r="T24" s="93">
        <v>3243.1940125755941</v>
      </c>
      <c r="U24" s="8">
        <v>0</v>
      </c>
      <c r="V24" s="93">
        <v>3245.9817298051516</v>
      </c>
      <c r="W24" s="8">
        <v>0</v>
      </c>
      <c r="X24" s="93">
        <v>3248.0322597302265</v>
      </c>
      <c r="Y24" s="8">
        <v>0</v>
      </c>
      <c r="Z24" s="93">
        <v>3249.3746722405285</v>
      </c>
      <c r="AA24" s="8">
        <v>0</v>
      </c>
      <c r="AB24" s="93">
        <v>3250.2192004971043</v>
      </c>
      <c r="AC24" s="8">
        <v>0</v>
      </c>
      <c r="AD24" s="93">
        <v>3251.0191283040454</v>
      </c>
      <c r="AE24" s="8">
        <v>0</v>
      </c>
      <c r="AF24" s="93">
        <v>3251.9309031514863</v>
      </c>
      <c r="AG24" s="8">
        <v>0</v>
      </c>
      <c r="AH24" s="93">
        <v>3249.7814289998287</v>
      </c>
      <c r="AI24" s="8">
        <v>0</v>
      </c>
      <c r="AJ24" s="93">
        <v>3229.3634738848241</v>
      </c>
      <c r="AK24" s="8">
        <v>0</v>
      </c>
      <c r="AL24" s="93">
        <v>3138.4262005629116</v>
      </c>
      <c r="AM24" s="8">
        <v>0</v>
      </c>
      <c r="AN24" s="93">
        <v>2758.5577740847943</v>
      </c>
      <c r="AO24" s="8">
        <v>0</v>
      </c>
      <c r="AP24" s="93">
        <v>2578.4077537084727</v>
      </c>
      <c r="AQ24" s="8">
        <v>0</v>
      </c>
      <c r="AR24" s="93">
        <v>2316.2198506665172</v>
      </c>
      <c r="AS24" s="8">
        <v>0</v>
      </c>
      <c r="AT24" s="93">
        <v>1915.5715745068298</v>
      </c>
      <c r="AU24" s="8">
        <v>0</v>
      </c>
      <c r="AV24" s="93"/>
      <c r="AW24" s="8"/>
      <c r="AX24">
        <v>3196.3846373657216</v>
      </c>
      <c r="AY24">
        <v>0</v>
      </c>
    </row>
    <row r="25" spans="1:51" x14ac:dyDescent="0.2">
      <c r="A25" t="s">
        <v>0</v>
      </c>
      <c r="B25" s="39">
        <v>3195.0476040000012</v>
      </c>
      <c r="C25" s="40">
        <v>91.012690000004397</v>
      </c>
      <c r="D25" s="39">
        <v>3207.5850927672486</v>
      </c>
      <c r="E25" s="40">
        <v>80.070550640518235</v>
      </c>
      <c r="F25" s="39">
        <v>3220.2570848924447</v>
      </c>
      <c r="G25" s="40">
        <v>69.618740872142325</v>
      </c>
      <c r="H25" s="39">
        <v>3233.0882129194115</v>
      </c>
      <c r="I25" s="40">
        <v>59.707713972659803</v>
      </c>
      <c r="J25" s="39">
        <v>3246.0986383303057</v>
      </c>
      <c r="K25" s="40">
        <v>50.390211360765733</v>
      </c>
      <c r="L25" s="39">
        <v>3259.2948947466466</v>
      </c>
      <c r="M25" s="40">
        <v>41.72062518377259</v>
      </c>
      <c r="N25" s="39">
        <v>3272.6526895597699</v>
      </c>
      <c r="O25" s="40">
        <v>33.754269797804334</v>
      </c>
      <c r="P25" s="39">
        <v>3286.0864961564625</v>
      </c>
      <c r="Q25" s="40">
        <v>26.54603705252979</v>
      </c>
      <c r="R25" s="39">
        <v>3299.3942627413858</v>
      </c>
      <c r="S25" s="40">
        <v>20.149076822480559</v>
      </c>
      <c r="T25" s="39">
        <v>3312.1591263517098</v>
      </c>
      <c r="U25" s="40">
        <v>14.61232352526422</v>
      </c>
      <c r="V25" s="39">
        <v>3323.5702572415894</v>
      </c>
      <c r="W25" s="40">
        <v>9.9774739561979331</v>
      </c>
      <c r="X25" s="39">
        <v>3332.0944983264117</v>
      </c>
      <c r="Y25" s="40">
        <v>6.2736898032512167</v>
      </c>
      <c r="Z25" s="39">
        <v>3334.874338773981</v>
      </c>
      <c r="AA25" s="40">
        <v>3.5083215905844671</v>
      </c>
      <c r="AB25" s="39">
        <v>3326.6756596361547</v>
      </c>
      <c r="AC25" s="40">
        <v>1.6494097606036149</v>
      </c>
      <c r="AD25" s="39">
        <v>3298.389673034796</v>
      </c>
      <c r="AE25" s="40">
        <v>0.59565137570433957</v>
      </c>
      <c r="AF25" s="39">
        <v>3236.2779548415779</v>
      </c>
      <c r="AG25" s="40">
        <v>0.14463139751262383</v>
      </c>
      <c r="AH25" s="39">
        <v>3124.733674953703</v>
      </c>
      <c r="AI25" s="40">
        <v>2.0119096371801586E-2</v>
      </c>
      <c r="AJ25" s="39">
        <v>2947.680959095183</v>
      </c>
      <c r="AK25" s="40">
        <v>1.355430102958581E-3</v>
      </c>
      <c r="AL25" s="39">
        <v>2666.267694634776</v>
      </c>
      <c r="AM25" s="40">
        <v>3.3532099672429574E-5</v>
      </c>
      <c r="AN25" s="39">
        <v>2122.3789054985041</v>
      </c>
      <c r="AO25" s="40">
        <v>1.3581181494448399E-7</v>
      </c>
      <c r="AP25" s="39">
        <v>1935.4814241996862</v>
      </c>
      <c r="AQ25" s="40">
        <v>2.9624177283817776E-8</v>
      </c>
      <c r="AR25" s="39">
        <v>1692.5408952684152</v>
      </c>
      <c r="AS25" s="40">
        <v>4.9781199665267305E-9</v>
      </c>
      <c r="AT25" s="39">
        <v>1358.8979740105269</v>
      </c>
      <c r="AU25" s="40">
        <v>5.6142831264190446E-10</v>
      </c>
      <c r="AV25" s="39"/>
      <c r="AW25" s="40"/>
      <c r="AX25">
        <v>3195.0476040000012</v>
      </c>
      <c r="AY25">
        <v>91.012690000004397</v>
      </c>
    </row>
    <row r="26" spans="1:51" x14ac:dyDescent="0.2">
      <c r="A26" t="s">
        <v>27</v>
      </c>
      <c r="B26" s="31">
        <v>5036.2953101960647</v>
      </c>
      <c r="C26" s="32">
        <v>74.905331803938267</v>
      </c>
      <c r="D26" s="31">
        <v>5041.3901760240378</v>
      </c>
      <c r="E26" s="32">
        <v>69.810465975962586</v>
      </c>
      <c r="F26" s="31">
        <v>5046.5190804150143</v>
      </c>
      <c r="G26" s="32">
        <v>64.681561584995862</v>
      </c>
      <c r="H26" s="31">
        <v>5051.6867220536951</v>
      </c>
      <c r="I26" s="32">
        <v>59.513919946307134</v>
      </c>
      <c r="J26" s="31">
        <v>5056.8975361569401</v>
      </c>
      <c r="K26" s="32">
        <v>54.303105843070249</v>
      </c>
      <c r="L26" s="31">
        <v>5062.1549499228249</v>
      </c>
      <c r="M26" s="32">
        <v>49.045692077176028</v>
      </c>
      <c r="N26" s="31">
        <v>5067.4599788995019</v>
      </c>
      <c r="O26" s="32">
        <v>43.740663100507881</v>
      </c>
      <c r="P26" s="31">
        <v>5072.809163729351</v>
      </c>
      <c r="Q26" s="32">
        <v>38.391478270651852</v>
      </c>
      <c r="R26" s="31">
        <v>5078.1908029487004</v>
      </c>
      <c r="S26" s="32">
        <v>33.009839051305384</v>
      </c>
      <c r="T26" s="31">
        <v>5083.5793717964734</v>
      </c>
      <c r="U26" s="32">
        <v>27.621270203532561</v>
      </c>
      <c r="V26" s="31">
        <v>5088.9260982453716</v>
      </c>
      <c r="W26" s="32">
        <v>22.274543754632283</v>
      </c>
      <c r="X26" s="31">
        <v>5094.1443180000906</v>
      </c>
      <c r="Y26" s="32">
        <v>17.056323999913815</v>
      </c>
      <c r="Z26" s="31">
        <v>5099.0872932913435</v>
      </c>
      <c r="AA26" s="32">
        <v>12.113348708667248</v>
      </c>
      <c r="AB26" s="31">
        <v>5103.5207647517518</v>
      </c>
      <c r="AC26" s="32">
        <v>7.6798772482548721</v>
      </c>
      <c r="AD26" s="31">
        <v>5107.1140374980214</v>
      </c>
      <c r="AE26" s="32">
        <v>4.0866045019820767</v>
      </c>
      <c r="AF26" s="31">
        <v>5109.5345771565198</v>
      </c>
      <c r="AG26" s="32">
        <v>1.6660648434798577</v>
      </c>
      <c r="AH26" s="31">
        <v>5110.7337472743247</v>
      </c>
      <c r="AI26" s="32">
        <v>0.466894725682657</v>
      </c>
      <c r="AJ26" s="31">
        <v>5111.119999637066</v>
      </c>
      <c r="AK26" s="32">
        <v>8.0642362943184151E-2</v>
      </c>
      <c r="AL26" s="31">
        <v>5111.1934318267167</v>
      </c>
      <c r="AM26" s="32">
        <v>7.2101732893973579E-3</v>
      </c>
      <c r="AN26" s="31">
        <v>5111.2004427141401</v>
      </c>
      <c r="AO26" s="32">
        <v>1.9928586631480142E-4</v>
      </c>
      <c r="AP26" s="31">
        <v>5111.2005678184842</v>
      </c>
      <c r="AQ26" s="32">
        <v>7.4181516103499117E-5</v>
      </c>
      <c r="AR26" s="31">
        <v>5111.2006186043745</v>
      </c>
      <c r="AS26" s="32">
        <v>2.33956306030536E-5</v>
      </c>
      <c r="AT26" s="31">
        <v>5111.2006362537004</v>
      </c>
      <c r="AU26" s="32">
        <v>5.7463035463966396E-6</v>
      </c>
      <c r="AV26" s="31"/>
      <c r="AW26" s="32"/>
      <c r="AX26">
        <v>5036.2953101960647</v>
      </c>
      <c r="AY26">
        <v>74.905331803938267</v>
      </c>
    </row>
    <row r="27" spans="1:51" x14ac:dyDescent="0.2">
      <c r="A27" t="s">
        <v>2</v>
      </c>
      <c r="B27" s="33">
        <v>6425.1981590000414</v>
      </c>
      <c r="C27" s="34">
        <v>273.22915400000028</v>
      </c>
      <c r="D27" s="33">
        <v>6443.5480258310863</v>
      </c>
      <c r="E27" s="34">
        <v>254.87928762377527</v>
      </c>
      <c r="F27" s="33">
        <v>6462.0550661189145</v>
      </c>
      <c r="G27" s="34">
        <v>236.3722474636798</v>
      </c>
      <c r="H27" s="33">
        <v>6480.736972828231</v>
      </c>
      <c r="I27" s="34">
        <v>217.69034074135567</v>
      </c>
      <c r="J27" s="33">
        <v>6499.6105962680213</v>
      </c>
      <c r="K27" s="34">
        <v>198.81671674180194</v>
      </c>
      <c r="L27" s="33">
        <v>6518.6893286853892</v>
      </c>
      <c r="M27" s="34">
        <v>179.73798421234508</v>
      </c>
      <c r="N27" s="33">
        <v>6537.9777382461953</v>
      </c>
      <c r="O27" s="34">
        <v>160.44957741950014</v>
      </c>
      <c r="P27" s="33">
        <v>6557.4643339414542</v>
      </c>
      <c r="Q27" s="34">
        <v>140.96299018282403</v>
      </c>
      <c r="R27" s="33">
        <v>6577.1071675513931</v>
      </c>
      <c r="S27" s="34">
        <v>121.32015150645735</v>
      </c>
      <c r="T27" s="33">
        <v>6596.8135551221731</v>
      </c>
      <c r="U27" s="34">
        <v>101.61376270032883</v>
      </c>
      <c r="V27" s="33">
        <v>6616.4047354698096</v>
      </c>
      <c r="W27" s="34">
        <v>82.022578189846172</v>
      </c>
      <c r="X27" s="33">
        <v>6635.5613927821078</v>
      </c>
      <c r="Y27" s="34">
        <v>62.865925851210541</v>
      </c>
      <c r="Z27" s="33">
        <v>6653.7406844486914</v>
      </c>
      <c r="AA27" s="34">
        <v>44.686632471334391</v>
      </c>
      <c r="AB27" s="33">
        <v>6670.0735138650598</v>
      </c>
      <c r="AC27" s="34">
        <v>28.353797917919287</v>
      </c>
      <c r="AD27" s="33">
        <v>6683.3300608412892</v>
      </c>
      <c r="AE27" s="34">
        <v>15.097255638354225</v>
      </c>
      <c r="AF27" s="33">
        <v>6692.2696688910655</v>
      </c>
      <c r="AG27" s="34">
        <v>6.1576437384193543</v>
      </c>
      <c r="AH27" s="33">
        <v>6696.7013378715046</v>
      </c>
      <c r="AI27" s="34">
        <v>1.7259745420588917</v>
      </c>
      <c r="AJ27" s="33">
        <v>6698.1291811396386</v>
      </c>
      <c r="AK27" s="34">
        <v>0.29813204750602279</v>
      </c>
      <c r="AL27" s="33">
        <v>6698.4006568897012</v>
      </c>
      <c r="AM27" s="34">
        <v>2.6656107137169666E-2</v>
      </c>
      <c r="AN27" s="33">
        <v>6698.4265762409523</v>
      </c>
      <c r="AO27" s="34">
        <v>7.3676349013287697E-4</v>
      </c>
      <c r="AP27" s="33">
        <v>6698.4270387289471</v>
      </c>
      <c r="AQ27" s="34">
        <v>2.7425039682150358E-4</v>
      </c>
      <c r="AR27" s="33">
        <v>6698.4272265276577</v>
      </c>
      <c r="AS27" s="34">
        <v>8.6494083670178007E-5</v>
      </c>
      <c r="AT27" s="33">
        <v>6698.4272917554827</v>
      </c>
      <c r="AU27" s="34">
        <v>2.1244187973011433E-5</v>
      </c>
      <c r="AV27" s="33"/>
      <c r="AW27" s="34"/>
      <c r="AX27">
        <v>6425.1981590000414</v>
      </c>
      <c r="AY27">
        <v>273.22915400000028</v>
      </c>
    </row>
    <row r="28" spans="1:51" x14ac:dyDescent="0.2">
      <c r="A28" t="s">
        <v>35</v>
      </c>
      <c r="B28" s="39">
        <v>13763.097676000029</v>
      </c>
      <c r="C28" s="40">
        <v>382.36647899999997</v>
      </c>
      <c r="D28" s="39">
        <v>13788.851399465548</v>
      </c>
      <c r="E28" s="40">
        <v>356.59317018430073</v>
      </c>
      <c r="F28" s="39">
        <v>13814.77254532965</v>
      </c>
      <c r="G28" s="40">
        <v>330.61273738711719</v>
      </c>
      <c r="H28" s="39">
        <v>13840.884661016822</v>
      </c>
      <c r="I28" s="40">
        <v>304.4007263548533</v>
      </c>
      <c r="J28" s="39">
        <v>13867.209920364934</v>
      </c>
      <c r="K28" s="40">
        <v>277.93391198062812</v>
      </c>
      <c r="L28" s="39">
        <v>13893.765457701309</v>
      </c>
      <c r="M28" s="40">
        <v>251.19400226759214</v>
      </c>
      <c r="N28" s="39">
        <v>13920.556062249358</v>
      </c>
      <c r="O28" s="40">
        <v>224.17504887601859</v>
      </c>
      <c r="P28" s="39">
        <v>13947.564138874526</v>
      </c>
      <c r="Q28" s="40">
        <v>196.89369136048927</v>
      </c>
      <c r="R28" s="39">
        <v>13974.730250543385</v>
      </c>
      <c r="S28" s="40">
        <v>169.40901670207305</v>
      </c>
      <c r="T28" s="39">
        <v>14001.925439766412</v>
      </c>
      <c r="U28" s="40">
        <v>141.85102911729075</v>
      </c>
      <c r="V28" s="39">
        <v>14028.903487457095</v>
      </c>
      <c r="W28" s="40">
        <v>114.46964993711671</v>
      </c>
      <c r="X28" s="39">
        <v>14055.227317979328</v>
      </c>
      <c r="Y28" s="40">
        <v>87.710557154543963</v>
      </c>
      <c r="Z28" s="39">
        <v>14080.157247011162</v>
      </c>
      <c r="AA28" s="40">
        <v>62.330390126973171</v>
      </c>
      <c r="AB28" s="39">
        <v>14102.512958542662</v>
      </c>
      <c r="AC28" s="40">
        <v>39.539456634816609</v>
      </c>
      <c r="AD28" s="39">
        <v>14120.628785235343</v>
      </c>
      <c r="AE28" s="40">
        <v>21.049120052559072</v>
      </c>
      <c r="AF28" s="39">
        <v>14132.830538317465</v>
      </c>
      <c r="AG28" s="40">
        <v>8.5840888612608044</v>
      </c>
      <c r="AH28" s="39">
        <v>14138.874972909549</v>
      </c>
      <c r="AI28" s="40">
        <v>2.4059473139971619</v>
      </c>
      <c r="AJ28" s="39">
        <v>14140.821814923345</v>
      </c>
      <c r="AK28" s="40">
        <v>0.41557685803916788</v>
      </c>
      <c r="AL28" s="39">
        <v>14141.191933835906</v>
      </c>
      <c r="AM28" s="40">
        <v>3.7156750792547086E-2</v>
      </c>
      <c r="AN28" s="39">
        <v>14141.227270638416</v>
      </c>
      <c r="AO28" s="40">
        <v>1.0269964153771145E-3</v>
      </c>
      <c r="AP28" s="39">
        <v>14141.22790117468</v>
      </c>
      <c r="AQ28" s="40">
        <v>3.8228574794871008E-4</v>
      </c>
      <c r="AR28" s="39">
        <v>14141.228157189786</v>
      </c>
      <c r="AS28" s="40">
        <v>1.2056665681922673E-4</v>
      </c>
      <c r="AT28" s="39">
        <v>14141.228246126228</v>
      </c>
      <c r="AU28" s="40">
        <v>2.961290234791731E-5</v>
      </c>
      <c r="AV28" s="39"/>
      <c r="AW28" s="40"/>
      <c r="AX28">
        <v>13763.097676000029</v>
      </c>
      <c r="AY28">
        <v>382.36647899999997</v>
      </c>
    </row>
    <row r="29" spans="1:51" x14ac:dyDescent="0.2">
      <c r="A29" t="s">
        <v>53</v>
      </c>
      <c r="B29" s="33">
        <v>14362.768558000025</v>
      </c>
      <c r="C29" s="34">
        <v>817.26650999999993</v>
      </c>
      <c r="D29" s="33">
        <v>14364.047027343064</v>
      </c>
      <c r="E29" s="34">
        <v>753.47025893996397</v>
      </c>
      <c r="F29" s="33">
        <v>14362.888390016655</v>
      </c>
      <c r="G29" s="34">
        <v>689.90502362245468</v>
      </c>
      <c r="H29" s="33">
        <v>14358.913446745068</v>
      </c>
      <c r="I29" s="34">
        <v>626.62001035926914</v>
      </c>
      <c r="J29" s="33">
        <v>14351.649897740524</v>
      </c>
      <c r="K29" s="34">
        <v>563.68385907702691</v>
      </c>
      <c r="L29" s="33">
        <v>14340.497542736724</v>
      </c>
      <c r="M29" s="34">
        <v>501.19446879049303</v>
      </c>
      <c r="N29" s="33">
        <v>14324.674464844902</v>
      </c>
      <c r="O29" s="34">
        <v>439.29585161993361</v>
      </c>
      <c r="P29" s="33">
        <v>14303.135723221176</v>
      </c>
      <c r="Q29" s="34">
        <v>378.19952489784117</v>
      </c>
      <c r="R29" s="33">
        <v>14274.440045345</v>
      </c>
      <c r="S29" s="34">
        <v>318.22241631242315</v>
      </c>
      <c r="T29" s="33">
        <v>14236.533560508858</v>
      </c>
      <c r="U29" s="34">
        <v>259.8365294221519</v>
      </c>
      <c r="V29" s="33">
        <v>14186.378002953572</v>
      </c>
      <c r="W29" s="34">
        <v>203.74845692840671</v>
      </c>
      <c r="X29" s="33">
        <v>14119.295456807829</v>
      </c>
      <c r="Y29" s="34">
        <v>151.01026005755003</v>
      </c>
      <c r="Z29" s="33">
        <v>14027.775767026696</v>
      </c>
      <c r="AA29" s="34">
        <v>103.16536170785007</v>
      </c>
      <c r="AB29" s="33">
        <v>13899.29205361494</v>
      </c>
      <c r="AC29" s="34">
        <v>62.37239068600072</v>
      </c>
      <c r="AD29" s="33">
        <v>13712.507787901643</v>
      </c>
      <c r="AE29" s="34">
        <v>31.251210273363682</v>
      </c>
      <c r="AF29" s="33">
        <v>13431.746923078499</v>
      </c>
      <c r="AG29" s="34">
        <v>11.776652741662071</v>
      </c>
      <c r="AH29" s="33">
        <v>12999.979195496011</v>
      </c>
      <c r="AI29" s="34">
        <v>2.9720591094956159</v>
      </c>
      <c r="AJ29" s="33">
        <v>12319.306859090872</v>
      </c>
      <c r="AK29" s="34">
        <v>0.44585749134597447</v>
      </c>
      <c r="AL29" s="33">
        <v>11168.584547428212</v>
      </c>
      <c r="AM29" s="34">
        <v>3.2686919378945432E-2</v>
      </c>
      <c r="AN29" s="33">
        <v>8838.0733588247931</v>
      </c>
      <c r="AO29" s="34">
        <v>6.499034429574541E-4</v>
      </c>
      <c r="AP29" s="33">
        <v>8036.1612790878307</v>
      </c>
      <c r="AQ29" s="34">
        <v>2.1799921431340155E-4</v>
      </c>
      <c r="AR29" s="33">
        <v>7000.728412274726</v>
      </c>
      <c r="AS29" s="34">
        <v>6.0145385800155414E-5</v>
      </c>
      <c r="AT29" s="33">
        <v>5593.1771190853297</v>
      </c>
      <c r="AU29" s="34">
        <v>1.2230547901369585E-5</v>
      </c>
      <c r="AV29" s="33"/>
      <c r="AW29" s="34"/>
      <c r="AX29">
        <v>14362.768558000025</v>
      </c>
      <c r="AY29">
        <v>817.26650999999993</v>
      </c>
    </row>
    <row r="30" spans="1:51" x14ac:dyDescent="0.2">
      <c r="A30" t="s">
        <v>48</v>
      </c>
      <c r="B30" s="112">
        <v>2924829.9599999995</v>
      </c>
      <c r="D30" s="112">
        <v>2995495.2714599529</v>
      </c>
      <c r="F30" s="112">
        <v>3068468.0314689577</v>
      </c>
      <c r="H30" s="112">
        <v>3144092.8094786303</v>
      </c>
      <c r="J30" s="112">
        <v>3222790.9264448886</v>
      </c>
      <c r="L30" s="112">
        <v>3305094.3918933277</v>
      </c>
      <c r="N30" s="112">
        <v>3391700.6662884457</v>
      </c>
      <c r="P30" s="112">
        <v>3483569.494938626</v>
      </c>
      <c r="R30" s="112">
        <v>3582085.1360773304</v>
      </c>
      <c r="T30" s="112">
        <v>3689358.5419483213</v>
      </c>
      <c r="V30" s="112">
        <v>3808768.1791361021</v>
      </c>
      <c r="X30" s="112">
        <v>3945985.7774879695</v>
      </c>
      <c r="Z30" s="112">
        <v>4110918.6233303724</v>
      </c>
      <c r="AB30" s="112">
        <v>4321314.322292367</v>
      </c>
      <c r="AD30" s="112">
        <v>4608523.9509923784</v>
      </c>
      <c r="AF30" s="112">
        <v>5022297.6630433146</v>
      </c>
      <c r="AH30" s="112">
        <v>5621917.7649564277</v>
      </c>
      <c r="AJ30" s="112">
        <v>6445774.1322770528</v>
      </c>
      <c r="AL30" s="112">
        <v>7457077.6680396376</v>
      </c>
      <c r="AN30" s="112">
        <v>8167991.2124546468</v>
      </c>
      <c r="AP30" s="112">
        <v>8058955.2783444896</v>
      </c>
      <c r="AR30" s="112">
        <v>7689951.4907381656</v>
      </c>
      <c r="AT30" s="112">
        <v>6820087.087715352</v>
      </c>
      <c r="AV30" s="112"/>
      <c r="AX30">
        <v>2924829.9599999995</v>
      </c>
    </row>
    <row r="31" spans="1:51" x14ac:dyDescent="0.2">
      <c r="A31" t="s">
        <v>47</v>
      </c>
      <c r="B31" s="77">
        <v>1</v>
      </c>
      <c r="D31" s="77">
        <v>0.99752005101011076</v>
      </c>
      <c r="F31" s="77">
        <v>0.99447705105798068</v>
      </c>
      <c r="H31" s="77">
        <v>0.99078256436660439</v>
      </c>
      <c r="J31" s="77">
        <v>0.98632857005279218</v>
      </c>
      <c r="L31" s="77">
        <v>0.98098143596255238</v>
      </c>
      <c r="N31" s="77">
        <v>0.97457303586553778</v>
      </c>
      <c r="P31" s="77">
        <v>0.96688803209173546</v>
      </c>
      <c r="R31" s="77">
        <v>0.95764356713891308</v>
      </c>
      <c r="T31" s="77">
        <v>0.94645803382309968</v>
      </c>
      <c r="V31" s="77">
        <v>0.93279832795312589</v>
      </c>
      <c r="X31" s="77">
        <v>0.91588993902686</v>
      </c>
      <c r="Z31" s="77">
        <v>0.8945568478865995</v>
      </c>
      <c r="AB31" s="77">
        <v>0.8669351932006083</v>
      </c>
      <c r="AD31" s="77">
        <v>0.82998884124997097</v>
      </c>
      <c r="AF31" s="77">
        <v>0.77885697022606259</v>
      </c>
      <c r="AH31" s="77">
        <v>0.70639227004512661</v>
      </c>
      <c r="AJ31" s="77">
        <v>0.60308130832149043</v>
      </c>
      <c r="AL31" s="77">
        <v>0.45668851198303351</v>
      </c>
      <c r="AN31" s="77">
        <v>0.25361617975907741</v>
      </c>
      <c r="AP31" s="77">
        <v>0.20554820028685442</v>
      </c>
      <c r="AR31" s="77">
        <v>0.15527485717238443</v>
      </c>
      <c r="AT31" s="77">
        <v>0.10330767980110152</v>
      </c>
      <c r="AV31" s="77"/>
      <c r="AX31">
        <v>1</v>
      </c>
    </row>
    <row r="32" spans="1:51" x14ac:dyDescent="0.2">
      <c r="A32" t="s">
        <v>64</v>
      </c>
      <c r="B32" s="83">
        <v>14734457.915000005</v>
      </c>
      <c r="D32" s="83">
        <v>14734813.4585815</v>
      </c>
      <c r="F32" s="83">
        <v>14732678.579831919</v>
      </c>
      <c r="H32" s="83">
        <v>14727660.503017753</v>
      </c>
      <c r="J32" s="83">
        <v>14719298.066363249</v>
      </c>
      <c r="L32" s="83">
        <v>14707058.591951933</v>
      </c>
      <c r="N32" s="83">
        <v>14690340.558787981</v>
      </c>
      <c r="P32" s="83">
        <v>14668496.582283992</v>
      </c>
      <c r="R32" s="83">
        <v>14640882.565516585</v>
      </c>
      <c r="T32" s="83">
        <v>14606977.671827581</v>
      </c>
      <c r="V32" s="83">
        <v>14566620.898063064</v>
      </c>
      <c r="X32" s="83">
        <v>14520489.495720597</v>
      </c>
      <c r="Z32" s="83">
        <v>14471010.208434638</v>
      </c>
      <c r="AB32" s="83">
        <v>14423918.972445289</v>
      </c>
      <c r="AD32" s="83">
        <v>14389885.964874713</v>
      </c>
      <c r="AF32" s="83">
        <v>14381304.724658512</v>
      </c>
      <c r="AH32" s="83">
        <v>14389858.989785952</v>
      </c>
      <c r="AJ32" s="83">
        <v>14333495.475289863</v>
      </c>
      <c r="AL32" s="83">
        <v>13946443.715178411</v>
      </c>
      <c r="AN32" s="83">
        <v>12220703.7738615</v>
      </c>
      <c r="AP32" s="83">
        <v>11405098.386226721</v>
      </c>
      <c r="AR32" s="83">
        <v>10224946.745249944</v>
      </c>
      <c r="AT32" s="83">
        <v>8434575.6928265244</v>
      </c>
      <c r="AV32" s="83"/>
      <c r="AX32">
        <v>14734457.915000005</v>
      </c>
    </row>
    <row r="33" spans="1:51 16319:16384" x14ac:dyDescent="0.2">
      <c r="A33" t="s">
        <v>54</v>
      </c>
      <c r="B33" s="111">
        <v>7019665.6909999885</v>
      </c>
      <c r="D33" s="111">
        <v>7019835.0828254744</v>
      </c>
      <c r="F33" s="111">
        <v>7018818.005247836</v>
      </c>
      <c r="H33" s="111">
        <v>7016427.3386594374</v>
      </c>
      <c r="J33" s="111">
        <v>7012443.364398784</v>
      </c>
      <c r="L33" s="111">
        <v>7006612.3572135828</v>
      </c>
      <c r="N33" s="111">
        <v>6998647.6754746344</v>
      </c>
      <c r="P33" s="111">
        <v>6988241.184419333</v>
      </c>
      <c r="R33" s="111">
        <v>6975085.4647665778</v>
      </c>
      <c r="T33" s="111">
        <v>6958932.7685536118</v>
      </c>
      <c r="V33" s="111">
        <v>6939706.2018087599</v>
      </c>
      <c r="X33" s="111">
        <v>6917728.677734552</v>
      </c>
      <c r="Z33" s="111">
        <v>6894156.1615178306</v>
      </c>
      <c r="AB33" s="111">
        <v>6871721.3589764852</v>
      </c>
      <c r="AD33" s="111">
        <v>6855507.6374059999</v>
      </c>
      <c r="AF33" s="111">
        <v>6851419.4385975609</v>
      </c>
      <c r="AH33" s="111">
        <v>6855494.7886693347</v>
      </c>
      <c r="AJ33" s="111">
        <v>6828642.5602069963</v>
      </c>
      <c r="AL33" s="111">
        <v>6644246.6376210321</v>
      </c>
      <c r="AN33" s="111">
        <v>5822084.2257059813</v>
      </c>
      <c r="AP33" s="111">
        <v>5433520.4122284194</v>
      </c>
      <c r="AR33" s="111">
        <v>4871282.5591545254</v>
      </c>
      <c r="AT33" s="111">
        <v>4018329.1404838115</v>
      </c>
      <c r="AV33" s="111"/>
      <c r="AX33">
        <v>7019665.6909999885</v>
      </c>
    </row>
    <row r="34" spans="1:51 16319:16384" x14ac:dyDescent="0.2">
      <c r="A34" t="s">
        <v>75</v>
      </c>
      <c r="B34" s="111">
        <v>1136879.4410000162</v>
      </c>
      <c r="D34" s="111">
        <v>1136906.8673264864</v>
      </c>
      <c r="F34" s="111">
        <v>1136742.1414246492</v>
      </c>
      <c r="H34" s="111">
        <v>1136354.9543128521</v>
      </c>
      <c r="J34" s="111">
        <v>1135709.7391795192</v>
      </c>
      <c r="L34" s="111">
        <v>1134765.3483429807</v>
      </c>
      <c r="N34" s="111">
        <v>1133475.4375662836</v>
      </c>
      <c r="P34" s="111">
        <v>1131789.7720229356</v>
      </c>
      <c r="R34" s="111">
        <v>1129659.2167003015</v>
      </c>
      <c r="T34" s="111">
        <v>1127043.2009853728</v>
      </c>
      <c r="V34" s="111">
        <v>1123929.4922132588</v>
      </c>
      <c r="X34" s="111">
        <v>1120370.0831130799</v>
      </c>
      <c r="Z34" s="111">
        <v>1116552.3796616751</v>
      </c>
      <c r="AB34" s="111">
        <v>1112918.9147294252</v>
      </c>
      <c r="AD34" s="111">
        <v>1110293.0044447233</v>
      </c>
      <c r="AF34" s="111">
        <v>1109630.8912082638</v>
      </c>
      <c r="AH34" s="111">
        <v>1110290.9206110127</v>
      </c>
      <c r="AJ34" s="111">
        <v>1105942.0317718452</v>
      </c>
      <c r="AL34" s="111">
        <v>1076077.9409944913</v>
      </c>
      <c r="AN34" s="111">
        <v>942923.51677967014</v>
      </c>
      <c r="AP34" s="111">
        <v>879993.1393938018</v>
      </c>
      <c r="AR34" s="111">
        <v>788935.14827963489</v>
      </c>
      <c r="AT34" s="111">
        <v>650793.92496489407</v>
      </c>
      <c r="AV34" s="111"/>
      <c r="AX34">
        <v>1136879.4410000162</v>
      </c>
    </row>
    <row r="35" spans="1:51 16319:16384" x14ac:dyDescent="0.2">
      <c r="A35" t="s">
        <v>78</v>
      </c>
      <c r="B35" s="192">
        <v>1</v>
      </c>
      <c r="D35" s="192">
        <v>1.0025110936596036</v>
      </c>
      <c r="F35" s="192">
        <v>1.0054391996530492</v>
      </c>
      <c r="H35" s="192">
        <v>1.0088639795999321</v>
      </c>
      <c r="J35" s="192">
        <v>1.0128880743657123</v>
      </c>
      <c r="L35" s="192">
        <v>1.0176467159508027</v>
      </c>
      <c r="N35" s="192">
        <v>1.0233227394485787</v>
      </c>
      <c r="P35" s="192">
        <v>1.030170699760802</v>
      </c>
      <c r="R35" s="192">
        <v>1.0385570830522191</v>
      </c>
      <c r="T35" s="192">
        <v>1.0490300479056505</v>
      </c>
      <c r="V35" s="192">
        <v>1.0624454394552623</v>
      </c>
      <c r="X35" s="192">
        <v>1.0802059744624743</v>
      </c>
      <c r="Z35" s="192">
        <v>1.1047368134159188</v>
      </c>
      <c r="AB35" s="192">
        <v>1.1404677979951447</v>
      </c>
      <c r="AD35" s="192">
        <v>1.1958682439777084</v>
      </c>
      <c r="AF35" s="192">
        <v>1.2874098606072619</v>
      </c>
      <c r="AH35" s="192">
        <v>1.4469018508887257</v>
      </c>
      <c r="AJ35" s="192">
        <v>1.7399889483444195</v>
      </c>
      <c r="AL35" s="192">
        <v>2.3370221222753296</v>
      </c>
      <c r="AN35" s="192">
        <v>3.8817823715441295</v>
      </c>
      <c r="AP35" s="192">
        <v>4.5070135085289387</v>
      </c>
      <c r="AR35" s="192">
        <v>5.3805441386679149</v>
      </c>
      <c r="AT35" s="192">
        <v>6.6830805571211567</v>
      </c>
      <c r="AV35" s="192"/>
      <c r="AX35">
        <v>1</v>
      </c>
    </row>
    <row r="36" spans="1:51 16319:16384" x14ac:dyDescent="0.2">
      <c r="A36" t="s">
        <v>21</v>
      </c>
      <c r="B36" s="35">
        <v>0.47195767671988198</v>
      </c>
      <c r="C36" s="36">
        <v>0.31738834428178964</v>
      </c>
      <c r="D36" s="35">
        <v>0.47198863418007114</v>
      </c>
      <c r="E36" s="36">
        <v>0.32048264441564295</v>
      </c>
      <c r="F36" s="35">
        <v>0.4720217956927707</v>
      </c>
      <c r="G36" s="36">
        <v>0.32391571166631922</v>
      </c>
      <c r="H36" s="35">
        <v>0.4720575436184018</v>
      </c>
      <c r="I36" s="36">
        <v>0.32774122170962894</v>
      </c>
      <c r="J36" s="35">
        <v>0.47209633408961088</v>
      </c>
      <c r="K36" s="36">
        <v>0.33202491787345184</v>
      </c>
      <c r="L36" s="35">
        <v>0.47213870411859765</v>
      </c>
      <c r="M36" s="36">
        <v>0.33684860358195423</v>
      </c>
      <c r="N36" s="35">
        <v>0.47218526858252602</v>
      </c>
      <c r="O36" s="36">
        <v>0.34231607815797044</v>
      </c>
      <c r="P36" s="35">
        <v>0.47223670500512988</v>
      </c>
      <c r="Q36" s="36">
        <v>0.34856220835358276</v>
      </c>
      <c r="R36" s="35">
        <v>0.47229369268874383</v>
      </c>
      <c r="S36" s="36">
        <v>0.35576736945414056</v>
      </c>
      <c r="T36" s="35">
        <v>0.47235679514172763</v>
      </c>
      <c r="U36" s="36">
        <v>0.36418131004202914</v>
      </c>
      <c r="V36" s="35">
        <v>0.47242617897359557</v>
      </c>
      <c r="W36" s="36">
        <v>0.37416397649793776</v>
      </c>
      <c r="X36" s="35">
        <v>0.47250105540744053</v>
      </c>
      <c r="Y36" s="36">
        <v>0.38625833730902409</v>
      </c>
      <c r="Z36" s="35">
        <v>0.47257856386156</v>
      </c>
      <c r="AA36" s="36">
        <v>0.40132426722494696</v>
      </c>
      <c r="AB36" s="35">
        <v>0.47265178994691515</v>
      </c>
      <c r="AC36" s="36">
        <v>0.42078732852208706</v>
      </c>
      <c r="AD36" s="35">
        <v>0.47270726861607898</v>
      </c>
      <c r="AE36" s="36">
        <v>0.44707761804341872</v>
      </c>
      <c r="AF36" s="35">
        <v>0.47272615215331315</v>
      </c>
      <c r="AG36" s="36">
        <v>0.48427226065649653</v>
      </c>
      <c r="AH36" s="35">
        <v>0.47269914517409534</v>
      </c>
      <c r="AI36" s="36">
        <v>0.53882047485118545</v>
      </c>
      <c r="AJ36" s="35">
        <v>0.47264865909810511</v>
      </c>
      <c r="AK36" s="36">
        <v>0.62120220472495713</v>
      </c>
      <c r="AL36" s="35">
        <v>0.47262373793897478</v>
      </c>
      <c r="AM36" s="36">
        <v>0.75314186245942838</v>
      </c>
      <c r="AN36" s="35">
        <v>0.47268872459833133</v>
      </c>
      <c r="AO36" s="36">
        <v>0.99868929255656635</v>
      </c>
      <c r="AP36" s="35">
        <v>0.47272165636981966</v>
      </c>
      <c r="AQ36" s="36">
        <v>1.0779281975768082</v>
      </c>
      <c r="AR36" s="35">
        <v>0.47276497607480011</v>
      </c>
      <c r="AS36" s="36">
        <v>1.1770394360317729</v>
      </c>
      <c r="AT36" s="35">
        <v>0.472821707437657</v>
      </c>
      <c r="AU36" s="36">
        <v>1.3067652748727523</v>
      </c>
      <c r="AV36" s="35"/>
      <c r="AW36" s="36"/>
      <c r="AX36">
        <v>0.47195767671988198</v>
      </c>
      <c r="AY36">
        <v>0.31738834428178964</v>
      </c>
    </row>
    <row r="37" spans="1:51 16319:16384" x14ac:dyDescent="0.2">
      <c r="B37" s="37">
        <v>2.1403217525954466E-2</v>
      </c>
      <c r="C37" s="38">
        <v>0.3496246130199252</v>
      </c>
      <c r="D37" s="37">
        <v>2.0562408679881589E-2</v>
      </c>
      <c r="E37" s="38">
        <v>0.34460621221417781</v>
      </c>
      <c r="F37" s="37">
        <v>1.9712004383490203E-2</v>
      </c>
      <c r="G37" s="38">
        <v>0.33949307927637468</v>
      </c>
      <c r="H37" s="37">
        <v>1.8851877310579607E-2</v>
      </c>
      <c r="I37" s="38">
        <v>0.33428421839026223</v>
      </c>
      <c r="J37" s="37">
        <v>1.7981802391737901E-2</v>
      </c>
      <c r="K37" s="38">
        <v>0.32897845516549468</v>
      </c>
      <c r="L37" s="37">
        <v>1.710137547179439E-2</v>
      </c>
      <c r="M37" s="38">
        <v>0.32357404499228654</v>
      </c>
      <c r="N37" s="37">
        <v>1.6209885671683116E-2</v>
      </c>
      <c r="O37" s="38">
        <v>0.31806801767506987</v>
      </c>
      <c r="P37" s="37">
        <v>1.5306128082463816E-2</v>
      </c>
      <c r="Q37" s="38">
        <v>0.31245518042102149</v>
      </c>
      <c r="R37" s="37">
        <v>1.4388121735733263E-2</v>
      </c>
      <c r="S37" s="38">
        <v>0.30672659069229685</v>
      </c>
      <c r="T37" s="37">
        <v>1.3452692594906106E-2</v>
      </c>
      <c r="U37" s="38">
        <v>0.3008672901701816</v>
      </c>
      <c r="V37" s="37">
        <v>1.2494890061503781E-2</v>
      </c>
      <c r="W37" s="38">
        <v>0.29485322231221345</v>
      </c>
      <c r="X37" s="37">
        <v>1.1507191236247518E-2</v>
      </c>
      <c r="Y37" s="38">
        <v>0.28864728801552142</v>
      </c>
      <c r="Z37" s="37">
        <v>1.0478618184754131E-2</v>
      </c>
      <c r="AA37" s="38">
        <v>0.28219585085974486</v>
      </c>
      <c r="AB37" s="37">
        <v>9.3944614118326789E-3</v>
      </c>
      <c r="AC37" s="38">
        <v>0.27543108285789253</v>
      </c>
      <c r="AD37" s="37">
        <v>8.239219535441494E-3</v>
      </c>
      <c r="AE37" s="38">
        <v>0.2682970573146955</v>
      </c>
      <c r="AF37" s="37">
        <v>7.0085901435724598E-3</v>
      </c>
      <c r="AG37" s="38">
        <v>0.26083563433574247</v>
      </c>
      <c r="AH37" s="37">
        <v>5.7300917429215035E-3</v>
      </c>
      <c r="AI37" s="38">
        <v>0.25331865268013609</v>
      </c>
      <c r="AJ37" s="37">
        <v>4.4611226028009763E-3</v>
      </c>
      <c r="AK37" s="38">
        <v>0.24621702145184324</v>
      </c>
      <c r="AL37" s="37">
        <v>3.2478450745829705E-3</v>
      </c>
      <c r="AM37" s="38">
        <v>0.23993099412548247</v>
      </c>
      <c r="AN37" s="37">
        <v>2.0941347198274469E-3</v>
      </c>
      <c r="AO37" s="38">
        <v>0.23465003953622751</v>
      </c>
      <c r="AP37" s="37">
        <v>1.8659767892605832E-3</v>
      </c>
      <c r="AQ37" s="38">
        <v>0.2337180824678822</v>
      </c>
      <c r="AR37" s="37">
        <v>1.6358164950102459E-3</v>
      </c>
      <c r="AS37" s="38">
        <v>0.23282636912797677</v>
      </c>
      <c r="AT37" s="37">
        <v>1.4008841043864255E-3</v>
      </c>
      <c r="AU37" s="38">
        <v>0.23197402723649618</v>
      </c>
      <c r="AV37" s="37"/>
      <c r="AW37" s="38"/>
      <c r="AX37">
        <v>2.1403217525954466E-2</v>
      </c>
      <c r="AY37">
        <v>0.3496246130199252</v>
      </c>
    </row>
    <row r="38" spans="1:51 16319:16384" x14ac:dyDescent="0.2">
      <c r="A38" t="s">
        <v>22</v>
      </c>
      <c r="B38" s="35">
        <v>0.18079094942242827</v>
      </c>
      <c r="C38" s="36">
        <v>6.0565413429233668E-2</v>
      </c>
      <c r="D38" s="35">
        <v>0.18094669825660897</v>
      </c>
      <c r="E38" s="36">
        <v>6.0939843954265167E-2</v>
      </c>
      <c r="F38" s="35">
        <v>0.18113356396208186</v>
      </c>
      <c r="G38" s="36">
        <v>6.1358013715423002E-2</v>
      </c>
      <c r="H38" s="35">
        <v>0.18135646839434985</v>
      </c>
      <c r="I38" s="36">
        <v>6.1827007310968581E-2</v>
      </c>
      <c r="J38" s="35">
        <v>0.18162154312417669</v>
      </c>
      <c r="K38" s="36">
        <v>6.2355527091754501E-2</v>
      </c>
      <c r="L38" s="35">
        <v>0.18193657677737604</v>
      </c>
      <c r="M38" s="36">
        <v>6.2954457662547841E-2</v>
      </c>
      <c r="N38" s="35">
        <v>0.18231170599421212</v>
      </c>
      <c r="O38" s="36">
        <v>6.3637623965113993E-2</v>
      </c>
      <c r="P38" s="35">
        <v>0.18276047629962569</v>
      </c>
      <c r="Q38" s="36">
        <v>6.4423127981865211E-2</v>
      </c>
      <c r="R38" s="35">
        <v>0.18330159412314209</v>
      </c>
      <c r="S38" s="36">
        <v>6.5335214125339047E-2</v>
      </c>
      <c r="T38" s="35">
        <v>0.18396183746045591</v>
      </c>
      <c r="U38" s="36">
        <v>6.6407678398853115E-2</v>
      </c>
      <c r="V38" s="35">
        <v>0.18478117671918826</v>
      </c>
      <c r="W38" s="36">
        <v>6.7689479634247623E-2</v>
      </c>
      <c r="X38" s="35">
        <v>0.18582210759126547</v>
      </c>
      <c r="Y38" s="36">
        <v>6.925498564400219E-2</v>
      </c>
      <c r="Z38" s="35">
        <v>0.18718740258246921</v>
      </c>
      <c r="AA38" s="36">
        <v>7.1222915004996099E-2</v>
      </c>
      <c r="AB38" s="35">
        <v>0.18905479173331147</v>
      </c>
      <c r="AC38" s="36">
        <v>7.3792200932947069E-2</v>
      </c>
      <c r="AD38" s="35">
        <v>0.19174401167881303</v>
      </c>
      <c r="AE38" s="36">
        <v>7.7307073224337081E-2</v>
      </c>
      <c r="AF38" s="35">
        <v>0.1958375068222985</v>
      </c>
      <c r="AG38" s="36">
        <v>8.2359931958748647E-2</v>
      </c>
      <c r="AH38" s="35">
        <v>0.20240007620641731</v>
      </c>
      <c r="AI38" s="36">
        <v>8.9933916177120959E-2</v>
      </c>
      <c r="AJ38" s="35">
        <v>0.21362051615271974</v>
      </c>
      <c r="AK38" s="36">
        <v>0.10177804656600757</v>
      </c>
      <c r="AL38" s="35">
        <v>0.23564520466694114</v>
      </c>
      <c r="AM38" s="36">
        <v>0.12208312358134435</v>
      </c>
      <c r="AN38" s="35">
        <v>0.29774486162662667</v>
      </c>
      <c r="AO38" s="36">
        <v>0.16713913709338385</v>
      </c>
      <c r="AP38" s="35">
        <v>0.32743503364411752</v>
      </c>
      <c r="AQ38" s="36">
        <v>0.18494368129570982</v>
      </c>
      <c r="AR38" s="35">
        <v>0.37583187062626211</v>
      </c>
      <c r="AS38" s="36">
        <v>0.21081395173789602</v>
      </c>
      <c r="AT38" s="35">
        <v>0.47035945073334035</v>
      </c>
      <c r="AU38" s="36">
        <v>0.2539164991552903</v>
      </c>
      <c r="AV38" s="35"/>
      <c r="AW38" s="36"/>
      <c r="AX38">
        <v>0.18079094942242827</v>
      </c>
      <c r="AY38">
        <v>6.0565413429233668E-2</v>
      </c>
    </row>
    <row r="39" spans="1:51 16319:16384" x14ac:dyDescent="0.2">
      <c r="A39" t="s">
        <v>23</v>
      </c>
      <c r="B39" s="37">
        <v>0.23064923795098771</v>
      </c>
      <c r="C39" s="38">
        <v>0.22092201281804777</v>
      </c>
      <c r="D39" s="37">
        <v>0.23127325987919464</v>
      </c>
      <c r="E39" s="38">
        <v>0.22249248444087563</v>
      </c>
      <c r="F39" s="37">
        <v>0.23194107581756865</v>
      </c>
      <c r="G39" s="38">
        <v>0.22422667675955049</v>
      </c>
      <c r="H39" s="37">
        <v>0.23265963125817224</v>
      </c>
      <c r="I39" s="38">
        <v>0.22615116431056367</v>
      </c>
      <c r="J39" s="37">
        <v>0.23343745799871643</v>
      </c>
      <c r="K39" s="38">
        <v>0.22829856551693284</v>
      </c>
      <c r="L39" s="37">
        <v>0.2342852072424832</v>
      </c>
      <c r="M39" s="38">
        <v>0.23070950450943845</v>
      </c>
      <c r="N39" s="37">
        <v>0.23521643588208457</v>
      </c>
      <c r="O39" s="38">
        <v>0.23343564430473937</v>
      </c>
      <c r="P39" s="37">
        <v>0.23624884483292746</v>
      </c>
      <c r="Q39" s="38">
        <v>0.23654407608983927</v>
      </c>
      <c r="R39" s="37">
        <v>0.2374062486645587</v>
      </c>
      <c r="S39" s="38">
        <v>0.24012471142538061</v>
      </c>
      <c r="T39" s="37">
        <v>0.23872194259759535</v>
      </c>
      <c r="U39" s="38">
        <v>0.2443020912715955</v>
      </c>
      <c r="V39" s="37">
        <v>0.24024460742160531</v>
      </c>
      <c r="W39" s="38">
        <v>0.24925608789519879</v>
      </c>
      <c r="X39" s="37">
        <v>0.24204928759106706</v>
      </c>
      <c r="Y39" s="38">
        <v>0.25525891700606129</v>
      </c>
      <c r="Z39" s="37">
        <v>0.24425870053605458</v>
      </c>
      <c r="AA39" s="38">
        <v>0.26274420912922936</v>
      </c>
      <c r="AB39" s="37">
        <v>0.247086162109693</v>
      </c>
      <c r="AC39" s="38">
        <v>0.27243783794157844</v>
      </c>
      <c r="AD39" s="37">
        <v>0.25092224450643291</v>
      </c>
      <c r="AE39" s="38">
        <v>0.28559765119299152</v>
      </c>
      <c r="AF39" s="37">
        <v>0.25650034991395809</v>
      </c>
      <c r="AG39" s="38">
        <v>0.30439578705903103</v>
      </c>
      <c r="AH39" s="37">
        <v>0.26520905375665149</v>
      </c>
      <c r="AI39" s="38">
        <v>0.33245963436921072</v>
      </c>
      <c r="AJ39" s="37">
        <v>0.27994995481112689</v>
      </c>
      <c r="AK39" s="38">
        <v>0.376269944312833</v>
      </c>
      <c r="AL39" s="37">
        <v>0.30882141613056058</v>
      </c>
      <c r="AM39" s="38">
        <v>0.45134294159199573</v>
      </c>
      <c r="AN39" s="37">
        <v>0.39020619840921494</v>
      </c>
      <c r="AO39" s="38">
        <v>0.61791644465241657</v>
      </c>
      <c r="AP39" s="37">
        <v>0.42911634041491026</v>
      </c>
      <c r="AQ39" s="38">
        <v>0.6837401100593794</v>
      </c>
      <c r="AR39" s="37">
        <v>0.49254228559065621</v>
      </c>
      <c r="AS39" s="38">
        <v>0.77938312028565382</v>
      </c>
      <c r="AT39" s="37">
        <v>0.61642436013559343</v>
      </c>
      <c r="AU39" s="38">
        <v>0.93873388239063393</v>
      </c>
      <c r="AV39" s="37"/>
      <c r="AW39" s="38"/>
      <c r="AX39">
        <v>0.23064923795098771</v>
      </c>
      <c r="AY39">
        <v>0.22092201281804777</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6.1000000000000519E-2</v>
      </c>
      <c r="E42" s="126"/>
      <c r="F42" s="167">
        <f>6.1%+(1-6.1%)*(1-SUM(F26:G26)/SUM($B$26:$C$26))</f>
        <v>6.099999999999875E-2</v>
      </c>
      <c r="G42" s="126"/>
      <c r="H42" s="167">
        <f>6.1%+(1-6.1%)*(1-SUM(H26:I26)/SUM($B$26:$C$26))</f>
        <v>6.1000000000000207E-2</v>
      </c>
      <c r="I42" s="126"/>
      <c r="J42" s="167">
        <f>6.1%+(1-6.1%)*(1-SUM(J26:K26)/SUM($B$26:$C$26))</f>
        <v>6.099999999999875E-2</v>
      </c>
      <c r="K42" s="126"/>
      <c r="L42" s="167">
        <f>6.1%+(1-6.1%)*(1-SUM(L26:M26)/SUM($B$26:$C$26))</f>
        <v>6.1000000000000519E-2</v>
      </c>
      <c r="M42" s="126"/>
      <c r="N42" s="167">
        <f>6.1%+(1-6.1%)*(1-SUM(N26:O26)/SUM($B$26:$C$26))</f>
        <v>6.099999999999875E-2</v>
      </c>
      <c r="O42" s="126"/>
      <c r="P42" s="167">
        <f>6.1%+(1-6.1%)*(1-SUM(P26:Q26)/SUM($B$26:$C$26))</f>
        <v>6.1000000000000207E-2</v>
      </c>
      <c r="Q42" s="126"/>
      <c r="R42" s="167">
        <f>6.1%+(1-6.1%)*(1-SUM(R26:S26)/SUM($B$26:$C$26))</f>
        <v>6.0999999999999582E-2</v>
      </c>
      <c r="S42" s="126"/>
      <c r="T42" s="167">
        <f>6.1%+(1-6.1%)*(1-SUM(T26:U26)/SUM($B$26:$C$26))</f>
        <v>6.0999999999999582E-2</v>
      </c>
      <c r="U42" s="126"/>
      <c r="V42" s="167">
        <f>6.1%+(1-6.1%)*(1-SUM(V26:W26)/SUM($B$26:$C$26))</f>
        <v>6.0999999999999999E-2</v>
      </c>
      <c r="W42" s="126"/>
      <c r="X42" s="167">
        <f>6.1%+(1-6.1%)*(1-SUM(X26:Y26)/SUM($B$26:$C$26))</f>
        <v>6.0999999999999791E-2</v>
      </c>
      <c r="Y42" s="152"/>
      <c r="Z42" s="167">
        <f>6.1%+(1-6.1%)*(1-SUM(Z26:AA26)/SUM($B$26:$C$26))</f>
        <v>6.099999999999875E-2</v>
      </c>
      <c r="AA42" s="126"/>
      <c r="AB42" s="167">
        <f>6.1%+(1-6.1%)*(1-SUM(AB26:AC26)/SUM($B$26:$C$26))</f>
        <v>6.0999999999999374E-2</v>
      </c>
      <c r="AC42" s="126"/>
      <c r="AD42" s="167">
        <f>6.1%+(1-6.1%)*(1-SUM(AD26:AE26)/SUM($B$26:$C$26))</f>
        <v>6.0999999999999999E-2</v>
      </c>
      <c r="AE42" s="126"/>
      <c r="AF42" s="167">
        <f>6.1%+(1-6.1%)*(1-SUM(AF26:AG26)/SUM($B$26:$C$26))</f>
        <v>6.1000000000000623E-2</v>
      </c>
      <c r="AG42" s="126"/>
      <c r="AH42" s="167">
        <f>6.1%+(1-6.1%)*(1-SUM(AH26:AI26)/SUM($B$26:$C$26))</f>
        <v>6.0999999999999374E-2</v>
      </c>
      <c r="AI42" s="126"/>
      <c r="AJ42" s="167">
        <f>6.1%+(1-6.1%)*(1-SUM(AJ26:AK26)/SUM($B$26:$C$26))</f>
        <v>6.0999999999998958E-2</v>
      </c>
      <c r="AK42" s="126"/>
      <c r="AL42" s="167">
        <f>6.1%+(1-6.1%)*(1-SUM(AL26:AM26)/SUM($B$26:$C$26))</f>
        <v>6.0999999999999582E-2</v>
      </c>
      <c r="AM42" s="126"/>
      <c r="AN42" s="167">
        <f>6.1%+(1-6.1%)*(1-SUM(AN26:AO26)/SUM($B$26:$C$26))</f>
        <v>6.0999999999999582E-2</v>
      </c>
      <c r="AO42" s="126"/>
      <c r="AP42" s="167">
        <f>6.1%+(1-6.1%)*(1-SUM(AP26:AQ26)/SUM($B$26:$C$26))</f>
        <v>6.1000000000000519E-2</v>
      </c>
      <c r="AQ42" s="126"/>
      <c r="AR42" s="167">
        <f>6.1%+(1-6.1%)*(1-SUM(AR26:AS26)/SUM($B$26:$C$26))</f>
        <v>6.0999999999999582E-2</v>
      </c>
      <c r="AS42" s="126"/>
      <c r="AT42" s="167">
        <f>6.1%+(1-6.1%)*(1-SUM(AT26:AU26)/SUM($B$26:$C$26))</f>
        <v>6.0999999999999791E-2</v>
      </c>
      <c r="AU42" s="126"/>
      <c r="AV42" s="167">
        <f>6.1%+(1-6.1%)*(1-SUM(AV26:AW26)/SUM($B$26:$C$26))</f>
        <v>1</v>
      </c>
      <c r="XFD42" s="167"/>
    </row>
    <row r="43" spans="1:51 16319:16384" x14ac:dyDescent="0.2">
      <c r="A43" t="s">
        <v>95</v>
      </c>
      <c r="B43" s="152">
        <f>SUM(B15:C15*B27:C27)/SUM(B15:C15*B27:C27,B13:C13*B26:C26)</f>
        <v>0.56058995943839207</v>
      </c>
      <c r="C43" s="126"/>
      <c r="D43" s="152">
        <f t="array" ref="D43">SUM(D15:E15*D27:E27)/SUM(D15:E15*D27:E27,D13:E13*D26:E26)</f>
        <v>0.56569368399537212</v>
      </c>
      <c r="E43" s="126"/>
      <c r="F43" s="152">
        <f t="array" ref="F43">SUM(F15:G15*F27:G27)/SUM(F15:G15*F27:G27,F13:G13*F26:G26)</f>
        <v>0.56417701913493545</v>
      </c>
      <c r="G43" s="126"/>
      <c r="H43" s="152">
        <f t="array" ref="H43">SUM(H15:I15*H27:I27)/SUM(H15:I15*H27:I27,H13:I13*H26:I26)</f>
        <v>0.56264919038558137</v>
      </c>
      <c r="I43" s="126"/>
      <c r="J43" s="152">
        <f t="array" ref="J43">SUM(J15:K15*J27:K27)/SUM(J15:K15*J27:K27,J13:K13*J26:K26)</f>
        <v>0.56110892910941634</v>
      </c>
      <c r="K43" s="126"/>
      <c r="L43" s="152">
        <f t="array" ref="L43">SUM(L15:M15*L27:M27)/SUM(L15:M15*L27:M27,L13:M13*L26:M26)</f>
        <v>0.55955525774911563</v>
      </c>
      <c r="M43" s="126"/>
      <c r="N43" s="152">
        <f t="array" ref="N43">SUM(N15:O15*N27:O27)/SUM(N15:O15*N27:O27,N13:O13*N26:O26)</f>
        <v>0.55798793342161446</v>
      </c>
      <c r="O43" s="126"/>
      <c r="P43" s="152">
        <f t="array" ref="P43">SUM(P15:Q15*P27:Q27)/SUM(P15:Q15*P27:Q27,P13:Q13*P26:Q26)</f>
        <v>0.55640800700360238</v>
      </c>
      <c r="Q43" s="126"/>
      <c r="R43" s="152">
        <f t="array" ref="R43">SUM(R15:S15*R27:S27)/SUM(R15:S15*R27:S27,R13:S13*R26:S26)</f>
        <v>0.55481899862002826</v>
      </c>
      <c r="S43" s="126"/>
      <c r="T43" s="152">
        <f t="array" ref="T43">SUM(T15:U15*T27:U27)/SUM(T15:U15*T27:U27,T13:U13*T26:U26)</f>
        <v>0.55322847761227656</v>
      </c>
      <c r="U43" s="126"/>
      <c r="V43" s="152">
        <f t="array" ref="V43">SUM(V15:W15*V27:W27)/SUM(V15:W15*V27:W27,V13:W13*V26:W26)</f>
        <v>0.55165087361049758</v>
      </c>
      <c r="W43" s="126"/>
      <c r="X43" s="152">
        <f t="array" ref="X43">SUM(X15:Y15*X27:Y27)/SUM(X15:Y15*X27:Y27,X13:Y13*X26:Y26)</f>
        <v>0.55011176217936719</v>
      </c>
      <c r="Y43" s="126"/>
      <c r="Z43" s="152">
        <f t="array" ref="Z43">SUM(Z15:AA15*Z27:AA27)/SUM(Z15:AA15*Z27:AA27,Z13:AA13*Z26:AA26)</f>
        <v>0.54865438943491784</v>
      </c>
      <c r="AA43" s="126"/>
      <c r="AB43" s="152">
        <f t="array" ref="AB43">SUM(AB15:AC15*AB27:AC27)/SUM(AB15:AC15*AB27:AC27,AB13:AC13*AB26:AC26)</f>
        <v>0.54734771927983361</v>
      </c>
      <c r="AC43" s="126"/>
      <c r="AD43" s="152">
        <f t="array" ref="AD43">SUM(AD15:AE15*AD27:AE27)/SUM(AD15:AE15*AD27:AE27,AD13:AE13*AD26:AE26)</f>
        <v>0.5462890311621631</v>
      </c>
      <c r="AE43" s="126"/>
      <c r="AF43" s="152">
        <f t="array" ref="AF43">SUM(AF15:AG15*AF27:AG27)/SUM(AF15:AG15*AF27:AG27,AF13:AG13*AF26:AG26)</f>
        <v>0.54557604736579401</v>
      </c>
      <c r="AG43" s="126"/>
      <c r="AH43" s="152">
        <f t="array" ref="AH43">SUM(AH15:AI15*AH27:AI27)/SUM(AH15:AI15*AH27:AI27,AH13:AI13*AH26:AI26)</f>
        <v>0.5452228807826669</v>
      </c>
      <c r="AI43" s="126"/>
      <c r="AJ43" s="152">
        <f t="array" ref="AJ43">SUM(AJ15:AK15*AJ27:AK27)/SUM(AJ15:AK15*AJ27:AK27,AJ13:AK13*AJ26:AK26)</f>
        <v>0.54510913391521298</v>
      </c>
      <c r="AK43" s="126"/>
      <c r="AL43" s="152">
        <f t="array" ref="AL43">SUM(AL15:AM15*AL27:AM27)/SUM(AL15:AM15*AL27:AM27,AL13:AM13*AL26:AM26)</f>
        <v>0.54508750939826056</v>
      </c>
      <c r="AM43" s="126"/>
      <c r="AN43" s="152">
        <f t="array" ref="AN43">SUM(AN15:AO15*AN27:AO27)/SUM(AN15:AO15*AN27:AO27,AN13:AO13*AN26:AO26)</f>
        <v>0.5450854448213901</v>
      </c>
      <c r="AO43" s="126"/>
      <c r="AP43" s="152">
        <f t="array" ref="AP43">SUM(AP15:AQ15*AP27:AQ27)/SUM(AP15:AQ15*AP27:AQ27,AP13:AQ13*AP26:AQ26)</f>
        <v>0.54508540797954363</v>
      </c>
      <c r="AQ43" s="126"/>
      <c r="AR43" s="152">
        <f t="array" ref="AR43">SUM(AR15:AS15*AR27:AS27)/SUM(AR15:AS15*AR27:AS27,AR13:AS13*AR26:AS26)</f>
        <v>0.54508539302560199</v>
      </c>
      <c r="AS43" s="126"/>
      <c r="AT43" s="152">
        <f t="array" ref="AT43">SUM(AT15:AU15*AT27:AU27)/SUM(AT15:AU15*AT27:AU27,AT13:AU13*AT26:AU26)</f>
        <v>0.54508538782739202</v>
      </c>
      <c r="AU43" s="126"/>
      <c r="AV43" s="152" t="e">
        <f t="array" ref="AV43">SUM(AV15:AW15*AV27:AW27)/SUM(AV15:AW15*AV27:AW27,AV13:AW13*AV26:AW26)</f>
        <v>#DIV/0!</v>
      </c>
    </row>
    <row r="44" spans="1:51 16319:16384" x14ac:dyDescent="0.2">
      <c r="A44" t="s">
        <v>129</v>
      </c>
      <c r="B44" s="183">
        <f>(SUM(B11:C11*B24:C24)+B34)/B32</f>
        <v>0.29754226190682465</v>
      </c>
      <c r="D44" s="183">
        <f>(SUM(D11:E11*D24:E24)+D34)/D32</f>
        <v>0.29754226144787144</v>
      </c>
      <c r="F44" s="183">
        <f>(SUM(F11:G11*F24:G24)+F34)/F32</f>
        <v>0.2975422612250791</v>
      </c>
      <c r="H44" s="183">
        <f>(SUM(H11:I11*H24:I24)+H34)/H32</f>
        <v>0.29754226101558062</v>
      </c>
      <c r="J44" s="183">
        <f>(SUM(J11:K11*J24:K24)+J34)/J32</f>
        <v>0.29754226189759214</v>
      </c>
      <c r="L44" s="183">
        <f>(SUM(L11:M11*L24:M24)+L34)/L32</f>
        <v>0.29754226056566069</v>
      </c>
      <c r="N44" s="183">
        <f>(SUM(N11:O11*N24:O24)+N34)/N32</f>
        <v>0.29754226178410109</v>
      </c>
      <c r="P44" s="183">
        <f>(SUM(P11:Q11*P24:Q24)+P34)/P32</f>
        <v>0.29754224601615864</v>
      </c>
      <c r="R44" s="183">
        <f>(SUM(R11:S11*R24:S24)+R34)/R32</f>
        <v>0.29754225169470294</v>
      </c>
      <c r="T44" s="183">
        <f>(SUM(T11:U11*T24:U24)+T34)/T32</f>
        <v>0.29754225261687989</v>
      </c>
      <c r="V44" s="183">
        <f>(SUM(V11:W11*V24:W24)+V34)/V32</f>
        <v>0.29754226180861443</v>
      </c>
      <c r="X44" s="183">
        <f>(SUM(X11:Y11*X24:Y24)+X34)/X32</f>
        <v>0.29754226125325234</v>
      </c>
      <c r="Z44" s="183">
        <f>(SUM(Z11:AA11*Z24:AA24)+Z34)/Z32</f>
        <v>0.29754226215509466</v>
      </c>
      <c r="AB44" s="183">
        <f>(SUM(AB11:AC11*AB24:AC24)+AB34)/AB32</f>
        <v>0.29754226178068793</v>
      </c>
      <c r="AD44" s="183">
        <f>(SUM(AD11:AE11*AD24:AE24)+AD34)/AD32</f>
        <v>0.29754226207526274</v>
      </c>
      <c r="AF44" s="183">
        <f>(SUM(AF11:AG11*AF24:AG24)+AF34)/AF32</f>
        <v>0.2975422618665825</v>
      </c>
      <c r="AH44" s="183">
        <f>(SUM(AH11:AI11*AH24:AI24)+AH34)/AH32</f>
        <v>0.29754226190106142</v>
      </c>
      <c r="AJ44" s="183">
        <f>(SUM(AJ11:AK11*AJ24:AK24)+AJ34)/AJ32</f>
        <v>0.29754226190705163</v>
      </c>
      <c r="AL44" s="183">
        <f>(SUM(AL11:AM11*AL24:AM24)+AL34)/AL32</f>
        <v>0.29754226190679017</v>
      </c>
      <c r="AN44" s="183">
        <f>(SUM(AN11:AO11*AN24:AO24)+AN34)/AN32</f>
        <v>0.2975422619068217</v>
      </c>
      <c r="AP44" s="183">
        <f>(SUM(AP11:AQ11*AP24:AQ24)+AP34)/AP32</f>
        <v>0.29754226190683608</v>
      </c>
      <c r="AR44" s="183">
        <f>(SUM(AR11:AS11*AR24:AS24)+AR34)/AR32</f>
        <v>0.29754226190680572</v>
      </c>
      <c r="AT44" s="183">
        <f>(SUM(AT11:AU11*AT24:AU24)+AT34)/AT32</f>
        <v>0.2975422619068242</v>
      </c>
      <c r="AV44" s="183" t="e">
        <f>(SUM(AV11:AW11*AV24:AW24)+AV34)/AV32</f>
        <v>#DIV/0!</v>
      </c>
    </row>
    <row r="45" spans="1:51 16319:16384" x14ac:dyDescent="0.2">
      <c r="A45" t="s">
        <v>82</v>
      </c>
      <c r="B45" s="183">
        <f>SUM(B11:C11*B24:C24)/B32</f>
        <v>0.22038438833194082</v>
      </c>
      <c r="D45" s="183">
        <f>SUM(D11:E11*D24:E24)/D32</f>
        <v>0.22038438832499482</v>
      </c>
      <c r="F45" s="183">
        <f>SUM(F11:G11*F24:G24)/F32</f>
        <v>0.22038438831928076</v>
      </c>
      <c r="H45" s="183">
        <f>SUM(H11:I11*H24:I24)/H32</f>
        <v>0.22038438831203694</v>
      </c>
      <c r="J45" s="183">
        <f>SUM(J11:K11*J24:K24)/J32</f>
        <v>0.22038438833194574</v>
      </c>
      <c r="L45" s="183">
        <f>SUM(L11:M11*L24:M24)/L32</f>
        <v>0.22038438829309406</v>
      </c>
      <c r="N45" s="183">
        <f>SUM(N11:O11*N24:O24)/N32</f>
        <v>0.22038438834812946</v>
      </c>
      <c r="P45" s="183">
        <f>SUM(P11:Q11*P24:Q24)/P32</f>
        <v>0.22038438831246832</v>
      </c>
      <c r="R45" s="183">
        <f>SUM(R11:S11*R24:S24)/R32</f>
        <v>0.22038438831828547</v>
      </c>
      <c r="T45" s="183">
        <f>SUM(T11:U11*T24:U24)/T32</f>
        <v>0.22038438832034599</v>
      </c>
      <c r="V45" s="183">
        <f>SUM(V11:W11*V24:W24)/V32</f>
        <v>0.22038438833346216</v>
      </c>
      <c r="X45" s="183">
        <f>SUM(X11:Y11*X24:Y24)/X32</f>
        <v>0.22038438834247551</v>
      </c>
      <c r="Z45" s="183">
        <f>SUM(Z11:AA11*Z24:AA24)/Z32</f>
        <v>0.22038438833845703</v>
      </c>
      <c r="AB45" s="183">
        <f>SUM(AB11:AC11*AB24:AC24)/AB32</f>
        <v>0.22038438833065763</v>
      </c>
      <c r="AD45" s="183">
        <f>SUM(AD11:AE11*AD24:AE24)/AD32</f>
        <v>0.22038438833290541</v>
      </c>
      <c r="AF45" s="183">
        <f>SUM(AF11:AG11*AF24:AG24)/AF32</f>
        <v>0.22038438833194657</v>
      </c>
      <c r="AH45" s="183">
        <f>SUM(AH11:AI11*AH24:AI24)/AH32</f>
        <v>0.22038438833196619</v>
      </c>
      <c r="AJ45" s="183">
        <f>SUM(AJ11:AK11*AJ24:AK24)/AJ32</f>
        <v>0.22038438833194035</v>
      </c>
      <c r="AL45" s="183">
        <f>SUM(AL11:AM11*AL24:AM24)/AL32</f>
        <v>0.2203843883319406</v>
      </c>
      <c r="AN45" s="183">
        <f>SUM(AN11:AO11*AN24:AO24)/AN32</f>
        <v>0.22038438833194127</v>
      </c>
      <c r="AP45" s="183">
        <f>SUM(AP11:AQ11*AP24:AQ24)/AP32</f>
        <v>0.22038438833193394</v>
      </c>
      <c r="AR45" s="183">
        <f>SUM(AR11:AS11*AR24:AS24)/AR32</f>
        <v>0.22038438833194929</v>
      </c>
      <c r="AT45" s="183">
        <f>SUM(AT11:AU11*AT24:AU24)/AT32</f>
        <v>0.22038438833194079</v>
      </c>
      <c r="AV45" s="183" t="e">
        <f>SUM(AV11:AW11*AV24:AW24)/AV32</f>
        <v>#DIV/0!</v>
      </c>
      <c r="XCQ45" s="183"/>
    </row>
    <row r="46" spans="1:51 16319:16384" x14ac:dyDescent="0.2">
      <c r="A46" t="s">
        <v>126</v>
      </c>
      <c r="B46" s="183">
        <f>B34/B32</f>
        <v>7.7157873574883795E-2</v>
      </c>
      <c r="D46" s="183">
        <f>D34/D32</f>
        <v>7.7157873122876627E-2</v>
      </c>
      <c r="F46" s="183">
        <f>F34/F32</f>
        <v>7.7157872905798369E-2</v>
      </c>
      <c r="H46" s="183">
        <f>H34/H32</f>
        <v>7.7157872703543698E-2</v>
      </c>
      <c r="J46" s="183">
        <f>J34/J32</f>
        <v>7.7157873565646407E-2</v>
      </c>
      <c r="L46" s="183">
        <f>L34/L32</f>
        <v>7.7157872272566624E-2</v>
      </c>
      <c r="N46" s="183">
        <f>N34/N32</f>
        <v>7.7157873435971622E-2</v>
      </c>
      <c r="P46" s="183">
        <f>P34/P32</f>
        <v>7.7157857703690283E-2</v>
      </c>
      <c r="R46" s="183">
        <f>R34/R32</f>
        <v>7.7157863376417488E-2</v>
      </c>
      <c r="T46" s="183">
        <f>T34/T32</f>
        <v>7.7157864296533873E-2</v>
      </c>
      <c r="V46" s="183">
        <f>V34/V32</f>
        <v>7.7157873475152267E-2</v>
      </c>
      <c r="X46" s="183">
        <f>X34/X32</f>
        <v>7.7157872910776845E-2</v>
      </c>
      <c r="Z46" s="183">
        <f>Z34/Z32</f>
        <v>7.7157873816637648E-2</v>
      </c>
      <c r="AB46" s="183">
        <f>AB34/AB32</f>
        <v>7.7157873450030334E-2</v>
      </c>
      <c r="AD46" s="183">
        <f>AD34/AD32</f>
        <v>7.7157873742357358E-2</v>
      </c>
      <c r="AF46" s="183">
        <f>AF34/AF32</f>
        <v>7.7157873534635948E-2</v>
      </c>
      <c r="AH46" s="183">
        <f>AH34/AH32</f>
        <v>7.7157873569095217E-2</v>
      </c>
      <c r="AJ46" s="183">
        <f>AJ34/AJ32</f>
        <v>7.7157873575111308E-2</v>
      </c>
      <c r="AL46" s="183">
        <f>AL34/AL32</f>
        <v>7.7157873574849573E-2</v>
      </c>
      <c r="AN46" s="183">
        <f>AN34/AN32</f>
        <v>7.7157873574880464E-2</v>
      </c>
      <c r="AP46" s="183">
        <f>AP34/AP32</f>
        <v>7.7157873574902142E-2</v>
      </c>
      <c r="AR46" s="183">
        <f>AR34/AR32</f>
        <v>7.7157873574856428E-2</v>
      </c>
      <c r="AT46" s="183">
        <f>AT34/AT32</f>
        <v>7.7157873574883462E-2</v>
      </c>
      <c r="AV46" s="183" t="e">
        <f>AV34/AV32</f>
        <v>#DIV/0!</v>
      </c>
      <c r="XCS46" s="183"/>
    </row>
    <row r="48" spans="1:51 16319:16384" x14ac:dyDescent="0.2">
      <c r="A48" t="s">
        <v>143</v>
      </c>
      <c r="B48" s="181">
        <f>B24/$B$24</f>
        <v>1</v>
      </c>
      <c r="C48" s="181"/>
      <c r="D48" s="181">
        <f>D24/$B$24</f>
        <v>1.0020030131166136</v>
      </c>
      <c r="E48" s="181"/>
      <c r="F48" s="181">
        <f>F24/$B$24</f>
        <v>1.0039433268219482</v>
      </c>
      <c r="G48" s="181"/>
      <c r="H48" s="181">
        <f>H24/$B$24</f>
        <v>1.005811394054569</v>
      </c>
      <c r="I48" s="181"/>
      <c r="J48" s="181">
        <f>J24/$B$24</f>
        <v>1.0075955236297702</v>
      </c>
      <c r="K48" s="181"/>
      <c r="L48" s="181">
        <f>L24/$B$24</f>
        <v>1.0092814513077331</v>
      </c>
      <c r="M48" s="181"/>
      <c r="N48" s="181">
        <f>N24/$B$24</f>
        <v>1.0108517599479458</v>
      </c>
      <c r="O48" s="181"/>
      <c r="P48" s="181">
        <f>P24/$B$24</f>
        <v>1.0122856752431451</v>
      </c>
      <c r="Q48" s="181"/>
      <c r="R48" s="181">
        <f>R24/$B$24</f>
        <v>1.013558821677351</v>
      </c>
      <c r="S48" s="181"/>
      <c r="T48" s="181">
        <f>T24/$B$24</f>
        <v>1.014644475093101</v>
      </c>
      <c r="U48" s="181"/>
      <c r="V48" s="181">
        <f>V24/$B$24</f>
        <v>1.0155166220797209</v>
      </c>
      <c r="W48" s="181"/>
      <c r="X48" s="181">
        <f>X24/$B$24</f>
        <v>1.0161581374659183</v>
      </c>
      <c r="Y48" s="181"/>
      <c r="Z48" s="181">
        <f>Z24/$B$24</f>
        <v>1.0165781158673315</v>
      </c>
      <c r="AA48" s="181"/>
      <c r="AB48" s="181">
        <f>AB24/$B$24</f>
        <v>1.0168423294562416</v>
      </c>
      <c r="AC48" s="181"/>
      <c r="AD48" s="181">
        <f>AD24/$B$24</f>
        <v>1.0170925896400724</v>
      </c>
      <c r="AE48" s="181"/>
      <c r="AF48" s="181">
        <f>AF24/$B$24</f>
        <v>1.017377841557749</v>
      </c>
      <c r="AG48" s="181"/>
      <c r="AH48" s="181">
        <f>AH24/$B$24</f>
        <v>1.0167053711277105</v>
      </c>
      <c r="AI48" s="181"/>
      <c r="AJ48" s="181">
        <f>AJ24/$B$24</f>
        <v>1.010317543180999</v>
      </c>
      <c r="AK48" s="181"/>
      <c r="AL48" s="181">
        <f>AL24/$B$24</f>
        <v>0.98186750238839338</v>
      </c>
      <c r="AM48" s="181"/>
      <c r="AN48" s="181">
        <f>AN24/$B$24</f>
        <v>0.8630243500226058</v>
      </c>
      <c r="AO48" s="181"/>
      <c r="AP48" s="181">
        <f>AP24/$B$24</f>
        <v>0.80666379245066377</v>
      </c>
      <c r="AQ48" s="181"/>
      <c r="AR48" s="181">
        <f>AR24/$B$24</f>
        <v>0.72463739926350479</v>
      </c>
      <c r="AS48" s="181"/>
      <c r="AT48" s="181">
        <f>AT24/$B$24</f>
        <v>0.59929319898294064</v>
      </c>
      <c r="AU48" s="181"/>
      <c r="AV48" s="181">
        <f>AV24/$B$24</f>
        <v>0</v>
      </c>
    </row>
    <row r="49" spans="1:48 16321:16384" x14ac:dyDescent="0.2">
      <c r="A49" t="s">
        <v>144</v>
      </c>
      <c r="B49" s="181">
        <f>B13/B35/$B$13*$B$35</f>
        <v>1</v>
      </c>
      <c r="C49" s="181"/>
      <c r="D49" s="181">
        <f>D13/D35/$B$13*$B$35</f>
        <v>0.99500875502649533</v>
      </c>
      <c r="E49" s="181"/>
      <c r="F49" s="181">
        <f>F13/F35/$B$13*$B$35</f>
        <v>0.9892059809485656</v>
      </c>
      <c r="G49" s="181"/>
      <c r="H49" s="181">
        <f>H13/H35/$B$13*$B$35</f>
        <v>0.98246418808231262</v>
      </c>
      <c r="I49" s="181"/>
      <c r="J49" s="181">
        <f>J13/J35/$B$13*$B$35</f>
        <v>0.97462662474935147</v>
      </c>
      <c r="K49" s="181"/>
      <c r="L49" s="181">
        <f>L13/L35/$B$13*$B$35</f>
        <v>0.96549746078265863</v>
      </c>
      <c r="M49" s="181"/>
      <c r="N49" s="181">
        <f>N13/N35/$B$13*$B$35</f>
        <v>0.95482710789524727</v>
      </c>
      <c r="O49" s="181"/>
      <c r="P49" s="181">
        <f>P13/P35/$B$13*$B$35</f>
        <v>0.94229034652897292</v>
      </c>
      <c r="Q49" s="181"/>
      <c r="R49" s="181">
        <f>R13/R35/$B$13*$B$35</f>
        <v>0.92745154505212724</v>
      </c>
      <c r="S49" s="181"/>
      <c r="T49" s="181">
        <f>T13/T35/$B$13*$B$35</f>
        <v>0.90970916430110538</v>
      </c>
      <c r="U49" s="181"/>
      <c r="V49" s="181">
        <f>V13/V35/$B$13*$B$35</f>
        <v>0.88820324641914328</v>
      </c>
      <c r="W49" s="181"/>
      <c r="X49" s="181">
        <f>X13/X35/$B$13*$B$35</f>
        <v>0.86165841106892527</v>
      </c>
      <c r="Y49" s="181"/>
      <c r="Z49" s="181">
        <f>Z13/Z35/$B$13*$B$35</f>
        <v>0.82811578720977519</v>
      </c>
      <c r="AA49" s="181"/>
      <c r="AB49" s="181">
        <f>AB13/AB35/$B$13*$B$35</f>
        <v>0.78449849243545877</v>
      </c>
      <c r="AC49" s="181"/>
      <c r="AD49" s="181">
        <f>AD13/AD35/$B$13*$B$35</f>
        <v>0.72605973071529373</v>
      </c>
      <c r="AE49" s="181"/>
      <c r="AF49" s="181">
        <f>AF13/AF35/$B$13*$B$35</f>
        <v>0.6463254077842242</v>
      </c>
      <c r="AG49" s="181"/>
      <c r="AH49" s="181">
        <f>AH13/AH35/$B$13*$B$35</f>
        <v>0.53918057064779878</v>
      </c>
      <c r="AI49" s="181"/>
      <c r="AJ49" s="181">
        <f>AJ13/AJ35/$B$13*$B$35</f>
        <v>0.40344966261600451</v>
      </c>
      <c r="AK49" s="181"/>
      <c r="AL49" s="181">
        <f>AL13/AL35/$B$13*$B$35</f>
        <v>0.24714076153425538</v>
      </c>
      <c r="AM49" s="181"/>
      <c r="AN49" s="181">
        <f>AN13/AN35/$B$13*$B$35</f>
        <v>9.2922636140766859E-2</v>
      </c>
      <c r="AO49" s="181"/>
      <c r="AP49" s="181">
        <f>AP13/AP35/$B$13*$B$35</f>
        <v>6.607886719937639E-2</v>
      </c>
      <c r="AQ49" s="181"/>
      <c r="AR49" s="181">
        <f>AR13/AR35/$B$13*$B$35</f>
        <v>4.1933190250225835E-2</v>
      </c>
      <c r="AS49" s="181"/>
      <c r="AT49" s="181">
        <f>AT13/AT35/$B$13*$B$35</f>
        <v>2.1501326066157039E-2</v>
      </c>
      <c r="AU49" s="181"/>
      <c r="AV49" s="181" t="e">
        <f>AV13/AV35/$B$13*$B$35</f>
        <v>#DIV/0!</v>
      </c>
    </row>
    <row r="51" spans="1:48 16321:16384" x14ac:dyDescent="0.2">
      <c r="A51" t="s">
        <v>150</v>
      </c>
      <c r="B51" s="27">
        <f>B30-B10*B23</f>
        <v>-405838.32800000021</v>
      </c>
      <c r="D51" s="27">
        <f>D30-D10*D23</f>
        <v>-335253.38581720088</v>
      </c>
      <c r="F51" s="27">
        <f>F30-F10*F23</f>
        <v>-261798.04456964834</v>
      </c>
      <c r="H51" s="27">
        <f>H30-H10*H23</f>
        <v>-185038.94934192067</v>
      </c>
      <c r="J51" s="27">
        <f>J30-J10*J23</f>
        <v>-104450.53530900134</v>
      </c>
      <c r="L51" s="27">
        <f>L30-L10*L23</f>
        <v>-19380.383124020882</v>
      </c>
      <c r="N51" s="27">
        <f>N30-N10*N23</f>
        <v>71004.939215590712</v>
      </c>
      <c r="P51" s="27">
        <f>P30-P10*P23</f>
        <v>167811.51584709203</v>
      </c>
      <c r="R51" s="27">
        <f>R30-R10*R23</f>
        <v>272569.20066884719</v>
      </c>
      <c r="T51" s="27">
        <f>T30-T10*T23</f>
        <v>387506.67907439778</v>
      </c>
      <c r="V51" s="27">
        <f>V30-V10*V23</f>
        <v>516038.81180011295</v>
      </c>
      <c r="X51" s="27">
        <f>X30-X10*X23</f>
        <v>663684.23856272921</v>
      </c>
      <c r="Z51" s="27">
        <f>Z30-Z10*Z23</f>
        <v>839801.689500676</v>
      </c>
      <c r="AB51" s="27">
        <f>AB30-AB10*AB23</f>
        <v>1060842.1836263109</v>
      </c>
      <c r="AD51" s="27">
        <f>AD30-AD10*AD23</f>
        <v>1355744.844517563</v>
      </c>
      <c r="AF51" s="27">
        <f>AF30-AF10*AF23</f>
        <v>1771458.3133498272</v>
      </c>
      <c r="AH51" s="27">
        <f>AH30-AH10*AH23</f>
        <v>2369144.7560980446</v>
      </c>
      <c r="AJ51" s="27">
        <f>AJ30-AJ10*AJ23</f>
        <v>3205741.8819464226</v>
      </c>
      <c r="AL51" s="27">
        <f>AL30-AL10*AL23</f>
        <v>4304536.9990521818</v>
      </c>
      <c r="AN51" s="27">
        <f>AN30-AN10*AN23</f>
        <v>5405547.5072671119</v>
      </c>
      <c r="AP51" s="27">
        <f>AP30-AP10*AP23</f>
        <v>5480876.0754540926</v>
      </c>
      <c r="AQ51" s="27"/>
      <c r="AR51" s="27">
        <f>AR30-AR10*AR23</f>
        <v>5378641.0871010469</v>
      </c>
      <c r="AT51" s="27">
        <f>AT30-AT10*AT23</f>
        <v>4913483.2652405621</v>
      </c>
      <c r="AV51" s="27">
        <f>AV30-AV10*AV23</f>
        <v>0</v>
      </c>
      <c r="XFD51" s="27"/>
    </row>
    <row r="52" spans="1:48 16321:16384" x14ac:dyDescent="0.2">
      <c r="A52" t="s">
        <v>151</v>
      </c>
      <c r="B52" s="27">
        <f t="array" ref="B52">Calibration!sL*SUM(B13:C13*B26:C26)</f>
        <v>2073093.0976150823</v>
      </c>
      <c r="D52" s="27">
        <f t="array" ref="D52">Calibration!sL*SUM(D13:E13*D26:E26)</f>
        <v>2067925.5299668384</v>
      </c>
      <c r="F52" s="27">
        <f t="array" ref="F52">Calibration!sL*SUM(F13:G13*F26:G26)</f>
        <v>2061870.3454759191</v>
      </c>
      <c r="H52" s="27">
        <f t="array" ref="H52">Calibration!sL*SUM(H13:I13*H26:I26)</f>
        <v>2054793.346357659</v>
      </c>
      <c r="J52" s="27">
        <f t="array" ref="J52">Calibration!sL*SUM(J13:K13*J26:K26)</f>
        <v>2046531.9761722377</v>
      </c>
      <c r="L52" s="27">
        <f t="array" ref="L52">Calibration!sL*SUM(L13:M13*L26:M26)</f>
        <v>2036887.1905200442</v>
      </c>
      <c r="N52" s="27">
        <f t="array" ref="N52">Calibration!sL*SUM(N13:O13*N26:O26)</f>
        <v>2025611.5781345591</v>
      </c>
      <c r="P52" s="27">
        <f t="array" ref="P52">Calibration!sL*SUM(P13:Q13*P26:Q26)</f>
        <v>2012392.7361446281</v>
      </c>
      <c r="R52" s="27">
        <f t="array" ref="R52">Calibration!sL*SUM(R13:S13*R26:S26)</f>
        <v>1996826.8453897294</v>
      </c>
      <c r="T52" s="27">
        <f t="array" ref="T52">Calibration!sL*SUM(T13:U13*T26:U26)</f>
        <v>1978378.1347274596</v>
      </c>
      <c r="V52" s="27">
        <f t="array" ref="V52">Calibration!sL*SUM(V13:W13*V26:W26)</f>
        <v>1956310.5567854808</v>
      </c>
      <c r="X52" s="27">
        <f t="array" ref="X52">Calibration!sL*SUM(X13:Y13*X26:Y26)</f>
        <v>1929569.8846399777</v>
      </c>
      <c r="Z52" s="27">
        <f t="array" ref="Z52">Calibration!sL*SUM(Z13:AA13*Z26:AA26)</f>
        <v>1896569.2118566758</v>
      </c>
      <c r="AB52" s="27">
        <f t="array" ref="AB52">Calibration!sL*SUM(AB13:AC13*AB26:AC26)</f>
        <v>1854786.5849709348</v>
      </c>
      <c r="AD52" s="27">
        <f t="array" ref="AD52">Calibration!sL*SUM(AD13:AE13*AD26:AE26)</f>
        <v>1800008.2240074866</v>
      </c>
      <c r="AF52" s="27">
        <f t="array" ref="AF52">Calibration!sL*SUM(AF13:AG13*AF26:AG26)</f>
        <v>1724991.127808742</v>
      </c>
      <c r="AH52" s="27">
        <f t="array" ref="AH52">Calibration!sL*SUM(AH13:AI13*AH26:AI26)</f>
        <v>1617305.680258896</v>
      </c>
      <c r="AJ52" s="27">
        <f t="array" ref="AJ52">Calibration!sL*SUM(AJ13:AK13*AJ26:AK26)</f>
        <v>1455307.113319647</v>
      </c>
      <c r="AL52" s="27">
        <f t="array" ref="AL52">Calibration!sL*SUM(AL13:AM13*AL26:AM26)</f>
        <v>1197363.4849242161</v>
      </c>
      <c r="AN52" s="27">
        <f t="array" ref="AN52">Calibration!sL*SUM(AN13:AO13*AN26:AO26)</f>
        <v>747775.98050937254</v>
      </c>
      <c r="AP52" s="27">
        <f t="array" ref="AP52">Calibration!sL*SUM(AP13:AQ13*AP26:AQ26)</f>
        <v>617405.15970759955</v>
      </c>
      <c r="AQ52" s="27"/>
      <c r="AR52" s="27">
        <f t="array" ref="AR52">Calibration!sL*SUM(AR13:AS13*AR26:AS26)</f>
        <v>467738.27384588245</v>
      </c>
      <c r="AT52" s="27">
        <f t="array" ref="AT52">Calibration!sL*SUM(AT13:AU13*AT26:AU26)</f>
        <v>297893.30791618972</v>
      </c>
      <c r="AV52" s="27">
        <f t="array" ref="AV52">Calibration!sL*SUM(AV13:AW13*AV26:AW26)</f>
        <v>0</v>
      </c>
    </row>
    <row r="53" spans="1:48 16321:16384" x14ac:dyDescent="0.2">
      <c r="A53" t="s">
        <v>152</v>
      </c>
      <c r="B53" s="27">
        <f t="array" ref="B53">Calibration!sK*SUM(B15:C15*B27:C27)</f>
        <v>2716869.1663849424</v>
      </c>
      <c r="D53" s="27">
        <f t="array" ref="D53">Calibration!sK*SUM(D15:E15*D27:E27)</f>
        <v>2693519.2240274907</v>
      </c>
      <c r="F53" s="27">
        <f t="array" ref="F53">Calibration!sK*SUM(F15:G15*F27:G27)</f>
        <v>2669110.8923269049</v>
      </c>
      <c r="H53" s="27">
        <f t="array" ref="H53">Calibration!sK*SUM(H15:I15*H27:I27)</f>
        <v>2643479.3015636406</v>
      </c>
      <c r="J53" s="27">
        <f t="array" ref="J53">Calibration!sK*SUM(J15:K15*J27:K27)</f>
        <v>2616429.09072639</v>
      </c>
      <c r="L53" s="27">
        <f t="array" ref="L53">Calibration!sK*SUM(L15:M15*L27:M27)</f>
        <v>2587727.420862468</v>
      </c>
      <c r="N53" s="27">
        <f t="array" ref="N53">Calibration!sK*SUM(N15:O15*N27:O27)</f>
        <v>2557094.9389404478</v>
      </c>
      <c r="P53" s="27">
        <f t="array" ref="P53">Calibration!sK*SUM(P15:Q15*P27:Q27)</f>
        <v>2524192.1615024544</v>
      </c>
      <c r="R53" s="27">
        <f t="array" ref="R53">Calibration!sK*SUM(R15:S15*R27:S27)</f>
        <v>2488600.0690562306</v>
      </c>
      <c r="T53" s="27">
        <f t="array" ref="T53">Calibration!sK*SUM(T15:U15*T27:U27)</f>
        <v>2449787.1255698521</v>
      </c>
      <c r="V53" s="27">
        <f t="array" ref="V53">Calibration!sK*SUM(V15:W15*V27:W27)</f>
        <v>2407053.7092261356</v>
      </c>
      <c r="X53" s="27">
        <f t="array" ref="X53">Calibration!sK*SUM(X15:Y15*X27:Y27)</f>
        <v>2359428.4096636921</v>
      </c>
      <c r="Z53" s="27">
        <f t="array" ref="Z53">Calibration!sK*SUM(Z15:AA15*Z27:AA27)</f>
        <v>2305463.925193626</v>
      </c>
      <c r="AB53" s="27">
        <f t="array" ref="AB53">Calibration!sK*SUM(AB15:AC15*AB27:AC27)</f>
        <v>2242810.3210249501</v>
      </c>
      <c r="AD53" s="27">
        <f t="array" ref="AD53">Calibration!sK*SUM(AD15:AE15*AD27:AE27)</f>
        <v>2167293.3129558759</v>
      </c>
      <c r="AF53" s="27">
        <f t="array" ref="AF53">Calibration!sK*SUM(AF15:AG15*AF27:AG27)</f>
        <v>2071004.0388397339</v>
      </c>
      <c r="AH53" s="27">
        <f t="array" ref="AH53">Calibration!sK*SUM(AH15:AI15*AH27:AI27)</f>
        <v>1938954.3247348978</v>
      </c>
      <c r="AJ53" s="27">
        <f t="array" ref="AJ53">Calibration!sK*SUM(AJ15:AK15*AJ27:AK27)</f>
        <v>1743937.4128353209</v>
      </c>
      <c r="AL53" s="27">
        <f t="array" ref="AL53">Calibration!sK*SUM(AL15:AM15*AL27:AM27)</f>
        <v>1434710.8363158829</v>
      </c>
      <c r="AN53" s="27">
        <f t="array" ref="AN53">Calibration!sK*SUM(AN15:AO15*AN27:AO27)</f>
        <v>895996.39827454754</v>
      </c>
      <c r="AP53" s="27">
        <f t="array" ref="AP53">Calibration!sK*SUM(AP15:AQ15*AP27:AQ27)</f>
        <v>739784.0150020048</v>
      </c>
      <c r="AQ53" s="27"/>
      <c r="AR53" s="27">
        <f t="array" ref="AR53">Calibration!sK*SUM(AR15:AS15*AR27:AS27)</f>
        <v>560450.89984711842</v>
      </c>
      <c r="AT53" s="27">
        <f t="array" ref="AT53">Calibration!sK*SUM(AT15:AU15*AT27:AU27)</f>
        <v>356940.14861644036</v>
      </c>
      <c r="AV53" s="27">
        <f t="array" ref="AV53">Calibration!sK*SUM(AV15:AW15*AV27:AW27)</f>
        <v>0</v>
      </c>
      <c r="XFD53" s="27"/>
    </row>
    <row r="55" spans="1:48 16321:16384" x14ac:dyDescent="0.2">
      <c r="A55" t="s">
        <v>153</v>
      </c>
      <c r="B55" s="183">
        <f>B30/B32</f>
        <v>0.19850271905982084</v>
      </c>
      <c r="D55" s="183">
        <f>D30/D32</f>
        <v>0.20329373560649916</v>
      </c>
      <c r="F55" s="183">
        <f>F30/F32</f>
        <v>0.20827631681787256</v>
      </c>
      <c r="H55" s="183">
        <f>H30/H32</f>
        <v>0.2134821622778712</v>
      </c>
      <c r="J55" s="183">
        <f>J30/J32</f>
        <v>0.21895004176929175</v>
      </c>
      <c r="L55" s="183">
        <f>L30/L32</f>
        <v>0.22472844391209248</v>
      </c>
      <c r="N55" s="183">
        <f>N30/N32</f>
        <v>0.23087964861777691</v>
      </c>
      <c r="P55" s="183">
        <f>P30/P32</f>
        <v>0.2374864714592454</v>
      </c>
      <c r="R55" s="183">
        <f>R30/R32</f>
        <v>0.24466319704757095</v>
      </c>
      <c r="T55" s="183">
        <f>T30/T32</f>
        <v>0.2525750791735632</v>
      </c>
      <c r="V55" s="183">
        <f>V30/V32</f>
        <v>0.26147232126035197</v>
      </c>
      <c r="X55" s="183">
        <f>X30/X32</f>
        <v>0.2717529445994854</v>
      </c>
      <c r="Z55" s="183">
        <f>Z30/Z32</f>
        <v>0.28407958837139541</v>
      </c>
      <c r="AB55" s="183">
        <f>AB30/AB32</f>
        <v>0.29959363544315404</v>
      </c>
      <c r="AD55" s="183">
        <f>AD30/AD32</f>
        <v>0.32026132536711199</v>
      </c>
      <c r="AF55" s="183">
        <f>AF30/AF32</f>
        <v>0.34922406271191575</v>
      </c>
      <c r="AH55" s="183">
        <f>AH30/AH32</f>
        <v>0.39068609143056326</v>
      </c>
      <c r="AJ55" s="183">
        <f>AJ30/AJ32</f>
        <v>0.44970008490875124</v>
      </c>
      <c r="AL55" s="183">
        <f>AL30/AL32</f>
        <v>0.53469384886441229</v>
      </c>
      <c r="AN55" s="183">
        <f>AN30/AN32</f>
        <v>0.66837322658331022</v>
      </c>
      <c r="AP55" s="183">
        <f>AP30/AP32</f>
        <v>0.70660988668688951</v>
      </c>
      <c r="AR55" s="183">
        <f>AR30/AR32</f>
        <v>0.75207741246286441</v>
      </c>
      <c r="AT55" s="183">
        <f>AT30/AT32</f>
        <v>0.80858686151998493</v>
      </c>
      <c r="AV55" s="183" t="e">
        <f>AV30/AV32</f>
        <v>#DIV/0!</v>
      </c>
      <c r="XCS55" s="183"/>
      <c r="XFD55" s="183"/>
    </row>
    <row r="56" spans="1:48 16321:16384" x14ac:dyDescent="0.2">
      <c r="A56" t="s">
        <v>154</v>
      </c>
      <c r="B56" s="183">
        <f>(Model!$C$52*B5*B20+B2*C5*C20)/B32</f>
        <v>2.9221206744340551E-2</v>
      </c>
      <c r="D56" s="183">
        <f>(Model!$C$52*D5*D20+D2*E5*E20)/D32</f>
        <v>3.4497375920130448E-2</v>
      </c>
      <c r="F56" s="183">
        <f>(Model!$C$52*F5*F20+F2*G5*G20)/F32</f>
        <v>4.0008437349823879E-2</v>
      </c>
      <c r="H56" s="183">
        <f>(Model!$C$52*H5*H20+H2*I5*I20)/H32</f>
        <v>4.5792917044350165E-2</v>
      </c>
      <c r="J56" s="183">
        <f>(Model!$C$52*J5*J20+J2*K5*K20)/J32</f>
        <v>5.1898079758315702E-2</v>
      </c>
      <c r="L56" s="183">
        <f>(Model!$C$52*L5*L20+L2*M5*M20)/L32</f>
        <v>5.8383242451637334E-2</v>
      </c>
      <c r="N56" s="183">
        <f>(Model!$C$52*N5*N20+N2*O5*O20)/N32</f>
        <v>6.5324883267348921E-2</v>
      </c>
      <c r="P56" s="183">
        <f>(Model!$C$52*P5*P20+P2*Q5*Q20)/P32</f>
        <v>7.2825048241990958E-2</v>
      </c>
      <c r="R56" s="183">
        <f>(Model!$C$52*R5*R20+R2*S5*S20)/R32</f>
        <v>8.1025019412599084E-2</v>
      </c>
      <c r="T56" s="183">
        <f>(Model!$C$52*T5*T20+T2*U5*U20)/T32</f>
        <v>9.0129474967047971E-2</v>
      </c>
      <c r="V56" s="183">
        <f>(Model!$C$52*V5*V20+V2*W5*W20)/V32</f>
        <v>0.10044859270155865</v>
      </c>
      <c r="X56" s="183">
        <f>(Model!$C$52*X5*X20+X2*Y5*Y20)/X32</f>
        <v>0.11247552516188558</v>
      </c>
      <c r="Z56" s="183">
        <f>(Model!$C$52*Z5*Z20+Z2*AA5*AA20)/Z32</f>
        <v>0.12702978323586195</v>
      </c>
      <c r="AB56" s="183">
        <f>(Model!$C$52*AB5*AB20+AB2*AC5*AC20)/AB32</f>
        <v>0.14551858735809758</v>
      </c>
      <c r="AD56" s="183">
        <f>(Model!$C$52*AD5*AD20+AD2*AE5*AE20)/AD32</f>
        <v>0.17035567730856194</v>
      </c>
      <c r="AF56" s="183">
        <f>(Model!$C$52*AF5*AF20+AF2*AG5*AG20)/AF32</f>
        <v>0.20537530561052703</v>
      </c>
      <c r="AH56" s="183">
        <f>(Model!$C$52*AH5*AH20+AH2*AI5*AI20)/AH32</f>
        <v>0.25567164931853759</v>
      </c>
      <c r="AJ56" s="183">
        <f>(Model!$C$52*AJ5*AJ20+AJ2*AK5*AK20)/AJ32</f>
        <v>0.32733170455469518</v>
      </c>
      <c r="AL56" s="183">
        <f>(Model!$C$52*AL5*AL20+AL2*AM5*AM20)/AL32</f>
        <v>0.43053071214248007</v>
      </c>
      <c r="AN56" s="183">
        <f>(Model!$C$52*AN5*AN20+AN2*AO5*AO20)/AN32</f>
        <v>0.59274027733625667</v>
      </c>
      <c r="AP56" s="183">
        <f>(Model!$C$52*AP5*AP20+AP2*AQ5*AQ20)/AP32</f>
        <v>0.63910715165790777</v>
      </c>
      <c r="AR56" s="183">
        <f>(Model!$C$52*AR5*AR20+AR2*AS5*AS20)/AR32</f>
        <v>0.69422266969130486</v>
      </c>
      <c r="AT56" s="183">
        <f>(Model!$C$52*AT5*AT20+AT2*AU5*AU20)/AT32</f>
        <v>0.7626929141562766</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0.1581298401343384</v>
      </c>
      <c r="F57" s="183">
        <f t="array" ref="F57">SUM(Model!tauL*F13:G13*F26:G26)/F32</f>
        <v>0.15768966027097553</v>
      </c>
      <c r="H57" s="183">
        <f t="array" ref="H57">SUM(Model!tauL*H13:I13*H26:I26)/H32</f>
        <v>0.15720196321209742</v>
      </c>
      <c r="J57" s="183">
        <f t="array" ref="J57">SUM(Model!tauL*J13:K13*J26:K26)/J32</f>
        <v>0.15665887875991438</v>
      </c>
      <c r="L57" s="183">
        <f t="array" ref="L57">SUM(Model!tauL*L13:M13*L26:M26)/L32</f>
        <v>0.1560503451053388</v>
      </c>
      <c r="N57" s="183">
        <f t="array" ref="N57">SUM(Model!tauL*N13:O13*N26:O26)/N32</f>
        <v>0.15536310271532272</v>
      </c>
      <c r="P57" s="183">
        <f t="array" ref="P57">SUM(Model!tauL*P13:Q13*P26:Q26)/P32</f>
        <v>0.15457907925229877</v>
      </c>
      <c r="R57" s="183">
        <f t="array" ref="R57">SUM(Model!tauL*R13:S13*R26:S26)/R32</f>
        <v>0.15367270239822184</v>
      </c>
      <c r="T57" s="183">
        <f t="array" ref="T57">SUM(Model!tauL*T13:U13*T26:U26)/T32</f>
        <v>0.15260631908574626</v>
      </c>
      <c r="V57" s="183">
        <f t="array" ref="V57">SUM(Model!tauL*V13:W13*V26:W26)/V32</f>
        <v>0.1513221697571798</v>
      </c>
      <c r="X57" s="183">
        <f t="array" ref="X57">SUM(Model!tauL*X13:Y13*X26:Y26)/X32</f>
        <v>0.14972793481092642</v>
      </c>
      <c r="Y57" s="183"/>
      <c r="Z57" s="183">
        <f t="array" ref="Z57">SUM(Model!tauL*Z13:AA13*Z26:AA26)/Z32</f>
        <v>0.14767039116254163</v>
      </c>
      <c r="AB57" s="183">
        <f t="array" ref="AB57">SUM(Model!tauL*AB13:AC13*AB26:AC26)/AB32</f>
        <v>0.14488861171633352</v>
      </c>
      <c r="AD57" s="183">
        <f t="array" ref="AD57">SUM(Model!tauL*AD13:AE13*AD26:AE26)/AD32</f>
        <v>0.14094209286200723</v>
      </c>
      <c r="AF57" s="183">
        <f t="array" ref="AF57">SUM(Model!tauL*AF13:AG13*AF26:AG26)/AF32</f>
        <v>0.13514878824380575</v>
      </c>
      <c r="AH57" s="183">
        <f t="array" ref="AH57">SUM(Model!tauL*AH13:AI13*AH26:AI26)/AH32</f>
        <v>0.12663657401074813</v>
      </c>
      <c r="AJ57" s="183">
        <f t="array" ref="AJ57">SUM(Model!tauL*AJ13:AK13*AJ26:AK26)/AJ32</f>
        <v>0.11440002450844591</v>
      </c>
      <c r="AL57" s="183">
        <f t="array" ref="AL57">SUM(Model!tauL*AL13:AM13*AL26:AM26)/AL32</f>
        <v>9.6735551123090152E-2</v>
      </c>
      <c r="AN57" s="183">
        <f t="array" ref="AN57">SUM(Model!tauL*AN13:AO13*AN26:AO26)/AN32</f>
        <v>6.894438039854188E-2</v>
      </c>
      <c r="AP57" s="183">
        <f t="array" ref="AP57">SUM(Model!tauL*AP13:AQ13*AP26:AQ26)/AP32</f>
        <v>6.0995078921092093E-2</v>
      </c>
      <c r="AR57" s="183">
        <f t="array" ref="AR57">SUM(Model!tauL*AR13:AS13*AR26:AS26)/AR32</f>
        <v>5.1542494457446568E-2</v>
      </c>
      <c r="AT57" s="183">
        <f t="array" ref="AT57">SUM(Model!tauL*AT13:AU13*AT26:AU26)/AT32</f>
        <v>3.9794319831088575E-2</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1.0666519552030355E-2</v>
      </c>
      <c r="F58" s="183">
        <f t="array" ref="F58">SUM(Model!tauY/(1+Model!tauY)*F3:G3*F18:G18)/F32</f>
        <v>1.0578219197073154E-2</v>
      </c>
      <c r="H58" s="183">
        <f t="array" ref="H58">SUM(Model!tauY/(1+Model!tauY)*H3:I3*H18:I18)/H32</f>
        <v>1.0487282021423667E-2</v>
      </c>
      <c r="J58" s="183">
        <f t="array" ref="J58">SUM(Model!tauY/(1+Model!tauY)*J3:K3*J18:K18)/J32</f>
        <v>1.0393083251061679E-2</v>
      </c>
      <c r="L58" s="183">
        <f t="array" ref="L58">SUM(Model!tauY/(1+Model!tauY)*L3:M3*L18:M18)/L32</f>
        <v>1.0294856355116346E-2</v>
      </c>
      <c r="N58" s="183">
        <f t="array" ref="N58">SUM(Model!tauY/(1+Model!tauY)*N3:O3*N18:O18)/N32</f>
        <v>1.0191662635105288E-2</v>
      </c>
      <c r="P58" s="183">
        <f t="array" ref="P58">SUM(Model!tauY/(1+Model!tauY)*P3:Q3*P18:Q18)/P32</f>
        <v>1.0082343964955642E-2</v>
      </c>
      <c r="R58" s="183">
        <f t="array" ref="R58">SUM(Model!tauY/(1+Model!tauY)*R3:S3*R18:S18)/R32</f>
        <v>9.965475236750029E-3</v>
      </c>
      <c r="T58" s="183">
        <f t="array" ref="T58">SUM(Model!tauY/(1+Model!tauY)*T3:U3*T18:U18)/T32</f>
        <v>9.839285120768964E-3</v>
      </c>
      <c r="V58" s="183">
        <f t="array" ref="V58">SUM(Model!tauY/(1+Model!tauY)*V3:W3*V18:W18)/V32</f>
        <v>9.7015588016135246E-3</v>
      </c>
      <c r="X58" s="183">
        <f t="array" ref="X58">SUM(Model!tauY/(1+Model!tauY)*X3:Y3*X18:Y18)/X32</f>
        <v>9.5494846266734323E-3</v>
      </c>
      <c r="Y58" s="183"/>
      <c r="Z58" s="183">
        <f t="array" ref="Z58">SUM(Model!tauY/(1+Model!tauY)*Z3:AA3*Z18:AA18)/Z32</f>
        <v>9.3794139729917909E-3</v>
      </c>
      <c r="AB58" s="183">
        <f t="array" ref="AB58">SUM(Model!tauY/(1+Model!tauY)*AB3:AC3*AB18:AC18)/AB32</f>
        <v>9.1864363687229784E-3</v>
      </c>
      <c r="AD58" s="183">
        <f t="array" ref="AD58">SUM(Model!tauY/(1+Model!tauY)*AD3:AE3*AD18:AE18)/AD32</f>
        <v>8.9635551965428252E-3</v>
      </c>
      <c r="AF58" s="183">
        <f t="array" ref="AF58">SUM(Model!tauY/(1+Model!tauY)*AF3:AG3*AF18:AG18)/AF32</f>
        <v>8.6999688575829862E-3</v>
      </c>
      <c r="AH58" s="183">
        <f t="array" ref="AH58">SUM(Model!tauY/(1+Model!tauY)*AH3:AI3*AH18:AI18)/AH32</f>
        <v>8.3778681012776253E-3</v>
      </c>
      <c r="AJ58" s="183">
        <f t="array" ref="AJ58">SUM(Model!tauY/(1+Model!tauY)*AJ3:AK3*AJ18:AK18)/AJ32</f>
        <v>7.9683558456100818E-3</v>
      </c>
      <c r="AL58" s="183">
        <f t="array" ref="AL58">SUM(Model!tauY/(1+Model!tauY)*AL3:AM3*AL18:AM18)/AL32</f>
        <v>7.4275855988420103E-3</v>
      </c>
      <c r="AN58" s="183">
        <f t="array" ref="AN58">SUM(Model!tauY/(1+Model!tauY)*AN3:AO3*AN18:AO18)/AN32</f>
        <v>6.6885688485116713E-3</v>
      </c>
      <c r="AP58" s="183">
        <f t="array" ref="AP58">SUM(Model!tauY/(1+Model!tauY)*AP3:AQ3*AP18:AQ18)/AP32</f>
        <v>6.5076561078896101E-3</v>
      </c>
      <c r="AR58" s="183">
        <f t="array" ref="AR58">SUM(Model!tauY/(1+Model!tauY)*AR3:AS3*AR18:AS18)/AR32</f>
        <v>6.3122483141129972E-3</v>
      </c>
      <c r="AT58" s="183">
        <f t="array" ref="AT58">SUM(Model!tauY/(1+Model!tauY)*AT3:AU3*AT18:AU18)/AT32</f>
        <v>6.0996275326196765E-3</v>
      </c>
      <c r="AV58" s="183" t="e">
        <f t="array" ref="AV58">SUM(Model!tauY/(1+Model!tauY)*AV3:AW3*AV18:AW18)/AV32</f>
        <v>#DIV/0!</v>
      </c>
      <c r="XFD58" s="183"/>
    </row>
    <row r="59" spans="1:48 16321:16384" x14ac:dyDescent="0.2">
      <c r="A59" t="s">
        <v>157</v>
      </c>
      <c r="B59" s="183">
        <f>(B2*C5*C20)/B32</f>
        <v>5.5174232040962052E-4</v>
      </c>
      <c r="D59" s="183">
        <f>(D2*E5*E20)/D32</f>
        <v>5.9035738002673139E-3</v>
      </c>
      <c r="F59" s="183">
        <f>(F2*G5*G20)/F32</f>
        <v>1.1494152518786023E-2</v>
      </c>
      <c r="H59" s="183">
        <f>(H2*I5*I20)/H32</f>
        <v>1.7362654811035518E-2</v>
      </c>
      <c r="J59" s="183">
        <f>(J2*K5*K20)/J32</f>
        <v>2.3557144714204243E-2</v>
      </c>
      <c r="L59" s="183">
        <f>(L2*M5*M20)/L32</f>
        <v>3.013794185132903E-2</v>
      </c>
      <c r="N59" s="183">
        <f>(N2*O5*O20)/N32</f>
        <v>3.7182812212744214E-2</v>
      </c>
      <c r="P59" s="183">
        <f>(P2*Q5*Q20)/P32</f>
        <v>4.4795509921721016E-2</v>
      </c>
      <c r="R59" s="183">
        <f>(R2*S5*S20)/R32</f>
        <v>5.3119661168702356E-2</v>
      </c>
      <c r="T59" s="183">
        <f>(T2*U5*U20)/T32</f>
        <v>6.2363305139008771E-2</v>
      </c>
      <c r="V59" s="183">
        <f>(V2*W5*W20)/V32</f>
        <v>7.2841661330485016E-2</v>
      </c>
      <c r="X59" s="183">
        <f>(X2*Y5*Y20)/X32</f>
        <v>8.5055827187342489E-2</v>
      </c>
      <c r="Z59" s="183">
        <f>(Z2*AA5*AA20)/Z32</f>
        <v>9.9838438912915162E-2</v>
      </c>
      <c r="AB59" s="183">
        <f>(AB2*AC5*AC20)/AB32</f>
        <v>0.11861921407203259</v>
      </c>
      <c r="AD59" s="183">
        <f>(AD2*AE5*AE20)/AD32</f>
        <v>0.14385060772776795</v>
      </c>
      <c r="AF59" s="183">
        <f>(AF2*AG5*AG20)/AF32</f>
        <v>0.17942886276512718</v>
      </c>
      <c r="AH59" s="183">
        <f>(AH2*AI5*AI20)/AH32</f>
        <v>0.23053064107685514</v>
      </c>
      <c r="AJ59" s="183">
        <f>(AJ2*AK5*AK20)/AJ32</f>
        <v>0.30333475773993024</v>
      </c>
      <c r="AL59" s="183">
        <f>(AL2*AM5*AM20)/AL32</f>
        <v>0.40813479749026799</v>
      </c>
      <c r="AN59" s="183">
        <f>(AN2*AO5*AO20)/AN32</f>
        <v>0.57260070579674116</v>
      </c>
      <c r="AP59" s="183">
        <f>(AP2*AQ5*AQ20)/AP32</f>
        <v>0.6195269068134156</v>
      </c>
      <c r="AR59" s="183">
        <f>(AR2*AS5*AS20)/AR32</f>
        <v>0.67524886011244778</v>
      </c>
      <c r="AT59" s="183">
        <f>(AT2*AU5*AU20)/AT32</f>
        <v>0.74438136163186452</v>
      </c>
      <c r="AV59" s="183" t="e">
        <f>(AV2*AW5*AW20)/AV32</f>
        <v>#DIV/0!</v>
      </c>
      <c r="XFD59" s="183"/>
    </row>
    <row r="60" spans="1:48 16321:16384" x14ac:dyDescent="0.2">
      <c r="A60" t="s">
        <v>158</v>
      </c>
      <c r="B60" s="183">
        <f>Model!$C$52*B5*B20/B32</f>
        <v>2.8669464423930927E-2</v>
      </c>
      <c r="D60" s="183">
        <f>Model!$C$52*D5*D20/D32</f>
        <v>2.8593802119863135E-2</v>
      </c>
      <c r="F60" s="183">
        <f>Model!$C$52*F5*F20/F32</f>
        <v>2.851428483103785E-2</v>
      </c>
      <c r="H60" s="183">
        <f>Model!$C$52*H5*H20/H32</f>
        <v>2.843026223331464E-2</v>
      </c>
      <c r="J60" s="183">
        <f>Model!$C$52*J5*J20/J32</f>
        <v>2.8340935044111455E-2</v>
      </c>
      <c r="L60" s="183">
        <f>Model!$C$52*L5*L20/L32</f>
        <v>2.8245300600308304E-2</v>
      </c>
      <c r="N60" s="183">
        <f>Model!$C$52*N5*N20/N32</f>
        <v>2.8142071054604718E-2</v>
      </c>
      <c r="P60" s="183">
        <f>Model!$C$52*P5*P20/P32</f>
        <v>2.8029538320269932E-2</v>
      </c>
      <c r="R60" s="183">
        <f>Model!$C$52*R5*R20/R32</f>
        <v>2.7905358243896734E-2</v>
      </c>
      <c r="T60" s="183">
        <f>Model!$C$52*T5*T20/T32</f>
        <v>2.77661698280392E-2</v>
      </c>
      <c r="V60" s="183">
        <f>Model!$C$52*V5*V20/V32</f>
        <v>2.7606931371073635E-2</v>
      </c>
      <c r="X60" s="183">
        <f>Model!$C$52*X5*X20/X32</f>
        <v>2.7419697974543095E-2</v>
      </c>
      <c r="Z60" s="183">
        <f>Model!$C$52*Z5*Z20/Z32</f>
        <v>2.7191344322946804E-2</v>
      </c>
      <c r="AB60" s="183">
        <f>Model!$C$52*AB5*AB20/AB32</f>
        <v>2.6899373286064968E-2</v>
      </c>
      <c r="AD60" s="183">
        <f>Model!$C$52*AD5*AD20/AD32</f>
        <v>2.6505069580793992E-2</v>
      </c>
      <c r="AF60" s="183">
        <f>Model!$C$52*AF5*AF20/AF32</f>
        <v>2.5946442845399854E-2</v>
      </c>
      <c r="AH60" s="183">
        <f>Model!$C$52*AH5*AH20/AH32</f>
        <v>2.5141008241682417E-2</v>
      </c>
      <c r="AJ60" s="183">
        <f>Model!$C$52*AJ5*AJ20/AJ32</f>
        <v>2.3996946814764969E-2</v>
      </c>
      <c r="AL60" s="183">
        <f>Model!$C$52*AL5*AL20/AL32</f>
        <v>2.2395914652212093E-2</v>
      </c>
      <c r="AN60" s="183">
        <f>Model!$C$52*AN5*AN20/AN32</f>
        <v>2.0139571539515538E-2</v>
      </c>
      <c r="AP60" s="183">
        <f>Model!$C$52*AP5*AP20/AP32</f>
        <v>1.958024484449224E-2</v>
      </c>
      <c r="AR60" s="183">
        <f>Model!$C$52*AR5*AR20/AR32</f>
        <v>1.8973809578857075E-2</v>
      </c>
      <c r="AT60" s="183">
        <f>Model!$C$52*AT5*AT20/AT32</f>
        <v>1.8311552524412082E-2</v>
      </c>
      <c r="AV60" s="183" t="e">
        <f>Model!$C$52*AV5*AV20/AV32</f>
        <v>#DIV/0!</v>
      </c>
      <c r="XFD60" s="183"/>
    </row>
    <row r="62" spans="1:48 16321:16384" x14ac:dyDescent="0.2">
      <c r="A62" t="s">
        <v>159</v>
      </c>
      <c r="B62">
        <f>B13/B15</f>
        <v>1</v>
      </c>
      <c r="D62">
        <f>D13/D15</f>
        <v>1.0061546410828335</v>
      </c>
      <c r="F62">
        <f>F13/F15</f>
        <v>1.0123825581933352</v>
      </c>
      <c r="H62">
        <f>H13/H15</f>
        <v>1.0186902651264707</v>
      </c>
      <c r="J62">
        <f>J13/J15</f>
        <v>1.0250840707962643</v>
      </c>
      <c r="L62">
        <f>L13/L15</f>
        <v>1.0315692042522475</v>
      </c>
      <c r="N62">
        <f>N13/N15</f>
        <v>1.0381479186705906</v>
      </c>
      <c r="P62">
        <f>P13/P15</f>
        <v>1.0448170410679711</v>
      </c>
      <c r="R62">
        <f>R13/R15</f>
        <v>1.051562808466763</v>
      </c>
      <c r="T62">
        <f>T13/T15</f>
        <v>1.0583538043210989</v>
      </c>
      <c r="V62">
        <f>V13/V15</f>
        <v>1.0651283322687752</v>
      </c>
      <c r="X62">
        <f>X13/X15</f>
        <v>1.0717750126289254</v>
      </c>
      <c r="Z62">
        <f>Z13/Z15</f>
        <v>1.0781030750581346</v>
      </c>
      <c r="AB62">
        <f>AB13/AB15</f>
        <v>1.0838054222642326</v>
      </c>
      <c r="AD62">
        <f>AD13/AD15</f>
        <v>1.0884455745740464</v>
      </c>
      <c r="AF62">
        <f>AF13/AF15</f>
        <v>1.0915806768773078</v>
      </c>
      <c r="AH62">
        <f>AH13/AH15</f>
        <v>1.0931366430281548</v>
      </c>
      <c r="AJ62">
        <f>AJ13/AJ15</f>
        <v>1.0936382134775224</v>
      </c>
      <c r="AL62">
        <f>AL13/AL15</f>
        <v>1.0937335911024146</v>
      </c>
      <c r="AN62">
        <f>AN13/AN15</f>
        <v>1.0937426975757538</v>
      </c>
      <c r="AP62">
        <f>AP13/AP15</f>
        <v>1.0937428600749501</v>
      </c>
      <c r="AR62">
        <f>AR13/AR15</f>
        <v>1.0937429260412417</v>
      </c>
      <c r="AT62">
        <f>AT13/AT15</f>
        <v>1.0937429489660857</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0.99820429150086165</v>
      </c>
      <c r="E65" s="181"/>
      <c r="F65" s="181">
        <f t="array" ref="F65">SQRT((F9:G9*$B$22:$C$22+F10:G10*$B$23:$C$23+F11:G11*$B$24:$C$24+F4:G4*($B$25:$C$25-$B$19:$C$19))/($B$9:$C$9*$B$22:$C$22+$B$10:$C$10*$B$23:$C$23+$B$11:$C$11*$B$24:$C$24+$B$4:$C$4*($B$25:$C$25-$B$19:$C$19))*(F9:G9*F22:G22+F10:G10*F23:G23+F11:G11*F24:G24+F4:G4*(F25:G25-F19:G19))/($B$9:$C$9*F22:G22+$B$10:$C$10*F23:G23+$B$11:$C$11*F24:G24+$B$4:$C$4*(F25:G25-F19:G19)))</f>
        <v>0.9963219830220551</v>
      </c>
      <c r="G65" s="181"/>
      <c r="H65" s="181">
        <f t="array" ref="H65">SQRT((H9:I9*$B$22:$C$22+H10:I10*$B$23:$C$23+H11:I11*$B$24:$C$24+H4:I4*($B$25:$C$25-$B$19:$C$19))/($B$9:$C$9*$B$22:$C$22+$B$10:$C$10*$B$23:$C$23+$B$11:$C$11*$B$24:$C$24+$B$4:$C$4*($B$25:$C$25-$B$19:$C$19))*(H9:I9*H22:I22+H10:I10*H23:I23+H11:I11*H24:I24+H4:I4*(H25:I25-H19:I19))/($B$9:$C$9*H22:I22+$B$10:$C$10*H23:I23+$B$11:$C$11*H24:I24+$B$4:$C$4*(H25:I25-H19:I19)))</f>
        <v>0.99433819660749501</v>
      </c>
      <c r="I65" s="181"/>
      <c r="J65" s="181">
        <f t="array" ref="J65">SQRT((J9:K9*$B$22:$C$22+J10:K10*$B$23:$C$23+J11:K11*$B$24:$C$24+J4:K4*($B$25:$C$25-$B$19:$C$19))/($B$9:$C$9*$B$22:$C$22+$B$10:$C$10*$B$23:$C$23+$B$11:$C$11*$B$24:$C$24+$B$4:$C$4*($B$25:$C$25-$B$19:$C$19))*(J9:K9*J22:K22+J10:K10*J23:K23+J11:K11*J24:K24+J4:K4*(J25:K25-J19:K19))/($B$9:$C$9*J22:K22+$B$10:$C$10*J23:K23+$B$11:$C$11*J24:K24+$B$4:$C$4*(J25:K25-J19:K19)))</f>
        <v>0.99223592327447496</v>
      </c>
      <c r="K65" s="181"/>
      <c r="L65" s="181">
        <f t="array" ref="L65">SQRT((L9:M9*$B$22:$C$22+L10:M10*$B$23:$C$23+L11:M11*$B$24:$C$24+L4:M4*($B$25:$C$25-$B$19:$C$19))/($B$9:$C$9*$B$22:$C$22+$B$10:$C$10*$B$23:$C$23+$B$11:$C$11*$B$24:$C$24+$B$4:$C$4*($B$25:$C$25-$B$19:$C$19))*(L9:M9*L22:M22+L10:M10*L23:M23+L11:M11*L24:M24+L4:M4*(L25:M25-L19:M19))/($B$9:$C$9*L22:M22+$B$10:$C$10*L23:M23+$B$11:$C$11*L24:M24+$B$4:$C$4*(L25:M25-L19:M19)))</f>
        <v>0.98999622187248459</v>
      </c>
      <c r="M65" s="181"/>
      <c r="N65" s="181">
        <f t="array" ref="N65">SQRT((N9:O9*$B$22:$C$22+N10:O10*$B$23:$C$23+N11:O11*$B$24:$C$24+N4:O4*($B$25:$C$25-$B$19:$C$19))/($B$9:$C$9*$B$22:$C$22+$B$10:$C$10*$B$23:$C$23+$B$11:$C$11*$B$24:$C$24+$B$4:$C$4*($B$25:$C$25-$B$19:$C$19))*(N9:O9*N22:O22+N10:O10*N23:O23+N11:O11*N24:O24+N4:O4*(N25:O25-N19:O19))/($B$9:$C$9*N22:O22+$B$10:$C$10*N23:O23+$B$11:$C$11*N24:O24+$B$4:$C$4*(N25:O25-N19:O19)))</f>
        <v>0.98759888974136156</v>
      </c>
      <c r="O65" s="181"/>
      <c r="P65" s="181">
        <f t="array" ref="P65">SQRT((P9:Q9*$B$22:$C$22+P10:Q10*$B$23:$C$23+P11:Q11*$B$24:$C$24+P4:Q4*($B$25:$C$25-$B$19:$C$19))/($B$9:$C$9*$B$22:$C$22+$B$10:$C$10*$B$23:$C$23+$B$11:$C$11*$B$24:$C$24+$B$4:$C$4*($B$25:$C$25-$B$19:$C$19))*(P9:Q9*P22:Q22+P10:Q10*P23:Q23+P11:Q11*P24:Q24+P4:Q4*(P25:Q25-P19:Q19))/($B$9:$C$9*P22:Q22+$B$10:$C$10*P23:Q23+$B$11:$C$11*P24:Q24+$B$4:$C$4*(P25:Q25-P19:Q19)))</f>
        <v>0.98502399629283854</v>
      </c>
      <c r="Q65" s="181"/>
      <c r="R65" s="181">
        <f t="array" ref="R65">SQRT((R9:S9*$B$22:$C$22+R10:S10*$B$23:$C$23+R11:S11*$B$24:$C$24+R4:S4*($B$25:$C$25-$B$19:$C$19))/($B$9:$C$9*$B$22:$C$22+$B$10:$C$10*$B$23:$C$23+$B$11:$C$11*$B$24:$C$24+$B$4:$C$4*($B$25:$C$25-$B$19:$C$19))*(R9:S9*R22:S22+R10:S10*R23:S23+R11:S11*R24:S24+R4:S4*(R25:S25-R19:S19))/($B$9:$C$9*R22:S22+$B$10:$C$10*R23:S23+$B$11:$C$11*R24:S24+$B$4:$C$4*(R25:S25-R19:S19)))</f>
        <v>0.98225498156996205</v>
      </c>
      <c r="S65" s="181"/>
      <c r="T65" s="181">
        <f t="array" ref="T65">SQRT((T9:U9*$B$22:$C$22+T10:U10*$B$23:$C$23+T11:U11*$B$24:$C$24+T4:U4*($B$25:$C$25-$B$19:$C$19))/($B$9:$C$9*$B$22:$C$22+$B$10:$C$10*$B$23:$C$23+$B$11:$C$11*$B$24:$C$24+$B$4:$C$4*($B$25:$C$25-$B$19:$C$19))*(T9:U9*T22:U22+T10:U10*T23:U23+T11:U11*T24:U24+T4:U4*(T25:U25-T19:U19))/($B$9:$C$9*T22:U22+$B$10:$C$10*T23:U23+$B$11:$C$11*T24:U24+$B$4:$C$4*(T25:U25-T19:U19)))</f>
        <v>0.9792846123088319</v>
      </c>
      <c r="U65" s="181"/>
      <c r="V65" s="181">
        <f t="array" ref="V65">SQRT((V9:W9*$B$22:$C$22+V10:W10*$B$23:$C$23+V11:W11*$B$24:$C$24+V4:W4*($B$25:$C$25-$B$19:$C$19))/($B$9:$C$9*$B$22:$C$22+$B$10:$C$10*$B$23:$C$23+$B$11:$C$11*$B$24:$C$24+$B$4:$C$4*($B$25:$C$25-$B$19:$C$19))*(V9:W9*V22:W22+V10:W10*V23:W23+V11:W11*V24:W24+V4:W4*(V25:W25-V19:W19))/($B$9:$C$9*V22:W22+$B$10:$C$10*V23:W23+$B$11:$C$11*V24:W24+$B$4:$C$4*(V25:W25-V19:W19)))</f>
        <v>0.97612622158210027</v>
      </c>
      <c r="W65" s="181"/>
      <c r="X65" s="181">
        <f t="array" ref="X65">SQRT((X9:Y9*$B$22:$C$22+X10:Y10*$B$23:$C$23+X11:Y11*$B$24:$C$24+X4:Y4*($B$25:$C$25-$B$19:$C$19))/($B$9:$C$9*$B$22:$C$22+$B$10:$C$10*$B$23:$C$23+$B$11:$C$11*$B$24:$C$24+$B$4:$C$4*($B$25:$C$25-$B$19:$C$19))*(X9:Y9*X22:Y22+X10:Y10*X23:Y23+X11:Y11*X24:Y24+X4:Y4*(X25:Y25-X19:Y19))/($B$9:$C$9*X22:Y22+$B$10:$C$10*X23:Y23+$B$11:$C$11*X24:Y24+$B$4:$C$4*(X25:Y25-X19:Y19)))</f>
        <v>0.9728347702697957</v>
      </c>
      <c r="Y65" s="181"/>
      <c r="Z65" s="181">
        <f t="array" ref="Z65">SQRT((Z9:AA9*$B$22:$C$22+Z10:AA10*$B$23:$C$23+Z11:AA11*$B$24:$C$24+Z4:AA4*($B$25:$C$25-$B$19:$C$19))/($B$9:$C$9*$B$22:$C$22+$B$10:$C$10*$B$23:$C$23+$B$11:$C$11*$B$24:$C$24+$B$4:$C$4*($B$25:$C$25-$B$19:$C$19))*(Z9:AA9*Z22:AA22+Z10:AA10*Z23:AA23+Z11:AA11*Z24:AA24+Z4:AA4*(Z25:AA25-Z19:AA19))/($B$9:$C$9*Z22:AA22+$B$10:$C$10*Z23:AA23+$B$11:$C$11*Z24:AA24+$B$4:$C$4*(Z25:AA25-Z19:AA19)))</f>
        <v>0.96954555512740337</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0.96653991267930883</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0.96432391323638056</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0.96357995591249546</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0.96464133245405881</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0.96665983361415531</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0.96767246637055393</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0.96505405113754306</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0.96375431851084314</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0.96207119834606647</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0.95991089047821621</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0.99802507273255892</v>
      </c>
      <c r="E66" s="181"/>
      <c r="F66" s="181">
        <f t="array" ref="F66">SQRT((F9:G9*$B$22:$C$22)/($B$9:$C$9*$B$22:$C$22)*(F9:G9*F22:G22)/($B$9:$C$9*F22:G22))</f>
        <v>0.99595187605853974</v>
      </c>
      <c r="G66" s="181"/>
      <c r="H66" s="181">
        <f t="array" ref="H66">SQRT((H9:I9*$B$22:$C$22)/($B$9:$C$9*$B$22:$C$22)*(H9:I9*H22:I22)/($B$9:$C$9*H22:I22))</f>
        <v>0.99376352090119657</v>
      </c>
      <c r="I66" s="181"/>
      <c r="J66" s="181">
        <f t="array" ref="J66">SQRT((J9:K9*$B$22:$C$22)/($B$9:$C$9*$B$22:$C$22)*(J9:K9*J22:K22)/($B$9:$C$9*J22:K22))</f>
        <v>0.99144061888202362</v>
      </c>
      <c r="K66" s="181"/>
      <c r="L66" s="181">
        <f t="array" ref="L66">SQRT((L9:M9*$B$22:$C$22)/($B$9:$C$9*$B$22:$C$22)*(L9:M9*L22:M22)/($B$9:$C$9*L22:M22))</f>
        <v>0.98896146155063991</v>
      </c>
      <c r="M66" s="181"/>
      <c r="N66" s="181">
        <f t="array" ref="N66">SQRT((N9:O9*$B$22:$C$22)/($B$9:$C$9*$B$22:$C$22)*(N9:O9*N22:O22)/($B$9:$C$9*N22:O22))</f>
        <v>0.98630271759439148</v>
      </c>
      <c r="O66" s="181"/>
      <c r="P66" s="181">
        <f t="array" ref="P66">SQRT((P9:Q9*$B$22:$C$22)/($B$9:$C$9*$B$22:$C$22)*(P9:Q9*P22:Q22)/($B$9:$C$9*P22:Q22))</f>
        <v>0.98344109022422666</v>
      </c>
      <c r="Q66" s="181"/>
      <c r="R66" s="181">
        <f t="array" ref="R66">SQRT((R9:S9*$B$22:$C$22)/($B$9:$C$9*$B$22:$C$22)*(R9:S9*R22:S22)/($B$9:$C$9*R22:S22))</f>
        <v>0.980356734480337</v>
      </c>
      <c r="S66" s="181"/>
      <c r="T66" s="181">
        <f t="array" ref="T66">SQRT((T9:U9*$B$22:$C$22)/($B$9:$C$9*$B$22:$C$22)*(T9:U9*T22:U22)/($B$9:$C$9*T22:U22))</f>
        <v>0.9770399183925681</v>
      </c>
      <c r="U66" s="181"/>
      <c r="V66" s="181">
        <f t="array" ref="V66">SQRT((V9:W9*$B$22:$C$22)/($B$9:$C$9*$B$22:$C$22)*(V9:W9*V22:W22)/($B$9:$C$9*V22:W22))</f>
        <v>0.97350372729188195</v>
      </c>
      <c r="W66" s="181"/>
      <c r="X66" s="181">
        <f t="array" ref="X66">SQRT((X9:Y9*$B$22:$C$22)/($B$9:$C$9*$B$22:$C$22)*(X9:Y9*X22:Y22)/($B$9:$C$9*X22:Y22))</f>
        <v>0.96980807292219473</v>
      </c>
      <c r="Y66" s="181"/>
      <c r="Z66" s="181">
        <f t="array" ref="Z66">SQRT((Z9:AA9*$B$22:$C$22)/($B$9:$C$9*$B$22:$C$22)*(Z9:AA9*Z22:AA22)/($B$9:$C$9*Z22:AA22))</f>
        <v>0.96610411279181418</v>
      </c>
      <c r="AA66" s="181"/>
      <c r="AB66" s="181">
        <f t="array" ref="AB66">SQRT((AB9:AC9*$B$22:$C$22)/($B$9:$C$9*$B$22:$C$22)*(AB9:AC9*AB22:AC22)/($B$9:$C$9*AB22:AC22))</f>
        <v>0.96271002546946771</v>
      </c>
      <c r="AC66" s="181"/>
      <c r="AD66" s="181">
        <f t="array" ref="AD66">SQRT((AD9:AE9*$B$22:$C$22)/($B$9:$C$9*$B$22:$C$22)*(AD9:AE9*AD22:AE22)/($B$9:$C$9*AD22:AE22))</f>
        <v>0.96020220627686492</v>
      </c>
      <c r="AE66" s="181"/>
      <c r="AF66" s="181">
        <f t="array" ref="AF66">SQRT((AF9:AG9*$B$22:$C$22)/($B$9:$C$9*$B$22:$C$22)*(AF9:AG9*AF22:AG22)/($B$9:$C$9*AF22:AG22))</f>
        <v>0.95936054042252461</v>
      </c>
      <c r="AG66" s="181"/>
      <c r="AH66" s="181">
        <f t="array" ref="AH66">SQRT((AH9:AI9*$B$22:$C$22)/($B$9:$C$9*$B$22:$C$22)*(AH9:AI9*AH22:AI22)/($B$9:$C$9*AH22:AI22))</f>
        <v>0.9605661045384335</v>
      </c>
      <c r="AI66" s="181"/>
      <c r="AJ66" s="181">
        <f t="array" ref="AJ66">SQRT((AJ9:AK9*$B$22:$C$22)/($B$9:$C$9*$B$22:$C$22)*(AJ9:AK9*AJ22:AK22)/($B$9:$C$9*AJ22:AK22))</f>
        <v>0.96285315289888962</v>
      </c>
      <c r="AK66" s="181"/>
      <c r="AL66" s="181">
        <f t="array" ref="AL66">SQRT((AL9:AM9*$B$22:$C$22)/($B$9:$C$9*$B$22:$C$22)*(AL9:AM9*AL22:AM22)/($B$9:$C$9*AL22:AM22))</f>
        <v>0.96399865885303992</v>
      </c>
      <c r="AM66" s="181"/>
      <c r="AN66" s="181">
        <f t="array" ref="AN66">SQRT((AN9:AO9*$B$22:$C$22)/($B$9:$C$9*$B$22:$C$22)*(AN9:AO9*AN22:AO22)/($B$9:$C$9*AN22:AO22))</f>
        <v>0.96103455840650143</v>
      </c>
      <c r="AO66" s="181"/>
      <c r="AP66" s="181">
        <f t="array" ref="AP66">SQRT((AP9:AQ9*$B$22:$C$22)/($B$9:$C$9*$B$22:$C$22)*(AP9:AQ9*AP22:AQ22)/($B$9:$C$9*AP22:AQ22))</f>
        <v>0.9595603840306004</v>
      </c>
      <c r="AQ66" s="181"/>
      <c r="AR66" s="181">
        <f t="array" ref="AR66">SQRT((AR9:AS9*$B$22:$C$22)/($B$9:$C$9*$B$22:$C$22)*(AR9:AS9*AR22:AS22)/($B$9:$C$9*AR22:AS22))</f>
        <v>0.95764853237455549</v>
      </c>
      <c r="AS66" s="181"/>
      <c r="AT66" s="181">
        <f t="array" ref="AT66">SQRT((AT9:AU9*$B$22:$C$22)/($B$9:$C$9*$B$22:$C$22)*(AT9:AU9*AT22:AU22)/($B$9:$C$9*AT22:AU22))</f>
        <v>0.95518991427763744</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t="e">
        <f t="array" ref="AV67">SQRT((AV4:AW4*$B$19:$C$19)/($B$4:$C$4*$B$19:$C$19)*(AV4:AW4*AV19:AW19)/($B$4:$C$4*AV19:AW19))</f>
        <v>#DIV/0!</v>
      </c>
      <c r="XFD67" s="181"/>
    </row>
    <row r="68" spans="1:48 16384:16384" x14ac:dyDescent="0.2">
      <c r="A68" t="s">
        <v>165</v>
      </c>
      <c r="B68" s="181">
        <f>B66/B67</f>
        <v>1</v>
      </c>
      <c r="C68" s="181"/>
      <c r="D68" s="181">
        <f>D66/D67</f>
        <v>0.99802507273255892</v>
      </c>
      <c r="E68" s="181"/>
      <c r="F68" s="181">
        <f>F66/F67</f>
        <v>0.99595187605853974</v>
      </c>
      <c r="G68" s="181"/>
      <c r="H68" s="181">
        <f>H66/H67</f>
        <v>0.99376352090119657</v>
      </c>
      <c r="I68" s="181"/>
      <c r="J68" s="181">
        <f>J66/J67</f>
        <v>0.99144061888202362</v>
      </c>
      <c r="K68" s="181"/>
      <c r="L68" s="181">
        <f>L66/L67</f>
        <v>0.98896146155063991</v>
      </c>
      <c r="M68" s="181"/>
      <c r="N68" s="181">
        <f>N66/N67</f>
        <v>0.98630271759439148</v>
      </c>
      <c r="O68" s="181"/>
      <c r="P68" s="181">
        <f>P66/P67</f>
        <v>0.98344109022422666</v>
      </c>
      <c r="Q68" s="181"/>
      <c r="R68" s="181">
        <f>R66/R67</f>
        <v>0.980356734480337</v>
      </c>
      <c r="S68" s="181"/>
      <c r="T68" s="181">
        <f>T66/T67</f>
        <v>0.9770399183925681</v>
      </c>
      <c r="U68" s="181"/>
      <c r="V68" s="181">
        <f>V66/V67</f>
        <v>0.97350372729188195</v>
      </c>
      <c r="W68" s="181"/>
      <c r="X68" s="181">
        <f>X66/X67</f>
        <v>0.96980807292219473</v>
      </c>
      <c r="Y68" s="181"/>
      <c r="Z68" s="181">
        <f>Z66/Z67</f>
        <v>0.96610411279181418</v>
      </c>
      <c r="AA68" s="181"/>
      <c r="AB68" s="181">
        <f>AB66/AB67</f>
        <v>0.96271002546946771</v>
      </c>
      <c r="AC68" s="181"/>
      <c r="AD68" s="181">
        <f>AD66/AD67</f>
        <v>0.96020220627686492</v>
      </c>
      <c r="AE68" s="181"/>
      <c r="AF68" s="181">
        <f>AF66/AF67</f>
        <v>0.95936054042252461</v>
      </c>
      <c r="AG68" s="181"/>
      <c r="AH68" s="181">
        <f>AH66/AH67</f>
        <v>0.9605661045384335</v>
      </c>
      <c r="AI68" s="181"/>
      <c r="AJ68" s="181">
        <f>AJ66/AJ67</f>
        <v>0.96285315289888962</v>
      </c>
      <c r="AK68" s="181"/>
      <c r="AL68" s="181">
        <f>AL66/AL67</f>
        <v>0.96399865885303992</v>
      </c>
      <c r="AM68" s="181"/>
      <c r="AN68" s="181">
        <f>AN66/AN67</f>
        <v>0.96103455840650143</v>
      </c>
      <c r="AO68" s="181"/>
      <c r="AP68" s="181">
        <f>AP66/AP67</f>
        <v>0.9595603840306004</v>
      </c>
      <c r="AQ68" s="181"/>
      <c r="AR68" s="181">
        <f>AR66/AR67</f>
        <v>0.95764853237455549</v>
      </c>
      <c r="AS68" s="181"/>
      <c r="AT68" s="181">
        <f>AT66/AT67</f>
        <v>0.95518991427763744</v>
      </c>
      <c r="AU68" s="181"/>
      <c r="AV68" s="181" t="e">
        <f>AV66/AV67</f>
        <v>#DIV/0!</v>
      </c>
      <c r="XFD68" s="181"/>
    </row>
    <row r="69" spans="1:48 16384:16384" x14ac:dyDescent="0.2">
      <c r="A69" t="s">
        <v>161</v>
      </c>
      <c r="B69" s="181">
        <f>B32/B65/($B$32)</f>
        <v>1</v>
      </c>
      <c r="C69" s="181"/>
      <c r="D69" s="181">
        <f>D32/D65/($B$32)</f>
        <v>1.0018231123529553</v>
      </c>
      <c r="E69" s="181"/>
      <c r="F69" s="181">
        <f>F32/F65/($B$32)</f>
        <v>1.0035703887907443</v>
      </c>
      <c r="G69" s="181"/>
      <c r="H69" s="181">
        <f>H32/H65/($B$32)</f>
        <v>1.0052300875282978</v>
      </c>
      <c r="I69" s="181"/>
      <c r="J69" s="181">
        <f>J32/J65/($B$32)</f>
        <v>1.0067879080950144</v>
      </c>
      <c r="K69" s="181"/>
      <c r="L69" s="181">
        <f>L32/L65/($B$32)</f>
        <v>1.0082265339248448</v>
      </c>
      <c r="M69" s="181"/>
      <c r="N69" s="181">
        <f>N32/N65/($B$32)</f>
        <v>1.0095250695447804</v>
      </c>
      <c r="O69" s="181"/>
      <c r="P69" s="181">
        <f>P32/P65/($B$32)</f>
        <v>1.0106589605066714</v>
      </c>
      <c r="Q69" s="181"/>
      <c r="R69" s="181">
        <f>R32/R65/($B$32)</f>
        <v>1.01160007872573</v>
      </c>
      <c r="S69" s="181"/>
      <c r="T69" s="181">
        <f>T32/T65/($B$32)</f>
        <v>1.0123187301568197</v>
      </c>
      <c r="U69" s="181"/>
      <c r="V69" s="181">
        <f>V32/V65/($B$32)</f>
        <v>1.0127883001773201</v>
      </c>
      <c r="W69" s="181"/>
      <c r="X69" s="181">
        <f>X32/X65/($B$32)</f>
        <v>1.0129966517948568</v>
      </c>
      <c r="Y69" s="181"/>
      <c r="Z69" s="181">
        <f>Z32/Z65/($B$32)</f>
        <v>1.0129697294682432</v>
      </c>
      <c r="AA69" s="181"/>
      <c r="AB69" s="181">
        <f>AB32/AB65/($B$32)</f>
        <v>1.0128131203411062</v>
      </c>
      <c r="AC69" s="181"/>
      <c r="AD69" s="181">
        <f>AD32/AD65/($B$32)</f>
        <v>1.0127453391447525</v>
      </c>
      <c r="AE69" s="181"/>
      <c r="AF69" s="181">
        <f>AF32/AF65/($B$32)</f>
        <v>1.0129228507731158</v>
      </c>
      <c r="AG69" s="181"/>
      <c r="AH69" s="181">
        <f>AH32/AH65/($B$32)</f>
        <v>1.0124101932506053</v>
      </c>
      <c r="AI69" s="181"/>
      <c r="AJ69" s="181">
        <f>AJ32/AJ65/($B$32)</f>
        <v>1.0063389395665916</v>
      </c>
      <c r="AK69" s="181"/>
      <c r="AL69" s="181">
        <f>AL32/AL65/($B$32)</f>
        <v>0.97813980284455304</v>
      </c>
      <c r="AM69" s="181"/>
      <c r="AN69" s="181">
        <f>AN32/AN65/($B$32)</f>
        <v>0.8594298155014144</v>
      </c>
      <c r="AO69" s="181"/>
      <c r="AP69" s="181">
        <f>AP32/AP65/($B$32)</f>
        <v>0.80315346307717206</v>
      </c>
      <c r="AQ69" s="181"/>
      <c r="AR69" s="181">
        <f>AR32/AR65/($B$32)</f>
        <v>0.72130622255543664</v>
      </c>
      <c r="AS69" s="181"/>
      <c r="AT69" s="181">
        <f>AT32/AT65/($B$32)</f>
        <v>0.59634579109577979</v>
      </c>
      <c r="AU69" s="181"/>
      <c r="AV69" s="181" t="e">
        <f>AV32/AV65/($B$32)</f>
        <v>#DIV/0!</v>
      </c>
    </row>
    <row r="70" spans="1:48 16384:16384" x14ac:dyDescent="0.2">
      <c r="A70" t="s">
        <v>162</v>
      </c>
      <c r="B70" s="129">
        <f>B18/$B$18</f>
        <v>1</v>
      </c>
      <c r="C70" s="129"/>
      <c r="D70" s="129">
        <f>D18/$B$18</f>
        <v>1.0001500146558517</v>
      </c>
      <c r="E70" s="129"/>
      <c r="F70" s="129">
        <f>F18/$B$18</f>
        <v>1.0001346760062702</v>
      </c>
      <c r="G70" s="129"/>
      <c r="H70" s="129">
        <f>H18/$B$18</f>
        <v>0.99992829525688665</v>
      </c>
      <c r="I70" s="129"/>
      <c r="J70" s="129">
        <f>J18/$B$18</f>
        <v>0.99949883097135772</v>
      </c>
      <c r="K70" s="129"/>
      <c r="L70" s="129">
        <f>L18/$B$18</f>
        <v>0.99880547289298571</v>
      </c>
      <c r="M70" s="129"/>
      <c r="N70" s="129">
        <f>N18/$B$18</f>
        <v>0.99779487805014266</v>
      </c>
      <c r="O70" s="129"/>
      <c r="P70" s="129">
        <f>P18/$B$18</f>
        <v>0.99639546290891534</v>
      </c>
      <c r="Q70" s="129"/>
      <c r="R70" s="129">
        <f>R18/$B$18</f>
        <v>0.99450797591472151</v>
      </c>
      <c r="S70" s="129"/>
      <c r="T70" s="129">
        <f>T18/$B$18</f>
        <v>0.99199016817268393</v>
      </c>
      <c r="U70" s="129"/>
      <c r="V70" s="129">
        <f>V18/$B$18</f>
        <v>0.98863029236896038</v>
      </c>
      <c r="W70" s="129"/>
      <c r="X70" s="129">
        <f>X18/$B$18</f>
        <v>0.98410029213547634</v>
      </c>
      <c r="Y70" s="129"/>
      <c r="Z70" s="129">
        <f>Z18/$B$18</f>
        <v>0.97787045936071404</v>
      </c>
      <c r="AA70" s="129"/>
      <c r="AB70" s="129">
        <f>AB18/$B$18</f>
        <v>0.96905336641299733</v>
      </c>
      <c r="AC70" s="129"/>
      <c r="AD70" s="129">
        <f>AD18/$B$18</f>
        <v>0.95613506076739951</v>
      </c>
      <c r="AE70" s="129"/>
      <c r="AF70" s="129">
        <f>AF18/$B$18</f>
        <v>0.93659313180471127</v>
      </c>
      <c r="AG70" s="129"/>
      <c r="AH70" s="129">
        <f>AH18/$B$18</f>
        <v>0.90643795504280433</v>
      </c>
      <c r="AI70" s="129"/>
      <c r="AJ70" s="129">
        <f>AJ18/$B$18</f>
        <v>0.85889211400170895</v>
      </c>
      <c r="AK70" s="129"/>
      <c r="AL70" s="129">
        <f>AL18/$B$18</f>
        <v>0.77862655007876835</v>
      </c>
      <c r="AM70" s="129"/>
      <c r="AN70" s="129">
        <f>AN18/$B$18</f>
        <v>0.61623184166513389</v>
      </c>
      <c r="AO70" s="129"/>
      <c r="AP70" s="129">
        <f>AP18/$B$18</f>
        <v>0.56035503249439622</v>
      </c>
      <c r="AQ70" s="129"/>
      <c r="AR70" s="129">
        <f>AR18/$B$18</f>
        <v>0.48819667803799083</v>
      </c>
      <c r="AS70" s="129"/>
      <c r="AT70" s="129">
        <f>AT18/$B$18</f>
        <v>0.39008437289406872</v>
      </c>
      <c r="AU70" s="129"/>
      <c r="AV70" s="129">
        <f>AV18/$B$18</f>
        <v>0</v>
      </c>
    </row>
    <row r="71" spans="1:48 16384:16384" x14ac:dyDescent="0.2">
      <c r="A71" t="s">
        <v>163</v>
      </c>
      <c r="B71" s="129">
        <f>C18/$C$18</f>
        <v>1</v>
      </c>
      <c r="D71" s="129">
        <f>E18/$C$18</f>
        <v>0.9262562534773694</v>
      </c>
      <c r="E71" s="129"/>
      <c r="F71" s="129">
        <f>G18/$C$18</f>
        <v>0.85235626610910442</v>
      </c>
      <c r="G71" s="129"/>
      <c r="H71" s="129">
        <f>I18/$C$18</f>
        <v>0.77830941702577827</v>
      </c>
      <c r="I71" s="129"/>
      <c r="J71" s="129">
        <f>K18/$C$18</f>
        <v>0.70414430140911388</v>
      </c>
      <c r="K71" s="129"/>
      <c r="L71" s="129">
        <f>M18/$C$18</f>
        <v>0.62992135878028455</v>
      </c>
      <c r="M71" s="129"/>
      <c r="N71" s="129">
        <f>O18/$C$18</f>
        <v>0.55575497683820829</v>
      </c>
      <c r="O71" s="129"/>
      <c r="P71" s="129">
        <f>Q18/$C$18</f>
        <v>0.48184236459478047</v>
      </c>
      <c r="Q71" s="129"/>
      <c r="R71" s="129">
        <f>S18/$C$18</f>
        <v>0.40851503227120334</v>
      </c>
      <c r="S71" s="129"/>
      <c r="T71" s="129">
        <f>U18/$C$18</f>
        <v>0.33630808084720543</v>
      </c>
      <c r="U71" s="129"/>
      <c r="V71" s="129">
        <f>W18/$C$18</f>
        <v>0.2660722583316541</v>
      </c>
      <c r="W71" s="129"/>
      <c r="X71" s="129">
        <f>Y18/$C$18</f>
        <v>0.199134426500332</v>
      </c>
      <c r="Y71" s="129"/>
      <c r="Z71" s="129">
        <f>AA18/$C$18</f>
        <v>0.13751701253834298</v>
      </c>
      <c r="AA71" s="129"/>
      <c r="AB71" s="129">
        <f>AC18/$C$18</f>
        <v>8.4150319391925216E-2</v>
      </c>
      <c r="AC71" s="129"/>
      <c r="AD71" s="129">
        <f>AE18/$C$18</f>
        <v>4.2742048376494986E-2</v>
      </c>
      <c r="AE71" s="129"/>
      <c r="AF71" s="129">
        <f>AG18/$C$18</f>
        <v>1.635640573423041E-2</v>
      </c>
      <c r="AG71" s="129"/>
      <c r="AH71" s="129">
        <f>AI18/$C$18</f>
        <v>4.197661525365568E-3</v>
      </c>
      <c r="AI71" s="129"/>
      <c r="AJ71" s="129">
        <f>AK18/$C$18</f>
        <v>6.4065037929947756E-4</v>
      </c>
      <c r="AK71" s="129"/>
      <c r="AL71" s="129">
        <f>AM18/$C$18</f>
        <v>4.7753149938700102E-5</v>
      </c>
      <c r="AM71" s="129"/>
      <c r="AN71" s="129">
        <f>AO18/$C$18</f>
        <v>9.6407383721533343E-7</v>
      </c>
      <c r="AO71" s="129"/>
      <c r="AP71" s="129">
        <f>AQ18/$C$18</f>
        <v>3.2431584030757119E-7</v>
      </c>
      <c r="AQ71" s="129"/>
      <c r="AR71" s="129">
        <f>AS18/$C$18</f>
        <v>8.9732002623011652E-8</v>
      </c>
      <c r="AS71" s="129"/>
      <c r="AT71" s="129">
        <f>AU18/$C$18</f>
        <v>1.8298251651488562E-8</v>
      </c>
      <c r="AU71" s="129"/>
      <c r="AV71" s="129">
        <f>AW18/$C$18</f>
        <v>0</v>
      </c>
      <c r="XFD71" s="129"/>
    </row>
    <row r="72" spans="1:48 16384:16384" x14ac:dyDescent="0.2">
      <c r="A72" t="s">
        <v>164</v>
      </c>
      <c r="B72" s="129">
        <f>C19/$C$19</f>
        <v>1</v>
      </c>
      <c r="D72" s="129">
        <f>E19/$C$19</f>
        <v>1.0388782442795448</v>
      </c>
      <c r="E72" s="129"/>
      <c r="F72" s="129">
        <f>G19/$C$19</f>
        <v>1.0836571203853747</v>
      </c>
      <c r="G72" s="129"/>
      <c r="H72" s="129">
        <f>I19/$C$19</f>
        <v>1.1351780505050226</v>
      </c>
      <c r="I72" s="129"/>
      <c r="J72" s="129">
        <f>K19/$C$19</f>
        <v>1.1943716613187427</v>
      </c>
      <c r="K72" s="129"/>
      <c r="L72" s="129">
        <f>M19/$C$19</f>
        <v>1.2622319898276946</v>
      </c>
      <c r="M72" s="129"/>
      <c r="N72" s="129">
        <f>O19/$C$19</f>
        <v>1.3397563169487354</v>
      </c>
      <c r="O72" s="129"/>
      <c r="P72" s="129">
        <f>Q19/$C$19</f>
        <v>1.4278243504883881</v>
      </c>
      <c r="Q72" s="129"/>
      <c r="R72" s="129">
        <f>S19/$C$19</f>
        <v>1.5269626660394362</v>
      </c>
      <c r="S72" s="129"/>
      <c r="T72" s="129">
        <f>U19/$C$19</f>
        <v>1.6369153624575299</v>
      </c>
      <c r="U72" s="129"/>
      <c r="V72" s="129">
        <f>W19/$C$19</f>
        <v>1.7558317123015892</v>
      </c>
      <c r="W72" s="129"/>
      <c r="X72" s="129">
        <f>Y19/$C$19</f>
        <v>1.8787679041076135</v>
      </c>
      <c r="Y72" s="129"/>
      <c r="Z72" s="129">
        <f>AA19/$C$19</f>
        <v>1.99493492422038</v>
      </c>
      <c r="AA72" s="129"/>
      <c r="AB72" s="129">
        <f>AC19/$C$19</f>
        <v>2.0830274069515653</v>
      </c>
      <c r="AC72" s="129"/>
      <c r="AD72" s="129">
        <f>AE19/$C$19</f>
        <v>2.1054256265661513</v>
      </c>
      <c r="AE72" s="129"/>
      <c r="AF72" s="129">
        <f>AG19/$C$19</f>
        <v>2.010005776688597</v>
      </c>
      <c r="AG72" s="129"/>
      <c r="AH72" s="129">
        <f>AI19/$C$19</f>
        <v>1.7604725173688491</v>
      </c>
      <c r="AI72" s="129"/>
      <c r="AJ72" s="129">
        <f>AK19/$C$19</f>
        <v>1.3806354160891856</v>
      </c>
      <c r="AK72" s="129"/>
      <c r="AL72" s="129">
        <f>AM19/$C$19</f>
        <v>0.93462618319991708</v>
      </c>
      <c r="AM72" s="129"/>
      <c r="AN72" s="129">
        <f>AO19/$C$19</f>
        <v>0.46886576307397443</v>
      </c>
      <c r="AO72" s="129"/>
      <c r="AP72" s="129">
        <f>AQ19/$C$19</f>
        <v>0.37515138976283963</v>
      </c>
      <c r="AQ72" s="129"/>
      <c r="AR72" s="129">
        <f>AS19/$C$19</f>
        <v>0.28138891606023669</v>
      </c>
      <c r="AS72" s="129"/>
      <c r="AT72" s="129">
        <f>AU19/$C$19</f>
        <v>0.18760156151487878</v>
      </c>
      <c r="AU72" s="129"/>
      <c r="AV72" s="129">
        <f>AW19/$C$19</f>
        <v>0</v>
      </c>
      <c r="XFD72" s="129"/>
    </row>
    <row r="73" spans="1:48 16384:16384" x14ac:dyDescent="0.2">
      <c r="A73" t="s">
        <v>168</v>
      </c>
      <c r="B73" s="183">
        <f t="array" ref="B73">SUM(B9:C9*B22:C22)/B32</f>
        <v>0.47641153352875065</v>
      </c>
      <c r="D73" s="183">
        <f t="array" ref="D73">SUM(D9:E9*D22:E22)/D32</f>
        <v>0.47641153398770436</v>
      </c>
      <c r="E73" s="129"/>
      <c r="F73" s="183">
        <f t="array" ref="F73">SUM(F9:G9*F22:G22)/F32</f>
        <v>0.47641153421049637</v>
      </c>
      <c r="G73" s="129"/>
      <c r="H73" s="183">
        <f t="array" ref="H73">SUM(H9:I9*H22:I22)/H32</f>
        <v>0.47641153441999523</v>
      </c>
      <c r="I73" s="129"/>
      <c r="J73" s="183">
        <f t="array" ref="J73">SUM(J9:K9*J22:K22)/J32</f>
        <v>0.4764115335379836</v>
      </c>
      <c r="K73" s="129"/>
      <c r="L73" s="183">
        <f t="array" ref="L73">SUM(L9:M9*L22:M22)/L32</f>
        <v>0.47641153486991517</v>
      </c>
      <c r="M73" s="129"/>
      <c r="N73" s="183">
        <f t="array" ref="N73">SUM(N9:O9*N22:O22)/N32</f>
        <v>0.47641153365147448</v>
      </c>
      <c r="O73" s="129"/>
      <c r="P73" s="183">
        <f t="array" ref="P73">SUM(P9:Q9*P22:Q22)/P32</f>
        <v>0.47641154941941699</v>
      </c>
      <c r="Q73" s="129"/>
      <c r="R73" s="183">
        <f t="array" ref="R73">SUM(R9:S9*R22:S22)/R32</f>
        <v>0.47641154374087236</v>
      </c>
      <c r="S73" s="129"/>
      <c r="T73" s="183">
        <f t="array" ref="T73">SUM(T9:U9*T22:U22)/T32</f>
        <v>0.47641154281869591</v>
      </c>
      <c r="U73" s="129"/>
      <c r="V73" s="183">
        <f t="array" ref="V73">SUM(V9:W9*V22:W22)/V32</f>
        <v>0.47641153362696087</v>
      </c>
      <c r="W73" s="129"/>
      <c r="X73" s="183">
        <f t="array" ref="X73">SUM(X9:Y9*X22:Y22)/X32</f>
        <v>0.47641153418232307</v>
      </c>
      <c r="Y73" s="129"/>
      <c r="Z73" s="183">
        <f t="array" ref="Z73">SUM(Z9:AA9*Z22:AA22)/Z32</f>
        <v>0.47641153328048069</v>
      </c>
      <c r="AA73" s="129"/>
      <c r="AB73" s="183">
        <f t="array" ref="AB73">SUM(AB9:AC9*AB22:AC22)/AB32</f>
        <v>0.47641153365488775</v>
      </c>
      <c r="AC73" s="129"/>
      <c r="AD73" s="183">
        <f t="array" ref="AD73">SUM(AD9:AE9*AD22:AE22)/AD32</f>
        <v>0.47641153336031294</v>
      </c>
      <c r="AE73" s="129"/>
      <c r="AF73" s="183">
        <f t="array" ref="AF73">SUM(AF9:AG9*AF22:AG22)/AF32</f>
        <v>0.47641153356899302</v>
      </c>
      <c r="AG73" s="129"/>
      <c r="AH73" s="183">
        <f t="array" ref="AH73">SUM(AH9:AI9*AH22:AI22)/AH32</f>
        <v>0.4764115335345141</v>
      </c>
      <c r="AI73" s="129"/>
      <c r="AJ73" s="183">
        <f t="array" ref="AJ73">SUM(AJ9:AK9*AJ22:AK22)/AJ32</f>
        <v>0.47641153352852389</v>
      </c>
      <c r="AK73" s="129"/>
      <c r="AL73" s="183">
        <f t="array" ref="AL73">SUM(AL9:AM9*AL22:AM22)/AL32</f>
        <v>0.47641153352878529</v>
      </c>
      <c r="AM73" s="129"/>
      <c r="AN73" s="183">
        <f t="array" ref="AN73">SUM(AN9:AO9*AN22:AO22)/AN32</f>
        <v>0.47641153352875365</v>
      </c>
      <c r="AO73" s="129"/>
      <c r="AP73" s="183">
        <f t="array" ref="AP73">SUM(AP9:AQ9*AP22:AQ22)/AP32</f>
        <v>0.47641153352873983</v>
      </c>
      <c r="AQ73" s="129"/>
      <c r="AR73" s="183">
        <f t="array" ref="AR73">SUM(AR9:AS9*AR22:AS22)/AR32</f>
        <v>0.47641153352876958</v>
      </c>
      <c r="AS73" s="129"/>
      <c r="AT73" s="183">
        <f t="array" ref="AT73">SUM(AT9:AU9*AT22:AU22)/AT32</f>
        <v>0.47641153352875137</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f t="array" ref="AN74">SUM(AN10:AO10*AN23:AO23)/AN32</f>
        <v>0.22604620456442487</v>
      </c>
      <c r="AO74" s="129"/>
      <c r="AP74" s="183">
        <f t="array" ref="AP74">SUM(AP10:AQ10*AP23:AQ23)/AP32</f>
        <v>0.22604620456442484</v>
      </c>
      <c r="AQ74" s="129"/>
      <c r="AR74" s="183">
        <f t="array" ref="AR74">SUM(AR10:AS10*AR23:AS23)/AR32</f>
        <v>0.22604620456442484</v>
      </c>
      <c r="AS74" s="129"/>
      <c r="AT74" s="183">
        <f t="array" ref="AT74">SUM(AT10:AU10*AT23:AU23)/AT32</f>
        <v>0.22604620456442484</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0.22038438832499482</v>
      </c>
      <c r="E75" s="129"/>
      <c r="F75" s="183">
        <f t="array" ref="F75">SUM(F11:G11*F24:G24)/F32</f>
        <v>0.22038438831928076</v>
      </c>
      <c r="G75" s="129"/>
      <c r="H75" s="183">
        <f t="array" ref="H75">SUM(H11:I11*H24:I24)/H32</f>
        <v>0.22038438831203694</v>
      </c>
      <c r="I75" s="129"/>
      <c r="J75" s="183">
        <f t="array" ref="J75">SUM(J11:K11*J24:K24)/J32</f>
        <v>0.22038438833194574</v>
      </c>
      <c r="K75" s="129"/>
      <c r="L75" s="183">
        <f t="array" ref="L75">SUM(L11:M11*L24:M24)/L32</f>
        <v>0.22038438829309406</v>
      </c>
      <c r="M75" s="129"/>
      <c r="N75" s="183">
        <f t="array" ref="N75">SUM(N11:O11*N24:O24)/N32</f>
        <v>0.22038438834812946</v>
      </c>
      <c r="O75" s="129"/>
      <c r="P75" s="183">
        <f t="array" ref="P75">SUM(P11:Q11*P24:Q24)/P32</f>
        <v>0.22038438831246832</v>
      </c>
      <c r="Q75" s="129"/>
      <c r="R75" s="183">
        <f t="array" ref="R75">SUM(R11:S11*R24:S24)/R32</f>
        <v>0.22038438831828547</v>
      </c>
      <c r="S75" s="129"/>
      <c r="T75" s="183">
        <f t="array" ref="T75">SUM(T11:U11*T24:U24)/T32</f>
        <v>0.22038438832034599</v>
      </c>
      <c r="U75" s="129"/>
      <c r="V75" s="183">
        <f t="array" ref="V75">SUM(V11:W11*V24:W24)/V32</f>
        <v>0.22038438833346216</v>
      </c>
      <c r="W75" s="129"/>
      <c r="X75" s="183">
        <f t="array" ref="X75">SUM(X11:Y11*X24:Y24)/X32</f>
        <v>0.22038438834247551</v>
      </c>
      <c r="Y75" s="129"/>
      <c r="Z75" s="183">
        <f t="array" ref="Z75">SUM(Z11:AA11*Z24:AA24)/Z32</f>
        <v>0.22038438833845703</v>
      </c>
      <c r="AA75" s="129"/>
      <c r="AB75" s="183">
        <f t="array" ref="AB75">SUM(AB11:AC11*AB24:AC24)/AB32</f>
        <v>0.22038438833065763</v>
      </c>
      <c r="AC75" s="129"/>
      <c r="AD75" s="183">
        <f t="array" ref="AD75">SUM(AD11:AE11*AD24:AE24)/AD32</f>
        <v>0.22038438833290541</v>
      </c>
      <c r="AE75" s="129"/>
      <c r="AF75" s="183">
        <f t="array" ref="AF75">SUM(AF11:AG11*AF24:AG24)/AF32</f>
        <v>0.22038438833194657</v>
      </c>
      <c r="AG75" s="129"/>
      <c r="AH75" s="183">
        <f t="array" ref="AH75">SUM(AH11:AI11*AH24:AI24)/AH32</f>
        <v>0.22038438833196619</v>
      </c>
      <c r="AI75" s="129"/>
      <c r="AJ75" s="183">
        <f t="array" ref="AJ75">SUM(AJ11:AK11*AJ24:AK24)/AJ32</f>
        <v>0.22038438833194035</v>
      </c>
      <c r="AK75" s="129"/>
      <c r="AL75" s="183">
        <f t="array" ref="AL75">SUM(AL11:AM11*AL24:AM24)/AL32</f>
        <v>0.2203843883319406</v>
      </c>
      <c r="AM75" s="129"/>
      <c r="AN75" s="183">
        <f t="array" ref="AN75">SUM(AN11:AO11*AN24:AO24)/AN32</f>
        <v>0.22038438833194127</v>
      </c>
      <c r="AO75" s="129"/>
      <c r="AP75" s="183">
        <f t="array" ref="AP75">SUM(AP11:AQ11*AP24:AQ24)/AP32</f>
        <v>0.22038438833193394</v>
      </c>
      <c r="AQ75" s="129"/>
      <c r="AR75" s="183">
        <f t="array" ref="AR75">SUM(AR11:AS11*AR24:AS24)/AR32</f>
        <v>0.22038438833194929</v>
      </c>
      <c r="AS75" s="129"/>
      <c r="AT75" s="183">
        <f t="array" ref="AT75">SUM(AT11:AU11*AT24:AU24)/AT32</f>
        <v>0.22038438833194079</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0.22312163317500627</v>
      </c>
      <c r="E76" s="129"/>
      <c r="F76" s="183">
        <f t="array" ref="F76">SUM(F12:G12*F25:G25)/F32</f>
        <v>0.22330466302768689</v>
      </c>
      <c r="G76" s="129"/>
      <c r="H76" s="183">
        <f t="array" ref="H76">SUM(H12:I12*H25:I25)/H32</f>
        <v>0.22357902167946941</v>
      </c>
      <c r="I76" s="129"/>
      <c r="J76" s="183">
        <f t="array" ref="J76">SUM(J12:K12*J25:K25)/J32</f>
        <v>0.22395693292088803</v>
      </c>
      <c r="K76" s="129"/>
      <c r="L76" s="183">
        <f t="array" ref="L76">SUM(L12:M12*L25:M25)/L32</f>
        <v>0.22445110280153621</v>
      </c>
      <c r="M76" s="129"/>
      <c r="N76" s="183">
        <f t="array" ref="N76">SUM(N12:O12*N25:O25)/N32</f>
        <v>0.2250735404074504</v>
      </c>
      <c r="O76" s="129"/>
      <c r="P76" s="183">
        <f t="array" ref="P76">SUM(P12:Q12*P25:Q25)/P32</f>
        <v>0.22583313256587276</v>
      </c>
      <c r="Q76" s="129"/>
      <c r="R76" s="183">
        <f t="array" ref="R76">SUM(R12:S12*R25:S25)/R32</f>
        <v>0.22673109525393836</v>
      </c>
      <c r="S76" s="129"/>
      <c r="T76" s="183">
        <f t="array" ref="T76">SUM(T12:U12*T25:U25)/T32</f>
        <v>0.22775221025313847</v>
      </c>
      <c r="U76" s="129"/>
      <c r="V76" s="183">
        <f t="array" ref="V76">SUM(V12:W12*V25:W25)/V32</f>
        <v>0.22884838937773497</v>
      </c>
      <c r="W76" s="129"/>
      <c r="X76" s="183">
        <f t="array" ref="X76">SUM(X12:Y12*X25:Y25)/X32</f>
        <v>0.22990741387289521</v>
      </c>
      <c r="Y76" s="129"/>
      <c r="Z76" s="183">
        <f t="array" ref="Z76">SUM(Z12:AA12*Z25:AA25)/Z32</f>
        <v>0.23069451353290737</v>
      </c>
      <c r="AA76" s="129"/>
      <c r="AB76" s="183">
        <f t="array" ref="AB76">SUM(AB12:AC12*AB25:AC25)/AB32</f>
        <v>0.23075039978767345</v>
      </c>
      <c r="AC76" s="129"/>
      <c r="AD76" s="183">
        <f t="array" ref="AD76">SUM(AD12:AE12*AD25:AE25)/AD32</f>
        <v>0.22925722500256265</v>
      </c>
      <c r="AE76" s="129"/>
      <c r="AF76" s="183">
        <f t="array" ref="AF76">SUM(AF12:AG12*AF25:AG25)/AF32</f>
        <v>0.2250437389515742</v>
      </c>
      <c r="AG76" s="129"/>
      <c r="AH76" s="183">
        <f t="array" ref="AH76">SUM(AH12:AI12*AH25:AI25)/AH32</f>
        <v>0.21714971607908404</v>
      </c>
      <c r="AI76" s="129"/>
      <c r="AJ76" s="183">
        <f t="array" ref="AJ76">SUM(AJ12:AK12*AJ25:AK25)/AJ32</f>
        <v>0.2056499281425751</v>
      </c>
      <c r="AK76" s="129"/>
      <c r="AL76" s="183">
        <f t="array" ref="AL76">SUM(AL12:AM12*AL25:AM25)/AL32</f>
        <v>0.19117904052235782</v>
      </c>
      <c r="AM76" s="129"/>
      <c r="AN76" s="183">
        <f t="array" ref="AN76">SUM(AN12:AO12*AN25:AO25)/AN32</f>
        <v>0.17367075946753652</v>
      </c>
      <c r="AO76" s="129"/>
      <c r="AP76" s="183">
        <f t="array" ref="AP76">SUM(AP12:AQ12*AP25:AQ25)/AP32</f>
        <v>0.16970317648172853</v>
      </c>
      <c r="AQ76" s="129"/>
      <c r="AR76" s="183">
        <f t="array" ref="AR76">SUM(AR12:AS12*AR25:AS25)/AR32</f>
        <v>0.16553053404015747</v>
      </c>
      <c r="AS76" s="129"/>
      <c r="AT76" s="183">
        <f t="array" ref="AT76">SUM(AT12:AU12*AT25:AU25)/AT32</f>
        <v>0.16111041307825477</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0.14596376005212963</v>
      </c>
      <c r="E77" s="129"/>
      <c r="F77" s="183">
        <f t="array" ref="F77">SUM(F4:G4*F19:G19)/F32</f>
        <v>0.1461467901218885</v>
      </c>
      <c r="G77" s="129"/>
      <c r="H77" s="183">
        <f t="array" ref="H77">SUM(H4:I4*H19:I19)/H32</f>
        <v>0.1464211489759257</v>
      </c>
      <c r="I77" s="129"/>
      <c r="J77" s="183">
        <f t="array" ref="J77">SUM(J4:K4*J19:K19)/J32</f>
        <v>0.14679905935524165</v>
      </c>
      <c r="K77" s="129"/>
      <c r="L77" s="183">
        <f t="array" ref="L77">SUM(L4:M4*L19:M19)/L32</f>
        <v>0.14729323052896959</v>
      </c>
      <c r="M77" s="129"/>
      <c r="N77" s="183">
        <f t="array" ref="N77">SUM(N4:O4*N19:O19)/N32</f>
        <v>0.14791566697147879</v>
      </c>
      <c r="O77" s="129"/>
      <c r="P77" s="183">
        <f t="array" ref="P77">SUM(P4:Q4*P19:Q19)/P32</f>
        <v>0.14867527486218246</v>
      </c>
      <c r="Q77" s="129"/>
      <c r="R77" s="183">
        <f t="array" ref="R77">SUM(R4:S4*R19:S19)/R32</f>
        <v>0.14957323187752089</v>
      </c>
      <c r="S77" s="129"/>
      <c r="T77" s="183">
        <f t="array" ref="T77">SUM(T4:U4*T19:U19)/T32</f>
        <v>0.15059434595660459</v>
      </c>
      <c r="U77" s="129"/>
      <c r="V77" s="183">
        <f t="array" ref="V77">SUM(V4:W4*V19:W19)/V32</f>
        <v>0.1516905159025827</v>
      </c>
      <c r="W77" s="129"/>
      <c r="X77" s="183">
        <f t="array" ref="X77">SUM(X4:Y4*X19:Y19)/X32</f>
        <v>0.15274954096211835</v>
      </c>
      <c r="Y77" s="129"/>
      <c r="Z77" s="183">
        <f t="array" ref="Z77">SUM(Z4:AA4*Z19:AA19)/Z32</f>
        <v>0.15353663971626974</v>
      </c>
      <c r="AA77" s="129"/>
      <c r="AB77" s="183">
        <f t="array" ref="AB77">SUM(AB4:AC4*AB19:AC19)/AB32</f>
        <v>0.15359252633764311</v>
      </c>
      <c r="AC77" s="129"/>
      <c r="AD77" s="183">
        <f t="array" ref="AD77">SUM(AD4:AE4*AD19:AE19)/AD32</f>
        <v>0.1520993512602053</v>
      </c>
      <c r="AE77" s="129"/>
      <c r="AF77" s="183">
        <f t="array" ref="AF77">SUM(AF4:AG4*AF19:AG19)/AF32</f>
        <v>0.14788586541693824</v>
      </c>
      <c r="AG77" s="129"/>
      <c r="AH77" s="183">
        <f t="array" ref="AH77">SUM(AH4:AI4*AH19:AI19)/AH32</f>
        <v>0.13999184250998883</v>
      </c>
      <c r="AI77" s="129"/>
      <c r="AJ77" s="183">
        <f t="array" ref="AJ77">SUM(AJ4:AK4*AJ19:AK19)/AJ32</f>
        <v>0.12849205456746382</v>
      </c>
      <c r="AK77" s="129"/>
      <c r="AL77" s="183">
        <f t="array" ref="AL77">SUM(AL4:AM4*AL19:AM19)/AL32</f>
        <v>0.11402116694750823</v>
      </c>
      <c r="AM77" s="129"/>
      <c r="AN77" s="183">
        <f t="array" ref="AN77">SUM(AN4:AO4*AN19:AO19)/AN32</f>
        <v>9.6512885892656039E-2</v>
      </c>
      <c r="AO77" s="129"/>
      <c r="AP77" s="183">
        <f t="array" ref="AP77">SUM(AP4:AQ4*AP19:AQ19)/AP32</f>
        <v>9.2545302906826374E-2</v>
      </c>
      <c r="AQ77" s="129"/>
      <c r="AR77" s="183">
        <f t="array" ref="AR77">SUM(AR4:AS4*AR19:AS19)/AR32</f>
        <v>8.8372660465301053E-2</v>
      </c>
      <c r="AS77" s="129"/>
      <c r="AT77" s="183">
        <f t="array" ref="AT77">SUM(AT4:AU4*AT19:AU19)/AT32</f>
        <v>8.3952539503371323E-2</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0.3460145623284665</v>
      </c>
      <c r="E78" s="129"/>
      <c r="F78" s="183">
        <f t="array" ref="F78">SUM(F13:G13*F26:G26)/F32</f>
        <v>0.34505137509803679</v>
      </c>
      <c r="G78" s="129"/>
      <c r="H78" s="183">
        <f t="array" ref="H78">SUM(H13:I13*H26:I26)/H32</f>
        <v>0.3439842122890866</v>
      </c>
      <c r="I78" s="129"/>
      <c r="J78" s="183">
        <f t="array" ref="J78">SUM(J13:K13*J26:K26)/J32</f>
        <v>0.34279585259132273</v>
      </c>
      <c r="K78" s="129"/>
      <c r="L78" s="183">
        <f t="array" ref="L78">SUM(L13:M13*L26:M26)/L32</f>
        <v>0.34146427908203925</v>
      </c>
      <c r="M78" s="129"/>
      <c r="N78" s="183">
        <f t="array" ref="N78">SUM(N13:O13*N26:O26)/N32</f>
        <v>0.33996047768318266</v>
      </c>
      <c r="O78" s="129"/>
      <c r="P78" s="183">
        <f t="array" ref="P78">SUM(P13:Q13*P26:Q26)/P32</f>
        <v>0.33824490309471145</v>
      </c>
      <c r="Q78" s="129"/>
      <c r="R78" s="183">
        <f t="array" ref="R78">SUM(R13:S13*R26:S26)/R32</f>
        <v>0.33626159880374623</v>
      </c>
      <c r="S78" s="129"/>
      <c r="T78" s="183">
        <f t="array" ref="T78">SUM(T13:U13*T26:U26)/T32</f>
        <v>0.33392817359553034</v>
      </c>
      <c r="U78" s="129"/>
      <c r="V78" s="183">
        <f t="array" ref="V78">SUM(V13:W13*V26:W26)/V32</f>
        <v>0.33111823988845246</v>
      </c>
      <c r="W78" s="129"/>
      <c r="X78" s="183">
        <f t="array" ref="X78">SUM(X13:Y13*X26:Y26)/X32</f>
        <v>0.32762978693923056</v>
      </c>
      <c r="Y78" s="129"/>
      <c r="Z78" s="183">
        <f t="array" ref="Z78">SUM(Z13:AA13*Z26:AA26)/Z32</f>
        <v>0.32312753698841318</v>
      </c>
      <c r="AA78" s="129"/>
      <c r="AB78" s="183">
        <f t="array" ref="AB78">SUM(AB13:AC13*AB26:AC26)/AB32</f>
        <v>0.31704053786948477</v>
      </c>
      <c r="AC78" s="129"/>
      <c r="AD78" s="183">
        <f t="array" ref="AD78">SUM(AD13:AE13*AD26:AE26)/AD32</f>
        <v>0.30840489393953041</v>
      </c>
      <c r="AE78" s="129"/>
      <c r="AF78" s="183">
        <f t="array" ref="AF78">SUM(AF13:AG13*AF26:AG26)/AF32</f>
        <v>0.29572817359250725</v>
      </c>
      <c r="AG78" s="129"/>
      <c r="AH78" s="183">
        <f t="array" ref="AH78">SUM(AH13:AI13*AH26:AI26)/AH32</f>
        <v>0.27710202384243249</v>
      </c>
      <c r="AI78" s="129"/>
      <c r="AJ78" s="183">
        <f t="array" ref="AJ78">SUM(AJ13:AK13*AJ26:AK26)/AJ32</f>
        <v>0.25032640504175119</v>
      </c>
      <c r="AK78" s="129"/>
      <c r="AL78" s="183">
        <f t="array" ref="AL78">SUM(AL13:AM13*AL26:AM26)/AL32</f>
        <v>0.21167358011001053</v>
      </c>
      <c r="AM78" s="129"/>
      <c r="AN78" s="183">
        <f t="array" ref="AN78">SUM(AN13:AO13*AN26:AO26)/AN32</f>
        <v>0.15086184611545955</v>
      </c>
      <c r="AO78" s="129"/>
      <c r="AP78" s="183">
        <f t="array" ref="AP78">SUM(AP13:AQ13*AP26:AQ26)/AP32</f>
        <v>0.13346744371044802</v>
      </c>
      <c r="AQ78" s="129"/>
      <c r="AR78" s="183">
        <f t="array" ref="AR78">SUM(AR13:AS13*AR26:AS26)/AR32</f>
        <v>0.11278360647085725</v>
      </c>
      <c r="AS78" s="129"/>
      <c r="AT78" s="183">
        <f t="array" ref="AT78">SUM(AT13:AU13*AT26:AU26)/AT32</f>
        <v>8.7076633656338345E-2</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0.45069170137868969</v>
      </c>
      <c r="F79" s="183">
        <f t="array" ref="F79">SUM(F15:G15*F27:G27)/F32</f>
        <v>0.44667230687289722</v>
      </c>
      <c r="H79" s="183">
        <f t="array" ref="H79">SUM(H15:I15*H27:I27)/H32</f>
        <v>0.44253362356985049</v>
      </c>
      <c r="J79" s="183">
        <f t="array" ref="J79">SUM(J15:K15*J27:K27)/J32</f>
        <v>0.43825410564941408</v>
      </c>
      <c r="L79" s="183">
        <f t="array" ref="L79">SUM(L15:M15*L27:M27)/L32</f>
        <v>0.43380727334243202</v>
      </c>
      <c r="N79" s="183">
        <f t="array" ref="N79">SUM(N15:O15*N27:O27)/N32</f>
        <v>0.42915987759312457</v>
      </c>
      <c r="P79" s="183">
        <f t="array" ref="P79">SUM(P15:Q15*P27:Q27)/P32</f>
        <v>0.42426864186338759</v>
      </c>
      <c r="R79" s="183">
        <f t="array" ref="R79">SUM(R15:S15*R27:S27)/R32</f>
        <v>0.41907521422601635</v>
      </c>
      <c r="T79" s="183">
        <f t="array" ref="T79">SUM(T15:U15*T27:U27)/T32</f>
        <v>0.41349675584242107</v>
      </c>
      <c r="V79" s="183">
        <f t="array" ref="V79">SUM(V15:W15*V27:W27)/V32</f>
        <v>0.40740943954499442</v>
      </c>
      <c r="X79" s="183">
        <f t="array" ref="X79">SUM(X15:Y15*X27:Y27)/X32</f>
        <v>0.40061727398938657</v>
      </c>
      <c r="Z79" s="183">
        <f t="array" ref="Z79">SUM(Z15:AA15*Z27:AA27)/Z32</f>
        <v>0.39279287837545696</v>
      </c>
      <c r="AB79" s="183">
        <f t="array" ref="AB79">SUM(AB15:AC15*AB27:AC27)/AB32</f>
        <v>0.38336582563115984</v>
      </c>
      <c r="AD79" s="183">
        <f t="array" ref="AD79">SUM(AD15:AE15*AD27:AE27)/AD32</f>
        <v>0.37133378359232999</v>
      </c>
      <c r="AF79" s="183">
        <f t="array" ref="AF79">SUM(AF15:AG15*AF27:AG27)/AF32</f>
        <v>0.35504776345532957</v>
      </c>
      <c r="AH79" s="183">
        <f t="array" ref="AH79">SUM(AH15:AI15*AH27:AI27)/AH32</f>
        <v>0.33221188429639897</v>
      </c>
      <c r="AJ79" s="183">
        <f t="array" ref="AJ79">SUM(AJ15:AK15*AJ27:AK27)/AJ32</f>
        <v>0.29997351018031648</v>
      </c>
      <c r="AL79" s="183">
        <f t="array" ref="AL79">SUM(AL15:AM15*AL27:AM27)/AL32</f>
        <v>0.25363257103571307</v>
      </c>
      <c r="AN79" s="183">
        <f t="array" ref="AN79">SUM(AN15:AO15*AN27:AO27)/AN32</f>
        <v>0.18076492730406252</v>
      </c>
      <c r="AP79" s="183">
        <f t="array" ref="AP79">SUM(AP15:AQ15*AP27:AQ27)/AP32</f>
        <v>0.15992266962415855</v>
      </c>
      <c r="AR79" s="183">
        <f t="array" ref="AR79">SUM(AR15:AS15*AR27:AS27)/AR32</f>
        <v>0.13513898106919192</v>
      </c>
      <c r="AT79" s="183">
        <f t="array" ref="AT79">SUM(AT15:AU15*AT27:AU27)/AT32</f>
        <v>0.10433650482359011</v>
      </c>
      <c r="AV79" s="183" t="e">
        <f t="array" ref="AV79">SUM(AV15:AW15*AV27:AW27)/AV32</f>
        <v>#DIV/0!</v>
      </c>
      <c r="XFD79" s="183"/>
    </row>
    <row r="80" spans="1:48 16384:16384" x14ac:dyDescent="0.2">
      <c r="A80" t="s">
        <v>153</v>
      </c>
      <c r="B80" s="195">
        <f>B55</f>
        <v>0.19850271905982084</v>
      </c>
      <c r="D80" s="195">
        <f>D55</f>
        <v>0.20329373560649916</v>
      </c>
      <c r="F80" s="195">
        <f>F55</f>
        <v>0.20827631681787256</v>
      </c>
      <c r="H80" s="195">
        <f>H55</f>
        <v>0.2134821622778712</v>
      </c>
      <c r="J80" s="195">
        <f>J55</f>
        <v>0.21895004176929175</v>
      </c>
      <c r="L80" s="195">
        <f>L55</f>
        <v>0.22472844391209248</v>
      </c>
      <c r="N80" s="195">
        <f>N55</f>
        <v>0.23087964861777691</v>
      </c>
      <c r="P80" s="195">
        <f>P55</f>
        <v>0.2374864714592454</v>
      </c>
      <c r="R80" s="195">
        <f>R55</f>
        <v>0.24466319704757095</v>
      </c>
      <c r="T80" s="195">
        <f>T55</f>
        <v>0.2525750791735632</v>
      </c>
      <c r="V80" s="195">
        <f>V55</f>
        <v>0.26147232126035197</v>
      </c>
      <c r="X80" s="195">
        <f>X55</f>
        <v>0.2717529445994854</v>
      </c>
      <c r="Z80" s="195">
        <f>Z55</f>
        <v>0.28407958837139541</v>
      </c>
      <c r="AB80" s="195">
        <f>AB55</f>
        <v>0.29959363544315404</v>
      </c>
      <c r="AD80" s="195">
        <f>AD55</f>
        <v>0.32026132536711199</v>
      </c>
      <c r="AF80" s="195">
        <f>AF55</f>
        <v>0.34922406271191575</v>
      </c>
      <c r="AH80" s="195">
        <f>AH55</f>
        <v>0.39068609143056326</v>
      </c>
      <c r="AJ80" s="195">
        <f>AJ55</f>
        <v>0.44970008490875124</v>
      </c>
      <c r="AL80" s="195">
        <f>AL55</f>
        <v>0.53469384886441229</v>
      </c>
      <c r="AN80" s="195">
        <f>AN55</f>
        <v>0.66837322658331022</v>
      </c>
      <c r="AP80" s="195">
        <f>AP55</f>
        <v>0.70660988668688951</v>
      </c>
      <c r="AR80" s="195">
        <f>AR55</f>
        <v>0.75207741246286441</v>
      </c>
      <c r="AT80" s="195">
        <f>AT55</f>
        <v>0.80858686151998493</v>
      </c>
      <c r="AV80" s="195" t="e">
        <f>AV55</f>
        <v>#DIV/0!</v>
      </c>
      <c r="XFD80" s="195"/>
    </row>
    <row r="81" spans="1:48 16384:16384" x14ac:dyDescent="0.2">
      <c r="A81" t="s">
        <v>175</v>
      </c>
      <c r="B81" s="195">
        <f>B51/B$32</f>
        <v>-2.7543485504603994E-2</v>
      </c>
      <c r="D81" s="195">
        <f>D51/D$32</f>
        <v>-2.2752468957925664E-2</v>
      </c>
      <c r="F81" s="195">
        <f>F51/F$32</f>
        <v>-1.7769887746552273E-2</v>
      </c>
      <c r="H81" s="195">
        <f>H51/H$32</f>
        <v>-1.2564042286553624E-2</v>
      </c>
      <c r="J81" s="195">
        <f>J51/J$32</f>
        <v>-7.0961627951330909E-3</v>
      </c>
      <c r="L81" s="195">
        <f>L51/L$32</f>
        <v>-1.3177606523323642E-3</v>
      </c>
      <c r="N81" s="195">
        <f>N51/N$32</f>
        <v>4.833444053352085E-3</v>
      </c>
      <c r="P81" s="195">
        <f>P51/P$32</f>
        <v>1.1440266894820555E-2</v>
      </c>
      <c r="R81" s="195">
        <f>R51/R$32</f>
        <v>1.8616992483146109E-2</v>
      </c>
      <c r="T81" s="195">
        <f>T51/T$32</f>
        <v>2.6528874609138369E-2</v>
      </c>
      <c r="V81" s="195">
        <f>V51/V$32</f>
        <v>3.5426116695927129E-2</v>
      </c>
      <c r="X81" s="195">
        <f>X51/X$32</f>
        <v>4.5706740035060582E-2</v>
      </c>
      <c r="Z81" s="195">
        <f>Z51/Z$32</f>
        <v>5.8033383806970533E-2</v>
      </c>
      <c r="AB81" s="195">
        <f>AB51/AB$32</f>
        <v>7.3547430878729225E-2</v>
      </c>
      <c r="AD81" s="195">
        <f>AD51/AD$32</f>
        <v>9.4215120802687125E-2</v>
      </c>
      <c r="AF81" s="195">
        <f>AF51/AF$32</f>
        <v>0.12317785814749092</v>
      </c>
      <c r="AH81" s="195">
        <f>AH51/AH$32</f>
        <v>0.16463988686613845</v>
      </c>
      <c r="AJ81" s="195">
        <f>AJ51/AJ$32</f>
        <v>0.2236538803443264</v>
      </c>
      <c r="AL81" s="195">
        <f>AL51/AL$32</f>
        <v>0.30864764429998748</v>
      </c>
      <c r="AN81" s="195">
        <f>AN51/AN$32</f>
        <v>0.44232702201888546</v>
      </c>
      <c r="AP81" s="195">
        <f>AP51/AP$32</f>
        <v>0.48056368212246464</v>
      </c>
      <c r="AR81" s="195">
        <f>AR51/AR$32</f>
        <v>0.5260312078984396</v>
      </c>
      <c r="AT81" s="195">
        <f>AT51/AT$32</f>
        <v>0.58254065695556012</v>
      </c>
      <c r="AV81" s="195" t="e">
        <f>AV51/AV$32</f>
        <v>#DIV/0!</v>
      </c>
      <c r="XFD81" s="195"/>
    </row>
    <row r="82" spans="1:48 16384:16384" x14ac:dyDescent="0.2">
      <c r="A82" t="s">
        <v>176</v>
      </c>
      <c r="B82" s="195">
        <f>B52/B$32</f>
        <v>0.14069693704202227</v>
      </c>
      <c r="D82" s="195">
        <f>D52/D$32</f>
        <v>0.14034283744274254</v>
      </c>
      <c r="F82" s="195">
        <f>F52/F$32</f>
        <v>0.1399521705644543</v>
      </c>
      <c r="H82" s="195">
        <f>H52/H$32</f>
        <v>0.13951933139256056</v>
      </c>
      <c r="J82" s="195">
        <f>J52/J$32</f>
        <v>0.13903733499690463</v>
      </c>
      <c r="L82" s="195">
        <f>L52/L$32</f>
        <v>0.13849725135620791</v>
      </c>
      <c r="N82" s="195">
        <f>N52/N$32</f>
        <v>0.13788731241651223</v>
      </c>
      <c r="P82" s="195">
        <f>P52/P$32</f>
        <v>0.13719147868058362</v>
      </c>
      <c r="R82" s="195">
        <f>R52/R$32</f>
        <v>0.13638705429499318</v>
      </c>
      <c r="T82" s="195">
        <f>T52/T$32</f>
        <v>0.1354406215423434</v>
      </c>
      <c r="V82" s="195">
        <f>V52/V$32</f>
        <v>0.13430091786390988</v>
      </c>
      <c r="X82" s="195">
        <f>X52/X$32</f>
        <v>0.13288600809281606</v>
      </c>
      <c r="Z82" s="195">
        <f>Z52/Z$32</f>
        <v>0.13105990421810587</v>
      </c>
      <c r="AB82" s="195">
        <f>AB52/AB$32</f>
        <v>0.12859102914500722</v>
      </c>
      <c r="AD82" s="195">
        <f>AD52/AD$32</f>
        <v>0.12508842866449765</v>
      </c>
      <c r="AF82" s="195">
        <f>AF52/AF$32</f>
        <v>0.11994677540286265</v>
      </c>
      <c r="AH82" s="195">
        <f>AH52/AH$32</f>
        <v>0.11239204507889018</v>
      </c>
      <c r="AJ82" s="195">
        <f>AJ52/AJ$32</f>
        <v>0.1015319058654265</v>
      </c>
      <c r="AL82" s="195">
        <f>AL52/AL$32</f>
        <v>8.5854394810419135E-2</v>
      </c>
      <c r="AN82" s="195">
        <f>AN52/AN$32</f>
        <v>6.1189273084973093E-2</v>
      </c>
      <c r="AP82" s="195">
        <f>AP52/AP$32</f>
        <v>5.4134137102508834E-2</v>
      </c>
      <c r="AR82" s="195">
        <f>AR52/AR$32</f>
        <v>4.5744812711437627E-2</v>
      </c>
      <c r="AT82" s="195">
        <f>AT52/AT$32</f>
        <v>3.5318114243677173E-2</v>
      </c>
      <c r="AV82" s="195" t="e">
        <f>AV52/AV$32</f>
        <v>#DIV/0!</v>
      </c>
    </row>
    <row r="83" spans="1:48 16384:16384" x14ac:dyDescent="0.2">
      <c r="A83" t="s">
        <v>177</v>
      </c>
      <c r="B83" s="195">
        <f>B53/B$32</f>
        <v>0.18438881036940691</v>
      </c>
      <c r="D83" s="195">
        <f>D53/D$32</f>
        <v>0.18279968264265981</v>
      </c>
      <c r="F83" s="195">
        <f>F53/F$32</f>
        <v>0.1811694240028249</v>
      </c>
      <c r="H83" s="195">
        <f>H53/H$32</f>
        <v>0.1794907820574749</v>
      </c>
      <c r="J83" s="195">
        <f>J53/J$32</f>
        <v>0.17775501786362294</v>
      </c>
      <c r="L83" s="195">
        <f>L53/L$32</f>
        <v>0.17595139127809939</v>
      </c>
      <c r="N83" s="195">
        <f>N53/N$32</f>
        <v>0.17406641654816882</v>
      </c>
      <c r="P83" s="195">
        <f>P53/P$32</f>
        <v>0.17208254079365365</v>
      </c>
      <c r="R83" s="195">
        <f>R53/R$32</f>
        <v>0.16997609658570631</v>
      </c>
      <c r="T83" s="195">
        <f>T53/T$32</f>
        <v>0.16771348465156805</v>
      </c>
      <c r="V83" s="195">
        <f>V53/V$32</f>
        <v>0.16524448093148381</v>
      </c>
      <c r="X83" s="195">
        <f>X53/X$32</f>
        <v>0.16248959171514504</v>
      </c>
      <c r="Z83" s="195">
        <f>Z53/Z$32</f>
        <v>0.15931603198302308</v>
      </c>
      <c r="AB83" s="195">
        <f>AB53/AB$32</f>
        <v>0.15549243761764742</v>
      </c>
      <c r="AD83" s="195">
        <f>AD53/AD$32</f>
        <v>0.15061226463129554</v>
      </c>
      <c r="AF83" s="195">
        <f>AF53/AF$32</f>
        <v>0.14400668635362016</v>
      </c>
      <c r="AH83" s="195">
        <f>AH53/AH$32</f>
        <v>0.13474449792115298</v>
      </c>
      <c r="AJ83" s="195">
        <f>AJ53/AJ$32</f>
        <v>0.12166867571429249</v>
      </c>
      <c r="AL83" s="195">
        <f>AL53/AL$32</f>
        <v>0.10287288039992848</v>
      </c>
      <c r="AN83" s="195">
        <f>AN53/AN$32</f>
        <v>7.3317904995861827E-2</v>
      </c>
      <c r="AP83" s="195">
        <f>AP53/AP$32</f>
        <v>6.4864325580513998E-2</v>
      </c>
      <c r="AR83" s="195">
        <f>AR53/AR$32</f>
        <v>5.481210942320839E-2</v>
      </c>
      <c r="AT83" s="195">
        <f>AT53/AT$32</f>
        <v>4.231868461622941E-2</v>
      </c>
      <c r="AV83" s="195" t="e">
        <f>AV53/AV$32</f>
        <v>#DIV/0!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4"/>
  <dimension ref="A1:XFD83"/>
  <sheetViews>
    <sheetView showGridLines="0" workbookViewId="0">
      <pane xSplit="1" ySplit="1" topLeftCell="E2" activePane="bottomRight" state="frozen"/>
      <selection pane="topRight" activeCell="B1" sqref="B1"/>
      <selection pane="bottomLeft" activeCell="A2" sqref="A2"/>
      <selection pane="bottomRight" sqref="A1:XFD1048576"/>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c r="AL1" s="91"/>
      <c r="AN1" s="91"/>
      <c r="AP1" s="91"/>
      <c r="AR1" s="91"/>
      <c r="AT1" s="91"/>
      <c r="AV1" s="91"/>
      <c r="AX1">
        <v>0.99000000000000032</v>
      </c>
    </row>
    <row r="2" spans="1:51" x14ac:dyDescent="0.2">
      <c r="A2" s="190" t="s">
        <v>139</v>
      </c>
      <c r="B2" s="188">
        <v>5.7716594496607888E-3</v>
      </c>
      <c r="C2" s="189"/>
      <c r="D2" s="188">
        <v>6.5616498240300747E-2</v>
      </c>
      <c r="E2" s="189"/>
      <c r="F2" s="188">
        <v>0.13181342203824289</v>
      </c>
      <c r="G2" s="189"/>
      <c r="H2" s="188">
        <v>0.20543450485205758</v>
      </c>
      <c r="I2" s="189"/>
      <c r="J2" s="188">
        <v>0.28784197562625469</v>
      </c>
      <c r="K2" s="189"/>
      <c r="L2" s="188">
        <v>0.38079873710260864</v>
      </c>
      <c r="M2" s="189"/>
      <c r="N2" s="188">
        <v>0.48666362384898798</v>
      </c>
      <c r="O2" s="189"/>
      <c r="P2" s="188">
        <v>0.60868864076198759</v>
      </c>
      <c r="Q2" s="189"/>
      <c r="R2" s="188">
        <v>0.75153893966106733</v>
      </c>
      <c r="S2" s="189"/>
      <c r="T2" s="188">
        <v>0.92219948215090064</v>
      </c>
      <c r="U2" s="189"/>
      <c r="V2" s="188">
        <v>1.1316700094855048</v>
      </c>
      <c r="W2" s="189"/>
      <c r="X2" s="188">
        <v>1.3982773759548766</v>
      </c>
      <c r="Y2" s="189"/>
      <c r="Z2" s="188">
        <v>1.7545896179924685</v>
      </c>
      <c r="AA2" s="189"/>
      <c r="AB2" s="188">
        <v>2.2626611176836349</v>
      </c>
      <c r="AC2" s="189"/>
      <c r="AD2" s="188">
        <v>3.0490216087508868</v>
      </c>
      <c r="AE2" s="189"/>
      <c r="AF2" s="188">
        <v>4.3841612739186493</v>
      </c>
      <c r="AG2" s="189"/>
      <c r="AH2" s="188">
        <v>6.8569939480158482</v>
      </c>
      <c r="AI2" s="189"/>
      <c r="AJ2" s="188"/>
      <c r="AK2" s="189"/>
      <c r="AL2" s="188"/>
      <c r="AM2" s="189"/>
      <c r="AN2" s="188"/>
      <c r="AO2" s="189"/>
      <c r="AP2" s="188"/>
      <c r="AQ2" s="189"/>
      <c r="AR2" s="188"/>
      <c r="AS2" s="189"/>
      <c r="AT2" s="188"/>
      <c r="AU2" s="189"/>
      <c r="AV2" s="188"/>
      <c r="AW2" s="189"/>
      <c r="AX2">
        <v>5.7716594496607888E-3</v>
      </c>
    </row>
    <row r="3" spans="1:51" x14ac:dyDescent="0.2">
      <c r="A3" t="s">
        <v>12</v>
      </c>
      <c r="B3" s="81">
        <v>1000</v>
      </c>
      <c r="C3" s="82">
        <v>1000</v>
      </c>
      <c r="D3" s="81">
        <v>998.23190977552099</v>
      </c>
      <c r="E3" s="82">
        <v>1024.7539219599607</v>
      </c>
      <c r="F3" s="81">
        <v>996.36838579821256</v>
      </c>
      <c r="G3" s="82">
        <v>1052.8750500164665</v>
      </c>
      <c r="H3" s="81">
        <v>994.39387098748318</v>
      </c>
      <c r="I3" s="82">
        <v>1085.0018765138657</v>
      </c>
      <c r="J3" s="81">
        <v>992.29028898467391</v>
      </c>
      <c r="K3" s="82">
        <v>1121.9445773383563</v>
      </c>
      <c r="L3" s="81">
        <v>990.03716386686426</v>
      </c>
      <c r="M3" s="82">
        <v>1164.7442219664831</v>
      </c>
      <c r="N3" s="81">
        <v>987.61206197933382</v>
      </c>
      <c r="O3" s="82">
        <v>1214.7736060661725</v>
      </c>
      <c r="P3" s="81">
        <v>984.99201693032387</v>
      </c>
      <c r="Q3" s="82">
        <v>1273.8856055080071</v>
      </c>
      <c r="R3" s="81">
        <v>982.15644059310625</v>
      </c>
      <c r="S3" s="82">
        <v>1344.6634658013122</v>
      </c>
      <c r="T3" s="81">
        <v>979.09294169889142</v>
      </c>
      <c r="U3" s="82">
        <v>1430.8474781646432</v>
      </c>
      <c r="V3" s="81">
        <v>975.80857288221625</v>
      </c>
      <c r="W3" s="82">
        <v>1538.1070762109714</v>
      </c>
      <c r="X3" s="81">
        <v>972.35112350194788</v>
      </c>
      <c r="Y3" s="82">
        <v>1675.5112838676744</v>
      </c>
      <c r="Z3" s="81">
        <v>968.84892274382366</v>
      </c>
      <c r="AA3" s="82">
        <v>1858.503223211583</v>
      </c>
      <c r="AB3" s="81">
        <v>965.57981090526118</v>
      </c>
      <c r="AC3" s="82">
        <v>2115.2496293775494</v>
      </c>
      <c r="AD3" s="81">
        <v>963.0607666180141</v>
      </c>
      <c r="AE3" s="82">
        <v>2500.6875686363032</v>
      </c>
      <c r="AF3" s="81">
        <v>962.02611475239996</v>
      </c>
      <c r="AG3" s="82">
        <v>3127.4053607932283</v>
      </c>
      <c r="AH3" s="81">
        <v>962.91342314435303</v>
      </c>
      <c r="AI3" s="82">
        <v>4232.9529723085761</v>
      </c>
      <c r="AJ3" s="81"/>
      <c r="AK3" s="82"/>
      <c r="AL3" s="81"/>
      <c r="AM3" s="82"/>
      <c r="AN3" s="81"/>
      <c r="AO3" s="82"/>
      <c r="AP3" s="81"/>
      <c r="AQ3" s="82"/>
      <c r="AR3" s="81"/>
      <c r="AS3" s="82"/>
      <c r="AT3" s="81"/>
      <c r="AU3" s="82"/>
      <c r="AV3" s="81"/>
      <c r="AW3" s="82"/>
      <c r="AX3">
        <v>1000</v>
      </c>
      <c r="AY3">
        <v>1000</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c r="AK4" s="96"/>
      <c r="AL4" s="95"/>
      <c r="AM4" s="96"/>
      <c r="AN4" s="95"/>
      <c r="AO4" s="96"/>
      <c r="AP4" s="95"/>
      <c r="AQ4" s="96"/>
      <c r="AR4" s="95"/>
      <c r="AS4" s="96"/>
      <c r="AT4" s="95"/>
      <c r="AU4" s="96"/>
      <c r="AV4" s="95"/>
      <c r="AW4" s="96"/>
      <c r="AX4">
        <v>1000</v>
      </c>
      <c r="AY4">
        <v>1000</v>
      </c>
    </row>
    <row r="5" spans="1:51" x14ac:dyDescent="0.2">
      <c r="A5" t="s">
        <v>115</v>
      </c>
      <c r="B5" s="39">
        <v>1000</v>
      </c>
      <c r="C5" s="40">
        <v>1000</v>
      </c>
      <c r="D5" s="39">
        <v>998.1440652529916</v>
      </c>
      <c r="E5" s="40">
        <v>1021.4765719920135</v>
      </c>
      <c r="F5" s="39">
        <v>996.18645659509934</v>
      </c>
      <c r="G5" s="40">
        <v>1045.2525747238583</v>
      </c>
      <c r="H5" s="39">
        <v>994.11056512360574</v>
      </c>
      <c r="I5" s="40">
        <v>1071.6158122531892</v>
      </c>
      <c r="J5" s="39">
        <v>991.89705544442563</v>
      </c>
      <c r="K5" s="40">
        <v>1100.8896919959066</v>
      </c>
      <c r="L5" s="39">
        <v>989.52397116668351</v>
      </c>
      <c r="M5" s="40">
        <v>1133.4343127163318</v>
      </c>
      <c r="N5" s="39">
        <v>986.96717184116937</v>
      </c>
      <c r="O5" s="40">
        <v>1169.6441868200704</v>
      </c>
      <c r="P5" s="39">
        <v>984.20180995064436</v>
      </c>
      <c r="Q5" s="40">
        <v>1209.9435070930035</v>
      </c>
      <c r="R5" s="39">
        <v>981.2053814305699</v>
      </c>
      <c r="S5" s="40">
        <v>1254.7674298870913</v>
      </c>
      <c r="T5" s="39">
        <v>977.96387696396573</v>
      </c>
      <c r="U5" s="40">
        <v>1304.5309524557899</v>
      </c>
      <c r="V5" s="39">
        <v>974.48374389593403</v>
      </c>
      <c r="W5" s="40">
        <v>1359.5524607687669</v>
      </c>
      <c r="X5" s="39">
        <v>970.81464480305794</v>
      </c>
      <c r="Y5" s="40">
        <v>1419.9025467211409</v>
      </c>
      <c r="Z5" s="39">
        <v>967.09216123684837</v>
      </c>
      <c r="AA5" s="40">
        <v>1485.0754456365103</v>
      </c>
      <c r="AB5" s="39">
        <v>963.61201018665008</v>
      </c>
      <c r="AC5" s="40">
        <v>1553.3300755114062</v>
      </c>
      <c r="AD5" s="39">
        <v>960.92673972049511</v>
      </c>
      <c r="AE5" s="40">
        <v>1620.5192837830955</v>
      </c>
      <c r="AF5" s="39">
        <v>959.82289616514947</v>
      </c>
      <c r="AG5" s="40">
        <v>1679.0333085869202</v>
      </c>
      <c r="AH5" s="39">
        <v>960.76957546550238</v>
      </c>
      <c r="AI5" s="40">
        <v>1720.033687908767</v>
      </c>
      <c r="AJ5" s="39"/>
      <c r="AK5" s="40"/>
      <c r="AL5" s="39"/>
      <c r="AM5" s="40"/>
      <c r="AN5" s="39"/>
      <c r="AO5" s="40"/>
      <c r="AP5" s="39"/>
      <c r="AQ5" s="40"/>
      <c r="AR5" s="39"/>
      <c r="AS5" s="40"/>
      <c r="AT5" s="39"/>
      <c r="AU5" s="40"/>
      <c r="AV5" s="39"/>
      <c r="AW5" s="40"/>
      <c r="AX5">
        <v>1000</v>
      </c>
      <c r="AY5">
        <v>1000</v>
      </c>
    </row>
    <row r="6" spans="1:51" x14ac:dyDescent="0.2">
      <c r="A6" t="s">
        <v>77</v>
      </c>
      <c r="B6" s="39">
        <v>999.99999999999943</v>
      </c>
      <c r="C6" s="40">
        <v>999.99999999999909</v>
      </c>
      <c r="D6" s="39">
        <v>998.0023884794208</v>
      </c>
      <c r="E6" s="40">
        <v>1026.6695433128643</v>
      </c>
      <c r="F6" s="39">
        <v>995.89595595911067</v>
      </c>
      <c r="G6" s="40">
        <v>1056.85272027787</v>
      </c>
      <c r="H6" s="39">
        <v>993.66293693779471</v>
      </c>
      <c r="I6" s="40">
        <v>1091.2032998791969</v>
      </c>
      <c r="J6" s="39">
        <v>991.28266427239669</v>
      </c>
      <c r="K6" s="40">
        <v>1130.5503315126193</v>
      </c>
      <c r="L6" s="39">
        <v>988.73168906172225</v>
      </c>
      <c r="M6" s="40">
        <v>1175.9586052995719</v>
      </c>
      <c r="N6" s="39">
        <v>985.98426274391261</v>
      </c>
      <c r="O6" s="40">
        <v>1228.8322032990504</v>
      </c>
      <c r="P6" s="39">
        <v>983.01393227065273</v>
      </c>
      <c r="Q6" s="40">
        <v>1291.0665422843783</v>
      </c>
      <c r="R6" s="39">
        <v>979.79682502827507</v>
      </c>
      <c r="S6" s="40">
        <v>1365.305219630118</v>
      </c>
      <c r="T6" s="39">
        <v>976.31825034944961</v>
      </c>
      <c r="U6" s="40">
        <v>1455.377754831914</v>
      </c>
      <c r="V6" s="39">
        <v>972.58551117360832</v>
      </c>
      <c r="W6" s="40">
        <v>1567.0916018788814</v>
      </c>
      <c r="X6" s="39">
        <v>968.65223705942697</v>
      </c>
      <c r="Y6" s="40">
        <v>1709.7400545549942</v>
      </c>
      <c r="Z6" s="39">
        <v>964.6639853758677</v>
      </c>
      <c r="AA6" s="40">
        <v>1899.1516917498775</v>
      </c>
      <c r="AB6" s="39">
        <v>960.9374160875459</v>
      </c>
      <c r="AC6" s="40">
        <v>2164.1983759940522</v>
      </c>
      <c r="AD6" s="39">
        <v>958.063362300123</v>
      </c>
      <c r="AE6" s="40">
        <v>2561.1914797778436</v>
      </c>
      <c r="AF6" s="39">
        <v>956.88225629094006</v>
      </c>
      <c r="AG6" s="40">
        <v>3205.5380679941591</v>
      </c>
      <c r="AH6" s="39">
        <v>957.89518534676733</v>
      </c>
      <c r="AI6" s="40">
        <v>4340.7860043254668</v>
      </c>
      <c r="AJ6" s="39"/>
      <c r="AK6" s="40"/>
      <c r="AL6" s="39"/>
      <c r="AM6" s="40"/>
      <c r="AN6" s="39"/>
      <c r="AO6" s="40"/>
      <c r="AP6" s="39"/>
      <c r="AQ6" s="40"/>
      <c r="AR6" s="39"/>
      <c r="AS6" s="40"/>
      <c r="AT6" s="39"/>
      <c r="AU6" s="40"/>
      <c r="AV6" s="39"/>
      <c r="AW6" s="40"/>
      <c r="AX6">
        <v>999.99999999999943</v>
      </c>
      <c r="AY6">
        <v>999.99999999999909</v>
      </c>
    </row>
    <row r="7" spans="1:51" x14ac:dyDescent="0.2">
      <c r="A7" t="s">
        <v>13</v>
      </c>
      <c r="B7" s="31">
        <v>1015.9116825427475</v>
      </c>
      <c r="C7" s="32">
        <v>1015.9116825427475</v>
      </c>
      <c r="D7" s="31">
        <v>1014.0262167512246</v>
      </c>
      <c r="E7" s="32">
        <v>1014.0262167512246</v>
      </c>
      <c r="F7" s="31">
        <v>1012.0374592458251</v>
      </c>
      <c r="G7" s="32">
        <v>1012.0374592458251</v>
      </c>
      <c r="H7" s="31">
        <v>1009.9285368482438</v>
      </c>
      <c r="I7" s="32">
        <v>1009.9285368482438</v>
      </c>
      <c r="J7" s="31">
        <v>1007.6798065057433</v>
      </c>
      <c r="K7" s="32">
        <v>1007.6798065057433</v>
      </c>
      <c r="L7" s="31">
        <v>1005.2689624643266</v>
      </c>
      <c r="M7" s="32">
        <v>1005.2689624643266</v>
      </c>
      <c r="N7" s="31">
        <v>1002.6714801596194</v>
      </c>
      <c r="O7" s="32">
        <v>1002.6714801596194</v>
      </c>
      <c r="P7" s="31">
        <v>999.86211670857642</v>
      </c>
      <c r="Q7" s="32">
        <v>999.86211670857642</v>
      </c>
      <c r="R7" s="31">
        <v>996.81800996912852</v>
      </c>
      <c r="S7" s="32">
        <v>996.81800996912852</v>
      </c>
      <c r="T7" s="31">
        <v>993.52492771249092</v>
      </c>
      <c r="U7" s="32">
        <v>993.52492771249092</v>
      </c>
      <c r="V7" s="31">
        <v>989.98941987187413</v>
      </c>
      <c r="W7" s="32">
        <v>989.98941987187413</v>
      </c>
      <c r="X7" s="31">
        <v>986.26193923901428</v>
      </c>
      <c r="Y7" s="32">
        <v>986.26193923901428</v>
      </c>
      <c r="Z7" s="31">
        <v>982.48022469602859</v>
      </c>
      <c r="AA7" s="32">
        <v>982.48022469602859</v>
      </c>
      <c r="AB7" s="31">
        <v>978.94469858711875</v>
      </c>
      <c r="AC7" s="32">
        <v>978.94469858711875</v>
      </c>
      <c r="AD7" s="31">
        <v>976.21670094976491</v>
      </c>
      <c r="AE7" s="32">
        <v>976.21670094976491</v>
      </c>
      <c r="AF7" s="31">
        <v>975.09529338618972</v>
      </c>
      <c r="AG7" s="32">
        <v>975.09529338618972</v>
      </c>
      <c r="AH7" s="31">
        <v>976.05703594703971</v>
      </c>
      <c r="AI7" s="32">
        <v>976.05703594703971</v>
      </c>
      <c r="AJ7" s="31"/>
      <c r="AK7" s="32"/>
      <c r="AL7" s="31"/>
      <c r="AM7" s="32"/>
      <c r="AN7" s="31"/>
      <c r="AO7" s="32"/>
      <c r="AP7" s="31"/>
      <c r="AQ7" s="32"/>
      <c r="AR7" s="31"/>
      <c r="AS7" s="32"/>
      <c r="AT7" s="31"/>
      <c r="AU7" s="32"/>
      <c r="AV7" s="31"/>
      <c r="AW7" s="32"/>
      <c r="AX7">
        <v>1015.9116825427475</v>
      </c>
      <c r="AY7">
        <v>1015.9116825427475</v>
      </c>
    </row>
    <row r="8" spans="1:51" x14ac:dyDescent="0.2">
      <c r="B8" s="33">
        <v>1005.7716594496609</v>
      </c>
      <c r="C8" s="34">
        <v>1005.7716594496609</v>
      </c>
      <c r="D8" s="33">
        <v>1088.5022876806358</v>
      </c>
      <c r="E8" s="34">
        <v>1088.5022876806358</v>
      </c>
      <c r="F8" s="33">
        <v>1183.0308934924942</v>
      </c>
      <c r="G8" s="34">
        <v>1183.0308934924942</v>
      </c>
      <c r="H8" s="33">
        <v>1291.7626760350588</v>
      </c>
      <c r="I8" s="34">
        <v>1291.7626760350588</v>
      </c>
      <c r="J8" s="33">
        <v>1417.7719558865874</v>
      </c>
      <c r="K8" s="34">
        <v>1417.7719558865874</v>
      </c>
      <c r="L8" s="33">
        <v>1565.0446675874741</v>
      </c>
      <c r="M8" s="34">
        <v>1565.0446675874741</v>
      </c>
      <c r="N8" s="33">
        <v>1738.8674653918288</v>
      </c>
      <c r="O8" s="34">
        <v>1738.8674653918288</v>
      </c>
      <c r="P8" s="33">
        <v>1946.422375824236</v>
      </c>
      <c r="Q8" s="34">
        <v>1946.422375824236</v>
      </c>
      <c r="R8" s="33">
        <v>2197.7740136656785</v>
      </c>
      <c r="S8" s="34">
        <v>2197.7740136656785</v>
      </c>
      <c r="T8" s="33">
        <v>2507.5687212603402</v>
      </c>
      <c r="U8" s="34">
        <v>2507.5687212603402</v>
      </c>
      <c r="V8" s="33">
        <v>2898.1172069429986</v>
      </c>
      <c r="W8" s="34">
        <v>2898.1172069429986</v>
      </c>
      <c r="X8" s="33">
        <v>3405.3201538620237</v>
      </c>
      <c r="Y8" s="34">
        <v>3405.3201538620237</v>
      </c>
      <c r="Z8" s="33">
        <v>4090.7734044858698</v>
      </c>
      <c r="AA8" s="34">
        <v>4090.7734044858698</v>
      </c>
      <c r="AB8" s="33">
        <v>5067.9896402996492</v>
      </c>
      <c r="AC8" s="34">
        <v>5067.9896402996492</v>
      </c>
      <c r="AD8" s="33">
        <v>6561.5175974352642</v>
      </c>
      <c r="AE8" s="34">
        <v>6561.5175974352642</v>
      </c>
      <c r="AF8" s="33">
        <v>9040.1861177131959</v>
      </c>
      <c r="AG8" s="34">
        <v>9040.1861177131959</v>
      </c>
      <c r="AH8" s="33">
        <v>13514.294276282562</v>
      </c>
      <c r="AI8" s="34">
        <v>13514.294276282562</v>
      </c>
      <c r="AJ8" s="33"/>
      <c r="AK8" s="34"/>
      <c r="AL8" s="33"/>
      <c r="AM8" s="34"/>
      <c r="AN8" s="33"/>
      <c r="AO8" s="34"/>
      <c r="AP8" s="33"/>
      <c r="AQ8" s="34"/>
      <c r="AR8" s="33"/>
      <c r="AS8" s="34"/>
      <c r="AT8" s="33"/>
      <c r="AU8" s="34"/>
      <c r="AV8" s="33"/>
      <c r="AW8" s="34"/>
      <c r="AX8">
        <v>1005.7716594496609</v>
      </c>
      <c r="AY8">
        <v>1005.7716594496609</v>
      </c>
    </row>
    <row r="9" spans="1:51" x14ac:dyDescent="0.2">
      <c r="A9" t="s">
        <v>14</v>
      </c>
      <c r="B9" s="39">
        <v>1015.9116825427475</v>
      </c>
      <c r="C9" s="40">
        <v>1005.7716594496609</v>
      </c>
      <c r="D9" s="39">
        <v>1014.0262167512246</v>
      </c>
      <c r="E9" s="40">
        <v>1088.5022876806358</v>
      </c>
      <c r="F9" s="39">
        <v>1012.0374592458251</v>
      </c>
      <c r="G9" s="40">
        <v>1183.0308934924942</v>
      </c>
      <c r="H9" s="39">
        <v>1009.9285368482438</v>
      </c>
      <c r="I9" s="40">
        <v>1291.7626760350588</v>
      </c>
      <c r="J9" s="39">
        <v>1007.6798065057433</v>
      </c>
      <c r="K9" s="40">
        <v>1417.7719558865874</v>
      </c>
      <c r="L9" s="39">
        <v>1005.2689624643266</v>
      </c>
      <c r="M9" s="40">
        <v>1565.0446675874741</v>
      </c>
      <c r="N9" s="39">
        <v>1002.6714801596194</v>
      </c>
      <c r="O9" s="40">
        <v>1738.8674653918288</v>
      </c>
      <c r="P9" s="39">
        <v>999.86211670857642</v>
      </c>
      <c r="Q9" s="40">
        <v>1946.422375824236</v>
      </c>
      <c r="R9" s="39">
        <v>996.81800996912852</v>
      </c>
      <c r="S9" s="40">
        <v>2197.7740136656785</v>
      </c>
      <c r="T9" s="39">
        <v>993.52492771249092</v>
      </c>
      <c r="U9" s="40">
        <v>2507.5687212603402</v>
      </c>
      <c r="V9" s="39">
        <v>989.98941987187413</v>
      </c>
      <c r="W9" s="40">
        <v>2898.1172069429986</v>
      </c>
      <c r="X9" s="39">
        <v>986.26193923901428</v>
      </c>
      <c r="Y9" s="40">
        <v>3405.3201538620237</v>
      </c>
      <c r="Z9" s="39">
        <v>982.48022469602859</v>
      </c>
      <c r="AA9" s="40">
        <v>4090.7734044858698</v>
      </c>
      <c r="AB9" s="39">
        <v>978.94469858711875</v>
      </c>
      <c r="AC9" s="40">
        <v>5067.9896402996492</v>
      </c>
      <c r="AD9" s="39">
        <v>976.21670094976491</v>
      </c>
      <c r="AE9" s="40">
        <v>6561.5175974352642</v>
      </c>
      <c r="AF9" s="39">
        <v>975.09529338618972</v>
      </c>
      <c r="AG9" s="40">
        <v>9040.1861177131959</v>
      </c>
      <c r="AH9" s="39">
        <v>976.05703594703971</v>
      </c>
      <c r="AI9" s="40">
        <v>13514.294276282562</v>
      </c>
      <c r="AJ9" s="39"/>
      <c r="AK9" s="40"/>
      <c r="AL9" s="39"/>
      <c r="AM9" s="40"/>
      <c r="AN9" s="39"/>
      <c r="AO9" s="40"/>
      <c r="AP9" s="39"/>
      <c r="AQ9" s="40"/>
      <c r="AR9" s="39"/>
      <c r="AS9" s="40"/>
      <c r="AT9" s="39"/>
      <c r="AU9" s="40"/>
      <c r="AV9" s="39"/>
      <c r="AW9" s="40"/>
      <c r="AX9">
        <v>1015.9116825427475</v>
      </c>
      <c r="AY9">
        <v>1005.7716594496609</v>
      </c>
    </row>
    <row r="10" spans="1:51" x14ac:dyDescent="0.2">
      <c r="A10" t="s">
        <v>15</v>
      </c>
      <c r="B10" s="39">
        <v>1015.9116825427475</v>
      </c>
      <c r="C10" s="40">
        <v>1005.7716594496609</v>
      </c>
      <c r="D10" s="39">
        <v>1014.0262167512246</v>
      </c>
      <c r="E10" s="40">
        <v>1088.5022876806358</v>
      </c>
      <c r="F10" s="39">
        <v>1012.0374592458251</v>
      </c>
      <c r="G10" s="40">
        <v>1183.0308934924942</v>
      </c>
      <c r="H10" s="39">
        <v>1009.9285368482438</v>
      </c>
      <c r="I10" s="40">
        <v>1291.7626760350588</v>
      </c>
      <c r="J10" s="39">
        <v>1007.6798065057433</v>
      </c>
      <c r="K10" s="40">
        <v>1417.7719558865874</v>
      </c>
      <c r="L10" s="39">
        <v>1005.2689624643266</v>
      </c>
      <c r="M10" s="40">
        <v>1565.0446675874741</v>
      </c>
      <c r="N10" s="39">
        <v>1002.6714801596194</v>
      </c>
      <c r="O10" s="40">
        <v>1738.8674653918288</v>
      </c>
      <c r="P10" s="39">
        <v>999.86211670857642</v>
      </c>
      <c r="Q10" s="40">
        <v>1946.422375824236</v>
      </c>
      <c r="R10" s="39">
        <v>996.81800996912852</v>
      </c>
      <c r="S10" s="40">
        <v>2197.7740136656785</v>
      </c>
      <c r="T10" s="39">
        <v>993.52492771249092</v>
      </c>
      <c r="U10" s="40">
        <v>2507.5687212603402</v>
      </c>
      <c r="V10" s="39">
        <v>989.98941987187413</v>
      </c>
      <c r="W10" s="40">
        <v>2898.1172069429986</v>
      </c>
      <c r="X10" s="39">
        <v>986.26193923901428</v>
      </c>
      <c r="Y10" s="40">
        <v>3405.3201538620237</v>
      </c>
      <c r="Z10" s="39">
        <v>982.48022469602859</v>
      </c>
      <c r="AA10" s="40">
        <v>4090.7734044858698</v>
      </c>
      <c r="AB10" s="39">
        <v>978.94469858711875</v>
      </c>
      <c r="AC10" s="40">
        <v>5067.9896402996492</v>
      </c>
      <c r="AD10" s="39">
        <v>976.21670094976491</v>
      </c>
      <c r="AE10" s="40">
        <v>6561.5175974352642</v>
      </c>
      <c r="AF10" s="39">
        <v>975.09529338618972</v>
      </c>
      <c r="AG10" s="40">
        <v>9040.1861177131959</v>
      </c>
      <c r="AH10" s="39">
        <v>976.05703594703971</v>
      </c>
      <c r="AI10" s="40">
        <v>13514.294276282562</v>
      </c>
      <c r="AJ10" s="39"/>
      <c r="AK10" s="40"/>
      <c r="AL10" s="39"/>
      <c r="AM10" s="40"/>
      <c r="AN10" s="39"/>
      <c r="AO10" s="40"/>
      <c r="AP10" s="39"/>
      <c r="AQ10" s="40"/>
      <c r="AR10" s="39"/>
      <c r="AS10" s="40"/>
      <c r="AT10" s="39"/>
      <c r="AU10" s="40"/>
      <c r="AV10" s="39"/>
      <c r="AW10" s="40"/>
      <c r="AX10">
        <v>1015.9116825427475</v>
      </c>
      <c r="AY10">
        <v>1005.7716594496609</v>
      </c>
    </row>
    <row r="11" spans="1:51" x14ac:dyDescent="0.2">
      <c r="A11" t="s">
        <v>29</v>
      </c>
      <c r="B11" s="39">
        <v>1015.9116825427475</v>
      </c>
      <c r="C11" s="40">
        <v>1005.7716594496609</v>
      </c>
      <c r="D11" s="39">
        <v>1014.0262167512246</v>
      </c>
      <c r="E11" s="40">
        <v>1088.5022876806358</v>
      </c>
      <c r="F11" s="39">
        <v>1012.0374592458251</v>
      </c>
      <c r="G11" s="40">
        <v>1183.0308934924942</v>
      </c>
      <c r="H11" s="39">
        <v>1009.9285368482438</v>
      </c>
      <c r="I11" s="40">
        <v>1291.7626760350588</v>
      </c>
      <c r="J11" s="39">
        <v>1007.6798065057433</v>
      </c>
      <c r="K11" s="40">
        <v>1417.7719558865874</v>
      </c>
      <c r="L11" s="39">
        <v>1005.2689624643266</v>
      </c>
      <c r="M11" s="40">
        <v>1565.0446675874741</v>
      </c>
      <c r="N11" s="39">
        <v>1002.6714801596194</v>
      </c>
      <c r="O11" s="40">
        <v>1738.8674653918288</v>
      </c>
      <c r="P11" s="39">
        <v>999.86211670857642</v>
      </c>
      <c r="Q11" s="40">
        <v>1946.422375824236</v>
      </c>
      <c r="R11" s="39">
        <v>996.81800996912852</v>
      </c>
      <c r="S11" s="40">
        <v>2197.7740136656785</v>
      </c>
      <c r="T11" s="39">
        <v>993.52492771249092</v>
      </c>
      <c r="U11" s="40">
        <v>2507.5687212603402</v>
      </c>
      <c r="V11" s="39">
        <v>989.98941987187413</v>
      </c>
      <c r="W11" s="40">
        <v>2898.1172069429986</v>
      </c>
      <c r="X11" s="39">
        <v>986.26193923901428</v>
      </c>
      <c r="Y11" s="40">
        <v>3405.3201538620237</v>
      </c>
      <c r="Z11" s="39">
        <v>982.48022469602859</v>
      </c>
      <c r="AA11" s="40">
        <v>4090.7734044858698</v>
      </c>
      <c r="AB11" s="39">
        <v>978.94469858711875</v>
      </c>
      <c r="AC11" s="40">
        <v>5067.9896402996492</v>
      </c>
      <c r="AD11" s="39">
        <v>976.21670094976491</v>
      </c>
      <c r="AE11" s="40">
        <v>6561.5175974352642</v>
      </c>
      <c r="AF11" s="39">
        <v>975.09529338618972</v>
      </c>
      <c r="AG11" s="40">
        <v>9040.1861177131959</v>
      </c>
      <c r="AH11" s="39">
        <v>976.05703594703971</v>
      </c>
      <c r="AI11" s="40">
        <v>13514.294276282562</v>
      </c>
      <c r="AJ11" s="39"/>
      <c r="AK11" s="40"/>
      <c r="AL11" s="39"/>
      <c r="AM11" s="40"/>
      <c r="AN11" s="39"/>
      <c r="AO11" s="40"/>
      <c r="AP11" s="39"/>
      <c r="AQ11" s="40"/>
      <c r="AR11" s="39"/>
      <c r="AS11" s="40"/>
      <c r="AT11" s="39"/>
      <c r="AU11" s="40"/>
      <c r="AV11" s="39"/>
      <c r="AW11" s="40"/>
      <c r="AX11">
        <v>1015.9116825427475</v>
      </c>
      <c r="AY11">
        <v>1005.7716594496609</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c r="AK12" s="40"/>
      <c r="AL12" s="39"/>
      <c r="AM12" s="40"/>
      <c r="AN12" s="39"/>
      <c r="AO12" s="40"/>
      <c r="AP12" s="39"/>
      <c r="AQ12" s="40"/>
      <c r="AR12" s="39"/>
      <c r="AS12" s="40"/>
      <c r="AT12" s="39"/>
      <c r="AU12" s="40"/>
      <c r="AV12" s="39"/>
      <c r="AW12" s="40"/>
      <c r="AX12">
        <v>1000</v>
      </c>
      <c r="AY12">
        <v>1000</v>
      </c>
    </row>
    <row r="13" spans="1:51" x14ac:dyDescent="0.2">
      <c r="A13" t="s">
        <v>17</v>
      </c>
      <c r="B13" s="93">
        <v>1000</v>
      </c>
      <c r="C13" s="94">
        <v>1000</v>
      </c>
      <c r="D13" s="93">
        <v>1007.6953511908997</v>
      </c>
      <c r="E13" s="94">
        <v>1007.6953511908997</v>
      </c>
      <c r="F13" s="93">
        <v>1015.5383961334139</v>
      </c>
      <c r="G13" s="94">
        <v>1015.5383961334139</v>
      </c>
      <c r="H13" s="93">
        <v>1023.5520814597684</v>
      </c>
      <c r="I13" s="94">
        <v>1023.5520814597684</v>
      </c>
      <c r="J13" s="93">
        <v>1031.7654031822731</v>
      </c>
      <c r="K13" s="94">
        <v>1031.7654031822731</v>
      </c>
      <c r="L13" s="93">
        <v>1040.2159582157283</v>
      </c>
      <c r="M13" s="94">
        <v>1040.2159582157283</v>
      </c>
      <c r="N13" s="93">
        <v>1048.9573477285969</v>
      </c>
      <c r="O13" s="94">
        <v>1048.9573477285969</v>
      </c>
      <c r="P13" s="93">
        <v>1058.0697581528325</v>
      </c>
      <c r="Q13" s="94">
        <v>1058.0697581528325</v>
      </c>
      <c r="R13" s="93">
        <v>1067.680892401306</v>
      </c>
      <c r="S13" s="94">
        <v>1067.680892401306</v>
      </c>
      <c r="T13" s="93">
        <v>1078.0040401043232</v>
      </c>
      <c r="U13" s="94">
        <v>1078.0040401043232</v>
      </c>
      <c r="V13" s="93">
        <v>1089.4093369875707</v>
      </c>
      <c r="W13" s="94">
        <v>1089.4093369875707</v>
      </c>
      <c r="X13" s="93">
        <v>1102.5584734633269</v>
      </c>
      <c r="Y13" s="94">
        <v>1102.5584734633269</v>
      </c>
      <c r="Z13" s="93">
        <v>1118.6625810466712</v>
      </c>
      <c r="AA13" s="94">
        <v>1118.6625810466712</v>
      </c>
      <c r="AB13" s="93">
        <v>1139.9578561649535</v>
      </c>
      <c r="AC13" s="94">
        <v>1139.9578561649535</v>
      </c>
      <c r="AD13" s="93">
        <v>1170.453689271543</v>
      </c>
      <c r="AE13" s="94">
        <v>1170.453689271543</v>
      </c>
      <c r="AF13" s="93">
        <v>1216.4499578719585</v>
      </c>
      <c r="AG13" s="94">
        <v>1216.4499578719585</v>
      </c>
      <c r="AH13" s="93">
        <v>1284.7187194330475</v>
      </c>
      <c r="AI13" s="94">
        <v>1284.7187194330475</v>
      </c>
      <c r="AJ13" s="93"/>
      <c r="AK13" s="94"/>
      <c r="AL13" s="93"/>
      <c r="AM13" s="94"/>
      <c r="AN13" s="93"/>
      <c r="AO13" s="94"/>
      <c r="AP13" s="93"/>
      <c r="AQ13" s="94"/>
      <c r="AR13" s="93"/>
      <c r="AS13" s="94"/>
      <c r="AT13" s="93"/>
      <c r="AU13" s="94"/>
      <c r="AV13" s="93"/>
      <c r="AW13" s="94"/>
      <c r="AX13">
        <v>1000</v>
      </c>
      <c r="AY13">
        <v>1000</v>
      </c>
    </row>
    <row r="14" spans="1:51" x14ac:dyDescent="0.2">
      <c r="A14" t="s">
        <v>36</v>
      </c>
      <c r="B14" s="39">
        <v>1457.0034251455234</v>
      </c>
      <c r="C14" s="40">
        <v>1457.0034251455236</v>
      </c>
      <c r="D14" s="39">
        <v>1468.2155781883619</v>
      </c>
      <c r="E14" s="40">
        <v>1468.2155781883621</v>
      </c>
      <c r="F14" s="39">
        <v>1479.6429215331752</v>
      </c>
      <c r="G14" s="40">
        <v>1479.6429215331755</v>
      </c>
      <c r="H14" s="39">
        <v>1491.3188885017121</v>
      </c>
      <c r="I14" s="40">
        <v>1491.3188885017123</v>
      </c>
      <c r="J14" s="39">
        <v>1503.2857263832236</v>
      </c>
      <c r="K14" s="40">
        <v>1503.2857263832238</v>
      </c>
      <c r="L14" s="39">
        <v>1515.5982140113485</v>
      </c>
      <c r="M14" s="40">
        <v>1515.5982140113488</v>
      </c>
      <c r="N14" s="39">
        <v>1528.3344484721295</v>
      </c>
      <c r="O14" s="40">
        <v>1528.3344484721297</v>
      </c>
      <c r="P14" s="39">
        <v>1541.6112616715725</v>
      </c>
      <c r="Q14" s="40">
        <v>1541.6112616715727</v>
      </c>
      <c r="R14" s="39">
        <v>1555.6147171911316</v>
      </c>
      <c r="S14" s="40">
        <v>1555.6147171911321</v>
      </c>
      <c r="T14" s="39">
        <v>1570.6555787527109</v>
      </c>
      <c r="U14" s="40">
        <v>1570.6555787527111</v>
      </c>
      <c r="V14" s="39">
        <v>1587.2731353764041</v>
      </c>
      <c r="W14" s="40">
        <v>1587.2731353764043</v>
      </c>
      <c r="X14" s="39">
        <v>1606.4314722592869</v>
      </c>
      <c r="Y14" s="40">
        <v>1606.4314722592871</v>
      </c>
      <c r="Z14" s="39">
        <v>1629.8952121671316</v>
      </c>
      <c r="AA14" s="40">
        <v>1629.8952121671318</v>
      </c>
      <c r="AB14" s="39">
        <v>1660.922500953885</v>
      </c>
      <c r="AC14" s="40">
        <v>1660.9225009538852</v>
      </c>
      <c r="AD14" s="39">
        <v>1705.3550342428521</v>
      </c>
      <c r="AE14" s="40">
        <v>1705.3550342428525</v>
      </c>
      <c r="AF14" s="39">
        <v>1772.371755137571</v>
      </c>
      <c r="AG14" s="40">
        <v>1772.3717551375714</v>
      </c>
      <c r="AH14" s="39">
        <v>1871.8395745625207</v>
      </c>
      <c r="AI14" s="40">
        <v>1871.839574562521</v>
      </c>
      <c r="AJ14" s="39"/>
      <c r="AK14" s="40"/>
      <c r="AL14" s="39"/>
      <c r="AM14" s="40"/>
      <c r="AN14" s="39"/>
      <c r="AO14" s="40"/>
      <c r="AP14" s="39"/>
      <c r="AQ14" s="40"/>
      <c r="AR14" s="39"/>
      <c r="AS14" s="40"/>
      <c r="AT14" s="39"/>
      <c r="AU14" s="40"/>
      <c r="AV14" s="39"/>
      <c r="AW14" s="40"/>
      <c r="AX14">
        <v>1457.0034251455234</v>
      </c>
      <c r="AY14">
        <v>1457.0034251455236</v>
      </c>
    </row>
    <row r="15" spans="1:51" x14ac:dyDescent="0.2">
      <c r="A15" t="s">
        <v>18</v>
      </c>
      <c r="B15" s="144">
        <v>1000</v>
      </c>
      <c r="C15" s="145">
        <v>1000</v>
      </c>
      <c r="D15" s="144">
        <v>979.95323846491306</v>
      </c>
      <c r="E15" s="145">
        <v>979.95323846491306</v>
      </c>
      <c r="F15" s="144">
        <v>958.88728972249271</v>
      </c>
      <c r="G15" s="145">
        <v>958.88728972249271</v>
      </c>
      <c r="H15" s="144">
        <v>936.64515870058415</v>
      </c>
      <c r="I15" s="145">
        <v>936.64515870058415</v>
      </c>
      <c r="J15" s="144">
        <v>913.03648076048034</v>
      </c>
      <c r="K15" s="145">
        <v>913.03648076048034</v>
      </c>
      <c r="L15" s="144">
        <v>887.82814560162069</v>
      </c>
      <c r="M15" s="145">
        <v>887.82814560162069</v>
      </c>
      <c r="N15" s="144">
        <v>860.72588236068111</v>
      </c>
      <c r="O15" s="145">
        <v>860.72588236068111</v>
      </c>
      <c r="P15" s="144">
        <v>831.34881680745104</v>
      </c>
      <c r="Q15" s="145">
        <v>831.34881680745104</v>
      </c>
      <c r="R15" s="144">
        <v>799.18496953257079</v>
      </c>
      <c r="S15" s="145">
        <v>799.18496953257079</v>
      </c>
      <c r="T15" s="144">
        <v>763.51499067402676</v>
      </c>
      <c r="U15" s="145">
        <v>763.51499067402676</v>
      </c>
      <c r="V15" s="144">
        <v>723.2762371771837</v>
      </c>
      <c r="W15" s="145">
        <v>723.2762371771837</v>
      </c>
      <c r="X15" s="144">
        <v>676.81190468156262</v>
      </c>
      <c r="Y15" s="145">
        <v>676.81190468156262</v>
      </c>
      <c r="Z15" s="144">
        <v>621.39506812054708</v>
      </c>
      <c r="AA15" s="145">
        <v>621.39506812054708</v>
      </c>
      <c r="AB15" s="144">
        <v>552.32751713622986</v>
      </c>
      <c r="AC15" s="145">
        <v>552.32751713622986</v>
      </c>
      <c r="AD15" s="144">
        <v>461.36229922022045</v>
      </c>
      <c r="AE15" s="145">
        <v>461.36229922022045</v>
      </c>
      <c r="AF15" s="144">
        <v>334.69748751004806</v>
      </c>
      <c r="AG15" s="145">
        <v>334.69748751004806</v>
      </c>
      <c r="AH15" s="144">
        <v>152.58595484338974</v>
      </c>
      <c r="AI15" s="145">
        <v>152.58595484338974</v>
      </c>
      <c r="AJ15" s="144"/>
      <c r="AK15" s="145"/>
      <c r="AL15" s="144"/>
      <c r="AM15" s="145"/>
      <c r="AN15" s="144"/>
      <c r="AO15" s="145"/>
      <c r="AP15" s="144"/>
      <c r="AQ15" s="145"/>
      <c r="AR15" s="144"/>
      <c r="AS15" s="145"/>
      <c r="AT15" s="144"/>
      <c r="AU15" s="145"/>
      <c r="AV15" s="144"/>
      <c r="AW15" s="145"/>
      <c r="AX15">
        <v>1000</v>
      </c>
      <c r="AY15">
        <v>1000</v>
      </c>
    </row>
    <row r="16" spans="1:51" s="27" customFormat="1" x14ac:dyDescent="0.2">
      <c r="A16" t="s">
        <v>61</v>
      </c>
      <c r="B16" s="39">
        <v>1000</v>
      </c>
      <c r="C16" s="40">
        <v>1000</v>
      </c>
      <c r="D16" s="39">
        <v>994.73319757538627</v>
      </c>
      <c r="E16" s="40">
        <v>987.86591130456122</v>
      </c>
      <c r="F16" s="39">
        <v>989.04619742827617</v>
      </c>
      <c r="G16" s="40">
        <v>975.0337168862045</v>
      </c>
      <c r="H16" s="39">
        <v>982.87579839775003</v>
      </c>
      <c r="I16" s="40">
        <v>961.39658597784285</v>
      </c>
      <c r="J16" s="39">
        <v>976.14594480215237</v>
      </c>
      <c r="K16" s="40">
        <v>946.8253718820049</v>
      </c>
      <c r="L16" s="39">
        <v>968.7646160052816</v>
      </c>
      <c r="M16" s="40">
        <v>931.16248431454005</v>
      </c>
      <c r="N16" s="39">
        <v>960.61895723971429</v>
      </c>
      <c r="O16" s="40">
        <v>914.21069959309341</v>
      </c>
      <c r="P16" s="39">
        <v>951.5687900019617</v>
      </c>
      <c r="Q16" s="40">
        <v>895.71801876318057</v>
      </c>
      <c r="R16" s="39">
        <v>941.4365733289543</v>
      </c>
      <c r="S16" s="40">
        <v>875.35135372809452</v>
      </c>
      <c r="T16" s="39">
        <v>929.99142093973262</v>
      </c>
      <c r="U16" s="40">
        <v>852.65282231397612</v>
      </c>
      <c r="V16" s="39">
        <v>916.92246432387356</v>
      </c>
      <c r="W16" s="40">
        <v>826.96206823187447</v>
      </c>
      <c r="X16" s="39">
        <v>901.79145092805118</v>
      </c>
      <c r="Y16" s="40">
        <v>797.27444779585721</v>
      </c>
      <c r="Z16" s="39">
        <v>883.94411446193146</v>
      </c>
      <c r="AA16" s="40">
        <v>761.97219071045265</v>
      </c>
      <c r="AB16" s="39">
        <v>862.33587755748351</v>
      </c>
      <c r="AC16" s="40">
        <v>718.31260425931328</v>
      </c>
      <c r="AD16" s="39">
        <v>835.18247550214323</v>
      </c>
      <c r="AE16" s="40">
        <v>661.50760407466282</v>
      </c>
      <c r="AF16" s="39">
        <v>799.28636028242806</v>
      </c>
      <c r="AG16" s="40">
        <v>583.43132935695849</v>
      </c>
      <c r="AH16" s="39">
        <v>748.88899861704999</v>
      </c>
      <c r="AI16" s="40">
        <v>471.82456324195562</v>
      </c>
      <c r="AJ16" s="39"/>
      <c r="AK16" s="40"/>
      <c r="AL16" s="39"/>
      <c r="AM16" s="40"/>
      <c r="AN16" s="39"/>
      <c r="AO16" s="40"/>
      <c r="AP16" s="39"/>
      <c r="AQ16" s="40"/>
      <c r="AR16" s="39"/>
      <c r="AS16" s="40"/>
      <c r="AT16" s="39"/>
      <c r="AU16" s="40"/>
      <c r="AV16" s="39"/>
      <c r="AW16" s="40"/>
      <c r="AX16" s="27">
        <v>1000</v>
      </c>
      <c r="AY16" s="27">
        <v>1000</v>
      </c>
    </row>
    <row r="17" spans="1:51" x14ac:dyDescent="0.2">
      <c r="A17" t="s">
        <v>62</v>
      </c>
      <c r="B17" s="33">
        <v>1000.0000000000002</v>
      </c>
      <c r="C17" s="34">
        <v>999.99999999999977</v>
      </c>
      <c r="D17" s="33">
        <v>998.31361223019212</v>
      </c>
      <c r="E17" s="34">
        <v>1037.8266977403109</v>
      </c>
      <c r="F17" s="33">
        <v>996.53760341400414</v>
      </c>
      <c r="G17" s="34">
        <v>1080.9322642849172</v>
      </c>
      <c r="H17" s="33">
        <v>994.65738015743932</v>
      </c>
      <c r="I17" s="34">
        <v>1130.3534625678701</v>
      </c>
      <c r="J17" s="33">
        <v>992.65607919860122</v>
      </c>
      <c r="K17" s="34">
        <v>1187.4112451686253</v>
      </c>
      <c r="L17" s="33">
        <v>990.51457109071237</v>
      </c>
      <c r="M17" s="34">
        <v>1253.8130327465781</v>
      </c>
      <c r="N17" s="33">
        <v>988.21203878184508</v>
      </c>
      <c r="O17" s="34">
        <v>1331.8178003211633</v>
      </c>
      <c r="P17" s="33">
        <v>985.72726205225536</v>
      </c>
      <c r="Q17" s="34">
        <v>1424.4878693375522</v>
      </c>
      <c r="R17" s="33">
        <v>983.04145194885041</v>
      </c>
      <c r="S17" s="34">
        <v>1536.1065682353374</v>
      </c>
      <c r="T17" s="33">
        <v>980.14372643981017</v>
      </c>
      <c r="U17" s="34">
        <v>1672.8961466135713</v>
      </c>
      <c r="V17" s="33">
        <v>977.04172130833672</v>
      </c>
      <c r="W17" s="34">
        <v>1844.3165327037252</v>
      </c>
      <c r="X17" s="33">
        <v>973.78148900644464</v>
      </c>
      <c r="Y17" s="34">
        <v>2065.5539186958745</v>
      </c>
      <c r="Z17" s="33">
        <v>970.48461049065259</v>
      </c>
      <c r="AA17" s="34">
        <v>2362.5835364037353</v>
      </c>
      <c r="AB17" s="33">
        <v>967.41227314904438</v>
      </c>
      <c r="AC17" s="34">
        <v>2783.0847362369695</v>
      </c>
      <c r="AD17" s="33">
        <v>965.04826158727803</v>
      </c>
      <c r="AE17" s="34">
        <v>3420.917330936335</v>
      </c>
      <c r="AF17" s="33">
        <v>964.0781545894182</v>
      </c>
      <c r="AG17" s="34">
        <v>4471.0115096978125</v>
      </c>
      <c r="AH17" s="33">
        <v>964.91007887166199</v>
      </c>
      <c r="AI17" s="34">
        <v>6351.6521623617627</v>
      </c>
      <c r="AJ17" s="33"/>
      <c r="AK17" s="34"/>
      <c r="AL17" s="33"/>
      <c r="AM17" s="34"/>
      <c r="AN17" s="33"/>
      <c r="AO17" s="34"/>
      <c r="AP17" s="33"/>
      <c r="AQ17" s="34"/>
      <c r="AR17" s="33"/>
      <c r="AS17" s="34"/>
      <c r="AT17" s="33"/>
      <c r="AU17" s="34"/>
      <c r="AV17" s="33"/>
      <c r="AW17" s="34"/>
      <c r="AX17">
        <v>1000.0000000000002</v>
      </c>
      <c r="AY17">
        <v>999.99999999999977</v>
      </c>
    </row>
    <row r="18" spans="1:51" x14ac:dyDescent="0.2">
      <c r="A18" t="s">
        <v>19</v>
      </c>
      <c r="B18" s="31">
        <v>27857.010133999996</v>
      </c>
      <c r="C18" s="32">
        <v>1236.7674480000003</v>
      </c>
      <c r="D18" s="31">
        <v>27858.932809306476</v>
      </c>
      <c r="E18" s="32">
        <v>1147.0460677314788</v>
      </c>
      <c r="F18" s="31">
        <v>27856.312493885056</v>
      </c>
      <c r="G18" s="32">
        <v>1057.020111284482</v>
      </c>
      <c r="H18" s="31">
        <v>27848.43230290919</v>
      </c>
      <c r="I18" s="32">
        <v>966.6970851074193</v>
      </c>
      <c r="J18" s="31">
        <v>27834.399439185072</v>
      </c>
      <c r="K18" s="32">
        <v>876.10707886184184</v>
      </c>
      <c r="L18" s="31">
        <v>27813.083974888134</v>
      </c>
      <c r="M18" s="32">
        <v>785.31466652352879</v>
      </c>
      <c r="N18" s="31">
        <v>27783.016352464427</v>
      </c>
      <c r="O18" s="32">
        <v>694.44276784610008</v>
      </c>
      <c r="P18" s="31">
        <v>27742.22977498523</v>
      </c>
      <c r="Q18" s="32">
        <v>603.71353050871141</v>
      </c>
      <c r="R18" s="31">
        <v>27688.010636462597</v>
      </c>
      <c r="S18" s="32">
        <v>513.50099706797505</v>
      </c>
      <c r="T18" s="31">
        <v>27616.474683443434</v>
      </c>
      <c r="U18" s="32">
        <v>424.42488654303116</v>
      </c>
      <c r="V18" s="31">
        <v>27521.849393154458</v>
      </c>
      <c r="W18" s="32">
        <v>337.48093055447322</v>
      </c>
      <c r="X18" s="31">
        <v>27395.192099208394</v>
      </c>
      <c r="Y18" s="32">
        <v>254.2430226663781</v>
      </c>
      <c r="Z18" s="31">
        <v>27222.04971354637</v>
      </c>
      <c r="AA18" s="32">
        <v>177.13762821383793</v>
      </c>
      <c r="AB18" s="31">
        <v>26978.132290390793</v>
      </c>
      <c r="AC18" s="32">
        <v>109.73672385579154</v>
      </c>
      <c r="AD18" s="31">
        <v>26621.705578365396</v>
      </c>
      <c r="AE18" s="32">
        <v>56.688212066583311</v>
      </c>
      <c r="AF18" s="31">
        <v>26082.310489516338</v>
      </c>
      <c r="AG18" s="32">
        <v>22.152776846665894</v>
      </c>
      <c r="AH18" s="31">
        <v>25247.068495420328</v>
      </c>
      <c r="AI18" s="32">
        <v>5.7988630870631059</v>
      </c>
      <c r="AJ18" s="31"/>
      <c r="AK18" s="32"/>
      <c r="AL18" s="31"/>
      <c r="AM18" s="32"/>
      <c r="AN18" s="31"/>
      <c r="AO18" s="32"/>
      <c r="AP18" s="31"/>
      <c r="AQ18" s="32"/>
      <c r="AR18" s="31"/>
      <c r="AS18" s="32"/>
      <c r="AT18" s="31"/>
      <c r="AU18" s="32"/>
      <c r="AV18" s="31"/>
      <c r="AW18" s="32"/>
      <c r="AX18">
        <v>27857.010133999996</v>
      </c>
      <c r="AY18">
        <v>1236.7674480000003</v>
      </c>
    </row>
    <row r="19" spans="1:51" x14ac:dyDescent="0.2">
      <c r="A19" t="s">
        <v>3</v>
      </c>
      <c r="B19" s="39">
        <v>1886.3937399999918</v>
      </c>
      <c r="C19" s="40">
        <v>262.78711299999759</v>
      </c>
      <c r="D19" s="39">
        <v>1878.1304145915731</v>
      </c>
      <c r="E19" s="40">
        <v>271.79506401161285</v>
      </c>
      <c r="F19" s="39">
        <v>1869.1212150153517</v>
      </c>
      <c r="G19" s="40">
        <v>282.3137388297805</v>
      </c>
      <c r="H19" s="39">
        <v>1859.2512558147969</v>
      </c>
      <c r="I19" s="40">
        <v>294.56389596332957</v>
      </c>
      <c r="J19" s="39">
        <v>1848.3842625896261</v>
      </c>
      <c r="K19" s="40">
        <v>308.79473559363328</v>
      </c>
      <c r="L19" s="39">
        <v>1836.3599441668139</v>
      </c>
      <c r="M19" s="40">
        <v>325.27516334752664</v>
      </c>
      <c r="N19" s="39">
        <v>1822.9904812313182</v>
      </c>
      <c r="O19" s="40">
        <v>344.2845608517697</v>
      </c>
      <c r="P19" s="39">
        <v>1808.0585081836466</v>
      </c>
      <c r="Q19" s="40">
        <v>366.08146962105269</v>
      </c>
      <c r="R19" s="39">
        <v>1791.31668429162</v>
      </c>
      <c r="S19" s="40">
        <v>390.84870412541301</v>
      </c>
      <c r="T19" s="39">
        <v>1772.4903299360437</v>
      </c>
      <c r="U19" s="40">
        <v>418.58593827766146</v>
      </c>
      <c r="V19" s="39">
        <v>1751.2872337873939</v>
      </c>
      <c r="W19" s="40">
        <v>448.90924718583102</v>
      </c>
      <c r="X19" s="39">
        <v>1727.4182237258472</v>
      </c>
      <c r="Y19" s="40">
        <v>480.67408229045679</v>
      </c>
      <c r="Z19" s="39">
        <v>1700.6337963857261</v>
      </c>
      <c r="AA19" s="40">
        <v>511.27944402455216</v>
      </c>
      <c r="AB19" s="39">
        <v>1670.7589126761011</v>
      </c>
      <c r="AC19" s="40">
        <v>535.4599800084718</v>
      </c>
      <c r="AD19" s="39">
        <v>1637.5828014513843</v>
      </c>
      <c r="AE19" s="40">
        <v>543.6783838576888</v>
      </c>
      <c r="AF19" s="39">
        <v>1599.9418108676489</v>
      </c>
      <c r="AG19" s="40">
        <v>522.13315861178512</v>
      </c>
      <c r="AH19" s="39">
        <v>1552.4094666411424</v>
      </c>
      <c r="AI19" s="40">
        <v>460.02540363191116</v>
      </c>
      <c r="AJ19" s="39"/>
      <c r="AK19" s="40"/>
      <c r="AL19" s="39"/>
      <c r="AM19" s="40"/>
      <c r="AN19" s="39"/>
      <c r="AO19" s="40"/>
      <c r="AP19" s="39"/>
      <c r="AQ19" s="40"/>
      <c r="AR19" s="39"/>
      <c r="AS19" s="40"/>
      <c r="AT19" s="39"/>
      <c r="AU19" s="40"/>
      <c r="AV19" s="39"/>
      <c r="AW19" s="40"/>
      <c r="AX19">
        <v>1886.3937399999918</v>
      </c>
      <c r="AY19">
        <v>262.78711299999759</v>
      </c>
    </row>
    <row r="20" spans="1:51" x14ac:dyDescent="0.2">
      <c r="A20" t="s">
        <v>114</v>
      </c>
      <c r="B20" s="79">
        <v>26548.356269999993</v>
      </c>
      <c r="C20" s="80">
        <v>1408.5418709999938</v>
      </c>
      <c r="D20" s="79">
        <v>26530.447680194022</v>
      </c>
      <c r="E20" s="80">
        <v>1338.1147774499941</v>
      </c>
      <c r="F20" s="79">
        <v>26507.055724074697</v>
      </c>
      <c r="G20" s="80">
        <v>1267.6876838999945</v>
      </c>
      <c r="H20" s="79">
        <v>26477.31823306912</v>
      </c>
      <c r="I20" s="80">
        <v>1197.2605903499946</v>
      </c>
      <c r="J20" s="79">
        <v>26440.176540348199</v>
      </c>
      <c r="K20" s="80">
        <v>1126.8334967999949</v>
      </c>
      <c r="L20" s="79">
        <v>26394.319092750055</v>
      </c>
      <c r="M20" s="80">
        <v>1056.4064032499953</v>
      </c>
      <c r="N20" s="79">
        <v>26338.089941558308</v>
      </c>
      <c r="O20" s="80">
        <v>985.97930969999561</v>
      </c>
      <c r="P20" s="79">
        <v>26269.357556667357</v>
      </c>
      <c r="Q20" s="80">
        <v>915.55221614999596</v>
      </c>
      <c r="R20" s="79">
        <v>26185.315958434225</v>
      </c>
      <c r="S20" s="80">
        <v>845.12512259999642</v>
      </c>
      <c r="T20" s="79">
        <v>26082.158989817941</v>
      </c>
      <c r="U20" s="80">
        <v>774.69802904999653</v>
      </c>
      <c r="V20" s="79">
        <v>25954.548294157205</v>
      </c>
      <c r="W20" s="80">
        <v>704.27093549999688</v>
      </c>
      <c r="X20" s="79">
        <v>25794.680288452098</v>
      </c>
      <c r="Y20" s="80">
        <v>633.84384194999734</v>
      </c>
      <c r="Z20" s="79">
        <v>25590.594180571101</v>
      </c>
      <c r="AA20" s="80">
        <v>563.41674839999757</v>
      </c>
      <c r="AB20" s="79">
        <v>25322.971635658618</v>
      </c>
      <c r="AC20" s="80">
        <v>492.98965484999775</v>
      </c>
      <c r="AD20" s="79">
        <v>24959.047166486173</v>
      </c>
      <c r="AE20" s="80">
        <v>422.56256129999798</v>
      </c>
      <c r="AF20" s="79">
        <v>24441.466888984964</v>
      </c>
      <c r="AG20" s="80">
        <v>352.13546774999827</v>
      </c>
      <c r="AH20" s="79">
        <v>23668.628289250497</v>
      </c>
      <c r="AI20" s="80">
        <v>281.70837419999856</v>
      </c>
      <c r="AJ20" s="79"/>
      <c r="AK20" s="80"/>
      <c r="AL20" s="79"/>
      <c r="AM20" s="80"/>
      <c r="AN20" s="79"/>
      <c r="AO20" s="80"/>
      <c r="AP20" s="79"/>
      <c r="AQ20" s="80"/>
      <c r="AR20" s="79"/>
      <c r="AS20" s="80"/>
      <c r="AT20" s="79"/>
      <c r="AU20" s="80"/>
      <c r="AV20" s="79"/>
      <c r="AW20" s="80"/>
      <c r="AX20">
        <v>26548.356269999993</v>
      </c>
      <c r="AY20">
        <v>1408.5418709999938</v>
      </c>
    </row>
    <row r="21" spans="1:51" x14ac:dyDescent="0.2">
      <c r="A21" t="s">
        <v>76</v>
      </c>
      <c r="B21" s="79">
        <v>24661.962529999968</v>
      </c>
      <c r="C21" s="80">
        <v>1145.7547579999991</v>
      </c>
      <c r="D21" s="79">
        <v>24652.324255561758</v>
      </c>
      <c r="E21" s="80">
        <v>1066.6119780403694</v>
      </c>
      <c r="F21" s="79">
        <v>24637.963995581409</v>
      </c>
      <c r="G21" s="80">
        <v>986.64686656731749</v>
      </c>
      <c r="H21" s="79">
        <v>24618.137223958907</v>
      </c>
      <c r="I21" s="80">
        <v>905.82528296847079</v>
      </c>
      <c r="J21" s="79">
        <v>24591.925064520477</v>
      </c>
      <c r="K21" s="80">
        <v>824.13410481735252</v>
      </c>
      <c r="L21" s="79">
        <v>24558.18071735241</v>
      </c>
      <c r="M21" s="80">
        <v>741.60111032090686</v>
      </c>
      <c r="N21" s="79">
        <v>24515.441649548618</v>
      </c>
      <c r="O21" s="80">
        <v>658.31661570799645</v>
      </c>
      <c r="P21" s="79">
        <v>24461.800546053782</v>
      </c>
      <c r="Q21" s="80">
        <v>574.47461854809387</v>
      </c>
      <c r="R21" s="79">
        <v>24394.706779221746</v>
      </c>
      <c r="S21" s="80">
        <v>490.43028384501014</v>
      </c>
      <c r="T21" s="79">
        <v>24310.637425299086</v>
      </c>
      <c r="U21" s="80">
        <v>406.78910280656265</v>
      </c>
      <c r="V21" s="79">
        <v>24204.553624477434</v>
      </c>
      <c r="W21" s="80">
        <v>324.54029340832636</v>
      </c>
      <c r="X21" s="79">
        <v>24068.942666546518</v>
      </c>
      <c r="Y21" s="80">
        <v>245.25505467583028</v>
      </c>
      <c r="Z21" s="79">
        <v>23892.080130085971</v>
      </c>
      <c r="AA21" s="80">
        <v>171.35915784388993</v>
      </c>
      <c r="AB21" s="79">
        <v>23654.777416715282</v>
      </c>
      <c r="AC21" s="80">
        <v>106.42075994923648</v>
      </c>
      <c r="AD21" s="79">
        <v>23324.379052648801</v>
      </c>
      <c r="AE21" s="80">
        <v>55.088567368992919</v>
      </c>
      <c r="AF21" s="79">
        <v>22844.542869645342</v>
      </c>
      <c r="AG21" s="80">
        <v>21.560812602955959</v>
      </c>
      <c r="AH21" s="79">
        <v>22119.005096581157</v>
      </c>
      <c r="AI21" s="80">
        <v>5.649316624567958</v>
      </c>
      <c r="AJ21" s="79"/>
      <c r="AK21" s="80"/>
      <c r="AL21" s="79"/>
      <c r="AM21" s="80"/>
      <c r="AN21" s="79"/>
      <c r="AO21" s="80"/>
      <c r="AP21" s="79"/>
      <c r="AQ21" s="80"/>
      <c r="AR21" s="79"/>
      <c r="AS21" s="80"/>
      <c r="AT21" s="79"/>
      <c r="AU21" s="80"/>
      <c r="AV21" s="79"/>
      <c r="AW21" s="80"/>
      <c r="AX21">
        <v>24661.962529999968</v>
      </c>
      <c r="AY21">
        <v>1145.7547579999991</v>
      </c>
    </row>
    <row r="22" spans="1:51" x14ac:dyDescent="0.2">
      <c r="A22" t="s">
        <v>28</v>
      </c>
      <c r="B22" s="39">
        <v>6533.6044688320644</v>
      </c>
      <c r="C22" s="40">
        <v>379.90788307663388</v>
      </c>
      <c r="D22" s="39">
        <v>6526.0557125795858</v>
      </c>
      <c r="E22" s="40">
        <v>370.36950886780369</v>
      </c>
      <c r="F22" s="39">
        <v>6515.7673991637039</v>
      </c>
      <c r="G22" s="40">
        <v>360.44932815058473</v>
      </c>
      <c r="H22" s="39">
        <v>6502.3031544489377</v>
      </c>
      <c r="I22" s="40">
        <v>350.12093905096157</v>
      </c>
      <c r="J22" s="39">
        <v>6485.1284537544561</v>
      </c>
      <c r="K22" s="40">
        <v>339.35318717011017</v>
      </c>
      <c r="L22" s="39">
        <v>6463.5798173075691</v>
      </c>
      <c r="M22" s="40">
        <v>328.10909931562537</v>
      </c>
      <c r="N22" s="39">
        <v>6436.8232159645158</v>
      </c>
      <c r="O22" s="40">
        <v>316.34263889925234</v>
      </c>
      <c r="P22" s="39">
        <v>6403.7874356645489</v>
      </c>
      <c r="Q22" s="40">
        <v>303.99491055465916</v>
      </c>
      <c r="R22" s="39">
        <v>6363.069428772269</v>
      </c>
      <c r="S22" s="40">
        <v>290.98795470702839</v>
      </c>
      <c r="T22" s="39">
        <v>6312.7767734321378</v>
      </c>
      <c r="U22" s="40">
        <v>277.21498792348177</v>
      </c>
      <c r="V22" s="39">
        <v>6250.2755679993625</v>
      </c>
      <c r="W22" s="40">
        <v>262.52583297447563</v>
      </c>
      <c r="X22" s="39">
        <v>6171.7494991120366</v>
      </c>
      <c r="Y22" s="40">
        <v>246.70450800500618</v>
      </c>
      <c r="Z22" s="39">
        <v>6071.4138874277196</v>
      </c>
      <c r="AA22" s="40">
        <v>229.43721124785358</v>
      </c>
      <c r="AB22" s="39">
        <v>5940.0541164941969</v>
      </c>
      <c r="AC22" s="40">
        <v>210.27402657315923</v>
      </c>
      <c r="AD22" s="39">
        <v>5762.351461157119</v>
      </c>
      <c r="AE22" s="40">
        <v>188.61699502569905</v>
      </c>
      <c r="AF22" s="39">
        <v>5512.4146560288555</v>
      </c>
      <c r="AG22" s="40">
        <v>163.84050680235094</v>
      </c>
      <c r="AH22" s="39">
        <v>5147.6457539307521</v>
      </c>
      <c r="AI22" s="40">
        <v>135.6537167077546</v>
      </c>
      <c r="AJ22" s="39"/>
      <c r="AK22" s="40"/>
      <c r="AL22" s="39"/>
      <c r="AM22" s="40"/>
      <c r="AN22" s="39"/>
      <c r="AO22" s="40"/>
      <c r="AP22" s="39"/>
      <c r="AQ22" s="40"/>
      <c r="AR22" s="39"/>
      <c r="AS22" s="40"/>
      <c r="AT22" s="39"/>
      <c r="AU22" s="40"/>
      <c r="AV22" s="39"/>
      <c r="AW22" s="40"/>
      <c r="AX22">
        <v>6533.6044688320644</v>
      </c>
      <c r="AY22">
        <v>379.90788307663388</v>
      </c>
    </row>
    <row r="23" spans="1:51" x14ac:dyDescent="0.2">
      <c r="A23" t="s">
        <v>7</v>
      </c>
      <c r="B23" s="110">
        <v>3278.5018080150408</v>
      </c>
      <c r="C23" s="8">
        <v>0</v>
      </c>
      <c r="D23" s="110">
        <v>3285.1002274251682</v>
      </c>
      <c r="E23" s="8">
        <v>0</v>
      </c>
      <c r="F23" s="110">
        <v>3291.5012161475001</v>
      </c>
      <c r="G23" s="8">
        <v>0</v>
      </c>
      <c r="H23" s="110">
        <v>3297.6752351377509</v>
      </c>
      <c r="I23" s="8">
        <v>0</v>
      </c>
      <c r="J23" s="110">
        <v>3303.5857049701067</v>
      </c>
      <c r="K23" s="8">
        <v>0</v>
      </c>
      <c r="L23" s="110">
        <v>3309.1877960799829</v>
      </c>
      <c r="M23" s="8">
        <v>0</v>
      </c>
      <c r="N23" s="110">
        <v>3314.42685146136</v>
      </c>
      <c r="O23" s="8">
        <v>0</v>
      </c>
      <c r="P23" s="110">
        <v>3319.2361667683995</v>
      </c>
      <c r="Q23" s="8">
        <v>0</v>
      </c>
      <c r="R23" s="110">
        <v>3323.5373005742867</v>
      </c>
      <c r="S23" s="8">
        <v>0</v>
      </c>
      <c r="T23" s="110">
        <v>3327.2411443610263</v>
      </c>
      <c r="U23" s="8">
        <v>0</v>
      </c>
      <c r="V23" s="110">
        <v>3330.2572490707216</v>
      </c>
      <c r="W23" s="8">
        <v>0</v>
      </c>
      <c r="X23" s="110">
        <v>3332.5158213591335</v>
      </c>
      <c r="Y23" s="8">
        <v>0</v>
      </c>
      <c r="Z23" s="110">
        <v>3334.0184129956242</v>
      </c>
      <c r="AA23" s="8">
        <v>0</v>
      </c>
      <c r="AB23" s="110">
        <v>3334.9269787464696</v>
      </c>
      <c r="AC23" s="8">
        <v>0</v>
      </c>
      <c r="AD23" s="110">
        <v>3335.627115140202</v>
      </c>
      <c r="AE23" s="8">
        <v>0</v>
      </c>
      <c r="AF23" s="110">
        <v>3336.2326421739863</v>
      </c>
      <c r="AG23" s="8">
        <v>0</v>
      </c>
      <c r="AH23" s="110">
        <v>3333.6170749181906</v>
      </c>
      <c r="AI23" s="8">
        <v>0</v>
      </c>
      <c r="AJ23" s="110"/>
      <c r="AK23" s="8"/>
      <c r="AL23" s="110"/>
      <c r="AM23" s="8"/>
      <c r="AN23" s="110"/>
      <c r="AO23" s="8"/>
      <c r="AP23" s="110"/>
      <c r="AQ23" s="8"/>
      <c r="AR23" s="110"/>
      <c r="AS23" s="8"/>
      <c r="AT23" s="110"/>
      <c r="AU23" s="8"/>
      <c r="AV23" s="110"/>
      <c r="AW23" s="8"/>
      <c r="AX23">
        <v>3278.5018080150408</v>
      </c>
      <c r="AY23">
        <v>0</v>
      </c>
    </row>
    <row r="24" spans="1:51" x14ac:dyDescent="0.2">
      <c r="A24" t="s">
        <v>8</v>
      </c>
      <c r="B24" s="93">
        <v>3196.3846373657216</v>
      </c>
      <c r="C24" s="8">
        <v>0</v>
      </c>
      <c r="D24" s="93">
        <v>3202.8177884196039</v>
      </c>
      <c r="E24" s="8">
        <v>0</v>
      </c>
      <c r="F24" s="93">
        <v>3209.058452980089</v>
      </c>
      <c r="G24" s="8">
        <v>0</v>
      </c>
      <c r="H24" s="93">
        <v>3215.0778243025661</v>
      </c>
      <c r="I24" s="8">
        <v>0</v>
      </c>
      <c r="J24" s="93">
        <v>3220.8402541068922</v>
      </c>
      <c r="K24" s="8">
        <v>0</v>
      </c>
      <c r="L24" s="93">
        <v>3226.3020280101782</v>
      </c>
      <c r="M24" s="8">
        <v>0</v>
      </c>
      <c r="N24" s="93">
        <v>3231.4098592648911</v>
      </c>
      <c r="O24" s="8">
        <v>0</v>
      </c>
      <c r="P24" s="93">
        <v>3236.0987163719687</v>
      </c>
      <c r="Q24" s="8">
        <v>0</v>
      </c>
      <c r="R24" s="93">
        <v>3240.2921184444472</v>
      </c>
      <c r="S24" s="8">
        <v>0</v>
      </c>
      <c r="T24" s="93">
        <v>3243.9031914765014</v>
      </c>
      <c r="U24" s="8">
        <v>0</v>
      </c>
      <c r="V24" s="93">
        <v>3246.8437512542951</v>
      </c>
      <c r="W24" s="8">
        <v>0</v>
      </c>
      <c r="X24" s="93">
        <v>3249.045753302491</v>
      </c>
      <c r="Y24" s="8">
        <v>0</v>
      </c>
      <c r="Z24" s="93">
        <v>3250.510708700981</v>
      </c>
      <c r="AA24" s="8">
        <v>0</v>
      </c>
      <c r="AB24" s="93">
        <v>3251.3965176988272</v>
      </c>
      <c r="AC24" s="8">
        <v>0</v>
      </c>
      <c r="AD24" s="93">
        <v>3252.0791176037847</v>
      </c>
      <c r="AE24" s="8">
        <v>0</v>
      </c>
      <c r="AF24" s="93">
        <v>3252.6694778858637</v>
      </c>
      <c r="AG24" s="8">
        <v>0</v>
      </c>
      <c r="AH24" s="93">
        <v>3250.1194231689396</v>
      </c>
      <c r="AI24" s="8">
        <v>0</v>
      </c>
      <c r="AJ24" s="93"/>
      <c r="AK24" s="8"/>
      <c r="AL24" s="93"/>
      <c r="AM24" s="8"/>
      <c r="AN24" s="93"/>
      <c r="AO24" s="8"/>
      <c r="AP24" s="93"/>
      <c r="AQ24" s="8"/>
      <c r="AR24" s="93"/>
      <c r="AS24" s="8"/>
      <c r="AT24" s="93"/>
      <c r="AU24" s="8"/>
      <c r="AV24" s="93"/>
      <c r="AW24" s="8"/>
      <c r="AX24">
        <v>3196.3846373657216</v>
      </c>
      <c r="AY24">
        <v>0</v>
      </c>
    </row>
    <row r="25" spans="1:51" x14ac:dyDescent="0.2">
      <c r="A25" t="s">
        <v>0</v>
      </c>
      <c r="B25" s="39">
        <v>3195.0476040000012</v>
      </c>
      <c r="C25" s="40">
        <v>91.012690000004397</v>
      </c>
      <c r="D25" s="39">
        <v>3206.5972064717489</v>
      </c>
      <c r="E25" s="40">
        <v>80.381403857262839</v>
      </c>
      <c r="F25" s="39">
        <v>3218.3003943609892</v>
      </c>
      <c r="G25" s="40">
        <v>70.168709042435552</v>
      </c>
      <c r="H25" s="39">
        <v>3230.179863207688</v>
      </c>
      <c r="I25" s="40">
        <v>60.428711657514334</v>
      </c>
      <c r="J25" s="39">
        <v>3242.2552639869814</v>
      </c>
      <c r="K25" s="40">
        <v>51.218668763006015</v>
      </c>
      <c r="L25" s="39">
        <v>3254.5352766778301</v>
      </c>
      <c r="M25" s="40">
        <v>42.598713531359145</v>
      </c>
      <c r="N25" s="39">
        <v>3267.0024087842089</v>
      </c>
      <c r="O25" s="40">
        <v>34.630572373442689</v>
      </c>
      <c r="P25" s="39">
        <v>3279.5841145451318</v>
      </c>
      <c r="Q25" s="40">
        <v>27.376880080889368</v>
      </c>
      <c r="R25" s="39">
        <v>3292.1017250212485</v>
      </c>
      <c r="S25" s="40">
        <v>20.89911930522301</v>
      </c>
      <c r="T25" s="39">
        <v>3304.1764423132745</v>
      </c>
      <c r="U25" s="40">
        <v>15.255556726071081</v>
      </c>
      <c r="V25" s="39">
        <v>3315.0584221645145</v>
      </c>
      <c r="W25" s="40">
        <v>10.497599561954656</v>
      </c>
      <c r="X25" s="39">
        <v>3323.3106589579088</v>
      </c>
      <c r="Y25" s="40">
        <v>6.6645101532111859</v>
      </c>
      <c r="Z25" s="39">
        <v>3326.2243029993547</v>
      </c>
      <c r="AA25" s="40">
        <v>3.7739669522911661</v>
      </c>
      <c r="AB25" s="39">
        <v>3318.7791864027686</v>
      </c>
      <c r="AC25" s="40">
        <v>1.8048563419468027</v>
      </c>
      <c r="AD25" s="39">
        <v>3292.0871640895471</v>
      </c>
      <c r="AE25" s="40">
        <v>0.66709516666873647</v>
      </c>
      <c r="AF25" s="39">
        <v>3232.3260986915725</v>
      </c>
      <c r="AG25" s="40">
        <v>0.16667625155305249</v>
      </c>
      <c r="AH25" s="39">
        <v>3123.0526625513717</v>
      </c>
      <c r="AI25" s="40">
        <v>2.381605763785577E-2</v>
      </c>
      <c r="AJ25" s="39"/>
      <c r="AK25" s="40"/>
      <c r="AL25" s="39"/>
      <c r="AM25" s="40"/>
      <c r="AN25" s="39"/>
      <c r="AO25" s="40"/>
      <c r="AP25" s="39"/>
      <c r="AQ25" s="40"/>
      <c r="AR25" s="39"/>
      <c r="AS25" s="40"/>
      <c r="AT25" s="39"/>
      <c r="AU25" s="40"/>
      <c r="AV25" s="39"/>
      <c r="AW25" s="40"/>
      <c r="AX25">
        <v>3195.0476040000012</v>
      </c>
      <c r="AY25">
        <v>91.012690000004397</v>
      </c>
    </row>
    <row r="26" spans="1:51" x14ac:dyDescent="0.2">
      <c r="A26" t="s">
        <v>27</v>
      </c>
      <c r="B26" s="31">
        <v>5036.2953101960647</v>
      </c>
      <c r="C26" s="32">
        <v>74.905331803938267</v>
      </c>
      <c r="D26" s="31">
        <v>5041.2364331493736</v>
      </c>
      <c r="E26" s="32">
        <v>69.964208850624459</v>
      </c>
      <c r="F26" s="31">
        <v>5046.220022951893</v>
      </c>
      <c r="G26" s="32">
        <v>64.980619048128887</v>
      </c>
      <c r="H26" s="31">
        <v>5051.2514439039423</v>
      </c>
      <c r="I26" s="32">
        <v>59.949198096059767</v>
      </c>
      <c r="J26" s="31">
        <v>5056.3361070895962</v>
      </c>
      <c r="K26" s="32">
        <v>54.864534910407563</v>
      </c>
      <c r="L26" s="31">
        <v>5061.4788988313103</v>
      </c>
      <c r="M26" s="32">
        <v>49.721743168697586</v>
      </c>
      <c r="N26" s="31">
        <v>5066.683080618619</v>
      </c>
      <c r="O26" s="32">
        <v>44.517561381386493</v>
      </c>
      <c r="P26" s="31">
        <v>5071.9480981766737</v>
      </c>
      <c r="Q26" s="32">
        <v>39.252543823328054</v>
      </c>
      <c r="R26" s="31">
        <v>5077.2664142803606</v>
      </c>
      <c r="S26" s="32">
        <v>33.93422771964255</v>
      </c>
      <c r="T26" s="31">
        <v>5082.6177304681596</v>
      </c>
      <c r="U26" s="32">
        <v>28.582911531843219</v>
      </c>
      <c r="V26" s="31">
        <v>5087.960038153662</v>
      </c>
      <c r="W26" s="32">
        <v>23.240603846339287</v>
      </c>
      <c r="X26" s="31">
        <v>5093.2148417824792</v>
      </c>
      <c r="Y26" s="32">
        <v>17.985800217529697</v>
      </c>
      <c r="Z26" s="31">
        <v>5098.244570879132</v>
      </c>
      <c r="AA26" s="32">
        <v>12.956071120870407</v>
      </c>
      <c r="AB26" s="31">
        <v>5102.8224014235739</v>
      </c>
      <c r="AC26" s="32">
        <v>8.3782405764258669</v>
      </c>
      <c r="AD26" s="31">
        <v>5106.6144353344152</v>
      </c>
      <c r="AE26" s="32">
        <v>4.5862066655874187</v>
      </c>
      <c r="AF26" s="31">
        <v>5109.254355095346</v>
      </c>
      <c r="AG26" s="32">
        <v>1.9462869046560494</v>
      </c>
      <c r="AH26" s="31">
        <v>5110.624087967718</v>
      </c>
      <c r="AI26" s="32">
        <v>0.57655403228910851</v>
      </c>
      <c r="AJ26" s="31"/>
      <c r="AK26" s="32"/>
      <c r="AL26" s="31"/>
      <c r="AM26" s="32"/>
      <c r="AN26" s="31"/>
      <c r="AO26" s="32"/>
      <c r="AP26" s="31"/>
      <c r="AQ26" s="32"/>
      <c r="AR26" s="31"/>
      <c r="AS26" s="32"/>
      <c r="AT26" s="31"/>
      <c r="AU26" s="32"/>
      <c r="AV26" s="31"/>
      <c r="AW26" s="32"/>
      <c r="AX26">
        <v>5036.2953101960647</v>
      </c>
      <c r="AY26">
        <v>74.905331803938267</v>
      </c>
    </row>
    <row r="27" spans="1:51" x14ac:dyDescent="0.2">
      <c r="A27" t="s">
        <v>2</v>
      </c>
      <c r="B27" s="33">
        <v>6425.1981590000414</v>
      </c>
      <c r="C27" s="34">
        <v>273.22915400000028</v>
      </c>
      <c r="D27" s="33">
        <v>6442.9256626073748</v>
      </c>
      <c r="E27" s="34">
        <v>255.50168931861816</v>
      </c>
      <c r="F27" s="33">
        <v>6460.847674554595</v>
      </c>
      <c r="G27" s="34">
        <v>237.57970827073527</v>
      </c>
      <c r="H27" s="33">
        <v>6478.9847615282433</v>
      </c>
      <c r="I27" s="34">
        <v>219.44255214422958</v>
      </c>
      <c r="J27" s="33">
        <v>6497.3576735483657</v>
      </c>
      <c r="K27" s="34">
        <v>201.06966108410896</v>
      </c>
      <c r="L27" s="33">
        <v>6515.985551514369</v>
      </c>
      <c r="M27" s="34">
        <v>182.441761138473</v>
      </c>
      <c r="N27" s="33">
        <v>6534.8819347284871</v>
      </c>
      <c r="O27" s="34">
        <v>163.54537562122607</v>
      </c>
      <c r="P27" s="33">
        <v>6554.0463464344011</v>
      </c>
      <c r="Q27" s="34">
        <v>144.38097252006688</v>
      </c>
      <c r="R27" s="33">
        <v>6573.4531556682787</v>
      </c>
      <c r="S27" s="34">
        <v>124.97416332518014</v>
      </c>
      <c r="T27" s="33">
        <v>6593.029393400253</v>
      </c>
      <c r="U27" s="34">
        <v>105.39792372770734</v>
      </c>
      <c r="V27" s="33">
        <v>6612.6218223542783</v>
      </c>
      <c r="W27" s="34">
        <v>85.805497488589907</v>
      </c>
      <c r="X27" s="33">
        <v>6631.9412572395086</v>
      </c>
      <c r="Y27" s="34">
        <v>66.486072384205343</v>
      </c>
      <c r="Z27" s="33">
        <v>6650.4778197130609</v>
      </c>
      <c r="AA27" s="34">
        <v>47.949489574846368</v>
      </c>
      <c r="AB27" s="33">
        <v>6667.386884785753</v>
      </c>
      <c r="AC27" s="34">
        <v>31.040433548012576</v>
      </c>
      <c r="AD27" s="33">
        <v>6681.4209042675502</v>
      </c>
      <c r="AE27" s="34">
        <v>17.006412713706318</v>
      </c>
      <c r="AF27" s="33">
        <v>6691.2057207883563</v>
      </c>
      <c r="AG27" s="34">
        <v>7.2215985598373882</v>
      </c>
      <c r="AH27" s="33">
        <v>6696.287357577482</v>
      </c>
      <c r="AI27" s="34">
        <v>2.1399590625389724</v>
      </c>
      <c r="AJ27" s="33"/>
      <c r="AK27" s="34"/>
      <c r="AL27" s="33"/>
      <c r="AM27" s="34"/>
      <c r="AN27" s="33"/>
      <c r="AO27" s="34"/>
      <c r="AP27" s="33"/>
      <c r="AQ27" s="34"/>
      <c r="AR27" s="33"/>
      <c r="AS27" s="34"/>
      <c r="AT27" s="33"/>
      <c r="AU27" s="34"/>
      <c r="AV27" s="33"/>
      <c r="AW27" s="34"/>
      <c r="AX27">
        <v>6425.1981590000414</v>
      </c>
      <c r="AY27">
        <v>273.22915400000028</v>
      </c>
    </row>
    <row r="28" spans="1:51" x14ac:dyDescent="0.2">
      <c r="A28" t="s">
        <v>35</v>
      </c>
      <c r="B28" s="39">
        <v>13763.097676000029</v>
      </c>
      <c r="C28" s="40">
        <v>382.36647899999997</v>
      </c>
      <c r="D28" s="39">
        <v>13788.006400205153</v>
      </c>
      <c r="E28" s="40">
        <v>357.4394543157066</v>
      </c>
      <c r="F28" s="39">
        <v>13813.134739972331</v>
      </c>
      <c r="G28" s="40">
        <v>332.25546629370734</v>
      </c>
      <c r="H28" s="39">
        <v>13838.509832079695</v>
      </c>
      <c r="I28" s="40">
        <v>306.78616756351477</v>
      </c>
      <c r="J28" s="39">
        <v>13864.158884483097</v>
      </c>
      <c r="K28" s="40">
        <v>281.00324568769895</v>
      </c>
      <c r="L28" s="39">
        <v>13890.106563094638</v>
      </c>
      <c r="M28" s="40">
        <v>254.8804495345955</v>
      </c>
      <c r="N28" s="39">
        <v>13916.369458378762</v>
      </c>
      <c r="O28" s="40">
        <v>228.39970371681511</v>
      </c>
      <c r="P28" s="39">
        <v>13942.944660593472</v>
      </c>
      <c r="Q28" s="40">
        <v>201.56244788376083</v>
      </c>
      <c r="R28" s="39">
        <v>13969.794341289997</v>
      </c>
      <c r="S28" s="40">
        <v>174.40545865615465</v>
      </c>
      <c r="T28" s="39">
        <v>13996.815857112711</v>
      </c>
      <c r="U28" s="40">
        <v>147.03147520350541</v>
      </c>
      <c r="V28" s="39">
        <v>14023.797006926354</v>
      </c>
      <c r="W28" s="40">
        <v>119.65513791324074</v>
      </c>
      <c r="X28" s="39">
        <v>14050.341014642079</v>
      </c>
      <c r="Y28" s="40">
        <v>92.68015949751198</v>
      </c>
      <c r="Z28" s="39">
        <v>14075.752449321124</v>
      </c>
      <c r="AA28" s="40">
        <v>66.816889461057301</v>
      </c>
      <c r="AB28" s="39">
        <v>14098.884327290205</v>
      </c>
      <c r="AC28" s="40">
        <v>43.240361180922889</v>
      </c>
      <c r="AD28" s="39">
        <v>14118.048082085941</v>
      </c>
      <c r="AE28" s="40">
        <v>23.684125901009821</v>
      </c>
      <c r="AF28" s="39">
        <v>14131.390719214716</v>
      </c>
      <c r="AG28" s="40">
        <v>10.0553313598526</v>
      </c>
      <c r="AH28" s="39">
        <v>14138.314009713435</v>
      </c>
      <c r="AI28" s="40">
        <v>2.9793808361741587</v>
      </c>
      <c r="AJ28" s="39"/>
      <c r="AK28" s="40"/>
      <c r="AL28" s="39"/>
      <c r="AM28" s="40"/>
      <c r="AN28" s="39"/>
      <c r="AO28" s="40"/>
      <c r="AP28" s="39"/>
      <c r="AQ28" s="40"/>
      <c r="AR28" s="39"/>
      <c r="AS28" s="40"/>
      <c r="AT28" s="39"/>
      <c r="AU28" s="40"/>
      <c r="AV28" s="39"/>
      <c r="AW28" s="40"/>
      <c r="AX28">
        <v>13763.097676000029</v>
      </c>
      <c r="AY28">
        <v>382.36647899999997</v>
      </c>
    </row>
    <row r="29" spans="1:51" x14ac:dyDescent="0.2">
      <c r="A29" t="s">
        <v>53</v>
      </c>
      <c r="B29" s="33">
        <v>14362.768558000025</v>
      </c>
      <c r="C29" s="34">
        <v>817.26650999999993</v>
      </c>
      <c r="D29" s="33">
        <v>14362.937020913751</v>
      </c>
      <c r="E29" s="34">
        <v>754.62235989255646</v>
      </c>
      <c r="F29" s="33">
        <v>14360.701716942813</v>
      </c>
      <c r="G29" s="34">
        <v>692.08799184918166</v>
      </c>
      <c r="H29" s="33">
        <v>14355.683105622067</v>
      </c>
      <c r="I29" s="34">
        <v>629.71166970989373</v>
      </c>
      <c r="J29" s="33">
        <v>14347.408738054102</v>
      </c>
      <c r="K29" s="34">
        <v>567.5608225341291</v>
      </c>
      <c r="L29" s="33">
        <v>14335.282223075257</v>
      </c>
      <c r="M29" s="34">
        <v>505.72984987176119</v>
      </c>
      <c r="N29" s="33">
        <v>14318.529764390138</v>
      </c>
      <c r="O29" s="34">
        <v>444.35472056281731</v>
      </c>
      <c r="P29" s="33">
        <v>14296.119990907478</v>
      </c>
      <c r="Q29" s="34">
        <v>383.63803138253422</v>
      </c>
      <c r="R29" s="33">
        <v>14266.636641161458</v>
      </c>
      <c r="S29" s="34">
        <v>323.8800740342657</v>
      </c>
      <c r="T29" s="33">
        <v>14228.06393863801</v>
      </c>
      <c r="U29" s="34">
        <v>265.53392726896874</v>
      </c>
      <c r="V29" s="33">
        <v>14177.424359240553</v>
      </c>
      <c r="W29" s="34">
        <v>209.28002332065233</v>
      </c>
      <c r="X29" s="33">
        <v>14110.133896166592</v>
      </c>
      <c r="Y29" s="34">
        <v>156.13975395680268</v>
      </c>
      <c r="Z29" s="33">
        <v>14018.82674084107</v>
      </c>
      <c r="AA29" s="34">
        <v>107.62375285054355</v>
      </c>
      <c r="AB29" s="33">
        <v>13891.180322046395</v>
      </c>
      <c r="AC29" s="34">
        <v>65.874899879474185</v>
      </c>
      <c r="AD29" s="33">
        <v>13706.065313696556</v>
      </c>
      <c r="AE29" s="34">
        <v>33.569070587347603</v>
      </c>
      <c r="AF29" s="33">
        <v>13427.710040990767</v>
      </c>
      <c r="AG29" s="34">
        <v>12.917434475055734</v>
      </c>
      <c r="AH29" s="33">
        <v>12998.250347191959</v>
      </c>
      <c r="AI29" s="34">
        <v>3.3245538416838456</v>
      </c>
      <c r="AJ29" s="33"/>
      <c r="AK29" s="34"/>
      <c r="AL29" s="33"/>
      <c r="AM29" s="34"/>
      <c r="AN29" s="33"/>
      <c r="AO29" s="34"/>
      <c r="AP29" s="33"/>
      <c r="AQ29" s="34"/>
      <c r="AR29" s="33"/>
      <c r="AS29" s="34"/>
      <c r="AT29" s="33"/>
      <c r="AU29" s="34"/>
      <c r="AV29" s="33"/>
      <c r="AW29" s="34"/>
      <c r="AX29">
        <v>14362.768558000025</v>
      </c>
      <c r="AY29">
        <v>817.26650999999993</v>
      </c>
    </row>
    <row r="30" spans="1:51" x14ac:dyDescent="0.2">
      <c r="A30" t="s">
        <v>48</v>
      </c>
      <c r="B30" s="112">
        <v>2924829.9599999995</v>
      </c>
      <c r="D30" s="112">
        <v>3022033.6689841207</v>
      </c>
      <c r="F30" s="112">
        <v>3122811.2170462343</v>
      </c>
      <c r="H30" s="112">
        <v>3227713.6772483815</v>
      </c>
      <c r="J30" s="112">
        <v>3337417.415336499</v>
      </c>
      <c r="L30" s="112">
        <v>3452760.7208160078</v>
      </c>
      <c r="N30" s="112">
        <v>3574837.3853724832</v>
      </c>
      <c r="P30" s="112">
        <v>3705122.6352447988</v>
      </c>
      <c r="R30" s="112">
        <v>3845713.2494519278</v>
      </c>
      <c r="T30" s="112">
        <v>3999743.6436407943</v>
      </c>
      <c r="V30" s="112">
        <v>4172154.4286216688</v>
      </c>
      <c r="X30" s="112">
        <v>4371123.2902858695</v>
      </c>
      <c r="Z30" s="112">
        <v>4610795.7715795301</v>
      </c>
      <c r="AB30" s="112">
        <v>4916383.6951297419</v>
      </c>
      <c r="AD30" s="112">
        <v>5332613.9503543973</v>
      </c>
      <c r="AF30" s="112">
        <v>5932036.9848406166</v>
      </c>
      <c r="AH30" s="112">
        <v>6805863.0071192216</v>
      </c>
      <c r="AJ30" s="112"/>
      <c r="AL30" s="112"/>
      <c r="AN30" s="112"/>
      <c r="AP30" s="112"/>
      <c r="AR30" s="112"/>
      <c r="AT30" s="112"/>
      <c r="AV30" s="112"/>
      <c r="AX30">
        <v>2924829.9599999995</v>
      </c>
    </row>
    <row r="31" spans="1:51" x14ac:dyDescent="0.2">
      <c r="A31" t="s">
        <v>47</v>
      </c>
      <c r="B31" s="77">
        <v>1</v>
      </c>
      <c r="D31" s="77">
        <v>0.99748996449048355</v>
      </c>
      <c r="F31" s="77">
        <v>0.99441428748415184</v>
      </c>
      <c r="H31" s="77">
        <v>0.99068410691584996</v>
      </c>
      <c r="J31" s="77">
        <v>0.98619089939320714</v>
      </c>
      <c r="L31" s="77">
        <v>0.98080051683576053</v>
      </c>
      <c r="N31" s="77">
        <v>0.97434469618531472</v>
      </c>
      <c r="P31" s="77">
        <v>0.96660793791024102</v>
      </c>
      <c r="R31" s="77">
        <v>0.95730831274057671</v>
      </c>
      <c r="T31" s="77">
        <v>0.94606578664855967</v>
      </c>
      <c r="V31" s="77">
        <v>0.93235102219004717</v>
      </c>
      <c r="X31" s="77">
        <v>0.91539631728132509</v>
      </c>
      <c r="Z31" s="77">
        <v>0.89403813165687118</v>
      </c>
      <c r="AB31" s="77">
        <v>0.86643243616338539</v>
      </c>
      <c r="AD31" s="77">
        <v>0.82956769923577567</v>
      </c>
      <c r="AF31" s="77">
        <v>0.77858639933746221</v>
      </c>
      <c r="AH31" s="77">
        <v>0.70627974814952499</v>
      </c>
      <c r="AJ31" s="77"/>
      <c r="AL31" s="77"/>
      <c r="AN31" s="77"/>
      <c r="AP31" s="77"/>
      <c r="AR31" s="77"/>
      <c r="AT31" s="77"/>
      <c r="AV31" s="77"/>
      <c r="AX31">
        <v>1</v>
      </c>
    </row>
    <row r="32" spans="1:51" x14ac:dyDescent="0.2">
      <c r="A32" t="s">
        <v>64</v>
      </c>
      <c r="B32" s="83">
        <v>14734457.915000005</v>
      </c>
      <c r="D32" s="83">
        <v>14736711.734149558</v>
      </c>
      <c r="F32" s="83">
        <v>14736467.415205216</v>
      </c>
      <c r="H32" s="83">
        <v>14733343.263342269</v>
      </c>
      <c r="J32" s="83">
        <v>14726885.639925174</v>
      </c>
      <c r="L32" s="83">
        <v>14716565.530375114</v>
      </c>
      <c r="N32" s="83">
        <v>14701778.706876669</v>
      </c>
      <c r="P32" s="83">
        <v>14681858.985227229</v>
      </c>
      <c r="R32" s="83">
        <v>14656126.805581516</v>
      </c>
      <c r="T32" s="83">
        <v>14623988.152347703</v>
      </c>
      <c r="V32" s="83">
        <v>14585157.261917135</v>
      </c>
      <c r="X32" s="83">
        <v>14540096.007591279</v>
      </c>
      <c r="Z32" s="83">
        <v>14490874.402658086</v>
      </c>
      <c r="AB32" s="83">
        <v>14442662.695044486</v>
      </c>
      <c r="AD32" s="83">
        <v>14405439.384463018</v>
      </c>
      <c r="AF32" s="83">
        <v>14391503.512716826</v>
      </c>
      <c r="AH32" s="83">
        <v>14394404.044062296</v>
      </c>
      <c r="AJ32" s="83"/>
      <c r="AL32" s="83"/>
      <c r="AN32" s="83"/>
      <c r="AP32" s="83"/>
      <c r="AR32" s="83"/>
      <c r="AT32" s="83"/>
      <c r="AV32" s="83"/>
      <c r="AX32">
        <v>14734457.915000005</v>
      </c>
    </row>
    <row r="33" spans="1:51 16319:16384" x14ac:dyDescent="0.2">
      <c r="A33" t="s">
        <v>54</v>
      </c>
      <c r="B33" s="111">
        <v>7019665.6909999885</v>
      </c>
      <c r="D33" s="111">
        <v>7020739.6422245465</v>
      </c>
      <c r="F33" s="111">
        <v>7020623.3744271565</v>
      </c>
      <c r="H33" s="111">
        <v>7019134.6720807096</v>
      </c>
      <c r="J33" s="111">
        <v>7016058.417354688</v>
      </c>
      <c r="L33" s="111">
        <v>7011141.5730209844</v>
      </c>
      <c r="N33" s="111">
        <v>7004096.9841750404</v>
      </c>
      <c r="P33" s="111">
        <v>6994606.9564156104</v>
      </c>
      <c r="R33" s="111">
        <v>6982347.9704290014</v>
      </c>
      <c r="T33" s="111">
        <v>6967036.720270738</v>
      </c>
      <c r="V33" s="111">
        <v>6948537.3174134037</v>
      </c>
      <c r="X33" s="111">
        <v>6927069.4626497086</v>
      </c>
      <c r="Z33" s="111">
        <v>6903619.7221146943</v>
      </c>
      <c r="AB33" s="111">
        <v>6880651.0749594448</v>
      </c>
      <c r="AD33" s="111">
        <v>6862917.4651603363</v>
      </c>
      <c r="AF33" s="111">
        <v>6856278.2614004873</v>
      </c>
      <c r="AH33" s="111">
        <v>6857660.1039470723</v>
      </c>
      <c r="AJ33" s="111"/>
      <c r="AL33" s="111"/>
      <c r="AN33" s="111"/>
      <c r="AP33" s="111"/>
      <c r="AR33" s="111"/>
      <c r="AT33" s="111"/>
      <c r="AV33" s="111"/>
      <c r="AX33">
        <v>7019665.6909999885</v>
      </c>
    </row>
    <row r="34" spans="1:51 16319:16384" x14ac:dyDescent="0.2">
      <c r="A34" t="s">
        <v>75</v>
      </c>
      <c r="B34" s="111">
        <v>1136879.4410000162</v>
      </c>
      <c r="D34" s="111">
        <v>1137053.1317258258</v>
      </c>
      <c r="F34" s="111">
        <v>1137034.1495582927</v>
      </c>
      <c r="H34" s="111">
        <v>1136793.4230870761</v>
      </c>
      <c r="J34" s="111">
        <v>1136294.9345667281</v>
      </c>
      <c r="L34" s="111">
        <v>1135498.8826948488</v>
      </c>
      <c r="N34" s="111">
        <v>1134357.9390745638</v>
      </c>
      <c r="P34" s="111">
        <v>1132821.0168213216</v>
      </c>
      <c r="R34" s="111">
        <v>1130835.4559094387</v>
      </c>
      <c r="T34" s="111">
        <v>1128355.7308256403</v>
      </c>
      <c r="V34" s="111">
        <v>1125359.5407532444</v>
      </c>
      <c r="X34" s="111">
        <v>1121882.863094816</v>
      </c>
      <c r="Z34" s="111">
        <v>1118085.0295413677</v>
      </c>
      <c r="AB34" s="111">
        <v>1114365.1500601424</v>
      </c>
      <c r="AD34" s="111">
        <v>1111493.0739471428</v>
      </c>
      <c r="AF34" s="111">
        <v>1110417.8054636917</v>
      </c>
      <c r="AH34" s="111">
        <v>1110641.608335956</v>
      </c>
      <c r="AJ34" s="111"/>
      <c r="AL34" s="111"/>
      <c r="AN34" s="111"/>
      <c r="AP34" s="111"/>
      <c r="AR34" s="111"/>
      <c r="AT34" s="111"/>
      <c r="AV34" s="111"/>
      <c r="AX34">
        <v>1136879.4410000162</v>
      </c>
    </row>
    <row r="35" spans="1:51 16319:16384" x14ac:dyDescent="0.2">
      <c r="A35" t="s">
        <v>78</v>
      </c>
      <c r="B35" s="192">
        <v>1</v>
      </c>
      <c r="D35" s="192">
        <v>1.0026705375043856</v>
      </c>
      <c r="F35" s="192">
        <v>1.0057614753775772</v>
      </c>
      <c r="H35" s="192">
        <v>1.0093542390406935</v>
      </c>
      <c r="J35" s="192">
        <v>1.0135534971285736</v>
      </c>
      <c r="L35" s="192">
        <v>1.0184962730255662</v>
      </c>
      <c r="N35" s="192">
        <v>1.0243670488020493</v>
      </c>
      <c r="P35" s="192">
        <v>1.031421282533187</v>
      </c>
      <c r="R35" s="192">
        <v>1.0400249323510591</v>
      </c>
      <c r="T35" s="192">
        <v>1.050722819334027</v>
      </c>
      <c r="V35" s="192">
        <v>1.064362206694849</v>
      </c>
      <c r="X35" s="192">
        <v>1.0823270563074521</v>
      </c>
      <c r="Z35" s="192">
        <v>1.1070044678336983</v>
      </c>
      <c r="AB35" s="192">
        <v>1.1427518123807388</v>
      </c>
      <c r="AD35" s="192">
        <v>1.1979233408242622</v>
      </c>
      <c r="AF35" s="192">
        <v>1.2889041875423777</v>
      </c>
      <c r="AH35" s="192">
        <v>1.4476650854895863</v>
      </c>
      <c r="AJ35" s="192"/>
      <c r="AL35" s="192"/>
      <c r="AN35" s="192"/>
      <c r="AP35" s="192"/>
      <c r="AR35" s="192"/>
      <c r="AT35" s="192"/>
      <c r="AV35" s="192"/>
      <c r="AX35">
        <v>1</v>
      </c>
    </row>
    <row r="36" spans="1:51 16319:16384" x14ac:dyDescent="0.2">
      <c r="A36" t="s">
        <v>21</v>
      </c>
      <c r="B36" s="35">
        <v>0.47195767671988198</v>
      </c>
      <c r="C36" s="36">
        <v>0.31738834428178964</v>
      </c>
      <c r="D36" s="35">
        <v>0.47198675279173868</v>
      </c>
      <c r="E36" s="36">
        <v>0.32032452398477201</v>
      </c>
      <c r="F36" s="35">
        <v>0.47201801146462247</v>
      </c>
      <c r="G36" s="36">
        <v>0.32359635946304138</v>
      </c>
      <c r="H36" s="35">
        <v>0.47205182318104166</v>
      </c>
      <c r="I36" s="36">
        <v>0.32725742018838883</v>
      </c>
      <c r="J36" s="35">
        <v>0.47208864435912801</v>
      </c>
      <c r="K36" s="36">
        <v>0.33137339085344308</v>
      </c>
      <c r="L36" s="35">
        <v>0.47212900221059739</v>
      </c>
      <c r="M36" s="36">
        <v>0.33602567149781315</v>
      </c>
      <c r="N36" s="35">
        <v>0.47217352193318796</v>
      </c>
      <c r="O36" s="36">
        <v>0.34131737231723203</v>
      </c>
      <c r="P36" s="35">
        <v>0.47222289641001458</v>
      </c>
      <c r="Q36" s="36">
        <v>0.34738188695733874</v>
      </c>
      <c r="R36" s="35">
        <v>0.47227785100677788</v>
      </c>
      <c r="S36" s="36">
        <v>0.35439676942609388</v>
      </c>
      <c r="T36" s="35">
        <v>0.47233902561558982</v>
      </c>
      <c r="U36" s="36">
        <v>0.36260655693414179</v>
      </c>
      <c r="V36" s="35">
        <v>0.47240673077129192</v>
      </c>
      <c r="W36" s="36">
        <v>0.37236182941669516</v>
      </c>
      <c r="X36" s="35">
        <v>0.4724804205473</v>
      </c>
      <c r="Y36" s="36">
        <v>0.38418892427739149</v>
      </c>
      <c r="Z36" s="35">
        <v>0.47255764427651303</v>
      </c>
      <c r="AA36" s="36">
        <v>0.39891868800926672</v>
      </c>
      <c r="AB36" s="35">
        <v>0.47263212276589955</v>
      </c>
      <c r="AC36" s="36">
        <v>0.41792829348041899</v>
      </c>
      <c r="AD36" s="35">
        <v>0.47269111954902376</v>
      </c>
      <c r="AE36" s="36">
        <v>0.44357818528056658</v>
      </c>
      <c r="AF36" s="35">
        <v>0.4727157625664844</v>
      </c>
      <c r="AG36" s="36">
        <v>0.4798865194770115</v>
      </c>
      <c r="AH36" s="35">
        <v>0.47269461422541437</v>
      </c>
      <c r="AI36" s="36">
        <v>0.53333421447703533</v>
      </c>
      <c r="AJ36" s="35"/>
      <c r="AK36" s="36"/>
      <c r="AL36" s="35"/>
      <c r="AM36" s="36"/>
      <c r="AN36" s="35"/>
      <c r="AO36" s="36"/>
      <c r="AP36" s="35"/>
      <c r="AQ36" s="36"/>
      <c r="AR36" s="35"/>
      <c r="AS36" s="36"/>
      <c r="AT36" s="35"/>
      <c r="AU36" s="36"/>
      <c r="AV36" s="35"/>
      <c r="AW36" s="36"/>
      <c r="AX36">
        <v>0.47195767671988198</v>
      </c>
      <c r="AY36">
        <v>0.31738834428178964</v>
      </c>
    </row>
    <row r="37" spans="1:51 16319:16384" x14ac:dyDescent="0.2">
      <c r="B37" s="37">
        <v>2.1403217525954466E-2</v>
      </c>
      <c r="C37" s="38">
        <v>0.3496246130199252</v>
      </c>
      <c r="D37" s="37">
        <v>2.0555247285063454E-2</v>
      </c>
      <c r="E37" s="38">
        <v>0.34444816272364742</v>
      </c>
      <c r="F37" s="37">
        <v>1.9698172698705173E-2</v>
      </c>
      <c r="G37" s="38">
        <v>0.33917970066767911</v>
      </c>
      <c r="H37" s="37">
        <v>1.8831876689907955E-2</v>
      </c>
      <c r="I37" s="38">
        <v>0.33381850457647982</v>
      </c>
      <c r="J37" s="37">
        <v>1.7956137829643625E-2</v>
      </c>
      <c r="K37" s="38">
        <v>0.32836367262443372</v>
      </c>
      <c r="L37" s="37">
        <v>1.7070618958772991E-2</v>
      </c>
      <c r="M37" s="38">
        <v>0.32281416306284749</v>
      </c>
      <c r="N37" s="37">
        <v>1.6174689914810185E-2</v>
      </c>
      <c r="O37" s="38">
        <v>0.3171678166684605</v>
      </c>
      <c r="P37" s="37">
        <v>1.5267283217026905E-2</v>
      </c>
      <c r="Q37" s="38">
        <v>0.31142061027778783</v>
      </c>
      <c r="R37" s="37">
        <v>1.4346611828970813E-2</v>
      </c>
      <c r="S37" s="38">
        <v>0.30556506987062815</v>
      </c>
      <c r="T37" s="37">
        <v>1.3409763907258402E-2</v>
      </c>
      <c r="U37" s="38">
        <v>0.29958799205006464</v>
      </c>
      <c r="V37" s="37">
        <v>1.2452123203626052E-2</v>
      </c>
      <c r="W37" s="38">
        <v>0.29346722539407527</v>
      </c>
      <c r="X37" s="37">
        <v>1.1466573784897158E-2</v>
      </c>
      <c r="Y37" s="38">
        <v>0.28716749831274402</v>
      </c>
      <c r="Z37" s="37">
        <v>1.044257401916354E-2</v>
      </c>
      <c r="AA37" s="38">
        <v>0.2806363571416699</v>
      </c>
      <c r="AB37" s="37">
        <v>9.3657014216152468E-3</v>
      </c>
      <c r="AC37" s="38">
        <v>0.27380529717539209</v>
      </c>
      <c r="AD37" s="37">
        <v>8.2200487008325905E-3</v>
      </c>
      <c r="AE37" s="38">
        <v>0.26661361186406007</v>
      </c>
      <c r="AF37" s="37">
        <v>6.9992004483104796E-3</v>
      </c>
      <c r="AG37" s="38">
        <v>0.25909342316072015</v>
      </c>
      <c r="AH37" s="37">
        <v>5.7272451984043925E-3</v>
      </c>
      <c r="AI37" s="38">
        <v>0.25151566548694348</v>
      </c>
      <c r="AJ37" s="37"/>
      <c r="AK37" s="38"/>
      <c r="AL37" s="37"/>
      <c r="AM37" s="38"/>
      <c r="AN37" s="37"/>
      <c r="AO37" s="38"/>
      <c r="AP37" s="37"/>
      <c r="AQ37" s="38"/>
      <c r="AR37" s="37"/>
      <c r="AS37" s="38"/>
      <c r="AT37" s="37"/>
      <c r="AU37" s="38"/>
      <c r="AV37" s="37"/>
      <c r="AW37" s="38"/>
      <c r="AX37">
        <v>2.1403217525954466E-2</v>
      </c>
      <c r="AY37">
        <v>0.3496246130199252</v>
      </c>
    </row>
    <row r="38" spans="1:51 16319:16384" x14ac:dyDescent="0.2">
      <c r="A38" t="s">
        <v>22</v>
      </c>
      <c r="B38" s="35">
        <v>0.18079094942242827</v>
      </c>
      <c r="C38" s="36">
        <v>6.0565413429233668E-2</v>
      </c>
      <c r="D38" s="35">
        <v>0.18095583444119986</v>
      </c>
      <c r="E38" s="36">
        <v>6.0995116777648843E-2</v>
      </c>
      <c r="F38" s="35">
        <v>0.18115175955394763</v>
      </c>
      <c r="G38" s="36">
        <v>6.1475291107909932E-2</v>
      </c>
      <c r="H38" s="35">
        <v>0.18138369115220401</v>
      </c>
      <c r="I38" s="36">
        <v>6.2014460392624662E-2</v>
      </c>
      <c r="J38" s="35">
        <v>0.18165781223830976</v>
      </c>
      <c r="K38" s="36">
        <v>6.2623092809251754E-2</v>
      </c>
      <c r="L38" s="35">
        <v>0.18198193711280691</v>
      </c>
      <c r="M38" s="36">
        <v>6.3314420687962378E-2</v>
      </c>
      <c r="N38" s="35">
        <v>0.18236619869999071</v>
      </c>
      <c r="O38" s="36">
        <v>6.410544315907156E-2</v>
      </c>
      <c r="P38" s="35">
        <v>0.18282409666832103</v>
      </c>
      <c r="Q38" s="36">
        <v>6.5018492777944539E-2</v>
      </c>
      <c r="R38" s="35">
        <v>0.18337418606716588</v>
      </c>
      <c r="S38" s="36">
        <v>6.6084054195420544E-2</v>
      </c>
      <c r="T38" s="35">
        <v>0.18404295945547602</v>
      </c>
      <c r="U38" s="36">
        <v>6.7345041344424761E-2</v>
      </c>
      <c r="V38" s="35">
        <v>0.18486984524445499</v>
      </c>
      <c r="W38" s="36">
        <v>6.8864939444594764E-2</v>
      </c>
      <c r="X38" s="35">
        <v>0.18591637625091345</v>
      </c>
      <c r="Y38" s="36">
        <v>7.0742551865940334E-2</v>
      </c>
      <c r="Z38" s="35">
        <v>0.18728364045056162</v>
      </c>
      <c r="AA38" s="36">
        <v>7.3141270161018693E-2</v>
      </c>
      <c r="AB38" s="35">
        <v>0.1891466149879146</v>
      </c>
      <c r="AC38" s="36">
        <v>7.6348557547936055E-2</v>
      </c>
      <c r="AD38" s="35">
        <v>0.1918214601353114</v>
      </c>
      <c r="AE38" s="36">
        <v>8.0902298703664804E-2</v>
      </c>
      <c r="AF38" s="35">
        <v>0.19588963781214808</v>
      </c>
      <c r="AG38" s="36">
        <v>8.7857468981319853E-2</v>
      </c>
      <c r="AH38" s="35">
        <v>0.20242445529447331</v>
      </c>
      <c r="AI38" s="36">
        <v>9.942535694201228E-2</v>
      </c>
      <c r="AJ38" s="35"/>
      <c r="AK38" s="36"/>
      <c r="AL38" s="35"/>
      <c r="AM38" s="36"/>
      <c r="AN38" s="35"/>
      <c r="AO38" s="36"/>
      <c r="AP38" s="35"/>
      <c r="AQ38" s="36"/>
      <c r="AR38" s="35"/>
      <c r="AS38" s="36"/>
      <c r="AT38" s="35"/>
      <c r="AU38" s="36"/>
      <c r="AV38" s="35"/>
      <c r="AW38" s="36"/>
      <c r="AX38">
        <v>0.18079094942242827</v>
      </c>
      <c r="AY38">
        <v>6.0565413429233668E-2</v>
      </c>
    </row>
    <row r="39" spans="1:51 16319:16384" x14ac:dyDescent="0.2">
      <c r="A39" t="s">
        <v>23</v>
      </c>
      <c r="B39" s="37">
        <v>0.23064923795098771</v>
      </c>
      <c r="C39" s="38">
        <v>0.22092201281804777</v>
      </c>
      <c r="D39" s="37">
        <v>0.231269650804968</v>
      </c>
      <c r="E39" s="38">
        <v>0.22274753953337348</v>
      </c>
      <c r="F39" s="37">
        <v>0.23193477873185345</v>
      </c>
      <c r="G39" s="38">
        <v>0.22476365939909165</v>
      </c>
      <c r="H39" s="37">
        <v>0.23265168721369694</v>
      </c>
      <c r="I39" s="38">
        <v>0.22700239353659077</v>
      </c>
      <c r="J39" s="37">
        <v>0.2334290591663146</v>
      </c>
      <c r="K39" s="38">
        <v>0.22950352295443185</v>
      </c>
      <c r="L39" s="37">
        <v>0.23427770747744189</v>
      </c>
      <c r="M39" s="38">
        <v>0.23231676284121311</v>
      </c>
      <c r="N39" s="37">
        <v>0.23521139144234157</v>
      </c>
      <c r="O39" s="38">
        <v>0.23550590947686334</v>
      </c>
      <c r="P39" s="37">
        <v>0.23624800167808035</v>
      </c>
      <c r="Q39" s="38">
        <v>0.23915477328859289</v>
      </c>
      <c r="R39" s="37">
        <v>0.23741153678305935</v>
      </c>
      <c r="S39" s="38">
        <v>0.24337667120174375</v>
      </c>
      <c r="T39" s="37">
        <v>0.23873537332239192</v>
      </c>
      <c r="U39" s="38">
        <v>0.24833115839690836</v>
      </c>
      <c r="V39" s="37">
        <v>0.24026807675210385</v>
      </c>
      <c r="W39" s="38">
        <v>0.25425287688881709</v>
      </c>
      <c r="X39" s="37">
        <v>0.24208413042780394</v>
      </c>
      <c r="Y39" s="38">
        <v>0.26150598622896909</v>
      </c>
      <c r="Z39" s="37">
        <v>0.24430481501926055</v>
      </c>
      <c r="AA39" s="38">
        <v>0.2706905927235429</v>
      </c>
      <c r="AB39" s="37">
        <v>0.24714041776570933</v>
      </c>
      <c r="AC39" s="38">
        <v>0.28286276879200239</v>
      </c>
      <c r="AD39" s="37">
        <v>0.25097644043127448</v>
      </c>
      <c r="AE39" s="38">
        <v>0.29999910199551511</v>
      </c>
      <c r="AF39" s="37">
        <v>0.25654190887259987</v>
      </c>
      <c r="AG39" s="38">
        <v>0.32599066969449819</v>
      </c>
      <c r="AH39" s="37">
        <v>0.2652302923324405</v>
      </c>
      <c r="AI39" s="38">
        <v>0.36903079628023722</v>
      </c>
      <c r="AJ39" s="37"/>
      <c r="AK39" s="38"/>
      <c r="AL39" s="37"/>
      <c r="AM39" s="38"/>
      <c r="AN39" s="37"/>
      <c r="AO39" s="38"/>
      <c r="AP39" s="37"/>
      <c r="AQ39" s="38"/>
      <c r="AR39" s="37"/>
      <c r="AS39" s="38"/>
      <c r="AT39" s="37"/>
      <c r="AU39" s="38"/>
      <c r="AV39" s="37"/>
      <c r="AW39" s="38"/>
      <c r="AX39">
        <v>0.23064923795098771</v>
      </c>
      <c r="AY39">
        <v>0.22092201281804777</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6.100000000000104E-2</v>
      </c>
      <c r="E42" s="126"/>
      <c r="F42" s="167">
        <f>6.1%+(1-6.1%)*(1-SUM(F26:G26)/SUM($B$26:$C$26))</f>
        <v>6.0999999999996661E-2</v>
      </c>
      <c r="G42" s="126"/>
      <c r="H42" s="167">
        <f>6.1%+(1-6.1%)*(1-SUM(H26:I26)/SUM($B$26:$C$26))</f>
        <v>6.1000000000000207E-2</v>
      </c>
      <c r="I42" s="126"/>
      <c r="J42" s="167">
        <f>6.1%+(1-6.1%)*(1-SUM(J26:K26)/SUM($B$26:$C$26))</f>
        <v>6.0999999999999999E-2</v>
      </c>
      <c r="K42" s="126"/>
      <c r="L42" s="167">
        <f>6.1%+(1-6.1%)*(1-SUM(L26:M26)/SUM($B$26:$C$26))</f>
        <v>6.0999999999999166E-2</v>
      </c>
      <c r="M42" s="126"/>
      <c r="N42" s="167">
        <f>6.1%+(1-6.1%)*(1-SUM(N26:O26)/SUM($B$26:$C$26))</f>
        <v>6.0999999999999582E-2</v>
      </c>
      <c r="O42" s="126"/>
      <c r="P42" s="167">
        <f>6.1%+(1-6.1%)*(1-SUM(P26:Q26)/SUM($B$26:$C$26))</f>
        <v>6.1000000000000311E-2</v>
      </c>
      <c r="Q42" s="126"/>
      <c r="R42" s="167">
        <f>6.1%+(1-6.1%)*(1-SUM(R26:S26)/SUM($B$26:$C$26))</f>
        <v>6.0999999999999999E-2</v>
      </c>
      <c r="S42" s="126"/>
      <c r="T42" s="167">
        <f>6.1%+(1-6.1%)*(1-SUM(T26:U26)/SUM($B$26:$C$26))</f>
        <v>6.1000000000000207E-2</v>
      </c>
      <c r="U42" s="126"/>
      <c r="V42" s="167">
        <f>6.1%+(1-6.1%)*(1-SUM(V26:W26)/SUM($B$26:$C$26))</f>
        <v>6.1000000000000311E-2</v>
      </c>
      <c r="W42" s="126"/>
      <c r="X42" s="167">
        <f>6.1%+(1-6.1%)*(1-SUM(X26:Y26)/SUM($B$26:$C$26))</f>
        <v>6.0999999999998958E-2</v>
      </c>
      <c r="Y42" s="152"/>
      <c r="Z42" s="167">
        <f>6.1%+(1-6.1%)*(1-SUM(Z26:AA26)/SUM($B$26:$C$26))</f>
        <v>6.1000000000000207E-2</v>
      </c>
      <c r="AA42" s="126"/>
      <c r="AB42" s="167">
        <f>6.1%+(1-6.1%)*(1-SUM(AB26:AC26)/SUM($B$26:$C$26))</f>
        <v>6.1000000000000623E-2</v>
      </c>
      <c r="AC42" s="126"/>
      <c r="AD42" s="167">
        <f>6.1%+(1-6.1%)*(1-SUM(AD26:AE26)/SUM($B$26:$C$26))</f>
        <v>6.1000000000000207E-2</v>
      </c>
      <c r="AE42" s="126"/>
      <c r="AF42" s="167">
        <f>6.1%+(1-6.1%)*(1-SUM(AF26:AG26)/SUM($B$26:$C$26))</f>
        <v>6.1000000000000311E-2</v>
      </c>
      <c r="AG42" s="126"/>
      <c r="AH42" s="167">
        <f>6.1%+(1-6.1%)*(1-SUM(AH26:AI26)/SUM($B$26:$C$26))</f>
        <v>6.0999999999999374E-2</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51 16319:16384" x14ac:dyDescent="0.2">
      <c r="A43" t="s">
        <v>95</v>
      </c>
      <c r="B43" s="152">
        <f>SUM(B15:C15*B27:C27)/SUM(B15:C15*B27:C27,B13:C13*B26:C26)</f>
        <v>0.56058995943839207</v>
      </c>
      <c r="C43" s="126"/>
      <c r="D43" s="152">
        <f t="array" ref="D43">SUM(D15:E15*D27:E27)/SUM(D15:E15*D27:E27,D13:E13*D26:E26)</f>
        <v>0.56033509267063331</v>
      </c>
      <c r="E43" s="126"/>
      <c r="F43" s="152">
        <f t="array" ref="F43">SUM(F15:G15*F27:G27)/SUM(F15:G15*F27:G27,F13:G13*F26:G26)</f>
        <v>0.55305892604786189</v>
      </c>
      <c r="G43" s="126"/>
      <c r="H43" s="152">
        <f t="array" ref="H43">SUM(H15:I15*H27:I27)/SUM(H15:I15*H27:I27,H13:I13*H26:I26)</f>
        <v>0.54530258218495253</v>
      </c>
      <c r="I43" s="126"/>
      <c r="J43" s="152">
        <f t="array" ref="J43">SUM(J15:K15*J27:K27)/SUM(J15:K15*J27:K27,J13:K13*J26:K26)</f>
        <v>0.53697927292490732</v>
      </c>
      <c r="K43" s="126"/>
      <c r="L43" s="152">
        <f t="array" ref="L43">SUM(L15:M15*L27:M27)/SUM(L15:M15*L27:M27,L13:M13*L26:M26)</f>
        <v>0.52797899283135297</v>
      </c>
      <c r="M43" s="126"/>
      <c r="N43" s="152">
        <f t="array" ref="N43">SUM(N15:O15*N27:O27)/SUM(N15:O15*N27:O27,N13:O13*N26:O26)</f>
        <v>0.51815765356226495</v>
      </c>
      <c r="O43" s="126"/>
      <c r="P43" s="152">
        <f t="array" ref="P43">SUM(P15:Q15*P27:Q27)/SUM(P15:Q15*P27:Q27,P13:Q13*P26:Q26)</f>
        <v>0.50732106485459938</v>
      </c>
      <c r="Q43" s="126"/>
      <c r="R43" s="152">
        <f t="array" ref="R43">SUM(R15:S15*R27:S27)/SUM(R15:S15*R27:S27,R13:S13*R26:S26)</f>
        <v>0.49519681518341802</v>
      </c>
      <c r="S43" s="126"/>
      <c r="T43" s="152">
        <f t="array" ref="T43">SUM(T15:U15*T27:U27)/SUM(T15:U15*T27:U27,T13:U13*T26:U26)</f>
        <v>0.48138478142579966</v>
      </c>
      <c r="U43" s="126"/>
      <c r="V43" s="152">
        <f t="array" ref="V43">SUM(V15:W15*V27:W27)/SUM(V15:W15*V27:W27,V13:W13*V26:W26)</f>
        <v>0.46526571657330495</v>
      </c>
      <c r="W43" s="126"/>
      <c r="X43" s="152">
        <f t="array" ref="X43">SUM(X15:Y15*X27:Y27)/SUM(X15:Y15*X27:Y27,X13:Y13*X26:Y26)</f>
        <v>0.44582431161294545</v>
      </c>
      <c r="Y43" s="126"/>
      <c r="Z43" s="152">
        <f t="array" ref="Z43">SUM(Z15:AA15*Z27:AA27)/SUM(Z15:AA15*Z27:AA27,Z13:AA13*Z26:AA26)</f>
        <v>0.42128912776009675</v>
      </c>
      <c r="AA43" s="126"/>
      <c r="AB43" s="152">
        <f t="array" ref="AB43">SUM(AB15:AC15*AB27:AC27)/SUM(AB15:AC15*AB27:AC27,AB13:AC13*AB26:AC26)</f>
        <v>0.3883704967917222</v>
      </c>
      <c r="AC43" s="126"/>
      <c r="AD43" s="152">
        <f t="array" ref="AD43">SUM(AD15:AE15*AD27:AE27)/SUM(AD15:AE15*AD27:AE27,AD13:AE13*AD26:AE26)</f>
        <v>0.34062176509876813</v>
      </c>
      <c r="AE43" s="126"/>
      <c r="AF43" s="152">
        <f t="array" ref="AF43">SUM(AF15:AG15*AF27:AG27)/SUM(AF15:AG15*AF27:AG27,AF13:AG13*AF26:AG26)</f>
        <v>0.26502224078011266</v>
      </c>
      <c r="AG43" s="126"/>
      <c r="AH43" s="152">
        <f t="array" ref="AH43">SUM(AH15:AI15*AH27:AI27)/SUM(AH15:AI15*AH27:AI27,AH13:AI13*AH26:AI26)</f>
        <v>0.1346880669700522</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51 16319:16384" x14ac:dyDescent="0.2">
      <c r="A44" t="s">
        <v>129</v>
      </c>
      <c r="B44" s="183">
        <f>(SUM(B11:C11*B24:C24)+B34)/B32</f>
        <v>0.29754226190682465</v>
      </c>
      <c r="D44" s="183">
        <f>(SUM(D11:E11*D24:E24)+D34)/D32</f>
        <v>0.29754224794256812</v>
      </c>
      <c r="F44" s="183">
        <f>(SUM(F11:G11*F24:G24)+F34)/F32</f>
        <v>0.29754223921802359</v>
      </c>
      <c r="H44" s="183">
        <f>(SUM(H11:I11*H24:I24)+H34)/H32</f>
        <v>0.29754226095752662</v>
      </c>
      <c r="J44" s="183">
        <f>(SUM(J11:K11*J24:K24)+J34)/J32</f>
        <v>0.29754224523422956</v>
      </c>
      <c r="L44" s="183">
        <f>(SUM(L11:M11*L24:M24)+L34)/L32</f>
        <v>0.297542260519366</v>
      </c>
      <c r="N44" s="183">
        <f>(SUM(N11:O11*N24:O24)+N34)/N32</f>
        <v>0.29754225885742519</v>
      </c>
      <c r="P44" s="183">
        <f>(SUM(P11:Q11*P24:Q24)+P34)/P32</f>
        <v>0.29754226175625503</v>
      </c>
      <c r="R44" s="183">
        <f>(SUM(R11:S11*R24:S24)+R34)/R32</f>
        <v>0.29754225348781421</v>
      </c>
      <c r="T44" s="183">
        <f>(SUM(T11:U11*T24:U24)+T34)/T32</f>
        <v>0.29754225518468497</v>
      </c>
      <c r="V44" s="183">
        <f>(SUM(V11:W11*V24:W24)+V34)/V32</f>
        <v>0.29754224959941744</v>
      </c>
      <c r="X44" s="183">
        <f>(SUM(X11:Y11*X24:Y24)+X34)/X32</f>
        <v>0.29754226011743579</v>
      </c>
      <c r="Z44" s="183">
        <f>(SUM(Z11:AA11*Z24:AA24)+Z34)/Z32</f>
        <v>0.29754226012833718</v>
      </c>
      <c r="AB44" s="183">
        <f>(SUM(AB11:AC11*AB24:AC24)+AB34)/AB32</f>
        <v>0.29754226244863446</v>
      </c>
      <c r="AD44" s="183">
        <f>(SUM(AD11:AE11*AD24:AE24)+AD34)/AD32</f>
        <v>0.29754226212529422</v>
      </c>
      <c r="AF44" s="183">
        <f>(SUM(AF11:AG11*AF24:AG24)+AF34)/AF32</f>
        <v>0.29754226168984493</v>
      </c>
      <c r="AH44" s="183">
        <f>(SUM(AH11:AI11*AH24:AI24)+AH34)/AH32</f>
        <v>0.29754226197053651</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51 16319:16384" x14ac:dyDescent="0.2">
      <c r="A45" t="s">
        <v>82</v>
      </c>
      <c r="B45" s="183">
        <f>SUM(B11:C11*B24:C24)/B32</f>
        <v>0.22038438833194082</v>
      </c>
      <c r="D45" s="183">
        <f>SUM(D11:E11*D24:E24)/D32</f>
        <v>0.22038438856129794</v>
      </c>
      <c r="F45" s="183">
        <f>SUM(F11:G11*F24:G24)/F32</f>
        <v>0.22038438872903252</v>
      </c>
      <c r="H45" s="183">
        <f>SUM(H11:I11*H24:I24)/H32</f>
        <v>0.22038438831666382</v>
      </c>
      <c r="J45" s="183">
        <f>SUM(J11:K11*J24:K24)/J32</f>
        <v>0.22038438834925539</v>
      </c>
      <c r="L45" s="183">
        <f>SUM(L11:M11*L24:M24)/L32</f>
        <v>0.22038438830039139</v>
      </c>
      <c r="N45" s="183">
        <f>SUM(N11:O11*N24:O24)/N32</f>
        <v>0.22038438825609619</v>
      </c>
      <c r="P45" s="183">
        <f>SUM(P11:Q11*P24:Q24)/P32</f>
        <v>0.22038438835880877</v>
      </c>
      <c r="R45" s="183">
        <f>SUM(R11:S11*R24:S24)/R32</f>
        <v>0.2203843883225933</v>
      </c>
      <c r="T45" s="183">
        <f>SUM(T11:U11*T24:U24)/T32</f>
        <v>0.22038438832437188</v>
      </c>
      <c r="V45" s="183">
        <f>SUM(V11:W11*V24:W24)/V32</f>
        <v>0.22038438832001683</v>
      </c>
      <c r="X45" s="183">
        <f>SUM(X11:Y11*X24:Y24)/X32</f>
        <v>0.22038438835998053</v>
      </c>
      <c r="Z45" s="183">
        <f>SUM(Z11:AA11*Z24:AA24)/Z32</f>
        <v>0.2203843883206652</v>
      </c>
      <c r="AB45" s="183">
        <f>SUM(AB11:AC11*AB24:AC24)/AB32</f>
        <v>0.22038438833706225</v>
      </c>
      <c r="AD45" s="183">
        <f>SUM(AD11:AE11*AD24:AE24)/AD32</f>
        <v>0.2203843883331249</v>
      </c>
      <c r="AF45" s="183">
        <f>SUM(AF11:AG11*AF24:AG24)/AF32</f>
        <v>0.22038438833196483</v>
      </c>
      <c r="AH45" s="183">
        <f>SUM(AH11:AI11*AH24:AI24)/AH32</f>
        <v>0.22038438833185006</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51 16319:16384" x14ac:dyDescent="0.2">
      <c r="A46" t="s">
        <v>126</v>
      </c>
      <c r="B46" s="183">
        <f>B34/B32</f>
        <v>7.7157873574883795E-2</v>
      </c>
      <c r="D46" s="183">
        <f>D34/D32</f>
        <v>7.7157859381270177E-2</v>
      </c>
      <c r="F46" s="183">
        <f>F34/F32</f>
        <v>7.715785048899107E-2</v>
      </c>
      <c r="H46" s="183">
        <f>H34/H32</f>
        <v>7.7157872640862754E-2</v>
      </c>
      <c r="J46" s="183">
        <f>J34/J32</f>
        <v>7.7157856884974188E-2</v>
      </c>
      <c r="L46" s="183">
        <f>L34/L32</f>
        <v>7.7157872218974577E-2</v>
      </c>
      <c r="N46" s="183">
        <f>N34/N32</f>
        <v>7.715787060132899E-2</v>
      </c>
      <c r="P46" s="183">
        <f>P34/P32</f>
        <v>7.7157873397446272E-2</v>
      </c>
      <c r="R46" s="183">
        <f>R34/R32</f>
        <v>7.7157865165220926E-2</v>
      </c>
      <c r="T46" s="183">
        <f>T34/T32</f>
        <v>7.7157866860313104E-2</v>
      </c>
      <c r="V46" s="183">
        <f>V34/V32</f>
        <v>7.7157861279400594E-2</v>
      </c>
      <c r="X46" s="183">
        <f>X34/X32</f>
        <v>7.7157871757455324E-2</v>
      </c>
      <c r="Z46" s="183">
        <f>Z34/Z32</f>
        <v>7.715787180767196E-2</v>
      </c>
      <c r="AB46" s="183">
        <f>AB34/AB32</f>
        <v>7.7157874111572197E-2</v>
      </c>
      <c r="AD46" s="183">
        <f>AD34/AD32</f>
        <v>7.7157873792169318E-2</v>
      </c>
      <c r="AF46" s="183">
        <f>AF34/AF32</f>
        <v>7.7157873357880116E-2</v>
      </c>
      <c r="AH46" s="183">
        <f>AH34/AH32</f>
        <v>7.7157873638686467E-2</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51 16319:16384" x14ac:dyDescent="0.2">
      <c r="A48" t="s">
        <v>143</v>
      </c>
      <c r="B48" s="181">
        <f>B24/$B$24</f>
        <v>1</v>
      </c>
      <c r="C48" s="181"/>
      <c r="D48" s="181">
        <f>D24/$B$24</f>
        <v>1.0020126335794131</v>
      </c>
      <c r="E48" s="181"/>
      <c r="F48" s="181">
        <f>F24/$B$24</f>
        <v>1.0039650470929595</v>
      </c>
      <c r="G48" s="181"/>
      <c r="H48" s="181">
        <f>H24/$B$24</f>
        <v>1.0058482282508561</v>
      </c>
      <c r="I48" s="181"/>
      <c r="J48" s="181">
        <f>J24/$B$24</f>
        <v>1.0076510243652421</v>
      </c>
      <c r="K48" s="181"/>
      <c r="L48" s="181">
        <f>L24/$B$24</f>
        <v>1.0093597592400871</v>
      </c>
      <c r="M48" s="181"/>
      <c r="N48" s="181">
        <f>N24/$B$24</f>
        <v>1.0109577619319416</v>
      </c>
      <c r="O48" s="181"/>
      <c r="P48" s="181">
        <f>P24/$B$24</f>
        <v>1.0124246871111786</v>
      </c>
      <c r="Q48" s="181"/>
      <c r="R48" s="181">
        <f>R24/$B$24</f>
        <v>1.0137366074675267</v>
      </c>
      <c r="S48" s="181"/>
      <c r="T48" s="181">
        <f>T24/$B$24</f>
        <v>1.0148663441674972</v>
      </c>
      <c r="U48" s="181"/>
      <c r="V48" s="181">
        <f>V24/$B$24</f>
        <v>1.0157863084744891</v>
      </c>
      <c r="W48" s="181"/>
      <c r="X48" s="181">
        <f>X24/$B$24</f>
        <v>1.0164752124388163</v>
      </c>
      <c r="Y48" s="181"/>
      <c r="Z48" s="181">
        <f>Z24/$B$24</f>
        <v>1.0169335288070547</v>
      </c>
      <c r="AA48" s="181"/>
      <c r="AB48" s="181">
        <f>AB24/$B$24</f>
        <v>1.0172106572187893</v>
      </c>
      <c r="AC48" s="181"/>
      <c r="AD48" s="181">
        <f>AD24/$B$24</f>
        <v>1.0174242109622837</v>
      </c>
      <c r="AE48" s="181"/>
      <c r="AF48" s="181">
        <f>AF24/$B$24</f>
        <v>1.017608907220418</v>
      </c>
      <c r="AG48" s="181"/>
      <c r="AH48" s="181">
        <f>AH24/$B$24</f>
        <v>1.0168111137736862</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1.0050114304734841</v>
      </c>
      <c r="E49" s="181"/>
      <c r="F49" s="181">
        <f>F13/F35/$B$13*$B$35</f>
        <v>1.0097209139494692</v>
      </c>
      <c r="G49" s="181"/>
      <c r="H49" s="181">
        <f>H13/H35/$B$13*$B$35</f>
        <v>1.0140662632304083</v>
      </c>
      <c r="I49" s="181"/>
      <c r="J49" s="181">
        <f>J13/J35/$B$13*$B$35</f>
        <v>1.0179683717783958</v>
      </c>
      <c r="K49" s="181"/>
      <c r="L49" s="181">
        <f>L13/L35/$B$13*$B$35</f>
        <v>1.0213252475884287</v>
      </c>
      <c r="M49" s="181"/>
      <c r="N49" s="181">
        <f>N13/N35/$B$13*$B$35</f>
        <v>1.0240053591681859</v>
      </c>
      <c r="O49" s="181"/>
      <c r="P49" s="181">
        <f>P13/P35/$B$13*$B$35</f>
        <v>1.0258366547897833</v>
      </c>
      <c r="Q49" s="181"/>
      <c r="R49" s="181">
        <f>R13/R35/$B$13*$B$35</f>
        <v>1.0265916317868731</v>
      </c>
      <c r="S49" s="181"/>
      <c r="T49" s="181">
        <f>T13/T35/$B$13*$B$35</f>
        <v>1.0259642412521197</v>
      </c>
      <c r="U49" s="181"/>
      <c r="V49" s="181">
        <f>V13/V35/$B$13*$B$35</f>
        <v>1.023532525051317</v>
      </c>
      <c r="W49" s="181"/>
      <c r="X49" s="181">
        <f>X13/X35/$B$13*$B$35</f>
        <v>1.0186925172367933</v>
      </c>
      <c r="Y49" s="181"/>
      <c r="Z49" s="181">
        <f>Z13/Z35/$B$13*$B$35</f>
        <v>1.0105312250778777</v>
      </c>
      <c r="AA49" s="181"/>
      <c r="AB49" s="181">
        <f>AB13/AB35/$B$13*$B$35</f>
        <v>0.99755506297560392</v>
      </c>
      <c r="AC49" s="181"/>
      <c r="AD49" s="181">
        <f>AD13/AD35/$B$13*$B$35</f>
        <v>0.97706894037658709</v>
      </c>
      <c r="AE49" s="181"/>
      <c r="AF49" s="181">
        <f>AF13/AF35/$B$13*$B$35</f>
        <v>0.9437861787007058</v>
      </c>
      <c r="AG49" s="181"/>
      <c r="AH49" s="181">
        <f>AH13/AH35/$B$13*$B$35</f>
        <v>0.88744194517792629</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-309144.08628041018</v>
      </c>
      <c r="F51" s="27">
        <f>F30-F10*F23</f>
        <v>-208311.31084822491</v>
      </c>
      <c r="H51" s="27">
        <f>H30-H10*H23</f>
        <v>-102702.64797497541</v>
      </c>
      <c r="J51" s="27">
        <f>J30-J10*J23</f>
        <v>8460.8113770824857</v>
      </c>
      <c r="L51" s="27">
        <f>L30-L10*L23</f>
        <v>126136.93845107174</v>
      </c>
      <c r="N51" s="27">
        <f>N30-N10*N23</f>
        <v>251556.10833693435</v>
      </c>
      <c r="P51" s="27">
        <f>P30-P10*P23</f>
        <v>386344.13568408554</v>
      </c>
      <c r="R51" s="27">
        <f>R30-R10*R23</f>
        <v>532751.41143529816</v>
      </c>
      <c r="T51" s="27">
        <f>T30-T10*T23</f>
        <v>694046.62620748021</v>
      </c>
      <c r="V51" s="27">
        <f>V30-V10*V23</f>
        <v>875234.98659004178</v>
      </c>
      <c r="X51" s="27">
        <f>X30-X10*X23</f>
        <v>1084389.7737675142</v>
      </c>
      <c r="Z51" s="27">
        <f>Z30-Z10*Z23</f>
        <v>1335188.6120388927</v>
      </c>
      <c r="AB51" s="27">
        <f>AB30-AB10*AB23</f>
        <v>1651674.6091107288</v>
      </c>
      <c r="AD51" s="27">
        <f>AD30-AD10*AD23</f>
        <v>2076319.0524136475</v>
      </c>
      <c r="AF51" s="27">
        <f>AF30-AF10*AF23</f>
        <v>2678892.2378153903</v>
      </c>
      <c r="AH51" s="27">
        <f>AH30-AH10*AH23</f>
        <v>3552062.6059921319</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2089046.2770526588</v>
      </c>
      <c r="F52" s="27">
        <f t="array" ref="F52">Calibration!sL*SUM(F13:G13*F26:G26)</f>
        <v>2105305.6393872797</v>
      </c>
      <c r="H52" s="27">
        <f t="array" ref="H52">Calibration!sL*SUM(H13:I13*H26:I26)</f>
        <v>2121918.7551237959</v>
      </c>
      <c r="J52" s="27">
        <f t="array" ref="J52">Calibration!sL*SUM(J13:K13*J26:K26)</f>
        <v>2138945.7356952131</v>
      </c>
      <c r="L52" s="27">
        <f t="array" ref="L52">Calibration!sL*SUM(L13:M13*L26:M26)</f>
        <v>2156464.5230060872</v>
      </c>
      <c r="N52" s="27">
        <f t="array" ref="N52">Calibration!sL*SUM(N13:O13*N26:O26)</f>
        <v>2174586.2372687794</v>
      </c>
      <c r="P52" s="27">
        <f t="array" ref="P52">Calibration!sL*SUM(P13:Q13*P26:Q26)</f>
        <v>2193477.1124218963</v>
      </c>
      <c r="R52" s="27">
        <f t="array" ref="R52">Calibration!sL*SUM(R13:S13*R26:S26)</f>
        <v>2213401.8884926592</v>
      </c>
      <c r="T52" s="27">
        <f t="array" ref="T52">Calibration!sL*SUM(T13:U13*T26:U26)</f>
        <v>2234802.7347414447</v>
      </c>
      <c r="V52" s="27">
        <f t="array" ref="V52">Calibration!sL*SUM(V13:W13*V26:W26)</f>
        <v>2258446.9769863556</v>
      </c>
      <c r="X52" s="27">
        <f t="array" ref="X52">Calibration!sL*SUM(X13:Y13*X26:Y26)</f>
        <v>2285706.3610538477</v>
      </c>
      <c r="Z52" s="27">
        <f t="array" ref="Z52">Calibration!sL*SUM(Z13:AA13*Z26:AA26)</f>
        <v>2319091.6753281266</v>
      </c>
      <c r="AB52" s="27">
        <f t="array" ref="AB52">Calibration!sL*SUM(AB13:AC13*AB26:AC26)</f>
        <v>2363238.7631876506</v>
      </c>
      <c r="AD52" s="27">
        <f t="array" ref="AD52">Calibration!sL*SUM(AD13:AE13*AD26:AE26)</f>
        <v>2426459.4643069445</v>
      </c>
      <c r="AF52" s="27">
        <f t="array" ref="AF52">Calibration!sL*SUM(AF13:AG13*AF26:AG26)</f>
        <v>2521814.0112585146</v>
      </c>
      <c r="AH52" s="27">
        <f t="array" ref="AH52">Calibration!sL*SUM(AH13:AI13*AH26:AI26)</f>
        <v>2663341.5096335402</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2662404.7535561798</v>
      </c>
      <c r="F53" s="27">
        <f t="array" ref="F53">Calibration!sK*SUM(F15:G15*F27:G27)</f>
        <v>2605171.3386421148</v>
      </c>
      <c r="H53" s="27">
        <f t="array" ref="H53">Calibration!sK*SUM(H15:I15*H27:I27)</f>
        <v>2544742.3517728061</v>
      </c>
      <c r="J53" s="27">
        <f t="array" ref="J53">Calibration!sK*SUM(J15:K15*J27:K27)</f>
        <v>2480600.6703738165</v>
      </c>
      <c r="L53" s="27">
        <f t="array" ref="L53">Calibration!sK*SUM(L15:M15*L27:M27)</f>
        <v>2412112.9137087376</v>
      </c>
      <c r="N53" s="27">
        <f t="array" ref="N53">Calibration!sK*SUM(N15:O15*N27:O27)</f>
        <v>2338479.6095699547</v>
      </c>
      <c r="P53" s="27">
        <f t="array" ref="P53">Calibration!sK*SUM(P15:Q15*P27:Q27)</f>
        <v>2258665.9689025618</v>
      </c>
      <c r="R53" s="27">
        <f t="array" ref="R53">Calibration!sK*SUM(R15:S15*R27:S27)</f>
        <v>2171281.0039040851</v>
      </c>
      <c r="T53" s="27">
        <f t="array" ref="T53">Calibration!sK*SUM(T15:U15*T27:U27)</f>
        <v>2074370.3375132848</v>
      </c>
      <c r="V53" s="27">
        <f t="array" ref="V53">Calibration!sK*SUM(V15:W15*V27:W27)</f>
        <v>1965046.9095730209</v>
      </c>
      <c r="X53" s="27">
        <f t="array" ref="X53">Calibration!sK*SUM(X15:Y15*X27:Y27)</f>
        <v>1838809.3998350261</v>
      </c>
      <c r="Z53" s="27">
        <f t="array" ref="Z53">Calibration!sK*SUM(Z15:AA15*Z27:AA27)</f>
        <v>1688249.0997847915</v>
      </c>
      <c r="AB53" s="27">
        <f t="array" ref="AB53">Calibration!sK*SUM(AB15:AC15*AB27:AC27)</f>
        <v>1500601.6022482505</v>
      </c>
      <c r="AD53" s="27">
        <f t="array" ref="AD53">Calibration!sK*SUM(AD15:AE15*AD27:AE27)</f>
        <v>1253461.0060288762</v>
      </c>
      <c r="AF53" s="27">
        <f t="array" ref="AF53">Calibration!sK*SUM(AF15:AG15*AF27:AG27)</f>
        <v>909329.28474433755</v>
      </c>
      <c r="AH53" s="27">
        <f t="array" ref="AH53">Calibration!sK*SUM(AH15:AI15*AH27:AI27)</f>
        <v>414556.07616268389</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0.20506838455563503</v>
      </c>
      <c r="F55" s="183">
        <f>F30/F32</f>
        <v>0.21191043477788241</v>
      </c>
      <c r="H55" s="183">
        <f>H30/H32</f>
        <v>0.21907544130049492</v>
      </c>
      <c r="J55" s="183">
        <f>J30/J32</f>
        <v>0.22662071920275031</v>
      </c>
      <c r="L55" s="183">
        <f>L30/L32</f>
        <v>0.23461728986219516</v>
      </c>
      <c r="N55" s="183">
        <f>N30/N32</f>
        <v>0.24315679460610942</v>
      </c>
      <c r="P55" s="183">
        <f>P30/P32</f>
        <v>0.25236059268603955</v>
      </c>
      <c r="R55" s="183">
        <f>R30/R32</f>
        <v>0.2623962865814834</v>
      </c>
      <c r="T55" s="183">
        <f>T30/T32</f>
        <v>0.27350566767237733</v>
      </c>
      <c r="V55" s="183">
        <f>V30/V32</f>
        <v>0.28605481269066985</v>
      </c>
      <c r="X55" s="183">
        <f>X30/X32</f>
        <v>0.30062547647579063</v>
      </c>
      <c r="Z55" s="183">
        <f>Z30/Z32</f>
        <v>0.31818616623533524</v>
      </c>
      <c r="AB55" s="183">
        <f>AB30/AB32</f>
        <v>0.34040701489321867</v>
      </c>
      <c r="AD55" s="183">
        <f>AD30/AD32</f>
        <v>0.37018058304461621</v>
      </c>
      <c r="AF55" s="183">
        <f>AF30/AF32</f>
        <v>0.41219021901352176</v>
      </c>
      <c r="AH55" s="183">
        <f>AH30/AH32</f>
        <v>0.47281311447740321</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3.4678610752806906E-2</v>
      </c>
      <c r="F56" s="183">
        <f>(Model!$C$52*F5*F20+F2*G5*G20)/F32</f>
        <v>4.0364035124384433E-2</v>
      </c>
      <c r="H56" s="183">
        <f>(Model!$C$52*H5*H20+H2*I5*I20)/H32</f>
        <v>4.6316075248715352E-2</v>
      </c>
      <c r="J56" s="183">
        <f>(Model!$C$52*J5*J20+J2*K5*K20)/J32</f>
        <v>5.2582215465032806E-2</v>
      </c>
      <c r="L56" s="183">
        <f>(Model!$C$52*L5*L20+L2*M5*M20)/L32</f>
        <v>5.9221308478434612E-2</v>
      </c>
      <c r="N56" s="183">
        <f>(Model!$C$52*N5*N20+N2*O5*O20)/N32</f>
        <v>6.6309245953801652E-2</v>
      </c>
      <c r="P56" s="183">
        <f>(Model!$C$52*P5*P20+P2*Q5*Q20)/P32</f>
        <v>7.3946430024844245E-2</v>
      </c>
      <c r="R56" s="183">
        <f>(Model!$C$52*R5*R20+R2*S5*S20)/R32</f>
        <v>8.2271406487361323E-2</v>
      </c>
      <c r="T56" s="183">
        <f>(Model!$C$52*T5*T20+T2*U5*U20)/T32</f>
        <v>9.148371662366768E-2</v>
      </c>
      <c r="V56" s="183">
        <f>(Model!$C$52*V5*V20+V2*W5*W20)/V32</f>
        <v>0.10188503437989027</v>
      </c>
      <c r="X56" s="183">
        <f>(Model!$C$52*X5*X20+X2*Y5*Y20)/X32</f>
        <v>0.11395404434863236</v>
      </c>
      <c r="Z56" s="183">
        <f>(Model!$C$52*Z5*Z20+Z2*AA5*AA20)/Z32</f>
        <v>0.12848662591090065</v>
      </c>
      <c r="AB56" s="183">
        <f>(Model!$C$52*AB5*AB20+AB2*AC5*AC20)/AB32</f>
        <v>0.14685380971691581</v>
      </c>
      <c r="AD56" s="183">
        <f>(Model!$C$52*AD5*AD20+AD2*AE5*AE20)/AD32</f>
        <v>0.17142856252995695</v>
      </c>
      <c r="AF56" s="183">
        <f>(Model!$C$52*AF5*AF20+AF2*AG5*AG20)/AF32</f>
        <v>0.20605232636006704</v>
      </c>
      <c r="AH56" s="183">
        <f>(Model!$C$52*AH5*AH20+AH2*AI5*AI20)/AH32</f>
        <v>0.25595885620466674</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0.15972432129678554</v>
      </c>
      <c r="F57" s="183">
        <f t="array" ref="F57">SUM(Model!tauL*F13:G13*F26:G26)/F32</f>
        <v>0.16097014849914371</v>
      </c>
      <c r="H57" s="183">
        <f t="array" ref="H57">SUM(Model!tauL*H13:I13*H26:I26)/H32</f>
        <v>0.16227477781011862</v>
      </c>
      <c r="J57" s="183">
        <f t="array" ref="J57">SUM(Model!tauL*J13:K13*J26:K26)/J32</f>
        <v>0.16364865169639448</v>
      </c>
      <c r="L57" s="183">
        <f t="array" ref="L57">SUM(Model!tauL*L13:M13*L26:M26)/L32</f>
        <v>0.16510469688073026</v>
      </c>
      <c r="N57" s="183">
        <f t="array" ref="N57">SUM(Model!tauL*N13:O13*N26:O26)/N32</f>
        <v>0.16665959908200648</v>
      </c>
      <c r="P57" s="183">
        <f t="array" ref="P57">SUM(Model!tauL*P13:Q13*P26:Q26)/P32</f>
        <v>0.16833547071289889</v>
      </c>
      <c r="R57" s="183">
        <f t="array" ref="R57">SUM(Model!tauL*R13:S13*R26:S26)/R32</f>
        <v>0.17016280710463752</v>
      </c>
      <c r="T57" s="183">
        <f t="array" ref="T57">SUM(Model!tauL*T13:U13*T26:U26)/T32</f>
        <v>0.17218564692407029</v>
      </c>
      <c r="V57" s="183">
        <f t="array" ref="V57">SUM(Model!tauL*V13:W13*V26:W26)/V32</f>
        <v>0.17447064301445048</v>
      </c>
      <c r="X57" s="183">
        <f t="array" ref="X57">SUM(Model!tauL*X13:Y13*X26:Y26)/X32</f>
        <v>0.17712372694016496</v>
      </c>
      <c r="Y57" s="183"/>
      <c r="Z57" s="183">
        <f t="array" ref="Z57">SUM(Model!tauL*Z13:AA13*Z26:AA26)/Z32</f>
        <v>0.18032124768916205</v>
      </c>
      <c r="AB57" s="183">
        <f t="array" ref="AB57">SUM(Model!tauL*AB13:AC13*AB26:AC26)/AB32</f>
        <v>0.18436730699375287</v>
      </c>
      <c r="AD57" s="183">
        <f t="array" ref="AD57">SUM(Model!tauL*AD13:AE13*AD26:AE26)/AD32</f>
        <v>0.18978859477016458</v>
      </c>
      <c r="AF57" s="183">
        <f t="array" ref="AF57">SUM(Model!tauL*AF13:AG13*AF26:AG26)/AF32</f>
        <v>0.19743787329621337</v>
      </c>
      <c r="AH57" s="183">
        <f t="array" ref="AH57">SUM(Model!tauL*AH13:AI13*AH26:AI26)/AH32</f>
        <v>0.20847632750084072</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1.0665452506042554E-2</v>
      </c>
      <c r="F58" s="183">
        <f t="array" ref="F58">SUM(Model!tauY/(1+Model!tauY)*F3:G3*F18:G18)/F32</f>
        <v>1.0576251154354241E-2</v>
      </c>
      <c r="H58" s="183">
        <f t="array" ref="H58">SUM(Model!tauY/(1+Model!tauY)*H3:I3*H18:I18)/H32</f>
        <v>1.0484588241660946E-2</v>
      </c>
      <c r="J58" s="183">
        <f t="array" ref="J58">SUM(Model!tauY/(1+Model!tauY)*J3:K3*J18:K18)/J32</f>
        <v>1.0389852041323028E-2</v>
      </c>
      <c r="L58" s="183">
        <f t="array" ref="L58">SUM(Model!tauY/(1+Model!tauY)*L3:M3*L18:M18)/L32</f>
        <v>1.0291284503030284E-2</v>
      </c>
      <c r="N58" s="183">
        <f t="array" ref="N58">SUM(Model!tauY/(1+Model!tauY)*N3:O3*N18:O18)/N32</f>
        <v>1.0187949570301304E-2</v>
      </c>
      <c r="P58" s="183">
        <f t="array" ref="P58">SUM(Model!tauY/(1+Model!tauY)*P3:Q3*P18:Q18)/P32</f>
        <v>1.0078691948296425E-2</v>
      </c>
      <c r="R58" s="183">
        <f t="array" ref="R58">SUM(Model!tauY/(1+Model!tauY)*R3:S3*R18:S18)/R32</f>
        <v>9.9620729894845505E-3</v>
      </c>
      <c r="T58" s="183">
        <f t="array" ref="T58">SUM(Model!tauY/(1+Model!tauY)*T3:U3*T18:U18)/T32</f>
        <v>9.8363041246393914E-3</v>
      </c>
      <c r="V58" s="183">
        <f t="array" ref="V58">SUM(Model!tauY/(1+Model!tauY)*V3:W3*V18:W18)/V32</f>
        <v>9.6991352963290665E-3</v>
      </c>
      <c r="X58" s="183">
        <f t="array" ref="X58">SUM(Model!tauY/(1+Model!tauY)*X3:Y3*X18:Y18)/X32</f>
        <v>9.5477051869933115E-3</v>
      </c>
      <c r="Y58" s="183"/>
      <c r="Z58" s="183">
        <f t="array" ref="Z58">SUM(Model!tauY/(1+Model!tauY)*Z3:AA3*Z18:AA18)/Z32</f>
        <v>9.3782926352725098E-3</v>
      </c>
      <c r="AB58" s="183">
        <f t="array" ref="AB58">SUM(Model!tauY/(1+Model!tauY)*AB3:AC3*AB18:AC18)/AB32</f>
        <v>9.1858981825500025E-3</v>
      </c>
      <c r="AD58" s="183">
        <f t="array" ref="AD58">SUM(Model!tauY/(1+Model!tauY)*AD3:AE3*AD18:AE18)/AD32</f>
        <v>8.9634257444946783E-3</v>
      </c>
      <c r="AF58" s="183">
        <f t="array" ref="AF58">SUM(Model!tauY/(1+Model!tauY)*AF3:AG3*AF18:AG18)/AF32</f>
        <v>8.7000193572414133E-3</v>
      </c>
      <c r="AH58" s="183">
        <f t="array" ref="AH58">SUM(Model!tauY/(1+Model!tauY)*AH3:AI3*AH18:AI18)/AH32</f>
        <v>8.3779307718956832E-3</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6.0860320979389338E-3</v>
      </c>
      <c r="F59" s="183">
        <f>(F2*G5*G20)/F32</f>
        <v>1.1852221627500201E-2</v>
      </c>
      <c r="H59" s="183">
        <f>(H2*I5*I20)/H32</f>
        <v>1.7889569216171852E-2</v>
      </c>
      <c r="J59" s="183">
        <f>(J2*K5*K20)/J32</f>
        <v>2.4246372126758009E-2</v>
      </c>
      <c r="L59" s="183">
        <f>(L2*M5*M20)/L32</f>
        <v>3.0982496673818402E-2</v>
      </c>
      <c r="N59" s="183">
        <f>(N2*O5*O20)/N32</f>
        <v>3.8175134210721912E-2</v>
      </c>
      <c r="P59" s="183">
        <f>(P2*Q5*Q20)/P32</f>
        <v>4.59263953626705E-2</v>
      </c>
      <c r="R59" s="183">
        <f>(R2*S5*S20)/R32</f>
        <v>5.437716016655747E-2</v>
      </c>
      <c r="T59" s="183">
        <f>(T2*U5*U20)/T32</f>
        <v>6.3730288800594462E-2</v>
      </c>
      <c r="V59" s="183">
        <f>(V2*W5*W20)/V32</f>
        <v>7.4292406564906169E-2</v>
      </c>
      <c r="X59" s="183">
        <f>(X2*Y5*Y20)/X32</f>
        <v>8.6549959733988213E-2</v>
      </c>
      <c r="Z59" s="183">
        <f>(Z2*AA5*AA20)/Z32</f>
        <v>0.10131161381249167</v>
      </c>
      <c r="AB59" s="183">
        <f>(AB2*AC5*AC20)/AB32</f>
        <v>0.11997031588605291</v>
      </c>
      <c r="AD59" s="183">
        <f>(AD2*AE5*AE20)/AD32</f>
        <v>0.14493698158542215</v>
      </c>
      <c r="AF59" s="183">
        <f>(AF2*AG5*AG20)/AF32</f>
        <v>0.18011481464257059</v>
      </c>
      <c r="AH59" s="183">
        <f>(AH2*AI5*AI20)/AH32</f>
        <v>0.23082178081644525</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2.8592578654867976E-2</v>
      </c>
      <c r="F60" s="183">
        <f>Model!$C$52*F5*F20/F32</f>
        <v>2.8511813496884232E-2</v>
      </c>
      <c r="H60" s="183">
        <f>Model!$C$52*H5*H20/H32</f>
        <v>2.8426506032543493E-2</v>
      </c>
      <c r="J60" s="183">
        <f>Model!$C$52*J5*J20/J32</f>
        <v>2.8335843338274793E-2</v>
      </c>
      <c r="L60" s="183">
        <f>Model!$C$52*L5*L20/L32</f>
        <v>2.823881180461621E-2</v>
      </c>
      <c r="N60" s="183">
        <f>Model!$C$52*N5*N20/N32</f>
        <v>2.813411174307975E-2</v>
      </c>
      <c r="P60" s="183">
        <f>Model!$C$52*P5*P20/P32</f>
        <v>2.8020034662173756E-2</v>
      </c>
      <c r="R60" s="183">
        <f>Model!$C$52*R5*R20/R32</f>
        <v>2.7894246320803846E-2</v>
      </c>
      <c r="T60" s="183">
        <f>Model!$C$52*T5*T20/T32</f>
        <v>2.7753427823073214E-2</v>
      </c>
      <c r="V60" s="183">
        <f>Model!$C$52*V5*V20/V32</f>
        <v>2.7592627814984103E-2</v>
      </c>
      <c r="X60" s="183">
        <f>Model!$C$52*X5*X20/X32</f>
        <v>2.7404084614644164E-2</v>
      </c>
      <c r="Z60" s="183">
        <f>Model!$C$52*Z5*Z20/Z32</f>
        <v>2.7175012098408984E-2</v>
      </c>
      <c r="AB60" s="183">
        <f>Model!$C$52*AB5*AB20/AB32</f>
        <v>2.688349383086289E-2</v>
      </c>
      <c r="AD60" s="183">
        <f>Model!$C$52*AD5*AD20/AD32</f>
        <v>2.6491580944534809E-2</v>
      </c>
      <c r="AF60" s="183">
        <f>Model!$C$52*AF5*AF20/AF32</f>
        <v>2.5937511717496441E-2</v>
      </c>
      <c r="AH60" s="183">
        <f>Model!$C$52*AH5*AH20/AH32</f>
        <v>2.5137075388221495E-2</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1.0283096291098996</v>
      </c>
      <c r="F62">
        <f>F13/F15</f>
        <v>1.0590800472778363</v>
      </c>
      <c r="H62">
        <f>H13/H15</f>
        <v>1.0927853221168098</v>
      </c>
      <c r="J62">
        <f>J13/J15</f>
        <v>1.1300374354405882</v>
      </c>
      <c r="L62">
        <f>L13/L15</f>
        <v>1.1716411147461931</v>
      </c>
      <c r="N62">
        <f>N13/N15</f>
        <v>1.2186892124722222</v>
      </c>
      <c r="P62">
        <f>P13/P15</f>
        <v>1.272714577517577</v>
      </c>
      <c r="R62">
        <f>R13/R15</f>
        <v>1.335962177849483</v>
      </c>
      <c r="T62">
        <f>T13/T15</f>
        <v>1.4118963651946994</v>
      </c>
      <c r="V62">
        <f>V13/V15</f>
        <v>1.5062147503135708</v>
      </c>
      <c r="X62">
        <f>X13/X15</f>
        <v>1.629047104279403</v>
      </c>
      <c r="Z62">
        <f>Z13/Z15</f>
        <v>1.8002437393495003</v>
      </c>
      <c r="AB62">
        <f>AB13/AB15</f>
        <v>2.0639164640493304</v>
      </c>
      <c r="AD62">
        <f>AD13/AD15</f>
        <v>2.5369513097403185</v>
      </c>
      <c r="AF62">
        <f>AF13/AF15</f>
        <v>3.6344759171083982</v>
      </c>
      <c r="AH62">
        <f>AH13/AH15</f>
        <v>8.4196394140709039</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0.99831240655365683</v>
      </c>
      <c r="E65" s="181"/>
      <c r="F65" s="181">
        <f t="array" ref="F65">SQRT((F9:G9*$B$22:$C$22+F10:G10*$B$23:$C$23+F11:G11*$B$24:$C$24+F4:G4*($B$25:$C$25-$B$19:$C$19))/($B$9:$C$9*$B$22:$C$22+$B$10:$C$10*$B$23:$C$23+$B$11:$C$11*$B$24:$C$24+$B$4:$C$4*($B$25:$C$25-$B$19:$C$19))*(F9:G9*F22:G22+F10:G10*F23:G23+F11:G11*F24:G24+F4:G4*(F25:G25-F19:G19))/($B$9:$C$9*F22:G22+$B$10:$C$10*F23:G23+$B$11:$C$11*F24:G24+$B$4:$C$4*(F25:G25-F19:G19)))</f>
        <v>0.99653479557030744</v>
      </c>
      <c r="G65" s="181"/>
      <c r="H65" s="181">
        <f t="array" ref="H65">SQRT((H9:I9*$B$22:$C$22+H10:I10*$B$23:$C$23+H11:I11*$B$24:$C$24+H4:I4*($B$25:$C$25-$B$19:$C$19))/($B$9:$C$9*$B$22:$C$22+$B$10:$C$10*$B$23:$C$23+$B$11:$C$11*$B$24:$C$24+$B$4:$C$4*($B$25:$C$25-$B$19:$C$19))*(H9:I9*H22:I22+H10:I10*H23:I23+H11:I11*H24:I24+H4:I4*(H25:I25-H19:I19))/($B$9:$C$9*H22:I22+$B$10:$C$10*H23:I23+$B$11:$C$11*H24:I24+$B$4:$C$4*(H25:I25-H19:I19)))</f>
        <v>0.99465252795948023</v>
      </c>
      <c r="I65" s="181"/>
      <c r="J65" s="181">
        <f t="array" ref="J65">SQRT((J9:K9*$B$22:$C$22+J10:K10*$B$23:$C$23+J11:K11*$B$24:$C$24+J4:K4*($B$25:$C$25-$B$19:$C$19))/($B$9:$C$9*$B$22:$C$22+$B$10:$C$10*$B$23:$C$23+$B$11:$C$11*$B$24:$C$24+$B$4:$C$4*($B$25:$C$25-$B$19:$C$19))*(J9:K9*J22:K22+J10:K10*J23:K23+J11:K11*J24:K24+J4:K4*(J25:K25-J19:K19))/($B$9:$C$9*J22:K22+$B$10:$C$10*J23:K23+$B$11:$C$11*J24:K24+$B$4:$C$4*(J25:K25-J19:K19)))</f>
        <v>0.99264862156974021</v>
      </c>
      <c r="K65" s="181"/>
      <c r="L65" s="181">
        <f t="array" ref="L65">SQRT((L9:M9*$B$22:$C$22+L10:M10*$B$23:$C$23+L11:M11*$B$24:$C$24+L4:M4*($B$25:$C$25-$B$19:$C$19))/($B$9:$C$9*$B$22:$C$22+$B$10:$C$10*$B$23:$C$23+$B$11:$C$11*$B$24:$C$24+$B$4:$C$4*($B$25:$C$25-$B$19:$C$19))*(L9:M9*L22:M22+L10:M10*L23:M23+L11:M11*L24:M24+L4:M4*(L25:M25-L19:M19))/($B$9:$C$9*L22:M22+$B$10:$C$10*L23:M23+$B$11:$C$11*L24:M24+$B$4:$C$4*(L25:M25-L19:M19)))</f>
        <v>0.99050388451420079</v>
      </c>
      <c r="M65" s="181"/>
      <c r="N65" s="181">
        <f t="array" ref="N65">SQRT((N9:O9*$B$22:$C$22+N10:O10*$B$23:$C$23+N11:O11*$B$24:$C$24+N4:O4*($B$25:$C$25-$B$19:$C$19))/($B$9:$C$9*$B$22:$C$22+$B$10:$C$10*$B$23:$C$23+$B$11:$C$11*$B$24:$C$24+$B$4:$C$4*($B$25:$C$25-$B$19:$C$19))*(N9:O9*N22:O22+N10:O10*N23:O23+N11:O11*N24:O24+N4:O4*(N25:O25-N19:O19))/($B$9:$C$9*N22:O22+$B$10:$C$10*N23:O23+$B$11:$C$11*N24:O24+$B$4:$C$4*(N25:O25-N19:O19)))</f>
        <v>0.98819735353781613</v>
      </c>
      <c r="O65" s="181"/>
      <c r="P65" s="181">
        <f t="array" ref="P65">SQRT((P9:Q9*$B$22:$C$22+P10:Q10*$B$23:$C$23+P11:Q11*$B$24:$C$24+P4:Q4*($B$25:$C$25-$B$19:$C$19))/($B$9:$C$9*$B$22:$C$22+$B$10:$C$10*$B$23:$C$23+$B$11:$C$11*$B$24:$C$24+$B$4:$C$4*($B$25:$C$25-$B$19:$C$19))*(P9:Q9*P22:Q22+P10:Q10*P23:Q23+P11:Q11*P24:Q24+P4:Q4*(P25:Q25-P19:Q19))/($B$9:$C$9*P22:Q22+$B$10:$C$10*P23:Q23+$B$11:$C$11*P24:Q24+$B$4:$C$4*(P25:Q25-P19:Q19)))</f>
        <v>0.98570767195218434</v>
      </c>
      <c r="Q65" s="181"/>
      <c r="R65" s="181">
        <f t="array" ref="R65">SQRT((R9:S9*$B$22:$C$22+R10:S10*$B$23:$C$23+R11:S11*$B$24:$C$24+R4:S4*($B$25:$C$25-$B$19:$C$19))/($B$9:$C$9*$B$22:$C$22+$B$10:$C$10*$B$23:$C$23+$B$11:$C$11*$B$24:$C$24+$B$4:$C$4*($B$25:$C$25-$B$19:$C$19))*(R9:S9*R22:S22+R10:S10*R23:S23+R11:S11*R24:S24+R4:S4*(R25:S25-R19:S19))/($B$9:$C$9*R22:S22+$B$10:$C$10*R23:S23+$B$11:$C$11*R24:S24+$B$4:$C$4*(R25:S25-R19:S19)))</f>
        <v>0.98301587044632777</v>
      </c>
      <c r="S65" s="181"/>
      <c r="T65" s="181">
        <f t="array" ref="T65">SQRT((T9:U9*$B$22:$C$22+T10:U10*$B$23:$C$23+T11:U11*$B$24:$C$24+T4:U4*($B$25:$C$25-$B$19:$C$19))/($B$9:$C$9*$B$22:$C$22+$B$10:$C$10*$B$23:$C$23+$B$11:$C$11*$B$24:$C$24+$B$4:$C$4*($B$25:$C$25-$B$19:$C$19))*(T9:U9*T22:U22+T10:U10*T23:U23+T11:U11*T24:U24+T4:U4*(T25:U25-T19:U19))/($B$9:$C$9*T22:U22+$B$10:$C$10*T23:U23+$B$11:$C$11*T24:U24+$B$4:$C$4*(T25:U25-T19:U19)))</f>
        <v>0.98011088877419483</v>
      </c>
      <c r="U65" s="181"/>
      <c r="V65" s="181">
        <f t="array" ref="V65">SQRT((V9:W9*$B$22:$C$22+V10:W10*$B$23:$C$23+V11:W11*$B$24:$C$24+V4:W4*($B$25:$C$25-$B$19:$C$19))/($B$9:$C$9*$B$22:$C$22+$B$10:$C$10*$B$23:$C$23+$B$11:$C$11*$B$24:$C$24+$B$4:$C$4*($B$25:$C$25-$B$19:$C$19))*(V9:W9*V22:W22+V10:W10*V23:W23+V11:W11*V24:W24+V4:W4*(V25:W25-V19:W19))/($B$9:$C$9*V22:W22+$B$10:$C$10*V23:W23+$B$11:$C$11*V24:W24+$B$4:$C$4*(V25:W25-V19:W19)))</f>
        <v>0.97700019016629813</v>
      </c>
      <c r="W65" s="181"/>
      <c r="X65" s="181">
        <f t="array" ref="X65">SQRT((X9:Y9*$B$22:$C$22+X10:Y10*$B$23:$C$23+X11:Y11*$B$24:$C$24+X4:Y4*($B$25:$C$25-$B$19:$C$19))/($B$9:$C$9*$B$22:$C$22+$B$10:$C$10*$B$23:$C$23+$B$11:$C$11*$B$24:$C$24+$B$4:$C$4*($B$25:$C$25-$B$19:$C$19))*(X9:Y9*X22:Y22+X10:Y10*X23:Y23+X11:Y11*X24:Y24+X4:Y4*(X25:Y25-X19:Y19))/($B$9:$C$9*X22:Y22+$B$10:$C$10*X23:Y23+$B$11:$C$11*X24:Y24+$B$4:$C$4*(X25:Y25-X19:Y19)))</f>
        <v>0.97372977209354694</v>
      </c>
      <c r="Y65" s="181"/>
      <c r="Z65" s="181">
        <f t="array" ref="Z65">SQRT((Z9:AA9*$B$22:$C$22+Z10:AA10*$B$23:$C$23+Z11:AA11*$B$24:$C$24+Z4:AA4*($B$25:$C$25-$B$19:$C$19))/($B$9:$C$9*$B$22:$C$22+$B$10:$C$10*$B$23:$C$23+$B$11:$C$11*$B$24:$C$24+$B$4:$C$4*($B$25:$C$25-$B$19:$C$19))*(Z9:AA9*Z22:AA22+Z10:AA10*Z23:AA23+Z11:AA11*Z24:AA24+Z4:AA4*(Z25:AA25-Z19:AA19))/($B$9:$C$9*Z22:AA22+$B$10:$C$10*Z23:AA23+$B$11:$C$11*Z24:AA24+$B$4:$C$4*(Z25:AA25-Z19:AA19)))</f>
        <v>0.97042144491601823</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0.96733725824124372</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0.9649630187324828</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0.9639874680365369</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0.96482083206710956</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0.9981440652529916</v>
      </c>
      <c r="E66" s="181"/>
      <c r="F66" s="181">
        <f t="array" ref="F66">SQRT((F9:G9*$B$22:$C$22)/($B$9:$C$9*$B$22:$C$22)*(F9:G9*F22:G22)/($B$9:$C$9*F22:G22))</f>
        <v>0.99618645659509941</v>
      </c>
      <c r="G66" s="181"/>
      <c r="H66" s="181">
        <f t="array" ref="H66">SQRT((H9:I9*$B$22:$C$22)/($B$9:$C$9*$B$22:$C$22)*(H9:I9*H22:I22)/($B$9:$C$9*H22:I22))</f>
        <v>0.99411056512360563</v>
      </c>
      <c r="I66" s="181"/>
      <c r="J66" s="181">
        <f t="array" ref="J66">SQRT((J9:K9*$B$22:$C$22)/($B$9:$C$9*$B$22:$C$22)*(J9:K9*J22:K22)/($B$9:$C$9*J22:K22))</f>
        <v>0.99189705544442563</v>
      </c>
      <c r="K66" s="181"/>
      <c r="L66" s="181">
        <f t="array" ref="L66">SQRT((L9:M9*$B$22:$C$22)/($B$9:$C$9*$B$22:$C$22)*(L9:M9*L22:M22)/($B$9:$C$9*L22:M22))</f>
        <v>0.98952397116668345</v>
      </c>
      <c r="M66" s="181"/>
      <c r="N66" s="181">
        <f t="array" ref="N66">SQRT((N9:O9*$B$22:$C$22)/($B$9:$C$9*$B$22:$C$22)*(N9:O9*N22:O22)/($B$9:$C$9*N22:O22))</f>
        <v>0.98696717184116944</v>
      </c>
      <c r="O66" s="181"/>
      <c r="P66" s="181">
        <f t="array" ref="P66">SQRT((P9:Q9*$B$22:$C$22)/($B$9:$C$9*$B$22:$C$22)*(P9:Q9*P22:Q22)/($B$9:$C$9*P22:Q22))</f>
        <v>0.98420180995064432</v>
      </c>
      <c r="Q66" s="181"/>
      <c r="R66" s="181">
        <f t="array" ref="R66">SQRT((R9:S9*$B$22:$C$22)/($B$9:$C$9*$B$22:$C$22)*(R9:S9*R22:S22)/($B$9:$C$9*R22:S22))</f>
        <v>0.98120538143056979</v>
      </c>
      <c r="S66" s="181"/>
      <c r="T66" s="181">
        <f t="array" ref="T66">SQRT((T9:U9*$B$22:$C$22)/($B$9:$C$9*$B$22:$C$22)*(T9:U9*T22:U22)/($B$9:$C$9*T22:U22))</f>
        <v>0.97796387696396581</v>
      </c>
      <c r="U66" s="181"/>
      <c r="V66" s="181">
        <f t="array" ref="V66">SQRT((V9:W9*$B$22:$C$22)/($B$9:$C$9*$B$22:$C$22)*(V9:W9*V22:W22)/($B$9:$C$9*V22:W22))</f>
        <v>0.97448374389593406</v>
      </c>
      <c r="W66" s="181"/>
      <c r="X66" s="181">
        <f t="array" ref="X66">SQRT((X9:Y9*$B$22:$C$22)/($B$9:$C$9*$B$22:$C$22)*(X9:Y9*X22:Y22)/($B$9:$C$9*X22:Y22))</f>
        <v>0.9708146448030579</v>
      </c>
      <c r="Y66" s="181"/>
      <c r="Z66" s="181">
        <f t="array" ref="Z66">SQRT((Z9:AA9*$B$22:$C$22)/($B$9:$C$9*$B$22:$C$22)*(Z9:AA9*Z22:AA22)/($B$9:$C$9*Z22:AA22))</f>
        <v>0.96709216123684827</v>
      </c>
      <c r="AA66" s="181"/>
      <c r="AB66" s="181">
        <f t="array" ref="AB66">SQRT((AB9:AC9*$B$22:$C$22)/($B$9:$C$9*$B$22:$C$22)*(AB9:AC9*AB22:AC22)/($B$9:$C$9*AB22:AC22))</f>
        <v>0.96361201018664988</v>
      </c>
      <c r="AC66" s="181"/>
      <c r="AD66" s="181">
        <f t="array" ref="AD66">SQRT((AD9:AE9*$B$22:$C$22)/($B$9:$C$9*$B$22:$C$22)*(AD9:AE9*AD22:AE22)/($B$9:$C$9*AD22:AE22))</f>
        <v>0.96092673972049514</v>
      </c>
      <c r="AE66" s="181"/>
      <c r="AF66" s="181">
        <f t="array" ref="AF66">SQRT((AF9:AG9*$B$22:$C$22)/($B$9:$C$9*$B$22:$C$22)*(AF9:AG9*AF22:AG22)/($B$9:$C$9*AF22:AG22))</f>
        <v>0.95982289616514949</v>
      </c>
      <c r="AG66" s="181"/>
      <c r="AH66" s="181">
        <f t="array" ref="AH66">SQRT((AH9:AI9*$B$22:$C$22)/($B$9:$C$9*$B$22:$C$22)*(AH9:AI9*AH22:AI22)/($B$9:$C$9*AH22:AI22))</f>
        <v>0.96076957546550223</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0.9981440652529916</v>
      </c>
      <c r="E68" s="181"/>
      <c r="F68" s="181">
        <f>F66/F67</f>
        <v>0.99618645659509941</v>
      </c>
      <c r="G68" s="181"/>
      <c r="H68" s="181">
        <f>H66/H67</f>
        <v>0.99411056512360563</v>
      </c>
      <c r="I68" s="181"/>
      <c r="J68" s="181">
        <f>J66/J67</f>
        <v>0.99189705544442563</v>
      </c>
      <c r="K68" s="181"/>
      <c r="L68" s="181">
        <f>L66/L67</f>
        <v>0.98952397116668345</v>
      </c>
      <c r="M68" s="181"/>
      <c r="N68" s="181">
        <f>N66/N67</f>
        <v>0.98696717184116944</v>
      </c>
      <c r="O68" s="181"/>
      <c r="P68" s="181">
        <f>P66/P67</f>
        <v>0.98420180995064432</v>
      </c>
      <c r="Q68" s="181"/>
      <c r="R68" s="181">
        <f>R66/R67</f>
        <v>0.98120538143056979</v>
      </c>
      <c r="S68" s="181"/>
      <c r="T68" s="181">
        <f>T66/T67</f>
        <v>0.97796387696396581</v>
      </c>
      <c r="U68" s="181"/>
      <c r="V68" s="181">
        <f>V66/V67</f>
        <v>0.97448374389593406</v>
      </c>
      <c r="W68" s="181"/>
      <c r="X68" s="181">
        <f>X66/X67</f>
        <v>0.9708146448030579</v>
      </c>
      <c r="Y68" s="181"/>
      <c r="Z68" s="181">
        <f>Z66/Z67</f>
        <v>0.96709216123684827</v>
      </c>
      <c r="AA68" s="181"/>
      <c r="AB68" s="181">
        <f>AB66/AB67</f>
        <v>0.96361201018664988</v>
      </c>
      <c r="AC68" s="181"/>
      <c r="AD68" s="181">
        <f>AD66/AD67</f>
        <v>0.96092673972049514</v>
      </c>
      <c r="AE68" s="181"/>
      <c r="AF68" s="181">
        <f>AF66/AF67</f>
        <v>0.95982289616514949</v>
      </c>
      <c r="AG68" s="181"/>
      <c r="AH68" s="181">
        <f>AH66/AH67</f>
        <v>0.96076957546550223</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1.0018436672821041</v>
      </c>
      <c r="E69" s="181"/>
      <c r="F69" s="181">
        <f>F32/F65/($B$32)</f>
        <v>1.0036141090632356</v>
      </c>
      <c r="G69" s="181"/>
      <c r="H69" s="181">
        <f>H32/H65/($B$32)</f>
        <v>1.0053001652101416</v>
      </c>
      <c r="I69" s="181"/>
      <c r="J69" s="181">
        <f>J32/J65/($B$32)</f>
        <v>1.0068880993602398</v>
      </c>
      <c r="K69" s="181"/>
      <c r="L69" s="181">
        <f>L32/L65/($B$32)</f>
        <v>1.0083611917705322</v>
      </c>
      <c r="M69" s="181"/>
      <c r="N69" s="181">
        <f>N32/N65/($B$32)</f>
        <v>1.0096992467305241</v>
      </c>
      <c r="O69" s="181"/>
      <c r="P69" s="181">
        <f>P32/P65/($B$32)</f>
        <v>1.010878009500157</v>
      </c>
      <c r="Q69" s="181"/>
      <c r="R69" s="181">
        <f>R32/R65/($B$32)</f>
        <v>1.0118695379667371</v>
      </c>
      <c r="S69" s="181"/>
      <c r="T69" s="181">
        <f>T32/T65/($B$32)</f>
        <v>1.0126431977688586</v>
      </c>
      <c r="U69" s="181"/>
      <c r="V69" s="181">
        <f>V32/V65/($B$32)</f>
        <v>1.0131699613748479</v>
      </c>
      <c r="W69" s="181"/>
      <c r="X69" s="181">
        <f>X32/X65/($B$32)</f>
        <v>1.0134321148132115</v>
      </c>
      <c r="Y69" s="181"/>
      <c r="Z69" s="181">
        <f>Z32/Z65/($B$32)</f>
        <v>1.0134446733539135</v>
      </c>
      <c r="AA69" s="181"/>
      <c r="AB69" s="181">
        <f>AB32/AB65/($B$32)</f>
        <v>1.0132933450172679</v>
      </c>
      <c r="AC69" s="181"/>
      <c r="AD69" s="181">
        <f>AD32/AD65/($B$32)</f>
        <v>1.0131684955467415</v>
      </c>
      <c r="AE69" s="181"/>
      <c r="AF69" s="181">
        <f>AF32/AF65/($B$32)</f>
        <v>1.0132126826099239</v>
      </c>
      <c r="AG69" s="181"/>
      <c r="AH69" s="181">
        <f>AH32/AH65/($B$32)</f>
        <v>1.0125415513845375</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1.0000690194424036</v>
      </c>
      <c r="E70" s="129"/>
      <c r="F70" s="129">
        <f>F18/$B$18</f>
        <v>0.99997495638937617</v>
      </c>
      <c r="G70" s="129"/>
      <c r="H70" s="129">
        <f>H18/$B$18</f>
        <v>0.99969207639120117</v>
      </c>
      <c r="I70" s="129"/>
      <c r="J70" s="129">
        <f>J18/$B$18</f>
        <v>0.9991883301651483</v>
      </c>
      <c r="K70" s="129"/>
      <c r="L70" s="129">
        <f>L18/$B$18</f>
        <v>0.99842315600631348</v>
      </c>
      <c r="M70" s="129"/>
      <c r="N70" s="129">
        <f>N18/$B$18</f>
        <v>0.9973438003152657</v>
      </c>
      <c r="O70" s="129"/>
      <c r="P70" s="129">
        <f>P18/$B$18</f>
        <v>0.99587965978894932</v>
      </c>
      <c r="Q70" s="129"/>
      <c r="R70" s="129">
        <f>R18/$B$18</f>
        <v>0.99393332246624944</v>
      </c>
      <c r="S70" s="129"/>
      <c r="T70" s="129">
        <f>T18/$B$18</f>
        <v>0.99136535294349537</v>
      </c>
      <c r="U70" s="129"/>
      <c r="V70" s="129">
        <f>V18/$B$18</f>
        <v>0.98796853146718466</v>
      </c>
      <c r="W70" s="129"/>
      <c r="X70" s="129">
        <f>X18/$B$18</f>
        <v>0.98342183771445213</v>
      </c>
      <c r="Y70" s="129"/>
      <c r="Z70" s="129">
        <f>Z18/$B$18</f>
        <v>0.97720644041125415</v>
      </c>
      <c r="AA70" s="129"/>
      <c r="AB70" s="129">
        <f>AB18/$B$18</f>
        <v>0.96845038863174637</v>
      </c>
      <c r="AC70" s="129"/>
      <c r="AD70" s="129">
        <f>AD18/$B$18</f>
        <v>0.95565552262455877</v>
      </c>
      <c r="AE70" s="129"/>
      <c r="AF70" s="129">
        <f>AF18/$B$18</f>
        <v>0.93629252974576749</v>
      </c>
      <c r="AG70" s="129"/>
      <c r="AH70" s="129">
        <f>AH18/$B$18</f>
        <v>0.90630934095133975</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0.92745493066330975</v>
      </c>
      <c r="E71" s="129"/>
      <c r="F71" s="129">
        <f>G18/$C$18</f>
        <v>0.85466359338112352</v>
      </c>
      <c r="G71" s="129"/>
      <c r="H71" s="129">
        <f>I18/$C$18</f>
        <v>0.78163205756319276</v>
      </c>
      <c r="I71" s="129"/>
      <c r="J71" s="129">
        <f>K18/$C$18</f>
        <v>0.70838465248952898</v>
      </c>
      <c r="K71" s="129"/>
      <c r="L71" s="129">
        <f>M18/$C$18</f>
        <v>0.63497359005807907</v>
      </c>
      <c r="M71" s="129"/>
      <c r="N71" s="129">
        <f>O18/$C$18</f>
        <v>0.56149825819647536</v>
      </c>
      <c r="O71" s="129"/>
      <c r="P71" s="129">
        <f>Q18/$C$18</f>
        <v>0.48813827650864178</v>
      </c>
      <c r="Q71" s="129"/>
      <c r="R71" s="129">
        <f>S18/$C$18</f>
        <v>0.41519608063615121</v>
      </c>
      <c r="S71" s="129"/>
      <c r="T71" s="129">
        <f>U18/$C$18</f>
        <v>0.34317275024449956</v>
      </c>
      <c r="U71" s="129"/>
      <c r="V71" s="129">
        <f>W18/$C$18</f>
        <v>0.27287339353911677</v>
      </c>
      <c r="W71" s="129"/>
      <c r="X71" s="129">
        <f>Y18/$C$18</f>
        <v>0.20557059702494535</v>
      </c>
      <c r="Y71" s="129"/>
      <c r="Z71" s="129">
        <f>AA18/$C$18</f>
        <v>0.14322630216399251</v>
      </c>
      <c r="AA71" s="129"/>
      <c r="AB71" s="129">
        <f>AC18/$C$18</f>
        <v>8.8728664417266831E-2</v>
      </c>
      <c r="AC71" s="129"/>
      <c r="AD71" s="129">
        <f>AE18/$C$18</f>
        <v>4.5835789224768872E-2</v>
      </c>
      <c r="AE71" s="129"/>
      <c r="AF71" s="129">
        <f>AG18/$C$18</f>
        <v>1.7911836928186913E-2</v>
      </c>
      <c r="AG71" s="129"/>
      <c r="AH71" s="129">
        <f>AI18/$C$18</f>
        <v>4.6887255129818917E-3</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1.0342785112587136</v>
      </c>
      <c r="E72" s="129"/>
      <c r="F72" s="129">
        <f>G19/$C$19</f>
        <v>1.0743058729435606</v>
      </c>
      <c r="G72" s="129"/>
      <c r="H72" s="129">
        <f>I19/$C$19</f>
        <v>1.1209221510163334</v>
      </c>
      <c r="I72" s="129"/>
      <c r="J72" s="129">
        <f>K19/$C$19</f>
        <v>1.175075642288578</v>
      </c>
      <c r="K72" s="129"/>
      <c r="L72" s="129">
        <f>M19/$C$19</f>
        <v>1.2377896299181521</v>
      </c>
      <c r="M72" s="129"/>
      <c r="N72" s="129">
        <f>O19/$C$19</f>
        <v>1.3101272620311972</v>
      </c>
      <c r="O72" s="129"/>
      <c r="P72" s="129">
        <f>Q19/$C$19</f>
        <v>1.3930723825907554</v>
      </c>
      <c r="Q72" s="129"/>
      <c r="R72" s="129">
        <f>S19/$C$19</f>
        <v>1.4873206667688328</v>
      </c>
      <c r="S72" s="129"/>
      <c r="T72" s="129">
        <f>U19/$C$19</f>
        <v>1.5928708736857478</v>
      </c>
      <c r="U72" s="129"/>
      <c r="V72" s="129">
        <f>W19/$C$19</f>
        <v>1.70826203028394</v>
      </c>
      <c r="W72" s="129"/>
      <c r="X72" s="129">
        <f>Y19/$C$19</f>
        <v>1.8291387153770406</v>
      </c>
      <c r="Y72" s="129"/>
      <c r="Z72" s="129">
        <f>AA19/$C$19</f>
        <v>1.9456031849802196</v>
      </c>
      <c r="AA72" s="129"/>
      <c r="AB72" s="129">
        <f>AC19/$C$19</f>
        <v>2.0376188691127965</v>
      </c>
      <c r="AC72" s="129"/>
      <c r="AD72" s="129">
        <f>AE19/$C$19</f>
        <v>2.0688928678846357</v>
      </c>
      <c r="AE72" s="129"/>
      <c r="AF72" s="129">
        <f>AG19/$C$19</f>
        <v>1.9869054941510389</v>
      </c>
      <c r="AG72" s="129"/>
      <c r="AH72" s="129">
        <f>AI19/$C$19</f>
        <v>1.7505630256378493</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0.47641153352875065</v>
      </c>
      <c r="D73" s="183">
        <f t="array" ref="D73">SUM(D9:E9*D22:E22)/D32</f>
        <v>0.47641154749300746</v>
      </c>
      <c r="E73" s="129"/>
      <c r="F73" s="183">
        <f t="array" ref="F73">SUM(F9:G9*F22:G22)/F32</f>
        <v>0.47641155621755238</v>
      </c>
      <c r="G73" s="129"/>
      <c r="H73" s="183">
        <f t="array" ref="H73">SUM(H9:I9*H22:I22)/H32</f>
        <v>0.47641153447804879</v>
      </c>
      <c r="I73" s="129"/>
      <c r="J73" s="183">
        <f t="array" ref="J73">SUM(J9:K9*J22:K22)/J32</f>
        <v>0.47641155020134607</v>
      </c>
      <c r="K73" s="129"/>
      <c r="L73" s="183">
        <f t="array" ref="L73">SUM(L9:M9*L22:M22)/L32</f>
        <v>0.47641153491620958</v>
      </c>
      <c r="M73" s="129"/>
      <c r="N73" s="183">
        <f t="array" ref="N73">SUM(N9:O9*N22:O22)/N32</f>
        <v>0.47641153657815044</v>
      </c>
      <c r="O73" s="129"/>
      <c r="P73" s="183">
        <f t="array" ref="P73">SUM(P9:Q9*P22:Q22)/P32</f>
        <v>0.4764115336793206</v>
      </c>
      <c r="Q73" s="129"/>
      <c r="R73" s="183">
        <f t="array" ref="R73">SUM(R9:S9*R22:S22)/R32</f>
        <v>0.47641154194776114</v>
      </c>
      <c r="S73" s="129"/>
      <c r="T73" s="183">
        <f t="array" ref="T73">SUM(T9:U9*T22:U22)/T32</f>
        <v>0.47641154025089044</v>
      </c>
      <c r="U73" s="129"/>
      <c r="V73" s="183">
        <f t="array" ref="V73">SUM(V9:W9*V22:W22)/V32</f>
        <v>0.47641154583615802</v>
      </c>
      <c r="W73" s="129"/>
      <c r="X73" s="183">
        <f t="array" ref="X73">SUM(X9:Y9*X22:Y22)/X32</f>
        <v>0.47641153531813973</v>
      </c>
      <c r="Y73" s="129"/>
      <c r="Z73" s="183">
        <f t="array" ref="Z73">SUM(Z9:AA9*Z22:AA22)/Z32</f>
        <v>0.4764115353072384</v>
      </c>
      <c r="AA73" s="129"/>
      <c r="AB73" s="183">
        <f t="array" ref="AB73">SUM(AB9:AC9*AB22:AC22)/AB32</f>
        <v>0.47641153298694106</v>
      </c>
      <c r="AC73" s="129"/>
      <c r="AD73" s="183">
        <f t="array" ref="AD73">SUM(AD9:AE9*AD22:AE22)/AD32</f>
        <v>0.47641153331028147</v>
      </c>
      <c r="AE73" s="129"/>
      <c r="AF73" s="183">
        <f t="array" ref="AF73">SUM(AF9:AG9*AF22:AG22)/AF32</f>
        <v>0.47641153374573086</v>
      </c>
      <c r="AG73" s="129"/>
      <c r="AH73" s="183">
        <f t="array" ref="AH73">SUM(AH9:AI9*AH22:AI22)/AH32</f>
        <v>0.47641153346503906</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0.22604620456442481</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0.22038438856129794</v>
      </c>
      <c r="E75" s="129"/>
      <c r="F75" s="183">
        <f t="array" ref="F75">SUM(F11:G11*F24:G24)/F32</f>
        <v>0.22038438872903252</v>
      </c>
      <c r="G75" s="129"/>
      <c r="H75" s="183">
        <f t="array" ref="H75">SUM(H11:I11*H24:I24)/H32</f>
        <v>0.22038438831666382</v>
      </c>
      <c r="I75" s="129"/>
      <c r="J75" s="183">
        <f t="array" ref="J75">SUM(J11:K11*J24:K24)/J32</f>
        <v>0.22038438834925539</v>
      </c>
      <c r="K75" s="129"/>
      <c r="L75" s="183">
        <f t="array" ref="L75">SUM(L11:M11*L24:M24)/L32</f>
        <v>0.22038438830039139</v>
      </c>
      <c r="M75" s="129"/>
      <c r="N75" s="183">
        <f t="array" ref="N75">SUM(N11:O11*N24:O24)/N32</f>
        <v>0.22038438825609619</v>
      </c>
      <c r="O75" s="129"/>
      <c r="P75" s="183">
        <f t="array" ref="P75">SUM(P11:Q11*P24:Q24)/P32</f>
        <v>0.22038438835880877</v>
      </c>
      <c r="Q75" s="129"/>
      <c r="R75" s="183">
        <f t="array" ref="R75">SUM(R11:S11*R24:S24)/R32</f>
        <v>0.2203843883225933</v>
      </c>
      <c r="S75" s="129"/>
      <c r="T75" s="183">
        <f t="array" ref="T75">SUM(T11:U11*T24:U24)/T32</f>
        <v>0.22038438832437188</v>
      </c>
      <c r="U75" s="129"/>
      <c r="V75" s="183">
        <f t="array" ref="V75">SUM(V11:W11*V24:W24)/V32</f>
        <v>0.22038438832001683</v>
      </c>
      <c r="W75" s="129"/>
      <c r="X75" s="183">
        <f t="array" ref="X75">SUM(X11:Y11*X24:Y24)/X32</f>
        <v>0.22038438835998053</v>
      </c>
      <c r="Y75" s="129"/>
      <c r="Z75" s="183">
        <f t="array" ref="Z75">SUM(Z11:AA11*Z24:AA24)/Z32</f>
        <v>0.2203843883206652</v>
      </c>
      <c r="AA75" s="129"/>
      <c r="AB75" s="183">
        <f t="array" ref="AB75">SUM(AB11:AC11*AB24:AC24)/AB32</f>
        <v>0.22038438833706225</v>
      </c>
      <c r="AC75" s="129"/>
      <c r="AD75" s="183">
        <f t="array" ref="AD75">SUM(AD11:AE11*AD24:AE24)/AD32</f>
        <v>0.2203843883331249</v>
      </c>
      <c r="AE75" s="129"/>
      <c r="AF75" s="183">
        <f t="array" ref="AF75">SUM(AF11:AG11*AF24:AG24)/AF32</f>
        <v>0.22038438833196483</v>
      </c>
      <c r="AG75" s="129"/>
      <c r="AH75" s="183">
        <f t="array" ref="AH75">SUM(AH11:AI11*AH24:AI24)/AH32</f>
        <v>0.22038438833185006</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0.22304695033913549</v>
      </c>
      <c r="E76" s="129"/>
      <c r="F76" s="183">
        <f t="array" ref="F76">SUM(F12:G12*F25:G25)/F32</f>
        <v>0.22315179145378855</v>
      </c>
      <c r="G76" s="129"/>
      <c r="H76" s="183">
        <f t="array" ref="H76">SUM(H12:I12*H25:I25)/H32</f>
        <v>0.22334432287697378</v>
      </c>
      <c r="I76" s="129"/>
      <c r="J76" s="183">
        <f t="array" ref="J76">SUM(J12:K12*J25:K25)/J32</f>
        <v>0.22363682405608204</v>
      </c>
      <c r="K76" s="129"/>
      <c r="L76" s="183">
        <f t="array" ref="L76">SUM(L12:M12*L25:M25)/L32</f>
        <v>0.22404235440693532</v>
      </c>
      <c r="M76" s="129"/>
      <c r="N76" s="183">
        <f t="array" ref="N76">SUM(N12:O12*N25:O25)/N32</f>
        <v>0.22457370954803807</v>
      </c>
      <c r="O76" s="129"/>
      <c r="P76" s="183">
        <f t="array" ref="P76">SUM(P12:Q12*P25:Q25)/P32</f>
        <v>0.2252412993445489</v>
      </c>
      <c r="Q76" s="129"/>
      <c r="R76" s="183">
        <f t="array" ref="R76">SUM(R12:S12*R25:S25)/R32</f>
        <v>0.22604886599812829</v>
      </c>
      <c r="S76" s="129"/>
      <c r="T76" s="183">
        <f t="array" ref="T76">SUM(T12:U12*T25:U25)/T32</f>
        <v>0.22698541358613253</v>
      </c>
      <c r="U76" s="129"/>
      <c r="V76" s="183">
        <f t="array" ref="V76">SUM(V12:W12*V25:W25)/V32</f>
        <v>0.22800961018155963</v>
      </c>
      <c r="W76" s="129"/>
      <c r="X76" s="183">
        <f t="array" ref="X76">SUM(X12:Y12*X25:Y25)/X32</f>
        <v>0.22902016378520224</v>
      </c>
      <c r="Y76" s="129"/>
      <c r="Z76" s="183">
        <f t="array" ref="Z76">SUM(Z12:AA12*Z25:AA25)/Z32</f>
        <v>0.22979967788146854</v>
      </c>
      <c r="AA76" s="129"/>
      <c r="AB76" s="183">
        <f t="array" ref="AB76">SUM(AB12:AC12*AB25:AC25)/AB32</f>
        <v>0.22991494801606507</v>
      </c>
      <c r="AC76" s="129"/>
      <c r="AD76" s="183">
        <f t="array" ref="AD76">SUM(AD12:AE12*AD25:AE25)/AD32</f>
        <v>0.22857714862953885</v>
      </c>
      <c r="AE76" s="129"/>
      <c r="AF76" s="183">
        <f t="array" ref="AF76">SUM(AF12:AG12*AF25:AG25)/AF32</f>
        <v>0.22461119313119604</v>
      </c>
      <c r="AG76" s="129"/>
      <c r="AH76" s="183">
        <f t="array" ref="AH76">SUM(AH12:AI12*AH25:AI25)/AH32</f>
        <v>0.21696462521470497</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0.14588909095786531</v>
      </c>
      <c r="E77" s="129"/>
      <c r="F77" s="183">
        <f t="array" ref="F77">SUM(F4:G4*F19:G19)/F32</f>
        <v>0.14599394096479748</v>
      </c>
      <c r="G77" s="129"/>
      <c r="H77" s="183">
        <f t="array" ref="H77">SUM(H4:I4*H19:I19)/H32</f>
        <v>0.14618645023611102</v>
      </c>
      <c r="I77" s="129"/>
      <c r="J77" s="183">
        <f t="array" ref="J77">SUM(J4:K4*J19:K19)/J32</f>
        <v>0.14647896717110789</v>
      </c>
      <c r="K77" s="129"/>
      <c r="L77" s="183">
        <f t="array" ref="L77">SUM(L4:M4*L19:M19)/L32</f>
        <v>0.14688448218796074</v>
      </c>
      <c r="M77" s="129"/>
      <c r="N77" s="183">
        <f t="array" ref="N77">SUM(N4:O4*N19:O19)/N32</f>
        <v>0.14741583894670907</v>
      </c>
      <c r="O77" s="129"/>
      <c r="P77" s="183">
        <f t="array" ref="P77">SUM(P4:Q4*P19:Q19)/P32</f>
        <v>0.14808342594710261</v>
      </c>
      <c r="Q77" s="129"/>
      <c r="R77" s="183">
        <f t="array" ref="R77">SUM(R4:S4*R19:S19)/R32</f>
        <v>0.14889100083290735</v>
      </c>
      <c r="S77" s="129"/>
      <c r="T77" s="183">
        <f t="array" ref="T77">SUM(T4:U4*T19:U19)/T32</f>
        <v>0.14982754672581944</v>
      </c>
      <c r="U77" s="129"/>
      <c r="V77" s="183">
        <f t="array" ref="V77">SUM(V4:W4*V19:W19)/V32</f>
        <v>0.15085174890215905</v>
      </c>
      <c r="W77" s="129"/>
      <c r="X77" s="183">
        <f t="array" ref="X77">SUM(X4:Y4*X19:Y19)/X32</f>
        <v>0.15186229202774693</v>
      </c>
      <c r="Y77" s="129"/>
      <c r="Z77" s="183">
        <f t="array" ref="Z77">SUM(Z4:AA4*Z19:AA19)/Z32</f>
        <v>0.1526418060737966</v>
      </c>
      <c r="AA77" s="129"/>
      <c r="AB77" s="183">
        <f t="array" ref="AB77">SUM(AB4:AC4*AB19:AC19)/AB32</f>
        <v>0.15275707390449289</v>
      </c>
      <c r="AC77" s="129"/>
      <c r="AD77" s="183">
        <f t="array" ref="AD77">SUM(AD4:AE4*AD19:AE19)/AD32</f>
        <v>0.15141927483736953</v>
      </c>
      <c r="AE77" s="129"/>
      <c r="AF77" s="183">
        <f t="array" ref="AF77">SUM(AF4:AG4*AF19:AG19)/AF32</f>
        <v>0.14745331977331594</v>
      </c>
      <c r="AG77" s="129"/>
      <c r="AH77" s="183">
        <f t="array" ref="AH77">SUM(AH4:AI4*AH19:AI19)/AH32</f>
        <v>0.13980675157601852</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0.34950355403993882</v>
      </c>
      <c r="E78" s="129"/>
      <c r="F78" s="183">
        <f t="array" ref="F78">SUM(F13:G13*F26:G26)/F32</f>
        <v>0.35222963251946332</v>
      </c>
      <c r="G78" s="129"/>
      <c r="H78" s="183">
        <f t="array" ref="H78">SUM(H13:I13*H26:I26)/H32</f>
        <v>0.35508437985655261</v>
      </c>
      <c r="I78" s="129"/>
      <c r="J78" s="183">
        <f t="array" ref="J78">SUM(J13:K13*J26:K26)/J32</f>
        <v>0.35809064591645878</v>
      </c>
      <c r="K78" s="129"/>
      <c r="L78" s="183">
        <f t="array" ref="L78">SUM(L13:M13*L26:M26)/L32</f>
        <v>0.36127671653260823</v>
      </c>
      <c r="M78" s="129"/>
      <c r="N78" s="183">
        <f t="array" ref="N78">SUM(N13:O13*N26:O26)/N32</f>
        <v>0.36467910285122512</v>
      </c>
      <c r="O78" s="129"/>
      <c r="P78" s="183">
        <f t="array" ref="P78">SUM(P13:Q13*P26:Q26)/P32</f>
        <v>0.36834619053302708</v>
      </c>
      <c r="Q78" s="129"/>
      <c r="R78" s="183">
        <f t="array" ref="R78">SUM(R13:S13*R26:S26)/R32</f>
        <v>0.37234470846789097</v>
      </c>
      <c r="S78" s="129"/>
      <c r="T78" s="183">
        <f t="array" ref="T78">SUM(T13:U13*T26:U26)/T32</f>
        <v>0.37677102063128154</v>
      </c>
      <c r="U78" s="129"/>
      <c r="V78" s="183">
        <f t="array" ref="V78">SUM(V13:W13*V26:W26)/V32</f>
        <v>0.38177097460241993</v>
      </c>
      <c r="W78" s="129"/>
      <c r="X78" s="183">
        <f t="array" ref="X78">SUM(X13:Y13*X26:Y26)/X32</f>
        <v>0.38757636637791842</v>
      </c>
      <c r="Y78" s="129"/>
      <c r="Z78" s="183">
        <f t="array" ref="Z78">SUM(Z13:AA13*Z26:AA26)/Z32</f>
        <v>0.39457307706554384</v>
      </c>
      <c r="AA78" s="129"/>
      <c r="AB78" s="183">
        <f t="array" ref="AB78">SUM(AB13:AC13*AB26:AC26)/AB32</f>
        <v>0.40342653216449065</v>
      </c>
      <c r="AC78" s="129"/>
      <c r="AD78" s="183">
        <f t="array" ref="AD78">SUM(AD13:AE13*AD26:AE26)/AD32</f>
        <v>0.41528921738328395</v>
      </c>
      <c r="AE78" s="129"/>
      <c r="AF78" s="183">
        <f t="array" ref="AF78">SUM(AF13:AG13*AF26:AG26)/AF32</f>
        <v>0.43202711934455046</v>
      </c>
      <c r="AG78" s="129"/>
      <c r="AH78" s="183">
        <f t="array" ref="AH78">SUM(AH13:AI13*AH26:AI26)/AH32</f>
        <v>0.45618110506383119</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0.44542810462463317</v>
      </c>
      <c r="F79" s="183">
        <f t="array" ref="F79">SUM(F15:G15*F27:G27)/F32</f>
        <v>0.43586001295622351</v>
      </c>
      <c r="H79" s="183">
        <f t="array" ref="H79">SUM(H15:I15*H27:I27)/H32</f>
        <v>0.42584017775988536</v>
      </c>
      <c r="J79" s="183">
        <f t="array" ref="J79">SUM(J15:K15*J27:K27)/J32</f>
        <v>0.41528865435487372</v>
      </c>
      <c r="L79" s="183">
        <f t="array" ref="L79">SUM(L15:M15*L27:M27)/L32</f>
        <v>0.40410599111355533</v>
      </c>
      <c r="N79" s="183">
        <f t="array" ref="N79">SUM(N15:O15*N27:O27)/N32</f>
        <v>0.39216409606497871</v>
      </c>
      <c r="P79" s="183">
        <f t="array" ref="P79">SUM(P15:Q15*P27:Q27)/P32</f>
        <v>0.37929322381359987</v>
      </c>
      <c r="R79" s="183">
        <f t="array" ref="R79">SUM(R15:S15*R27:S27)/R32</f>
        <v>0.36525901446262249</v>
      </c>
      <c r="T79" s="183">
        <f t="array" ref="T79">SUM(T15:U15*T27:U27)/T32</f>
        <v>0.34972331878883217</v>
      </c>
      <c r="V79" s="183">
        <f t="array" ref="V79">SUM(V15:W15*V27:W27)/V32</f>
        <v>0.3321742247888505</v>
      </c>
      <c r="X79" s="183">
        <f t="array" ref="X79">SUM(X15:Y15*X27:Y27)/X32</f>
        <v>0.31179817223811396</v>
      </c>
      <c r="Z79" s="183">
        <f t="array" ref="Z79">SUM(Z15:AA15*Z27:AA27)/Z32</f>
        <v>0.28724075431859247</v>
      </c>
      <c r="AB79" s="183">
        <f t="array" ref="AB79">SUM(AB15:AC15*AB27:AC27)/AB32</f>
        <v>0.25616645680731848</v>
      </c>
      <c r="AD79" s="183">
        <f t="array" ref="AD79">SUM(AD15:AE15*AD27:AE27)/AD32</f>
        <v>0.21453020249109214</v>
      </c>
      <c r="AF79" s="183">
        <f t="array" ref="AF79">SUM(AF15:AG15*AF27:AG27)/AF32</f>
        <v>0.15578266663197807</v>
      </c>
      <c r="AH79" s="183">
        <f t="array" ref="AH79">SUM(AH15:AI15*AH27:AI27)/AH32</f>
        <v>7.1005782867417419E-2</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0.20506838455563503</v>
      </c>
      <c r="F80" s="195">
        <f>F55</f>
        <v>0.21191043477788241</v>
      </c>
      <c r="H80" s="195">
        <f>H55</f>
        <v>0.21907544130049492</v>
      </c>
      <c r="J80" s="195">
        <f>J55</f>
        <v>0.22662071920275031</v>
      </c>
      <c r="L80" s="195">
        <f>L55</f>
        <v>0.23461728986219516</v>
      </c>
      <c r="N80" s="195">
        <f>N55</f>
        <v>0.24315679460610942</v>
      </c>
      <c r="P80" s="195">
        <f>P55</f>
        <v>0.25236059268603955</v>
      </c>
      <c r="R80" s="195">
        <f>R55</f>
        <v>0.2623962865814834</v>
      </c>
      <c r="T80" s="195">
        <f>T55</f>
        <v>0.27350566767237733</v>
      </c>
      <c r="V80" s="195">
        <f>V55</f>
        <v>0.28605481269066985</v>
      </c>
      <c r="X80" s="195">
        <f>X55</f>
        <v>0.30062547647579063</v>
      </c>
      <c r="Z80" s="195">
        <f>Z55</f>
        <v>0.31818616623533524</v>
      </c>
      <c r="AB80" s="195">
        <f>AB55</f>
        <v>0.34040701489321867</v>
      </c>
      <c r="AD80" s="195">
        <f>AD55</f>
        <v>0.37018058304461621</v>
      </c>
      <c r="AF80" s="195">
        <f>AF55</f>
        <v>0.41219021901352176</v>
      </c>
      <c r="AH80" s="195">
        <f>AH55</f>
        <v>0.47281311447740321</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-2.097782000878981E-2</v>
      </c>
      <c r="F81" s="195">
        <f>F51/F$32</f>
        <v>-1.413576978654243E-2</v>
      </c>
      <c r="H81" s="195">
        <f>H51/H$32</f>
        <v>-6.9707632639299036E-3</v>
      </c>
      <c r="J81" s="195">
        <f>J51/J$32</f>
        <v>5.7451463832549146E-4</v>
      </c>
      <c r="L81" s="195">
        <f>L51/L$32</f>
        <v>8.5710852977703283E-3</v>
      </c>
      <c r="N81" s="195">
        <f>N51/N$32</f>
        <v>1.7110590041684581E-2</v>
      </c>
      <c r="P81" s="195">
        <f>P51/P$32</f>
        <v>2.6314388121614705E-2</v>
      </c>
      <c r="R81" s="195">
        <f>R51/R$32</f>
        <v>3.6350082017058534E-2</v>
      </c>
      <c r="T81" s="195">
        <f>T51/T$32</f>
        <v>4.7459463107952501E-2</v>
      </c>
      <c r="V81" s="195">
        <f>V51/V$32</f>
        <v>6.0008608126244999E-2</v>
      </c>
      <c r="X81" s="195">
        <f>X51/X$32</f>
        <v>7.4579271911365791E-2</v>
      </c>
      <c r="Z81" s="195">
        <f>Z51/Z$32</f>
        <v>9.2139961670910403E-2</v>
      </c>
      <c r="AB81" s="195">
        <f>AB51/AB$32</f>
        <v>0.11436081032879383</v>
      </c>
      <c r="AD81" s="195">
        <f>AD51/AD$32</f>
        <v>0.14413437848019137</v>
      </c>
      <c r="AF81" s="195">
        <f>AF51/AF$32</f>
        <v>0.18614401444909695</v>
      </c>
      <c r="AH81" s="195">
        <f>AH51/AH$32</f>
        <v>0.24676690991297837</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0.1417579657347634</v>
      </c>
      <c r="F82" s="195">
        <f>F52/F$32</f>
        <v>0.14286365789503983</v>
      </c>
      <c r="H82" s="195">
        <f>H52/H$32</f>
        <v>0.1440215378951564</v>
      </c>
      <c r="J82" s="195">
        <f>J52/J$32</f>
        <v>0.14524087359627794</v>
      </c>
      <c r="L82" s="195">
        <f>L52/L$32</f>
        <v>0.14653313767775006</v>
      </c>
      <c r="N82" s="195">
        <f>N52/N$32</f>
        <v>0.14791313898988492</v>
      </c>
      <c r="P82" s="195">
        <f>P52/P$32</f>
        <v>0.14940050266311342</v>
      </c>
      <c r="R82" s="195">
        <f>R52/R$32</f>
        <v>0.15102229380614568</v>
      </c>
      <c r="T82" s="195">
        <f>T52/T$32</f>
        <v>0.15281759746110532</v>
      </c>
      <c r="V82" s="195">
        <f>V52/V$32</f>
        <v>0.15484556912412034</v>
      </c>
      <c r="X82" s="195">
        <f>X52/X$32</f>
        <v>0.15720022480322668</v>
      </c>
      <c r="Z82" s="195">
        <f>Z52/Z$32</f>
        <v>0.16003807712961279</v>
      </c>
      <c r="AB82" s="195">
        <f>AB52/AB$32</f>
        <v>0.16362902139911614</v>
      </c>
      <c r="AD82" s="195">
        <f>AD52/AD$32</f>
        <v>0.16844050358672166</v>
      </c>
      <c r="AF82" s="195">
        <f>AF52/AF$32</f>
        <v>0.17522936425858168</v>
      </c>
      <c r="AH82" s="195">
        <f>AH52/AH$32</f>
        <v>0.18502617416329722</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0.18066477797666067</v>
      </c>
      <c r="F83" s="195">
        <f>F53/F$32</f>
        <v>0.17678397849637126</v>
      </c>
      <c r="H83" s="195">
        <f>H53/H$32</f>
        <v>0.17271995271462437</v>
      </c>
      <c r="J83" s="195">
        <f>J53/J$32</f>
        <v>0.16844027522348712</v>
      </c>
      <c r="L83" s="195">
        <f>L53/L$32</f>
        <v>0.16390460863508652</v>
      </c>
      <c r="N83" s="195">
        <f>N53/N$32</f>
        <v>0.15906099909367735</v>
      </c>
      <c r="P83" s="195">
        <f>P53/P$32</f>
        <v>0.15384059819503876</v>
      </c>
      <c r="R83" s="195">
        <f>R53/R$32</f>
        <v>0.14814835001817758</v>
      </c>
      <c r="T83" s="195">
        <f>T53/T$32</f>
        <v>0.14184710189198765</v>
      </c>
      <c r="V83" s="195">
        <f>V53/V$32</f>
        <v>0.13472922329770798</v>
      </c>
      <c r="X83" s="195">
        <f>X53/X$32</f>
        <v>0.12646473578131789</v>
      </c>
      <c r="Z83" s="195">
        <f>Z53/Z$32</f>
        <v>0.11650429455624245</v>
      </c>
      <c r="AB83" s="195">
        <f>AB53/AB$32</f>
        <v>0.1039006195694878</v>
      </c>
      <c r="AD83" s="195">
        <f>AD53/AD$32</f>
        <v>8.7013035324753518E-2</v>
      </c>
      <c r="AF83" s="195">
        <f>AF53/AF$32</f>
        <v>6.3185148371803057E-2</v>
      </c>
      <c r="AH83" s="195">
        <f>AH53/AH$32</f>
        <v>2.8799808237541354E-2</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dimension ref="A1:XFD83"/>
  <sheetViews>
    <sheetView showGridLines="0" workbookViewId="0">
      <pane xSplit="1" ySplit="1" topLeftCell="E2" activePane="bottomRight" state="frozen"/>
      <selection pane="topRight" activeCell="B1" sqref="B1"/>
      <selection pane="bottomLeft" activeCell="A2" sqref="A2"/>
      <selection pane="bottomRight" sqref="A1:XFD1048576"/>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c r="AD1" s="91"/>
      <c r="AF1" s="91"/>
      <c r="AH1" s="91"/>
      <c r="AJ1" s="91"/>
      <c r="AL1" s="91"/>
      <c r="AN1" s="91"/>
      <c r="AP1" s="91"/>
      <c r="AR1" s="91"/>
      <c r="AT1" s="91"/>
      <c r="AV1" s="91"/>
      <c r="AX1">
        <v>0.99000000000000032</v>
      </c>
    </row>
    <row r="2" spans="1:51" x14ac:dyDescent="0.2">
      <c r="A2" s="190" t="s">
        <v>139</v>
      </c>
      <c r="B2" s="188">
        <v>5.7716594496607888E-3</v>
      </c>
      <c r="C2" s="189"/>
      <c r="D2" s="188">
        <v>7.2681397206910456E-2</v>
      </c>
      <c r="E2" s="189"/>
      <c r="F2" s="188">
        <v>0.14766286749873231</v>
      </c>
      <c r="G2" s="189"/>
      <c r="H2" s="188">
        <v>0.23238677480783063</v>
      </c>
      <c r="I2" s="189"/>
      <c r="J2" s="188">
        <v>0.32913361239132438</v>
      </c>
      <c r="K2" s="189"/>
      <c r="L2" s="188">
        <v>0.44113431106437978</v>
      </c>
      <c r="M2" s="189"/>
      <c r="N2" s="188">
        <v>0.5731621036328991</v>
      </c>
      <c r="O2" s="189"/>
      <c r="P2" s="188">
        <v>0.73260868955249348</v>
      </c>
      <c r="Q2" s="189"/>
      <c r="R2" s="188">
        <v>0.93156730320078884</v>
      </c>
      <c r="S2" s="189"/>
      <c r="T2" s="188">
        <v>1.1911533075014467</v>
      </c>
      <c r="U2" s="189"/>
      <c r="V2" s="188">
        <v>1.5511788419522727</v>
      </c>
      <c r="W2" s="189"/>
      <c r="X2" s="188">
        <v>2.0932885769231948</v>
      </c>
      <c r="Y2" s="189"/>
      <c r="Z2" s="188">
        <v>2.996209926315863</v>
      </c>
      <c r="AA2" s="189"/>
      <c r="AB2" s="188"/>
      <c r="AC2" s="189"/>
      <c r="AD2" s="188"/>
      <c r="AE2" s="189"/>
      <c r="AF2" s="188"/>
      <c r="AG2" s="189"/>
      <c r="AH2" s="188"/>
      <c r="AI2" s="189"/>
      <c r="AJ2" s="188"/>
      <c r="AK2" s="189"/>
      <c r="AL2" s="188"/>
      <c r="AM2" s="189"/>
      <c r="AN2" s="188"/>
      <c r="AO2" s="189"/>
      <c r="AP2" s="188"/>
      <c r="AQ2" s="189"/>
      <c r="AR2" s="188"/>
      <c r="AS2" s="189"/>
      <c r="AT2" s="188"/>
      <c r="AU2" s="189"/>
      <c r="AV2" s="188"/>
      <c r="AW2" s="189"/>
      <c r="AX2">
        <v>5.7716594496607888E-3</v>
      </c>
    </row>
    <row r="3" spans="1:51" x14ac:dyDescent="0.2">
      <c r="A3" t="s">
        <v>12</v>
      </c>
      <c r="B3" s="81">
        <v>1000</v>
      </c>
      <c r="C3" s="82">
        <v>1000</v>
      </c>
      <c r="D3" s="81">
        <v>996.9643218499898</v>
      </c>
      <c r="E3" s="82">
        <v>1041.3752510075037</v>
      </c>
      <c r="F3" s="81">
        <v>993.85339204290563</v>
      </c>
      <c r="G3" s="82">
        <v>1088.3602107241179</v>
      </c>
      <c r="H3" s="81">
        <v>990.6398443618009</v>
      </c>
      <c r="I3" s="82">
        <v>1142.1140422314004</v>
      </c>
      <c r="J3" s="81">
        <v>987.29812654423631</v>
      </c>
      <c r="K3" s="82">
        <v>1204.1750138110422</v>
      </c>
      <c r="L3" s="81">
        <v>983.80733547570833</v>
      </c>
      <c r="M3" s="82">
        <v>1276.656175271911</v>
      </c>
      <c r="N3" s="81">
        <v>980.15602162533798</v>
      </c>
      <c r="O3" s="82">
        <v>1362.5812282100408</v>
      </c>
      <c r="P3" s="81">
        <v>976.35041544739454</v>
      </c>
      <c r="Q3" s="82">
        <v>1466.4883042329407</v>
      </c>
      <c r="R3" s="81">
        <v>972.42931817715726</v>
      </c>
      <c r="S3" s="82">
        <v>1595.5778904203985</v>
      </c>
      <c r="T3" s="81">
        <v>968.49226524582866</v>
      </c>
      <c r="U3" s="82">
        <v>1762.0436932141654</v>
      </c>
      <c r="V3" s="81">
        <v>964.75435034768191</v>
      </c>
      <c r="W3" s="82">
        <v>1988.1525181626282</v>
      </c>
      <c r="X3" s="81">
        <v>961.64607412953706</v>
      </c>
      <c r="Y3" s="82">
        <v>2317.9870399323449</v>
      </c>
      <c r="Z3" s="81">
        <v>959.92175311294852</v>
      </c>
      <c r="AA3" s="82">
        <v>2844.4540471826786</v>
      </c>
      <c r="AB3" s="81"/>
      <c r="AC3" s="82"/>
      <c r="AD3" s="81"/>
      <c r="AE3" s="82"/>
      <c r="AF3" s="81"/>
      <c r="AG3" s="82"/>
      <c r="AH3" s="81"/>
      <c r="AI3" s="82"/>
      <c r="AJ3" s="81"/>
      <c r="AK3" s="82"/>
      <c r="AL3" s="81"/>
      <c r="AM3" s="82"/>
      <c r="AN3" s="81"/>
      <c r="AO3" s="82"/>
      <c r="AP3" s="81"/>
      <c r="AQ3" s="82"/>
      <c r="AR3" s="81"/>
      <c r="AS3" s="82"/>
      <c r="AT3" s="81"/>
      <c r="AU3" s="82"/>
      <c r="AV3" s="81"/>
      <c r="AW3" s="82"/>
      <c r="AX3">
        <v>1000</v>
      </c>
      <c r="AY3">
        <v>1000</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c r="AC4" s="96"/>
      <c r="AD4" s="95"/>
      <c r="AE4" s="96"/>
      <c r="AF4" s="95"/>
      <c r="AG4" s="96"/>
      <c r="AH4" s="95"/>
      <c r="AI4" s="96"/>
      <c r="AJ4" s="95"/>
      <c r="AK4" s="96"/>
      <c r="AL4" s="95"/>
      <c r="AM4" s="96"/>
      <c r="AN4" s="95"/>
      <c r="AO4" s="96"/>
      <c r="AP4" s="95"/>
      <c r="AQ4" s="96"/>
      <c r="AR4" s="95"/>
      <c r="AS4" s="96"/>
      <c r="AT4" s="95"/>
      <c r="AU4" s="96"/>
      <c r="AV4" s="95"/>
      <c r="AW4" s="96"/>
      <c r="AX4">
        <v>1000</v>
      </c>
      <c r="AY4">
        <v>1000</v>
      </c>
    </row>
    <row r="5" spans="1:51" x14ac:dyDescent="0.2">
      <c r="A5" t="s">
        <v>115</v>
      </c>
      <c r="B5" s="39">
        <v>1000</v>
      </c>
      <c r="C5" s="40">
        <v>1000</v>
      </c>
      <c r="D5" s="39">
        <v>996.81264798280642</v>
      </c>
      <c r="E5" s="40">
        <v>1035.6093398492317</v>
      </c>
      <c r="F5" s="39">
        <v>993.54203221556497</v>
      </c>
      <c r="G5" s="40">
        <v>1074.3228648297418</v>
      </c>
      <c r="H5" s="39">
        <v>990.15896476251794</v>
      </c>
      <c r="I5" s="40">
        <v>1116.4086414996082</v>
      </c>
      <c r="J5" s="39">
        <v>986.63599107423124</v>
      </c>
      <c r="K5" s="40">
        <v>1162.1361534973141</v>
      </c>
      <c r="L5" s="39">
        <v>982.95038044527826</v>
      </c>
      <c r="M5" s="40">
        <v>1211.7675671576058</v>
      </c>
      <c r="N5" s="39">
        <v>979.08922738810838</v>
      </c>
      <c r="O5" s="40">
        <v>1265.5402793539715</v>
      </c>
      <c r="P5" s="39">
        <v>975.05823634939361</v>
      </c>
      <c r="Q5" s="40">
        <v>1323.6356712462587</v>
      </c>
      <c r="R5" s="39">
        <v>970.89768980679389</v>
      </c>
      <c r="S5" s="40">
        <v>1386.1051981635183</v>
      </c>
      <c r="T5" s="39">
        <v>966.71273491086356</v>
      </c>
      <c r="U5" s="40">
        <v>1452.7020335891004</v>
      </c>
      <c r="V5" s="39">
        <v>962.73242692937208</v>
      </c>
      <c r="W5" s="40">
        <v>1522.4808443196837</v>
      </c>
      <c r="X5" s="39">
        <v>959.41730579920045</v>
      </c>
      <c r="Y5" s="40">
        <v>1592.8747572258478</v>
      </c>
      <c r="Z5" s="39">
        <v>957.57614742462283</v>
      </c>
      <c r="AA5" s="40">
        <v>1657.9732084980164</v>
      </c>
      <c r="AB5" s="39"/>
      <c r="AC5" s="40"/>
      <c r="AD5" s="39"/>
      <c r="AE5" s="40"/>
      <c r="AF5" s="39"/>
      <c r="AG5" s="40"/>
      <c r="AH5" s="39"/>
      <c r="AI5" s="40"/>
      <c r="AJ5" s="39"/>
      <c r="AK5" s="40"/>
      <c r="AL5" s="39"/>
      <c r="AM5" s="40"/>
      <c r="AN5" s="39"/>
      <c r="AO5" s="40"/>
      <c r="AP5" s="39"/>
      <c r="AQ5" s="40"/>
      <c r="AR5" s="39"/>
      <c r="AS5" s="40"/>
      <c r="AT5" s="39"/>
      <c r="AU5" s="40"/>
      <c r="AV5" s="39"/>
      <c r="AW5" s="40"/>
      <c r="AX5">
        <v>1000</v>
      </c>
      <c r="AY5">
        <v>1000</v>
      </c>
    </row>
    <row r="6" spans="1:51" x14ac:dyDescent="0.2">
      <c r="A6" t="s">
        <v>77</v>
      </c>
      <c r="B6" s="39">
        <v>999.99999999999943</v>
      </c>
      <c r="C6" s="40">
        <v>999.99999999999909</v>
      </c>
      <c r="D6" s="39">
        <v>996.56968369843094</v>
      </c>
      <c r="E6" s="40">
        <v>1044.5235016498868</v>
      </c>
      <c r="F6" s="39">
        <v>993.05149455507535</v>
      </c>
      <c r="G6" s="40">
        <v>1094.7866405782913</v>
      </c>
      <c r="H6" s="39">
        <v>989.41419225764082</v>
      </c>
      <c r="I6" s="40">
        <v>1151.9711024594201</v>
      </c>
      <c r="J6" s="39">
        <v>985.62846869526345</v>
      </c>
      <c r="K6" s="40">
        <v>1217.6477625091329</v>
      </c>
      <c r="L6" s="39">
        <v>981.67015929844308</v>
      </c>
      <c r="M6" s="40">
        <v>1293.9778915759657</v>
      </c>
      <c r="N6" s="39">
        <v>977.52570901279637</v>
      </c>
      <c r="O6" s="40">
        <v>1384.0582076493338</v>
      </c>
      <c r="P6" s="39">
        <v>973.20156650965862</v>
      </c>
      <c r="Q6" s="40">
        <v>1492.54067003364</v>
      </c>
      <c r="R6" s="39">
        <v>968.74123696381253</v>
      </c>
      <c r="S6" s="40">
        <v>1626.8101672044306</v>
      </c>
      <c r="T6" s="39">
        <v>964.2575969745011</v>
      </c>
      <c r="U6" s="40">
        <v>1799.3748394281499</v>
      </c>
      <c r="V6" s="39">
        <v>959.9958655892292</v>
      </c>
      <c r="W6" s="40">
        <v>2033.0739753940438</v>
      </c>
      <c r="X6" s="39">
        <v>956.44832697302866</v>
      </c>
      <c r="Y6" s="40">
        <v>2373.113856699159</v>
      </c>
      <c r="Z6" s="39">
        <v>954.47886268255206</v>
      </c>
      <c r="AA6" s="40">
        <v>2914.746212858689</v>
      </c>
      <c r="AB6" s="39"/>
      <c r="AC6" s="40"/>
      <c r="AD6" s="39"/>
      <c r="AE6" s="40"/>
      <c r="AF6" s="39"/>
      <c r="AG6" s="40"/>
      <c r="AH6" s="39"/>
      <c r="AI6" s="40"/>
      <c r="AJ6" s="39"/>
      <c r="AK6" s="40"/>
      <c r="AL6" s="39"/>
      <c r="AM6" s="40"/>
      <c r="AN6" s="39"/>
      <c r="AO6" s="40"/>
      <c r="AP6" s="39"/>
      <c r="AQ6" s="40"/>
      <c r="AR6" s="39"/>
      <c r="AS6" s="40"/>
      <c r="AT6" s="39"/>
      <c r="AU6" s="40"/>
      <c r="AV6" s="39"/>
      <c r="AW6" s="40"/>
      <c r="AX6">
        <v>999.99999999999943</v>
      </c>
      <c r="AY6">
        <v>999.99999999999909</v>
      </c>
    </row>
    <row r="7" spans="1:51" x14ac:dyDescent="0.2">
      <c r="A7" t="s">
        <v>13</v>
      </c>
      <c r="B7" s="31">
        <v>1015.9116825427475</v>
      </c>
      <c r="C7" s="32">
        <v>1015.9116825427475</v>
      </c>
      <c r="D7" s="31">
        <v>1012.6736143921042</v>
      </c>
      <c r="E7" s="32">
        <v>1012.6736143921042</v>
      </c>
      <c r="F7" s="31">
        <v>1009.3509576250552</v>
      </c>
      <c r="G7" s="32">
        <v>1009.3509576250552</v>
      </c>
      <c r="H7" s="31">
        <v>1005.9140598766746</v>
      </c>
      <c r="I7" s="32">
        <v>1005.9140598766746</v>
      </c>
      <c r="J7" s="31">
        <v>1002.3350297494534</v>
      </c>
      <c r="K7" s="32">
        <v>1002.3350297494534</v>
      </c>
      <c r="L7" s="31">
        <v>998.5907748541963</v>
      </c>
      <c r="M7" s="32">
        <v>998.5907748541963</v>
      </c>
      <c r="N7" s="31">
        <v>994.66818435533185</v>
      </c>
      <c r="O7" s="32">
        <v>994.66818435533185</v>
      </c>
      <c r="P7" s="31">
        <v>990.57305346687633</v>
      </c>
      <c r="Q7" s="32">
        <v>990.57305346687633</v>
      </c>
      <c r="R7" s="31">
        <v>986.34630562848645</v>
      </c>
      <c r="S7" s="32">
        <v>986.34630562848645</v>
      </c>
      <c r="T7" s="31">
        <v>982.09476105879639</v>
      </c>
      <c r="U7" s="32">
        <v>982.09476105879639</v>
      </c>
      <c r="V7" s="31">
        <v>978.05111968028109</v>
      </c>
      <c r="W7" s="32">
        <v>978.05111968028109</v>
      </c>
      <c r="X7" s="31">
        <v>974.68324939509534</v>
      </c>
      <c r="Y7" s="32">
        <v>974.68324939509534</v>
      </c>
      <c r="Z7" s="31">
        <v>972.81279509295052</v>
      </c>
      <c r="AA7" s="32">
        <v>972.81279509295052</v>
      </c>
      <c r="AB7" s="31"/>
      <c r="AC7" s="32"/>
      <c r="AD7" s="31"/>
      <c r="AE7" s="32"/>
      <c r="AF7" s="31"/>
      <c r="AG7" s="32"/>
      <c r="AH7" s="31"/>
      <c r="AI7" s="32"/>
      <c r="AJ7" s="31"/>
      <c r="AK7" s="32"/>
      <c r="AL7" s="31"/>
      <c r="AM7" s="32"/>
      <c r="AN7" s="31"/>
      <c r="AO7" s="32"/>
      <c r="AP7" s="31"/>
      <c r="AQ7" s="32"/>
      <c r="AR7" s="31"/>
      <c r="AS7" s="32"/>
      <c r="AT7" s="31"/>
      <c r="AU7" s="32"/>
      <c r="AV7" s="31"/>
      <c r="AW7" s="32"/>
      <c r="AX7">
        <v>1015.9116825427475</v>
      </c>
      <c r="AY7">
        <v>1015.9116825427475</v>
      </c>
    </row>
    <row r="8" spans="1:51" x14ac:dyDescent="0.2">
      <c r="B8" s="33">
        <v>1005.7716594496609</v>
      </c>
      <c r="C8" s="34">
        <v>1005.7716594496609</v>
      </c>
      <c r="D8" s="33">
        <v>1110.87887363</v>
      </c>
      <c r="E8" s="34">
        <v>1110.87887363</v>
      </c>
      <c r="F8" s="33">
        <v>1232.9604596699544</v>
      </c>
      <c r="G8" s="34">
        <v>1232.9604596699544</v>
      </c>
      <c r="H8" s="33">
        <v>1375.8472450652937</v>
      </c>
      <c r="I8" s="34">
        <v>1375.8472450652937</v>
      </c>
      <c r="J8" s="33">
        <v>1544.6342237884439</v>
      </c>
      <c r="K8" s="34">
        <v>1544.6342237884439</v>
      </c>
      <c r="L8" s="33">
        <v>1746.3198180658358</v>
      </c>
      <c r="M8" s="34">
        <v>1746.3198180658358</v>
      </c>
      <c r="N8" s="33">
        <v>1990.9000081006607</v>
      </c>
      <c r="O8" s="34">
        <v>1990.9000081006607</v>
      </c>
      <c r="P8" s="33">
        <v>2293.3426658029152</v>
      </c>
      <c r="Q8" s="34">
        <v>2293.3426658029152</v>
      </c>
      <c r="R8" s="33">
        <v>2677.3554795693017</v>
      </c>
      <c r="S8" s="34">
        <v>2677.3554795693017</v>
      </c>
      <c r="T8" s="33">
        <v>3183.0928657128347</v>
      </c>
      <c r="U8" s="34">
        <v>3183.0928657128347</v>
      </c>
      <c r="V8" s="33">
        <v>3884.1209173060088</v>
      </c>
      <c r="W8" s="34">
        <v>3884.1209173060088</v>
      </c>
      <c r="X8" s="33">
        <v>4927.2212909960226</v>
      </c>
      <c r="Y8" s="34">
        <v>4927.2212909960226</v>
      </c>
      <c r="Z8" s="33">
        <v>6625.608993365533</v>
      </c>
      <c r="AA8" s="34">
        <v>6625.608993365533</v>
      </c>
      <c r="AB8" s="33"/>
      <c r="AC8" s="34"/>
      <c r="AD8" s="33"/>
      <c r="AE8" s="34"/>
      <c r="AF8" s="33"/>
      <c r="AG8" s="34"/>
      <c r="AH8" s="33"/>
      <c r="AI8" s="34"/>
      <c r="AJ8" s="33"/>
      <c r="AK8" s="34"/>
      <c r="AL8" s="33"/>
      <c r="AM8" s="34"/>
      <c r="AN8" s="33"/>
      <c r="AO8" s="34"/>
      <c r="AP8" s="33"/>
      <c r="AQ8" s="34"/>
      <c r="AR8" s="33"/>
      <c r="AS8" s="34"/>
      <c r="AT8" s="33"/>
      <c r="AU8" s="34"/>
      <c r="AV8" s="33"/>
      <c r="AW8" s="34"/>
      <c r="AX8">
        <v>1005.7716594496609</v>
      </c>
      <c r="AY8">
        <v>1005.7716594496609</v>
      </c>
    </row>
    <row r="9" spans="1:51" x14ac:dyDescent="0.2">
      <c r="A9" t="s">
        <v>14</v>
      </c>
      <c r="B9" s="39">
        <v>1015.9116825427475</v>
      </c>
      <c r="C9" s="40">
        <v>1005.7716594496609</v>
      </c>
      <c r="D9" s="39">
        <v>1012.6736143921042</v>
      </c>
      <c r="E9" s="40">
        <v>1110.87887363</v>
      </c>
      <c r="F9" s="39">
        <v>1009.3509576250552</v>
      </c>
      <c r="G9" s="40">
        <v>1232.9604596699544</v>
      </c>
      <c r="H9" s="39">
        <v>1005.9140598766746</v>
      </c>
      <c r="I9" s="40">
        <v>1375.8472450652937</v>
      </c>
      <c r="J9" s="39">
        <v>1002.3350297494534</v>
      </c>
      <c r="K9" s="40">
        <v>1544.6342237884439</v>
      </c>
      <c r="L9" s="39">
        <v>998.5907748541963</v>
      </c>
      <c r="M9" s="40">
        <v>1746.3198180658358</v>
      </c>
      <c r="N9" s="39">
        <v>994.66818435533185</v>
      </c>
      <c r="O9" s="40">
        <v>1990.9000081006607</v>
      </c>
      <c r="P9" s="39">
        <v>990.57305346687633</v>
      </c>
      <c r="Q9" s="40">
        <v>2293.3426658029152</v>
      </c>
      <c r="R9" s="39">
        <v>986.34630562848645</v>
      </c>
      <c r="S9" s="40">
        <v>2677.3554795693017</v>
      </c>
      <c r="T9" s="39">
        <v>982.09476105879639</v>
      </c>
      <c r="U9" s="40">
        <v>3183.0928657128347</v>
      </c>
      <c r="V9" s="39">
        <v>978.05111968028109</v>
      </c>
      <c r="W9" s="40">
        <v>3884.1209173060088</v>
      </c>
      <c r="X9" s="39">
        <v>974.68324939509534</v>
      </c>
      <c r="Y9" s="40">
        <v>4927.2212909960226</v>
      </c>
      <c r="Z9" s="39">
        <v>972.81279509295052</v>
      </c>
      <c r="AA9" s="40">
        <v>6625.608993365533</v>
      </c>
      <c r="AB9" s="39"/>
      <c r="AC9" s="40"/>
      <c r="AD9" s="39"/>
      <c r="AE9" s="40"/>
      <c r="AF9" s="39"/>
      <c r="AG9" s="40"/>
      <c r="AH9" s="39"/>
      <c r="AI9" s="40"/>
      <c r="AJ9" s="39"/>
      <c r="AK9" s="40"/>
      <c r="AL9" s="39"/>
      <c r="AM9" s="40"/>
      <c r="AN9" s="39"/>
      <c r="AO9" s="40"/>
      <c r="AP9" s="39"/>
      <c r="AQ9" s="40"/>
      <c r="AR9" s="39"/>
      <c r="AS9" s="40"/>
      <c r="AT9" s="39"/>
      <c r="AU9" s="40"/>
      <c r="AV9" s="39"/>
      <c r="AW9" s="40"/>
      <c r="AX9">
        <v>1015.9116825427475</v>
      </c>
      <c r="AY9">
        <v>1005.7716594496609</v>
      </c>
    </row>
    <row r="10" spans="1:51" x14ac:dyDescent="0.2">
      <c r="A10" t="s">
        <v>15</v>
      </c>
      <c r="B10" s="39">
        <v>1015.9116825427475</v>
      </c>
      <c r="C10" s="40">
        <v>1005.7716594496609</v>
      </c>
      <c r="D10" s="39">
        <v>1012.6736143921042</v>
      </c>
      <c r="E10" s="40">
        <v>1110.87887363</v>
      </c>
      <c r="F10" s="39">
        <v>1009.3509576250552</v>
      </c>
      <c r="G10" s="40">
        <v>1232.9604596699544</v>
      </c>
      <c r="H10" s="39">
        <v>1005.9140598766746</v>
      </c>
      <c r="I10" s="40">
        <v>1375.8472450652937</v>
      </c>
      <c r="J10" s="39">
        <v>1002.3350297494534</v>
      </c>
      <c r="K10" s="40">
        <v>1544.6342237884439</v>
      </c>
      <c r="L10" s="39">
        <v>998.5907748541963</v>
      </c>
      <c r="M10" s="40">
        <v>1746.3198180658358</v>
      </c>
      <c r="N10" s="39">
        <v>994.66818435533185</v>
      </c>
      <c r="O10" s="40">
        <v>1990.9000081006607</v>
      </c>
      <c r="P10" s="39">
        <v>990.57305346687633</v>
      </c>
      <c r="Q10" s="40">
        <v>2293.3426658029152</v>
      </c>
      <c r="R10" s="39">
        <v>986.34630562848645</v>
      </c>
      <c r="S10" s="40">
        <v>2677.3554795693017</v>
      </c>
      <c r="T10" s="39">
        <v>982.09476105879639</v>
      </c>
      <c r="U10" s="40">
        <v>3183.0928657128347</v>
      </c>
      <c r="V10" s="39">
        <v>978.05111968028109</v>
      </c>
      <c r="W10" s="40">
        <v>3884.1209173060088</v>
      </c>
      <c r="X10" s="39">
        <v>974.68324939509534</v>
      </c>
      <c r="Y10" s="40">
        <v>4927.2212909960226</v>
      </c>
      <c r="Z10" s="39">
        <v>972.81279509295052</v>
      </c>
      <c r="AA10" s="40">
        <v>6625.608993365533</v>
      </c>
      <c r="AB10" s="39"/>
      <c r="AC10" s="40"/>
      <c r="AD10" s="39"/>
      <c r="AE10" s="40"/>
      <c r="AF10" s="39"/>
      <c r="AG10" s="40"/>
      <c r="AH10" s="39"/>
      <c r="AI10" s="40"/>
      <c r="AJ10" s="39"/>
      <c r="AK10" s="40"/>
      <c r="AL10" s="39"/>
      <c r="AM10" s="40"/>
      <c r="AN10" s="39"/>
      <c r="AO10" s="40"/>
      <c r="AP10" s="39"/>
      <c r="AQ10" s="40"/>
      <c r="AR10" s="39"/>
      <c r="AS10" s="40"/>
      <c r="AT10" s="39"/>
      <c r="AU10" s="40"/>
      <c r="AV10" s="39"/>
      <c r="AW10" s="40"/>
      <c r="AX10">
        <v>1015.9116825427475</v>
      </c>
      <c r="AY10">
        <v>1005.7716594496609</v>
      </c>
    </row>
    <row r="11" spans="1:51" x14ac:dyDescent="0.2">
      <c r="A11" t="s">
        <v>29</v>
      </c>
      <c r="B11" s="39">
        <v>1015.9116825427475</v>
      </c>
      <c r="C11" s="40">
        <v>1005.7716594496609</v>
      </c>
      <c r="D11" s="39">
        <v>1012.6736143921042</v>
      </c>
      <c r="E11" s="40">
        <v>1110.87887363</v>
      </c>
      <c r="F11" s="39">
        <v>1009.3509576250552</v>
      </c>
      <c r="G11" s="40">
        <v>1232.9604596699544</v>
      </c>
      <c r="H11" s="39">
        <v>1005.9140598766746</v>
      </c>
      <c r="I11" s="40">
        <v>1375.8472450652937</v>
      </c>
      <c r="J11" s="39">
        <v>1002.3350297494534</v>
      </c>
      <c r="K11" s="40">
        <v>1544.6342237884439</v>
      </c>
      <c r="L11" s="39">
        <v>998.5907748541963</v>
      </c>
      <c r="M11" s="40">
        <v>1746.3198180658358</v>
      </c>
      <c r="N11" s="39">
        <v>994.66818435533185</v>
      </c>
      <c r="O11" s="40">
        <v>1990.9000081006607</v>
      </c>
      <c r="P11" s="39">
        <v>990.57305346687633</v>
      </c>
      <c r="Q11" s="40">
        <v>2293.3426658029152</v>
      </c>
      <c r="R11" s="39">
        <v>986.34630562848645</v>
      </c>
      <c r="S11" s="40">
        <v>2677.3554795693017</v>
      </c>
      <c r="T11" s="39">
        <v>982.09476105879639</v>
      </c>
      <c r="U11" s="40">
        <v>3183.0928657128347</v>
      </c>
      <c r="V11" s="39">
        <v>978.05111968028109</v>
      </c>
      <c r="W11" s="40">
        <v>3884.1209173060088</v>
      </c>
      <c r="X11" s="39">
        <v>974.68324939509534</v>
      </c>
      <c r="Y11" s="40">
        <v>4927.2212909960226</v>
      </c>
      <c r="Z11" s="39">
        <v>972.81279509295052</v>
      </c>
      <c r="AA11" s="40">
        <v>6625.608993365533</v>
      </c>
      <c r="AB11" s="39"/>
      <c r="AC11" s="40"/>
      <c r="AD11" s="39"/>
      <c r="AE11" s="40"/>
      <c r="AF11" s="39"/>
      <c r="AG11" s="40"/>
      <c r="AH11" s="39"/>
      <c r="AI11" s="40"/>
      <c r="AJ11" s="39"/>
      <c r="AK11" s="40"/>
      <c r="AL11" s="39"/>
      <c r="AM11" s="40"/>
      <c r="AN11" s="39"/>
      <c r="AO11" s="40"/>
      <c r="AP11" s="39"/>
      <c r="AQ11" s="40"/>
      <c r="AR11" s="39"/>
      <c r="AS11" s="40"/>
      <c r="AT11" s="39"/>
      <c r="AU11" s="40"/>
      <c r="AV11" s="39"/>
      <c r="AW11" s="40"/>
      <c r="AX11">
        <v>1015.9116825427475</v>
      </c>
      <c r="AY11">
        <v>1005.7716594496609</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c r="AC12" s="40"/>
      <c r="AD12" s="39"/>
      <c r="AE12" s="40"/>
      <c r="AF12" s="39"/>
      <c r="AG12" s="40"/>
      <c r="AH12" s="39"/>
      <c r="AI12" s="40"/>
      <c r="AJ12" s="39"/>
      <c r="AK12" s="40"/>
      <c r="AL12" s="39"/>
      <c r="AM12" s="40"/>
      <c r="AN12" s="39"/>
      <c r="AO12" s="40"/>
      <c r="AP12" s="39"/>
      <c r="AQ12" s="40"/>
      <c r="AR12" s="39"/>
      <c r="AS12" s="40"/>
      <c r="AT12" s="39"/>
      <c r="AU12" s="40"/>
      <c r="AV12" s="39"/>
      <c r="AW12" s="40"/>
      <c r="AX12">
        <v>1000</v>
      </c>
      <c r="AY12">
        <v>1000</v>
      </c>
    </row>
    <row r="13" spans="1:51" x14ac:dyDescent="0.2">
      <c r="A13" t="s">
        <v>17</v>
      </c>
      <c r="B13" s="93">
        <v>1000</v>
      </c>
      <c r="C13" s="94">
        <v>1000</v>
      </c>
      <c r="D13" s="93">
        <v>947.13619481080161</v>
      </c>
      <c r="E13" s="94">
        <v>947.13619481080161</v>
      </c>
      <c r="F13" s="93">
        <v>892.29330071359993</v>
      </c>
      <c r="G13" s="94">
        <v>892.29330071359993</v>
      </c>
      <c r="H13" s="93">
        <v>835.13237752197983</v>
      </c>
      <c r="I13" s="94">
        <v>835.13237752197983</v>
      </c>
      <c r="J13" s="93">
        <v>775.2353141499334</v>
      </c>
      <c r="K13" s="94">
        <v>775.2353141499334</v>
      </c>
      <c r="L13" s="93">
        <v>712.05582702243873</v>
      </c>
      <c r="M13" s="94">
        <v>712.05582702243873</v>
      </c>
      <c r="N13" s="93">
        <v>644.83908219867567</v>
      </c>
      <c r="O13" s="94">
        <v>644.83908219867567</v>
      </c>
      <c r="P13" s="93">
        <v>572.48792401116361</v>
      </c>
      <c r="Q13" s="94">
        <v>572.48792401116361</v>
      </c>
      <c r="R13" s="93">
        <v>493.3463244325049</v>
      </c>
      <c r="S13" s="94">
        <v>493.3463244325049</v>
      </c>
      <c r="T13" s="93">
        <v>404.86648267193738</v>
      </c>
      <c r="U13" s="94">
        <v>404.86648267193738</v>
      </c>
      <c r="V13" s="93">
        <v>303.23948266665627</v>
      </c>
      <c r="W13" s="94">
        <v>303.23948266665627</v>
      </c>
      <c r="X13" s="93">
        <v>183.95914300739861</v>
      </c>
      <c r="Y13" s="94">
        <v>183.95914300739861</v>
      </c>
      <c r="Z13" s="93">
        <v>50.725653198547136</v>
      </c>
      <c r="AA13" s="94">
        <v>50.725653198547136</v>
      </c>
      <c r="AB13" s="93"/>
      <c r="AC13" s="94"/>
      <c r="AD13" s="93"/>
      <c r="AE13" s="94"/>
      <c r="AF13" s="93"/>
      <c r="AG13" s="94"/>
      <c r="AH13" s="93"/>
      <c r="AI13" s="94"/>
      <c r="AJ13" s="93"/>
      <c r="AK13" s="94"/>
      <c r="AL13" s="93"/>
      <c r="AM13" s="94"/>
      <c r="AN13" s="93"/>
      <c r="AO13" s="94"/>
      <c r="AP13" s="93"/>
      <c r="AQ13" s="94"/>
      <c r="AR13" s="93"/>
      <c r="AS13" s="94"/>
      <c r="AT13" s="93"/>
      <c r="AU13" s="94"/>
      <c r="AV13" s="93"/>
      <c r="AW13" s="94"/>
      <c r="AX13">
        <v>1000</v>
      </c>
      <c r="AY13">
        <v>1000</v>
      </c>
    </row>
    <row r="14" spans="1:51" x14ac:dyDescent="0.2">
      <c r="A14" t="s">
        <v>36</v>
      </c>
      <c r="B14" s="39">
        <v>1457.0034251455234</v>
      </c>
      <c r="C14" s="40">
        <v>1457.0034251455236</v>
      </c>
      <c r="D14" s="39">
        <v>1379.9806799186356</v>
      </c>
      <c r="E14" s="40">
        <v>1379.9806799186358</v>
      </c>
      <c r="F14" s="39">
        <v>1300.0743953741196</v>
      </c>
      <c r="G14" s="40">
        <v>1300.0743953741196</v>
      </c>
      <c r="H14" s="39">
        <v>1216.7907344994489</v>
      </c>
      <c r="I14" s="40">
        <v>1216.7907344994489</v>
      </c>
      <c r="J14" s="39">
        <v>1129.5205080102187</v>
      </c>
      <c r="K14" s="40">
        <v>1129.5205080102189</v>
      </c>
      <c r="L14" s="39">
        <v>1037.4677788665215</v>
      </c>
      <c r="M14" s="40">
        <v>1037.4677788665217</v>
      </c>
      <c r="N14" s="39">
        <v>939.53275143116605</v>
      </c>
      <c r="O14" s="40">
        <v>939.53275143116628</v>
      </c>
      <c r="P14" s="39">
        <v>834.11686613871541</v>
      </c>
      <c r="Q14" s="40">
        <v>834.11686613871552</v>
      </c>
      <c r="R14" s="39">
        <v>718.80728448111415</v>
      </c>
      <c r="S14" s="40">
        <v>718.80728448111427</v>
      </c>
      <c r="T14" s="39">
        <v>589.89185197963343</v>
      </c>
      <c r="U14" s="40">
        <v>589.89185197963354</v>
      </c>
      <c r="V14" s="39">
        <v>441.82096488467471</v>
      </c>
      <c r="W14" s="40">
        <v>441.82096488467477</v>
      </c>
      <c r="X14" s="39">
        <v>268.02910144861494</v>
      </c>
      <c r="Y14" s="40">
        <v>268.02910144861494</v>
      </c>
      <c r="Z14" s="39">
        <v>73.907450453027138</v>
      </c>
      <c r="AA14" s="40">
        <v>73.907450453027153</v>
      </c>
      <c r="AB14" s="39"/>
      <c r="AC14" s="40"/>
      <c r="AD14" s="39"/>
      <c r="AE14" s="40"/>
      <c r="AF14" s="39"/>
      <c r="AG14" s="40"/>
      <c r="AH14" s="39"/>
      <c r="AI14" s="40"/>
      <c r="AJ14" s="39"/>
      <c r="AK14" s="40"/>
      <c r="AL14" s="39"/>
      <c r="AM14" s="40"/>
      <c r="AN14" s="39"/>
      <c r="AO14" s="40"/>
      <c r="AP14" s="39"/>
      <c r="AQ14" s="40"/>
      <c r="AR14" s="39"/>
      <c r="AS14" s="40"/>
      <c r="AT14" s="39"/>
      <c r="AU14" s="40"/>
      <c r="AV14" s="39"/>
      <c r="AW14" s="40"/>
      <c r="AX14">
        <v>1457.0034251455234</v>
      </c>
      <c r="AY14">
        <v>1457.0034251455236</v>
      </c>
    </row>
    <row r="15" spans="1:51" x14ac:dyDescent="0.2">
      <c r="A15" t="s">
        <v>18</v>
      </c>
      <c r="B15" s="144">
        <v>1000</v>
      </c>
      <c r="C15" s="145">
        <v>1000</v>
      </c>
      <c r="D15" s="144">
        <v>1045.1891430894984</v>
      </c>
      <c r="E15" s="145">
        <v>1045.1891430894984</v>
      </c>
      <c r="F15" s="144">
        <v>1093.2775344787274</v>
      </c>
      <c r="G15" s="145">
        <v>1093.2775344787274</v>
      </c>
      <c r="H15" s="144">
        <v>1144.7728643440685</v>
      </c>
      <c r="I15" s="145">
        <v>1144.7728643440685</v>
      </c>
      <c r="J15" s="144">
        <v>1200.3510800430956</v>
      </c>
      <c r="K15" s="145">
        <v>1200.3510800430956</v>
      </c>
      <c r="L15" s="144">
        <v>1260.9593864025458</v>
      </c>
      <c r="M15" s="145">
        <v>1260.9593864025458</v>
      </c>
      <c r="N15" s="144">
        <v>1327.9971162003869</v>
      </c>
      <c r="O15" s="145">
        <v>1327.9971162003869</v>
      </c>
      <c r="P15" s="144">
        <v>1403.6454512653106</v>
      </c>
      <c r="Q15" s="145">
        <v>1403.6454512653106</v>
      </c>
      <c r="R15" s="144">
        <v>1491.4920406418744</v>
      </c>
      <c r="S15" s="145">
        <v>1491.4920406418744</v>
      </c>
      <c r="T15" s="144">
        <v>1597.7795220997973</v>
      </c>
      <c r="U15" s="145">
        <v>1597.7795220997973</v>
      </c>
      <c r="V15" s="144">
        <v>1734.025671967001</v>
      </c>
      <c r="W15" s="145">
        <v>1734.025671967001</v>
      </c>
      <c r="X15" s="144">
        <v>1922.6017517081059</v>
      </c>
      <c r="Y15" s="145">
        <v>1922.6017517081059</v>
      </c>
      <c r="Z15" s="144">
        <v>2207.1694187750709</v>
      </c>
      <c r="AA15" s="145">
        <v>2207.1694187750709</v>
      </c>
      <c r="AB15" s="144"/>
      <c r="AC15" s="145"/>
      <c r="AD15" s="144"/>
      <c r="AE15" s="145"/>
      <c r="AF15" s="144"/>
      <c r="AG15" s="145"/>
      <c r="AH15" s="144"/>
      <c r="AI15" s="145"/>
      <c r="AJ15" s="144"/>
      <c r="AK15" s="145"/>
      <c r="AL15" s="144"/>
      <c r="AM15" s="145"/>
      <c r="AN15" s="144"/>
      <c r="AO15" s="145"/>
      <c r="AP15" s="144"/>
      <c r="AQ15" s="145"/>
      <c r="AR15" s="144"/>
      <c r="AS15" s="145"/>
      <c r="AT15" s="144"/>
      <c r="AU15" s="145"/>
      <c r="AV15" s="144"/>
      <c r="AW15" s="145"/>
      <c r="AX15">
        <v>1000</v>
      </c>
      <c r="AY15">
        <v>1000</v>
      </c>
    </row>
    <row r="16" spans="1:51" s="27" customFormat="1" x14ac:dyDescent="0.2">
      <c r="A16" t="s">
        <v>61</v>
      </c>
      <c r="B16" s="39">
        <v>1000</v>
      </c>
      <c r="C16" s="40">
        <v>1000</v>
      </c>
      <c r="D16" s="39">
        <v>992.55078352807334</v>
      </c>
      <c r="E16" s="40">
        <v>1017.0553000847908</v>
      </c>
      <c r="F16" s="39">
        <v>984.59726131821265</v>
      </c>
      <c r="G16" s="40">
        <v>1035.293958168033</v>
      </c>
      <c r="H16" s="39">
        <v>976.04443470471506</v>
      </c>
      <c r="I16" s="40">
        <v>1054.9274134160798</v>
      </c>
      <c r="J16" s="39">
        <v>966.78006093024374</v>
      </c>
      <c r="K16" s="40">
        <v>1076.2461186143785</v>
      </c>
      <c r="L16" s="39">
        <v>956.66768270823889</v>
      </c>
      <c r="M16" s="40">
        <v>1099.6694079232234</v>
      </c>
      <c r="N16" s="39">
        <v>945.53501882283376</v>
      </c>
      <c r="O16" s="40">
        <v>1125.8339703608044</v>
      </c>
      <c r="P16" s="39">
        <v>933.15353457358503</v>
      </c>
      <c r="Q16" s="40">
        <v>1155.7572617445799</v>
      </c>
      <c r="R16" s="39">
        <v>919.20147198279938</v>
      </c>
      <c r="S16" s="40">
        <v>1191.1531602389662</v>
      </c>
      <c r="T16" s="39">
        <v>903.19305916576229</v>
      </c>
      <c r="U16" s="40">
        <v>1235.0804882351379</v>
      </c>
      <c r="V16" s="39">
        <v>884.33614045959791</v>
      </c>
      <c r="W16" s="40">
        <v>1293.3652616215313</v>
      </c>
      <c r="X16" s="39">
        <v>861.23729816206037</v>
      </c>
      <c r="Y16" s="40">
        <v>1377.9020275644307</v>
      </c>
      <c r="Z16" s="39">
        <v>831.33793215779087</v>
      </c>
      <c r="AA16" s="40">
        <v>1514.6794867577073</v>
      </c>
      <c r="AB16" s="39"/>
      <c r="AC16" s="40"/>
      <c r="AD16" s="39"/>
      <c r="AE16" s="40"/>
      <c r="AF16" s="39"/>
      <c r="AG16" s="40"/>
      <c r="AH16" s="39"/>
      <c r="AI16" s="40"/>
      <c r="AJ16" s="39"/>
      <c r="AK16" s="40"/>
      <c r="AL16" s="39"/>
      <c r="AM16" s="40"/>
      <c r="AN16" s="39"/>
      <c r="AO16" s="40"/>
      <c r="AP16" s="39"/>
      <c r="AQ16" s="40"/>
      <c r="AR16" s="39"/>
      <c r="AS16" s="40"/>
      <c r="AT16" s="39"/>
      <c r="AU16" s="40"/>
      <c r="AV16" s="39"/>
      <c r="AW16" s="40"/>
      <c r="AX16" s="27">
        <v>1000</v>
      </c>
      <c r="AY16" s="27">
        <v>1000</v>
      </c>
    </row>
    <row r="17" spans="1:51" x14ac:dyDescent="0.2">
      <c r="A17" t="s">
        <v>62</v>
      </c>
      <c r="B17" s="33">
        <v>1000.0000000000002</v>
      </c>
      <c r="C17" s="34">
        <v>999.99999999999977</v>
      </c>
      <c r="D17" s="33">
        <v>997.10538416481097</v>
      </c>
      <c r="E17" s="34">
        <v>1063.3659225517404</v>
      </c>
      <c r="F17" s="33">
        <v>994.1429996313085</v>
      </c>
      <c r="G17" s="34">
        <v>1135.7145273313231</v>
      </c>
      <c r="H17" s="33">
        <v>991.08718077512083</v>
      </c>
      <c r="I17" s="34">
        <v>1218.9772976867982</v>
      </c>
      <c r="J17" s="33">
        <v>987.91415339139178</v>
      </c>
      <c r="K17" s="34">
        <v>1315.7204401522795</v>
      </c>
      <c r="L17" s="33">
        <v>984.60472258804157</v>
      </c>
      <c r="M17" s="34">
        <v>1429.4713129301817</v>
      </c>
      <c r="N17" s="33">
        <v>981.14880887959839</v>
      </c>
      <c r="O17" s="34">
        <v>1565.278588346654</v>
      </c>
      <c r="P17" s="33">
        <v>977.55314338917162</v>
      </c>
      <c r="Q17" s="34">
        <v>1730.7243427936623</v>
      </c>
      <c r="R17" s="33">
        <v>973.85515905371881</v>
      </c>
      <c r="S17" s="34">
        <v>1937.8551285905735</v>
      </c>
      <c r="T17" s="33">
        <v>970.14917968592624</v>
      </c>
      <c r="U17" s="34">
        <v>2207.1271379727514</v>
      </c>
      <c r="V17" s="33">
        <v>966.6372852532827</v>
      </c>
      <c r="W17" s="34">
        <v>2576.0697769501871</v>
      </c>
      <c r="X17" s="33">
        <v>963.72194676752247</v>
      </c>
      <c r="Y17" s="34">
        <v>3119.5369285825695</v>
      </c>
      <c r="Z17" s="33">
        <v>962.10663425561881</v>
      </c>
      <c r="AA17" s="34">
        <v>3997.1299042835108</v>
      </c>
      <c r="AB17" s="33"/>
      <c r="AC17" s="34"/>
      <c r="AD17" s="33"/>
      <c r="AE17" s="34"/>
      <c r="AF17" s="33"/>
      <c r="AG17" s="34"/>
      <c r="AH17" s="33"/>
      <c r="AI17" s="34"/>
      <c r="AJ17" s="33"/>
      <c r="AK17" s="34"/>
      <c r="AL17" s="33"/>
      <c r="AM17" s="34"/>
      <c r="AN17" s="33"/>
      <c r="AO17" s="34"/>
      <c r="AP17" s="33"/>
      <c r="AQ17" s="34"/>
      <c r="AR17" s="33"/>
      <c r="AS17" s="34"/>
      <c r="AT17" s="33"/>
      <c r="AU17" s="34"/>
      <c r="AV17" s="33"/>
      <c r="AW17" s="34"/>
      <c r="AX17">
        <v>1000.0000000000002</v>
      </c>
      <c r="AY17">
        <v>999.99999999999977</v>
      </c>
    </row>
    <row r="18" spans="1:51" x14ac:dyDescent="0.2">
      <c r="A18" t="s">
        <v>19</v>
      </c>
      <c r="B18" s="31">
        <v>27857.010133999996</v>
      </c>
      <c r="C18" s="32">
        <v>1236.7674480000003</v>
      </c>
      <c r="D18" s="31">
        <v>28335.727270404132</v>
      </c>
      <c r="E18" s="32">
        <v>1128.4977507482706</v>
      </c>
      <c r="F18" s="31">
        <v>28826.513862314081</v>
      </c>
      <c r="G18" s="32">
        <v>1020.0893363290847</v>
      </c>
      <c r="H18" s="31">
        <v>29331.938260489886</v>
      </c>
      <c r="I18" s="32">
        <v>911.52621052561415</v>
      </c>
      <c r="J18" s="31">
        <v>29855.196312575255</v>
      </c>
      <c r="K18" s="32">
        <v>802.88874748313901</v>
      </c>
      <c r="L18" s="31">
        <v>30400.50752673333</v>
      </c>
      <c r="M18" s="32">
        <v>694.40583517848324</v>
      </c>
      <c r="N18" s="31">
        <v>30973.781591079114</v>
      </c>
      <c r="O18" s="32">
        <v>586.52797960510725</v>
      </c>
      <c r="P18" s="31">
        <v>31583.822346046825</v>
      </c>
      <c r="Q18" s="32">
        <v>480.03788196557667</v>
      </c>
      <c r="R18" s="31">
        <v>32244.47003341094</v>
      </c>
      <c r="S18" s="32">
        <v>376.21734421559927</v>
      </c>
      <c r="T18" s="31">
        <v>32978.612579479632</v>
      </c>
      <c r="U18" s="32">
        <v>277.11521592890313</v>
      </c>
      <c r="V18" s="31">
        <v>33825.736162310386</v>
      </c>
      <c r="W18" s="32">
        <v>185.97120188505525</v>
      </c>
      <c r="X18" s="31">
        <v>34855.015261133783</v>
      </c>
      <c r="Y18" s="32">
        <v>107.77986142821902</v>
      </c>
      <c r="Z18" s="31">
        <v>36178.493076327686</v>
      </c>
      <c r="AA18" s="32">
        <v>49.323222587990571</v>
      </c>
      <c r="AB18" s="31"/>
      <c r="AC18" s="32"/>
      <c r="AD18" s="31"/>
      <c r="AE18" s="32"/>
      <c r="AF18" s="31"/>
      <c r="AG18" s="32"/>
      <c r="AH18" s="31"/>
      <c r="AI18" s="32"/>
      <c r="AJ18" s="31"/>
      <c r="AK18" s="32"/>
      <c r="AL18" s="31"/>
      <c r="AM18" s="32"/>
      <c r="AN18" s="31"/>
      <c r="AO18" s="32"/>
      <c r="AP18" s="31"/>
      <c r="AQ18" s="32"/>
      <c r="AR18" s="31"/>
      <c r="AS18" s="32"/>
      <c r="AT18" s="31"/>
      <c r="AU18" s="32"/>
      <c r="AV18" s="31"/>
      <c r="AW18" s="32"/>
      <c r="AX18">
        <v>27857.010133999996</v>
      </c>
      <c r="AY18">
        <v>1236.7674480000003</v>
      </c>
    </row>
    <row r="19" spans="1:51" x14ac:dyDescent="0.2">
      <c r="A19" t="s">
        <v>3</v>
      </c>
      <c r="B19" s="39">
        <v>1886.3937399999918</v>
      </c>
      <c r="C19" s="40">
        <v>262.78711299999759</v>
      </c>
      <c r="D19" s="39">
        <v>1904.160979608052</v>
      </c>
      <c r="E19" s="40">
        <v>287.15179521245051</v>
      </c>
      <c r="F19" s="39">
        <v>1921.9071272176109</v>
      </c>
      <c r="G19" s="40">
        <v>315.0546081598257</v>
      </c>
      <c r="H19" s="39">
        <v>1939.6330061963145</v>
      </c>
      <c r="I19" s="40">
        <v>346.9890121833871</v>
      </c>
      <c r="J19" s="39">
        <v>1957.3753101083203</v>
      </c>
      <c r="K19" s="40">
        <v>383.46191428524969</v>
      </c>
      <c r="L19" s="39">
        <v>1975.2447851262714</v>
      </c>
      <c r="M19" s="40">
        <v>424.95461421639078</v>
      </c>
      <c r="N19" s="39">
        <v>1993.4915736865275</v>
      </c>
      <c r="O19" s="40">
        <v>471.85223273216906</v>
      </c>
      <c r="P19" s="39">
        <v>2012.6223874378481</v>
      </c>
      <c r="Q19" s="40">
        <v>524.31378909751913</v>
      </c>
      <c r="R19" s="39">
        <v>2033.6122414535844</v>
      </c>
      <c r="S19" s="40">
        <v>582.02292439335463</v>
      </c>
      <c r="T19" s="39">
        <v>2058.3071783537816</v>
      </c>
      <c r="U19" s="40">
        <v>643.68436010094319</v>
      </c>
      <c r="V19" s="39">
        <v>2090.2058598001418</v>
      </c>
      <c r="W19" s="40">
        <v>705.96215135350394</v>
      </c>
      <c r="X19" s="39">
        <v>2135.8888224010034</v>
      </c>
      <c r="Y19" s="40">
        <v>761.27767237817102</v>
      </c>
      <c r="Z19" s="39">
        <v>2206.6929712850574</v>
      </c>
      <c r="AA19" s="40">
        <v>794.28084551925792</v>
      </c>
      <c r="AB19" s="39"/>
      <c r="AC19" s="40"/>
      <c r="AD19" s="39"/>
      <c r="AE19" s="40"/>
      <c r="AF19" s="39"/>
      <c r="AG19" s="40"/>
      <c r="AH19" s="39"/>
      <c r="AI19" s="40"/>
      <c r="AJ19" s="39"/>
      <c r="AK19" s="40"/>
      <c r="AL19" s="39"/>
      <c r="AM19" s="40"/>
      <c r="AN19" s="39"/>
      <c r="AO19" s="40"/>
      <c r="AP19" s="39"/>
      <c r="AQ19" s="40"/>
      <c r="AR19" s="39"/>
      <c r="AS19" s="40"/>
      <c r="AT19" s="39"/>
      <c r="AU19" s="40"/>
      <c r="AV19" s="39"/>
      <c r="AW19" s="40"/>
      <c r="AX19">
        <v>1886.3937399999918</v>
      </c>
      <c r="AY19">
        <v>262.78711299999759</v>
      </c>
    </row>
    <row r="20" spans="1:51" x14ac:dyDescent="0.2">
      <c r="A20" t="s">
        <v>114</v>
      </c>
      <c r="B20" s="79">
        <v>26548.356269999993</v>
      </c>
      <c r="C20" s="80">
        <v>1408.5418709999938</v>
      </c>
      <c r="D20" s="79">
        <v>26970.057483874487</v>
      </c>
      <c r="E20" s="80">
        <v>1338.1147774499941</v>
      </c>
      <c r="F20" s="79">
        <v>27400.923372405119</v>
      </c>
      <c r="G20" s="80">
        <v>1267.6876838999945</v>
      </c>
      <c r="H20" s="79">
        <v>27842.934683695574</v>
      </c>
      <c r="I20" s="80">
        <v>1197.2605903499946</v>
      </c>
      <c r="J20" s="79">
        <v>28298.635074364469</v>
      </c>
      <c r="K20" s="80">
        <v>1126.8334967999951</v>
      </c>
      <c r="L20" s="79">
        <v>28771.534438641607</v>
      </c>
      <c r="M20" s="80">
        <v>1056.4064032499953</v>
      </c>
      <c r="N20" s="79">
        <v>29266.793984355147</v>
      </c>
      <c r="O20" s="80">
        <v>985.97930969999561</v>
      </c>
      <c r="P20" s="79">
        <v>29792.467862567639</v>
      </c>
      <c r="Q20" s="80">
        <v>915.55221614999596</v>
      </c>
      <c r="R20" s="79">
        <v>30361.72921291149</v>
      </c>
      <c r="S20" s="80">
        <v>845.12512259999642</v>
      </c>
      <c r="T20" s="79">
        <v>30997.066830596887</v>
      </c>
      <c r="U20" s="80">
        <v>774.69802904999653</v>
      </c>
      <c r="V20" s="79">
        <v>31738.262763996088</v>
      </c>
      <c r="W20" s="80">
        <v>704.27093549999688</v>
      </c>
      <c r="X20" s="79">
        <v>32656.439906303898</v>
      </c>
      <c r="Y20" s="80">
        <v>633.84384194999734</v>
      </c>
      <c r="Z20" s="79">
        <v>33868.858774311338</v>
      </c>
      <c r="AA20" s="80">
        <v>563.41674839999757</v>
      </c>
      <c r="AB20" s="79"/>
      <c r="AC20" s="80"/>
      <c r="AD20" s="79"/>
      <c r="AE20" s="80"/>
      <c r="AF20" s="79"/>
      <c r="AG20" s="80"/>
      <c r="AH20" s="79"/>
      <c r="AI20" s="80"/>
      <c r="AJ20" s="79"/>
      <c r="AK20" s="80"/>
      <c r="AL20" s="79"/>
      <c r="AM20" s="80"/>
      <c r="AN20" s="79"/>
      <c r="AO20" s="80"/>
      <c r="AP20" s="79"/>
      <c r="AQ20" s="80"/>
      <c r="AR20" s="79"/>
      <c r="AS20" s="80"/>
      <c r="AT20" s="79"/>
      <c r="AU20" s="80"/>
      <c r="AV20" s="79"/>
      <c r="AW20" s="80"/>
      <c r="AX20">
        <v>26548.356269999993</v>
      </c>
      <c r="AY20">
        <v>1408.5418709999938</v>
      </c>
    </row>
    <row r="21" spans="1:51" x14ac:dyDescent="0.2">
      <c r="A21" t="s">
        <v>76</v>
      </c>
      <c r="B21" s="79">
        <v>24661.962529999968</v>
      </c>
      <c r="C21" s="80">
        <v>1145.7547579999991</v>
      </c>
      <c r="D21" s="79">
        <v>25065.917462112633</v>
      </c>
      <c r="E21" s="80">
        <v>1051.7833158375188</v>
      </c>
      <c r="F21" s="79">
        <v>25479.103655296007</v>
      </c>
      <c r="G21" s="80">
        <v>956.21485263964234</v>
      </c>
      <c r="H21" s="79">
        <v>25903.507930984168</v>
      </c>
      <c r="I21" s="80">
        <v>859.08668703580577</v>
      </c>
      <c r="J21" s="79">
        <v>26341.64634811306</v>
      </c>
      <c r="K21" s="80">
        <v>760.54189317018177</v>
      </c>
      <c r="L21" s="79">
        <v>26796.92938411226</v>
      </c>
      <c r="M21" s="80">
        <v>660.88018405570995</v>
      </c>
      <c r="N21" s="79">
        <v>27274.281269410178</v>
      </c>
      <c r="O21" s="80">
        <v>560.62982704044714</v>
      </c>
      <c r="P21" s="79">
        <v>27781.263113674948</v>
      </c>
      <c r="Q21" s="80">
        <v>460.65330269965591</v>
      </c>
      <c r="R21" s="79">
        <v>28330.083888967405</v>
      </c>
      <c r="S21" s="80">
        <v>362.3098860879789</v>
      </c>
      <c r="T21" s="79">
        <v>28941.386782110476</v>
      </c>
      <c r="U21" s="80">
        <v>267.7157912256215</v>
      </c>
      <c r="V21" s="79">
        <v>29651.428613215285</v>
      </c>
      <c r="W21" s="80">
        <v>180.15913955121255</v>
      </c>
      <c r="X21" s="79">
        <v>30524.664998784814</v>
      </c>
      <c r="Y21" s="80">
        <v>104.65413618775266</v>
      </c>
      <c r="Z21" s="79">
        <v>31666.82837432489</v>
      </c>
      <c r="AA21" s="80">
        <v>47.979830386493994</v>
      </c>
      <c r="AB21" s="79"/>
      <c r="AC21" s="80"/>
      <c r="AD21" s="79"/>
      <c r="AE21" s="80"/>
      <c r="AF21" s="79"/>
      <c r="AG21" s="80"/>
      <c r="AH21" s="79"/>
      <c r="AI21" s="80"/>
      <c r="AJ21" s="79"/>
      <c r="AK21" s="80"/>
      <c r="AL21" s="79"/>
      <c r="AM21" s="80"/>
      <c r="AN21" s="79"/>
      <c r="AO21" s="80"/>
      <c r="AP21" s="79"/>
      <c r="AQ21" s="80"/>
      <c r="AR21" s="79"/>
      <c r="AS21" s="80"/>
      <c r="AT21" s="79"/>
      <c r="AU21" s="80"/>
      <c r="AV21" s="79"/>
      <c r="AW21" s="80"/>
      <c r="AX21">
        <v>24661.962529999968</v>
      </c>
      <c r="AY21">
        <v>1145.7547579999991</v>
      </c>
    </row>
    <row r="22" spans="1:51" x14ac:dyDescent="0.2">
      <c r="A22" t="s">
        <v>28</v>
      </c>
      <c r="B22" s="39">
        <v>6533.6044688320644</v>
      </c>
      <c r="C22" s="40">
        <v>379.90788307663388</v>
      </c>
      <c r="D22" s="39">
        <v>6632.3200547164579</v>
      </c>
      <c r="E22" s="40">
        <v>373.95970560141836</v>
      </c>
      <c r="F22" s="39">
        <v>6730.8685731738933</v>
      </c>
      <c r="G22" s="40">
        <v>367.46630558318572</v>
      </c>
      <c r="H22" s="39">
        <v>6829.2551783334147</v>
      </c>
      <c r="I22" s="40">
        <v>360.40352997801261</v>
      </c>
      <c r="J22" s="39">
        <v>6927.4875086525508</v>
      </c>
      <c r="K22" s="40">
        <v>352.73651952982516</v>
      </c>
      <c r="L22" s="39">
        <v>7025.6175453501401</v>
      </c>
      <c r="M22" s="40">
        <v>344.4150588877352</v>
      </c>
      <c r="N22" s="39">
        <v>7123.8176229714436</v>
      </c>
      <c r="O22" s="40">
        <v>335.36668922816995</v>
      </c>
      <c r="P22" s="39">
        <v>7222.523686310733</v>
      </c>
      <c r="Q22" s="40">
        <v>325.48631980861023</v>
      </c>
      <c r="R22" s="39">
        <v>7322.6885156856388</v>
      </c>
      <c r="S22" s="40">
        <v>314.61981683055188</v>
      </c>
      <c r="T22" s="39">
        <v>7426.2371647920399</v>
      </c>
      <c r="U22" s="40">
        <v>302.53702903600015</v>
      </c>
      <c r="V22" s="39">
        <v>7536.824484441313</v>
      </c>
      <c r="W22" s="40">
        <v>288.88669674178055</v>
      </c>
      <c r="X22" s="39">
        <v>7660.6496452019828</v>
      </c>
      <c r="Y22" s="40">
        <v>273.1256755392173</v>
      </c>
      <c r="Z22" s="39">
        <v>7804.570569562703</v>
      </c>
      <c r="AA22" s="40">
        <v>254.45357136695046</v>
      </c>
      <c r="AB22" s="39"/>
      <c r="AC22" s="40"/>
      <c r="AD22" s="39"/>
      <c r="AE22" s="40"/>
      <c r="AF22" s="39"/>
      <c r="AG22" s="40"/>
      <c r="AH22" s="39"/>
      <c r="AI22" s="40"/>
      <c r="AJ22" s="39"/>
      <c r="AK22" s="40"/>
      <c r="AL22" s="39"/>
      <c r="AM22" s="40"/>
      <c r="AN22" s="39"/>
      <c r="AO22" s="40"/>
      <c r="AP22" s="39"/>
      <c r="AQ22" s="40"/>
      <c r="AR22" s="39"/>
      <c r="AS22" s="40"/>
      <c r="AT22" s="39"/>
      <c r="AU22" s="40"/>
      <c r="AV22" s="39"/>
      <c r="AW22" s="40"/>
      <c r="AX22">
        <v>6533.6044688320644</v>
      </c>
      <c r="AY22">
        <v>379.90788307663388</v>
      </c>
    </row>
    <row r="23" spans="1:51" x14ac:dyDescent="0.2">
      <c r="A23" t="s">
        <v>7</v>
      </c>
      <c r="B23" s="110">
        <v>3278.5018080150408</v>
      </c>
      <c r="C23" s="8">
        <v>0</v>
      </c>
      <c r="D23" s="110">
        <v>3341.5239735231353</v>
      </c>
      <c r="E23" s="8">
        <v>0</v>
      </c>
      <c r="F23" s="110">
        <v>3406.6210611475494</v>
      </c>
      <c r="G23" s="8">
        <v>0</v>
      </c>
      <c r="H23" s="110">
        <v>3474.2138263733268</v>
      </c>
      <c r="I23" s="8">
        <v>0</v>
      </c>
      <c r="J23" s="110">
        <v>3544.8477666008657</v>
      </c>
      <c r="K23" s="8">
        <v>0</v>
      </c>
      <c r="L23" s="110">
        <v>3619.2732855477871</v>
      </c>
      <c r="M23" s="8">
        <v>0</v>
      </c>
      <c r="N23" s="110">
        <v>3698.5835051907966</v>
      </c>
      <c r="O23" s="8">
        <v>0</v>
      </c>
      <c r="P23" s="110">
        <v>3784.464213212786</v>
      </c>
      <c r="Q23" s="8">
        <v>0</v>
      </c>
      <c r="R23" s="110">
        <v>3879.6532347698549</v>
      </c>
      <c r="S23" s="8">
        <v>0</v>
      </c>
      <c r="T23" s="110">
        <v>3988.8302513216495</v>
      </c>
      <c r="U23" s="8">
        <v>0</v>
      </c>
      <c r="V23" s="110">
        <v>4120.3924260833282</v>
      </c>
      <c r="W23" s="8">
        <v>0</v>
      </c>
      <c r="X23" s="110">
        <v>4289.9130269886</v>
      </c>
      <c r="Y23" s="8">
        <v>0</v>
      </c>
      <c r="Z23" s="110">
        <v>4525.3679937045254</v>
      </c>
      <c r="AA23" s="8">
        <v>0</v>
      </c>
      <c r="AB23" s="110"/>
      <c r="AC23" s="8"/>
      <c r="AD23" s="110"/>
      <c r="AE23" s="8"/>
      <c r="AF23" s="110"/>
      <c r="AG23" s="8"/>
      <c r="AH23" s="110"/>
      <c r="AI23" s="8"/>
      <c r="AJ23" s="110"/>
      <c r="AK23" s="8"/>
      <c r="AL23" s="110"/>
      <c r="AM23" s="8"/>
      <c r="AN23" s="110"/>
      <c r="AO23" s="8"/>
      <c r="AP23" s="110"/>
      <c r="AQ23" s="8"/>
      <c r="AR23" s="110"/>
      <c r="AS23" s="8"/>
      <c r="AT23" s="110"/>
      <c r="AU23" s="8"/>
      <c r="AV23" s="110"/>
      <c r="AW23" s="8"/>
      <c r="AX23">
        <v>3278.5018080150408</v>
      </c>
      <c r="AY23">
        <v>0</v>
      </c>
    </row>
    <row r="24" spans="1:51" x14ac:dyDescent="0.2">
      <c r="A24" t="s">
        <v>8</v>
      </c>
      <c r="B24" s="93">
        <v>3196.3846373657216</v>
      </c>
      <c r="C24" s="8">
        <v>0</v>
      </c>
      <c r="D24" s="93">
        <v>3257.8282724155101</v>
      </c>
      <c r="E24" s="8">
        <v>0</v>
      </c>
      <c r="F24" s="93">
        <v>3321.2948662207773</v>
      </c>
      <c r="G24" s="8">
        <v>0</v>
      </c>
      <c r="H24" s="93">
        <v>3387.1946242223562</v>
      </c>
      <c r="I24" s="8">
        <v>0</v>
      </c>
      <c r="J24" s="93">
        <v>3456.0593879376802</v>
      </c>
      <c r="K24" s="8">
        <v>0</v>
      </c>
      <c r="L24" s="93">
        <v>3528.620755061444</v>
      </c>
      <c r="M24" s="8">
        <v>0</v>
      </c>
      <c r="N24" s="93">
        <v>3605.9444765091976</v>
      </c>
      <c r="O24" s="8">
        <v>0</v>
      </c>
      <c r="P24" s="93">
        <v>3689.6741155553823</v>
      </c>
      <c r="Q24" s="8">
        <v>0</v>
      </c>
      <c r="R24" s="93">
        <v>3782.4789256999784</v>
      </c>
      <c r="S24" s="8">
        <v>0</v>
      </c>
      <c r="T24" s="93">
        <v>3888.9213667552381</v>
      </c>
      <c r="U24" s="8">
        <v>0</v>
      </c>
      <c r="V24" s="93">
        <v>4017.1882833254454</v>
      </c>
      <c r="W24" s="8">
        <v>0</v>
      </c>
      <c r="X24" s="93">
        <v>4182.462874107533</v>
      </c>
      <c r="Y24" s="8">
        <v>0</v>
      </c>
      <c r="Z24" s="93">
        <v>4412.0203619311442</v>
      </c>
      <c r="AA24" s="8">
        <v>0</v>
      </c>
      <c r="AB24" s="93"/>
      <c r="AC24" s="8"/>
      <c r="AD24" s="93"/>
      <c r="AE24" s="8"/>
      <c r="AF24" s="93"/>
      <c r="AG24" s="8"/>
      <c r="AH24" s="93"/>
      <c r="AI24" s="8"/>
      <c r="AJ24" s="93"/>
      <c r="AK24" s="8"/>
      <c r="AL24" s="93"/>
      <c r="AM24" s="8"/>
      <c r="AN24" s="93"/>
      <c r="AO24" s="8"/>
      <c r="AP24" s="93"/>
      <c r="AQ24" s="8"/>
      <c r="AR24" s="93"/>
      <c r="AS24" s="8"/>
      <c r="AT24" s="93"/>
      <c r="AU24" s="8"/>
      <c r="AV24" s="93"/>
      <c r="AW24" s="8"/>
      <c r="AX24">
        <v>3196.3846373657216</v>
      </c>
      <c r="AY24">
        <v>0</v>
      </c>
    </row>
    <row r="25" spans="1:51" x14ac:dyDescent="0.2">
      <c r="A25" t="s">
        <v>0</v>
      </c>
      <c r="B25" s="39">
        <v>3195.0476040000012</v>
      </c>
      <c r="C25" s="40">
        <v>91.012690000004397</v>
      </c>
      <c r="D25" s="39">
        <v>3269.7756979464411</v>
      </c>
      <c r="E25" s="40">
        <v>76.577308548908903</v>
      </c>
      <c r="F25" s="39">
        <v>3347.2666193515256</v>
      </c>
      <c r="G25" s="40">
        <v>63.373369712579674</v>
      </c>
      <c r="H25" s="39">
        <v>3428.0883790333301</v>
      </c>
      <c r="I25" s="40">
        <v>51.423794958753064</v>
      </c>
      <c r="J25" s="39">
        <v>3512.9028255910957</v>
      </c>
      <c r="K25" s="40">
        <v>40.746475876124592</v>
      </c>
      <c r="L25" s="39">
        <v>3602.4963732749175</v>
      </c>
      <c r="M25" s="40">
        <v>31.353019007470252</v>
      </c>
      <c r="N25" s="39">
        <v>3697.827415453577</v>
      </c>
      <c r="O25" s="40">
        <v>23.247584560894669</v>
      </c>
      <c r="P25" s="39">
        <v>3800.1093026318244</v>
      </c>
      <c r="Q25" s="40">
        <v>16.426014740726703</v>
      </c>
      <c r="R25" s="39">
        <v>3910.9475008197587</v>
      </c>
      <c r="S25" s="40">
        <v>10.874685316964095</v>
      </c>
      <c r="T25" s="39">
        <v>4032.5791339123798</v>
      </c>
      <c r="U25" s="40">
        <v>6.5681177619828839</v>
      </c>
      <c r="V25" s="39">
        <v>4168.277239330263</v>
      </c>
      <c r="W25" s="40">
        <v>3.4622642174931517</v>
      </c>
      <c r="X25" s="39">
        <v>4322.9238203898803</v>
      </c>
      <c r="Y25" s="40">
        <v>1.476146695615395</v>
      </c>
      <c r="Z25" s="39">
        <v>4503.2041672614205</v>
      </c>
      <c r="AA25" s="40">
        <v>0.44860850671453356</v>
      </c>
      <c r="AB25" s="39"/>
      <c r="AC25" s="40"/>
      <c r="AD25" s="39"/>
      <c r="AE25" s="40"/>
      <c r="AF25" s="39"/>
      <c r="AG25" s="40"/>
      <c r="AH25" s="39"/>
      <c r="AI25" s="40"/>
      <c r="AJ25" s="39"/>
      <c r="AK25" s="40"/>
      <c r="AL25" s="39"/>
      <c r="AM25" s="40"/>
      <c r="AN25" s="39"/>
      <c r="AO25" s="40"/>
      <c r="AP25" s="39"/>
      <c r="AQ25" s="40"/>
      <c r="AR25" s="39"/>
      <c r="AS25" s="40"/>
      <c r="AT25" s="39"/>
      <c r="AU25" s="40"/>
      <c r="AV25" s="39"/>
      <c r="AW25" s="40"/>
      <c r="AX25">
        <v>3195.0476040000012</v>
      </c>
      <c r="AY25">
        <v>91.012690000004397</v>
      </c>
    </row>
    <row r="26" spans="1:51" x14ac:dyDescent="0.2">
      <c r="A26" t="s">
        <v>27</v>
      </c>
      <c r="B26" s="31">
        <v>5036.2953101960647</v>
      </c>
      <c r="C26" s="32">
        <v>74.905331803938267</v>
      </c>
      <c r="D26" s="31">
        <v>5206.7207683527276</v>
      </c>
      <c r="E26" s="32">
        <v>69.346307584352331</v>
      </c>
      <c r="F26" s="31">
        <v>5392.6303151525826</v>
      </c>
      <c r="G26" s="32">
        <v>63.697719744912604</v>
      </c>
      <c r="H26" s="31">
        <v>5597.7772544472446</v>
      </c>
      <c r="I26" s="32">
        <v>57.943807750268057</v>
      </c>
      <c r="J26" s="31">
        <v>5827.3486700280273</v>
      </c>
      <c r="K26" s="32">
        <v>52.071354552742626</v>
      </c>
      <c r="L26" s="31">
        <v>6088.8564706356074</v>
      </c>
      <c r="M26" s="32">
        <v>46.072632043952964</v>
      </c>
      <c r="N26" s="31">
        <v>6393.8090042573549</v>
      </c>
      <c r="O26" s="32">
        <v>39.949921003784944</v>
      </c>
      <c r="P26" s="31">
        <v>6761.0909228689916</v>
      </c>
      <c r="Q26" s="32">
        <v>33.722771463275322</v>
      </c>
      <c r="R26" s="31">
        <v>7224.4696794019346</v>
      </c>
      <c r="S26" s="32">
        <v>27.439938491670027</v>
      </c>
      <c r="T26" s="31">
        <v>7851.6150061560338</v>
      </c>
      <c r="U26" s="32">
        <v>21.200294330482723</v>
      </c>
      <c r="V26" s="31">
        <v>8802.4537880596035</v>
      </c>
      <c r="W26" s="32">
        <v>15.191198570485309</v>
      </c>
      <c r="X26" s="31">
        <v>10575.996750681488</v>
      </c>
      <c r="Y26" s="32">
        <v>9.7613999893983028</v>
      </c>
      <c r="Z26" s="31">
        <v>16256.379021880337</v>
      </c>
      <c r="AA26" s="32">
        <v>5.6258054794381502</v>
      </c>
      <c r="AB26" s="31"/>
      <c r="AC26" s="32"/>
      <c r="AD26" s="31"/>
      <c r="AE26" s="32"/>
      <c r="AF26" s="31"/>
      <c r="AG26" s="32"/>
      <c r="AH26" s="31"/>
      <c r="AI26" s="32"/>
      <c r="AJ26" s="31"/>
      <c r="AK26" s="32"/>
      <c r="AL26" s="31"/>
      <c r="AM26" s="32"/>
      <c r="AN26" s="31"/>
      <c r="AO26" s="32"/>
      <c r="AP26" s="31"/>
      <c r="AQ26" s="32"/>
      <c r="AR26" s="31"/>
      <c r="AS26" s="32"/>
      <c r="AT26" s="31"/>
      <c r="AU26" s="32"/>
      <c r="AV26" s="31"/>
      <c r="AW26" s="32"/>
      <c r="AX26">
        <v>5036.2953101960647</v>
      </c>
      <c r="AY26">
        <v>74.905331803938267</v>
      </c>
    </row>
    <row r="27" spans="1:51" x14ac:dyDescent="0.2">
      <c r="A27" t="s">
        <v>2</v>
      </c>
      <c r="B27" s="33">
        <v>6425.1981590000414</v>
      </c>
      <c r="C27" s="34">
        <v>273.22915400000028</v>
      </c>
      <c r="D27" s="33">
        <v>6449.1859083732033</v>
      </c>
      <c r="E27" s="34">
        <v>249.24144343603112</v>
      </c>
      <c r="F27" s="33">
        <v>6473.0528507970648</v>
      </c>
      <c r="G27" s="34">
        <v>225.37450288870656</v>
      </c>
      <c r="H27" s="33">
        <v>6496.8337702426988</v>
      </c>
      <c r="I27" s="34">
        <v>201.59360623812049</v>
      </c>
      <c r="J27" s="33">
        <v>6520.5450793566615</v>
      </c>
      <c r="K27" s="34">
        <v>177.88198001748813</v>
      </c>
      <c r="L27" s="33">
        <v>6544.1759576706881</v>
      </c>
      <c r="M27" s="34">
        <v>154.25147455083146</v>
      </c>
      <c r="N27" s="33">
        <v>6567.6691321997132</v>
      </c>
      <c r="O27" s="34">
        <v>130.75804107437838</v>
      </c>
      <c r="P27" s="33">
        <v>6590.901039295165</v>
      </c>
      <c r="Q27" s="34">
        <v>107.52611573240095</v>
      </c>
      <c r="R27" s="33">
        <v>6613.6407550429458</v>
      </c>
      <c r="S27" s="34">
        <v>84.786571635596232</v>
      </c>
      <c r="T27" s="33">
        <v>6635.4875725628181</v>
      </c>
      <c r="U27" s="34">
        <v>62.939807120421378</v>
      </c>
      <c r="V27" s="33">
        <v>6655.7678227039596</v>
      </c>
      <c r="W27" s="34">
        <v>42.659511015492299</v>
      </c>
      <c r="X27" s="33">
        <v>6673.386386684625</v>
      </c>
      <c r="Y27" s="34">
        <v>25.040973939716164</v>
      </c>
      <c r="Z27" s="33">
        <v>6686.7751056593861</v>
      </c>
      <c r="AA27" s="34">
        <v>11.652196686178401</v>
      </c>
      <c r="AB27" s="33"/>
      <c r="AC27" s="34"/>
      <c r="AD27" s="33"/>
      <c r="AE27" s="34"/>
      <c r="AF27" s="33"/>
      <c r="AG27" s="34"/>
      <c r="AH27" s="33"/>
      <c r="AI27" s="34"/>
      <c r="AJ27" s="33"/>
      <c r="AK27" s="34"/>
      <c r="AL27" s="33"/>
      <c r="AM27" s="34"/>
      <c r="AN27" s="33"/>
      <c r="AO27" s="34"/>
      <c r="AP27" s="33"/>
      <c r="AQ27" s="34"/>
      <c r="AR27" s="33"/>
      <c r="AS27" s="34"/>
      <c r="AT27" s="33"/>
      <c r="AU27" s="34"/>
      <c r="AV27" s="33"/>
      <c r="AW27" s="34"/>
      <c r="AX27">
        <v>6425.1981590000414</v>
      </c>
      <c r="AY27">
        <v>273.22915400000028</v>
      </c>
    </row>
    <row r="28" spans="1:51" x14ac:dyDescent="0.2">
      <c r="A28" t="s">
        <v>35</v>
      </c>
      <c r="B28" s="39">
        <v>13763.097676000029</v>
      </c>
      <c r="C28" s="40">
        <v>382.36647899999997</v>
      </c>
      <c r="D28" s="39">
        <v>14030.307993243665</v>
      </c>
      <c r="E28" s="40">
        <v>350.2277759067195</v>
      </c>
      <c r="F28" s="39">
        <v>14308.046982559848</v>
      </c>
      <c r="G28" s="40">
        <v>317.98568215294392</v>
      </c>
      <c r="H28" s="39">
        <v>14598.436320027911</v>
      </c>
      <c r="I28" s="40">
        <v>285.59725991717579</v>
      </c>
      <c r="J28" s="39">
        <v>14904.168655079295</v>
      </c>
      <c r="K28" s="40">
        <v>253.04294641102319</v>
      </c>
      <c r="L28" s="39">
        <v>15228.833167192741</v>
      </c>
      <c r="M28" s="40">
        <v>220.34232697332507</v>
      </c>
      <c r="N28" s="39">
        <v>15577.465039939605</v>
      </c>
      <c r="O28" s="40">
        <v>187.57700188394145</v>
      </c>
      <c r="P28" s="39">
        <v>15957.532999104984</v>
      </c>
      <c r="Q28" s="40">
        <v>154.92636883756228</v>
      </c>
      <c r="R28" s="39">
        <v>16380.733116292624</v>
      </c>
      <c r="S28" s="40">
        <v>122.72353324591593</v>
      </c>
      <c r="T28" s="39">
        <v>16866.438239461859</v>
      </c>
      <c r="U28" s="40">
        <v>91.548540390997758</v>
      </c>
      <c r="V28" s="39">
        <v>17448.547232097171</v>
      </c>
      <c r="W28" s="40">
        <v>62.383365072239336</v>
      </c>
      <c r="X28" s="39">
        <v>18188.877011536719</v>
      </c>
      <c r="Y28" s="40">
        <v>36.838729194285705</v>
      </c>
      <c r="Z28" s="39">
        <v>19198.345648081457</v>
      </c>
      <c r="AA28" s="40">
        <v>17.253921599353003</v>
      </c>
      <c r="AB28" s="39"/>
      <c r="AC28" s="40"/>
      <c r="AD28" s="39"/>
      <c r="AE28" s="40"/>
      <c r="AF28" s="39"/>
      <c r="AG28" s="40"/>
      <c r="AH28" s="39"/>
      <c r="AI28" s="40"/>
      <c r="AJ28" s="39"/>
      <c r="AK28" s="40"/>
      <c r="AL28" s="39"/>
      <c r="AM28" s="40"/>
      <c r="AN28" s="39"/>
      <c r="AO28" s="40"/>
      <c r="AP28" s="39"/>
      <c r="AQ28" s="40"/>
      <c r="AR28" s="39"/>
      <c r="AS28" s="40"/>
      <c r="AT28" s="39"/>
      <c r="AU28" s="40"/>
      <c r="AV28" s="39"/>
      <c r="AW28" s="40"/>
      <c r="AX28">
        <v>13763.097676000029</v>
      </c>
      <c r="AY28">
        <v>382.36647899999997</v>
      </c>
    </row>
    <row r="29" spans="1:51" x14ac:dyDescent="0.2">
      <c r="A29" t="s">
        <v>53</v>
      </c>
      <c r="B29" s="33">
        <v>14362.768558000025</v>
      </c>
      <c r="C29" s="34">
        <v>817.26650999999993</v>
      </c>
      <c r="D29" s="33">
        <v>14608.143035317682</v>
      </c>
      <c r="E29" s="34">
        <v>740.28667843174662</v>
      </c>
      <c r="F29" s="33">
        <v>14859.603119741621</v>
      </c>
      <c r="G29" s="34">
        <v>664.11009368074338</v>
      </c>
      <c r="H29" s="33">
        <v>15118.446776750958</v>
      </c>
      <c r="I29" s="34">
        <v>588.76863677482788</v>
      </c>
      <c r="J29" s="33">
        <v>15386.291828255617</v>
      </c>
      <c r="K29" s="34">
        <v>514.35755213528341</v>
      </c>
      <c r="L29" s="33">
        <v>15665.281146025945</v>
      </c>
      <c r="M29" s="34">
        <v>441.06591486598933</v>
      </c>
      <c r="N29" s="33">
        <v>15958.428569267044</v>
      </c>
      <c r="O29" s="34">
        <v>369.21909799412293</v>
      </c>
      <c r="P29" s="33">
        <v>16270.244745436725</v>
      </c>
      <c r="Q29" s="34">
        <v>299.34286780845758</v>
      </c>
      <c r="R29" s="33">
        <v>16607.852374602528</v>
      </c>
      <c r="S29" s="34">
        <v>232.25940880831945</v>
      </c>
      <c r="T29" s="33">
        <v>16983.077285462776</v>
      </c>
      <c r="U29" s="34">
        <v>169.23971794491789</v>
      </c>
      <c r="V29" s="33">
        <v>17416.390721803677</v>
      </c>
      <c r="W29" s="34">
        <v>112.23894631957496</v>
      </c>
      <c r="X29" s="33">
        <v>17943.757729350269</v>
      </c>
      <c r="Y29" s="34">
        <v>64.190474056870855</v>
      </c>
      <c r="Z29" s="33">
        <v>18623.571493395018</v>
      </c>
      <c r="AA29" s="34">
        <v>28.93442334412158</v>
      </c>
      <c r="AB29" s="33"/>
      <c r="AC29" s="34"/>
      <c r="AD29" s="33"/>
      <c r="AE29" s="34"/>
      <c r="AF29" s="33"/>
      <c r="AG29" s="34"/>
      <c r="AH29" s="33"/>
      <c r="AI29" s="34"/>
      <c r="AJ29" s="33"/>
      <c r="AK29" s="34"/>
      <c r="AL29" s="33"/>
      <c r="AM29" s="34"/>
      <c r="AN29" s="33"/>
      <c r="AO29" s="34"/>
      <c r="AP29" s="33"/>
      <c r="AQ29" s="34"/>
      <c r="AR29" s="33"/>
      <c r="AS29" s="34"/>
      <c r="AT29" s="33"/>
      <c r="AU29" s="34"/>
      <c r="AV29" s="33"/>
      <c r="AW29" s="34"/>
      <c r="AX29">
        <v>14362.768558000025</v>
      </c>
      <c r="AY29">
        <v>817.26650999999993</v>
      </c>
    </row>
    <row r="30" spans="1:51" x14ac:dyDescent="0.2">
      <c r="A30" t="s">
        <v>48</v>
      </c>
      <c r="B30" s="112">
        <v>2924829.9599999995</v>
      </c>
      <c r="D30" s="112">
        <v>2971551.8701941981</v>
      </c>
      <c r="F30" s="112">
        <v>3019501.6105520823</v>
      </c>
      <c r="H30" s="112">
        <v>3068927.7282613744</v>
      </c>
      <c r="J30" s="112">
        <v>3120180.7927349219</v>
      </c>
      <c r="L30" s="112">
        <v>3173789.8305017417</v>
      </c>
      <c r="N30" s="112">
        <v>3230597.9650933142</v>
      </c>
      <c r="P30" s="112">
        <v>3292002.6641450068</v>
      </c>
      <c r="R30" s="112">
        <v>3360404.6072282856</v>
      </c>
      <c r="T30" s="112">
        <v>3440077.146906781</v>
      </c>
      <c r="V30" s="112">
        <v>3538908.818028274</v>
      </c>
      <c r="X30" s="112">
        <v>3671818.6656415281</v>
      </c>
      <c r="Z30" s="112">
        <v>3865916.0556386844</v>
      </c>
      <c r="AB30" s="112"/>
      <c r="AD30" s="112"/>
      <c r="AF30" s="112"/>
      <c r="AH30" s="112"/>
      <c r="AJ30" s="112"/>
      <c r="AL30" s="112"/>
      <c r="AN30" s="112"/>
      <c r="AP30" s="112"/>
      <c r="AR30" s="112"/>
      <c r="AT30" s="112"/>
      <c r="AV30" s="112"/>
      <c r="AX30">
        <v>2924829.9599999995</v>
      </c>
    </row>
    <row r="31" spans="1:51" x14ac:dyDescent="0.2">
      <c r="A31" t="s">
        <v>47</v>
      </c>
      <c r="B31" s="77">
        <v>1</v>
      </c>
      <c r="D31" s="77">
        <v>1.0133508661588635</v>
      </c>
      <c r="F31" s="77">
        <v>1.0264070927676603</v>
      </c>
      <c r="H31" s="77">
        <v>1.039120592520838</v>
      </c>
      <c r="J31" s="77">
        <v>1.0514300257731448</v>
      </c>
      <c r="L31" s="77">
        <v>1.0632608629997518</v>
      </c>
      <c r="N31" s="77">
        <v>1.0745263622748487</v>
      </c>
      <c r="P31" s="77">
        <v>1.0851307249218838</v>
      </c>
      <c r="R31" s="77">
        <v>1.094973322009013</v>
      </c>
      <c r="T31" s="77">
        <v>1.1039512871255159</v>
      </c>
      <c r="V31" s="77">
        <v>1.111938788793619</v>
      </c>
      <c r="X31" s="77">
        <v>1.1186311756031626</v>
      </c>
      <c r="Z31" s="77">
        <v>1.1227665662693069</v>
      </c>
      <c r="AB31" s="77"/>
      <c r="AD31" s="77"/>
      <c r="AF31" s="77"/>
      <c r="AH31" s="77"/>
      <c r="AJ31" s="77"/>
      <c r="AL31" s="77"/>
      <c r="AN31" s="77"/>
      <c r="AP31" s="77"/>
      <c r="AR31" s="77"/>
      <c r="AT31" s="77"/>
      <c r="AV31" s="77"/>
      <c r="AX31">
        <v>1</v>
      </c>
    </row>
    <row r="32" spans="1:51" x14ac:dyDescent="0.2">
      <c r="A32" t="s">
        <v>64</v>
      </c>
      <c r="B32" s="83">
        <v>14734457.915000005</v>
      </c>
      <c r="D32" s="83">
        <v>14969829.581372647</v>
      </c>
      <c r="F32" s="83">
        <v>15211386.70282327</v>
      </c>
      <c r="H32" s="83">
        <v>15460381.392826427</v>
      </c>
      <c r="J32" s="83">
        <v>15718578.85621121</v>
      </c>
      <c r="L32" s="83">
        <v>15988646.752943784</v>
      </c>
      <c r="N32" s="83">
        <v>16274829.063746592</v>
      </c>
      <c r="P32" s="83">
        <v>16584168.173236798</v>
      </c>
      <c r="R32" s="83">
        <v>16928758.625293445</v>
      </c>
      <c r="T32" s="83">
        <v>17330126.378916234</v>
      </c>
      <c r="V32" s="83">
        <v>17828011.904107783</v>
      </c>
      <c r="X32" s="83">
        <v>18497573.87798075</v>
      </c>
      <c r="Z32" s="83">
        <v>19475380.687160261</v>
      </c>
      <c r="AB32" s="83"/>
      <c r="AD32" s="83"/>
      <c r="AF32" s="83"/>
      <c r="AH32" s="83"/>
      <c r="AJ32" s="83"/>
      <c r="AL32" s="83"/>
      <c r="AN32" s="83"/>
      <c r="AP32" s="83"/>
      <c r="AR32" s="83"/>
      <c r="AT32" s="83"/>
      <c r="AV32" s="83"/>
      <c r="AX32">
        <v>14734457.915000005</v>
      </c>
    </row>
    <row r="33" spans="1:51 16319:16384" x14ac:dyDescent="0.2">
      <c r="A33" t="s">
        <v>54</v>
      </c>
      <c r="B33" s="111">
        <v>7019665.6909999885</v>
      </c>
      <c r="D33" s="111">
        <v>7131799.458156459</v>
      </c>
      <c r="F33" s="111">
        <v>7246880.0650265198</v>
      </c>
      <c r="H33" s="111">
        <v>7365504.0062032184</v>
      </c>
      <c r="J33" s="111">
        <v>7488512.2981200051</v>
      </c>
      <c r="L33" s="111">
        <v>7617175.7114163944</v>
      </c>
      <c r="N33" s="111">
        <v>7753516.2850205675</v>
      </c>
      <c r="P33" s="111">
        <v>7900889.0060379151</v>
      </c>
      <c r="R33" s="111">
        <v>8065055.8552870285</v>
      </c>
      <c r="T33" s="111">
        <v>8256272.072660828</v>
      </c>
      <c r="V33" s="111">
        <v>8493470.4873877652</v>
      </c>
      <c r="X33" s="111">
        <v>8812457.5322973505</v>
      </c>
      <c r="Z33" s="111">
        <v>9278295.9811193142</v>
      </c>
      <c r="AB33" s="111"/>
      <c r="AD33" s="111"/>
      <c r="AF33" s="111"/>
      <c r="AH33" s="111"/>
      <c r="AJ33" s="111"/>
      <c r="AL33" s="111"/>
      <c r="AN33" s="111"/>
      <c r="AP33" s="111"/>
      <c r="AR33" s="111"/>
      <c r="AT33" s="111"/>
      <c r="AV33" s="111"/>
      <c r="AX33">
        <v>7019665.6909999885</v>
      </c>
    </row>
    <row r="34" spans="1:51 16319:16384" x14ac:dyDescent="0.2">
      <c r="A34" t="s">
        <v>75</v>
      </c>
      <c r="B34" s="111">
        <v>1136879.4410000162</v>
      </c>
      <c r="D34" s="111">
        <v>1155040.2316748479</v>
      </c>
      <c r="F34" s="111">
        <v>1173678.2536866688</v>
      </c>
      <c r="H34" s="111">
        <v>1192890.1556123814</v>
      </c>
      <c r="J34" s="111">
        <v>1212812.0770736502</v>
      </c>
      <c r="L34" s="111">
        <v>1233649.9929397253</v>
      </c>
      <c r="N34" s="111">
        <v>1255731.1935957749</v>
      </c>
      <c r="P34" s="111">
        <v>1279599.1408371837</v>
      </c>
      <c r="R34" s="111">
        <v>1306187.0202897836</v>
      </c>
      <c r="T34" s="111">
        <v>1337155.713219638</v>
      </c>
      <c r="V34" s="111">
        <v>1375571.4923941102</v>
      </c>
      <c r="X34" s="111">
        <v>1427233.4723063218</v>
      </c>
      <c r="Z34" s="111">
        <v>1502678.9589638202</v>
      </c>
      <c r="AB34" s="111"/>
      <c r="AD34" s="111"/>
      <c r="AF34" s="111"/>
      <c r="AH34" s="111"/>
      <c r="AJ34" s="111"/>
      <c r="AL34" s="111"/>
      <c r="AN34" s="111"/>
      <c r="AP34" s="111"/>
      <c r="AR34" s="111"/>
      <c r="AT34" s="111"/>
      <c r="AV34" s="111"/>
      <c r="AX34">
        <v>1136879.4410000162</v>
      </c>
    </row>
    <row r="35" spans="1:51 16319:16384" x14ac:dyDescent="0.2">
      <c r="A35" t="s">
        <v>78</v>
      </c>
      <c r="B35" s="192">
        <v>1</v>
      </c>
      <c r="D35" s="192">
        <v>1.0025904620507</v>
      </c>
      <c r="F35" s="192">
        <v>1.0058225288743383</v>
      </c>
      <c r="H35" s="192">
        <v>1.0098199294968517</v>
      </c>
      <c r="J35" s="192">
        <v>1.0147566621371689</v>
      </c>
      <c r="L35" s="192">
        <v>1.0208843230212394</v>
      </c>
      <c r="N35" s="192">
        <v>1.0285785690373361</v>
      </c>
      <c r="P35" s="192">
        <v>1.0384218785945862</v>
      </c>
      <c r="R35" s="192">
        <v>1.0513589680254143</v>
      </c>
      <c r="T35" s="192">
        <v>1.0690079364779139</v>
      </c>
      <c r="V35" s="192">
        <v>1.0943246130173951</v>
      </c>
      <c r="X35" s="192">
        <v>1.1330859425679751</v>
      </c>
      <c r="Z35" s="192">
        <v>1.1970511349458566</v>
      </c>
      <c r="AB35" s="192"/>
      <c r="AD35" s="192"/>
      <c r="AF35" s="192"/>
      <c r="AH35" s="192"/>
      <c r="AJ35" s="192"/>
      <c r="AL35" s="192"/>
      <c r="AN35" s="192"/>
      <c r="AP35" s="192"/>
      <c r="AR35" s="192"/>
      <c r="AT35" s="192"/>
      <c r="AV35" s="192"/>
      <c r="AX35">
        <v>1</v>
      </c>
    </row>
    <row r="36" spans="1:51 16319:16384" x14ac:dyDescent="0.2">
      <c r="A36" t="s">
        <v>21</v>
      </c>
      <c r="B36" s="35">
        <v>0.47195767671988198</v>
      </c>
      <c r="C36" s="36">
        <v>0.31738834428178964</v>
      </c>
      <c r="D36" s="35">
        <v>0.47200794436387039</v>
      </c>
      <c r="E36" s="36">
        <v>0.32228402060053624</v>
      </c>
      <c r="F36" s="35">
        <v>0.47206120453791339</v>
      </c>
      <c r="G36" s="36">
        <v>0.32767719560270453</v>
      </c>
      <c r="H36" s="35">
        <v>0.47211811239660784</v>
      </c>
      <c r="I36" s="36">
        <v>0.33365110388642505</v>
      </c>
      <c r="J36" s="35">
        <v>0.47217936748336048</v>
      </c>
      <c r="K36" s="36">
        <v>0.34031210727020605</v>
      </c>
      <c r="L36" s="35">
        <v>0.47224566237928051</v>
      </c>
      <c r="M36" s="36">
        <v>0.347800978749777</v>
      </c>
      <c r="N36" s="35">
        <v>0.47231758256813244</v>
      </c>
      <c r="O36" s="36">
        <v>0.35631164798765141</v>
      </c>
      <c r="P36" s="35">
        <v>0.47239540781405148</v>
      </c>
      <c r="Q36" s="36">
        <v>0.36612365782155692</v>
      </c>
      <c r="R36" s="35">
        <v>0.47247872542341962</v>
      </c>
      <c r="S36" s="36">
        <v>0.37766049980604555</v>
      </c>
      <c r="T36" s="35">
        <v>0.47256565658408017</v>
      </c>
      <c r="U36" s="36">
        <v>0.39160002052040399</v>
      </c>
      <c r="V36" s="35">
        <v>0.47265129970652037</v>
      </c>
      <c r="W36" s="36">
        <v>0.40909239679602505</v>
      </c>
      <c r="X36" s="35">
        <v>0.47272487435040866</v>
      </c>
      <c r="Y36" s="36">
        <v>0.4321924573334589</v>
      </c>
      <c r="Z36" s="35">
        <v>0.47276662984156181</v>
      </c>
      <c r="AA36" s="36">
        <v>0.46460077999886062</v>
      </c>
      <c r="AB36" s="35"/>
      <c r="AC36" s="36"/>
      <c r="AD36" s="35"/>
      <c r="AE36" s="36"/>
      <c r="AF36" s="35"/>
      <c r="AG36" s="36"/>
      <c r="AH36" s="35"/>
      <c r="AI36" s="36"/>
      <c r="AJ36" s="35"/>
      <c r="AK36" s="36"/>
      <c r="AL36" s="35"/>
      <c r="AM36" s="36"/>
      <c r="AN36" s="35"/>
      <c r="AO36" s="36"/>
      <c r="AP36" s="35"/>
      <c r="AQ36" s="36"/>
      <c r="AR36" s="35"/>
      <c r="AS36" s="36"/>
      <c r="AT36" s="35"/>
      <c r="AU36" s="36"/>
      <c r="AV36" s="35"/>
      <c r="AW36" s="36"/>
      <c r="AX36">
        <v>0.47195767671988198</v>
      </c>
      <c r="AY36">
        <v>0.31738834428178964</v>
      </c>
    </row>
    <row r="37" spans="1:51 16319:16384" x14ac:dyDescent="0.2">
      <c r="B37" s="37">
        <v>2.1403217525954466E-2</v>
      </c>
      <c r="C37" s="38">
        <v>0.3496246130199252</v>
      </c>
      <c r="D37" s="37">
        <v>2.0334005087846999E-2</v>
      </c>
      <c r="E37" s="38">
        <v>0.34379886184258185</v>
      </c>
      <c r="F37" s="37">
        <v>1.927036953805816E-2</v>
      </c>
      <c r="G37" s="38">
        <v>0.33793492041808437</v>
      </c>
      <c r="H37" s="37">
        <v>1.8212196835880254E-2</v>
      </c>
      <c r="I37" s="38">
        <v>0.33203437392135277</v>
      </c>
      <c r="J37" s="37">
        <v>1.7158760540796611E-2</v>
      </c>
      <c r="K37" s="38">
        <v>0.32609597029574028</v>
      </c>
      <c r="L37" s="37">
        <v>1.6108367445536193E-2</v>
      </c>
      <c r="M37" s="38">
        <v>0.32011368546329705</v>
      </c>
      <c r="N37" s="37">
        <v>1.5057875806962821E-2</v>
      </c>
      <c r="O37" s="38">
        <v>0.31407412752312497</v>
      </c>
      <c r="P37" s="37">
        <v>1.4002004496241191E-2</v>
      </c>
      <c r="Q37" s="38">
        <v>0.30795292425270387</v>
      </c>
      <c r="R37" s="37">
        <v>1.2932351512578988E-2</v>
      </c>
      <c r="S37" s="38">
        <v>0.30170986508679298</v>
      </c>
      <c r="T37" s="37">
        <v>1.1835966115449063E-2</v>
      </c>
      <c r="U37" s="38">
        <v>0.29528243997084208</v>
      </c>
      <c r="V37" s="37">
        <v>1.0693537700566379E-2</v>
      </c>
      <c r="W37" s="38">
        <v>0.28857937851556653</v>
      </c>
      <c r="X37" s="37">
        <v>9.4786843850115481E-3</v>
      </c>
      <c r="Y37" s="38">
        <v>0.28148559087803504</v>
      </c>
      <c r="Z37" s="37">
        <v>8.1665063212617624E-3</v>
      </c>
      <c r="AA37" s="38">
        <v>0.27393352930576903</v>
      </c>
      <c r="AB37" s="37"/>
      <c r="AC37" s="38"/>
      <c r="AD37" s="37"/>
      <c r="AE37" s="38"/>
      <c r="AF37" s="37"/>
      <c r="AG37" s="38"/>
      <c r="AH37" s="37"/>
      <c r="AI37" s="38"/>
      <c r="AJ37" s="37"/>
      <c r="AK37" s="38"/>
      <c r="AL37" s="37"/>
      <c r="AM37" s="38"/>
      <c r="AN37" s="37"/>
      <c r="AO37" s="38"/>
      <c r="AP37" s="37"/>
      <c r="AQ37" s="38"/>
      <c r="AR37" s="37"/>
      <c r="AS37" s="38"/>
      <c r="AT37" s="37"/>
      <c r="AU37" s="38"/>
      <c r="AV37" s="37"/>
      <c r="AW37" s="38"/>
      <c r="AX37">
        <v>2.1403217525954466E-2</v>
      </c>
      <c r="AY37">
        <v>0.3496246130199252</v>
      </c>
    </row>
    <row r="38" spans="1:51 16319:16384" x14ac:dyDescent="0.2">
      <c r="A38" t="s">
        <v>22</v>
      </c>
      <c r="B38" s="35">
        <v>0.18079094942242827</v>
      </c>
      <c r="C38" s="36">
        <v>6.0565413429233668E-2</v>
      </c>
      <c r="D38" s="35">
        <v>0.18375108987553676</v>
      </c>
      <c r="E38" s="36">
        <v>6.1450107045734934E-2</v>
      </c>
      <c r="F38" s="35">
        <v>0.18707188600431349</v>
      </c>
      <c r="G38" s="36">
        <v>6.2443275776351684E-2</v>
      </c>
      <c r="H38" s="35">
        <v>0.19084239182336782</v>
      </c>
      <c r="I38" s="36">
        <v>6.356790082520597E-2</v>
      </c>
      <c r="J38" s="35">
        <v>0.19518708264442058</v>
      </c>
      <c r="K38" s="36">
        <v>6.4855006021660735E-2</v>
      </c>
      <c r="L38" s="35">
        <v>0.20028798747130266</v>
      </c>
      <c r="M38" s="36">
        <v>6.6348278931312413E-2</v>
      </c>
      <c r="N38" s="35">
        <v>0.20642648962498211</v>
      </c>
      <c r="O38" s="36">
        <v>6.8112557956198611E-2</v>
      </c>
      <c r="P38" s="35">
        <v>0.21406816593607267</v>
      </c>
      <c r="Q38" s="36">
        <v>7.0250229680193385E-2</v>
      </c>
      <c r="R38" s="35">
        <v>0.22405298247780514</v>
      </c>
      <c r="S38" s="36">
        <v>7.2936399433900082E-2</v>
      </c>
      <c r="T38" s="35">
        <v>0.23808202929196495</v>
      </c>
      <c r="U38" s="36">
        <v>7.6503537560788024E-2</v>
      </c>
      <c r="V38" s="35">
        <v>0.26022948165330845</v>
      </c>
      <c r="W38" s="36">
        <v>8.1685757883495622E-2</v>
      </c>
      <c r="X38" s="35">
        <v>0.30342826337748291</v>
      </c>
      <c r="Y38" s="36">
        <v>9.0567939687873494E-2</v>
      </c>
      <c r="Z38" s="35">
        <v>0.44933820177593886</v>
      </c>
      <c r="AA38" s="36">
        <v>0.11405997386731874</v>
      </c>
      <c r="AB38" s="35"/>
      <c r="AC38" s="36"/>
      <c r="AD38" s="35"/>
      <c r="AE38" s="36"/>
      <c r="AF38" s="35"/>
      <c r="AG38" s="36"/>
      <c r="AH38" s="35"/>
      <c r="AI38" s="36"/>
      <c r="AJ38" s="35"/>
      <c r="AK38" s="36"/>
      <c r="AL38" s="35"/>
      <c r="AM38" s="36"/>
      <c r="AN38" s="35"/>
      <c r="AO38" s="36"/>
      <c r="AP38" s="35"/>
      <c r="AQ38" s="36"/>
      <c r="AR38" s="35"/>
      <c r="AS38" s="36"/>
      <c r="AT38" s="35"/>
      <c r="AU38" s="36"/>
      <c r="AV38" s="35"/>
      <c r="AW38" s="36"/>
      <c r="AX38">
        <v>0.18079094942242827</v>
      </c>
      <c r="AY38">
        <v>6.0565413429233668E-2</v>
      </c>
    </row>
    <row r="39" spans="1:51 16319:16384" x14ac:dyDescent="0.2">
      <c r="A39" t="s">
        <v>23</v>
      </c>
      <c r="B39" s="37">
        <v>0.23064923795098771</v>
      </c>
      <c r="C39" s="38">
        <v>0.22092201281804777</v>
      </c>
      <c r="D39" s="37">
        <v>0.22759909589859711</v>
      </c>
      <c r="E39" s="38">
        <v>0.22086126735367184</v>
      </c>
      <c r="F39" s="37">
        <v>0.2245520523818704</v>
      </c>
      <c r="G39" s="38">
        <v>0.22093604438582218</v>
      </c>
      <c r="H39" s="37">
        <v>0.22149350351640187</v>
      </c>
      <c r="I39" s="38">
        <v>0.22116051509026316</v>
      </c>
      <c r="J39" s="37">
        <v>0.21840570100723652</v>
      </c>
      <c r="K39" s="38">
        <v>0.22155246361977907</v>
      </c>
      <c r="L39" s="37">
        <v>0.21526535212992509</v>
      </c>
      <c r="M39" s="38">
        <v>0.22213447343970574</v>
      </c>
      <c r="N39" s="37">
        <v>0.21203962818964586</v>
      </c>
      <c r="O39" s="38">
        <v>0.22293572620766375</v>
      </c>
      <c r="P39" s="37">
        <v>0.20867965147100417</v>
      </c>
      <c r="Q39" s="38">
        <v>0.22399506324817842</v>
      </c>
      <c r="R39" s="37">
        <v>0.20510930240720504</v>
      </c>
      <c r="S39" s="38">
        <v>0.22536592993173515</v>
      </c>
      <c r="T39" s="37">
        <v>0.20120578318966745</v>
      </c>
      <c r="U39" s="38">
        <v>0.22712504944719189</v>
      </c>
      <c r="V39" s="37">
        <v>0.19676638494330861</v>
      </c>
      <c r="W39" s="38">
        <v>0.22938772553537196</v>
      </c>
      <c r="X39" s="37">
        <v>0.19146129579022164</v>
      </c>
      <c r="Y39" s="38">
        <v>0.23233444177689314</v>
      </c>
      <c r="Z39" s="37">
        <v>0.18482735285717794</v>
      </c>
      <c r="AA39" s="38">
        <v>0.23624159320472965</v>
      </c>
      <c r="AB39" s="37"/>
      <c r="AC39" s="38"/>
      <c r="AD39" s="37"/>
      <c r="AE39" s="38"/>
      <c r="AF39" s="37"/>
      <c r="AG39" s="38"/>
      <c r="AH39" s="37"/>
      <c r="AI39" s="38"/>
      <c r="AJ39" s="37"/>
      <c r="AK39" s="38"/>
      <c r="AL39" s="37"/>
      <c r="AM39" s="38"/>
      <c r="AN39" s="37"/>
      <c r="AO39" s="38"/>
      <c r="AP39" s="37"/>
      <c r="AQ39" s="38"/>
      <c r="AR39" s="37"/>
      <c r="AS39" s="38"/>
      <c r="AT39" s="37"/>
      <c r="AU39" s="38"/>
      <c r="AV39" s="37"/>
      <c r="AW39" s="38"/>
      <c r="AX39">
        <v>0.23064923795098771</v>
      </c>
      <c r="AY39">
        <v>0.22092201281804777</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3.0711699400957682E-2</v>
      </c>
      <c r="E42" s="126"/>
      <c r="F42" s="167">
        <f>6.1%+(1-6.1%)*(1-SUM(F26:G26)/SUM($B$26:$C$26))</f>
        <v>-2.4047936345412135E-3</v>
      </c>
      <c r="G42" s="126"/>
      <c r="H42" s="167">
        <f>6.1%+(1-6.1%)*(1-SUM(H26:I26)/SUM($B$26:$C$26))</f>
        <v>-3.9036118786639692E-2</v>
      </c>
      <c r="I42" s="126"/>
      <c r="J42" s="167">
        <f>6.1%+(1-6.1%)*(1-SUM(J26:K26)/SUM($B$26:$C$26))</f>
        <v>-8.0132788706387653E-2</v>
      </c>
      <c r="K42" s="126"/>
      <c r="L42" s="167">
        <f>6.1%+(1-6.1%)*(1-SUM(L26:M26)/SUM($B$26:$C$26))</f>
        <v>-0.12707342773418415</v>
      </c>
      <c r="M42" s="126"/>
      <c r="N42" s="167">
        <f>6.1%+(1-6.1%)*(1-SUM(N26:O26)/SUM($B$26:$C$26))</f>
        <v>-0.18197270151700812</v>
      </c>
      <c r="O42" s="126"/>
      <c r="P42" s="167">
        <f>6.1%+(1-6.1%)*(1-SUM(P26:Q26)/SUM($B$26:$C$26))</f>
        <v>-0.24830357989652058</v>
      </c>
      <c r="Q42" s="126"/>
      <c r="R42" s="167">
        <f>6.1%+(1-6.1%)*(1-SUM(R26:S26)/SUM($B$26:$C$26))</f>
        <v>-0.33227857956629409</v>
      </c>
      <c r="S42" s="126"/>
      <c r="T42" s="167">
        <f>6.1%+(1-6.1%)*(1-SUM(T26:U26)/SUM($B$26:$C$26))</f>
        <v>-0.44634775367850538</v>
      </c>
      <c r="U42" s="126"/>
      <c r="V42" s="167">
        <f>6.1%+(1-6.1%)*(1-SUM(V26:W26)/SUM($B$26:$C$26))</f>
        <v>-0.61992635828238485</v>
      </c>
      <c r="W42" s="126"/>
      <c r="X42" s="167">
        <f>6.1%+(1-6.1%)*(1-SUM(X26:Y26)/SUM($B$26:$C$26))</f>
        <v>-0.94475380633667472</v>
      </c>
      <c r="Y42" s="152"/>
      <c r="Z42" s="167">
        <f>6.1%+(1-6.1%)*(1-SUM(Z26:AA26)/SUM($B$26:$C$26))</f>
        <v>-1.9875607714190022</v>
      </c>
      <c r="AA42" s="126"/>
      <c r="AB42" s="167">
        <f>6.1%+(1-6.1%)*(1-SUM(AB26:AC26)/SUM($B$26:$C$26))</f>
        <v>1</v>
      </c>
      <c r="AC42" s="126"/>
      <c r="AD42" s="167">
        <f>6.1%+(1-6.1%)*(1-SUM(AD26:AE26)/SUM($B$26:$C$26))</f>
        <v>1</v>
      </c>
      <c r="AE42" s="126"/>
      <c r="AF42" s="167">
        <f>6.1%+(1-6.1%)*(1-SUM(AF26:AG26)/SUM($B$26:$C$26))</f>
        <v>1</v>
      </c>
      <c r="AG42" s="126"/>
      <c r="AH42" s="167">
        <f>6.1%+(1-6.1%)*(1-SUM(AH26:AI26)/SUM($B$26:$C$26))</f>
        <v>1</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51 16319:16384" x14ac:dyDescent="0.2">
      <c r="A43" t="s">
        <v>95</v>
      </c>
      <c r="B43" s="152">
        <f>SUM(B15:C15*B27:C27)/SUM(B15:C15*B27:C27,B13:C13*B26:C26)</f>
        <v>0.56058995943839207</v>
      </c>
      <c r="C43" s="126"/>
      <c r="D43" s="152">
        <f t="array" ref="D43">SUM(D15:E15*D27:E27)/SUM(D15:E15*D27:E27,D13:E13*D26:E26)</f>
        <v>0.58351071339228588</v>
      </c>
      <c r="E43" s="126"/>
      <c r="F43" s="152">
        <f t="array" ref="F43">SUM(F15:G15*F27:G27)/SUM(F15:G15*F27:G27,F13:G13*F26:G26)</f>
        <v>0.60066512155958252</v>
      </c>
      <c r="G43" s="126"/>
      <c r="H43" s="152">
        <f t="array" ref="H43">SUM(H15:I15*H27:I27)/SUM(H15:I15*H27:I27,H13:I13*H26:I26)</f>
        <v>0.6188279517131372</v>
      </c>
      <c r="I43" s="126"/>
      <c r="J43" s="152">
        <f t="array" ref="J43">SUM(J15:K15*J27:K27)/SUM(J15:K15*J27:K27,J13:K13*J26:K26)</f>
        <v>0.63821321069440773</v>
      </c>
      <c r="K43" s="126"/>
      <c r="L43" s="152">
        <f t="array" ref="L43">SUM(L15:M15*L27:M27)/SUM(L15:M15*L27:M27,L13:M13*L26:M26)</f>
        <v>0.6591134782604573</v>
      </c>
      <c r="M43" s="126"/>
      <c r="N43" s="152">
        <f t="array" ref="N43">SUM(N15:O15*N27:O27)/SUM(N15:O15*N27:O27,N13:O13*N26:O26)</f>
        <v>0.68194835352893601</v>
      </c>
      <c r="O43" s="126"/>
      <c r="P43" s="152">
        <f t="array" ref="P43">SUM(P15:Q15*P27:Q27)/SUM(P15:Q15*P27:Q27,P13:Q13*P26:Q26)</f>
        <v>0.70735026141654356</v>
      </c>
      <c r="Q43" s="126"/>
      <c r="R43" s="152">
        <f t="array" ref="R43">SUM(R15:S15*R27:S27)/SUM(R15:S15*R27:S27,R13:S13*R26:S26)</f>
        <v>0.73632004621042479</v>
      </c>
      <c r="S43" s="126"/>
      <c r="T43" s="152">
        <f t="array" ref="T43">SUM(T15:U15*T27:U27)/SUM(T15:U15*T27:U27,T13:U13*T26:U26)</f>
        <v>0.77052355913188531</v>
      </c>
      <c r="U43" s="126"/>
      <c r="V43" s="152">
        <f t="array" ref="V43">SUM(V15:W15*V27:W27)/SUM(V15:W15*V27:W27,V13:W13*V26:W26)</f>
        <v>0.81287432161574036</v>
      </c>
      <c r="W43" s="126"/>
      <c r="X43" s="152">
        <f t="array" ref="X43">SUM(X15:Y15*X27:Y27)/SUM(X15:Y15*X27:Y27,X13:Y13*X26:Y26)</f>
        <v>0.86865107547417031</v>
      </c>
      <c r="Y43" s="126"/>
      <c r="Z43" s="152">
        <f t="array" ref="Z43">SUM(Z15:AA15*Z27:AA27)/SUM(Z15:AA15*Z27:AA27,Z13:AA13*Z26:AA26)</f>
        <v>0.94715380492780477</v>
      </c>
      <c r="AA43" s="126"/>
      <c r="AB43" s="152" t="e">
        <f t="array" ref="AB43">SUM(AB15:AC15*AB27:AC27)/SUM(AB15:AC15*AB27:AC27,AB13:AC13*AB26:AC26)</f>
        <v>#DIV/0!</v>
      </c>
      <c r="AC43" s="126"/>
      <c r="AD43" s="152" t="e">
        <f t="array" ref="AD43">SUM(AD15:AE15*AD27:AE27)/SUM(AD15:AE15*AD27:AE27,AD13:AE13*AD26:AE26)</f>
        <v>#DIV/0!</v>
      </c>
      <c r="AE43" s="126"/>
      <c r="AF43" s="152" t="e">
        <f t="array" ref="AF43">SUM(AF15:AG15*AF27:AG27)/SUM(AF15:AG15*AF27:AG27,AF13:AG13*AF26:AG26)</f>
        <v>#DIV/0!</v>
      </c>
      <c r="AG43" s="126"/>
      <c r="AH43" s="152" t="e">
        <f t="array" ref="AH43">SUM(AH15:AI15*AH27:AI27)/SUM(AH15:AI15*AH27:AI27,AH13:AI13*AH26:AI26)</f>
        <v>#DIV/0!</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51 16319:16384" x14ac:dyDescent="0.2">
      <c r="A44" t="s">
        <v>129</v>
      </c>
      <c r="B44" s="183">
        <f>(SUM(B11:C11*B24:C24)+B34)/B32</f>
        <v>0.29754226190682465</v>
      </c>
      <c r="D44" s="183">
        <f>(SUM(D11:E11*D24:E24)+D34)/D32</f>
        <v>0.29754226253270594</v>
      </c>
      <c r="F44" s="183">
        <f>(SUM(F11:G11*F24:G24)+F34)/F32</f>
        <v>0.29754226198336986</v>
      </c>
      <c r="H44" s="183">
        <f>(SUM(H11:I11*H24:I24)+H34)/H32</f>
        <v>0.29754226204217576</v>
      </c>
      <c r="J44" s="183">
        <f>(SUM(J11:K11*J24:K24)+J34)/J32</f>
        <v>0.2975422593404457</v>
      </c>
      <c r="L44" s="183">
        <f>(SUM(L11:M11*L24:M24)+L34)/L32</f>
        <v>0.29754226235733372</v>
      </c>
      <c r="N44" s="183">
        <f>(SUM(N11:O11*N24:O24)+N34)/N32</f>
        <v>0.29754226111770582</v>
      </c>
      <c r="P44" s="183">
        <f>(SUM(P11:Q11*P24:Q24)+P34)/P32</f>
        <v>0.29754226104289982</v>
      </c>
      <c r="R44" s="183">
        <f>(SUM(R11:S11*R24:S24)+R34)/R32</f>
        <v>0.2975422620324738</v>
      </c>
      <c r="T44" s="183">
        <f>(SUM(T11:U11*T24:U24)+T34)/T32</f>
        <v>0.29754226258574101</v>
      </c>
      <c r="V44" s="183">
        <f>(SUM(V11:W11*V24:W24)+V34)/V32</f>
        <v>0.29754226210971002</v>
      </c>
      <c r="X44" s="183">
        <f>(SUM(X11:Y11*X24:Y24)+X34)/X32</f>
        <v>0.29754226220269131</v>
      </c>
      <c r="Z44" s="183">
        <f>(SUM(Z11:AA11*Z24:AA24)+Z34)/Z32</f>
        <v>0.29754226180962068</v>
      </c>
      <c r="AB44" s="183" t="e">
        <f>(SUM(AB11:AC11*AB24:AC24)+AB34)/AB32</f>
        <v>#DIV/0!</v>
      </c>
      <c r="AD44" s="183" t="e">
        <f>(SUM(AD11:AE11*AD24:AE24)+AD34)/AD32</f>
        <v>#DIV/0!</v>
      </c>
      <c r="AF44" s="183" t="e">
        <f>(SUM(AF11:AG11*AF24:AG24)+AF34)/AF32</f>
        <v>#DIV/0!</v>
      </c>
      <c r="AH44" s="183" t="e">
        <f>(SUM(AH11:AI11*AH24:AI24)+AH34)/AH32</f>
        <v>#DIV/0!</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51 16319:16384" x14ac:dyDescent="0.2">
      <c r="A45" t="s">
        <v>82</v>
      </c>
      <c r="B45" s="183">
        <f>SUM(B11:C11*B24:C24)/B32</f>
        <v>0.22038438833194082</v>
      </c>
      <c r="D45" s="183">
        <f>SUM(D11:E11*D24:E24)/D32</f>
        <v>0.22038438806283925</v>
      </c>
      <c r="F45" s="183">
        <f>SUM(F11:G11*F24:G24)/F32</f>
        <v>0.22038438830517118</v>
      </c>
      <c r="H45" s="183">
        <f>SUM(H11:I11*H24:I24)/H32</f>
        <v>0.22038438829360971</v>
      </c>
      <c r="J45" s="183">
        <f>SUM(J11:K11*J24:K24)/J32</f>
        <v>0.22038438850695072</v>
      </c>
      <c r="L45" s="183">
        <f>SUM(L11:M11*L24:M24)/L32</f>
        <v>0.2203843882731753</v>
      </c>
      <c r="N45" s="183">
        <f>SUM(N11:O11*N24:O24)/N32</f>
        <v>0.2203843881423754</v>
      </c>
      <c r="P45" s="183">
        <f>SUM(P11:Q11*P24:Q24)/P32</f>
        <v>0.2203843880962075</v>
      </c>
      <c r="R45" s="183">
        <f>SUM(R11:S11*R24:S24)/R32</f>
        <v>0.22038438830993193</v>
      </c>
      <c r="T45" s="183">
        <f>SUM(T11:U11*T24:U24)/T32</f>
        <v>0.22038438825849915</v>
      </c>
      <c r="V45" s="183">
        <f>SUM(V11:W11*V24:W24)/V32</f>
        <v>0.22038438832137344</v>
      </c>
      <c r="X45" s="183">
        <f>SUM(X11:Y11*X24:Y24)/X32</f>
        <v>0.22038438832576734</v>
      </c>
      <c r="Z45" s="183">
        <f>SUM(Z11:AA11*Z24:AA24)/Z32</f>
        <v>0.22038438833326252</v>
      </c>
      <c r="AB45" s="183" t="e">
        <f>SUM(AB11:AC11*AB24:AC24)/AB32</f>
        <v>#DIV/0!</v>
      </c>
      <c r="AD45" s="183" t="e">
        <f>SUM(AD11:AE11*AD24:AE24)/AD32</f>
        <v>#DIV/0!</v>
      </c>
      <c r="AF45" s="183" t="e">
        <f>SUM(AF11:AG11*AF24:AG24)/AF32</f>
        <v>#DIV/0!</v>
      </c>
      <c r="AH45" s="183" t="e">
        <f>SUM(AH11:AI11*AH24:AI24)/AH32</f>
        <v>#DIV/0!</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51 16319:16384" x14ac:dyDescent="0.2">
      <c r="A46" t="s">
        <v>126</v>
      </c>
      <c r="B46" s="183">
        <f>B34/B32</f>
        <v>7.7157873574883795E-2</v>
      </c>
      <c r="D46" s="183">
        <f>D34/D32</f>
        <v>7.7157874469866702E-2</v>
      </c>
      <c r="F46" s="183">
        <f>F34/F32</f>
        <v>7.7157873678198666E-2</v>
      </c>
      <c r="H46" s="183">
        <f>H34/H32</f>
        <v>7.7157873748566058E-2</v>
      </c>
      <c r="J46" s="183">
        <f>J34/J32</f>
        <v>7.7157870833495013E-2</v>
      </c>
      <c r="L46" s="183">
        <f>L34/L32</f>
        <v>7.7157874084158445E-2</v>
      </c>
      <c r="N46" s="183">
        <f>N34/N32</f>
        <v>7.7157872975330402E-2</v>
      </c>
      <c r="P46" s="183">
        <f>P34/P32</f>
        <v>7.7157872946692338E-2</v>
      </c>
      <c r="R46" s="183">
        <f>R34/R32</f>
        <v>7.7157873722541903E-2</v>
      </c>
      <c r="T46" s="183">
        <f>T34/T32</f>
        <v>7.7157874327241874E-2</v>
      </c>
      <c r="V46" s="183">
        <f>V34/V32</f>
        <v>7.7157873788336565E-2</v>
      </c>
      <c r="X46" s="183">
        <f>X34/X32</f>
        <v>7.7157873876923952E-2</v>
      </c>
      <c r="Z46" s="183">
        <f>Z34/Z32</f>
        <v>7.7157873476358135E-2</v>
      </c>
      <c r="AB46" s="183" t="e">
        <f>AB34/AB32</f>
        <v>#DIV/0!</v>
      </c>
      <c r="AD46" s="183" t="e">
        <f>AD34/AD32</f>
        <v>#DIV/0!</v>
      </c>
      <c r="AF46" s="183" t="e">
        <f>AF34/AF32</f>
        <v>#DIV/0!</v>
      </c>
      <c r="AH46" s="183" t="e">
        <f>AH34/AH32</f>
        <v>#DIV/0!</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51 16319:16384" x14ac:dyDescent="0.2">
      <c r="A48" t="s">
        <v>143</v>
      </c>
      <c r="B48" s="181">
        <f>B24/$B$24</f>
        <v>1</v>
      </c>
      <c r="C48" s="181"/>
      <c r="D48" s="181">
        <f>D24/$B$24</f>
        <v>1.0192228539492754</v>
      </c>
      <c r="E48" s="181"/>
      <c r="F48" s="181">
        <f>F24/$B$24</f>
        <v>1.0390785975488857</v>
      </c>
      <c r="G48" s="181"/>
      <c r="H48" s="181">
        <f>H24/$B$24</f>
        <v>1.0596955649911675</v>
      </c>
      <c r="I48" s="181"/>
      <c r="J48" s="181">
        <f>J24/$B$24</f>
        <v>1.0812401447361377</v>
      </c>
      <c r="K48" s="181"/>
      <c r="L48" s="181">
        <f>L24/$B$24</f>
        <v>1.1039412196554457</v>
      </c>
      <c r="M48" s="181"/>
      <c r="N48" s="181">
        <f>N24/$B$24</f>
        <v>1.1281322136127558</v>
      </c>
      <c r="O48" s="181"/>
      <c r="P48" s="181">
        <f>P24/$B$24</f>
        <v>1.1543273210686564</v>
      </c>
      <c r="Q48" s="181"/>
      <c r="R48" s="181">
        <f>R24/$B$24</f>
        <v>1.1833616272218359</v>
      </c>
      <c r="S48" s="181"/>
      <c r="T48" s="181">
        <f>T24/$B$24</f>
        <v>1.2166625134202453</v>
      </c>
      <c r="U48" s="181"/>
      <c r="V48" s="181">
        <f>V24/$B$24</f>
        <v>1.2567912623420012</v>
      </c>
      <c r="W48" s="181"/>
      <c r="X48" s="181">
        <f>X24/$B$24</f>
        <v>1.308497990265177</v>
      </c>
      <c r="Y48" s="181"/>
      <c r="Z48" s="181">
        <f>Z24/$B$24</f>
        <v>1.3803158450815483</v>
      </c>
      <c r="AA48" s="181"/>
      <c r="AB48" s="181">
        <f>AB24/$B$24</f>
        <v>0</v>
      </c>
      <c r="AC48" s="181"/>
      <c r="AD48" s="181">
        <f>AD24/$B$24</f>
        <v>0</v>
      </c>
      <c r="AE48" s="181"/>
      <c r="AF48" s="181">
        <f>AF24/$B$24</f>
        <v>0</v>
      </c>
      <c r="AG48" s="181"/>
      <c r="AH48" s="181">
        <f>AH24/$B$24</f>
        <v>0</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0.94468901377091485</v>
      </c>
      <c r="E49" s="181"/>
      <c r="F49" s="181">
        <f>F13/F35/$B$13*$B$35</f>
        <v>0.88712797247860997</v>
      </c>
      <c r="G49" s="181"/>
      <c r="H49" s="181">
        <f>H13/H35/$B$13*$B$35</f>
        <v>0.82701118598252366</v>
      </c>
      <c r="I49" s="181"/>
      <c r="J49" s="181">
        <f>J13/J35/$B$13*$B$35</f>
        <v>0.76396178815640203</v>
      </c>
      <c r="K49" s="181"/>
      <c r="L49" s="181">
        <f>L13/L35/$B$13*$B$35</f>
        <v>0.69748923650346273</v>
      </c>
      <c r="M49" s="181"/>
      <c r="N49" s="181">
        <f>N13/N35/$B$13*$B$35</f>
        <v>0.62692253329970837</v>
      </c>
      <c r="O49" s="181"/>
      <c r="P49" s="181">
        <f>P13/P35/$B$13*$B$35</f>
        <v>0.55130572247377552</v>
      </c>
      <c r="Q49" s="181"/>
      <c r="R49" s="181">
        <f>R13/R35/$B$13*$B$35</f>
        <v>0.46924631780054343</v>
      </c>
      <c r="S49" s="181"/>
      <c r="T49" s="181">
        <f>T13/T35/$B$13*$B$35</f>
        <v>0.37873103543633235</v>
      </c>
      <c r="U49" s="181"/>
      <c r="V49" s="181">
        <f>V13/V35/$B$13*$B$35</f>
        <v>0.27710194859871629</v>
      </c>
      <c r="W49" s="181"/>
      <c r="X49" s="181">
        <f>X13/X35/$B$13*$B$35</f>
        <v>0.16235233012465222</v>
      </c>
      <c r="Y49" s="181"/>
      <c r="Z49" s="181">
        <f>Z13/Z35/$B$13*$B$35</f>
        <v>4.2375510717711729E-2</v>
      </c>
      <c r="AA49" s="181"/>
      <c r="AB49" s="181" t="e">
        <f>AB13/AB35/$B$13*$B$35</f>
        <v>#DIV/0!</v>
      </c>
      <c r="AC49" s="181"/>
      <c r="AD49" s="181" t="e">
        <f>AD13/AD35/$B$13*$B$35</f>
        <v>#DIV/0!</v>
      </c>
      <c r="AE49" s="181"/>
      <c r="AF49" s="181" t="e">
        <f>AF13/AF35/$B$13*$B$35</f>
        <v>#DIV/0!</v>
      </c>
      <c r="AG49" s="181"/>
      <c r="AH49" s="181" t="e">
        <f>AH13/AH35/$B$13*$B$35</f>
        <v>#DIV/0!</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-412321.28965134127</v>
      </c>
      <c r="F51" s="27">
        <f>F30-F10*F23</f>
        <v>-418974.61978287855</v>
      </c>
      <c r="H51" s="27">
        <f>H30-H10*H23</f>
        <v>-425832.80670549534</v>
      </c>
      <c r="J51" s="27">
        <f>J30-J10*J23</f>
        <v>-432944.29885824025</v>
      </c>
      <c r="L51" s="27">
        <f>L30-L10*L23</f>
        <v>-440383.08412251575</v>
      </c>
      <c r="N51" s="27">
        <f>N30-N10*N23</f>
        <v>-448265.3747013947</v>
      </c>
      <c r="P51" s="27">
        <f>P30-P10*P23</f>
        <v>-456785.60727330251</v>
      </c>
      <c r="R51" s="27">
        <f>R30-R10*R23</f>
        <v>-466277.02800656762</v>
      </c>
      <c r="T51" s="27">
        <f>T30-T10*T23</f>
        <v>-477332.14566905331</v>
      </c>
      <c r="V51" s="27">
        <f>V30-V10*V23</f>
        <v>-491045.60782467481</v>
      </c>
      <c r="X51" s="27">
        <f>X30-X10*X23</f>
        <v>-509487.70312607009</v>
      </c>
      <c r="Z51" s="27">
        <f>Z30-Z10*Z23</f>
        <v>-536419.83114119293</v>
      </c>
      <c r="AB51" s="27">
        <f>AB30-AB10*AB23</f>
        <v>0</v>
      </c>
      <c r="AD51" s="27">
        <f>AD30-AD10*AD23</f>
        <v>0</v>
      </c>
      <c r="AF51" s="27">
        <f>AF30-AF10*AF23</f>
        <v>0</v>
      </c>
      <c r="AH51" s="27">
        <f>AH30-AH10*AH23</f>
        <v>0</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2026836.0382084979</v>
      </c>
      <c r="F52" s="27">
        <f t="array" ref="F52">Calibration!sL*SUM(F13:G13*F26:G26)</f>
        <v>1974712.978759625</v>
      </c>
      <c r="H52" s="27">
        <f t="array" ref="H52">Calibration!sL*SUM(H13:I13*H26:I26)</f>
        <v>1915751.522555772</v>
      </c>
      <c r="J52" s="27">
        <f t="array" ref="J52">Calibration!sL*SUM(J13:K13*J26:K26)</f>
        <v>1848689.2294673549</v>
      </c>
      <c r="L52" s="27">
        <f t="array" ref="L52">Calibration!sL*SUM(L13:M13*L26:M26)</f>
        <v>1771819.4671036934</v>
      </c>
      <c r="N52" s="27">
        <f t="array" ref="N52">Calibration!sL*SUM(N13:O13*N26:O26)</f>
        <v>1682720.5978943221</v>
      </c>
      <c r="P52" s="27">
        <f t="array" ref="P52">Calibration!sL*SUM(P13:Q13*P26:Q26)</f>
        <v>1577755.7061411995</v>
      </c>
      <c r="R52" s="27">
        <f t="array" ref="R52">Calibration!sL*SUM(R13:S13*R26:S26)</f>
        <v>1451109.4009101712</v>
      </c>
      <c r="T52" s="27">
        <f t="array" ref="T52">Calibration!sL*SUM(T13:U13*T26:U26)</f>
        <v>1292819.1113102911</v>
      </c>
      <c r="V52" s="27">
        <f t="array" ref="V52">Calibration!sL*SUM(V13:W13*V26:W26)</f>
        <v>1084511.6769686325</v>
      </c>
      <c r="X52" s="27">
        <f t="array" ref="X52">Calibration!sL*SUM(X13:Y13*X26:Y26)</f>
        <v>789840.17687860434</v>
      </c>
      <c r="Z52" s="27">
        <f t="array" ref="Z52">Calibration!sL*SUM(Z13:AA13*Z26:AA26)</f>
        <v>334578.17646064167</v>
      </c>
      <c r="AB52" s="27">
        <f t="array" ref="AB52">Calibration!sL*SUM(AB13:AC13*AB26:AC26)</f>
        <v>0</v>
      </c>
      <c r="AD52" s="27">
        <f t="array" ref="AD52">Calibration!sL*SUM(AD13:AE13*AD26:AE26)</f>
        <v>0</v>
      </c>
      <c r="AF52" s="27">
        <f t="array" ref="AF52">Calibration!sL*SUM(AF13:AG13*AF26:AG26)</f>
        <v>0</v>
      </c>
      <c r="AH52" s="27">
        <f t="array" ref="AH52">Calibration!sL*SUM(AH13:AI13*AH26:AI26)</f>
        <v>0</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2839642.1723524109</v>
      </c>
      <c r="F53" s="27">
        <f t="array" ref="F53">Calibration!sK*SUM(F15:G15*F27:G27)</f>
        <v>2970292.0417679292</v>
      </c>
      <c r="H53" s="27">
        <f t="array" ref="H53">Calibration!sK*SUM(H15:I15*H27:I27)</f>
        <v>3110198.1271258183</v>
      </c>
      <c r="J53" s="27">
        <f t="array" ref="J53">Calibration!sK*SUM(J15:K15*J27:K27)</f>
        <v>3261196.7147256294</v>
      </c>
      <c r="L53" s="27">
        <f t="array" ref="L53">Calibration!sK*SUM(L15:M15*L27:M27)</f>
        <v>3425861.7379557067</v>
      </c>
      <c r="N53" s="27">
        <f t="array" ref="N53">Calibration!sK*SUM(N15:O15*N27:O27)</f>
        <v>3607994.3427919364</v>
      </c>
      <c r="P53" s="27">
        <f t="array" ref="P53">Calibration!sK*SUM(P15:Q15*P27:Q27)</f>
        <v>3813520.9571429621</v>
      </c>
      <c r="R53" s="27">
        <f t="array" ref="R53">Calibration!sK*SUM(R15:S15*R27:S27)</f>
        <v>4052188.7454032246</v>
      </c>
      <c r="T53" s="27">
        <f t="array" ref="T53">Calibration!sK*SUM(T15:U15*T27:U27)</f>
        <v>4340957.9614886735</v>
      </c>
      <c r="V53" s="27">
        <f t="array" ref="V53">Calibration!sK*SUM(V15:W15*V27:W27)</f>
        <v>4711120.8964593988</v>
      </c>
      <c r="X53" s="27">
        <f t="array" ref="X53">Calibration!sK*SUM(X15:Y15*X27:Y27)</f>
        <v>5223457.4555910304</v>
      </c>
      <c r="Z53" s="27">
        <f t="array" ref="Z53">Calibration!sK*SUM(Z15:AA15*Z27:AA27)</f>
        <v>5996590.5293196253</v>
      </c>
      <c r="AB53" s="27">
        <f t="array" ref="AB53">Calibration!sK*SUM(AB15:AC15*AB27:AC27)</f>
        <v>0</v>
      </c>
      <c r="AD53" s="27">
        <f t="array" ref="AD53">Calibration!sK*SUM(AD15:AE15*AD27:AE27)</f>
        <v>0</v>
      </c>
      <c r="AF53" s="27">
        <f t="array" ref="AF53">Calibration!sK*SUM(AF15:AG15*AF27:AG27)</f>
        <v>0</v>
      </c>
      <c r="AH53" s="27">
        <f t="array" ref="AH53">Calibration!sK*SUM(AH15:AI15*AH27:AI27)</f>
        <v>0</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0.1985027186877116</v>
      </c>
      <c r="F55" s="183">
        <f>F30/F32</f>
        <v>0.1985027183610851</v>
      </c>
      <c r="H55" s="183">
        <f>H30/H32</f>
        <v>0.19850271803031638</v>
      </c>
      <c r="J55" s="183">
        <f>J30/J32</f>
        <v>0.19850272860399079</v>
      </c>
      <c r="L55" s="183">
        <f>L30/L32</f>
        <v>0.19850271755596779</v>
      </c>
      <c r="N55" s="183">
        <f>N30/N32</f>
        <v>0.19850272788976411</v>
      </c>
      <c r="P55" s="183">
        <f>P30/P32</f>
        <v>0.19850273042078623</v>
      </c>
      <c r="R55" s="183">
        <f>R30/R32</f>
        <v>0.19850271845730424</v>
      </c>
      <c r="T55" s="183">
        <f>T30/T32</f>
        <v>0.19850271554233823</v>
      </c>
      <c r="V55" s="183">
        <f>V30/V32</f>
        <v>0.1985027179173505</v>
      </c>
      <c r="X55" s="183">
        <f>X30/X32</f>
        <v>0.19850271661909183</v>
      </c>
      <c r="Z55" s="183">
        <f>Z30/Z32</f>
        <v>0.19850272083191717</v>
      </c>
      <c r="AB55" s="183" t="e">
        <f>AB30/AB32</f>
        <v>#DIV/0!</v>
      </c>
      <c r="AD55" s="183" t="e">
        <f>AD30/AD32</f>
        <v>#DIV/0!</v>
      </c>
      <c r="AF55" s="183" t="e">
        <f>AF30/AF32</f>
        <v>#DIV/0!</v>
      </c>
      <c r="AH55" s="183" t="e">
        <f>AH30/AH32</f>
        <v>#DIV/0!</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3.5303705254600887E-2</v>
      </c>
      <c r="F56" s="183">
        <f>(Model!$C$52*F5*F20+F2*G5*G20)/F32</f>
        <v>4.1697847232444761E-2</v>
      </c>
      <c r="H56" s="183">
        <f>(Model!$C$52*H5*H20+H2*I5*I20)/H32</f>
        <v>4.8464761691530633E-2</v>
      </c>
      <c r="J56" s="183">
        <f>(Model!$C$52*J5*J20+J2*K5*K20)/J32</f>
        <v>5.5683978339300506E-2</v>
      </c>
      <c r="L56" s="183">
        <f>(Model!$C$52*L5*L20+L2*M5*M20)/L32</f>
        <v>6.346394305787352E-2</v>
      </c>
      <c r="N56" s="183">
        <f>(Model!$C$52*N5*N20+N2*O5*O20)/N32</f>
        <v>7.195994526870296E-2</v>
      </c>
      <c r="P56" s="183">
        <f>(Model!$C$52*P5*P20+P2*Q5*Q20)/P32</f>
        <v>8.1405474434792055E-2</v>
      </c>
      <c r="R56" s="183">
        <f>(Model!$C$52*R5*R20+R2*S5*S20)/R32</f>
        <v>9.2169471915181739E-2</v>
      </c>
      <c r="T56" s="183">
        <f>(Model!$C$52*T5*T20+T2*U5*U20)/T32</f>
        <v>0.10486525140640979</v>
      </c>
      <c r="V56" s="183">
        <f>(Model!$C$52*V5*V20+V2*W5*W20)/V32</f>
        <v>0.12056437761017989</v>
      </c>
      <c r="X56" s="183">
        <f>(Model!$C$52*X5*X20+X2*Y5*Y20)/X32</f>
        <v>0.14120697147852371</v>
      </c>
      <c r="Z56" s="183">
        <f>(Model!$C$52*Z5*Z20+Z2*AA5*AA20)/Z32</f>
        <v>0.1702096160514853</v>
      </c>
      <c r="AB56" s="183" t="e">
        <f>(Model!$C$52*AB5*AB20+AB2*AC5*AC20)/AB32</f>
        <v>#DIV/0!</v>
      </c>
      <c r="AD56" s="183" t="e">
        <f>(Model!$C$52*AD5*AD20+AD2*AE5*AE20)/AD32</f>
        <v>#DIV/0!</v>
      </c>
      <c r="AF56" s="183" t="e">
        <f>(Model!$C$52*AF5*AF20+AF2*AG5*AG20)/AF32</f>
        <v>#DIV/0!</v>
      </c>
      <c r="AH56" s="183" t="e">
        <f>(Model!$C$52*AH5*AH20+AH2*AI5*AI20)/AH32</f>
        <v>#DIV/0!</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0.15255461155817493</v>
      </c>
      <c r="F57" s="183">
        <f t="array" ref="F57">SUM(Model!tauL*F13:G13*F26:G26)/F32</f>
        <v>0.14627117582149296</v>
      </c>
      <c r="H57" s="183">
        <f t="array" ref="H57">SUM(Model!tauL*H13:I13*H26:I26)/H32</f>
        <v>0.13961836731419389</v>
      </c>
      <c r="J57" s="183">
        <f t="array" ref="J57">SUM(Model!tauL*J13:K13*J26:K26)/J32</f>
        <v>0.13251779834864308</v>
      </c>
      <c r="L57" s="183">
        <f t="array" ref="L57">SUM(Model!tauL*L13:M13*L26:M26)/L32</f>
        <v>0.12486230289379904</v>
      </c>
      <c r="N57" s="183">
        <f t="array" ref="N57">SUM(Model!tauL*N13:O13*N26:O26)/N32</f>
        <v>0.11649818361938717</v>
      </c>
      <c r="P57" s="183">
        <f t="array" ref="P57">SUM(Model!tauL*P13:Q13*P26:Q26)/P32</f>
        <v>0.10719379472229439</v>
      </c>
      <c r="R57" s="183">
        <f t="array" ref="R57">SUM(Model!tauL*R13:S13*R26:S26)/R32</f>
        <v>9.6582539855765356E-2</v>
      </c>
      <c r="T57" s="183">
        <f t="array" ref="T57">SUM(Model!tauL*T13:U13*T26:U26)/T32</f>
        <v>8.4054237494538858E-2</v>
      </c>
      <c r="V57" s="183">
        <f t="array" ref="V57">SUM(Model!tauL*V13:W13*V26:W26)/V32</f>
        <v>6.8541703836192916E-2</v>
      </c>
      <c r="X57" s="183">
        <f t="array" ref="X57">SUM(Model!tauL*X13:Y13*X26:Y26)/X32</f>
        <v>4.8111403888217219E-2</v>
      </c>
      <c r="Y57" s="183"/>
      <c r="Z57" s="183">
        <f t="array" ref="Z57">SUM(Model!tauL*Z13:AA13*Z26:AA26)/Z32</f>
        <v>1.9356874451638667E-2</v>
      </c>
      <c r="AB57" s="183" t="e">
        <f t="array" ref="AB57">SUM(Model!tauL*AB13:AC13*AB26:AC26)/AB32</f>
        <v>#DIV/0!</v>
      </c>
      <c r="AD57" s="183" t="e">
        <f t="array" ref="AD57">SUM(Model!tauL*AD13:AE13*AD26:AE26)/AD32</f>
        <v>#DIV/0!</v>
      </c>
      <c r="AF57" s="183" t="e">
        <f t="array" ref="AF57">SUM(Model!tauL*AF13:AG13*AF26:AG26)/AF32</f>
        <v>#DIV/0!</v>
      </c>
      <c r="AH57" s="183" t="e">
        <f t="array" ref="AH57">SUM(Model!tauL*AH13:AI13*AH26:AI26)/AH32</f>
        <v>#DIV/0!</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1.0644401874935792E-2</v>
      </c>
      <c r="F58" s="183">
        <f t="array" ref="F58">SUM(Model!tauY/(1+Model!tauY)*F3:G3*F18:G18)/F32</f>
        <v>1.053369530714738E-2</v>
      </c>
      <c r="H58" s="183">
        <f t="array" ref="H58">SUM(Model!tauY/(1+Model!tauY)*H3:I3*H18:I18)/H32</f>
        <v>1.0419589024591867E-2</v>
      </c>
      <c r="J58" s="183">
        <f t="array" ref="J58">SUM(Model!tauY/(1+Model!tauY)*J3:K3*J18:K18)/J32</f>
        <v>1.030095191604722E-2</v>
      </c>
      <c r="L58" s="183">
        <f t="array" ref="L58">SUM(Model!tauY/(1+Model!tauY)*L3:M3*L18:M18)/L32</f>
        <v>1.0176471604295242E-2</v>
      </c>
      <c r="N58" s="183">
        <f t="array" ref="N58">SUM(Model!tauY/(1+Model!tauY)*N3:O3*N18:O18)/N32</f>
        <v>1.0044599001673966E-2</v>
      </c>
      <c r="P58" s="183">
        <f t="array" ref="P58">SUM(Model!tauY/(1+Model!tauY)*P3:Q3*P18:Q18)/P32</f>
        <v>9.9034612636997709E-3</v>
      </c>
      <c r="R58" s="183">
        <f t="array" ref="R58">SUM(Model!tauY/(1+Model!tauY)*R3:S3*R18:S18)/R32</f>
        <v>9.7507066863571443E-3</v>
      </c>
      <c r="T58" s="183">
        <f t="array" ref="T58">SUM(Model!tauY/(1+Model!tauY)*T3:U3*T18:U18)/T32</f>
        <v>9.5832266413895702E-3</v>
      </c>
      <c r="V58" s="183">
        <f t="array" ref="V58">SUM(Model!tauY/(1+Model!tauY)*V3:W3*V18:W18)/V32</f>
        <v>9.3966364709776942E-3</v>
      </c>
      <c r="X58" s="183">
        <f t="array" ref="X58">SUM(Model!tauY/(1+Model!tauY)*X3:Y3*X18:Y18)/X32</f>
        <v>9.1843412523508836E-3</v>
      </c>
      <c r="Y58" s="183"/>
      <c r="Z58" s="183">
        <f t="array" ref="Z58">SUM(Model!tauY/(1+Model!tauY)*Z3:AA3*Z18:AA18)/Z32</f>
        <v>8.9362303287931853E-3</v>
      </c>
      <c r="AB58" s="183" t="e">
        <f t="array" ref="AB58">SUM(Model!tauY/(1+Model!tauY)*AB3:AC3*AB18:AC18)/AB32</f>
        <v>#DIV/0!</v>
      </c>
      <c r="AD58" s="183" t="e">
        <f t="array" ref="AD58">SUM(Model!tauY/(1+Model!tauY)*AD3:AE3*AD18:AE18)/AD32</f>
        <v>#DIV/0!</v>
      </c>
      <c r="AF58" s="183" t="e">
        <f t="array" ref="AF58">SUM(Model!tauY/(1+Model!tauY)*AF3:AG3*AF18:AG18)/AF32</f>
        <v>#DIV/0!</v>
      </c>
      <c r="AH58" s="183" t="e">
        <f t="array" ref="AH58">SUM(Model!tauY/(1+Model!tauY)*AH3:AI3*AH18:AI18)/AH32</f>
        <v>#DIV/0!</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6.7281511052834746E-3</v>
      </c>
      <c r="F59" s="183">
        <f>(F2*G5*G20)/F32</f>
        <v>1.3220551755819192E-2</v>
      </c>
      <c r="H59" s="183">
        <f>(H2*I5*I20)/H32</f>
        <v>2.0091070703388711E-2</v>
      </c>
      <c r="J59" s="183">
        <f>(J2*K5*K20)/J32</f>
        <v>2.7420522046437381E-2</v>
      </c>
      <c r="L59" s="183">
        <f>(L2*M5*M20)/L32</f>
        <v>3.5319087941396952E-2</v>
      </c>
      <c r="N59" s="183">
        <f>(N2*O5*O20)/N32</f>
        <v>4.3944528193354454E-2</v>
      </c>
      <c r="P59" s="183">
        <f>(P2*Q5*Q20)/P32</f>
        <v>5.3534031891647189E-2</v>
      </c>
      <c r="R59" s="183">
        <f>(R2*S5*S20)/R32</f>
        <v>6.446237887460142E-2</v>
      </c>
      <c r="T59" s="183">
        <f>(T2*U5*U20)/T32</f>
        <v>7.735260192697295E-2</v>
      </c>
      <c r="V59" s="183">
        <f>(V2*W5*W20)/V32</f>
        <v>9.3293322467051493E-2</v>
      </c>
      <c r="X59" s="183">
        <f>(X2*Y5*Y20)/X32</f>
        <v>0.11425579545182252</v>
      </c>
      <c r="Z59" s="183">
        <f>(Z2*AA5*AA20)/Z32</f>
        <v>0.14371216902531478</v>
      </c>
      <c r="AB59" s="183" t="e">
        <f>(AB2*AC5*AC20)/AB32</f>
        <v>#DIV/0!</v>
      </c>
      <c r="AD59" s="183" t="e">
        <f>(AD2*AE5*AE20)/AD32</f>
        <v>#DIV/0!</v>
      </c>
      <c r="AF59" s="183" t="e">
        <f>(AF2*AG5*AG20)/AF32</f>
        <v>#DIV/0!</v>
      </c>
      <c r="AH59" s="183" t="e">
        <f>(AH2*AI5*AI20)/AH32</f>
        <v>#DIV/0!</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2.8575554149317409E-2</v>
      </c>
      <c r="F60" s="183">
        <f>Model!$C$52*F5*F20/F32</f>
        <v>2.8477295476625569E-2</v>
      </c>
      <c r="H60" s="183">
        <f>Model!$C$52*H5*H20/H32</f>
        <v>2.8373690988141916E-2</v>
      </c>
      <c r="J60" s="183">
        <f>Model!$C$52*J5*J20/J32</f>
        <v>2.8263456292863125E-2</v>
      </c>
      <c r="L60" s="183">
        <f>Model!$C$52*L5*L20/L32</f>
        <v>2.8144855116476561E-2</v>
      </c>
      <c r="N60" s="183">
        <f>Model!$C$52*N5*N20/N32</f>
        <v>2.8015417075348513E-2</v>
      </c>
      <c r="P60" s="183">
        <f>Model!$C$52*P5*P20/P32</f>
        <v>2.7871442543144859E-2</v>
      </c>
      <c r="R60" s="183">
        <f>Model!$C$52*R5*R20/R32</f>
        <v>2.7707093040580326E-2</v>
      </c>
      <c r="T60" s="183">
        <f>Model!$C$52*T5*T20/T32</f>
        <v>2.7512649479436838E-2</v>
      </c>
      <c r="V60" s="183">
        <f>Model!$C$52*V5*V20/V32</f>
        <v>2.727105514312839E-2</v>
      </c>
      <c r="X60" s="183">
        <f>Model!$C$52*X5*X20/X32</f>
        <v>2.6951176026701208E-2</v>
      </c>
      <c r="Z60" s="183">
        <f>Model!$C$52*Z5*Z20/Z32</f>
        <v>2.6497447026170535E-2</v>
      </c>
      <c r="AB60" s="183" t="e">
        <f>Model!$C$52*AB5*AB20/AB32</f>
        <v>#DIV/0!</v>
      </c>
      <c r="AD60" s="183" t="e">
        <f>Model!$C$52*AD5*AD20/AD32</f>
        <v>#DIV/0!</v>
      </c>
      <c r="AF60" s="183" t="e">
        <f>Model!$C$52*AF5*AF20/AF32</f>
        <v>#DIV/0!</v>
      </c>
      <c r="AH60" s="183" t="e">
        <f>Model!$C$52*AH5*AH20/AH32</f>
        <v>#DIV/0!</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0.906186407573217</v>
      </c>
      <c r="F62">
        <f>F13/F15</f>
        <v>0.81616357473131806</v>
      </c>
      <c r="H62">
        <f>H13/H15</f>
        <v>0.72951797123571205</v>
      </c>
      <c r="J62">
        <f>J13/J15</f>
        <v>0.64584047703951786</v>
      </c>
      <c r="L62">
        <f>L13/L15</f>
        <v>0.56469370441335032</v>
      </c>
      <c r="N62">
        <f>N13/N15</f>
        <v>0.48557265247959563</v>
      </c>
      <c r="P62">
        <f>P13/P15</f>
        <v>0.40785792701076801</v>
      </c>
      <c r="R62">
        <f>R13/R15</f>
        <v>0.33077368902363685</v>
      </c>
      <c r="T62">
        <f>T13/T15</f>
        <v>0.25339321043485585</v>
      </c>
      <c r="V62">
        <f>V13/V15</f>
        <v>0.17487600533772663</v>
      </c>
      <c r="X62">
        <f>X13/X15</f>
        <v>9.5682396442197629E-2</v>
      </c>
      <c r="Z62">
        <f>Z13/Z15</f>
        <v>2.2982220017663493E-2</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0.99710321422470649</v>
      </c>
      <c r="E65" s="181"/>
      <c r="F65" s="181">
        <f t="array" ref="F65">SQRT((F9:G9*$B$22:$C$22+F10:G10*$B$23:$C$23+F11:G11*$B$24:$C$24+F4:G4*($B$25:$C$25-$B$19:$C$19))/($B$9:$C$9*$B$22:$C$22+$B$10:$C$10*$B$23:$C$23+$B$11:$C$11*$B$24:$C$24+$B$4:$C$4*($B$25:$C$25-$B$19:$C$19))*(F9:G9*F22:G22+F10:G10*F23:G23+F11:G11*F24:G24+F4:G4*(F25:G25-F19:G19))/($B$9:$C$9*F22:G22+$B$10:$C$10*F23:G23+$B$11:$C$11*F24:G24+$B$4:$C$4*(F25:G25-F19:G19)))</f>
        <v>0.99413780341155955</v>
      </c>
      <c r="G65" s="181"/>
      <c r="H65" s="181">
        <f t="array" ref="H65">SQRT((H9:I9*$B$22:$C$22+H10:I10*$B$23:$C$23+H11:I11*$B$24:$C$24+H4:I4*($B$25:$C$25-$B$19:$C$19))/($B$9:$C$9*$B$22:$C$22+$B$10:$C$10*$B$23:$C$23+$B$11:$C$11*$B$24:$C$24+$B$4:$C$4*($B$25:$C$25-$B$19:$C$19))*(H9:I9*H22:I22+H10:I10*H23:I23+H11:I11*H24:I24+H4:I4*(H25:I25-H19:I19))/($B$9:$C$9*H22:I22+$B$10:$C$10*H23:I23+$B$11:$C$11*H24:I24+$B$4:$C$4*(H25:I25-H19:I19)))</f>
        <v>0.99107798930780611</v>
      </c>
      <c r="I65" s="181"/>
      <c r="J65" s="181">
        <f t="array" ref="J65">SQRT((J9:K9*$B$22:$C$22+J10:K10*$B$23:$C$23+J11:K11*$B$24:$C$24+J4:K4*($B$25:$C$25-$B$19:$C$19))/($B$9:$C$9*$B$22:$C$22+$B$10:$C$10*$B$23:$C$23+$B$11:$C$11*$B$24:$C$24+$B$4:$C$4*($B$25:$C$25-$B$19:$C$19))*(J9:K9*J22:K22+J10:K10*J23:K23+J11:K11*J24:K24+J4:K4*(J25:K25-J19:K19))/($B$9:$C$9*J22:K22+$B$10:$C$10*J23:K23+$B$11:$C$11*J24:K24+$B$4:$C$4*(J25:K25-J19:K19)))</f>
        <v>0.98789985856527807</v>
      </c>
      <c r="K65" s="181"/>
      <c r="L65" s="181">
        <f t="array" ref="L65">SQRT((L9:M9*$B$22:$C$22+L10:M10*$B$23:$C$23+L11:M11*$B$24:$C$24+L4:M4*($B$25:$C$25-$B$19:$C$19))/($B$9:$C$9*$B$22:$C$22+$B$10:$C$10*$B$23:$C$23+$B$11:$C$11*$B$24:$C$24+$B$4:$C$4*($B$25:$C$25-$B$19:$C$19))*(L9:M9*L22:M22+L10:M10*L23:M23+L11:M11*L24:M24+L4:M4*(L25:M25-L19:M19))/($B$9:$C$9*L22:M22+$B$10:$C$10*L23:M23+$B$11:$C$11*L24:M24+$B$4:$C$4*(L25:M25-L19:M19)))</f>
        <v>0.9845840568674693</v>
      </c>
      <c r="M65" s="181"/>
      <c r="N65" s="181">
        <f t="array" ref="N65">SQRT((N9:O9*$B$22:$C$22+N10:O10*$B$23:$C$23+N11:O11*$B$24:$C$24+N4:O4*($B$25:$C$25-$B$19:$C$19))/($B$9:$C$9*$B$22:$C$22+$B$10:$C$10*$B$23:$C$23+$B$11:$C$11*$B$24:$C$24+$B$4:$C$4*($B$25:$C$25-$B$19:$C$19))*(N9:O9*N22:O22+N10:O10*N23:O23+N11:O11*N24:O24+N4:O4*(N25:O25-N19:O19))/($B$9:$C$9*N22:O22+$B$10:$C$10*N23:O23+$B$11:$C$11*N24:O24+$B$4:$C$4*(N25:O25-N19:O19)))</f>
        <v>0.9811203283488632</v>
      </c>
      <c r="O65" s="181"/>
      <c r="P65" s="181">
        <f t="array" ref="P65">SQRT((P9:Q9*$B$22:$C$22+P10:Q10*$B$23:$C$23+P11:Q11*$B$24:$C$24+P4:Q4*($B$25:$C$25-$B$19:$C$19))/($B$9:$C$9*$B$22:$C$22+$B$10:$C$10*$B$23:$C$23+$B$11:$C$11*$B$24:$C$24+$B$4:$C$4*($B$25:$C$25-$B$19:$C$19))*(P9:Q9*P22:Q22+P10:Q10*P23:Q23+P11:Q11*P24:Q24+P4:Q4*(P25:Q25-P19:Q19))/($B$9:$C$9*P22:Q22+$B$10:$C$10*P23:Q23+$B$11:$C$11*P24:Q24+$B$4:$C$4*(P25:Q25-P19:Q19)))</f>
        <v>0.97751525136428086</v>
      </c>
      <c r="Q65" s="181"/>
      <c r="R65" s="181">
        <f t="array" ref="R65">SQRT((R9:S9*$B$22:$C$22+R10:S10*$B$23:$C$23+R11:S11*$B$24:$C$24+R4:S4*($B$25:$C$25-$B$19:$C$19))/($B$9:$C$9*$B$22:$C$22+$B$10:$C$10*$B$23:$C$23+$B$11:$C$11*$B$24:$C$24+$B$4:$C$4*($B$25:$C$25-$B$19:$C$19))*(R9:S9*R22:S22+R10:S10*R23:S23+R11:S11*R24:S24+R4:S4*(R25:S25-R19:S19))/($B$9:$C$9*R22:S22+$B$10:$C$10*R23:S23+$B$11:$C$11*R24:S24+$B$4:$C$4*(R25:S25-R19:S19)))</f>
        <v>0.97380618990874745</v>
      </c>
      <c r="S65" s="181"/>
      <c r="T65" s="181">
        <f t="array" ref="T65">SQRT((T9:U9*$B$22:$C$22+T10:U10*$B$23:$C$23+T11:U11*$B$24:$C$24+T4:U4*($B$25:$C$25-$B$19:$C$19))/($B$9:$C$9*$B$22:$C$22+$B$10:$C$10*$B$23:$C$23+$B$11:$C$11*$B$24:$C$24+$B$4:$C$4*($B$25:$C$25-$B$19:$C$19))*(T9:U9*T22:U22+T10:U10*T23:U23+T11:U11*T24:U24+T4:U4*(T25:U25-T19:U19))/($B$9:$C$9*T22:U22+$B$10:$C$10*T23:U23+$B$11:$C$11*T24:U24+$B$4:$C$4*(T25:U25-T19:U19)))</f>
        <v>0.97008761453747883</v>
      </c>
      <c r="U65" s="181"/>
      <c r="V65" s="181">
        <f t="array" ref="V65">SQRT((V9:W9*$B$22:$C$22+V10:W10*$B$23:$C$23+V11:W11*$B$24:$C$24+V4:W4*($B$25:$C$25-$B$19:$C$19))/($B$9:$C$9*$B$22:$C$22+$B$10:$C$10*$B$23:$C$23+$B$11:$C$11*$B$24:$C$24+$B$4:$C$4*($B$25:$C$25-$B$19:$C$19))*(V9:W9*V22:W22+V10:W10*V23:W23+V11:W11*V24:W24+V4:W4*(V25:W25-V19:W19))/($B$9:$C$9*V22:W22+$B$10:$C$10*V23:W23+$B$11:$C$11*V24:W24+$B$4:$C$4*(V25:W25-V19:W19)))</f>
        <v>0.96656226981977522</v>
      </c>
      <c r="W65" s="181"/>
      <c r="X65" s="181">
        <f t="array" ref="X65">SQRT((X9:Y9*$B$22:$C$22+X10:Y10*$B$23:$C$23+X11:Y11*$B$24:$C$24+X4:Y4*($B$25:$C$25-$B$19:$C$19))/($B$9:$C$9*$B$22:$C$22+$B$10:$C$10*$B$23:$C$23+$B$11:$C$11*$B$24:$C$24+$B$4:$C$4*($B$25:$C$25-$B$19:$C$19))*(X9:Y9*X22:Y22+X10:Y10*X23:Y23+X11:Y11*X24:Y24+X4:Y4*(X25:Y25-X19:Y19))/($B$9:$C$9*X22:Y22+$B$10:$C$10*X23:Y23+$B$11:$C$11*X24:Y24+$B$4:$C$4*(X25:Y25-X19:Y19)))</f>
        <v>0.96363432661467618</v>
      </c>
      <c r="Y65" s="181"/>
      <c r="Z65" s="181">
        <f t="array" ref="Z65">SQRT((Z9:AA9*$B$22:$C$22+Z10:AA10*$B$23:$C$23+Z11:AA11*$B$24:$C$24+Z4:AA4*($B$25:$C$25-$B$19:$C$19))/($B$9:$C$9*$B$22:$C$22+$B$10:$C$10*$B$23:$C$23+$B$11:$C$11*$B$24:$C$24+$B$4:$C$4*($B$25:$C$25-$B$19:$C$19))*(Z9:AA9*Z22:AA22+Z10:AA10*Z23:AA23+Z11:AA11*Z24:AA24+Z4:AA4*(Z25:AA25-Z19:AA19))/($B$9:$C$9*Z22:AA22+$B$10:$C$10*Z23:AA23+$B$11:$C$11*Z24:AA24+$B$4:$C$4*(Z25:AA25-Z19:AA19)))</f>
        <v>0.96201056637413174</v>
      </c>
      <c r="AA65" s="181"/>
      <c r="AB65" s="18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81"/>
      <c r="AD65" s="18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81"/>
      <c r="AF65" s="18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81"/>
      <c r="AH65" s="18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0.99681264798280633</v>
      </c>
      <c r="E66" s="181"/>
      <c r="F66" s="181">
        <f t="array" ref="F66">SQRT((F9:G9*$B$22:$C$22)/($B$9:$C$9*$B$22:$C$22)*(F9:G9*F22:G22)/($B$9:$C$9*F22:G22))</f>
        <v>0.99354203221556503</v>
      </c>
      <c r="G66" s="181"/>
      <c r="H66" s="181">
        <f t="array" ref="H66">SQRT((H9:I9*$B$22:$C$22)/($B$9:$C$9*$B$22:$C$22)*(H9:I9*H22:I22)/($B$9:$C$9*H22:I22))</f>
        <v>0.99015896476251786</v>
      </c>
      <c r="I66" s="181"/>
      <c r="J66" s="181">
        <f t="array" ref="J66">SQRT((J9:K9*$B$22:$C$22)/($B$9:$C$9*$B$22:$C$22)*(J9:K9*J22:K22)/($B$9:$C$9*J22:K22))</f>
        <v>0.98663599107423117</v>
      </c>
      <c r="K66" s="181"/>
      <c r="L66" s="181">
        <f t="array" ref="L66">SQRT((L9:M9*$B$22:$C$22)/($B$9:$C$9*$B$22:$C$22)*(L9:M9*L22:M22)/($B$9:$C$9*L22:M22))</f>
        <v>0.98295038044527827</v>
      </c>
      <c r="M66" s="181"/>
      <c r="N66" s="181">
        <f t="array" ref="N66">SQRT((N9:O9*$B$22:$C$22)/($B$9:$C$9*$B$22:$C$22)*(N9:O9*N22:O22)/($B$9:$C$9*N22:O22))</f>
        <v>0.97908922738810833</v>
      </c>
      <c r="O66" s="181"/>
      <c r="P66" s="181">
        <f t="array" ref="P66">SQRT((P9:Q9*$B$22:$C$22)/($B$9:$C$9*$B$22:$C$22)*(P9:Q9*P22:Q22)/($B$9:$C$9*P22:Q22))</f>
        <v>0.97505823634939348</v>
      </c>
      <c r="Q66" s="181"/>
      <c r="R66" s="181">
        <f t="array" ref="R66">SQRT((R9:S9*$B$22:$C$22)/($B$9:$C$9*$B$22:$C$22)*(R9:S9*R22:S22)/($B$9:$C$9*R22:S22))</f>
        <v>0.97089768980679381</v>
      </c>
      <c r="S66" s="181"/>
      <c r="T66" s="181">
        <f t="array" ref="T66">SQRT((T9:U9*$B$22:$C$22)/($B$9:$C$9*$B$22:$C$22)*(T9:U9*T22:U22)/($B$9:$C$9*T22:U22))</f>
        <v>0.96671273491086351</v>
      </c>
      <c r="U66" s="181"/>
      <c r="V66" s="181">
        <f t="array" ref="V66">SQRT((V9:W9*$B$22:$C$22)/($B$9:$C$9*$B$22:$C$22)*(V9:W9*V22:W22)/($B$9:$C$9*V22:W22))</f>
        <v>0.96273242692937211</v>
      </c>
      <c r="W66" s="181"/>
      <c r="X66" s="181">
        <f t="array" ref="X66">SQRT((X9:Y9*$B$22:$C$22)/($B$9:$C$9*$B$22:$C$22)*(X9:Y9*X22:Y22)/($B$9:$C$9*X22:Y22))</f>
        <v>0.95941730579920037</v>
      </c>
      <c r="Y66" s="181"/>
      <c r="Z66" s="181">
        <f t="array" ref="Z66">SQRT((Z9:AA9*$B$22:$C$22)/($B$9:$C$9*$B$22:$C$22)*(Z9:AA9*Z22:AA22)/($B$9:$C$9*Z22:AA22))</f>
        <v>0.95757614742462271</v>
      </c>
      <c r="AA66" s="181"/>
      <c r="AB66" s="181" t="e">
        <f t="array" ref="AB66">SQRT((AB9:AC9*$B$22:$C$22)/($B$9:$C$9*$B$22:$C$22)*(AB9:AC9*AB22:AC22)/($B$9:$C$9*AB22:AC22))</f>
        <v>#DIV/0!</v>
      </c>
      <c r="AC66" s="181"/>
      <c r="AD66" s="181" t="e">
        <f t="array" ref="AD66">SQRT((AD9:AE9*$B$22:$C$22)/($B$9:$C$9*$B$22:$C$22)*(AD9:AE9*AD22:AE22)/($B$9:$C$9*AD22:AE22))</f>
        <v>#DIV/0!</v>
      </c>
      <c r="AE66" s="181"/>
      <c r="AF66" s="181" t="e">
        <f t="array" ref="AF66">SQRT((AF9:AG9*$B$22:$C$22)/($B$9:$C$9*$B$22:$C$22)*(AF9:AG9*AF22:AG22)/($B$9:$C$9*AF22:AG22))</f>
        <v>#DIV/0!</v>
      </c>
      <c r="AG66" s="181"/>
      <c r="AH66" s="181" t="e">
        <f t="array" ref="AH66">SQRT((AH9:AI9*$B$22:$C$22)/($B$9:$C$9*$B$22:$C$22)*(AH9:AI9*AH22:AI22)/($B$9:$C$9*AH22:AI22))</f>
        <v>#DIV/0!</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t="e">
        <f t="array" ref="AB67">SQRT((AB4:AC4*$B$19:$C$19)/($B$4:$C$4*$B$19:$C$19)*(AB4:AC4*AB19:AC19)/($B$4:$C$4*AB19:AC19))</f>
        <v>#DIV/0!</v>
      </c>
      <c r="AC67" s="181"/>
      <c r="AD67" s="181" t="e">
        <f t="array" ref="AD67">SQRT((AD4:AE4*$B$19:$C$19)/($B$4:$C$4*$B$19:$C$19)*(AD4:AE4*AD19:AE19)/($B$4:$C$4*AD19:AE19))</f>
        <v>#DIV/0!</v>
      </c>
      <c r="AE67" s="181"/>
      <c r="AF67" s="181" t="e">
        <f t="array" ref="AF67">SQRT((AF4:AG4*$B$19:$C$19)/($B$4:$C$4*$B$19:$C$19)*(AF4:AG4*AF19:AG19)/($B$4:$C$4*AF19:AG19))</f>
        <v>#DIV/0!</v>
      </c>
      <c r="AG67" s="181"/>
      <c r="AH67" s="181" t="e">
        <f t="array" ref="AH67">SQRT((AH4:AI4*$B$19:$C$19)/($B$4:$C$4*$B$19:$C$19)*(AH4:AI4*AH19:AI19)/($B$4:$C$4*AH19:AI19))</f>
        <v>#DIV/0!</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0.99681264798280633</v>
      </c>
      <c r="E68" s="181"/>
      <c r="F68" s="181">
        <f>F66/F67</f>
        <v>0.99354203221556503</v>
      </c>
      <c r="G68" s="181"/>
      <c r="H68" s="181">
        <f>H66/H67</f>
        <v>0.99015896476251786</v>
      </c>
      <c r="I68" s="181"/>
      <c r="J68" s="181">
        <f>J66/J67</f>
        <v>0.98663599107423117</v>
      </c>
      <c r="K68" s="181"/>
      <c r="L68" s="181">
        <f>L66/L67</f>
        <v>0.98295038044527827</v>
      </c>
      <c r="M68" s="181"/>
      <c r="N68" s="181">
        <f>N66/N67</f>
        <v>0.97908922738810833</v>
      </c>
      <c r="O68" s="181"/>
      <c r="P68" s="181">
        <f>P66/P67</f>
        <v>0.97505823634939348</v>
      </c>
      <c r="Q68" s="181"/>
      <c r="R68" s="181">
        <f>R66/R67</f>
        <v>0.97089768980679381</v>
      </c>
      <c r="S68" s="181"/>
      <c r="T68" s="181">
        <f>T66/T67</f>
        <v>0.96671273491086351</v>
      </c>
      <c r="U68" s="181"/>
      <c r="V68" s="181">
        <f>V66/V67</f>
        <v>0.96273242692937211</v>
      </c>
      <c r="W68" s="181"/>
      <c r="X68" s="181">
        <f>X66/X67</f>
        <v>0.95941730579920037</v>
      </c>
      <c r="Y68" s="181"/>
      <c r="Z68" s="181">
        <f>Z66/Z67</f>
        <v>0.95757614742462271</v>
      </c>
      <c r="AA68" s="181"/>
      <c r="AB68" s="181" t="e">
        <f>AB66/AB67</f>
        <v>#DIV/0!</v>
      </c>
      <c r="AC68" s="181"/>
      <c r="AD68" s="181" t="e">
        <f>AD66/AD67</f>
        <v>#DIV/0!</v>
      </c>
      <c r="AE68" s="181"/>
      <c r="AF68" s="181" t="e">
        <f>AF66/AF67</f>
        <v>#DIV/0!</v>
      </c>
      <c r="AG68" s="181"/>
      <c r="AH68" s="181" t="e">
        <f>AH66/AH67</f>
        <v>#DIV/0!</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1.0189258430585824</v>
      </c>
      <c r="E69" s="181"/>
      <c r="F69" s="181">
        <f>F32/F65/($B$32)</f>
        <v>1.0384558941658433</v>
      </c>
      <c r="G69" s="181"/>
      <c r="H69" s="181">
        <f>H32/H65/($B$32)</f>
        <v>1.0587129116956961</v>
      </c>
      <c r="I69" s="181"/>
      <c r="J69" s="181">
        <f>J32/J65/($B$32)</f>
        <v>1.079856861699654</v>
      </c>
      <c r="K69" s="181"/>
      <c r="L69" s="181">
        <f>L32/L65/($B$32)</f>
        <v>1.1021094995091467</v>
      </c>
      <c r="M69" s="181"/>
      <c r="N69" s="181">
        <f>N32/N65/($B$32)</f>
        <v>1.1257967717646569</v>
      </c>
      <c r="O69" s="181"/>
      <c r="P69" s="181">
        <f>P32/P65/($B$32)</f>
        <v>1.1514258846439291</v>
      </c>
      <c r="Q69" s="181"/>
      <c r="R69" s="181">
        <f>R32/R65/($B$32)</f>
        <v>1.1798272408784847</v>
      </c>
      <c r="S69" s="181"/>
      <c r="T69" s="181">
        <f>T32/T65/($B$32)</f>
        <v>1.2124298141510996</v>
      </c>
      <c r="U69" s="181"/>
      <c r="V69" s="181">
        <f>V32/V65/($B$32)</f>
        <v>1.2518114352029988</v>
      </c>
      <c r="W69" s="181"/>
      <c r="X69" s="181">
        <f>X32/X65/($B$32)</f>
        <v>1.3027717899064006</v>
      </c>
      <c r="Y69" s="181"/>
      <c r="Z69" s="181">
        <f>Z32/Z65/($B$32)</f>
        <v>1.3739532343560403</v>
      </c>
      <c r="AA69" s="181"/>
      <c r="AB69" s="181" t="e">
        <f>AB32/AB65/($B$32)</f>
        <v>#DIV/0!</v>
      </c>
      <c r="AC69" s="181"/>
      <c r="AD69" s="181" t="e">
        <f>AD32/AD65/($B$32)</f>
        <v>#DIV/0!</v>
      </c>
      <c r="AE69" s="181"/>
      <c r="AF69" s="181" t="e">
        <f>AF32/AF65/($B$32)</f>
        <v>#DIV/0!</v>
      </c>
      <c r="AG69" s="181"/>
      <c r="AH69" s="181" t="e">
        <f>AH32/AH65/($B$32)</f>
        <v>#DIV/0!</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1.0171847995926833</v>
      </c>
      <c r="E70" s="129"/>
      <c r="F70" s="129">
        <f>F18/$B$18</f>
        <v>1.034802863754958</v>
      </c>
      <c r="G70" s="129"/>
      <c r="H70" s="129">
        <f>H18/$B$18</f>
        <v>1.0529463901328633</v>
      </c>
      <c r="I70" s="129"/>
      <c r="J70" s="129">
        <f>J18/$B$18</f>
        <v>1.0717301020089172</v>
      </c>
      <c r="K70" s="129"/>
      <c r="L70" s="129">
        <f>L18/$B$18</f>
        <v>1.0913054696285927</v>
      </c>
      <c r="M70" s="129"/>
      <c r="N70" s="129">
        <f>N18/$B$18</f>
        <v>1.1118846366529134</v>
      </c>
      <c r="O70" s="129"/>
      <c r="P70" s="129">
        <f>P18/$B$18</f>
        <v>1.1337836398852505</v>
      </c>
      <c r="Q70" s="129"/>
      <c r="R70" s="129">
        <f>R18/$B$18</f>
        <v>1.1574993108846225</v>
      </c>
      <c r="S70" s="129"/>
      <c r="T70" s="129">
        <f>T18/$B$18</f>
        <v>1.1838532714330539</v>
      </c>
      <c r="U70" s="129"/>
      <c r="V70" s="129">
        <f>V18/$B$18</f>
        <v>1.2142629808295704</v>
      </c>
      <c r="W70" s="129"/>
      <c r="X70" s="129">
        <f>X18/$B$18</f>
        <v>1.2512116373390909</v>
      </c>
      <c r="Y70" s="129"/>
      <c r="Z70" s="129">
        <f>Z18/$B$18</f>
        <v>1.298721323727817</v>
      </c>
      <c r="AA70" s="129"/>
      <c r="AB70" s="129">
        <f>AB18/$B$18</f>
        <v>0</v>
      </c>
      <c r="AC70" s="129"/>
      <c r="AD70" s="129">
        <f>AD18/$B$18</f>
        <v>0</v>
      </c>
      <c r="AE70" s="129"/>
      <c r="AF70" s="129">
        <f>AF18/$B$18</f>
        <v>0</v>
      </c>
      <c r="AG70" s="129"/>
      <c r="AH70" s="129">
        <f>AH18/$B$18</f>
        <v>0</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0.91245751379791362</v>
      </c>
      <c r="E71" s="129"/>
      <c r="F71" s="129">
        <f>G18/$C$18</f>
        <v>0.82480286652004808</v>
      </c>
      <c r="G71" s="129"/>
      <c r="H71" s="129">
        <f>I18/$C$18</f>
        <v>0.73702312589133889</v>
      </c>
      <c r="I71" s="129"/>
      <c r="J71" s="129">
        <f>K18/$C$18</f>
        <v>0.6491832791859985</v>
      </c>
      <c r="K71" s="129"/>
      <c r="L71" s="129">
        <f>M18/$C$18</f>
        <v>0.56146839593928499</v>
      </c>
      <c r="M71" s="129"/>
      <c r="N71" s="129">
        <f>O18/$C$18</f>
        <v>0.47424273702674874</v>
      </c>
      <c r="O71" s="129"/>
      <c r="P71" s="129">
        <f>Q18/$C$18</f>
        <v>0.38813916289748318</v>
      </c>
      <c r="Q71" s="129"/>
      <c r="R71" s="129">
        <f>S18/$C$18</f>
        <v>0.30419408662799735</v>
      </c>
      <c r="S71" s="129"/>
      <c r="T71" s="129">
        <f>U18/$C$18</f>
        <v>0.22406412489027852</v>
      </c>
      <c r="U71" s="129"/>
      <c r="V71" s="129">
        <f>W18/$C$18</f>
        <v>0.1503687715793238</v>
      </c>
      <c r="W71" s="129"/>
      <c r="X71" s="129">
        <f>Y18/$C$18</f>
        <v>8.7146424821021806E-2</v>
      </c>
      <c r="Y71" s="129"/>
      <c r="Z71" s="129">
        <f>AA18/$C$18</f>
        <v>3.9880757427560108E-2</v>
      </c>
      <c r="AA71" s="129"/>
      <c r="AB71" s="129">
        <f>AC18/$C$18</f>
        <v>0</v>
      </c>
      <c r="AC71" s="129"/>
      <c r="AD71" s="129">
        <f>AE18/$C$18</f>
        <v>0</v>
      </c>
      <c r="AE71" s="129"/>
      <c r="AF71" s="129">
        <f>AG18/$C$18</f>
        <v>0</v>
      </c>
      <c r="AG71" s="129"/>
      <c r="AH71" s="129">
        <f>AI18/$C$18</f>
        <v>0</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1.0927164271272813</v>
      </c>
      <c r="E72" s="129"/>
      <c r="F72" s="129">
        <f>G19/$C$19</f>
        <v>1.1988967212400123</v>
      </c>
      <c r="G72" s="129"/>
      <c r="H72" s="129">
        <f>I19/$C$19</f>
        <v>1.3204186773930207</v>
      </c>
      <c r="I72" s="129"/>
      <c r="J72" s="129">
        <f>K19/$C$19</f>
        <v>1.4592112600485596</v>
      </c>
      <c r="K72" s="129"/>
      <c r="L72" s="129">
        <f>M19/$C$19</f>
        <v>1.6171059888176278</v>
      </c>
      <c r="M72" s="129"/>
      <c r="N72" s="129">
        <f>O19/$C$19</f>
        <v>1.795568387450466</v>
      </c>
      <c r="O72" s="129"/>
      <c r="P72" s="129">
        <f>Q19/$C$19</f>
        <v>1.9952035817583031</v>
      </c>
      <c r="Q72" s="129"/>
      <c r="R72" s="129">
        <f>S19/$C$19</f>
        <v>2.214807711645129</v>
      </c>
      <c r="S72" s="129"/>
      <c r="T72" s="129">
        <f>U19/$C$19</f>
        <v>2.4494517739191766</v>
      </c>
      <c r="U72" s="129"/>
      <c r="V72" s="129">
        <f>W19/$C$19</f>
        <v>2.6864412919423124</v>
      </c>
      <c r="W72" s="129"/>
      <c r="X72" s="129">
        <f>Y19/$C$19</f>
        <v>2.8969368538942701</v>
      </c>
      <c r="Y72" s="129"/>
      <c r="Z72" s="129">
        <f>AA19/$C$19</f>
        <v>3.0225258630519876</v>
      </c>
      <c r="AA72" s="129"/>
      <c r="AB72" s="129">
        <f>AC19/$C$19</f>
        <v>0</v>
      </c>
      <c r="AC72" s="129"/>
      <c r="AD72" s="129">
        <f>AE19/$C$19</f>
        <v>0</v>
      </c>
      <c r="AE72" s="129"/>
      <c r="AF72" s="129">
        <f>AG19/$C$19</f>
        <v>0</v>
      </c>
      <c r="AG72" s="129"/>
      <c r="AH72" s="129">
        <f>AI19/$C$19</f>
        <v>0</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0.47641153352875065</v>
      </c>
      <c r="D73" s="183">
        <f t="array" ref="D73">SUM(D9:E9*D22:E22)/D32</f>
        <v>0.47641153290286947</v>
      </c>
      <c r="E73" s="129"/>
      <c r="F73" s="183">
        <f t="array" ref="F73">SUM(F9:G9*F22:G22)/F32</f>
        <v>0.47641153345220555</v>
      </c>
      <c r="G73" s="129"/>
      <c r="H73" s="183">
        <f t="array" ref="H73">SUM(H9:I9*H22:I22)/H32</f>
        <v>0.47641153339339981</v>
      </c>
      <c r="I73" s="129"/>
      <c r="J73" s="183">
        <f t="array" ref="J73">SUM(J9:K9*J22:K22)/J32</f>
        <v>0.47641153609512971</v>
      </c>
      <c r="K73" s="129"/>
      <c r="L73" s="183">
        <f t="array" ref="L73">SUM(L9:M9*L22:M22)/L32</f>
        <v>0.47641153307824158</v>
      </c>
      <c r="M73" s="129"/>
      <c r="N73" s="183">
        <f t="array" ref="N73">SUM(N9:O9*N22:O22)/N32</f>
        <v>0.47641153431786992</v>
      </c>
      <c r="O73" s="129"/>
      <c r="P73" s="183">
        <f t="array" ref="P73">SUM(P9:Q9*P22:Q22)/P32</f>
        <v>0.4764115343926757</v>
      </c>
      <c r="Q73" s="129"/>
      <c r="R73" s="183">
        <f t="array" ref="R73">SUM(R9:S9*R22:S22)/R32</f>
        <v>0.47641153340310227</v>
      </c>
      <c r="S73" s="129"/>
      <c r="T73" s="183">
        <f t="array" ref="T73">SUM(T9:U9*T22:U22)/T32</f>
        <v>0.47641153284983484</v>
      </c>
      <c r="U73" s="129"/>
      <c r="V73" s="183">
        <f t="array" ref="V73">SUM(V9:W9*V22:W22)/V32</f>
        <v>0.47641153332586544</v>
      </c>
      <c r="W73" s="129"/>
      <c r="X73" s="183">
        <f t="array" ref="X73">SUM(X9:Y9*X22:Y22)/X32</f>
        <v>0.47641153323288415</v>
      </c>
      <c r="Y73" s="129"/>
      <c r="Z73" s="183">
        <f t="array" ref="Z73">SUM(Z9:AA9*Z22:AA22)/Z32</f>
        <v>0.47641153362595473</v>
      </c>
      <c r="AA73" s="129"/>
      <c r="AB73" s="183" t="e">
        <f t="array" ref="AB73">SUM(AB9:AC9*AB22:AC22)/AB32</f>
        <v>#DIV/0!</v>
      </c>
      <c r="AC73" s="129"/>
      <c r="AD73" s="183" t="e">
        <f t="array" ref="AD73">SUM(AD9:AE9*AD22:AE22)/AD32</f>
        <v>#DIV/0!</v>
      </c>
      <c r="AE73" s="129"/>
      <c r="AF73" s="183" t="e">
        <f t="array" ref="AF73">SUM(AF9:AG9*AF22:AG22)/AF32</f>
        <v>#DIV/0!</v>
      </c>
      <c r="AG73" s="129"/>
      <c r="AH73" s="183" t="e">
        <f t="array" ref="AH73">SUM(AH9:AI9*AH22:AI22)/AH32</f>
        <v>#DIV/0!</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0.22604620456442481</v>
      </c>
      <c r="W74" s="129"/>
      <c r="X74" s="183">
        <f t="array" ref="X74">SUM(X10:Y10*X23:Y23)/X32</f>
        <v>0.22604620456442484</v>
      </c>
      <c r="Y74" s="129"/>
      <c r="Z74" s="183">
        <f t="array" ref="Z74">SUM(Z10:AA10*Z23:AA23)/Z32</f>
        <v>0.22604620456442484</v>
      </c>
      <c r="AA74" s="129"/>
      <c r="AB74" s="183" t="e">
        <f t="array" ref="AB74">SUM(AB10:AC10*AB23:AC23)/AB32</f>
        <v>#DIV/0!</v>
      </c>
      <c r="AC74" s="129"/>
      <c r="AD74" s="183" t="e">
        <f t="array" ref="AD74">SUM(AD10:AE10*AD23:AE23)/AD32</f>
        <v>#DIV/0!</v>
      </c>
      <c r="AE74" s="129"/>
      <c r="AF74" s="183" t="e">
        <f t="array" ref="AF74">SUM(AF10:AG10*AF23:AG23)/AF32</f>
        <v>#DIV/0!</v>
      </c>
      <c r="AG74" s="129"/>
      <c r="AH74" s="183" t="e">
        <f t="array" ref="AH74">SUM(AH10:AI10*AH23:AI23)/AH32</f>
        <v>#DIV/0!</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0.22038438806283925</v>
      </c>
      <c r="E75" s="129"/>
      <c r="F75" s="183">
        <f t="array" ref="F75">SUM(F11:G11*F24:G24)/F32</f>
        <v>0.22038438830517118</v>
      </c>
      <c r="G75" s="129"/>
      <c r="H75" s="183">
        <f t="array" ref="H75">SUM(H11:I11*H24:I24)/H32</f>
        <v>0.22038438829360971</v>
      </c>
      <c r="I75" s="129"/>
      <c r="J75" s="183">
        <f t="array" ref="J75">SUM(J11:K11*J24:K24)/J32</f>
        <v>0.22038438850695072</v>
      </c>
      <c r="K75" s="129"/>
      <c r="L75" s="183">
        <f t="array" ref="L75">SUM(L11:M11*L24:M24)/L32</f>
        <v>0.2203843882731753</v>
      </c>
      <c r="M75" s="129"/>
      <c r="N75" s="183">
        <f t="array" ref="N75">SUM(N11:O11*N24:O24)/N32</f>
        <v>0.2203843881423754</v>
      </c>
      <c r="O75" s="129"/>
      <c r="P75" s="183">
        <f t="array" ref="P75">SUM(P11:Q11*P24:Q24)/P32</f>
        <v>0.2203843880962075</v>
      </c>
      <c r="Q75" s="129"/>
      <c r="R75" s="183">
        <f t="array" ref="R75">SUM(R11:S11*R24:S24)/R32</f>
        <v>0.22038438830993193</v>
      </c>
      <c r="S75" s="129"/>
      <c r="T75" s="183">
        <f t="array" ref="T75">SUM(T11:U11*T24:U24)/T32</f>
        <v>0.22038438825849915</v>
      </c>
      <c r="U75" s="129"/>
      <c r="V75" s="183">
        <f t="array" ref="V75">SUM(V11:W11*V24:W24)/V32</f>
        <v>0.22038438832137344</v>
      </c>
      <c r="W75" s="129"/>
      <c r="X75" s="183">
        <f t="array" ref="X75">SUM(X11:Y11*X24:Y24)/X32</f>
        <v>0.22038438832576734</v>
      </c>
      <c r="Y75" s="129"/>
      <c r="Z75" s="183">
        <f t="array" ref="Z75">SUM(Z11:AA11*Z24:AA24)/Z32</f>
        <v>0.22038438833326252</v>
      </c>
      <c r="AA75" s="129"/>
      <c r="AB75" s="183" t="e">
        <f t="array" ref="AB75">SUM(AB11:AC11*AB24:AC24)/AB32</f>
        <v>#DIV/0!</v>
      </c>
      <c r="AC75" s="129"/>
      <c r="AD75" s="183" t="e">
        <f t="array" ref="AD75">SUM(AD11:AE11*AD24:AE24)/AD32</f>
        <v>#DIV/0!</v>
      </c>
      <c r="AE75" s="129"/>
      <c r="AF75" s="183" t="e">
        <f t="array" ref="AF75">SUM(AF11:AG11*AF24:AG24)/AF32</f>
        <v>#DIV/0!</v>
      </c>
      <c r="AG75" s="129"/>
      <c r="AH75" s="183" t="e">
        <f t="array" ref="AH75">SUM(AH11:AI11*AH24:AI24)/AH32</f>
        <v>#DIV/0!</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0.22353981976249784</v>
      </c>
      <c r="E76" s="129"/>
      <c r="F76" s="183">
        <f t="array" ref="F76">SUM(F12:G12*F25:G25)/F32</f>
        <v>0.22421624377158739</v>
      </c>
      <c r="G76" s="129"/>
      <c r="H76" s="183">
        <f t="array" ref="H76">SUM(H12:I12*H25:I25)/H32</f>
        <v>0.22505991835405606</v>
      </c>
      <c r="I76" s="129"/>
      <c r="J76" s="183">
        <f t="array" ref="J76">SUM(J12:K12*J25:K25)/J32</f>
        <v>0.22607955426345638</v>
      </c>
      <c r="K76" s="129"/>
      <c r="L76" s="183">
        <f t="array" ref="L76">SUM(L12:M12*L25:M25)/L32</f>
        <v>0.22727685766234931</v>
      </c>
      <c r="M76" s="129"/>
      <c r="N76" s="183">
        <f t="array" ref="N76">SUM(N12:O12*N25:O25)/N32</f>
        <v>0.22863988220333734</v>
      </c>
      <c r="O76" s="129"/>
      <c r="P76" s="183">
        <f t="array" ref="P76">SUM(P12:Q12*P25:Q25)/P32</f>
        <v>0.2301312479170104</v>
      </c>
      <c r="Q76" s="129"/>
      <c r="R76" s="183">
        <f t="array" ref="R76">SUM(R12:S12*R25:S25)/R32</f>
        <v>0.23166625934857887</v>
      </c>
      <c r="S76" s="129"/>
      <c r="T76" s="183">
        <f t="array" ref="T76">SUM(T12:U12*T25:U25)/T32</f>
        <v>0.23307084803422867</v>
      </c>
      <c r="U76" s="129"/>
      <c r="V76" s="183">
        <f t="array" ref="V76">SUM(V12:W12*V25:W25)/V32</f>
        <v>0.23399914280888148</v>
      </c>
      <c r="W76" s="129"/>
      <c r="X76" s="183">
        <f t="array" ref="X76">SUM(X12:Y12*X25:Y25)/X32</f>
        <v>0.23378200814936065</v>
      </c>
      <c r="Y76" s="129"/>
      <c r="Z76" s="183">
        <f t="array" ref="Z76">SUM(Z12:AA12*Z25:AA25)/Z32</f>
        <v>0.23124851052268808</v>
      </c>
      <c r="AA76" s="129"/>
      <c r="AB76" s="183" t="e">
        <f t="array" ref="AB76">SUM(AB12:AC12*AB25:AC25)/AB32</f>
        <v>#DIV/0!</v>
      </c>
      <c r="AC76" s="129"/>
      <c r="AD76" s="183" t="e">
        <f t="array" ref="AD76">SUM(AD12:AE12*AD25:AE25)/AD32</f>
        <v>#DIV/0!</v>
      </c>
      <c r="AE76" s="129"/>
      <c r="AF76" s="183" t="e">
        <f t="array" ref="AF76">SUM(AF12:AG12*AF25:AG25)/AF32</f>
        <v>#DIV/0!</v>
      </c>
      <c r="AG76" s="129"/>
      <c r="AH76" s="183" t="e">
        <f t="array" ref="AH76">SUM(AH12:AI12*AH25:AI25)/AH32</f>
        <v>#DIV/0!</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0.14638194529263115</v>
      </c>
      <c r="E77" s="129"/>
      <c r="F77" s="183">
        <f t="array" ref="F77">SUM(F4:G4*F19:G19)/F32</f>
        <v>0.14705837009338874</v>
      </c>
      <c r="G77" s="129"/>
      <c r="H77" s="183">
        <f t="array" ref="H77">SUM(H4:I4*H19:I19)/H32</f>
        <v>0.14790204460549</v>
      </c>
      <c r="I77" s="129"/>
      <c r="J77" s="183">
        <f t="array" ref="J77">SUM(J4:K4*J19:K19)/J32</f>
        <v>0.14892168342996137</v>
      </c>
      <c r="K77" s="129"/>
      <c r="L77" s="183">
        <f t="array" ref="L77">SUM(L4:M4*L19:M19)/L32</f>
        <v>0.15011898357819084</v>
      </c>
      <c r="M77" s="129"/>
      <c r="N77" s="183">
        <f t="array" ref="N77">SUM(N4:O4*N19:O19)/N32</f>
        <v>0.15148200922800692</v>
      </c>
      <c r="O77" s="129"/>
      <c r="P77" s="183">
        <f t="array" ref="P77">SUM(P4:Q4*P19:Q19)/P32</f>
        <v>0.15297337497031804</v>
      </c>
      <c r="Q77" s="129"/>
      <c r="R77" s="183">
        <f t="array" ref="R77">SUM(R4:S4*R19:S19)/R32</f>
        <v>0.15450838562603697</v>
      </c>
      <c r="S77" s="129"/>
      <c r="T77" s="183">
        <f t="array" ref="T77">SUM(T4:U4*T19:U19)/T32</f>
        <v>0.15591297370698678</v>
      </c>
      <c r="U77" s="129"/>
      <c r="V77" s="183">
        <f t="array" ref="V77">SUM(V4:W4*V19:W19)/V32</f>
        <v>0.1568412690205449</v>
      </c>
      <c r="W77" s="129"/>
      <c r="X77" s="183">
        <f t="array" ref="X77">SUM(X4:Y4*X19:Y19)/X32</f>
        <v>0.15662413427243668</v>
      </c>
      <c r="Y77" s="129"/>
      <c r="Z77" s="183">
        <f t="array" ref="Z77">SUM(Z4:AA4*Z19:AA19)/Z32</f>
        <v>0.15409063704632991</v>
      </c>
      <c r="AA77" s="129"/>
      <c r="AB77" s="183" t="e">
        <f t="array" ref="AB77">SUM(AB4:AC4*AB19:AC19)/AB32</f>
        <v>#DIV/0!</v>
      </c>
      <c r="AC77" s="129"/>
      <c r="AD77" s="183" t="e">
        <f t="array" ref="AD77">SUM(AD4:AE4*AD19:AE19)/AD32</f>
        <v>#DIV/0!</v>
      </c>
      <c r="AE77" s="129"/>
      <c r="AF77" s="183" t="e">
        <f t="array" ref="AF77">SUM(AF4:AG4*AF19:AG19)/AF32</f>
        <v>#DIV/0!</v>
      </c>
      <c r="AG77" s="129"/>
      <c r="AH77" s="183" t="e">
        <f t="array" ref="AH77">SUM(AH4:AI4*AH19:AI19)/AH32</f>
        <v>#DIV/0!</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0.33381502886897851</v>
      </c>
      <c r="E78" s="129"/>
      <c r="F78" s="183">
        <f t="array" ref="F78">SUM(F13:G13*F26:G26)/F32</f>
        <v>0.32006581958311559</v>
      </c>
      <c r="G78" s="129"/>
      <c r="H78" s="183">
        <f t="array" ref="H78">SUM(H13:I13*H26:I26)/H32</f>
        <v>0.30550836083938604</v>
      </c>
      <c r="I78" s="129"/>
      <c r="J78" s="183">
        <f t="array" ref="J78">SUM(J13:K13*J26:K26)/J32</f>
        <v>0.28997112725456164</v>
      </c>
      <c r="K78" s="129"/>
      <c r="L78" s="183">
        <f t="array" ref="L78">SUM(L13:M13*L26:M26)/L32</f>
        <v>0.27321962161233082</v>
      </c>
      <c r="M78" s="129"/>
      <c r="N78" s="183">
        <f t="array" ref="N78">SUM(N13:O13*N26:O26)/N32</f>
        <v>0.25491752842397347</v>
      </c>
      <c r="O78" s="129"/>
      <c r="P78" s="183">
        <f t="array" ref="P78">SUM(P13:Q13*P26:Q26)/P32</f>
        <v>0.23455796789304315</v>
      </c>
      <c r="Q78" s="129"/>
      <c r="R78" s="183">
        <f t="array" ref="R78">SUM(R13:S13*R26:S26)/R32</f>
        <v>0.21133876584187666</v>
      </c>
      <c r="S78" s="129"/>
      <c r="T78" s="183">
        <f t="array" ref="T78">SUM(T13:U13*T26:U26)/T32</f>
        <v>0.18392474294426461</v>
      </c>
      <c r="U78" s="129"/>
      <c r="V78" s="183">
        <f t="array" ref="V78">SUM(V13:W13*V26:W26)/V32</f>
        <v>0.14998072238598043</v>
      </c>
      <c r="W78" s="129"/>
      <c r="X78" s="183">
        <f t="array" ref="X78">SUM(X13:Y13*X26:Y26)/X32</f>
        <v>0.10527580591523385</v>
      </c>
      <c r="Y78" s="129"/>
      <c r="Z78" s="183">
        <f t="array" ref="Z78">SUM(Z13:AA13*Z26:AA26)/Z32</f>
        <v>4.2356081785327682E-2</v>
      </c>
      <c r="AA78" s="129"/>
      <c r="AB78" s="183" t="e">
        <f t="array" ref="AB78">SUM(AB13:AC13*AB26:AC26)/AB32</f>
        <v>#DIV/0!</v>
      </c>
      <c r="AC78" s="129"/>
      <c r="AD78" s="183" t="e">
        <f t="array" ref="AD78">SUM(AD13:AE13*AD26:AE26)/AD32</f>
        <v>#DIV/0!</v>
      </c>
      <c r="AE78" s="129"/>
      <c r="AF78" s="183" t="e">
        <f t="array" ref="AF78">SUM(AF13:AG13*AF26:AG26)/AF32</f>
        <v>#DIV/0!</v>
      </c>
      <c r="AG78" s="129"/>
      <c r="AH78" s="183" t="e">
        <f t="array" ref="AH78">SUM(AH13:AI13*AH26:AI26)/AH32</f>
        <v>#DIV/0!</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0.46768224753850463</v>
      </c>
      <c r="F79" s="183">
        <f t="array" ref="F79">SUM(F15:G15*F27:G27)/F32</f>
        <v>0.48143146217979155</v>
      </c>
      <c r="H79" s="183">
        <f t="array" ref="H79">SUM(H15:I15*H27:I27)/H32</f>
        <v>0.49598892158848579</v>
      </c>
      <c r="J79" s="183">
        <f t="array" ref="J79">SUM(J15:K15*J27:K27)/J32</f>
        <v>0.51152615187806638</v>
      </c>
      <c r="L79" s="183">
        <f t="array" ref="L79">SUM(L15:M15*L27:M27)/L32</f>
        <v>0.52827766322630731</v>
      </c>
      <c r="N79" s="183">
        <f t="array" ref="N79">SUM(N15:O15*N27:O27)/N32</f>
        <v>0.5465797480479645</v>
      </c>
      <c r="P79" s="183">
        <f t="array" ref="P79">SUM(P15:Q15*P27:Q27)/P32</f>
        <v>0.56693930672746018</v>
      </c>
      <c r="R79" s="183">
        <f t="array" ref="R79">SUM(R15:S15*R27:S27)/R32</f>
        <v>0.59015851449567791</v>
      </c>
      <c r="T79" s="183">
        <f t="array" ref="T79">SUM(T15:U15*T27:U27)/T32</f>
        <v>0.61757253602900652</v>
      </c>
      <c r="V79" s="183">
        <f t="array" ref="V79">SUM(V15:W15*V27:W27)/V32</f>
        <v>0.65151655837736511</v>
      </c>
      <c r="X79" s="183">
        <f t="array" ref="X79">SUM(X15:Y15*X27:Y27)/X32</f>
        <v>0.69622147543122603</v>
      </c>
      <c r="Z79" s="183">
        <f t="array" ref="Z79">SUM(Z15:AA15*Z27:AA27)/Z32</f>
        <v>0.75914120155670695</v>
      </c>
      <c r="AB79" s="183" t="e">
        <f t="array" ref="AB79">SUM(AB15:AC15*AB27:AC27)/AB32</f>
        <v>#DIV/0!</v>
      </c>
      <c r="AD79" s="183" t="e">
        <f t="array" ref="AD79">SUM(AD15:AE15*AD27:AE27)/AD32</f>
        <v>#DIV/0!</v>
      </c>
      <c r="AF79" s="183" t="e">
        <f t="array" ref="AF79">SUM(AF15:AG15*AF27:AG27)/AF32</f>
        <v>#DIV/0!</v>
      </c>
      <c r="AH79" s="183" t="e">
        <f t="array" ref="AH79">SUM(AH15:AI15*AH27:AI27)/AH32</f>
        <v>#DIV/0!</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0.1985027186877116</v>
      </c>
      <c r="F80" s="195">
        <f>F55</f>
        <v>0.1985027183610851</v>
      </c>
      <c r="H80" s="195">
        <f>H55</f>
        <v>0.19850271803031638</v>
      </c>
      <c r="J80" s="195">
        <f>J55</f>
        <v>0.19850272860399079</v>
      </c>
      <c r="L80" s="195">
        <f>L55</f>
        <v>0.19850271755596779</v>
      </c>
      <c r="N80" s="195">
        <f>N55</f>
        <v>0.19850272788976411</v>
      </c>
      <c r="P80" s="195">
        <f>P55</f>
        <v>0.19850273042078623</v>
      </c>
      <c r="R80" s="195">
        <f>R55</f>
        <v>0.19850271845730424</v>
      </c>
      <c r="T80" s="195">
        <f>T55</f>
        <v>0.19850271554233823</v>
      </c>
      <c r="V80" s="195">
        <f>V55</f>
        <v>0.1985027179173505</v>
      </c>
      <c r="X80" s="195">
        <f>X55</f>
        <v>0.19850271661909183</v>
      </c>
      <c r="Z80" s="195">
        <f>Z55</f>
        <v>0.19850272083191717</v>
      </c>
      <c r="AB80" s="195" t="e">
        <f>AB55</f>
        <v>#DIV/0!</v>
      </c>
      <c r="AD80" s="195" t="e">
        <f>AD55</f>
        <v>#DIV/0!</v>
      </c>
      <c r="AF80" s="195" t="e">
        <f>AF55</f>
        <v>#DIV/0!</v>
      </c>
      <c r="AH80" s="195" t="e">
        <f>AH55</f>
        <v>#DIV/0!</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-2.7543485876713219E-2</v>
      </c>
      <c r="F81" s="195">
        <f>F51/F$32</f>
        <v>-2.7543486203339754E-2</v>
      </c>
      <c r="H81" s="195">
        <f>H51/H$32</f>
        <v>-2.7543486534108437E-2</v>
      </c>
      <c r="J81" s="195">
        <f>J51/J$32</f>
        <v>-2.7543475960434039E-2</v>
      </c>
      <c r="L81" s="195">
        <f>L51/L$32</f>
        <v>-2.7543487008457029E-2</v>
      </c>
      <c r="N81" s="195">
        <f>N51/N$32</f>
        <v>-2.7543476674660724E-2</v>
      </c>
      <c r="P81" s="195">
        <f>P51/P$32</f>
        <v>-2.7543474143638634E-2</v>
      </c>
      <c r="R81" s="195">
        <f>R51/R$32</f>
        <v>-2.7543486107120575E-2</v>
      </c>
      <c r="T81" s="195">
        <f>T51/T$32</f>
        <v>-2.7543489022086635E-2</v>
      </c>
      <c r="V81" s="195">
        <f>V51/V$32</f>
        <v>-2.7543486647074324E-2</v>
      </c>
      <c r="X81" s="195">
        <f>X51/X$32</f>
        <v>-2.7543487945333039E-2</v>
      </c>
      <c r="Z81" s="195">
        <f>Z51/Z$32</f>
        <v>-2.7543483732507684E-2</v>
      </c>
      <c r="AB81" s="195" t="e">
        <f>AB51/AB$32</f>
        <v>#DIV/0!</v>
      </c>
      <c r="AD81" s="195" t="e">
        <f>AD51/AD$32</f>
        <v>#DIV/0!</v>
      </c>
      <c r="AF81" s="195" t="e">
        <f>AF51/AF$32</f>
        <v>#DIV/0!</v>
      </c>
      <c r="AH81" s="195" t="e">
        <f>AH51/AH$32</f>
        <v>#DIV/0!</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0.13539473026002535</v>
      </c>
      <c r="F82" s="195">
        <f>F52/F$32</f>
        <v>0.12981807755851171</v>
      </c>
      <c r="H82" s="195">
        <f>H52/H$32</f>
        <v>0.12391360043968096</v>
      </c>
      <c r="J82" s="195">
        <f>J52/J$32</f>
        <v>0.11761172853974924</v>
      </c>
      <c r="L82" s="195">
        <f>L52/L$32</f>
        <v>0.11081735024119356</v>
      </c>
      <c r="N82" s="195">
        <f>N52/N$32</f>
        <v>0.10339405663207296</v>
      </c>
      <c r="P82" s="195">
        <f>P52/P$32</f>
        <v>9.5136258247028052E-2</v>
      </c>
      <c r="R82" s="195">
        <f>R52/R$32</f>
        <v>8.571859479064535E-2</v>
      </c>
      <c r="T82" s="195">
        <f>T52/T$32</f>
        <v>7.4599520109855058E-2</v>
      </c>
      <c r="V82" s="195">
        <f>V52/V$32</f>
        <v>6.0831891003996261E-2</v>
      </c>
      <c r="X82" s="195">
        <f>X52/X$32</f>
        <v>4.2699663322811159E-2</v>
      </c>
      <c r="Z82" s="195">
        <f>Z52/Z$32</f>
        <v>1.7179544874376836E-2</v>
      </c>
      <c r="AB82" s="195" t="e">
        <f>AB52/AB$32</f>
        <v>#DIV/0!</v>
      </c>
      <c r="AD82" s="195" t="e">
        <f>AD52/AD$32</f>
        <v>#DIV/0!</v>
      </c>
      <c r="AF82" s="195" t="e">
        <f>AF52/AF$32</f>
        <v>#DIV/0!</v>
      </c>
      <c r="AH82" s="195" t="e">
        <f>AH52/AH$32</f>
        <v>#DIV/0!</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0.18969101531295002</v>
      </c>
      <c r="F83" s="195">
        <f>F53/F$32</f>
        <v>0.19526767018661328</v>
      </c>
      <c r="H83" s="195">
        <f>H53/H$32</f>
        <v>0.20117214757515242</v>
      </c>
      <c r="J83" s="195">
        <f>J53/J$32</f>
        <v>0.20747401813853958</v>
      </c>
      <c r="L83" s="195">
        <f>L53/L$32</f>
        <v>0.21426839875144196</v>
      </c>
      <c r="N83" s="195">
        <f>N53/N$32</f>
        <v>0.22169168896704516</v>
      </c>
      <c r="P83" s="195">
        <f>P53/P$32</f>
        <v>0.22994948660115172</v>
      </c>
      <c r="R83" s="195">
        <f>R53/R$32</f>
        <v>0.23936715237635942</v>
      </c>
      <c r="T83" s="195">
        <f>T53/T$32</f>
        <v>0.25048622650379898</v>
      </c>
      <c r="V83" s="195">
        <f>V53/V$32</f>
        <v>0.26425385633570847</v>
      </c>
      <c r="X83" s="195">
        <f>X53/X$32</f>
        <v>0.28238608425340367</v>
      </c>
      <c r="Z83" s="195">
        <f>Z53/Z$32</f>
        <v>0.30790620351123921</v>
      </c>
      <c r="AB83" s="195" t="e">
        <f>AB53/AB$32</f>
        <v>#DIV/0!</v>
      </c>
      <c r="AD83" s="195" t="e">
        <f>AD53/AD$32</f>
        <v>#DIV/0!</v>
      </c>
      <c r="AF83" s="195" t="e">
        <f>AF53/AF$32</f>
        <v>#DIV/0!</v>
      </c>
      <c r="AH83" s="195" t="e">
        <f>AH53/AH$32</f>
        <v>#DIV/0!</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dimension ref="A1:XFD83"/>
  <sheetViews>
    <sheetView showGridLines="0" workbookViewId="0">
      <pane xSplit="1" ySplit="1" topLeftCell="G16" activePane="bottomRight" state="frozen"/>
      <selection pane="topRight" activeCell="B1" sqref="B1"/>
      <selection pane="bottomLeft" activeCell="A2" sqref="A2"/>
      <selection pane="bottomRight" sqref="A1:XFD1048576"/>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c r="AB1" s="91"/>
      <c r="AD1" s="91"/>
      <c r="AF1" s="91"/>
      <c r="AH1" s="91"/>
      <c r="AJ1" s="91"/>
      <c r="AL1" s="91"/>
      <c r="AN1" s="91"/>
      <c r="AP1" s="91"/>
      <c r="AR1" s="91"/>
      <c r="AT1" s="91"/>
      <c r="AV1" s="91"/>
      <c r="AX1">
        <v>0.99000000000000032</v>
      </c>
    </row>
    <row r="2" spans="1:51" x14ac:dyDescent="0.2">
      <c r="A2" s="190" t="s">
        <v>139</v>
      </c>
      <c r="B2" s="188">
        <v>5.7716594496607888E-3</v>
      </c>
      <c r="C2" s="189"/>
      <c r="D2" s="188">
        <v>3.7740216052907651E-2</v>
      </c>
      <c r="E2" s="189"/>
      <c r="F2" s="188">
        <v>7.0511087316791468E-2</v>
      </c>
      <c r="G2" s="189"/>
      <c r="H2" s="188">
        <v>0.10388641743423921</v>
      </c>
      <c r="I2" s="189"/>
      <c r="J2" s="188">
        <v>0.13760956007424172</v>
      </c>
      <c r="K2" s="189"/>
      <c r="L2" s="188">
        <v>0.17135864228999073</v>
      </c>
      <c r="M2" s="189"/>
      <c r="N2" s="188">
        <v>0.20474301930677835</v>
      </c>
      <c r="O2" s="189"/>
      <c r="P2" s="188">
        <v>0.23729603576993941</v>
      </c>
      <c r="Q2" s="189"/>
      <c r="R2" s="188">
        <v>0.26846396329865885</v>
      </c>
      <c r="S2" s="189"/>
      <c r="T2" s="188">
        <v>0.29755269018213487</v>
      </c>
      <c r="U2" s="189"/>
      <c r="V2" s="188">
        <v>0.32355379504571558</v>
      </c>
      <c r="W2" s="189"/>
      <c r="X2" s="188">
        <v>0.3444059684448158</v>
      </c>
      <c r="Y2" s="189"/>
      <c r="Z2" s="188"/>
      <c r="AA2" s="189"/>
      <c r="AB2" s="188"/>
      <c r="AC2" s="189"/>
      <c r="AD2" s="188"/>
      <c r="AE2" s="189"/>
      <c r="AF2" s="188"/>
      <c r="AG2" s="189"/>
      <c r="AH2" s="188"/>
      <c r="AI2" s="189"/>
      <c r="AJ2" s="188"/>
      <c r="AK2" s="189"/>
      <c r="AL2" s="188"/>
      <c r="AM2" s="189"/>
      <c r="AN2" s="188"/>
      <c r="AO2" s="189"/>
      <c r="AP2" s="188"/>
      <c r="AQ2" s="189"/>
      <c r="AR2" s="188"/>
      <c r="AS2" s="189"/>
      <c r="AT2" s="188"/>
      <c r="AU2" s="189"/>
      <c r="AV2" s="188"/>
      <c r="AW2" s="189"/>
      <c r="AX2">
        <v>5.7716594496607888E-3</v>
      </c>
    </row>
    <row r="3" spans="1:51" x14ac:dyDescent="0.2">
      <c r="A3" t="s">
        <v>12</v>
      </c>
      <c r="B3" s="81">
        <v>1000</v>
      </c>
      <c r="C3" s="82">
        <v>1000</v>
      </c>
      <c r="D3" s="81">
        <v>999.01437650701916</v>
      </c>
      <c r="E3" s="82">
        <v>1013.5182585269027</v>
      </c>
      <c r="F3" s="81">
        <v>998.07300121838773</v>
      </c>
      <c r="G3" s="82">
        <v>1027.0355330613352</v>
      </c>
      <c r="H3" s="81">
        <v>997.1815007218953</v>
      </c>
      <c r="I3" s="82">
        <v>1040.4240275594061</v>
      </c>
      <c r="J3" s="81">
        <v>996.34515782030087</v>
      </c>
      <c r="K3" s="82">
        <v>1053.54549549013</v>
      </c>
      <c r="L3" s="81">
        <v>995.56779268409696</v>
      </c>
      <c r="M3" s="82">
        <v>1066.2677687062128</v>
      </c>
      <c r="N3" s="81">
        <v>994.84964959550973</v>
      </c>
      <c r="O3" s="82">
        <v>1078.49746452729</v>
      </c>
      <c r="P3" s="81">
        <v>994.18333714283881</v>
      </c>
      <c r="Q3" s="82">
        <v>1090.2449920346583</v>
      </c>
      <c r="R3" s="81">
        <v>993.54523256792629</v>
      </c>
      <c r="S3" s="82">
        <v>1101.7624914463045</v>
      </c>
      <c r="T3" s="81">
        <v>992.87493626567357</v>
      </c>
      <c r="U3" s="82">
        <v>1113.8718739542335</v>
      </c>
      <c r="V3" s="81">
        <v>992.01576670037593</v>
      </c>
      <c r="W3" s="82">
        <v>1128.9146832383524</v>
      </c>
      <c r="X3" s="81">
        <v>990.49091893220384</v>
      </c>
      <c r="Y3" s="82">
        <v>1154.3733849938703</v>
      </c>
      <c r="Z3" s="81"/>
      <c r="AA3" s="82"/>
      <c r="AB3" s="81"/>
      <c r="AC3" s="82"/>
      <c r="AD3" s="81"/>
      <c r="AE3" s="82"/>
      <c r="AF3" s="81"/>
      <c r="AG3" s="82"/>
      <c r="AH3" s="81"/>
      <c r="AI3" s="82"/>
      <c r="AJ3" s="81"/>
      <c r="AK3" s="82"/>
      <c r="AL3" s="81"/>
      <c r="AM3" s="82"/>
      <c r="AN3" s="81"/>
      <c r="AO3" s="82"/>
      <c r="AP3" s="81"/>
      <c r="AQ3" s="82"/>
      <c r="AR3" s="81"/>
      <c r="AS3" s="82"/>
      <c r="AT3" s="81"/>
      <c r="AU3" s="82"/>
      <c r="AV3" s="81"/>
      <c r="AW3" s="82"/>
      <c r="AX3">
        <v>1000</v>
      </c>
      <c r="AY3">
        <v>1000</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c r="AA4" s="96"/>
      <c r="AB4" s="95"/>
      <c r="AC4" s="96"/>
      <c r="AD4" s="95"/>
      <c r="AE4" s="96"/>
      <c r="AF4" s="95"/>
      <c r="AG4" s="96"/>
      <c r="AH4" s="95"/>
      <c r="AI4" s="96"/>
      <c r="AJ4" s="95"/>
      <c r="AK4" s="96"/>
      <c r="AL4" s="95"/>
      <c r="AM4" s="96"/>
      <c r="AN4" s="95"/>
      <c r="AO4" s="96"/>
      <c r="AP4" s="95"/>
      <c r="AQ4" s="96"/>
      <c r="AR4" s="95"/>
      <c r="AS4" s="96"/>
      <c r="AT4" s="95"/>
      <c r="AU4" s="96"/>
      <c r="AV4" s="95"/>
      <c r="AW4" s="96"/>
      <c r="AX4">
        <v>1000</v>
      </c>
      <c r="AY4">
        <v>1000</v>
      </c>
    </row>
    <row r="5" spans="1:51" x14ac:dyDescent="0.2">
      <c r="A5" t="s">
        <v>115</v>
      </c>
      <c r="B5" s="39">
        <v>1000</v>
      </c>
      <c r="C5" s="40">
        <v>1000</v>
      </c>
      <c r="D5" s="39">
        <v>998.96557777567261</v>
      </c>
      <c r="E5" s="40">
        <v>1011.7924854987476</v>
      </c>
      <c r="F5" s="39">
        <v>997.97719402432062</v>
      </c>
      <c r="G5" s="40">
        <v>1023.4303609991949</v>
      </c>
      <c r="H5" s="39">
        <v>997.04081354637935</v>
      </c>
      <c r="I5" s="40">
        <v>1034.8067639699086</v>
      </c>
      <c r="J5" s="39">
        <v>996.16204633797759</v>
      </c>
      <c r="K5" s="40">
        <v>1045.8116867373601</v>
      </c>
      <c r="L5" s="39">
        <v>995.34496910773294</v>
      </c>
      <c r="M5" s="40">
        <v>1056.3458987051804</v>
      </c>
      <c r="N5" s="39">
        <v>994.58989943268227</v>
      </c>
      <c r="O5" s="40">
        <v>1066.3467564278121</v>
      </c>
      <c r="P5" s="39">
        <v>993.88911895291005</v>
      </c>
      <c r="Q5" s="40">
        <v>1075.8380651986599</v>
      </c>
      <c r="R5" s="39">
        <v>993.21781875872637</v>
      </c>
      <c r="S5" s="40">
        <v>1085.0343998196431</v>
      </c>
      <c r="T5" s="39">
        <v>992.51245492052522</v>
      </c>
      <c r="U5" s="40">
        <v>1094.5873671830325</v>
      </c>
      <c r="V5" s="39">
        <v>991.60804040292078</v>
      </c>
      <c r="W5" s="40">
        <v>1106.2897892536503</v>
      </c>
      <c r="X5" s="39">
        <v>990.00206993745519</v>
      </c>
      <c r="Y5" s="40">
        <v>1125.6823577733498</v>
      </c>
      <c r="Z5" s="39"/>
      <c r="AA5" s="40"/>
      <c r="AB5" s="39"/>
      <c r="AC5" s="40"/>
      <c r="AD5" s="39"/>
      <c r="AE5" s="40"/>
      <c r="AF5" s="39"/>
      <c r="AG5" s="40"/>
      <c r="AH5" s="39"/>
      <c r="AI5" s="40"/>
      <c r="AJ5" s="39"/>
      <c r="AK5" s="40"/>
      <c r="AL5" s="39"/>
      <c r="AM5" s="40"/>
      <c r="AN5" s="39"/>
      <c r="AO5" s="40"/>
      <c r="AP5" s="39"/>
      <c r="AQ5" s="40"/>
      <c r="AR5" s="39"/>
      <c r="AS5" s="40"/>
      <c r="AT5" s="39"/>
      <c r="AU5" s="40"/>
      <c r="AV5" s="39"/>
      <c r="AW5" s="40"/>
      <c r="AX5">
        <v>1000</v>
      </c>
      <c r="AY5">
        <v>1000</v>
      </c>
    </row>
    <row r="6" spans="1:51" x14ac:dyDescent="0.2">
      <c r="A6" t="s">
        <v>77</v>
      </c>
      <c r="B6" s="39">
        <v>999.99999999999943</v>
      </c>
      <c r="C6" s="40">
        <v>999.99999999999909</v>
      </c>
      <c r="D6" s="39">
        <v>998.88654299449445</v>
      </c>
      <c r="E6" s="40">
        <v>1014.5767127562507</v>
      </c>
      <c r="F6" s="39">
        <v>997.82280643911679</v>
      </c>
      <c r="G6" s="40">
        <v>1029.1228117096425</v>
      </c>
      <c r="H6" s="39">
        <v>996.81518621711291</v>
      </c>
      <c r="I6" s="40">
        <v>1043.5028332168185</v>
      </c>
      <c r="J6" s="39">
        <v>995.86969373266788</v>
      </c>
      <c r="K6" s="40">
        <v>1057.5709543046266</v>
      </c>
      <c r="L6" s="39">
        <v>994.99068938521361</v>
      </c>
      <c r="M6" s="40">
        <v>1071.1886106711988</v>
      </c>
      <c r="N6" s="39">
        <v>994.17848983797558</v>
      </c>
      <c r="O6" s="40">
        <v>1084.2592221364368</v>
      </c>
      <c r="P6" s="39">
        <v>993.42477101014072</v>
      </c>
      <c r="Q6" s="40">
        <v>1096.7971136372626</v>
      </c>
      <c r="R6" s="39">
        <v>992.70283519663849</v>
      </c>
      <c r="S6" s="40">
        <v>1109.0737106435156</v>
      </c>
      <c r="T6" s="39">
        <v>991.94434617997149</v>
      </c>
      <c r="U6" s="40">
        <v>1121.9651021858558</v>
      </c>
      <c r="V6" s="39">
        <v>990.97193446259882</v>
      </c>
      <c r="W6" s="40">
        <v>1137.9574913595739</v>
      </c>
      <c r="X6" s="39">
        <v>989.24555257470581</v>
      </c>
      <c r="Y6" s="40">
        <v>1164.9716211632153</v>
      </c>
      <c r="Z6" s="39"/>
      <c r="AA6" s="40"/>
      <c r="AB6" s="39"/>
      <c r="AC6" s="40"/>
      <c r="AD6" s="39"/>
      <c r="AE6" s="40"/>
      <c r="AF6" s="39"/>
      <c r="AG6" s="40"/>
      <c r="AH6" s="39"/>
      <c r="AI6" s="40"/>
      <c r="AJ6" s="39"/>
      <c r="AK6" s="40"/>
      <c r="AL6" s="39"/>
      <c r="AM6" s="40"/>
      <c r="AN6" s="39"/>
      <c r="AO6" s="40"/>
      <c r="AP6" s="39"/>
      <c r="AQ6" s="40"/>
      <c r="AR6" s="39"/>
      <c r="AS6" s="40"/>
      <c r="AT6" s="39"/>
      <c r="AU6" s="40"/>
      <c r="AV6" s="39"/>
      <c r="AW6" s="40"/>
      <c r="AX6">
        <v>999.99999999999943</v>
      </c>
      <c r="AY6">
        <v>999.99999999999909</v>
      </c>
    </row>
    <row r="7" spans="1:51" x14ac:dyDescent="0.2">
      <c r="A7" t="s">
        <v>13</v>
      </c>
      <c r="B7" s="31">
        <v>1015.9116825427475</v>
      </c>
      <c r="C7" s="32">
        <v>1015.9116825427475</v>
      </c>
      <c r="D7" s="31">
        <v>1014.8608009203714</v>
      </c>
      <c r="E7" s="32">
        <v>1014.8608009203714</v>
      </c>
      <c r="F7" s="31">
        <v>1013.8566903205375</v>
      </c>
      <c r="G7" s="32">
        <v>1013.8566903205375</v>
      </c>
      <c r="H7" s="31">
        <v>1012.905410453692</v>
      </c>
      <c r="I7" s="32">
        <v>1012.905410453692</v>
      </c>
      <c r="J7" s="31">
        <v>1012.0126605804412</v>
      </c>
      <c r="K7" s="32">
        <v>1012.0126605804412</v>
      </c>
      <c r="L7" s="31">
        <v>1011.1825822766959</v>
      </c>
      <c r="M7" s="32">
        <v>1011.1825822766959</v>
      </c>
      <c r="N7" s="31">
        <v>1010.4154981726782</v>
      </c>
      <c r="O7" s="32">
        <v>1010.4154981726782</v>
      </c>
      <c r="P7" s="31">
        <v>1009.7035670963797</v>
      </c>
      <c r="Q7" s="32">
        <v>1009.7035670963797</v>
      </c>
      <c r="R7" s="31">
        <v>1009.0215853866152</v>
      </c>
      <c r="S7" s="32">
        <v>1009.0215853866152</v>
      </c>
      <c r="T7" s="31">
        <v>1008.3049980229436</v>
      </c>
      <c r="U7" s="32">
        <v>1008.3049980229436</v>
      </c>
      <c r="V7" s="31">
        <v>1007.3861927486479</v>
      </c>
      <c r="W7" s="32">
        <v>1007.3861927486479</v>
      </c>
      <c r="X7" s="31">
        <v>1005.7546685909629</v>
      </c>
      <c r="Y7" s="32">
        <v>1005.7546685909629</v>
      </c>
      <c r="Z7" s="31"/>
      <c r="AA7" s="32"/>
      <c r="AB7" s="31"/>
      <c r="AC7" s="32"/>
      <c r="AD7" s="31"/>
      <c r="AE7" s="32"/>
      <c r="AF7" s="31"/>
      <c r="AG7" s="32"/>
      <c r="AH7" s="31"/>
      <c r="AI7" s="32"/>
      <c r="AJ7" s="31"/>
      <c r="AK7" s="32"/>
      <c r="AL7" s="31"/>
      <c r="AM7" s="32"/>
      <c r="AN7" s="31"/>
      <c r="AO7" s="32"/>
      <c r="AP7" s="31"/>
      <c r="AQ7" s="32"/>
      <c r="AR7" s="31"/>
      <c r="AS7" s="32"/>
      <c r="AT7" s="31"/>
      <c r="AU7" s="32"/>
      <c r="AV7" s="31"/>
      <c r="AW7" s="32"/>
      <c r="AX7">
        <v>1015.9116825427475</v>
      </c>
      <c r="AY7">
        <v>1015.9116825427475</v>
      </c>
    </row>
    <row r="8" spans="1:51" x14ac:dyDescent="0.2">
      <c r="B8" s="33">
        <v>1005.7716594496609</v>
      </c>
      <c r="C8" s="34">
        <v>1005.7716594496609</v>
      </c>
      <c r="D8" s="33">
        <v>1049.9777525021789</v>
      </c>
      <c r="E8" s="34">
        <v>1049.9777525021789</v>
      </c>
      <c r="F8" s="33">
        <v>1095.5935485462646</v>
      </c>
      <c r="G8" s="34">
        <v>1095.5935485462646</v>
      </c>
      <c r="H8" s="33">
        <v>1142.3091314154608</v>
      </c>
      <c r="I8" s="34">
        <v>1142.3091314154608</v>
      </c>
      <c r="J8" s="33">
        <v>1189.725372869789</v>
      </c>
      <c r="K8" s="34">
        <v>1189.725372869789</v>
      </c>
      <c r="L8" s="33">
        <v>1237.3598976959001</v>
      </c>
      <c r="M8" s="34">
        <v>1237.3598976959001</v>
      </c>
      <c r="N8" s="33">
        <v>1284.673810966832</v>
      </c>
      <c r="O8" s="34">
        <v>1284.673810966832</v>
      </c>
      <c r="P8" s="33">
        <v>1331.1301732007034</v>
      </c>
      <c r="Q8" s="34">
        <v>1331.1301732007034</v>
      </c>
      <c r="R8" s="33">
        <v>1376.3270351106059</v>
      </c>
      <c r="S8" s="34">
        <v>1376.3270351106059</v>
      </c>
      <c r="T8" s="33">
        <v>1420.2847829277239</v>
      </c>
      <c r="U8" s="34">
        <v>1420.2847829277239</v>
      </c>
      <c r="V8" s="33">
        <v>1464.2340489869937</v>
      </c>
      <c r="W8" s="34">
        <v>1464.2340489869937</v>
      </c>
      <c r="X8" s="33">
        <v>1513.3740803635239</v>
      </c>
      <c r="Y8" s="34">
        <v>1513.3740803635239</v>
      </c>
      <c r="Z8" s="33"/>
      <c r="AA8" s="34"/>
      <c r="AB8" s="33"/>
      <c r="AC8" s="34"/>
      <c r="AD8" s="33"/>
      <c r="AE8" s="34"/>
      <c r="AF8" s="33"/>
      <c r="AG8" s="34"/>
      <c r="AH8" s="33"/>
      <c r="AI8" s="34"/>
      <c r="AJ8" s="33"/>
      <c r="AK8" s="34"/>
      <c r="AL8" s="33"/>
      <c r="AM8" s="34"/>
      <c r="AN8" s="33"/>
      <c r="AO8" s="34"/>
      <c r="AP8" s="33"/>
      <c r="AQ8" s="34"/>
      <c r="AR8" s="33"/>
      <c r="AS8" s="34"/>
      <c r="AT8" s="33"/>
      <c r="AU8" s="34"/>
      <c r="AV8" s="33"/>
      <c r="AW8" s="34"/>
      <c r="AX8">
        <v>1005.7716594496609</v>
      </c>
      <c r="AY8">
        <v>1005.7716594496609</v>
      </c>
    </row>
    <row r="9" spans="1:51" x14ac:dyDescent="0.2">
      <c r="A9" t="s">
        <v>14</v>
      </c>
      <c r="B9" s="39">
        <v>1015.9116825427475</v>
      </c>
      <c r="C9" s="40">
        <v>1005.7716594496609</v>
      </c>
      <c r="D9" s="39">
        <v>1014.8608009203714</v>
      </c>
      <c r="E9" s="40">
        <v>1049.9777525021789</v>
      </c>
      <c r="F9" s="39">
        <v>1013.8566903205375</v>
      </c>
      <c r="G9" s="40">
        <v>1095.5935485462646</v>
      </c>
      <c r="H9" s="39">
        <v>1012.905410453692</v>
      </c>
      <c r="I9" s="40">
        <v>1142.3091314154608</v>
      </c>
      <c r="J9" s="39">
        <v>1012.0126605804412</v>
      </c>
      <c r="K9" s="40">
        <v>1189.725372869789</v>
      </c>
      <c r="L9" s="39">
        <v>1011.1825822766959</v>
      </c>
      <c r="M9" s="40">
        <v>1237.3598976959001</v>
      </c>
      <c r="N9" s="39">
        <v>1010.4154981726782</v>
      </c>
      <c r="O9" s="40">
        <v>1284.673810966832</v>
      </c>
      <c r="P9" s="39">
        <v>1009.7035670963797</v>
      </c>
      <c r="Q9" s="40">
        <v>1331.1301732007034</v>
      </c>
      <c r="R9" s="39">
        <v>1009.0215853866152</v>
      </c>
      <c r="S9" s="40">
        <v>1376.3270351106059</v>
      </c>
      <c r="T9" s="39">
        <v>1008.3049980229436</v>
      </c>
      <c r="U9" s="40">
        <v>1420.2847829277239</v>
      </c>
      <c r="V9" s="39">
        <v>1007.3861927486479</v>
      </c>
      <c r="W9" s="40">
        <v>1464.2340489869937</v>
      </c>
      <c r="X9" s="39">
        <v>1005.7546685909629</v>
      </c>
      <c r="Y9" s="40">
        <v>1513.3740803635239</v>
      </c>
      <c r="Z9" s="39"/>
      <c r="AA9" s="40"/>
      <c r="AB9" s="39"/>
      <c r="AC9" s="40"/>
      <c r="AD9" s="39"/>
      <c r="AE9" s="40"/>
      <c r="AF9" s="39"/>
      <c r="AG9" s="40"/>
      <c r="AH9" s="39"/>
      <c r="AI9" s="40"/>
      <c r="AJ9" s="39"/>
      <c r="AK9" s="40"/>
      <c r="AL9" s="39"/>
      <c r="AM9" s="40"/>
      <c r="AN9" s="39"/>
      <c r="AO9" s="40"/>
      <c r="AP9" s="39"/>
      <c r="AQ9" s="40"/>
      <c r="AR9" s="39"/>
      <c r="AS9" s="40"/>
      <c r="AT9" s="39"/>
      <c r="AU9" s="40"/>
      <c r="AV9" s="39"/>
      <c r="AW9" s="40"/>
      <c r="AX9">
        <v>1015.9116825427475</v>
      </c>
      <c r="AY9">
        <v>1005.7716594496609</v>
      </c>
    </row>
    <row r="10" spans="1:51" x14ac:dyDescent="0.2">
      <c r="A10" t="s">
        <v>15</v>
      </c>
      <c r="B10" s="39">
        <v>1015.9116825427475</v>
      </c>
      <c r="C10" s="40">
        <v>1005.7716594496609</v>
      </c>
      <c r="D10" s="39">
        <v>1014.8608009203714</v>
      </c>
      <c r="E10" s="40">
        <v>1049.9777525021789</v>
      </c>
      <c r="F10" s="39">
        <v>1013.8566903205375</v>
      </c>
      <c r="G10" s="40">
        <v>1095.5935485462646</v>
      </c>
      <c r="H10" s="39">
        <v>1012.905410453692</v>
      </c>
      <c r="I10" s="40">
        <v>1142.3091314154608</v>
      </c>
      <c r="J10" s="39">
        <v>1012.0126605804412</v>
      </c>
      <c r="K10" s="40">
        <v>1189.725372869789</v>
      </c>
      <c r="L10" s="39">
        <v>1011.1825822766959</v>
      </c>
      <c r="M10" s="40">
        <v>1237.3598976959001</v>
      </c>
      <c r="N10" s="39">
        <v>1010.4154981726782</v>
      </c>
      <c r="O10" s="40">
        <v>1284.673810966832</v>
      </c>
      <c r="P10" s="39">
        <v>1009.7035670963797</v>
      </c>
      <c r="Q10" s="40">
        <v>1331.1301732007034</v>
      </c>
      <c r="R10" s="39">
        <v>1009.0215853866152</v>
      </c>
      <c r="S10" s="40">
        <v>1376.3270351106059</v>
      </c>
      <c r="T10" s="39">
        <v>1008.3049980229436</v>
      </c>
      <c r="U10" s="40">
        <v>1420.2847829277239</v>
      </c>
      <c r="V10" s="39">
        <v>1007.3861927486479</v>
      </c>
      <c r="W10" s="40">
        <v>1464.2340489869937</v>
      </c>
      <c r="X10" s="39">
        <v>1005.7546685909629</v>
      </c>
      <c r="Y10" s="40">
        <v>1513.3740803635239</v>
      </c>
      <c r="Z10" s="39"/>
      <c r="AA10" s="40"/>
      <c r="AB10" s="39"/>
      <c r="AC10" s="40"/>
      <c r="AD10" s="39"/>
      <c r="AE10" s="40"/>
      <c r="AF10" s="39"/>
      <c r="AG10" s="40"/>
      <c r="AH10" s="39"/>
      <c r="AI10" s="40"/>
      <c r="AJ10" s="39"/>
      <c r="AK10" s="40"/>
      <c r="AL10" s="39"/>
      <c r="AM10" s="40"/>
      <c r="AN10" s="39"/>
      <c r="AO10" s="40"/>
      <c r="AP10" s="39"/>
      <c r="AQ10" s="40"/>
      <c r="AR10" s="39"/>
      <c r="AS10" s="40"/>
      <c r="AT10" s="39"/>
      <c r="AU10" s="40"/>
      <c r="AV10" s="39"/>
      <c r="AW10" s="40"/>
      <c r="AX10">
        <v>1015.9116825427475</v>
      </c>
      <c r="AY10">
        <v>1005.7716594496609</v>
      </c>
    </row>
    <row r="11" spans="1:51" x14ac:dyDescent="0.2">
      <c r="A11" t="s">
        <v>29</v>
      </c>
      <c r="B11" s="39">
        <v>1015.9116825427475</v>
      </c>
      <c r="C11" s="40">
        <v>1005.7716594496609</v>
      </c>
      <c r="D11" s="39">
        <v>1014.8608009203714</v>
      </c>
      <c r="E11" s="40">
        <v>1049.9777525021789</v>
      </c>
      <c r="F11" s="39">
        <v>1013.8566903205375</v>
      </c>
      <c r="G11" s="40">
        <v>1095.5935485462646</v>
      </c>
      <c r="H11" s="39">
        <v>1012.905410453692</v>
      </c>
      <c r="I11" s="40">
        <v>1142.3091314154608</v>
      </c>
      <c r="J11" s="39">
        <v>1012.0126605804412</v>
      </c>
      <c r="K11" s="40">
        <v>1189.725372869789</v>
      </c>
      <c r="L11" s="39">
        <v>1011.1825822766959</v>
      </c>
      <c r="M11" s="40">
        <v>1237.3598976959001</v>
      </c>
      <c r="N11" s="39">
        <v>1010.4154981726782</v>
      </c>
      <c r="O11" s="40">
        <v>1284.673810966832</v>
      </c>
      <c r="P11" s="39">
        <v>1009.7035670963797</v>
      </c>
      <c r="Q11" s="40">
        <v>1331.1301732007034</v>
      </c>
      <c r="R11" s="39">
        <v>1009.0215853866152</v>
      </c>
      <c r="S11" s="40">
        <v>1376.3270351106059</v>
      </c>
      <c r="T11" s="39">
        <v>1008.3049980229436</v>
      </c>
      <c r="U11" s="40">
        <v>1420.2847829277239</v>
      </c>
      <c r="V11" s="39">
        <v>1007.3861927486479</v>
      </c>
      <c r="W11" s="40">
        <v>1464.2340489869937</v>
      </c>
      <c r="X11" s="39">
        <v>1005.7546685909629</v>
      </c>
      <c r="Y11" s="40">
        <v>1513.3740803635239</v>
      </c>
      <c r="Z11" s="39"/>
      <c r="AA11" s="40"/>
      <c r="AB11" s="39"/>
      <c r="AC11" s="40"/>
      <c r="AD11" s="39"/>
      <c r="AE11" s="40"/>
      <c r="AF11" s="39"/>
      <c r="AG11" s="40"/>
      <c r="AH11" s="39"/>
      <c r="AI11" s="40"/>
      <c r="AJ11" s="39"/>
      <c r="AK11" s="40"/>
      <c r="AL11" s="39"/>
      <c r="AM11" s="40"/>
      <c r="AN11" s="39"/>
      <c r="AO11" s="40"/>
      <c r="AP11" s="39"/>
      <c r="AQ11" s="40"/>
      <c r="AR11" s="39"/>
      <c r="AS11" s="40"/>
      <c r="AT11" s="39"/>
      <c r="AU11" s="40"/>
      <c r="AV11" s="39"/>
      <c r="AW11" s="40"/>
      <c r="AX11">
        <v>1015.9116825427475</v>
      </c>
      <c r="AY11">
        <v>1005.7716594496609</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c r="AA12" s="40"/>
      <c r="AB12" s="39"/>
      <c r="AC12" s="40"/>
      <c r="AD12" s="39"/>
      <c r="AE12" s="40"/>
      <c r="AF12" s="39"/>
      <c r="AG12" s="40"/>
      <c r="AH12" s="39"/>
      <c r="AI12" s="40"/>
      <c r="AJ12" s="39"/>
      <c r="AK12" s="40"/>
      <c r="AL12" s="39"/>
      <c r="AM12" s="40"/>
      <c r="AN12" s="39"/>
      <c r="AO12" s="40"/>
      <c r="AP12" s="39"/>
      <c r="AQ12" s="40"/>
      <c r="AR12" s="39"/>
      <c r="AS12" s="40"/>
      <c r="AT12" s="39"/>
      <c r="AU12" s="40"/>
      <c r="AV12" s="39"/>
      <c r="AW12" s="40"/>
      <c r="AX12">
        <v>1000</v>
      </c>
      <c r="AY12">
        <v>1000</v>
      </c>
    </row>
    <row r="13" spans="1:51" x14ac:dyDescent="0.2">
      <c r="A13" t="s">
        <v>17</v>
      </c>
      <c r="B13" s="93">
        <v>1000</v>
      </c>
      <c r="C13" s="94">
        <v>1000</v>
      </c>
      <c r="D13" s="93">
        <v>1001.3991315089647</v>
      </c>
      <c r="E13" s="94">
        <v>1001.3991315089647</v>
      </c>
      <c r="F13" s="93">
        <v>1002.8874801717328</v>
      </c>
      <c r="G13" s="94">
        <v>1002.8874801717328</v>
      </c>
      <c r="H13" s="93">
        <v>1004.4542632537972</v>
      </c>
      <c r="I13" s="94">
        <v>1004.4542632537972</v>
      </c>
      <c r="J13" s="93">
        <v>1006.08450873303</v>
      </c>
      <c r="K13" s="94">
        <v>1006.08450873303</v>
      </c>
      <c r="L13" s="93">
        <v>1007.7583706025879</v>
      </c>
      <c r="M13" s="94">
        <v>1007.7583706025879</v>
      </c>
      <c r="N13" s="93">
        <v>1009.4504350229713</v>
      </c>
      <c r="O13" s="94">
        <v>1009.4504350229713</v>
      </c>
      <c r="P13" s="93">
        <v>1011.1285581416087</v>
      </c>
      <c r="Q13" s="94">
        <v>1011.1285581416087</v>
      </c>
      <c r="R13" s="93">
        <v>1012.7517001407286</v>
      </c>
      <c r="S13" s="94">
        <v>1012.7517001407286</v>
      </c>
      <c r="T13" s="93">
        <v>1014.263118875713</v>
      </c>
      <c r="U13" s="94">
        <v>1014.263118875713</v>
      </c>
      <c r="V13" s="93">
        <v>1015.5685008779417</v>
      </c>
      <c r="W13" s="94">
        <v>1015.5685008779417</v>
      </c>
      <c r="X13" s="93">
        <v>1016.4433787645381</v>
      </c>
      <c r="Y13" s="94">
        <v>1016.4433787645381</v>
      </c>
      <c r="Z13" s="93"/>
      <c r="AA13" s="94"/>
      <c r="AB13" s="93"/>
      <c r="AC13" s="94"/>
      <c r="AD13" s="93"/>
      <c r="AE13" s="94"/>
      <c r="AF13" s="93"/>
      <c r="AG13" s="94"/>
      <c r="AH13" s="93"/>
      <c r="AI13" s="94"/>
      <c r="AJ13" s="93"/>
      <c r="AK13" s="94"/>
      <c r="AL13" s="93"/>
      <c r="AM13" s="94"/>
      <c r="AN13" s="93"/>
      <c r="AO13" s="94"/>
      <c r="AP13" s="93"/>
      <c r="AQ13" s="94"/>
      <c r="AR13" s="93"/>
      <c r="AS13" s="94"/>
      <c r="AT13" s="93"/>
      <c r="AU13" s="94"/>
      <c r="AV13" s="93"/>
      <c r="AW13" s="94"/>
      <c r="AX13">
        <v>1000</v>
      </c>
      <c r="AY13">
        <v>1000</v>
      </c>
    </row>
    <row r="14" spans="1:51" x14ac:dyDescent="0.2">
      <c r="A14" t="s">
        <v>36</v>
      </c>
      <c r="B14" s="39">
        <v>1457.0034251455234</v>
      </c>
      <c r="C14" s="40">
        <v>1457.0034251455236</v>
      </c>
      <c r="D14" s="39">
        <v>1459.0419645463139</v>
      </c>
      <c r="E14" s="40">
        <v>1459.0419645463141</v>
      </c>
      <c r="F14" s="39">
        <v>1461.2104936457779</v>
      </c>
      <c r="G14" s="40">
        <v>1461.2104936457781</v>
      </c>
      <c r="H14" s="39">
        <v>1463.4933019628056</v>
      </c>
      <c r="I14" s="40">
        <v>1463.4933019628058</v>
      </c>
      <c r="J14" s="39">
        <v>1465.8685752098759</v>
      </c>
      <c r="K14" s="40">
        <v>1465.8685752098761</v>
      </c>
      <c r="L14" s="39">
        <v>1468.3073976870421</v>
      </c>
      <c r="M14" s="40">
        <v>1468.3073976870423</v>
      </c>
      <c r="N14" s="39">
        <v>1470.7727413431078</v>
      </c>
      <c r="O14" s="40">
        <v>1470.772741343108</v>
      </c>
      <c r="P14" s="39">
        <v>1473.2177724747783</v>
      </c>
      <c r="Q14" s="40">
        <v>1473.2177724747785</v>
      </c>
      <c r="R14" s="39">
        <v>1475.5826959269937</v>
      </c>
      <c r="S14" s="40">
        <v>1475.5826959269939</v>
      </c>
      <c r="T14" s="39">
        <v>1477.7848382006948</v>
      </c>
      <c r="U14" s="40">
        <v>1477.784838200695</v>
      </c>
      <c r="V14" s="39">
        <v>1479.6867842490653</v>
      </c>
      <c r="W14" s="40">
        <v>1479.6867842490656</v>
      </c>
      <c r="X14" s="39">
        <v>1480.9614843264205</v>
      </c>
      <c r="Y14" s="40">
        <v>1480.9614843264208</v>
      </c>
      <c r="Z14" s="39"/>
      <c r="AA14" s="40"/>
      <c r="AB14" s="39"/>
      <c r="AC14" s="40"/>
      <c r="AD14" s="39"/>
      <c r="AE14" s="40"/>
      <c r="AF14" s="39"/>
      <c r="AG14" s="40"/>
      <c r="AH14" s="39"/>
      <c r="AI14" s="40"/>
      <c r="AJ14" s="39"/>
      <c r="AK14" s="40"/>
      <c r="AL14" s="39"/>
      <c r="AM14" s="40"/>
      <c r="AN14" s="39"/>
      <c r="AO14" s="40"/>
      <c r="AP14" s="39"/>
      <c r="AQ14" s="40"/>
      <c r="AR14" s="39"/>
      <c r="AS14" s="40"/>
      <c r="AT14" s="39"/>
      <c r="AU14" s="40"/>
      <c r="AV14" s="39"/>
      <c r="AW14" s="40"/>
      <c r="AX14">
        <v>1457.0034251455234</v>
      </c>
      <c r="AY14">
        <v>1457.0034251455236</v>
      </c>
    </row>
    <row r="15" spans="1:51" x14ac:dyDescent="0.2">
      <c r="A15" t="s">
        <v>18</v>
      </c>
      <c r="B15" s="144">
        <v>1000</v>
      </c>
      <c r="C15" s="145">
        <v>1000</v>
      </c>
      <c r="D15" s="144">
        <v>990.7330813202675</v>
      </c>
      <c r="E15" s="145">
        <v>990.7330813202675</v>
      </c>
      <c r="F15" s="144">
        <v>978.10398479438425</v>
      </c>
      <c r="G15" s="145">
        <v>978.10398479438425</v>
      </c>
      <c r="H15" s="144">
        <v>961.69879707781729</v>
      </c>
      <c r="I15" s="145">
        <v>961.69879707781729</v>
      </c>
      <c r="J15" s="144">
        <v>941.10502987444261</v>
      </c>
      <c r="K15" s="145">
        <v>941.10502987444261</v>
      </c>
      <c r="L15" s="144">
        <v>915.9332470881759</v>
      </c>
      <c r="M15" s="145">
        <v>915.9332470881759</v>
      </c>
      <c r="N15" s="144">
        <v>885.85369030800121</v>
      </c>
      <c r="O15" s="145">
        <v>885.85369030800121</v>
      </c>
      <c r="P15" s="144">
        <v>850.6379785673879</v>
      </c>
      <c r="Q15" s="145">
        <v>850.6379785673879</v>
      </c>
      <c r="R15" s="144">
        <v>810.23010748881779</v>
      </c>
      <c r="S15" s="145">
        <v>810.23010748881779</v>
      </c>
      <c r="T15" s="144">
        <v>764.8454457144926</v>
      </c>
      <c r="U15" s="145">
        <v>764.8454457144926</v>
      </c>
      <c r="V15" s="144">
        <v>715.217644800588</v>
      </c>
      <c r="W15" s="145">
        <v>715.217644800588</v>
      </c>
      <c r="X15" s="144">
        <v>663.39718362593192</v>
      </c>
      <c r="Y15" s="145">
        <v>663.39718362593192</v>
      </c>
      <c r="Z15" s="144"/>
      <c r="AA15" s="145"/>
      <c r="AB15" s="144"/>
      <c r="AC15" s="145"/>
      <c r="AD15" s="144"/>
      <c r="AE15" s="145"/>
      <c r="AF15" s="144"/>
      <c r="AG15" s="145"/>
      <c r="AH15" s="144"/>
      <c r="AI15" s="145"/>
      <c r="AJ15" s="144"/>
      <c r="AK15" s="145"/>
      <c r="AL15" s="144"/>
      <c r="AM15" s="145"/>
      <c r="AN15" s="144"/>
      <c r="AO15" s="145"/>
      <c r="AP15" s="144"/>
      <c r="AQ15" s="145"/>
      <c r="AR15" s="144"/>
      <c r="AS15" s="145"/>
      <c r="AT15" s="144"/>
      <c r="AU15" s="145"/>
      <c r="AV15" s="144"/>
      <c r="AW15" s="145"/>
      <c r="AX15">
        <v>1000</v>
      </c>
      <c r="AY15">
        <v>1000</v>
      </c>
    </row>
    <row r="16" spans="1:51" s="27" customFormat="1" x14ac:dyDescent="0.2">
      <c r="A16" t="s">
        <v>61</v>
      </c>
      <c r="B16" s="39">
        <v>1000</v>
      </c>
      <c r="C16" s="40">
        <v>1000</v>
      </c>
      <c r="D16" s="39">
        <v>997.12617376399317</v>
      </c>
      <c r="E16" s="40">
        <v>994.29812077682902</v>
      </c>
      <c r="F16" s="39">
        <v>994.28137684163221</v>
      </c>
      <c r="G16" s="40">
        <v>987.40603263134551</v>
      </c>
      <c r="H16" s="39">
        <v>991.48480677622194</v>
      </c>
      <c r="I16" s="40">
        <v>979.28262896371189</v>
      </c>
      <c r="J16" s="39">
        <v>988.75763954938748</v>
      </c>
      <c r="K16" s="40">
        <v>969.94143209063509</v>
      </c>
      <c r="L16" s="39">
        <v>986.12145355512848</v>
      </c>
      <c r="M16" s="40">
        <v>959.49276790673548</v>
      </c>
      <c r="N16" s="39">
        <v>983.59497579985589</v>
      </c>
      <c r="O16" s="40">
        <v>948.21466043795817</v>
      </c>
      <c r="P16" s="39">
        <v>981.18792831480516</v>
      </c>
      <c r="Q16" s="40">
        <v>936.69147811140306</v>
      </c>
      <c r="R16" s="39">
        <v>978.88795746270114</v>
      </c>
      <c r="S16" s="40">
        <v>926.10283885100694</v>
      </c>
      <c r="T16" s="39">
        <v>976.63078534032468</v>
      </c>
      <c r="U16" s="40">
        <v>918.94691265998051</v>
      </c>
      <c r="V16" s="39">
        <v>974.21529685154542</v>
      </c>
      <c r="W16" s="40">
        <v>921.19666155562174</v>
      </c>
      <c r="X16" s="39">
        <v>970.99177186040549</v>
      </c>
      <c r="Y16" s="40">
        <v>950.87244783836718</v>
      </c>
      <c r="Z16" s="39"/>
      <c r="AA16" s="40"/>
      <c r="AB16" s="39"/>
      <c r="AC16" s="40"/>
      <c r="AD16" s="39"/>
      <c r="AE16" s="40"/>
      <c r="AF16" s="39"/>
      <c r="AG16" s="40"/>
      <c r="AH16" s="39"/>
      <c r="AI16" s="40"/>
      <c r="AJ16" s="39"/>
      <c r="AK16" s="40"/>
      <c r="AL16" s="39"/>
      <c r="AM16" s="40"/>
      <c r="AN16" s="39"/>
      <c r="AO16" s="40"/>
      <c r="AP16" s="39"/>
      <c r="AQ16" s="40"/>
      <c r="AR16" s="39"/>
      <c r="AS16" s="40"/>
      <c r="AT16" s="39"/>
      <c r="AU16" s="40"/>
      <c r="AV16" s="39"/>
      <c r="AW16" s="40"/>
      <c r="AX16" s="27">
        <v>1000</v>
      </c>
      <c r="AY16" s="27">
        <v>1000</v>
      </c>
    </row>
    <row r="17" spans="1:51" x14ac:dyDescent="0.2">
      <c r="A17" t="s">
        <v>62</v>
      </c>
      <c r="B17" s="33">
        <v>1000.0000000000002</v>
      </c>
      <c r="C17" s="34">
        <v>999.99999999999977</v>
      </c>
      <c r="D17" s="33">
        <v>999.0597586996314</v>
      </c>
      <c r="E17" s="34">
        <v>1020.6458661920361</v>
      </c>
      <c r="F17" s="33">
        <v>998.16210189835556</v>
      </c>
      <c r="G17" s="34">
        <v>1041.3200825012302</v>
      </c>
      <c r="H17" s="33">
        <v>997.31234361350266</v>
      </c>
      <c r="I17" s="34">
        <v>1061.8264510310744</v>
      </c>
      <c r="J17" s="33">
        <v>996.51546135338708</v>
      </c>
      <c r="K17" s="34">
        <v>1081.9515655391501</v>
      </c>
      <c r="L17" s="33">
        <v>995.77503693485517</v>
      </c>
      <c r="M17" s="34">
        <v>1101.4902466374756</v>
      </c>
      <c r="N17" s="33">
        <v>995.0912443126175</v>
      </c>
      <c r="O17" s="34">
        <v>1120.2963311414746</v>
      </c>
      <c r="P17" s="33">
        <v>994.45699787574938</v>
      </c>
      <c r="Q17" s="34">
        <v>1138.3838624393309</v>
      </c>
      <c r="R17" s="33">
        <v>993.84977554068678</v>
      </c>
      <c r="S17" s="34">
        <v>1156.1420665721755</v>
      </c>
      <c r="T17" s="33">
        <v>993.2121056894598</v>
      </c>
      <c r="U17" s="34">
        <v>1174.8470899348072</v>
      </c>
      <c r="V17" s="33">
        <v>992.39503333647974</v>
      </c>
      <c r="W17" s="34">
        <v>1198.1461978789825</v>
      </c>
      <c r="X17" s="33">
        <v>990.94567134773183</v>
      </c>
      <c r="Y17" s="34">
        <v>1237.7367536872605</v>
      </c>
      <c r="Z17" s="33"/>
      <c r="AA17" s="34"/>
      <c r="AB17" s="33"/>
      <c r="AC17" s="34"/>
      <c r="AD17" s="33"/>
      <c r="AE17" s="34"/>
      <c r="AF17" s="33"/>
      <c r="AG17" s="34"/>
      <c r="AH17" s="33"/>
      <c r="AI17" s="34"/>
      <c r="AJ17" s="33"/>
      <c r="AK17" s="34"/>
      <c r="AL17" s="33"/>
      <c r="AM17" s="34"/>
      <c r="AN17" s="33"/>
      <c r="AO17" s="34"/>
      <c r="AP17" s="33"/>
      <c r="AQ17" s="34"/>
      <c r="AR17" s="33"/>
      <c r="AS17" s="34"/>
      <c r="AT17" s="33"/>
      <c r="AU17" s="34"/>
      <c r="AV17" s="33"/>
      <c r="AW17" s="34"/>
      <c r="AX17">
        <v>1000.0000000000002</v>
      </c>
      <c r="AY17">
        <v>999.99999999999977</v>
      </c>
    </row>
    <row r="18" spans="1:51" x14ac:dyDescent="0.2">
      <c r="A18" t="s">
        <v>19</v>
      </c>
      <c r="B18" s="31">
        <v>27857.010133999996</v>
      </c>
      <c r="C18" s="32">
        <v>1236.7674480000003</v>
      </c>
      <c r="D18" s="31">
        <v>27217.635934903352</v>
      </c>
      <c r="E18" s="32">
        <v>1159.6618603745615</v>
      </c>
      <c r="F18" s="31">
        <v>26505.792907127136</v>
      </c>
      <c r="G18" s="32">
        <v>1084.2550282217808</v>
      </c>
      <c r="H18" s="31">
        <v>25715.141886188165</v>
      </c>
      <c r="I18" s="32">
        <v>1010.6550268878786</v>
      </c>
      <c r="J18" s="31">
        <v>24839.78236661652</v>
      </c>
      <c r="K18" s="32">
        <v>938.9478527507946</v>
      </c>
      <c r="L18" s="31">
        <v>23874.733941274269</v>
      </c>
      <c r="M18" s="32">
        <v>869.18215453927382</v>
      </c>
      <c r="N18" s="31">
        <v>22816.669589366687</v>
      </c>
      <c r="O18" s="32">
        <v>801.34474753255404</v>
      </c>
      <c r="P18" s="31">
        <v>21664.852217149743</v>
      </c>
      <c r="Q18" s="32">
        <v>735.32519956423414</v>
      </c>
      <c r="R18" s="31">
        <v>20422.711984696642</v>
      </c>
      <c r="S18" s="32">
        <v>670.85215769604986</v>
      </c>
      <c r="T18" s="31">
        <v>19100.607305015375</v>
      </c>
      <c r="U18" s="32">
        <v>607.36091415405042</v>
      </c>
      <c r="V18" s="31">
        <v>17723.143528358516</v>
      </c>
      <c r="W18" s="32">
        <v>543.62532287317924</v>
      </c>
      <c r="X18" s="31">
        <v>16355.186279104666</v>
      </c>
      <c r="Y18" s="32">
        <v>476.39211659468862</v>
      </c>
      <c r="Z18" s="31"/>
      <c r="AA18" s="32"/>
      <c r="AB18" s="31"/>
      <c r="AC18" s="32"/>
      <c r="AD18" s="31"/>
      <c r="AE18" s="32"/>
      <c r="AF18" s="31"/>
      <c r="AG18" s="32"/>
      <c r="AH18" s="31"/>
      <c r="AI18" s="32"/>
      <c r="AJ18" s="31"/>
      <c r="AK18" s="32"/>
      <c r="AL18" s="31"/>
      <c r="AM18" s="32"/>
      <c r="AN18" s="31"/>
      <c r="AO18" s="32"/>
      <c r="AP18" s="31"/>
      <c r="AQ18" s="32"/>
      <c r="AR18" s="31"/>
      <c r="AS18" s="32"/>
      <c r="AT18" s="31"/>
      <c r="AU18" s="32"/>
      <c r="AV18" s="31"/>
      <c r="AW18" s="32"/>
      <c r="AX18">
        <v>27857.010133999996</v>
      </c>
      <c r="AY18">
        <v>1236.7674480000003</v>
      </c>
    </row>
    <row r="19" spans="1:51" x14ac:dyDescent="0.2">
      <c r="A19" t="s">
        <v>3</v>
      </c>
      <c r="B19" s="39">
        <v>1886.3937399999918</v>
      </c>
      <c r="C19" s="40">
        <v>262.78711299999759</v>
      </c>
      <c r="D19" s="39">
        <v>1838.524484772691</v>
      </c>
      <c r="E19" s="40">
        <v>261.63356132808275</v>
      </c>
      <c r="F19" s="39">
        <v>1786.1903290810283</v>
      </c>
      <c r="G19" s="40">
        <v>259.46558668223417</v>
      </c>
      <c r="H19" s="39">
        <v>1729.0076952143838</v>
      </c>
      <c r="I19" s="40">
        <v>256.12975527796652</v>
      </c>
      <c r="J19" s="39">
        <v>1666.6179939797291</v>
      </c>
      <c r="K19" s="40">
        <v>251.48264673214825</v>
      </c>
      <c r="L19" s="39">
        <v>1598.7139901129156</v>
      </c>
      <c r="M19" s="40">
        <v>245.40868472866316</v>
      </c>
      <c r="N19" s="39">
        <v>1525.0800674539532</v>
      </c>
      <c r="O19" s="40">
        <v>237.84603399268042</v>
      </c>
      <c r="P19" s="39">
        <v>1445.6413267507523</v>
      </c>
      <c r="Q19" s="40">
        <v>228.82582955809278</v>
      </c>
      <c r="R19" s="39">
        <v>1360.5453380653676</v>
      </c>
      <c r="S19" s="40">
        <v>218.53919677258378</v>
      </c>
      <c r="T19" s="39">
        <v>1270.2966430789843</v>
      </c>
      <c r="U19" s="40">
        <v>207.47629228524977</v>
      </c>
      <c r="V19" s="39">
        <v>1176.1070931355168</v>
      </c>
      <c r="W19" s="40">
        <v>196.81114308596253</v>
      </c>
      <c r="X19" s="39">
        <v>1081.1072230649754</v>
      </c>
      <c r="Y19" s="40">
        <v>189.88035539468169</v>
      </c>
      <c r="Z19" s="39"/>
      <c r="AA19" s="40"/>
      <c r="AB19" s="39"/>
      <c r="AC19" s="40"/>
      <c r="AD19" s="39"/>
      <c r="AE19" s="40"/>
      <c r="AF19" s="39"/>
      <c r="AG19" s="40"/>
      <c r="AH19" s="39"/>
      <c r="AI19" s="40"/>
      <c r="AJ19" s="39"/>
      <c r="AK19" s="40"/>
      <c r="AL19" s="39"/>
      <c r="AM19" s="40"/>
      <c r="AN19" s="39"/>
      <c r="AO19" s="40"/>
      <c r="AP19" s="39"/>
      <c r="AQ19" s="40"/>
      <c r="AR19" s="39"/>
      <c r="AS19" s="40"/>
      <c r="AT19" s="39"/>
      <c r="AU19" s="40"/>
      <c r="AV19" s="39"/>
      <c r="AW19" s="40"/>
      <c r="AX19">
        <v>1886.3937399999918</v>
      </c>
      <c r="AY19">
        <v>262.78711299999759</v>
      </c>
    </row>
    <row r="20" spans="1:51" x14ac:dyDescent="0.2">
      <c r="A20" t="s">
        <v>114</v>
      </c>
      <c r="B20" s="79">
        <v>26548.356269999993</v>
      </c>
      <c r="C20" s="80">
        <v>1408.5418709999938</v>
      </c>
      <c r="D20" s="79">
        <v>25928.277208655592</v>
      </c>
      <c r="E20" s="80">
        <v>1338.1147774499941</v>
      </c>
      <c r="F20" s="79">
        <v>25240.141806197364</v>
      </c>
      <c r="G20" s="80">
        <v>1267.6876838999945</v>
      </c>
      <c r="H20" s="79">
        <v>24478.02330686284</v>
      </c>
      <c r="I20" s="80">
        <v>1197.2605903499943</v>
      </c>
      <c r="J20" s="79">
        <v>23636.402382708759</v>
      </c>
      <c r="K20" s="80">
        <v>1126.8334967999951</v>
      </c>
      <c r="L20" s="79">
        <v>22710.61079533428</v>
      </c>
      <c r="M20" s="80">
        <v>1056.4064032499953</v>
      </c>
      <c r="N20" s="79">
        <v>21697.507473667149</v>
      </c>
      <c r="O20" s="80">
        <v>985.97930969999561</v>
      </c>
      <c r="P20" s="79">
        <v>20596.336256790219</v>
      </c>
      <c r="Q20" s="80">
        <v>915.55221614999596</v>
      </c>
      <c r="R20" s="79">
        <v>19410.168446630792</v>
      </c>
      <c r="S20" s="80">
        <v>845.12512259999642</v>
      </c>
      <c r="T20" s="79">
        <v>18148.40699668444</v>
      </c>
      <c r="U20" s="80">
        <v>774.69802904999653</v>
      </c>
      <c r="V20" s="79">
        <v>16833.409196570454</v>
      </c>
      <c r="W20" s="80">
        <v>704.27093549999688</v>
      </c>
      <c r="X20" s="79">
        <v>15523.936378298087</v>
      </c>
      <c r="Y20" s="80">
        <v>633.84384194999734</v>
      </c>
      <c r="Z20" s="79"/>
      <c r="AA20" s="80"/>
      <c r="AB20" s="79"/>
      <c r="AC20" s="80"/>
      <c r="AD20" s="79"/>
      <c r="AE20" s="80"/>
      <c r="AF20" s="79"/>
      <c r="AG20" s="80"/>
      <c r="AH20" s="79"/>
      <c r="AI20" s="80"/>
      <c r="AJ20" s="79"/>
      <c r="AK20" s="80"/>
      <c r="AL20" s="79"/>
      <c r="AM20" s="80"/>
      <c r="AN20" s="79"/>
      <c r="AO20" s="80"/>
      <c r="AP20" s="79"/>
      <c r="AQ20" s="80"/>
      <c r="AR20" s="79"/>
      <c r="AS20" s="80"/>
      <c r="AT20" s="79"/>
      <c r="AU20" s="80"/>
      <c r="AV20" s="79"/>
      <c r="AW20" s="80"/>
      <c r="AX20">
        <v>26548.356269999993</v>
      </c>
      <c r="AY20">
        <v>1408.5418709999938</v>
      </c>
    </row>
    <row r="21" spans="1:51" x14ac:dyDescent="0.2">
      <c r="A21" t="s">
        <v>76</v>
      </c>
      <c r="B21" s="79">
        <v>24661.962529999968</v>
      </c>
      <c r="C21" s="80">
        <v>1145.7547579999991</v>
      </c>
      <c r="D21" s="79">
        <v>24089.754846022697</v>
      </c>
      <c r="E21" s="80">
        <v>1076.5680801329117</v>
      </c>
      <c r="F21" s="79">
        <v>23453.959376713763</v>
      </c>
      <c r="G21" s="80">
        <v>1008.5525940228123</v>
      </c>
      <c r="H21" s="79">
        <v>22749.032007188234</v>
      </c>
      <c r="I21" s="80">
        <v>941.83127982020494</v>
      </c>
      <c r="J21" s="79">
        <v>21969.811019610584</v>
      </c>
      <c r="K21" s="80">
        <v>876.5114014952328</v>
      </c>
      <c r="L21" s="79">
        <v>21111.934447738964</v>
      </c>
      <c r="M21" s="80">
        <v>812.66910162445345</v>
      </c>
      <c r="N21" s="79">
        <v>20172.475982603159</v>
      </c>
      <c r="O21" s="80">
        <v>750.32777123118035</v>
      </c>
      <c r="P21" s="79">
        <v>19150.753760513264</v>
      </c>
      <c r="Q21" s="80">
        <v>689.42567919082046</v>
      </c>
      <c r="R21" s="79">
        <v>18049.691401032178</v>
      </c>
      <c r="S21" s="80">
        <v>629.76033641369543</v>
      </c>
      <c r="T21" s="79">
        <v>16878.188179142013</v>
      </c>
      <c r="U21" s="80">
        <v>570.87192984834314</v>
      </c>
      <c r="V21" s="79">
        <v>15657.392781775126</v>
      </c>
      <c r="W21" s="80">
        <v>511.72087359389695</v>
      </c>
      <c r="X21" s="79">
        <v>14442.947848683294</v>
      </c>
      <c r="Y21" s="80">
        <v>449.47574142464492</v>
      </c>
      <c r="Z21" s="79"/>
      <c r="AA21" s="80"/>
      <c r="AB21" s="79"/>
      <c r="AC21" s="80"/>
      <c r="AD21" s="79"/>
      <c r="AE21" s="80"/>
      <c r="AF21" s="79"/>
      <c r="AG21" s="80"/>
      <c r="AH21" s="79"/>
      <c r="AI21" s="80"/>
      <c r="AJ21" s="79"/>
      <c r="AK21" s="80"/>
      <c r="AL21" s="79"/>
      <c r="AM21" s="80"/>
      <c r="AN21" s="79"/>
      <c r="AO21" s="80"/>
      <c r="AP21" s="79"/>
      <c r="AQ21" s="80"/>
      <c r="AR21" s="79"/>
      <c r="AS21" s="80"/>
      <c r="AT21" s="79"/>
      <c r="AU21" s="80"/>
      <c r="AV21" s="79"/>
      <c r="AW21" s="80"/>
      <c r="AX21">
        <v>24661.962529999968</v>
      </c>
      <c r="AY21">
        <v>1145.7547579999991</v>
      </c>
    </row>
    <row r="22" spans="1:51" x14ac:dyDescent="0.2">
      <c r="A22" t="s">
        <v>28</v>
      </c>
      <c r="B22" s="39">
        <v>6533.6044688320644</v>
      </c>
      <c r="C22" s="40">
        <v>379.90788307663388</v>
      </c>
      <c r="D22" s="39">
        <v>6379.4456415634195</v>
      </c>
      <c r="E22" s="40">
        <v>366.07439472279407</v>
      </c>
      <c r="F22" s="39">
        <v>6208.3544981398827</v>
      </c>
      <c r="G22" s="40">
        <v>351.63584218682757</v>
      </c>
      <c r="H22" s="39">
        <v>6018.9368907953958</v>
      </c>
      <c r="I22" s="40">
        <v>336.56880432462771</v>
      </c>
      <c r="J22" s="39">
        <v>5809.9090294331081</v>
      </c>
      <c r="K22" s="40">
        <v>320.85557988715789</v>
      </c>
      <c r="L22" s="39">
        <v>5580.203529491514</v>
      </c>
      <c r="M22" s="40">
        <v>304.4868911306466</v>
      </c>
      <c r="N22" s="39">
        <v>5329.12967345781</v>
      </c>
      <c r="O22" s="40">
        <v>287.46628990808171</v>
      </c>
      <c r="P22" s="39">
        <v>5056.5747935616409</v>
      </c>
      <c r="Q22" s="40">
        <v>269.81552910428246</v>
      </c>
      <c r="R22" s="39">
        <v>4763.343331959336</v>
      </c>
      <c r="S22" s="40">
        <v>251.58458518409827</v>
      </c>
      <c r="T22" s="39">
        <v>4451.744525420364</v>
      </c>
      <c r="U22" s="40">
        <v>232.87007149263505</v>
      </c>
      <c r="V22" s="39">
        <v>4127.153593861206</v>
      </c>
      <c r="W22" s="40">
        <v>213.86749213923889</v>
      </c>
      <c r="X22" s="39">
        <v>3803.539822845165</v>
      </c>
      <c r="Y22" s="40">
        <v>195.06088701860102</v>
      </c>
      <c r="Z22" s="39"/>
      <c r="AA22" s="40"/>
      <c r="AB22" s="39"/>
      <c r="AC22" s="40"/>
      <c r="AD22" s="39"/>
      <c r="AE22" s="40"/>
      <c r="AF22" s="39"/>
      <c r="AG22" s="40"/>
      <c r="AH22" s="39"/>
      <c r="AI22" s="40"/>
      <c r="AJ22" s="39"/>
      <c r="AK22" s="40"/>
      <c r="AL22" s="39"/>
      <c r="AM22" s="40"/>
      <c r="AN22" s="39"/>
      <c r="AO22" s="40"/>
      <c r="AP22" s="39"/>
      <c r="AQ22" s="40"/>
      <c r="AR22" s="39"/>
      <c r="AS22" s="40"/>
      <c r="AT22" s="39"/>
      <c r="AU22" s="40"/>
      <c r="AV22" s="39"/>
      <c r="AW22" s="40"/>
      <c r="AX22">
        <v>6533.6044688320644</v>
      </c>
      <c r="AY22">
        <v>379.90788307663388</v>
      </c>
    </row>
    <row r="23" spans="1:51" x14ac:dyDescent="0.2">
      <c r="A23" t="s">
        <v>7</v>
      </c>
      <c r="B23" s="110">
        <v>3278.5018080150408</v>
      </c>
      <c r="C23" s="8">
        <v>0</v>
      </c>
      <c r="D23" s="110">
        <v>3206.6027819055075</v>
      </c>
      <c r="E23" s="8">
        <v>0</v>
      </c>
      <c r="F23" s="110">
        <v>3126.0138569081832</v>
      </c>
      <c r="G23" s="8">
        <v>0</v>
      </c>
      <c r="H23" s="110">
        <v>3035.9415218414633</v>
      </c>
      <c r="I23" s="8">
        <v>0</v>
      </c>
      <c r="J23" s="110">
        <v>2935.6389640045595</v>
      </c>
      <c r="K23" s="8">
        <v>0</v>
      </c>
      <c r="L23" s="110">
        <v>2824.4638028928021</v>
      </c>
      <c r="M23" s="8">
        <v>0</v>
      </c>
      <c r="N23" s="110">
        <v>2701.9664559665039</v>
      </c>
      <c r="O23" s="8">
        <v>0</v>
      </c>
      <c r="P23" s="110">
        <v>2568.0024186236747</v>
      </c>
      <c r="Q23" s="8">
        <v>0</v>
      </c>
      <c r="R23" s="110">
        <v>2422.9204054315219</v>
      </c>
      <c r="S23" s="8">
        <v>0</v>
      </c>
      <c r="T23" s="110">
        <v>2267.8861009599218</v>
      </c>
      <c r="U23" s="8">
        <v>0</v>
      </c>
      <c r="V23" s="110">
        <v>2105.7324568068352</v>
      </c>
      <c r="W23" s="8">
        <v>0</v>
      </c>
      <c r="X23" s="110">
        <v>1943.9554423573938</v>
      </c>
      <c r="Y23" s="8">
        <v>0</v>
      </c>
      <c r="Z23" s="110"/>
      <c r="AA23" s="8"/>
      <c r="AB23" s="110"/>
      <c r="AC23" s="8"/>
      <c r="AD23" s="110"/>
      <c r="AE23" s="8"/>
      <c r="AF23" s="110"/>
      <c r="AG23" s="8"/>
      <c r="AH23" s="110"/>
      <c r="AI23" s="8"/>
      <c r="AJ23" s="110"/>
      <c r="AK23" s="8"/>
      <c r="AL23" s="110"/>
      <c r="AM23" s="8"/>
      <c r="AN23" s="110"/>
      <c r="AO23" s="8"/>
      <c r="AP23" s="110"/>
      <c r="AQ23" s="8"/>
      <c r="AR23" s="110"/>
      <c r="AS23" s="8"/>
      <c r="AT23" s="110"/>
      <c r="AU23" s="8"/>
      <c r="AV23" s="110"/>
      <c r="AW23" s="8"/>
      <c r="AX23">
        <v>3278.5018080150408</v>
      </c>
      <c r="AY23">
        <v>0</v>
      </c>
    </row>
    <row r="24" spans="1:51" x14ac:dyDescent="0.2">
      <c r="A24" t="s">
        <v>8</v>
      </c>
      <c r="B24" s="93">
        <v>3196.3846373657216</v>
      </c>
      <c r="C24" s="8">
        <v>0</v>
      </c>
      <c r="D24" s="93">
        <v>3126.2864817028653</v>
      </c>
      <c r="E24" s="8">
        <v>0</v>
      </c>
      <c r="F24" s="93">
        <v>3047.7160760035313</v>
      </c>
      <c r="G24" s="8">
        <v>0</v>
      </c>
      <c r="H24" s="93">
        <v>2959.8997967252662</v>
      </c>
      <c r="I24" s="8">
        <v>0</v>
      </c>
      <c r="J24" s="93">
        <v>2862.1095336884432</v>
      </c>
      <c r="K24" s="8">
        <v>0</v>
      </c>
      <c r="L24" s="93">
        <v>2753.7189970095142</v>
      </c>
      <c r="M24" s="8">
        <v>0</v>
      </c>
      <c r="N24" s="93">
        <v>2634.2898604285533</v>
      </c>
      <c r="O24" s="8">
        <v>0</v>
      </c>
      <c r="P24" s="93">
        <v>2503.6812436623868</v>
      </c>
      <c r="Q24" s="8">
        <v>0</v>
      </c>
      <c r="R24" s="93">
        <v>2362.2331206890763</v>
      </c>
      <c r="S24" s="8">
        <v>0</v>
      </c>
      <c r="T24" s="93">
        <v>2211.0819883396407</v>
      </c>
      <c r="U24" s="8">
        <v>0</v>
      </c>
      <c r="V24" s="93">
        <v>2052.9898308217403</v>
      </c>
      <c r="W24" s="8">
        <v>0</v>
      </c>
      <c r="X24" s="93">
        <v>1895.2648703200948</v>
      </c>
      <c r="Y24" s="8">
        <v>0</v>
      </c>
      <c r="Z24" s="93"/>
      <c r="AA24" s="8"/>
      <c r="AB24" s="93"/>
      <c r="AC24" s="8"/>
      <c r="AD24" s="93"/>
      <c r="AE24" s="8"/>
      <c r="AF24" s="93"/>
      <c r="AG24" s="8"/>
      <c r="AH24" s="93"/>
      <c r="AI24" s="8"/>
      <c r="AJ24" s="93"/>
      <c r="AK24" s="8"/>
      <c r="AL24" s="93"/>
      <c r="AM24" s="8"/>
      <c r="AN24" s="93"/>
      <c r="AO24" s="8"/>
      <c r="AP24" s="93"/>
      <c r="AQ24" s="8"/>
      <c r="AR24" s="93"/>
      <c r="AS24" s="8"/>
      <c r="AT24" s="93"/>
      <c r="AU24" s="8"/>
      <c r="AV24" s="93"/>
      <c r="AW24" s="8"/>
      <c r="AX24">
        <v>3196.3846373657216</v>
      </c>
      <c r="AY24">
        <v>0</v>
      </c>
    </row>
    <row r="25" spans="1:51" x14ac:dyDescent="0.2">
      <c r="A25" t="s">
        <v>0</v>
      </c>
      <c r="B25" s="39">
        <v>3195.0476040000012</v>
      </c>
      <c r="C25" s="40">
        <v>91.012690000004397</v>
      </c>
      <c r="D25" s="39">
        <v>3127.8776404195974</v>
      </c>
      <c r="E25" s="40">
        <v>83.077252438392961</v>
      </c>
      <c r="F25" s="39">
        <v>3051.8207118230634</v>
      </c>
      <c r="G25" s="40">
        <v>75.643986888196878</v>
      </c>
      <c r="H25" s="39">
        <v>2966.0832056650183</v>
      </c>
      <c r="I25" s="40">
        <v>68.706226805559794</v>
      </c>
      <c r="J25" s="39">
        <v>2869.927914790901</v>
      </c>
      <c r="K25" s="40">
        <v>62.251352084745143</v>
      </c>
      <c r="L25" s="39">
        <v>2762.7379585861922</v>
      </c>
      <c r="M25" s="40">
        <v>56.259017421226226</v>
      </c>
      <c r="N25" s="39">
        <v>2644.1140373728222</v>
      </c>
      <c r="O25" s="40">
        <v>50.698492095443925</v>
      </c>
      <c r="P25" s="39">
        <v>2514.0019029892815</v>
      </c>
      <c r="Q25" s="40">
        <v>45.524496718705599</v>
      </c>
      <c r="R25" s="39">
        <v>2372.9083040777914</v>
      </c>
      <c r="S25" s="40">
        <v>40.669118522606652</v>
      </c>
      <c r="T25" s="39">
        <v>2222.2909188772464</v>
      </c>
      <c r="U25" s="40">
        <v>36.023861903212818</v>
      </c>
      <c r="V25" s="39">
        <v>2065.6010048539551</v>
      </c>
      <c r="W25" s="40">
        <v>31.390001746062246</v>
      </c>
      <c r="X25" s="39">
        <v>1912.0415679147939</v>
      </c>
      <c r="Y25" s="40">
        <v>26.307880497425295</v>
      </c>
      <c r="Z25" s="39"/>
      <c r="AA25" s="40"/>
      <c r="AB25" s="39"/>
      <c r="AC25" s="40"/>
      <c r="AD25" s="39"/>
      <c r="AE25" s="40"/>
      <c r="AF25" s="39"/>
      <c r="AG25" s="40"/>
      <c r="AH25" s="39"/>
      <c r="AI25" s="40"/>
      <c r="AJ25" s="39"/>
      <c r="AK25" s="40"/>
      <c r="AL25" s="39"/>
      <c r="AM25" s="40"/>
      <c r="AN25" s="39"/>
      <c r="AO25" s="40"/>
      <c r="AP25" s="39"/>
      <c r="AQ25" s="40"/>
      <c r="AR25" s="39"/>
      <c r="AS25" s="40"/>
      <c r="AT25" s="39"/>
      <c r="AU25" s="40"/>
      <c r="AV25" s="39"/>
      <c r="AW25" s="40"/>
      <c r="AX25">
        <v>3195.0476040000012</v>
      </c>
      <c r="AY25">
        <v>91.012690000004397</v>
      </c>
    </row>
    <row r="26" spans="1:51" x14ac:dyDescent="0.2">
      <c r="A26" t="s">
        <v>27</v>
      </c>
      <c r="B26" s="31">
        <v>5036.2953101960647</v>
      </c>
      <c r="C26" s="32">
        <v>74.905331803938267</v>
      </c>
      <c r="D26" s="31">
        <v>4826.3786295004102</v>
      </c>
      <c r="E26" s="32">
        <v>69.106384947003463</v>
      </c>
      <c r="F26" s="31">
        <v>4608.744408972726</v>
      </c>
      <c r="G26" s="32">
        <v>63.573340714704024</v>
      </c>
      <c r="H26" s="31">
        <v>4383.565104945882</v>
      </c>
      <c r="I26" s="32">
        <v>58.31066412069152</v>
      </c>
      <c r="J26" s="31">
        <v>4151.1774206953696</v>
      </c>
      <c r="K26" s="32">
        <v>53.319891302838435</v>
      </c>
      <c r="L26" s="31">
        <v>3912.1180060440706</v>
      </c>
      <c r="M26" s="32">
        <v>48.598716295694601</v>
      </c>
      <c r="N26" s="31">
        <v>3667.171240567367</v>
      </c>
      <c r="O26" s="32">
        <v>44.139109071939892</v>
      </c>
      <c r="P26" s="31">
        <v>3417.4431487839024</v>
      </c>
      <c r="Q26" s="32">
        <v>39.925028738089466</v>
      </c>
      <c r="R26" s="31">
        <v>3164.5037792478583</v>
      </c>
      <c r="S26" s="32">
        <v>35.927845556689647</v>
      </c>
      <c r="T26" s="31">
        <v>2910.7461131972559</v>
      </c>
      <c r="U26" s="32">
        <v>32.097485000747639</v>
      </c>
      <c r="V26" s="31">
        <v>2660.4611932529479</v>
      </c>
      <c r="W26" s="32">
        <v>28.337241113925799</v>
      </c>
      <c r="X26" s="31">
        <v>2424.001271884546</v>
      </c>
      <c r="Y26" s="32">
        <v>24.41406731610212</v>
      </c>
      <c r="Z26" s="31"/>
      <c r="AA26" s="32"/>
      <c r="AB26" s="31"/>
      <c r="AC26" s="32"/>
      <c r="AD26" s="31"/>
      <c r="AE26" s="32"/>
      <c r="AF26" s="31"/>
      <c r="AG26" s="32"/>
      <c r="AH26" s="31"/>
      <c r="AI26" s="32"/>
      <c r="AJ26" s="31"/>
      <c r="AK26" s="32"/>
      <c r="AL26" s="31"/>
      <c r="AM26" s="32"/>
      <c r="AN26" s="31"/>
      <c r="AO26" s="32"/>
      <c r="AP26" s="31"/>
      <c r="AQ26" s="32"/>
      <c r="AR26" s="31"/>
      <c r="AS26" s="32"/>
      <c r="AT26" s="31"/>
      <c r="AU26" s="32"/>
      <c r="AV26" s="31"/>
      <c r="AW26" s="32"/>
      <c r="AX26">
        <v>5036.2953101960647</v>
      </c>
      <c r="AY26">
        <v>74.905331803938267</v>
      </c>
    </row>
    <row r="27" spans="1:51" x14ac:dyDescent="0.2">
      <c r="A27" t="s">
        <v>2</v>
      </c>
      <c r="B27" s="33">
        <v>6425.1981590000414</v>
      </c>
      <c r="C27" s="34">
        <v>273.22915400000028</v>
      </c>
      <c r="D27" s="33">
        <v>6438.9060594124358</v>
      </c>
      <c r="E27" s="34">
        <v>259.51882941020835</v>
      </c>
      <c r="F27" s="33">
        <v>6452.124678879677</v>
      </c>
      <c r="G27" s="34">
        <v>246.30305533929459</v>
      </c>
      <c r="H27" s="33">
        <v>6464.7944083111624</v>
      </c>
      <c r="I27" s="34">
        <v>233.63438624650453</v>
      </c>
      <c r="J27" s="33">
        <v>6476.8584265212312</v>
      </c>
      <c r="K27" s="34">
        <v>221.5715168215101</v>
      </c>
      <c r="L27" s="33">
        <v>6488.2454824646238</v>
      </c>
      <c r="M27" s="34">
        <v>210.18067307749831</v>
      </c>
      <c r="N27" s="33">
        <v>6498.8887045436186</v>
      </c>
      <c r="O27" s="34">
        <v>199.54041583604928</v>
      </c>
      <c r="P27" s="33">
        <v>6508.6696172781358</v>
      </c>
      <c r="Q27" s="34">
        <v>189.7515597685514</v>
      </c>
      <c r="R27" s="33">
        <v>6517.4673790892648</v>
      </c>
      <c r="S27" s="34">
        <v>180.96512704922915</v>
      </c>
      <c r="T27" s="33">
        <v>6524.9775406039043</v>
      </c>
      <c r="U27" s="34">
        <v>173.44858445656871</v>
      </c>
      <c r="V27" s="33">
        <v>6530.6429416584151</v>
      </c>
      <c r="W27" s="34">
        <v>167.78537757259772</v>
      </c>
      <c r="X27" s="33">
        <v>6532.8739400663317</v>
      </c>
      <c r="Y27" s="34">
        <v>165.55422151527509</v>
      </c>
      <c r="Z27" s="33"/>
      <c r="AA27" s="34"/>
      <c r="AB27" s="33"/>
      <c r="AC27" s="34"/>
      <c r="AD27" s="33"/>
      <c r="AE27" s="34"/>
      <c r="AF27" s="33"/>
      <c r="AG27" s="34"/>
      <c r="AH27" s="33"/>
      <c r="AI27" s="34"/>
      <c r="AJ27" s="33"/>
      <c r="AK27" s="34"/>
      <c r="AL27" s="33"/>
      <c r="AM27" s="34"/>
      <c r="AN27" s="33"/>
      <c r="AO27" s="34"/>
      <c r="AP27" s="33"/>
      <c r="AQ27" s="34"/>
      <c r="AR27" s="33"/>
      <c r="AS27" s="34"/>
      <c r="AT27" s="33"/>
      <c r="AU27" s="34"/>
      <c r="AV27" s="33"/>
      <c r="AW27" s="34"/>
      <c r="AX27">
        <v>6425.1981590000414</v>
      </c>
      <c r="AY27">
        <v>273.22915400000028</v>
      </c>
    </row>
    <row r="28" spans="1:51" x14ac:dyDescent="0.2">
      <c r="A28" t="s">
        <v>35</v>
      </c>
      <c r="B28" s="39">
        <v>13763.097676000029</v>
      </c>
      <c r="C28" s="40">
        <v>382.36647899999997</v>
      </c>
      <c r="D28" s="39">
        <v>13459.810820397968</v>
      </c>
      <c r="E28" s="40">
        <v>359.9958780521161</v>
      </c>
      <c r="F28" s="39">
        <v>13120.223640034268</v>
      </c>
      <c r="G28" s="40">
        <v>338.06153297314023</v>
      </c>
      <c r="H28" s="39">
        <v>12740.993473421815</v>
      </c>
      <c r="I28" s="40">
        <v>316.5818190636416</v>
      </c>
      <c r="J28" s="39">
        <v>12318.976084504682</v>
      </c>
      <c r="K28" s="40">
        <v>295.56617569836169</v>
      </c>
      <c r="L28" s="39">
        <v>11851.473964287594</v>
      </c>
      <c r="M28" s="40">
        <v>275.00923217900919</v>
      </c>
      <c r="N28" s="39">
        <v>11336.615767014442</v>
      </c>
      <c r="O28" s="40">
        <v>254.88125550888108</v>
      </c>
      <c r="P28" s="39">
        <v>10773.84335781319</v>
      </c>
      <c r="Q28" s="40">
        <v>235.1129957657725</v>
      </c>
      <c r="R28" s="39">
        <v>10164.729163514181</v>
      </c>
      <c r="S28" s="40">
        <v>215.56758516804348</v>
      </c>
      <c r="T28" s="39">
        <v>9514.4008197111561</v>
      </c>
      <c r="U28" s="40">
        <v>195.97929859253136</v>
      </c>
      <c r="V28" s="39">
        <v>8835.2950697168453</v>
      </c>
      <c r="W28" s="40">
        <v>175.78579072547311</v>
      </c>
      <c r="X28" s="39">
        <v>8160.4628062047677</v>
      </c>
      <c r="Y28" s="40">
        <v>153.52678113123488</v>
      </c>
      <c r="Z28" s="39"/>
      <c r="AA28" s="40"/>
      <c r="AB28" s="39"/>
      <c r="AC28" s="40"/>
      <c r="AD28" s="39"/>
      <c r="AE28" s="40"/>
      <c r="AF28" s="39"/>
      <c r="AG28" s="40"/>
      <c r="AH28" s="39"/>
      <c r="AI28" s="40"/>
      <c r="AJ28" s="39"/>
      <c r="AK28" s="40"/>
      <c r="AL28" s="39"/>
      <c r="AM28" s="40"/>
      <c r="AN28" s="39"/>
      <c r="AO28" s="40"/>
      <c r="AP28" s="39"/>
      <c r="AQ28" s="40"/>
      <c r="AR28" s="39"/>
      <c r="AS28" s="40"/>
      <c r="AT28" s="39"/>
      <c r="AU28" s="40"/>
      <c r="AV28" s="39"/>
      <c r="AW28" s="40"/>
      <c r="AX28">
        <v>13763.097676000029</v>
      </c>
      <c r="AY28">
        <v>382.36647899999997</v>
      </c>
    </row>
    <row r="29" spans="1:51" x14ac:dyDescent="0.2">
      <c r="A29" t="s">
        <v>53</v>
      </c>
      <c r="B29" s="33">
        <v>14362.768558000025</v>
      </c>
      <c r="C29" s="34">
        <v>817.26650999999993</v>
      </c>
      <c r="D29" s="33">
        <v>14032.668025038116</v>
      </c>
      <c r="E29" s="34">
        <v>764.43718294939538</v>
      </c>
      <c r="F29" s="33">
        <v>13665.241849655073</v>
      </c>
      <c r="G29" s="34">
        <v>713.02955283428344</v>
      </c>
      <c r="H29" s="33">
        <v>13257.227167527686</v>
      </c>
      <c r="I29" s="34">
        <v>663.10681112247562</v>
      </c>
      <c r="J29" s="33">
        <v>12805.58690151579</v>
      </c>
      <c r="K29" s="34">
        <v>614.71391765895805</v>
      </c>
      <c r="L29" s="33">
        <v>12307.757287445562</v>
      </c>
      <c r="M29" s="34">
        <v>567.86673218859539</v>
      </c>
      <c r="N29" s="33">
        <v>11762.02493958818</v>
      </c>
      <c r="O29" s="34">
        <v>522.53480902636079</v>
      </c>
      <c r="P29" s="33">
        <v>11168.008127686782</v>
      </c>
      <c r="Q29" s="34">
        <v>478.61630066426471</v>
      </c>
      <c r="R29" s="33">
        <v>10527.467336154054</v>
      </c>
      <c r="S29" s="34">
        <v>435.89245381229296</v>
      </c>
      <c r="T29" s="33">
        <v>9845.7230735479916</v>
      </c>
      <c r="U29" s="34">
        <v>393.93208912033811</v>
      </c>
      <c r="V29" s="33">
        <v>9135.4134945186324</v>
      </c>
      <c r="W29" s="34">
        <v>351.82629354119587</v>
      </c>
      <c r="X29" s="33">
        <v>8429.8454473385391</v>
      </c>
      <c r="Y29" s="34">
        <v>307.21437243873606</v>
      </c>
      <c r="Z29" s="33"/>
      <c r="AA29" s="34"/>
      <c r="AB29" s="33"/>
      <c r="AC29" s="34"/>
      <c r="AD29" s="33"/>
      <c r="AE29" s="34"/>
      <c r="AF29" s="33"/>
      <c r="AG29" s="34"/>
      <c r="AH29" s="33"/>
      <c r="AI29" s="34"/>
      <c r="AJ29" s="33"/>
      <c r="AK29" s="34"/>
      <c r="AL29" s="33"/>
      <c r="AM29" s="34"/>
      <c r="AN29" s="33"/>
      <c r="AO29" s="34"/>
      <c r="AP29" s="33"/>
      <c r="AQ29" s="34"/>
      <c r="AR29" s="33"/>
      <c r="AS29" s="34"/>
      <c r="AT29" s="33"/>
      <c r="AU29" s="34"/>
      <c r="AV29" s="33"/>
      <c r="AW29" s="34"/>
      <c r="AX29">
        <v>14362.768558000025</v>
      </c>
      <c r="AY29">
        <v>817.26650999999993</v>
      </c>
    </row>
    <row r="30" spans="1:51" x14ac:dyDescent="0.2">
      <c r="A30" t="s">
        <v>48</v>
      </c>
      <c r="B30" s="112">
        <v>2924829.9599999995</v>
      </c>
      <c r="D30" s="112">
        <v>2857728.1868916275</v>
      </c>
      <c r="F30" s="112">
        <v>2783150.5819684705</v>
      </c>
      <c r="H30" s="112">
        <v>2700421.2352403719</v>
      </c>
      <c r="J30" s="112">
        <v>2608902.2101674643</v>
      </c>
      <c r="L30" s="112">
        <v>2508042.2325945422</v>
      </c>
      <c r="N30" s="112">
        <v>2397447.9001489077</v>
      </c>
      <c r="P30" s="112">
        <v>2276976.778814774</v>
      </c>
      <c r="R30" s="112">
        <v>2146885.1667349651</v>
      </c>
      <c r="T30" s="112">
        <v>2008086.4489762399</v>
      </c>
      <c r="V30" s="112">
        <v>1862809.4065258235</v>
      </c>
      <c r="X30" s="112">
        <v>1716910.2790604418</v>
      </c>
      <c r="Z30" s="112"/>
      <c r="AB30" s="112"/>
      <c r="AD30" s="112"/>
      <c r="AF30" s="112"/>
      <c r="AH30" s="112"/>
      <c r="AJ30" s="112"/>
      <c r="AL30" s="112"/>
      <c r="AN30" s="112"/>
      <c r="AP30" s="112"/>
      <c r="AR30" s="112"/>
      <c r="AT30" s="112"/>
      <c r="AV30" s="112"/>
      <c r="AX30">
        <v>2924829.9599999995</v>
      </c>
    </row>
    <row r="31" spans="1:51" x14ac:dyDescent="0.2">
      <c r="A31" t="s">
        <v>47</v>
      </c>
      <c r="B31" s="77">
        <v>1</v>
      </c>
      <c r="D31" s="77">
        <v>0.97569282743154317</v>
      </c>
      <c r="F31" s="77">
        <v>0.94882107657602888</v>
      </c>
      <c r="H31" s="77">
        <v>0.91918351253790387</v>
      </c>
      <c r="J31" s="77">
        <v>0.8865968488506123</v>
      </c>
      <c r="L31" s="77">
        <v>0.85091135658576678</v>
      </c>
      <c r="N31" s="77">
        <v>0.81203437767107756</v>
      </c>
      <c r="P31" s="77">
        <v>0.76995969733066394</v>
      </c>
      <c r="R31" s="77">
        <v>0.72481716848708144</v>
      </c>
      <c r="T31" s="77">
        <v>0.67695898586905734</v>
      </c>
      <c r="V31" s="77">
        <v>0.62719015504452391</v>
      </c>
      <c r="X31" s="77">
        <v>0.57758638678236818</v>
      </c>
      <c r="Z31" s="77"/>
      <c r="AB31" s="77"/>
      <c r="AD31" s="77"/>
      <c r="AF31" s="77"/>
      <c r="AH31" s="77"/>
      <c r="AJ31" s="77"/>
      <c r="AL31" s="77"/>
      <c r="AN31" s="77"/>
      <c r="AP31" s="77"/>
      <c r="AR31" s="77"/>
      <c r="AT31" s="77"/>
      <c r="AV31" s="77"/>
      <c r="AX31">
        <v>1</v>
      </c>
    </row>
    <row r="32" spans="1:51" x14ac:dyDescent="0.2">
      <c r="A32" t="s">
        <v>64</v>
      </c>
      <c r="B32" s="83">
        <v>14734457.915000005</v>
      </c>
      <c r="D32" s="83">
        <v>14396417.200407483</v>
      </c>
      <c r="F32" s="83">
        <v>14020717.883620942</v>
      </c>
      <c r="H32" s="83">
        <v>13603951.454171844</v>
      </c>
      <c r="J32" s="83">
        <v>13142905.027715847</v>
      </c>
      <c r="L32" s="83">
        <v>12634800.072222427</v>
      </c>
      <c r="N32" s="83">
        <v>12077658.140343426</v>
      </c>
      <c r="P32" s="83">
        <v>11470757.526731456</v>
      </c>
      <c r="R32" s="83">
        <v>10815394.991767334</v>
      </c>
      <c r="T32" s="83">
        <v>10116165.829685155</v>
      </c>
      <c r="V32" s="83">
        <v>9384301.7921821028</v>
      </c>
      <c r="X32" s="83">
        <v>8649303.6476820353</v>
      </c>
      <c r="Z32" s="83"/>
      <c r="AB32" s="83"/>
      <c r="AD32" s="83"/>
      <c r="AF32" s="83"/>
      <c r="AH32" s="83"/>
      <c r="AJ32" s="83"/>
      <c r="AL32" s="83"/>
      <c r="AN32" s="83"/>
      <c r="AP32" s="83"/>
      <c r="AR32" s="83"/>
      <c r="AT32" s="83"/>
      <c r="AV32" s="83"/>
      <c r="AX32">
        <v>14734457.915000005</v>
      </c>
    </row>
    <row r="33" spans="1:51 16319:16384" x14ac:dyDescent="0.2">
      <c r="A33" t="s">
        <v>54</v>
      </c>
      <c r="B33" s="111">
        <v>7019665.6909999885</v>
      </c>
      <c r="D33" s="111">
        <v>6858619.2834446523</v>
      </c>
      <c r="F33" s="111">
        <v>6679631.7039582394</v>
      </c>
      <c r="H33" s="111">
        <v>6481079.3603955768</v>
      </c>
      <c r="J33" s="111">
        <v>6261431.5190255269</v>
      </c>
      <c r="L33" s="111">
        <v>6019364.4830399137</v>
      </c>
      <c r="N33" s="111">
        <v>5753935.628014381</v>
      </c>
      <c r="P33" s="111">
        <v>5464801.1983376462</v>
      </c>
      <c r="R33" s="111">
        <v>5152578.9067603284</v>
      </c>
      <c r="T33" s="111">
        <v>4819458.0738429073</v>
      </c>
      <c r="V33" s="111">
        <v>4470789.6097704666</v>
      </c>
      <c r="X33" s="111">
        <v>4120628.0245048329</v>
      </c>
      <c r="Z33" s="111"/>
      <c r="AB33" s="111"/>
      <c r="AD33" s="111"/>
      <c r="AF33" s="111"/>
      <c r="AH33" s="111"/>
      <c r="AJ33" s="111"/>
      <c r="AL33" s="111"/>
      <c r="AN33" s="111"/>
      <c r="AP33" s="111"/>
      <c r="AR33" s="111"/>
      <c r="AT33" s="111"/>
      <c r="AV33" s="111"/>
      <c r="AX33">
        <v>7019665.6909999885</v>
      </c>
    </row>
    <row r="34" spans="1:51 16319:16384" x14ac:dyDescent="0.2">
      <c r="A34" t="s">
        <v>75</v>
      </c>
      <c r="B34" s="111">
        <v>1136879.4410000162</v>
      </c>
      <c r="D34" s="111">
        <v>1110796.8467572164</v>
      </c>
      <c r="F34" s="111">
        <v>1081808.782947998</v>
      </c>
      <c r="H34" s="111">
        <v>1049651.9819782279</v>
      </c>
      <c r="J34" s="111">
        <v>1014078.6261637686</v>
      </c>
      <c r="L34" s="111">
        <v>974874.30116583966</v>
      </c>
      <c r="N34" s="111">
        <v>931886.42802163225</v>
      </c>
      <c r="P34" s="111">
        <v>885059.24339914182</v>
      </c>
      <c r="R34" s="111">
        <v>834492.88776244665</v>
      </c>
      <c r="T34" s="111">
        <v>780541.84541622514</v>
      </c>
      <c r="V34" s="111">
        <v>724072.77037853806</v>
      </c>
      <c r="X34" s="111">
        <v>667361.86995256227</v>
      </c>
      <c r="Z34" s="111"/>
      <c r="AB34" s="111"/>
      <c r="AD34" s="111"/>
      <c r="AF34" s="111"/>
      <c r="AH34" s="111"/>
      <c r="AJ34" s="111"/>
      <c r="AL34" s="111"/>
      <c r="AN34" s="111"/>
      <c r="AP34" s="111"/>
      <c r="AR34" s="111"/>
      <c r="AT34" s="111"/>
      <c r="AV34" s="111"/>
      <c r="AX34">
        <v>1136879.4410000162</v>
      </c>
    </row>
    <row r="35" spans="1:51 16319:16384" x14ac:dyDescent="0.2">
      <c r="A35" t="s">
        <v>78</v>
      </c>
      <c r="B35" s="192">
        <v>1</v>
      </c>
      <c r="D35" s="192">
        <v>1.0013991312123531</v>
      </c>
      <c r="F35" s="192">
        <v>1.0028874801128149</v>
      </c>
      <c r="H35" s="192">
        <v>1.00445426321142</v>
      </c>
      <c r="J35" s="192">
        <v>1.0060845087709616</v>
      </c>
      <c r="L35" s="192">
        <v>1.0077583705902819</v>
      </c>
      <c r="N35" s="192">
        <v>1.0094504350802742</v>
      </c>
      <c r="P35" s="192">
        <v>1.0111285580274505</v>
      </c>
      <c r="R35" s="192">
        <v>1.0127517002161857</v>
      </c>
      <c r="T35" s="192">
        <v>1.0142631189222762</v>
      </c>
      <c r="V35" s="192">
        <v>1.0155685008830089</v>
      </c>
      <c r="X35" s="192">
        <v>1.0164433788170197</v>
      </c>
      <c r="Z35" s="192"/>
      <c r="AB35" s="192"/>
      <c r="AD35" s="192"/>
      <c r="AF35" s="192"/>
      <c r="AH35" s="192"/>
      <c r="AJ35" s="192"/>
      <c r="AL35" s="192"/>
      <c r="AN35" s="192"/>
      <c r="AP35" s="192"/>
      <c r="AR35" s="192"/>
      <c r="AT35" s="192"/>
      <c r="AV35" s="192"/>
      <c r="AX35">
        <v>1</v>
      </c>
    </row>
    <row r="36" spans="1:51 16319:16384" x14ac:dyDescent="0.2">
      <c r="A36" t="s">
        <v>21</v>
      </c>
      <c r="B36" s="35">
        <v>0.47195767671988198</v>
      </c>
      <c r="C36" s="36">
        <v>0.31738834428178964</v>
      </c>
      <c r="D36" s="35">
        <v>0.47197381508068181</v>
      </c>
      <c r="E36" s="36">
        <v>0.31899901451495433</v>
      </c>
      <c r="F36" s="35">
        <v>0.47198939225547626</v>
      </c>
      <c r="G36" s="36">
        <v>0.3205927317155835</v>
      </c>
      <c r="H36" s="35">
        <v>0.47200429249813647</v>
      </c>
      <c r="I36" s="36">
        <v>0.32215514861447359</v>
      </c>
      <c r="J36" s="35">
        <v>0.47201840264448208</v>
      </c>
      <c r="K36" s="36">
        <v>0.3236712536375923</v>
      </c>
      <c r="L36" s="35">
        <v>0.47203163285211897</v>
      </c>
      <c r="M36" s="36">
        <v>0.32512727441092792</v>
      </c>
      <c r="N36" s="35">
        <v>0.47204395385202397</v>
      </c>
      <c r="O36" s="36">
        <v>0.32651433519456063</v>
      </c>
      <c r="P36" s="35">
        <v>0.47205547107278106</v>
      </c>
      <c r="Q36" s="36">
        <v>0.3278356143905492</v>
      </c>
      <c r="R36" s="35">
        <v>0.4720665777277176</v>
      </c>
      <c r="S36" s="36">
        <v>0.32912145322745817</v>
      </c>
      <c r="T36" s="35">
        <v>0.47207832663776556</v>
      </c>
      <c r="U36" s="36">
        <v>0.33046518997578828</v>
      </c>
      <c r="V36" s="35">
        <v>0.47209350899842389</v>
      </c>
      <c r="W36" s="36">
        <v>0.33212636514862315</v>
      </c>
      <c r="X36" s="35">
        <v>0.47212079687261965</v>
      </c>
      <c r="Y36" s="36">
        <v>0.33491881426275355</v>
      </c>
      <c r="Z36" s="35"/>
      <c r="AA36" s="36"/>
      <c r="AB36" s="35"/>
      <c r="AC36" s="36"/>
      <c r="AD36" s="35"/>
      <c r="AE36" s="36"/>
      <c r="AF36" s="35"/>
      <c r="AG36" s="36"/>
      <c r="AH36" s="35"/>
      <c r="AI36" s="36"/>
      <c r="AJ36" s="35"/>
      <c r="AK36" s="36"/>
      <c r="AL36" s="35"/>
      <c r="AM36" s="36"/>
      <c r="AN36" s="35"/>
      <c r="AO36" s="36"/>
      <c r="AP36" s="35"/>
      <c r="AQ36" s="36"/>
      <c r="AR36" s="35"/>
      <c r="AS36" s="36"/>
      <c r="AT36" s="35"/>
      <c r="AU36" s="36"/>
      <c r="AV36" s="35"/>
      <c r="AW36" s="36"/>
      <c r="AX36">
        <v>0.47195767671988198</v>
      </c>
      <c r="AY36">
        <v>0.31738834428178964</v>
      </c>
    </row>
    <row r="37" spans="1:51 16319:16384" x14ac:dyDescent="0.2">
      <c r="B37" s="37">
        <v>2.1403217525954466E-2</v>
      </c>
      <c r="C37" s="38">
        <v>0.3496246130199252</v>
      </c>
      <c r="D37" s="37">
        <v>2.0937298139017107E-2</v>
      </c>
      <c r="E37" s="38">
        <v>0.34680501237341765</v>
      </c>
      <c r="F37" s="37">
        <v>2.0486955742630545E-2</v>
      </c>
      <c r="G37" s="38">
        <v>0.34404160924885885</v>
      </c>
      <c r="H37" s="37">
        <v>2.0054537390423642E-2</v>
      </c>
      <c r="I37" s="38">
        <v>0.34134945326963062</v>
      </c>
      <c r="J37" s="37">
        <v>1.9642441222795539E-2</v>
      </c>
      <c r="K37" s="38">
        <v>0.33874511212752945</v>
      </c>
      <c r="L37" s="37">
        <v>1.9252985510645675E-2</v>
      </c>
      <c r="M37" s="38">
        <v>0.3362466536919882</v>
      </c>
      <c r="N37" s="37">
        <v>1.8888173432857727E-2</v>
      </c>
      <c r="O37" s="38">
        <v>0.33387356396555495</v>
      </c>
      <c r="P37" s="37">
        <v>1.8549313138777782E-2</v>
      </c>
      <c r="Q37" s="38">
        <v>0.33164715593546829</v>
      </c>
      <c r="R37" s="37">
        <v>1.8236233473779142E-2</v>
      </c>
      <c r="S37" s="38">
        <v>0.32959158177706432</v>
      </c>
      <c r="T37" s="37">
        <v>1.7945634898619257E-2</v>
      </c>
      <c r="U37" s="38">
        <v>0.32773829304602775</v>
      </c>
      <c r="V37" s="37">
        <v>1.7666462561022386E-2</v>
      </c>
      <c r="W37" s="38">
        <v>0.32614042513411678</v>
      </c>
      <c r="X37" s="37">
        <v>1.7363648927006387E-2</v>
      </c>
      <c r="Y37" s="38">
        <v>0.32493661558996212</v>
      </c>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c r="AX37">
        <v>2.1403217525954466E-2</v>
      </c>
      <c r="AY37">
        <v>0.3496246130199252</v>
      </c>
    </row>
    <row r="38" spans="1:51 16319:16384" x14ac:dyDescent="0.2">
      <c r="A38" t="s">
        <v>22</v>
      </c>
      <c r="B38" s="35">
        <v>0.18079094942242827</v>
      </c>
      <c r="C38" s="36">
        <v>6.0565413429233668E-2</v>
      </c>
      <c r="D38" s="35">
        <v>0.17732541654402684</v>
      </c>
      <c r="E38" s="36">
        <v>5.9591840784246071E-2</v>
      </c>
      <c r="F38" s="35">
        <v>0.17387687382607905</v>
      </c>
      <c r="G38" s="36">
        <v>5.8633198887688538E-2</v>
      </c>
      <c r="H38" s="35">
        <v>0.17046630053012984</v>
      </c>
      <c r="I38" s="36">
        <v>5.7695912620400455E-2</v>
      </c>
      <c r="J38" s="35">
        <v>0.16711810753520745</v>
      </c>
      <c r="K38" s="36">
        <v>5.67868504588721E-2</v>
      </c>
      <c r="L38" s="35">
        <v>0.16386017183131252</v>
      </c>
      <c r="M38" s="36">
        <v>5.5913154730443421E-2</v>
      </c>
      <c r="N38" s="35">
        <v>0.16072333546331355</v>
      </c>
      <c r="O38" s="36">
        <v>5.5081298289968231E-2</v>
      </c>
      <c r="P38" s="35">
        <v>0.1577413551927522</v>
      </c>
      <c r="Q38" s="36">
        <v>5.4295743926292335E-2</v>
      </c>
      <c r="R38" s="35">
        <v>0.15495022314465959</v>
      </c>
      <c r="S38" s="36">
        <v>5.3555534024186384E-2</v>
      </c>
      <c r="T38" s="35">
        <v>0.15239023904925586</v>
      </c>
      <c r="U38" s="36">
        <v>5.2847465572350719E-2</v>
      </c>
      <c r="V38" s="35">
        <v>0.15011226360583194</v>
      </c>
      <c r="W38" s="36">
        <v>5.2126418549005876E-2</v>
      </c>
      <c r="X38" s="35">
        <v>0.14820994579446903</v>
      </c>
      <c r="Y38" s="36">
        <v>5.1247840729643002E-2</v>
      </c>
      <c r="Z38" s="35"/>
      <c r="AA38" s="36"/>
      <c r="AB38" s="35"/>
      <c r="AC38" s="36"/>
      <c r="AD38" s="35"/>
      <c r="AE38" s="36"/>
      <c r="AF38" s="35"/>
      <c r="AG38" s="36"/>
      <c r="AH38" s="35"/>
      <c r="AI38" s="36"/>
      <c r="AJ38" s="35"/>
      <c r="AK38" s="36"/>
      <c r="AL38" s="35"/>
      <c r="AM38" s="36"/>
      <c r="AN38" s="35"/>
      <c r="AO38" s="36"/>
      <c r="AP38" s="35"/>
      <c r="AQ38" s="36"/>
      <c r="AR38" s="35"/>
      <c r="AS38" s="36"/>
      <c r="AT38" s="35"/>
      <c r="AU38" s="36"/>
      <c r="AV38" s="35"/>
      <c r="AW38" s="36"/>
      <c r="AX38">
        <v>0.18079094942242827</v>
      </c>
      <c r="AY38">
        <v>6.0565413429233668E-2</v>
      </c>
    </row>
    <row r="39" spans="1:51 16319:16384" x14ac:dyDescent="0.2">
      <c r="A39" t="s">
        <v>23</v>
      </c>
      <c r="B39" s="37">
        <v>0.23064923795098771</v>
      </c>
      <c r="C39" s="38">
        <v>0.22092201281804777</v>
      </c>
      <c r="D39" s="37">
        <v>0.23657109951843067</v>
      </c>
      <c r="E39" s="38">
        <v>0.22378836303746841</v>
      </c>
      <c r="F39" s="37">
        <v>0.24342319060165776</v>
      </c>
      <c r="G39" s="38">
        <v>0.22716339692077878</v>
      </c>
      <c r="H39" s="37">
        <v>0.25140030091700416</v>
      </c>
      <c r="I39" s="38">
        <v>0.23117125035823302</v>
      </c>
      <c r="J39" s="37">
        <v>0.26074537735184905</v>
      </c>
      <c r="K39" s="38">
        <v>0.23597851166322142</v>
      </c>
      <c r="L39" s="37">
        <v>0.27176200155461611</v>
      </c>
      <c r="M39" s="38">
        <v>0.24181429862525017</v>
      </c>
      <c r="N39" s="37">
        <v>0.2848307321578743</v>
      </c>
      <c r="O39" s="38">
        <v>0.2490069554339259</v>
      </c>
      <c r="P39" s="37">
        <v>0.30042529494505016</v>
      </c>
      <c r="Q39" s="38">
        <v>0.25805121309728174</v>
      </c>
      <c r="R39" s="37">
        <v>0.31912839900856466</v>
      </c>
      <c r="S39" s="38">
        <v>0.26975411045964159</v>
      </c>
      <c r="T39" s="37">
        <v>0.34161099887596752</v>
      </c>
      <c r="U39" s="38">
        <v>0.28557745553671798</v>
      </c>
      <c r="V39" s="37">
        <v>0.36848107285306575</v>
      </c>
      <c r="W39" s="38">
        <v>0.30864157814763882</v>
      </c>
      <c r="X39" s="37">
        <v>0.39943745235190081</v>
      </c>
      <c r="Y39" s="38">
        <v>0.34751671102090792</v>
      </c>
      <c r="Z39" s="37"/>
      <c r="AA39" s="38"/>
      <c r="AB39" s="37"/>
      <c r="AC39" s="38"/>
      <c r="AD39" s="37"/>
      <c r="AE39" s="38"/>
      <c r="AF39" s="37"/>
      <c r="AG39" s="38"/>
      <c r="AH39" s="37"/>
      <c r="AI39" s="38"/>
      <c r="AJ39" s="37"/>
      <c r="AK39" s="38"/>
      <c r="AL39" s="37"/>
      <c r="AM39" s="38"/>
      <c r="AN39" s="37"/>
      <c r="AO39" s="38"/>
      <c r="AP39" s="37"/>
      <c r="AQ39" s="38"/>
      <c r="AR39" s="37"/>
      <c r="AS39" s="38"/>
      <c r="AT39" s="37"/>
      <c r="AU39" s="38"/>
      <c r="AV39" s="37"/>
      <c r="AW39" s="38"/>
      <c r="AX39">
        <v>0.23064923795098771</v>
      </c>
      <c r="AY39">
        <v>0.22092201281804777</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0.10063001816195999</v>
      </c>
      <c r="E42" s="126"/>
      <c r="F42" s="167">
        <f>6.1%+(1-6.1%)*(1-SUM(F26:G26)/SUM($B$26:$C$26))</f>
        <v>0.14162900769245654</v>
      </c>
      <c r="G42" s="126"/>
      <c r="H42" s="167">
        <f>6.1%+(1-6.1%)*(1-SUM(H26:I26)/SUM($B$26:$C$26))</f>
        <v>0.18396446563259186</v>
      </c>
      <c r="I42" s="126"/>
      <c r="J42" s="167">
        <f>6.1%+(1-6.1%)*(1-SUM(J26:K26)/SUM($B$26:$C$26))</f>
        <v>0.22757425260819678</v>
      </c>
      <c r="K42" s="126"/>
      <c r="L42" s="167">
        <f>6.1%+(1-6.1%)*(1-SUM(L26:M26)/SUM($B$26:$C$26))</f>
        <v>0.27236020207929901</v>
      </c>
      <c r="M42" s="126"/>
      <c r="N42" s="167">
        <f>6.1%+(1-6.1%)*(1-SUM(N26:O26)/SUM($B$26:$C$26))</f>
        <v>0.31817968763056304</v>
      </c>
      <c r="O42" s="126"/>
      <c r="P42" s="167">
        <f>6.1%+(1-6.1%)*(1-SUM(P26:Q26)/SUM($B$26:$C$26))</f>
        <v>0.36483246382149204</v>
      </c>
      <c r="Q42" s="126"/>
      <c r="R42" s="167">
        <f>6.1%+(1-6.1%)*(1-SUM(R26:S26)/SUM($B$26:$C$26))</f>
        <v>0.41203535016861731</v>
      </c>
      <c r="S42" s="126"/>
      <c r="T42" s="167">
        <f>6.1%+(1-6.1%)*(1-SUM(T26:U26)/SUM($B$26:$C$26))</f>
        <v>0.45935792150263943</v>
      </c>
      <c r="U42" s="126"/>
      <c r="V42" s="167">
        <f>6.1%+(1-6.1%)*(1-SUM(V26:W26)/SUM($B$26:$C$26))</f>
        <v>0.5060296187311184</v>
      </c>
      <c r="W42" s="126"/>
      <c r="X42" s="167">
        <f>6.1%+(1-6.1%)*(1-SUM(X26:Y26)/SUM($B$26:$C$26))</f>
        <v>0.55019140031063429</v>
      </c>
      <c r="Y42" s="152"/>
      <c r="Z42" s="167">
        <f>6.1%+(1-6.1%)*(1-SUM(Z26:AA26)/SUM($B$26:$C$26))</f>
        <v>1</v>
      </c>
      <c r="AA42" s="126"/>
      <c r="AB42" s="167">
        <f>6.1%+(1-6.1%)*(1-SUM(AB26:AC26)/SUM($B$26:$C$26))</f>
        <v>1</v>
      </c>
      <c r="AC42" s="126"/>
      <c r="AD42" s="167">
        <f>6.1%+(1-6.1%)*(1-SUM(AD26:AE26)/SUM($B$26:$C$26))</f>
        <v>1</v>
      </c>
      <c r="AE42" s="126"/>
      <c r="AF42" s="167">
        <f>6.1%+(1-6.1%)*(1-SUM(AF26:AG26)/SUM($B$26:$C$26))</f>
        <v>1</v>
      </c>
      <c r="AG42" s="126"/>
      <c r="AH42" s="167">
        <f>6.1%+(1-6.1%)*(1-SUM(AH26:AI26)/SUM($B$26:$C$26))</f>
        <v>1</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51 16319:16384" x14ac:dyDescent="0.2">
      <c r="A43" t="s">
        <v>95</v>
      </c>
      <c r="B43" s="152">
        <f>SUM(B15:C15*B27:C27)/SUM(B15:C15*B27:C27,B13:C13*B26:C26)</f>
        <v>0.56058995943839207</v>
      </c>
      <c r="C43" s="126"/>
      <c r="D43" s="152">
        <f t="array" ref="D43">SUM(D15:E15*D27:E27)/SUM(D15:E15*D27:E27,D13:E13*D26:E26)</f>
        <v>0.57513926423902684</v>
      </c>
      <c r="E43" s="126"/>
      <c r="F43" s="152">
        <f t="array" ref="F43">SUM(F15:G15*F27:G27)/SUM(F15:G15*F27:G27,F13:G13*F26:G26)</f>
        <v>0.5830228529803102</v>
      </c>
      <c r="G43" s="126"/>
      <c r="H43" s="152">
        <f t="array" ref="H43">SUM(H15:I15*H27:I27)/SUM(H15:I15*H27:I27,H13:I13*H26:I26)</f>
        <v>0.59080589055574961</v>
      </c>
      <c r="I43" s="126"/>
      <c r="J43" s="152">
        <f t="array" ref="J43">SUM(J15:K15*J27:K27)/SUM(J15:K15*J27:K27,J13:K13*J26:K26)</f>
        <v>0.59843579705375904</v>
      </c>
      <c r="K43" s="126"/>
      <c r="L43" s="152">
        <f t="array" ref="L43">SUM(L15:M15*L27:M27)/SUM(L15:M15*L27:M27,L13:M13*L26:M26)</f>
        <v>0.60585155063432217</v>
      </c>
      <c r="M43" s="126"/>
      <c r="N43" s="152">
        <f t="array" ref="N43">SUM(N15:O15*N27:O27)/SUM(N15:O15*N27:O27,N13:O13*N26:O26)</f>
        <v>0.61298535135596821</v>
      </c>
      <c r="O43" s="126"/>
      <c r="P43" s="152">
        <f t="array" ref="P43">SUM(P15:Q15*P27:Q27)/SUM(P15:Q15*P27:Q27,P13:Q13*P26:Q26)</f>
        <v>0.61975971314396472</v>
      </c>
      <c r="Q43" s="126"/>
      <c r="R43" s="152">
        <f t="array" ref="R43">SUM(R15:S15*R27:S27)/SUM(R15:S15*R27:S27,R13:S13*R26:S26)</f>
        <v>0.62609018425887131</v>
      </c>
      <c r="S43" s="126"/>
      <c r="T43" s="152">
        <f t="array" ref="T43">SUM(T15:U15*T27:U27)/SUM(T15:U15*T27:U27,T13:U13*T26:U26)</f>
        <v>0.63187113348558177</v>
      </c>
      <c r="U43" s="126"/>
      <c r="V43" s="152">
        <f t="array" ref="V43">SUM(V15:W15*V27:W27)/SUM(V15:W15*V27:W27,V13:W13*V26:W26)</f>
        <v>0.63695253707700594</v>
      </c>
      <c r="W43" s="126"/>
      <c r="X43" s="152">
        <f t="array" ref="X43">SUM(X15:Y15*X27:Y27)/SUM(X15:Y15*X27:Y27,X13:Y13*X26:Y26)</f>
        <v>0.64100776981615759</v>
      </c>
      <c r="Y43" s="126"/>
      <c r="Z43" s="152" t="e">
        <f t="array" ref="Z43">SUM(Z15:AA15*Z27:AA27)/SUM(Z15:AA15*Z27:AA27,Z13:AA13*Z26:AA26)</f>
        <v>#DIV/0!</v>
      </c>
      <c r="AA43" s="126"/>
      <c r="AB43" s="152" t="e">
        <f t="array" ref="AB43">SUM(AB15:AC15*AB27:AC27)/SUM(AB15:AC15*AB27:AC27,AB13:AC13*AB26:AC26)</f>
        <v>#DIV/0!</v>
      </c>
      <c r="AC43" s="126"/>
      <c r="AD43" s="152" t="e">
        <f t="array" ref="AD43">SUM(AD15:AE15*AD27:AE27)/SUM(AD15:AE15*AD27:AE27,AD13:AE13*AD26:AE26)</f>
        <v>#DIV/0!</v>
      </c>
      <c r="AE43" s="126"/>
      <c r="AF43" s="152" t="e">
        <f t="array" ref="AF43">SUM(AF15:AG15*AF27:AG27)/SUM(AF15:AG15*AF27:AG27,AF13:AG13*AF26:AG26)</f>
        <v>#DIV/0!</v>
      </c>
      <c r="AG43" s="126"/>
      <c r="AH43" s="152" t="e">
        <f t="array" ref="AH43">SUM(AH15:AI15*AH27:AI27)/SUM(AH15:AI15*AH27:AI27,AH13:AI13*AH26:AI26)</f>
        <v>#DIV/0!</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51 16319:16384" x14ac:dyDescent="0.2">
      <c r="A44" t="s">
        <v>129</v>
      </c>
      <c r="B44" s="183">
        <f>(SUM(B11:C11*B24:C24)+B34)/B32</f>
        <v>0.29754226190682465</v>
      </c>
      <c r="D44" s="183">
        <f>(SUM(D11:E11*D24:E24)+D34)/D32</f>
        <v>0.29754225581650084</v>
      </c>
      <c r="F44" s="183">
        <f>(SUM(F11:G11*F24:G24)+F34)/F32</f>
        <v>0.29754226220292873</v>
      </c>
      <c r="H44" s="183">
        <f>(SUM(H11:I11*H24:I24)+H34)/H32</f>
        <v>0.29754226293131419</v>
      </c>
      <c r="J44" s="183">
        <f>(SUM(J11:K11*J24:K24)+J34)/J32</f>
        <v>0.2975422634476792</v>
      </c>
      <c r="L44" s="183">
        <f>(SUM(L11:M11*L24:M24)+L34)/L32</f>
        <v>0.29754226152666358</v>
      </c>
      <c r="N44" s="183">
        <f>(SUM(N11:O11*N24:O24)+N34)/N32</f>
        <v>0.29754226257439009</v>
      </c>
      <c r="P44" s="183">
        <f>(SUM(P11:Q11*P24:Q24)+P34)/P32</f>
        <v>0.29754226066095607</v>
      </c>
      <c r="R44" s="183">
        <f>(SUM(R11:S11*R24:S24)+R34)/R32</f>
        <v>0.29754226255282179</v>
      </c>
      <c r="T44" s="183">
        <f>(SUM(T11:U11*T24:U24)+T34)/T32</f>
        <v>0.29754226215479823</v>
      </c>
      <c r="V44" s="183">
        <f>(SUM(V11:W11*V24:W24)+V34)/V32</f>
        <v>0.29754226170857984</v>
      </c>
      <c r="X44" s="183">
        <f>(SUM(X11:Y11*X24:Y24)+X34)/X32</f>
        <v>0.29754226077877788</v>
      </c>
      <c r="Z44" s="183" t="e">
        <f>(SUM(Z11:AA11*Z24:AA24)+Z34)/Z32</f>
        <v>#DIV/0!</v>
      </c>
      <c r="AB44" s="183" t="e">
        <f>(SUM(AB11:AC11*AB24:AC24)+AB34)/AB32</f>
        <v>#DIV/0!</v>
      </c>
      <c r="AD44" s="183" t="e">
        <f>(SUM(AD11:AE11*AD24:AE24)+AD34)/AD32</f>
        <v>#DIV/0!</v>
      </c>
      <c r="AF44" s="183" t="e">
        <f>(SUM(AF11:AG11*AF24:AG24)+AF34)/AF32</f>
        <v>#DIV/0!</v>
      </c>
      <c r="AH44" s="183" t="e">
        <f>(SUM(AH11:AI11*AH24:AI24)+AH34)/AH32</f>
        <v>#DIV/0!</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51 16319:16384" x14ac:dyDescent="0.2">
      <c r="A45" t="s">
        <v>82</v>
      </c>
      <c r="B45" s="183">
        <f>SUM(B11:C11*B24:C24)/B32</f>
        <v>0.22038438833194082</v>
      </c>
      <c r="D45" s="183">
        <f>SUM(D11:E11*D24:E24)/D32</f>
        <v>0.22038438859897008</v>
      </c>
      <c r="F45" s="183">
        <f>SUM(F11:G11*F24:G24)/F32</f>
        <v>0.22038438826754547</v>
      </c>
      <c r="H45" s="183">
        <f>SUM(H11:I11*H24:I24)/H32</f>
        <v>0.22038438821276415</v>
      </c>
      <c r="J45" s="183">
        <f>SUM(J11:K11*J24:K24)/J32</f>
        <v>0.22038438822714973</v>
      </c>
      <c r="L45" s="183">
        <f>SUM(L11:M11*L24:M24)/L32</f>
        <v>0.22038438838317806</v>
      </c>
      <c r="N45" s="183">
        <f>SUM(N11:O11*N24:O24)/N32</f>
        <v>0.22038438832484342</v>
      </c>
      <c r="P45" s="183">
        <f>SUM(P11:Q11*P24:Q24)/P32</f>
        <v>0.22038438845098215</v>
      </c>
      <c r="R45" s="183">
        <f>SUM(R11:S11*R24:S24)/R32</f>
        <v>0.22038438820818052</v>
      </c>
      <c r="T45" s="183">
        <f>SUM(T11:U11*T24:U24)/T32</f>
        <v>0.22038438845468733</v>
      </c>
      <c r="V45" s="183">
        <f>SUM(V11:W11*V24:W24)/V32</f>
        <v>0.22038438822866355</v>
      </c>
      <c r="X45" s="183">
        <f>SUM(X11:Y11*X24:Y24)/X32</f>
        <v>0.22038438806015606</v>
      </c>
      <c r="Z45" s="183" t="e">
        <f>SUM(Z11:AA11*Z24:AA24)/Z32</f>
        <v>#DIV/0!</v>
      </c>
      <c r="AB45" s="183" t="e">
        <f>SUM(AB11:AC11*AB24:AC24)/AB32</f>
        <v>#DIV/0!</v>
      </c>
      <c r="AD45" s="183" t="e">
        <f>SUM(AD11:AE11*AD24:AE24)/AD32</f>
        <v>#DIV/0!</v>
      </c>
      <c r="AF45" s="183" t="e">
        <f>SUM(AF11:AG11*AF24:AG24)/AF32</f>
        <v>#DIV/0!</v>
      </c>
      <c r="AH45" s="183" t="e">
        <f>SUM(AH11:AI11*AH24:AI24)/AH32</f>
        <v>#DIV/0!</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51 16319:16384" x14ac:dyDescent="0.2">
      <c r="A46" t="s">
        <v>126</v>
      </c>
      <c r="B46" s="183">
        <f>B34/B32</f>
        <v>7.7157873574883795E-2</v>
      </c>
      <c r="D46" s="183">
        <f>D34/D32</f>
        <v>7.7157867217530748E-2</v>
      </c>
      <c r="F46" s="183">
        <f>F34/F32</f>
        <v>7.7157873935383245E-2</v>
      </c>
      <c r="H46" s="183">
        <f>H34/H32</f>
        <v>7.715787471855004E-2</v>
      </c>
      <c r="J46" s="183">
        <f>J34/J32</f>
        <v>7.7157875220529457E-2</v>
      </c>
      <c r="L46" s="183">
        <f>L34/L32</f>
        <v>7.7157873143485517E-2</v>
      </c>
      <c r="N46" s="183">
        <f>N34/N32</f>
        <v>7.7157874249546718E-2</v>
      </c>
      <c r="P46" s="183">
        <f>P34/P32</f>
        <v>7.7157872209973888E-2</v>
      </c>
      <c r="R46" s="183">
        <f>R34/R32</f>
        <v>7.7157874344641289E-2</v>
      </c>
      <c r="T46" s="183">
        <f>T34/T32</f>
        <v>7.7157873700110929E-2</v>
      </c>
      <c r="V46" s="183">
        <f>V34/V32</f>
        <v>7.7157873479916261E-2</v>
      </c>
      <c r="X46" s="183">
        <f>X34/X32</f>
        <v>7.7157872718621859E-2</v>
      </c>
      <c r="Z46" s="183" t="e">
        <f>Z34/Z32</f>
        <v>#DIV/0!</v>
      </c>
      <c r="AB46" s="183" t="e">
        <f>AB34/AB32</f>
        <v>#DIV/0!</v>
      </c>
      <c r="AD46" s="183" t="e">
        <f>AD34/AD32</f>
        <v>#DIV/0!</v>
      </c>
      <c r="AF46" s="183" t="e">
        <f>AF34/AF32</f>
        <v>#DIV/0!</v>
      </c>
      <c r="AH46" s="183" t="e">
        <f>AH34/AH32</f>
        <v>#DIV/0!</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51 16319:16384" x14ac:dyDescent="0.2">
      <c r="A48" t="s">
        <v>143</v>
      </c>
      <c r="B48" s="181">
        <f>B24/$B$24</f>
        <v>1</v>
      </c>
      <c r="C48" s="181"/>
      <c r="D48" s="181">
        <f>D24/$B$24</f>
        <v>0.97806954931411916</v>
      </c>
      <c r="E48" s="181"/>
      <c r="F48" s="181">
        <f>F24/$B$24</f>
        <v>0.9534885258725575</v>
      </c>
      <c r="G48" s="181"/>
      <c r="H48" s="181">
        <f>H24/$B$24</f>
        <v>0.92601489887169752</v>
      </c>
      <c r="I48" s="181"/>
      <c r="J48" s="181">
        <f>J24/$B$24</f>
        <v>0.89542087652105318</v>
      </c>
      <c r="K48" s="181"/>
      <c r="L48" s="181">
        <f>L24/$B$24</f>
        <v>0.86151052186227894</v>
      </c>
      <c r="M48" s="181"/>
      <c r="N48" s="181">
        <f>N24/$B$24</f>
        <v>0.82414670300742821</v>
      </c>
      <c r="O48" s="181"/>
      <c r="P48" s="181">
        <f>P24/$B$24</f>
        <v>0.78328534507216829</v>
      </c>
      <c r="Q48" s="181"/>
      <c r="R48" s="181">
        <f>R24/$B$24</f>
        <v>0.73903281009255961</v>
      </c>
      <c r="S48" s="181"/>
      <c r="T48" s="181">
        <f>T24/$B$24</f>
        <v>0.6917446550368509</v>
      </c>
      <c r="U48" s="181"/>
      <c r="V48" s="181">
        <f>V24/$B$24</f>
        <v>0.64228497622667147</v>
      </c>
      <c r="W48" s="181"/>
      <c r="X48" s="181">
        <f>X24/$B$24</f>
        <v>0.59294017627429985</v>
      </c>
      <c r="Y48" s="181"/>
      <c r="Z48" s="181">
        <f>Z24/$B$24</f>
        <v>0</v>
      </c>
      <c r="AA48" s="181"/>
      <c r="AB48" s="181">
        <f>AB24/$B$24</f>
        <v>0</v>
      </c>
      <c r="AC48" s="181"/>
      <c r="AD48" s="181">
        <f>AD24/$B$24</f>
        <v>0</v>
      </c>
      <c r="AE48" s="181"/>
      <c r="AF48" s="181">
        <f>AF24/$B$24</f>
        <v>0</v>
      </c>
      <c r="AG48" s="181"/>
      <c r="AH48" s="181">
        <f>AH24/$B$24</f>
        <v>0</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1.0000000002961973</v>
      </c>
      <c r="E49" s="181"/>
      <c r="F49" s="181">
        <f>F13/F35/$B$13*$B$35</f>
        <v>1.0000000000587483</v>
      </c>
      <c r="G49" s="181"/>
      <c r="H49" s="181">
        <f>H13/H35/$B$13*$B$35</f>
        <v>1.0000000000421894</v>
      </c>
      <c r="I49" s="181"/>
      <c r="J49" s="181">
        <f>J13/J35/$B$13*$B$35</f>
        <v>0.99999999996229783</v>
      </c>
      <c r="K49" s="181"/>
      <c r="L49" s="181">
        <f>L13/L35/$B$13*$B$35</f>
        <v>1.0000000000122111</v>
      </c>
      <c r="M49" s="181"/>
      <c r="N49" s="181">
        <f>N13/N35/$B$13*$B$35</f>
        <v>0.99999999994323352</v>
      </c>
      <c r="O49" s="181"/>
      <c r="P49" s="181">
        <f>P13/P35/$B$13*$B$35</f>
        <v>1.0000000001129017</v>
      </c>
      <c r="Q49" s="181"/>
      <c r="R49" s="181">
        <f>R13/R35/$B$13*$B$35</f>
        <v>0.99999999992549304</v>
      </c>
      <c r="S49" s="181"/>
      <c r="T49" s="181">
        <f>T13/T35/$B$13*$B$35</f>
        <v>0.9999999999540915</v>
      </c>
      <c r="U49" s="181"/>
      <c r="V49" s="181">
        <f>V13/V35/$B$13*$B$35</f>
        <v>0.99999999999501055</v>
      </c>
      <c r="W49" s="181"/>
      <c r="X49" s="181">
        <f>X13/X35/$B$13*$B$35</f>
        <v>0.99999999994836741</v>
      </c>
      <c r="Y49" s="181"/>
      <c r="Z49" s="181" t="e">
        <f>Z13/Z35/$B$13*$B$35</f>
        <v>#DIV/0!</v>
      </c>
      <c r="AA49" s="181"/>
      <c r="AB49" s="181" t="e">
        <f>AB13/AB35/$B$13*$B$35</f>
        <v>#DIV/0!</v>
      </c>
      <c r="AC49" s="181"/>
      <c r="AD49" s="181" t="e">
        <f>AD13/AD35/$B$13*$B$35</f>
        <v>#DIV/0!</v>
      </c>
      <c r="AE49" s="181"/>
      <c r="AF49" s="181" t="e">
        <f>AF13/AF35/$B$13*$B$35</f>
        <v>#DIV/0!</v>
      </c>
      <c r="AG49" s="181"/>
      <c r="AH49" s="181" t="e">
        <f>AH13/AH35/$B$13*$B$35</f>
        <v>#DIV/0!</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-396527.28058648668</v>
      </c>
      <c r="F51" s="27">
        <f>F30-F10*F23</f>
        <v>-386179.48089259863</v>
      </c>
      <c r="H51" s="27">
        <f>H30-H10*H23</f>
        <v>-374700.35805386165</v>
      </c>
      <c r="J51" s="27">
        <f>J30-J10*J23</f>
        <v>-362001.58829839993</v>
      </c>
      <c r="L51" s="27">
        <f>L30-L10*L23</f>
        <v>-348006.36916165799</v>
      </c>
      <c r="N51" s="27">
        <f>N30-N10*N23</f>
        <v>-332660.88250235328</v>
      </c>
      <c r="P51" s="27">
        <f>P30-P10*P23</f>
        <v>-315944.42358168075</v>
      </c>
      <c r="R51" s="27">
        <f>R30-R10*R23</f>
        <v>-297893.82201912953</v>
      </c>
      <c r="T51" s="27">
        <f>T30-T10*T23</f>
        <v>-278634.44156841538</v>
      </c>
      <c r="V51" s="27">
        <f>V30-V10*V23</f>
        <v>-258476.3960840709</v>
      </c>
      <c r="X51" s="27">
        <f>X30-X10*X23</f>
        <v>-238231.98262331751</v>
      </c>
      <c r="Z51" s="27">
        <f>Z30-Z10*Z23</f>
        <v>0</v>
      </c>
      <c r="AB51" s="27">
        <f>AB30-AB10*AB23</f>
        <v>0</v>
      </c>
      <c r="AD51" s="27">
        <f>AD30-AD10*AD23</f>
        <v>0</v>
      </c>
      <c r="AF51" s="27">
        <f>AF30-AF10*AF23</f>
        <v>0</v>
      </c>
      <c r="AH51" s="27">
        <f>AH30-AH10*AH23</f>
        <v>0</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1988377.3706609635</v>
      </c>
      <c r="F52" s="27">
        <f t="array" ref="F52">Calibration!sL*SUM(F13:G13*F26:G26)</f>
        <v>1900555.0598131788</v>
      </c>
      <c r="H52" s="27">
        <f t="array" ref="H52">Calibration!sL*SUM(H13:I13*H26:I26)</f>
        <v>1809641.0962697822</v>
      </c>
      <c r="J52" s="27">
        <f t="array" ref="J52">Calibration!sL*SUM(J13:K13*J26:K26)</f>
        <v>1715712.1117896179</v>
      </c>
      <c r="L52" s="27">
        <f t="array" ref="L52">Calibration!sL*SUM(L13:M13*L26:M26)</f>
        <v>1618922.5489468891</v>
      </c>
      <c r="N52" s="27">
        <f t="array" ref="N52">Calibration!sL*SUM(N13:O13*N26:O26)</f>
        <v>1519526.0444886072</v>
      </c>
      <c r="P52" s="27">
        <f t="array" ref="P52">Calibration!sL*SUM(P13:Q13*P26:Q26)</f>
        <v>1417907.4454417131</v>
      </c>
      <c r="R52" s="27">
        <f t="array" ref="R52">Calibration!sL*SUM(R13:S13*R26:S26)</f>
        <v>1314641.7189534733</v>
      </c>
      <c r="T52" s="27">
        <f t="array" ref="T52">Calibration!sL*SUM(T13:U13*T26:U26)</f>
        <v>1210636.29847092</v>
      </c>
      <c r="V52" s="27">
        <f t="array" ref="V52">Calibration!sL*SUM(V13:W13*V26:W26)</f>
        <v>1107550.0085586461</v>
      </c>
      <c r="X52" s="27">
        <f t="array" ref="X52">Calibration!sL*SUM(X13:Y13*X26:Y26)</f>
        <v>1009401.9951469389</v>
      </c>
      <c r="Z52" s="27">
        <f t="array" ref="Z52">Calibration!sL*SUM(Z13:AA13*Z26:AA26)</f>
        <v>0</v>
      </c>
      <c r="AB52" s="27">
        <f t="array" ref="AB52">Calibration!sL*SUM(AB13:AC13*AB26:AC26)</f>
        <v>0</v>
      </c>
      <c r="AD52" s="27">
        <f t="array" ref="AD52">Calibration!sL*SUM(AD13:AE13*AD26:AE26)</f>
        <v>0</v>
      </c>
      <c r="AF52" s="27">
        <f t="array" ref="AF52">Calibration!sL*SUM(AF13:AG13*AF26:AG26)</f>
        <v>0</v>
      </c>
      <c r="AH52" s="27">
        <f t="array" ref="AH52">Calibration!sL*SUM(AH13:AI13*AH26:AI26)</f>
        <v>0</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2691691.1866265358</v>
      </c>
      <c r="F53" s="27">
        <f t="array" ref="F53">Calibration!sK*SUM(F15:G15*F27:G27)</f>
        <v>2657380.7249108553</v>
      </c>
      <c r="H53" s="27">
        <f t="array" ref="H53">Calibration!sK*SUM(H15:I15*H27:I27)</f>
        <v>2612810.387031279</v>
      </c>
      <c r="J53" s="27">
        <f t="array" ref="J53">Calibration!sK*SUM(J15:K15*J27:K27)</f>
        <v>2556860.2420247658</v>
      </c>
      <c r="L53" s="27">
        <f t="array" ref="L53">Calibration!sK*SUM(L15:M15*L27:M27)</f>
        <v>2488470.3674842161</v>
      </c>
      <c r="N53" s="27">
        <f t="array" ref="N53">Calibration!sK*SUM(N15:O15*N27:O27)</f>
        <v>2406749.2265186072</v>
      </c>
      <c r="P53" s="27">
        <f t="array" ref="P53">Calibration!sK*SUM(P15:Q15*P27:Q27)</f>
        <v>2311069.9787168009</v>
      </c>
      <c r="R53" s="27">
        <f t="array" ref="R53">Calibration!sK*SUM(R15:S15*R27:S27)</f>
        <v>2201290.9033226096</v>
      </c>
      <c r="T53" s="27">
        <f t="array" ref="T53">Calibration!sK*SUM(T15:U15*T27:U27)</f>
        <v>2077984.6399892378</v>
      </c>
      <c r="V53" s="27">
        <f t="array" ref="V53">Calibration!sK*SUM(V15:W15*V27:W27)</f>
        <v>1943153.0583116177</v>
      </c>
      <c r="X53" s="27">
        <f t="array" ref="X53">Calibration!sK*SUM(X15:Y15*X27:Y27)</f>
        <v>1802363.5815899651</v>
      </c>
      <c r="Z53" s="27">
        <f t="array" ref="Z53">Calibration!sK*SUM(Z15:AA15*Z27:AA27)</f>
        <v>0</v>
      </c>
      <c r="AB53" s="27">
        <f t="array" ref="AB53">Calibration!sK*SUM(AB15:AC15*AB27:AC27)</f>
        <v>0</v>
      </c>
      <c r="AD53" s="27">
        <f t="array" ref="AD53">Calibration!sK*SUM(AD15:AE15*AD27:AE27)</f>
        <v>0</v>
      </c>
      <c r="AF53" s="27">
        <f t="array" ref="AF53">Calibration!sK*SUM(AF15:AG15*AF27:AG27)</f>
        <v>0</v>
      </c>
      <c r="AH53" s="27">
        <f t="array" ref="AH53">Calibration!sK*SUM(AH15:AI15*AH27:AI27)</f>
        <v>0</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0.19850273488953496</v>
      </c>
      <c r="F55" s="183">
        <f>F30/F32</f>
        <v>0.19850271612837728</v>
      </c>
      <c r="H55" s="183">
        <f>H30/H32</f>
        <v>0.19850271035863257</v>
      </c>
      <c r="J55" s="183">
        <f>J30/J32</f>
        <v>0.19850270580710991</v>
      </c>
      <c r="L55" s="183">
        <f>L30/L32</f>
        <v>0.19850272408413222</v>
      </c>
      <c r="N55" s="183">
        <f>N30/N32</f>
        <v>0.19850271238764644</v>
      </c>
      <c r="P55" s="183">
        <f>P30/P32</f>
        <v>0.19850273824623238</v>
      </c>
      <c r="R55" s="183">
        <f>R30/R32</f>
        <v>0.19850270548317206</v>
      </c>
      <c r="T55" s="183">
        <f>T30/T32</f>
        <v>0.19850272156311</v>
      </c>
      <c r="V55" s="183">
        <f>V30/V32</f>
        <v>0.19850271738678496</v>
      </c>
      <c r="X55" s="183">
        <f>X30/X32</f>
        <v>0.19850271755929902</v>
      </c>
      <c r="Z55" s="183" t="e">
        <f>Z30/Z32</f>
        <v>#DIV/0!</v>
      </c>
      <c r="AB55" s="183" t="e">
        <f>AB30/AB32</f>
        <v>#DIV/0!</v>
      </c>
      <c r="AD55" s="183" t="e">
        <f>AD30/AD32</f>
        <v>#DIV/0!</v>
      </c>
      <c r="AF55" s="183" t="e">
        <f>AF30/AF32</f>
        <v>#DIV/0!</v>
      </c>
      <c r="AH55" s="183" t="e">
        <f>AH30/AH32</f>
        <v>#DIV/0!</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3.2176896209582147E-2</v>
      </c>
      <c r="F56" s="183">
        <f>(Model!$C$52*F5*F20+F2*G5*G20)/F32</f>
        <v>3.5110978374864189E-2</v>
      </c>
      <c r="H56" s="183">
        <f>(Model!$C$52*H5*H20+H2*I5*I20)/H32</f>
        <v>3.8006774906897342E-2</v>
      </c>
      <c r="J56" s="183">
        <f>(Model!$C$52*J5*J20+J2*K5*K20)/J32</f>
        <v>4.0844718675049421E-2</v>
      </c>
      <c r="L56" s="183">
        <f>(Model!$C$52*L5*L20+L2*M5*M20)/L32</f>
        <v>4.3602289950771068E-2</v>
      </c>
      <c r="N56" s="183">
        <f>(Model!$C$52*N5*N20+N2*O5*O20)/N32</f>
        <v>4.6254166078230463E-2</v>
      </c>
      <c r="P56" s="183">
        <f>(Model!$C$52*P5*P20+P2*Q5*Q20)/P32</f>
        <v>4.8772101199210244E-2</v>
      </c>
      <c r="R56" s="183">
        <f>(Model!$C$52*R5*R20+R2*S5*S20)/R32</f>
        <v>5.1124577222765345E-2</v>
      </c>
      <c r="T56" s="183">
        <f>(Model!$C$52*T5*T20+T2*U5*U20)/T32</f>
        <v>5.3273805002090724E-2</v>
      </c>
      <c r="V56" s="183">
        <f>(Model!$C$52*V5*V20+V2*W5*W20)/V32</f>
        <v>5.5165514166646709E-2</v>
      </c>
      <c r="X56" s="183">
        <f>(Model!$C$52*X5*X20+X2*Y5*Y20)/X32</f>
        <v>5.6684141313512341E-2</v>
      </c>
      <c r="Z56" s="183" t="e">
        <f>(Model!$C$52*Z5*Z20+Z2*AA5*AA20)/Z32</f>
        <v>#DIV/0!</v>
      </c>
      <c r="AB56" s="183" t="e">
        <f>(Model!$C$52*AB5*AB20+AB2*AC5*AC20)/AB32</f>
        <v>#DIV/0!</v>
      </c>
      <c r="AD56" s="183" t="e">
        <f>(Model!$C$52*AD5*AD20+AD2*AE5*AE20)/AD32</f>
        <v>#DIV/0!</v>
      </c>
      <c r="AF56" s="183" t="e">
        <f>(Model!$C$52*AF5*AF20+AF2*AG5*AG20)/AF32</f>
        <v>#DIV/0!</v>
      </c>
      <c r="AH56" s="183" t="e">
        <f>(Model!$C$52*AH5*AH20+AH2*AI5*AI20)/AH32</f>
        <v>#DIV/0!</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0.15562091594846181</v>
      </c>
      <c r="F57" s="183">
        <f t="array" ref="F57">SUM(Model!tauL*F13:G13*F26:G26)/F32</f>
        <v>0.15273331713254423</v>
      </c>
      <c r="H57" s="183">
        <f t="array" ref="H57">SUM(Model!tauL*H13:I13*H26:I26)/H32</f>
        <v>0.14988250950218374</v>
      </c>
      <c r="J57" s="183">
        <f t="array" ref="J57">SUM(Model!tauL*J13:K13*J26:K26)/J32</f>
        <v>0.14708779128547619</v>
      </c>
      <c r="L57" s="183">
        <f t="array" ref="L57">SUM(Model!tauL*L13:M13*L26:M26)/L32</f>
        <v>0.14437143623989715</v>
      </c>
      <c r="N57" s="183">
        <f t="array" ref="N57">SUM(Model!tauL*N13:O13*N26:O26)/N32</f>
        <v>0.141758462615064</v>
      </c>
      <c r="P57" s="183">
        <f t="array" ref="P57">SUM(Model!tauL*P13:Q13*P26:Q26)/P32</f>
        <v>0.1392769868152616</v>
      </c>
      <c r="R57" s="183">
        <f t="array" ref="R57">SUM(Model!tauL*R13:S13*R26:S26)/R32</f>
        <v>0.13695837803258001</v>
      </c>
      <c r="T57" s="183">
        <f t="array" ref="T57">SUM(Model!tauL*T13:U13*T26:U26)/T32</f>
        <v>0.13484080305786256</v>
      </c>
      <c r="V57" s="183">
        <f t="array" ref="V57">SUM(Model!tauL*V13:W13*V26:W26)/V32</f>
        <v>0.13297958029535445</v>
      </c>
      <c r="X57" s="183">
        <f t="array" ref="X57">SUM(Model!tauL*X13:Y13*X26:Y26)/X32</f>
        <v>0.13149419899241691</v>
      </c>
      <c r="Y57" s="183"/>
      <c r="Z57" s="183" t="e">
        <f t="array" ref="Z57">SUM(Model!tauL*Z13:AA13*Z26:AA26)/Z32</f>
        <v>#DIV/0!</v>
      </c>
      <c r="AB57" s="183" t="e">
        <f t="array" ref="AB57">SUM(Model!tauL*AB13:AC13*AB26:AC26)/AB32</f>
        <v>#DIV/0!</v>
      </c>
      <c r="AD57" s="183" t="e">
        <f t="array" ref="AD57">SUM(Model!tauL*AD13:AE13*AD26:AE26)/AD32</f>
        <v>#DIV/0!</v>
      </c>
      <c r="AF57" s="183" t="e">
        <f t="array" ref="AF57">SUM(Model!tauL*AF13:AG13*AF26:AG26)/AF32</f>
        <v>#DIV/0!</v>
      </c>
      <c r="AH57" s="183" t="e">
        <f t="array" ref="AH57">SUM(Model!tauL*AH13:AI13*AH26:AI26)/AH32</f>
        <v>#DIV/0!</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1.0704922731490974E-2</v>
      </c>
      <c r="F58" s="183">
        <f t="array" ref="F58">SUM(Model!tauY/(1+Model!tauY)*F3:G3*F18:G18)/F32</f>
        <v>1.0658420620968863E-2</v>
      </c>
      <c r="H58" s="183">
        <f t="array" ref="H58">SUM(Model!tauY/(1+Model!tauY)*H3:I3*H18:I18)/H32</f>
        <v>1.0613425949551499E-2</v>
      </c>
      <c r="J58" s="183">
        <f t="array" ref="J58">SUM(Model!tauY/(1+Model!tauY)*J3:K3*J18:K18)/J32</f>
        <v>1.0570195846584278E-2</v>
      </c>
      <c r="L58" s="183">
        <f t="array" ref="L58">SUM(Model!tauY/(1+Model!tauY)*L3:M3*L18:M18)/L32</f>
        <v>1.0528997893464027E-2</v>
      </c>
      <c r="N58" s="183">
        <f t="array" ref="N58">SUM(Model!tauY/(1+Model!tauY)*N3:O3*N18:O18)/N32</f>
        <v>1.0490083694351938E-2</v>
      </c>
      <c r="P58" s="183">
        <f t="array" ref="P58">SUM(Model!tauY/(1+Model!tauY)*P3:Q3*P18:Q18)/P32</f>
        <v>1.0453650231760514E-2</v>
      </c>
      <c r="R58" s="183">
        <f t="array" ref="R58">SUM(Model!tauY/(1+Model!tauY)*R3:S3*R18:S18)/R32</f>
        <v>1.0419750227826707E-2</v>
      </c>
      <c r="T58" s="183">
        <f t="array" ref="T58">SUM(Model!tauY/(1+Model!tauY)*T3:U3*T18:U18)/T32</f>
        <v>1.0388113503156703E-2</v>
      </c>
      <c r="V58" s="183">
        <f t="array" ref="V58">SUM(Model!tauY/(1+Model!tauY)*V3:W3*V18:W18)/V32</f>
        <v>1.0357622924783812E-2</v>
      </c>
      <c r="X58" s="183">
        <f t="array" ref="X58">SUM(Model!tauY/(1+Model!tauY)*X3:Y3*X18:Y18)/X32</f>
        <v>1.0324377253369781E-2</v>
      </c>
      <c r="Y58" s="183"/>
      <c r="Z58" s="183" t="e">
        <f t="array" ref="Z58">SUM(Model!tauY/(1+Model!tauY)*Z3:AA3*Z18:AA18)/Z32</f>
        <v>#DIV/0!</v>
      </c>
      <c r="AB58" s="183" t="e">
        <f t="array" ref="AB58">SUM(Model!tauY/(1+Model!tauY)*AB3:AC3*AB18:AC18)/AB32</f>
        <v>#DIV/0!</v>
      </c>
      <c r="AD58" s="183" t="e">
        <f t="array" ref="AD58">SUM(Model!tauY/(1+Model!tauY)*AD3:AE3*AD18:AE18)/AD32</f>
        <v>#DIV/0!</v>
      </c>
      <c r="AF58" s="183" t="e">
        <f t="array" ref="AF58">SUM(Model!tauY/(1+Model!tauY)*AF3:AG3*AF18:AG18)/AF32</f>
        <v>#DIV/0!</v>
      </c>
      <c r="AH58" s="183" t="e">
        <f t="array" ref="AH58">SUM(Model!tauY/(1+Model!tauY)*AH3:AI3*AH18:AI18)/AH32</f>
        <v>#DIV/0!</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3.5492351566970876E-3</v>
      </c>
      <c r="F59" s="183">
        <f>(F2*G5*G20)/F32</f>
        <v>6.5246576419067236E-3</v>
      </c>
      <c r="H59" s="183">
        <f>(H2*I5*I20)/H32</f>
        <v>9.4611002064707867E-3</v>
      </c>
      <c r="J59" s="183">
        <f>(J2*K5*K20)/J32</f>
        <v>1.2338730428318805E-2</v>
      </c>
      <c r="L59" s="183">
        <f>(L2*M5*M20)/L32</f>
        <v>1.5134734742031317E-2</v>
      </c>
      <c r="N59" s="183">
        <f>(N2*O5*O20)/N32</f>
        <v>1.7823484985400918E-2</v>
      </c>
      <c r="P59" s="183">
        <f>(P2*Q5*Q20)/P32</f>
        <v>2.0376444598552722E-2</v>
      </c>
      <c r="R59" s="183">
        <f>(R2*S5*S20)/R32</f>
        <v>2.2761880107027264E-2</v>
      </c>
      <c r="T59" s="183">
        <f>(T2*U5*U20)/T32</f>
        <v>2.4941974092959555E-2</v>
      </c>
      <c r="V59" s="183">
        <f>(V2*W5*W20)/V32</f>
        <v>2.6862918972753752E-2</v>
      </c>
      <c r="X59" s="183">
        <f>(X2*Y5*Y20)/X32</f>
        <v>2.8411074572994608E-2</v>
      </c>
      <c r="Z59" s="183" t="e">
        <f>(Z2*AA5*AA20)/Z32</f>
        <v>#DIV/0!</v>
      </c>
      <c r="AB59" s="183" t="e">
        <f>(AB2*AC5*AC20)/AB32</f>
        <v>#DIV/0!</v>
      </c>
      <c r="AD59" s="183" t="e">
        <f>(AD2*AE5*AE20)/AD32</f>
        <v>#DIV/0!</v>
      </c>
      <c r="AF59" s="183" t="e">
        <f>(AF2*AG5*AG20)/AF32</f>
        <v>#DIV/0!</v>
      </c>
      <c r="AH59" s="183" t="e">
        <f>(AH2*AI5*AI20)/AH32</f>
        <v>#DIV/0!</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2.8627661052885063E-2</v>
      </c>
      <c r="F60" s="183">
        <f>Model!$C$52*F5*F20/F32</f>
        <v>2.8586320732957467E-2</v>
      </c>
      <c r="H60" s="183">
        <f>Model!$C$52*H5*H20/H32</f>
        <v>2.8545674700426557E-2</v>
      </c>
      <c r="J60" s="183">
        <f>Model!$C$52*J5*J20/J32</f>
        <v>2.8505988246730618E-2</v>
      </c>
      <c r="L60" s="183">
        <f>Model!$C$52*L5*L20/L32</f>
        <v>2.8467555208739753E-2</v>
      </c>
      <c r="N60" s="183">
        <f>Model!$C$52*N5*N20/N32</f>
        <v>2.8430681092829549E-2</v>
      </c>
      <c r="P60" s="183">
        <f>Model!$C$52*P5*P20/P32</f>
        <v>2.8395656600657529E-2</v>
      </c>
      <c r="R60" s="183">
        <f>Model!$C$52*R5*R20/R32</f>
        <v>2.8362697115738078E-2</v>
      </c>
      <c r="T60" s="183">
        <f>Model!$C$52*T5*T20/T32</f>
        <v>2.8331830909131172E-2</v>
      </c>
      <c r="V60" s="183">
        <f>Model!$C$52*V5*V20/V32</f>
        <v>2.8302595193892954E-2</v>
      </c>
      <c r="X60" s="183">
        <f>Model!$C$52*X5*X20/X32</f>
        <v>2.827306674051773E-2</v>
      </c>
      <c r="Z60" s="183" t="e">
        <f>Model!$C$52*Z5*Z20/Z32</f>
        <v>#DIV/0!</v>
      </c>
      <c r="AB60" s="183" t="e">
        <f>Model!$C$52*AB5*AB20/AB32</f>
        <v>#DIV/0!</v>
      </c>
      <c r="AD60" s="183" t="e">
        <f>Model!$C$52*AD5*AD20/AD32</f>
        <v>#DIV/0!</v>
      </c>
      <c r="AF60" s="183" t="e">
        <f>Model!$C$52*AF5*AF20/AF32</f>
        <v>#DIV/0!</v>
      </c>
      <c r="AH60" s="183" t="e">
        <f>Model!$C$52*AH5*AH20/AH32</f>
        <v>#DIV/0!</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1.0107658161313069</v>
      </c>
      <c r="F62">
        <f>F13/F15</f>
        <v>1.0253383032506085</v>
      </c>
      <c r="H62">
        <f>H13/H15</f>
        <v>1.0444582714524497</v>
      </c>
      <c r="J62">
        <f>J13/J15</f>
        <v>1.0690459372714824</v>
      </c>
      <c r="L62">
        <f>L13/L15</f>
        <v>1.1002530739072212</v>
      </c>
      <c r="N62">
        <f>N13/N15</f>
        <v>1.1395227519704714</v>
      </c>
      <c r="P62">
        <f>P13/P15</f>
        <v>1.1886708372044625</v>
      </c>
      <c r="R62">
        <f>R13/R15</f>
        <v>1.2499556493643453</v>
      </c>
      <c r="T62">
        <f>T13/T15</f>
        <v>1.3261020570348339</v>
      </c>
      <c r="V62">
        <f>V13/V15</f>
        <v>1.4199432973456567</v>
      </c>
      <c r="X62">
        <f>X13/X15</f>
        <v>1.5321792191051529</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0.99905912896846394</v>
      </c>
      <c r="E65" s="181"/>
      <c r="F65" s="181">
        <f t="array" ref="F65">SQRT((F9:G9*$B$22:$C$22+F10:G10*$B$23:$C$23+F11:G11*$B$24:$C$24+F4:G4*($B$25:$C$25-$B$19:$C$19))/($B$9:$C$9*$B$22:$C$22+$B$10:$C$10*$B$23:$C$23+$B$11:$C$11*$B$24:$C$24+$B$4:$C$4*($B$25:$C$25-$B$19:$C$19))*(F9:G9*F22:G22+F10:G10*F23:G23+F11:G11*F24:G24+F4:G4*(F25:G25-F19:G19))/($B$9:$C$9*F22:G22+$B$10:$C$10*F23:G23+$B$11:$C$11*F24:G24+$B$4:$C$4*(F25:G25-F19:G19)))</f>
        <v>0.99816078191792956</v>
      </c>
      <c r="G65" s="181"/>
      <c r="H65" s="181">
        <f t="array" ref="H65">SQRT((H9:I9*$B$22:$C$22+H10:I10*$B$23:$C$23+H11:I11*$B$24:$C$24+H4:I4*($B$25:$C$25-$B$19:$C$19))/($B$9:$C$9*$B$22:$C$22+$B$10:$C$10*$B$23:$C$23+$B$11:$C$11*$B$24:$C$24+$B$4:$C$4*($B$25:$C$25-$B$19:$C$19))*(H9:I9*H22:I22+H10:I10*H23:I23+H11:I11*H24:I24+H4:I4*(H25:I25-H19:I19))/($B$9:$C$9*H22:I22+$B$10:$C$10*H23:I23+$B$11:$C$11*H24:I24+$B$4:$C$4*(H25:I25-H19:I19)))</f>
        <v>0.99731028535595423</v>
      </c>
      <c r="I65" s="181"/>
      <c r="J65" s="181">
        <f t="array" ref="J65">SQRT((J9:K9*$B$22:$C$22+J10:K10*$B$23:$C$23+J11:K11*$B$24:$C$24+J4:K4*($B$25:$C$25-$B$19:$C$19))/($B$9:$C$9*$B$22:$C$22+$B$10:$C$10*$B$23:$C$23+$B$11:$C$11*$B$24:$C$24+$B$4:$C$4*($B$25:$C$25-$B$19:$C$19))*(J9:K9*J22:K22+J10:K10*J23:K23+J11:K11*J24:K24+J4:K4*(J25:K25-J19:K19))/($B$9:$C$9*J22:K22+$B$10:$C$10*J23:K23+$B$11:$C$11*J24:K24+$B$4:$C$4*(J25:K25-J19:K19)))</f>
        <v>0.99651263421451808</v>
      </c>
      <c r="K65" s="181"/>
      <c r="L65" s="181">
        <f t="array" ref="L65">SQRT((L9:M9*$B$22:$C$22+L10:M10*$B$23:$C$23+L11:M11*$B$24:$C$24+L4:M4*($B$25:$C$25-$B$19:$C$19))/($B$9:$C$9*$B$22:$C$22+$B$10:$C$10*$B$23:$C$23+$B$11:$C$11*$B$24:$C$24+$B$4:$C$4*($B$25:$C$25-$B$19:$C$19))*(L9:M9*L22:M22+L10:M10*L23:M23+L11:M11*L24:M24+L4:M4*(L25:M25-L19:M19))/($B$9:$C$9*L22:M22+$B$10:$C$10*L23:M23+$B$11:$C$11*L24:M24+$B$4:$C$4*(L25:M25-L19:M19)))</f>
        <v>0.99577142637915073</v>
      </c>
      <c r="M65" s="181"/>
      <c r="N65" s="181">
        <f t="array" ref="N65">SQRT((N9:O9*$B$22:$C$22+N10:O10*$B$23:$C$23+N11:O11*$B$24:$C$24+N4:O4*($B$25:$C$25-$B$19:$C$19))/($B$9:$C$9*$B$22:$C$22+$B$10:$C$10*$B$23:$C$23+$B$11:$C$11*$B$24:$C$24+$B$4:$C$4*($B$25:$C$25-$B$19:$C$19))*(N9:O9*N22:O22+N10:O10*N23:O23+N11:O11*N24:O24+N4:O4*(N25:O25-N19:O19))/($B$9:$C$9*N22:O22+$B$10:$C$10*N23:O23+$B$11:$C$11*N24:O24+$B$4:$C$4*(N25:O25-N19:O19)))</f>
        <v>0.99508685158824006</v>
      </c>
      <c r="O65" s="181"/>
      <c r="P65" s="181">
        <f t="array" ref="P65">SQRT((P9:Q9*$B$22:$C$22+P10:Q10*$B$23:$C$23+P11:Q11*$B$24:$C$24+P4:Q4*($B$25:$C$25-$B$19:$C$19))/($B$9:$C$9*$B$22:$C$22+$B$10:$C$10*$B$23:$C$23+$B$11:$C$11*$B$24:$C$24+$B$4:$C$4*($B$25:$C$25-$B$19:$C$19))*(P9:Q9*P22:Q22+P10:Q10*P23:Q23+P11:Q11*P24:Q24+P4:Q4*(P25:Q25-P19:Q19))/($B$9:$C$9*P22:Q22+$B$10:$C$10*P23:Q23+$B$11:$C$11*P24:Q24+$B$4:$C$4*(P25:Q25-P19:Q19)))</f>
        <v>0.99445182797204223</v>
      </c>
      <c r="Q65" s="181"/>
      <c r="R65" s="181">
        <f t="array" ref="R65">SQRT((R9:S9*$B$22:$C$22+R10:S10*$B$23:$C$23+R11:S11*$B$24:$C$24+R4:S4*($B$25:$C$25-$B$19:$C$19))/($B$9:$C$9*$B$22:$C$22+$B$10:$C$10*$B$23:$C$23+$B$11:$C$11*$B$24:$C$24+$B$4:$C$4*($B$25:$C$25-$B$19:$C$19))*(R9:S9*R22:S22+R10:S10*R23:S23+R11:S11*R24:S24+R4:S4*(R25:S25-R19:S19))/($B$9:$C$9*R22:S22+$B$10:$C$10*R23:S23+$B$11:$C$11*R24:S24+$B$4:$C$4*(R25:S25-R19:S19)))</f>
        <v>0.99384382217529299</v>
      </c>
      <c r="S65" s="181"/>
      <c r="T65" s="181">
        <f t="array" ref="T65">SQRT((T9:U9*$B$22:$C$22+T10:U10*$B$23:$C$23+T11:U11*$B$24:$C$24+T4:U4*($B$25:$C$25-$B$19:$C$19))/($B$9:$C$9*$B$22:$C$22+$B$10:$C$10*$B$23:$C$23+$B$11:$C$11*$B$24:$C$24+$B$4:$C$4*($B$25:$C$25-$B$19:$C$19))*(T9:U9*T22:U22+T10:U10*T23:U23+T11:U11*T24:U24+T4:U4*(T25:U25-T19:U19))/($B$9:$C$9*T22:U22+$B$10:$C$10*T23:U23+$B$11:$C$11*T24:U24+$B$4:$C$4*(T25:U25-T19:U19)))</f>
        <v>0.99320529925360901</v>
      </c>
      <c r="U65" s="181"/>
      <c r="V65" s="181">
        <f t="array" ref="V65">SQRT((V9:W9*$B$22:$C$22+V10:W10*$B$23:$C$23+V11:W11*$B$24:$C$24+V4:W4*($B$25:$C$25-$B$19:$C$19))/($B$9:$C$9*$B$22:$C$22+$B$10:$C$10*$B$23:$C$23+$B$11:$C$11*$B$24:$C$24+$B$4:$C$4*($B$25:$C$25-$B$19:$C$19))*(V9:W9*V22:W22+V10:W10*V23:W23+V11:W11*V24:W24+V4:W4*(V25:W25-V19:W19))/($B$9:$C$9*V22:W22+$B$10:$C$10*V23:W23+$B$11:$C$11*V24:W24+$B$4:$C$4*(V25:W25-V19:W19)))</f>
        <v>0.99238711790571066</v>
      </c>
      <c r="W65" s="181"/>
      <c r="X65" s="181">
        <f t="array" ref="X65">SQRT((X9:Y9*$B$22:$C$22+X10:Y10*$B$23:$C$23+X11:Y11*$B$24:$C$24+X4:Y4*($B$25:$C$25-$B$19:$C$19))/($B$9:$C$9*$B$22:$C$22+$B$10:$C$10*$B$23:$C$23+$B$11:$C$11*$B$24:$C$24+$B$4:$C$4*($B$25:$C$25-$B$19:$C$19))*(X9:Y9*X22:Y22+X10:Y10*X23:Y23+X11:Y11*X24:Y24+X4:Y4*(X25:Y25-X19:Y19))/($B$9:$C$9*X22:Y22+$B$10:$C$10*X23:Y23+$B$11:$C$11*X24:Y24+$B$4:$C$4*(X25:Y25-X19:Y19)))</f>
        <v>0.9909357515967917</v>
      </c>
      <c r="Y65" s="181"/>
      <c r="Z65" s="181" t="e">
        <f t="array" ref="Z65">SQRT((Z9:AA9*$B$22:$C$22+Z10:AA10*$B$23:$C$23+Z11:AA11*$B$24:$C$24+Z4:AA4*($B$25:$C$25-$B$19:$C$19))/($B$9:$C$9*$B$22:$C$22+$B$10:$C$10*$B$23:$C$23+$B$11:$C$11*$B$24:$C$24+$B$4:$C$4*($B$25:$C$25-$B$19:$C$19))*(Z9:AA9*Z22:AA22+Z10:AA10*Z23:AA23+Z11:AA11*Z24:AA24+Z4:AA4*(Z25:AA25-Z19:AA19))/($B$9:$C$9*Z22:AA22+$B$10:$C$10*Z23:AA23+$B$11:$C$11*Z24:AA24+$B$4:$C$4*(Z25:AA25-Z19:AA19)))</f>
        <v>#DIV/0!</v>
      </c>
      <c r="AA65" s="181"/>
      <c r="AB65" s="18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81"/>
      <c r="AD65" s="18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81"/>
      <c r="AF65" s="18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81"/>
      <c r="AH65" s="18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0.99896557777567263</v>
      </c>
      <c r="E66" s="181"/>
      <c r="F66" s="181">
        <f t="array" ref="F66">SQRT((F9:G9*$B$22:$C$22)/($B$9:$C$9*$B$22:$C$22)*(F9:G9*F22:G22)/($B$9:$C$9*F22:G22))</f>
        <v>0.99797719402432061</v>
      </c>
      <c r="G66" s="181"/>
      <c r="H66" s="181">
        <f t="array" ref="H66">SQRT((H9:I9*$B$22:$C$22)/($B$9:$C$9*$B$22:$C$22)*(H9:I9*H22:I22)/($B$9:$C$9*H22:I22))</f>
        <v>0.99704081354637919</v>
      </c>
      <c r="I66" s="181"/>
      <c r="J66" s="181">
        <f t="array" ref="J66">SQRT((J9:K9*$B$22:$C$22)/($B$9:$C$9*$B$22:$C$22)*(J9:K9*J22:K22)/($B$9:$C$9*J22:K22))</f>
        <v>0.99616204633797767</v>
      </c>
      <c r="K66" s="181"/>
      <c r="L66" s="181">
        <f t="array" ref="L66">SQRT((L9:M9*$B$22:$C$22)/($B$9:$C$9*$B$22:$C$22)*(L9:M9*L22:M22)/($B$9:$C$9*L22:M22))</f>
        <v>0.99534496910773285</v>
      </c>
      <c r="M66" s="181"/>
      <c r="N66" s="181">
        <f t="array" ref="N66">SQRT((N9:O9*$B$22:$C$22)/($B$9:$C$9*$B$22:$C$22)*(N9:O9*N22:O22)/($B$9:$C$9*N22:O22))</f>
        <v>0.99458989943268228</v>
      </c>
      <c r="O66" s="181"/>
      <c r="P66" s="181">
        <f t="array" ref="P66">SQRT((P9:Q9*$B$22:$C$22)/($B$9:$C$9*$B$22:$C$22)*(P9:Q9*P22:Q22)/($B$9:$C$9*P22:Q22))</f>
        <v>0.9938891189529101</v>
      </c>
      <c r="Q66" s="181"/>
      <c r="R66" s="181">
        <f t="array" ref="R66">SQRT((R9:S9*$B$22:$C$22)/($B$9:$C$9*$B$22:$C$22)*(R9:S9*R22:S22)/($B$9:$C$9*R22:S22))</f>
        <v>0.99321781875872628</v>
      </c>
      <c r="S66" s="181"/>
      <c r="T66" s="181">
        <f t="array" ref="T66">SQRT((T9:U9*$B$22:$C$22)/($B$9:$C$9*$B$22:$C$22)*(T9:U9*T22:U22)/($B$9:$C$9*T22:U22))</f>
        <v>0.99251245492052509</v>
      </c>
      <c r="U66" s="181"/>
      <c r="V66" s="181">
        <f t="array" ref="V66">SQRT((V9:W9*$B$22:$C$22)/($B$9:$C$9*$B$22:$C$22)*(V9:W9*V22:W22)/($B$9:$C$9*V22:W22))</f>
        <v>0.99160804040292072</v>
      </c>
      <c r="W66" s="181"/>
      <c r="X66" s="181">
        <f t="array" ref="X66">SQRT((X9:Y9*$B$22:$C$22)/($B$9:$C$9*$B$22:$C$22)*(X9:Y9*X22:Y22)/($B$9:$C$9*X22:Y22))</f>
        <v>0.99000206993745521</v>
      </c>
      <c r="Y66" s="181"/>
      <c r="Z66" s="181" t="e">
        <f t="array" ref="Z66">SQRT((Z9:AA9*$B$22:$C$22)/($B$9:$C$9*$B$22:$C$22)*(Z9:AA9*Z22:AA22)/($B$9:$C$9*Z22:AA22))</f>
        <v>#DIV/0!</v>
      </c>
      <c r="AA66" s="181"/>
      <c r="AB66" s="181" t="e">
        <f t="array" ref="AB66">SQRT((AB9:AC9*$B$22:$C$22)/($B$9:$C$9*$B$22:$C$22)*(AB9:AC9*AB22:AC22)/($B$9:$C$9*AB22:AC22))</f>
        <v>#DIV/0!</v>
      </c>
      <c r="AC66" s="181"/>
      <c r="AD66" s="181" t="e">
        <f t="array" ref="AD66">SQRT((AD9:AE9*$B$22:$C$22)/($B$9:$C$9*$B$22:$C$22)*(AD9:AE9*AD22:AE22)/($B$9:$C$9*AD22:AE22))</f>
        <v>#DIV/0!</v>
      </c>
      <c r="AE66" s="181"/>
      <c r="AF66" s="181" t="e">
        <f t="array" ref="AF66">SQRT((AF9:AG9*$B$22:$C$22)/($B$9:$C$9*$B$22:$C$22)*(AF9:AG9*AF22:AG22)/($B$9:$C$9*AF22:AG22))</f>
        <v>#DIV/0!</v>
      </c>
      <c r="AG66" s="181"/>
      <c r="AH66" s="181" t="e">
        <f t="array" ref="AH66">SQRT((AH9:AI9*$B$22:$C$22)/($B$9:$C$9*$B$22:$C$22)*(AH9:AI9*AH22:AI22)/($B$9:$C$9*AH22:AI22))</f>
        <v>#DIV/0!</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t="e">
        <f t="array" ref="Z67">SQRT((Z4:AA4*$B$19:$C$19)/($B$4:$C$4*$B$19:$C$19)*(Z4:AA4*Z19:AA19)/($B$4:$C$4*Z19:AA19))</f>
        <v>#DIV/0!</v>
      </c>
      <c r="AA67" s="181"/>
      <c r="AB67" s="181" t="e">
        <f t="array" ref="AB67">SQRT((AB4:AC4*$B$19:$C$19)/($B$4:$C$4*$B$19:$C$19)*(AB4:AC4*AB19:AC19)/($B$4:$C$4*AB19:AC19))</f>
        <v>#DIV/0!</v>
      </c>
      <c r="AC67" s="181"/>
      <c r="AD67" s="181" t="e">
        <f t="array" ref="AD67">SQRT((AD4:AE4*$B$19:$C$19)/($B$4:$C$4*$B$19:$C$19)*(AD4:AE4*AD19:AE19)/($B$4:$C$4*AD19:AE19))</f>
        <v>#DIV/0!</v>
      </c>
      <c r="AE67" s="181"/>
      <c r="AF67" s="181" t="e">
        <f t="array" ref="AF67">SQRT((AF4:AG4*$B$19:$C$19)/($B$4:$C$4*$B$19:$C$19)*(AF4:AG4*AF19:AG19)/($B$4:$C$4*AF19:AG19))</f>
        <v>#DIV/0!</v>
      </c>
      <c r="AG67" s="181"/>
      <c r="AH67" s="181" t="e">
        <f t="array" ref="AH67">SQRT((AH4:AI4*$B$19:$C$19)/($B$4:$C$4*$B$19:$C$19)*(AH4:AI4*AH19:AI19)/($B$4:$C$4*AH19:AI19))</f>
        <v>#DIV/0!</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0.99896557777567263</v>
      </c>
      <c r="E68" s="181"/>
      <c r="F68" s="181">
        <f>F66/F67</f>
        <v>0.99797719402432061</v>
      </c>
      <c r="G68" s="181"/>
      <c r="H68" s="181">
        <f>H66/H67</f>
        <v>0.99704081354637919</v>
      </c>
      <c r="I68" s="181"/>
      <c r="J68" s="181">
        <f>J66/J67</f>
        <v>0.99616204633797767</v>
      </c>
      <c r="K68" s="181"/>
      <c r="L68" s="181">
        <f>L66/L67</f>
        <v>0.99534496910773285</v>
      </c>
      <c r="M68" s="181"/>
      <c r="N68" s="181">
        <f>N66/N67</f>
        <v>0.99458989943268228</v>
      </c>
      <c r="O68" s="181"/>
      <c r="P68" s="181">
        <f>P66/P67</f>
        <v>0.9938891189529101</v>
      </c>
      <c r="Q68" s="181"/>
      <c r="R68" s="181">
        <f>R66/R67</f>
        <v>0.99321781875872628</v>
      </c>
      <c r="S68" s="181"/>
      <c r="T68" s="181">
        <f>T66/T67</f>
        <v>0.99251245492052509</v>
      </c>
      <c r="U68" s="181"/>
      <c r="V68" s="181">
        <f>V66/V67</f>
        <v>0.99160804040292072</v>
      </c>
      <c r="W68" s="181"/>
      <c r="X68" s="181">
        <f>X66/X67</f>
        <v>0.99000206993745521</v>
      </c>
      <c r="Y68" s="181"/>
      <c r="Z68" s="181" t="e">
        <f>Z66/Z67</f>
        <v>#DIV/0!</v>
      </c>
      <c r="AA68" s="181"/>
      <c r="AB68" s="181" t="e">
        <f>AB66/AB67</f>
        <v>#DIV/0!</v>
      </c>
      <c r="AC68" s="181"/>
      <c r="AD68" s="181" t="e">
        <f>AD66/AD67</f>
        <v>#DIV/0!</v>
      </c>
      <c r="AE68" s="181"/>
      <c r="AF68" s="181" t="e">
        <f>AF66/AF67</f>
        <v>#DIV/0!</v>
      </c>
      <c r="AG68" s="181"/>
      <c r="AH68" s="181" t="e">
        <f>AH66/AH67</f>
        <v>#DIV/0!</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0.97797796238580559</v>
      </c>
      <c r="E69" s="181"/>
      <c r="F69" s="181">
        <f>F32/F65/($B$32)</f>
        <v>0.95331315465463884</v>
      </c>
      <c r="G69" s="181"/>
      <c r="H69" s="181">
        <f>H32/H65/($B$32)</f>
        <v>0.92576469147398022</v>
      </c>
      <c r="I69" s="181"/>
      <c r="J69" s="181">
        <f>J32/J65/($B$32)</f>
        <v>0.89510585464496295</v>
      </c>
      <c r="K69" s="181"/>
      <c r="L69" s="181">
        <f>L32/L65/($B$32)</f>
        <v>0.86114156407128495</v>
      </c>
      <c r="M69" s="181"/>
      <c r="N69" s="181">
        <f>N32/N65/($B$32)</f>
        <v>0.82373511938183408</v>
      </c>
      <c r="O69" s="181"/>
      <c r="P69" s="181">
        <f>P32/P65/($B$32)</f>
        <v>0.78284212385587915</v>
      </c>
      <c r="Q69" s="181"/>
      <c r="R69" s="181">
        <f>R32/R65/($B$32)</f>
        <v>0.73856730772533696</v>
      </c>
      <c r="S69" s="181"/>
      <c r="T69" s="181">
        <f>T32/T65/($B$32)</f>
        <v>0.69126210450380743</v>
      </c>
      <c r="U69" s="181"/>
      <c r="V69" s="181">
        <f>V32/V65/($B$32)</f>
        <v>0.64178074812065733</v>
      </c>
      <c r="W69" s="181"/>
      <c r="X69" s="181">
        <f>X32/X65/($B$32)</f>
        <v>0.59238149561023268</v>
      </c>
      <c r="Y69" s="181"/>
      <c r="Z69" s="181" t="e">
        <f>Z32/Z65/($B$32)</f>
        <v>#DIV/0!</v>
      </c>
      <c r="AA69" s="181"/>
      <c r="AB69" s="181" t="e">
        <f>AB32/AB65/($B$32)</f>
        <v>#DIV/0!</v>
      </c>
      <c r="AC69" s="181"/>
      <c r="AD69" s="181" t="e">
        <f>AD32/AD65/($B$32)</f>
        <v>#DIV/0!</v>
      </c>
      <c r="AE69" s="181"/>
      <c r="AF69" s="181" t="e">
        <f>AF32/AF65/($B$32)</f>
        <v>#DIV/0!</v>
      </c>
      <c r="AG69" s="181"/>
      <c r="AH69" s="181" t="e">
        <f>AH32/AH65/($B$32)</f>
        <v>#DIV/0!</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0.97704799632045669</v>
      </c>
      <c r="E70" s="129"/>
      <c r="F70" s="129">
        <f>F18/$B$18</f>
        <v>0.95149453511438853</v>
      </c>
      <c r="G70" s="129"/>
      <c r="H70" s="129">
        <f>H18/$B$18</f>
        <v>0.92311205554692166</v>
      </c>
      <c r="I70" s="129"/>
      <c r="J70" s="129">
        <f>J18/$B$18</f>
        <v>0.89168874359201622</v>
      </c>
      <c r="K70" s="129"/>
      <c r="L70" s="129">
        <f>L18/$B$18</f>
        <v>0.85704581455188955</v>
      </c>
      <c r="M70" s="129"/>
      <c r="N70" s="129">
        <f>N18/$B$18</f>
        <v>0.81906383634180902</v>
      </c>
      <c r="O70" s="129"/>
      <c r="P70" s="129">
        <f>P18/$B$18</f>
        <v>0.77771634906028153</v>
      </c>
      <c r="Q70" s="129"/>
      <c r="R70" s="129">
        <f>R18/$B$18</f>
        <v>0.73312648724531793</v>
      </c>
      <c r="S70" s="129"/>
      <c r="T70" s="129">
        <f>T18/$B$18</f>
        <v>0.68566609313548443</v>
      </c>
      <c r="U70" s="129"/>
      <c r="V70" s="129">
        <f>V18/$B$18</f>
        <v>0.63621843992249161</v>
      </c>
      <c r="W70" s="129"/>
      <c r="X70" s="129">
        <f>X18/$B$18</f>
        <v>0.58711204829346919</v>
      </c>
      <c r="Y70" s="129"/>
      <c r="Z70" s="129">
        <f>Z18/$B$18</f>
        <v>0</v>
      </c>
      <c r="AA70" s="129"/>
      <c r="AB70" s="129">
        <f>AB18/$B$18</f>
        <v>0</v>
      </c>
      <c r="AC70" s="129"/>
      <c r="AD70" s="129">
        <f>AD18/$B$18</f>
        <v>0</v>
      </c>
      <c r="AE70" s="129"/>
      <c r="AF70" s="129">
        <f>AF18/$B$18</f>
        <v>0</v>
      </c>
      <c r="AG70" s="129"/>
      <c r="AH70" s="129">
        <f>AH18/$B$18</f>
        <v>0</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0.93765554894727565</v>
      </c>
      <c r="E71" s="129"/>
      <c r="F71" s="129">
        <f>G18/$C$18</f>
        <v>0.87668464267486168</v>
      </c>
      <c r="G71" s="129"/>
      <c r="H71" s="129">
        <f>I18/$C$18</f>
        <v>0.81717466652459825</v>
      </c>
      <c r="I71" s="129"/>
      <c r="J71" s="129">
        <f>K18/$C$18</f>
        <v>0.75919515368001045</v>
      </c>
      <c r="K71" s="129"/>
      <c r="L71" s="129">
        <f>M18/$C$18</f>
        <v>0.70278543953015948</v>
      </c>
      <c r="M71" s="129"/>
      <c r="N71" s="129">
        <f>O18/$C$18</f>
        <v>0.64793486344455753</v>
      </c>
      <c r="O71" s="129"/>
      <c r="P71" s="129">
        <f>Q18/$C$18</f>
        <v>0.59455413445214966</v>
      </c>
      <c r="Q71" s="129"/>
      <c r="R71" s="129">
        <f>S18/$C$18</f>
        <v>0.54242384757206974</v>
      </c>
      <c r="S71" s="129"/>
      <c r="T71" s="129">
        <f>U18/$C$18</f>
        <v>0.49108740300064097</v>
      </c>
      <c r="U71" s="129"/>
      <c r="V71" s="129">
        <f>W18/$C$18</f>
        <v>0.43955338875734956</v>
      </c>
      <c r="W71" s="129"/>
      <c r="X71" s="129">
        <f>Y18/$C$18</f>
        <v>0.38519134487657419</v>
      </c>
      <c r="Y71" s="129"/>
      <c r="Z71" s="129">
        <f>AA18/$C$18</f>
        <v>0</v>
      </c>
      <c r="AA71" s="129"/>
      <c r="AB71" s="129">
        <f>AC18/$C$18</f>
        <v>0</v>
      </c>
      <c r="AC71" s="129"/>
      <c r="AD71" s="129">
        <f>AE18/$C$18</f>
        <v>0</v>
      </c>
      <c r="AE71" s="129"/>
      <c r="AF71" s="129">
        <f>AG18/$C$18</f>
        <v>0</v>
      </c>
      <c r="AG71" s="129"/>
      <c r="AH71" s="129">
        <f>AI18/$C$18</f>
        <v>0</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0.9956103187148494</v>
      </c>
      <c r="E72" s="129"/>
      <c r="F72" s="129">
        <f>G19/$C$19</f>
        <v>0.9873603911552411</v>
      </c>
      <c r="G72" s="129"/>
      <c r="H72" s="129">
        <f>I19/$C$19</f>
        <v>0.97466634628300386</v>
      </c>
      <c r="I72" s="129"/>
      <c r="J72" s="129">
        <f>K19/$C$19</f>
        <v>0.95698241767339087</v>
      </c>
      <c r="K72" s="129"/>
      <c r="L72" s="129">
        <f>M19/$C$19</f>
        <v>0.93386879564625158</v>
      </c>
      <c r="M72" s="129"/>
      <c r="N72" s="129">
        <f>O19/$C$19</f>
        <v>0.90509017461858032</v>
      </c>
      <c r="O72" s="129"/>
      <c r="P72" s="129">
        <f>Q19/$C$19</f>
        <v>0.87076503465409616</v>
      </c>
      <c r="Q72" s="129"/>
      <c r="R72" s="129">
        <f>S19/$C$19</f>
        <v>0.83162067681981722</v>
      </c>
      <c r="S72" s="129"/>
      <c r="T72" s="129">
        <f>U19/$C$19</f>
        <v>0.78952232442711778</v>
      </c>
      <c r="U72" s="129"/>
      <c r="V72" s="129">
        <f>W19/$C$19</f>
        <v>0.74893757475072353</v>
      </c>
      <c r="W72" s="129"/>
      <c r="X72" s="129">
        <f>Y19/$C$19</f>
        <v>0.72256342111678595</v>
      </c>
      <c r="Y72" s="129"/>
      <c r="Z72" s="129">
        <f>AA19/$C$19</f>
        <v>0</v>
      </c>
      <c r="AA72" s="129"/>
      <c r="AB72" s="129">
        <f>AC19/$C$19</f>
        <v>0</v>
      </c>
      <c r="AC72" s="129"/>
      <c r="AD72" s="129">
        <f>AE19/$C$19</f>
        <v>0</v>
      </c>
      <c r="AE72" s="129"/>
      <c r="AF72" s="129">
        <f>AG19/$C$19</f>
        <v>0</v>
      </c>
      <c r="AG72" s="129"/>
      <c r="AH72" s="129">
        <f>AI19/$C$19</f>
        <v>0</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0.47641153352875065</v>
      </c>
      <c r="D73" s="183">
        <f t="array" ref="D73">SUM(D9:E9*D22:E22)/D32</f>
        <v>0.47641153961907479</v>
      </c>
      <c r="E73" s="129"/>
      <c r="F73" s="183">
        <f t="array" ref="F73">SUM(F9:G9*F22:G22)/F32</f>
        <v>0.47641153323264684</v>
      </c>
      <c r="G73" s="129"/>
      <c r="H73" s="183">
        <f t="array" ref="H73">SUM(H9:I9*H22:I22)/H32</f>
        <v>0.47641153250426144</v>
      </c>
      <c r="I73" s="129"/>
      <c r="J73" s="183">
        <f t="array" ref="J73">SUM(J9:K9*J22:K22)/J32</f>
        <v>0.47641153198789626</v>
      </c>
      <c r="K73" s="129"/>
      <c r="L73" s="183">
        <f t="array" ref="L73">SUM(L9:M9*L22:M22)/L32</f>
        <v>0.47641153390891222</v>
      </c>
      <c r="M73" s="129"/>
      <c r="N73" s="183">
        <f t="array" ref="N73">SUM(N9:O9*N22:O22)/N32</f>
        <v>0.47641153286118548</v>
      </c>
      <c r="O73" s="129"/>
      <c r="P73" s="183">
        <f t="array" ref="P73">SUM(P9:Q9*P22:Q22)/P32</f>
        <v>0.47641153477461956</v>
      </c>
      <c r="Q73" s="129"/>
      <c r="R73" s="183">
        <f t="array" ref="R73">SUM(R9:S9*R22:S22)/R32</f>
        <v>0.47641153288275373</v>
      </c>
      <c r="S73" s="129"/>
      <c r="T73" s="183">
        <f t="array" ref="T73">SUM(T9:U9*T22:U22)/T32</f>
        <v>0.47641153328077723</v>
      </c>
      <c r="U73" s="129"/>
      <c r="V73" s="183">
        <f t="array" ref="V73">SUM(V9:W9*V22:W22)/V32</f>
        <v>0.47641153372699585</v>
      </c>
      <c r="W73" s="129"/>
      <c r="X73" s="183">
        <f t="array" ref="X73">SUM(X9:Y9*X22:Y22)/X32</f>
        <v>0.47641153465679775</v>
      </c>
      <c r="Y73" s="129"/>
      <c r="Z73" s="183" t="e">
        <f t="array" ref="Z73">SUM(Z9:AA9*Z22:AA22)/Z32</f>
        <v>#DIV/0!</v>
      </c>
      <c r="AA73" s="129"/>
      <c r="AB73" s="183" t="e">
        <f t="array" ref="AB73">SUM(AB9:AC9*AB22:AC22)/AB32</f>
        <v>#DIV/0!</v>
      </c>
      <c r="AC73" s="129"/>
      <c r="AD73" s="183" t="e">
        <f t="array" ref="AD73">SUM(AD9:AE9*AD22:AE22)/AD32</f>
        <v>#DIV/0!</v>
      </c>
      <c r="AE73" s="129"/>
      <c r="AF73" s="183" t="e">
        <f t="array" ref="AF73">SUM(AF9:AG9*AF22:AG22)/AF32</f>
        <v>#DIV/0!</v>
      </c>
      <c r="AG73" s="129"/>
      <c r="AH73" s="183" t="e">
        <f t="array" ref="AH73">SUM(AH9:AI9*AH22:AI22)/AH32</f>
        <v>#DIV/0!</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0.22604620456442487</v>
      </c>
      <c r="K74" s="129"/>
      <c r="L74" s="183">
        <f t="array" ref="L74">SUM(L10:M10*L23:M23)/L32</f>
        <v>0.22604620456442481</v>
      </c>
      <c r="M74" s="129"/>
      <c r="N74" s="183">
        <f t="array" ref="N74">SUM(N10:O10*N23:O23)/N32</f>
        <v>0.22604620456442484</v>
      </c>
      <c r="O74" s="129"/>
      <c r="P74" s="183">
        <f t="array" ref="P74">SUM(P10:Q10*P23:Q23)/P32</f>
        <v>0.22604620456442487</v>
      </c>
      <c r="Q74" s="129"/>
      <c r="R74" s="183">
        <f t="array" ref="R74">SUM(R10:S10*R23:S23)/R32</f>
        <v>0.22604620456442484</v>
      </c>
      <c r="S74" s="129"/>
      <c r="T74" s="183">
        <f t="array" ref="T74">SUM(T10:U10*T23:U23)/T32</f>
        <v>0.22604620456442484</v>
      </c>
      <c r="U74" s="129"/>
      <c r="V74" s="183">
        <f t="array" ref="V74">SUM(V10:W10*V23:W23)/V32</f>
        <v>0.22604620456442487</v>
      </c>
      <c r="W74" s="129"/>
      <c r="X74" s="183">
        <f t="array" ref="X74">SUM(X10:Y10*X23:Y23)/X32</f>
        <v>0.22604620456442484</v>
      </c>
      <c r="Y74" s="129"/>
      <c r="Z74" s="183" t="e">
        <f t="array" ref="Z74">SUM(Z10:AA10*Z23:AA23)/Z32</f>
        <v>#DIV/0!</v>
      </c>
      <c r="AA74" s="129"/>
      <c r="AB74" s="183" t="e">
        <f t="array" ref="AB74">SUM(AB10:AC10*AB23:AC23)/AB32</f>
        <v>#DIV/0!</v>
      </c>
      <c r="AC74" s="129"/>
      <c r="AD74" s="183" t="e">
        <f t="array" ref="AD74">SUM(AD10:AE10*AD23:AE23)/AD32</f>
        <v>#DIV/0!</v>
      </c>
      <c r="AE74" s="129"/>
      <c r="AF74" s="183" t="e">
        <f t="array" ref="AF74">SUM(AF10:AG10*AF23:AG23)/AF32</f>
        <v>#DIV/0!</v>
      </c>
      <c r="AG74" s="129"/>
      <c r="AH74" s="183" t="e">
        <f t="array" ref="AH74">SUM(AH10:AI10*AH23:AI23)/AH32</f>
        <v>#DIV/0!</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0.22038438859897008</v>
      </c>
      <c r="E75" s="129"/>
      <c r="F75" s="183">
        <f t="array" ref="F75">SUM(F11:G11*F24:G24)/F32</f>
        <v>0.22038438826754547</v>
      </c>
      <c r="G75" s="129"/>
      <c r="H75" s="183">
        <f t="array" ref="H75">SUM(H11:I11*H24:I24)/H32</f>
        <v>0.22038438821276415</v>
      </c>
      <c r="I75" s="129"/>
      <c r="J75" s="183">
        <f t="array" ref="J75">SUM(J11:K11*J24:K24)/J32</f>
        <v>0.22038438822714973</v>
      </c>
      <c r="K75" s="129"/>
      <c r="L75" s="183">
        <f t="array" ref="L75">SUM(L11:M11*L24:M24)/L32</f>
        <v>0.22038438838317806</v>
      </c>
      <c r="M75" s="129"/>
      <c r="N75" s="183">
        <f t="array" ref="N75">SUM(N11:O11*N24:O24)/N32</f>
        <v>0.22038438832484342</v>
      </c>
      <c r="O75" s="129"/>
      <c r="P75" s="183">
        <f t="array" ref="P75">SUM(P11:Q11*P24:Q24)/P32</f>
        <v>0.22038438845098215</v>
      </c>
      <c r="Q75" s="129"/>
      <c r="R75" s="183">
        <f t="array" ref="R75">SUM(R11:S11*R24:S24)/R32</f>
        <v>0.22038438820818052</v>
      </c>
      <c r="S75" s="129"/>
      <c r="T75" s="183">
        <f t="array" ref="T75">SUM(T11:U11*T24:U24)/T32</f>
        <v>0.22038438845468733</v>
      </c>
      <c r="U75" s="129"/>
      <c r="V75" s="183">
        <f t="array" ref="V75">SUM(V11:W11*V24:W24)/V32</f>
        <v>0.22038438822866355</v>
      </c>
      <c r="W75" s="129"/>
      <c r="X75" s="183">
        <f t="array" ref="X75">SUM(X11:Y11*X24:Y24)/X32</f>
        <v>0.22038438806015606</v>
      </c>
      <c r="Y75" s="129"/>
      <c r="Z75" s="183" t="e">
        <f t="array" ref="Z75">SUM(Z11:AA11*Z24:AA24)/Z32</f>
        <v>#DIV/0!</v>
      </c>
      <c r="AA75" s="129"/>
      <c r="AB75" s="183" t="e">
        <f t="array" ref="AB75">SUM(AB11:AC11*AB24:AC24)/AB32</f>
        <v>#DIV/0!</v>
      </c>
      <c r="AC75" s="129"/>
      <c r="AD75" s="183" t="e">
        <f t="array" ref="AD75">SUM(AD11:AE11*AD24:AE24)/AD32</f>
        <v>#DIV/0!</v>
      </c>
      <c r="AE75" s="129"/>
      <c r="AF75" s="183" t="e">
        <f t="array" ref="AF75">SUM(AF11:AG11*AF24:AG24)/AF32</f>
        <v>#DIV/0!</v>
      </c>
      <c r="AG75" s="129"/>
      <c r="AH75" s="183" t="e">
        <f t="array" ref="AH75">SUM(AH11:AI11*AH24:AI24)/AH32</f>
        <v>#DIV/0!</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0.22303847187528755</v>
      </c>
      <c r="E76" s="129"/>
      <c r="F76" s="183">
        <f t="array" ref="F76">SUM(F12:G12*F25:G25)/F32</f>
        <v>0.22306024018675796</v>
      </c>
      <c r="G76" s="129"/>
      <c r="H76" s="183">
        <f t="array" ref="H76">SUM(H12:I12*H25:I25)/H32</f>
        <v>0.22308146590304961</v>
      </c>
      <c r="I76" s="129"/>
      <c r="J76" s="183">
        <f t="array" ref="J76">SUM(J12:K12*J25:K25)/J32</f>
        <v>0.22309978354802432</v>
      </c>
      <c r="K76" s="129"/>
      <c r="L76" s="183">
        <f t="array" ref="L76">SUM(L12:M12*L25:M25)/L32</f>
        <v>0.22311369866508418</v>
      </c>
      <c r="M76" s="129"/>
      <c r="N76" s="183">
        <f t="array" ref="N76">SUM(N12:O12*N25:O25)/N32</f>
        <v>0.22312376274889656</v>
      </c>
      <c r="O76" s="129"/>
      <c r="P76" s="183">
        <f t="array" ref="P76">SUM(P12:Q12*P25:Q25)/P32</f>
        <v>0.22313490575868822</v>
      </c>
      <c r="Q76" s="129"/>
      <c r="R76" s="183">
        <f t="array" ref="R76">SUM(R12:S12*R25:S25)/R32</f>
        <v>0.2231612830079355</v>
      </c>
      <c r="S76" s="129"/>
      <c r="T76" s="183">
        <f t="array" ref="T76">SUM(T12:U12*T25:U25)/T32</f>
        <v>0.22323821285665349</v>
      </c>
      <c r="U76" s="129"/>
      <c r="V76" s="183">
        <f t="array" ref="V76">SUM(V12:W12*V25:W25)/V32</f>
        <v>0.22345732831684759</v>
      </c>
      <c r="W76" s="129"/>
      <c r="X76" s="183">
        <f t="array" ref="X76">SUM(X12:Y12*X25:Y25)/X32</f>
        <v>0.22410468256964086</v>
      </c>
      <c r="Y76" s="129"/>
      <c r="Z76" s="183" t="e">
        <f t="array" ref="Z76">SUM(Z12:AA12*Z25:AA25)/Z32</f>
        <v>#DIV/0!</v>
      </c>
      <c r="AA76" s="129"/>
      <c r="AB76" s="183" t="e">
        <f t="array" ref="AB76">SUM(AB12:AC12*AB25:AC25)/AB32</f>
        <v>#DIV/0!</v>
      </c>
      <c r="AC76" s="129"/>
      <c r="AD76" s="183" t="e">
        <f t="array" ref="AD76">SUM(AD12:AE12*AD25:AE25)/AD32</f>
        <v>#DIV/0!</v>
      </c>
      <c r="AE76" s="129"/>
      <c r="AF76" s="183" t="e">
        <f t="array" ref="AF76">SUM(AF12:AG12*AF25:AG25)/AF32</f>
        <v>#DIV/0!</v>
      </c>
      <c r="AG76" s="129"/>
      <c r="AH76" s="183" t="e">
        <f t="array" ref="AH76">SUM(AH12:AI12*AH25:AI25)/AH32</f>
        <v>#DIV/0!</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0.14588060465775679</v>
      </c>
      <c r="E77" s="129"/>
      <c r="F77" s="183">
        <f t="array" ref="F77">SUM(F4:G4*F19:G19)/F32</f>
        <v>0.14590236625137473</v>
      </c>
      <c r="G77" s="129"/>
      <c r="H77" s="183">
        <f t="array" ref="H77">SUM(H4:I4*H19:I19)/H32</f>
        <v>0.14592359118449955</v>
      </c>
      <c r="I77" s="129"/>
      <c r="J77" s="183">
        <f t="array" ref="J77">SUM(J4:K4*J19:K19)/J32</f>
        <v>0.14594190832749487</v>
      </c>
      <c r="K77" s="129"/>
      <c r="L77" s="183">
        <f t="array" ref="L77">SUM(L4:M4*L19:M19)/L32</f>
        <v>0.14595582552159866</v>
      </c>
      <c r="M77" s="129"/>
      <c r="N77" s="183">
        <f t="array" ref="N77">SUM(N4:O4*N19:O19)/N32</f>
        <v>0.14596588849934986</v>
      </c>
      <c r="O77" s="129"/>
      <c r="P77" s="183">
        <f t="array" ref="P77">SUM(P4:Q4*P19:Q19)/P32</f>
        <v>0.14597703354871433</v>
      </c>
      <c r="Q77" s="129"/>
      <c r="R77" s="183">
        <f t="array" ref="R77">SUM(R4:S4*R19:S19)/R32</f>
        <v>0.1460034086632942</v>
      </c>
      <c r="S77" s="129"/>
      <c r="T77" s="183">
        <f t="array" ref="T77">SUM(T4:U4*T19:U19)/T32</f>
        <v>0.14608033915654253</v>
      </c>
      <c r="U77" s="129"/>
      <c r="V77" s="183">
        <f t="array" ref="V77">SUM(V4:W4*V19:W19)/V32</f>
        <v>0.14629945483693135</v>
      </c>
      <c r="W77" s="129"/>
      <c r="X77" s="183">
        <f t="array" ref="X77">SUM(X4:Y4*X19:Y19)/X32</f>
        <v>0.14694680985101899</v>
      </c>
      <c r="Y77" s="129"/>
      <c r="Z77" s="183" t="e">
        <f t="array" ref="Z77">SUM(Z4:AA4*Z19:AA19)/Z32</f>
        <v>#DIV/0!</v>
      </c>
      <c r="AA77" s="129"/>
      <c r="AB77" s="183" t="e">
        <f t="array" ref="AB77">SUM(AB4:AC4*AB19:AC19)/AB32</f>
        <v>#DIV/0!</v>
      </c>
      <c r="AC77" s="129"/>
      <c r="AD77" s="183" t="e">
        <f t="array" ref="AD77">SUM(AD4:AE4*AD19:AE19)/AD32</f>
        <v>#DIV/0!</v>
      </c>
      <c r="AE77" s="129"/>
      <c r="AF77" s="183" t="e">
        <f t="array" ref="AF77">SUM(AF4:AG4*AF19:AG19)/AF32</f>
        <v>#DIV/0!</v>
      </c>
      <c r="AG77" s="129"/>
      <c r="AH77" s="183" t="e">
        <f t="array" ref="AH77">SUM(AH4:AI4*AH19:AI19)/AH32</f>
        <v>#DIV/0!</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0.34052461619714897</v>
      </c>
      <c r="E78" s="129"/>
      <c r="F78" s="183">
        <f t="array" ref="F78">SUM(F13:G13*F26:G26)/F32</f>
        <v>0.33420606658234447</v>
      </c>
      <c r="G78" s="129"/>
      <c r="H78" s="183">
        <f t="array" ref="H78">SUM(H13:I13*H26:I26)/H32</f>
        <v>0.32796802224065769</v>
      </c>
      <c r="I78" s="129"/>
      <c r="J78" s="183">
        <f t="array" ref="J78">SUM(J13:K13*J26:K26)/J32</f>
        <v>0.32185271092582973</v>
      </c>
      <c r="K78" s="129"/>
      <c r="L78" s="183">
        <f t="array" ref="L78">SUM(L13:M13*L26:M26)/L32</f>
        <v>0.31590887134801016</v>
      </c>
      <c r="M78" s="129"/>
      <c r="N78" s="183">
        <f t="array" ref="N78">SUM(N13:O13*N26:O26)/N32</f>
        <v>0.31019124762560352</v>
      </c>
      <c r="O78" s="129"/>
      <c r="P78" s="183">
        <f t="array" ref="P78">SUM(P13:Q13*P26:Q26)/P32</f>
        <v>0.30476136315808072</v>
      </c>
      <c r="Q78" s="129"/>
      <c r="R78" s="183">
        <f t="array" ref="R78">SUM(R13:S13*R26:S26)/R32</f>
        <v>0.2996878589891715</v>
      </c>
      <c r="S78" s="129"/>
      <c r="T78" s="183">
        <f t="array" ref="T78">SUM(T13:U13*T26:U26)/T32</f>
        <v>0.29505425044664663</v>
      </c>
      <c r="U78" s="129"/>
      <c r="V78" s="183">
        <f t="array" ref="V78">SUM(V13:W13*V26:W26)/V32</f>
        <v>0.29098158345970782</v>
      </c>
      <c r="W78" s="129"/>
      <c r="X78" s="183">
        <f t="array" ref="X78">SUM(X13:Y13*X26:Y26)/X32</f>
        <v>0.28773132050497274</v>
      </c>
      <c r="Y78" s="129"/>
      <c r="Z78" s="183" t="e">
        <f t="array" ref="Z78">SUM(Z13:AA13*Z26:AA26)/Z32</f>
        <v>#DIV/0!</v>
      </c>
      <c r="AA78" s="129"/>
      <c r="AB78" s="183" t="e">
        <f t="array" ref="AB78">SUM(AB13:AC13*AB26:AC26)/AB32</f>
        <v>#DIV/0!</v>
      </c>
      <c r="AC78" s="129"/>
      <c r="AD78" s="183" t="e">
        <f t="array" ref="AD78">SUM(AD13:AE13*AD26:AE26)/AD32</f>
        <v>#DIV/0!</v>
      </c>
      <c r="AE78" s="129"/>
      <c r="AF78" s="183" t="e">
        <f t="array" ref="AF78">SUM(AF13:AG13*AF26:AG26)/AF32</f>
        <v>#DIV/0!</v>
      </c>
      <c r="AG78" s="129"/>
      <c r="AH78" s="183" t="e">
        <f t="array" ref="AH78">SUM(AH13:AI13*AH26:AI26)/AH32</f>
        <v>#DIV/0!</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0.46097240985123644</v>
      </c>
      <c r="F79" s="183">
        <f t="array" ref="F79">SUM(F15:G15*F27:G27)/F32</f>
        <v>0.46729125520388543</v>
      </c>
      <c r="H79" s="183">
        <f t="array" ref="H79">SUM(H15:I15*H27:I27)/H32</f>
        <v>0.47352939590665999</v>
      </c>
      <c r="J79" s="183">
        <f t="array" ref="J79">SUM(J15:K15*J27:K27)/J32</f>
        <v>0.47964480445134988</v>
      </c>
      <c r="L79" s="183">
        <f t="array" ref="L79">SUM(L15:M15*L27:M27)/L32</f>
        <v>0.4855883103773464</v>
      </c>
      <c r="N79" s="183">
        <f t="array" ref="N79">SUM(N15:O15*N27:O27)/N32</f>
        <v>0.49130618590154762</v>
      </c>
      <c r="P79" s="183">
        <f t="array" ref="P79">SUM(P15:Q15*P27:Q27)/P32</f>
        <v>0.49673541057401976</v>
      </c>
      <c r="R79" s="183">
        <f t="array" ref="R79">SUM(R15:S15*R27:S27)/R32</f>
        <v>0.50180984546439733</v>
      </c>
      <c r="T79" s="183">
        <f t="array" ref="T79">SUM(T15:U15*T27:U27)/T32</f>
        <v>0.50644293514580807</v>
      </c>
      <c r="V79" s="183">
        <f t="array" ref="V79">SUM(V15:W15*V27:W27)/V32</f>
        <v>0.51051577756558586</v>
      </c>
      <c r="X79" s="183">
        <f t="array" ref="X79">SUM(X15:Y15*X27:Y27)/X32</f>
        <v>0.51376602766221047</v>
      </c>
      <c r="Z79" s="183" t="e">
        <f t="array" ref="Z79">SUM(Z15:AA15*Z27:AA27)/Z32</f>
        <v>#DIV/0!</v>
      </c>
      <c r="AB79" s="183" t="e">
        <f t="array" ref="AB79">SUM(AB15:AC15*AB27:AC27)/AB32</f>
        <v>#DIV/0!</v>
      </c>
      <c r="AD79" s="183" t="e">
        <f t="array" ref="AD79">SUM(AD15:AE15*AD27:AE27)/AD32</f>
        <v>#DIV/0!</v>
      </c>
      <c r="AF79" s="183" t="e">
        <f t="array" ref="AF79">SUM(AF15:AG15*AF27:AG27)/AF32</f>
        <v>#DIV/0!</v>
      </c>
      <c r="AH79" s="183" t="e">
        <f t="array" ref="AH79">SUM(AH15:AI15*AH27:AI27)/AH32</f>
        <v>#DIV/0!</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0.19850273488953496</v>
      </c>
      <c r="F80" s="195">
        <f>F55</f>
        <v>0.19850271612837728</v>
      </c>
      <c r="H80" s="195">
        <f>H55</f>
        <v>0.19850271035863257</v>
      </c>
      <c r="J80" s="195">
        <f>J55</f>
        <v>0.19850270580710991</v>
      </c>
      <c r="L80" s="195">
        <f>L55</f>
        <v>0.19850272408413222</v>
      </c>
      <c r="N80" s="195">
        <f>N55</f>
        <v>0.19850271238764644</v>
      </c>
      <c r="P80" s="195">
        <f>P55</f>
        <v>0.19850273824623238</v>
      </c>
      <c r="R80" s="195">
        <f>R55</f>
        <v>0.19850270548317206</v>
      </c>
      <c r="T80" s="195">
        <f>T55</f>
        <v>0.19850272156311</v>
      </c>
      <c r="V80" s="195">
        <f>V55</f>
        <v>0.19850271738678496</v>
      </c>
      <c r="X80" s="195">
        <f>X55</f>
        <v>0.19850271755929902</v>
      </c>
      <c r="Z80" s="195" t="e">
        <f>Z55</f>
        <v>#DIV/0!</v>
      </c>
      <c r="AB80" s="195" t="e">
        <f>AB55</f>
        <v>#DIV/0!</v>
      </c>
      <c r="AD80" s="195" t="e">
        <f>AD55</f>
        <v>#DIV/0!</v>
      </c>
      <c r="AF80" s="195" t="e">
        <f>AF55</f>
        <v>#DIV/0!</v>
      </c>
      <c r="AH80" s="195" t="e">
        <f>AH55</f>
        <v>#DIV/0!</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-2.7543469674889888E-2</v>
      </c>
      <c r="F81" s="195">
        <f>F51/F$32</f>
        <v>-2.7543488436047561E-2</v>
      </c>
      <c r="H81" s="195">
        <f>H51/H$32</f>
        <v>-2.7543494205792281E-2</v>
      </c>
      <c r="J81" s="195">
        <f>J51/J$32</f>
        <v>-2.7543498757314957E-2</v>
      </c>
      <c r="L81" s="195">
        <f>L51/L$32</f>
        <v>-2.7543480480292603E-2</v>
      </c>
      <c r="N81" s="195">
        <f>N51/N$32</f>
        <v>-2.7543492176778414E-2</v>
      </c>
      <c r="P81" s="195">
        <f>P51/P$32</f>
        <v>-2.7543466318192482E-2</v>
      </c>
      <c r="R81" s="195">
        <f>R51/R$32</f>
        <v>-2.7543499081252785E-2</v>
      </c>
      <c r="T81" s="195">
        <f>T51/T$32</f>
        <v>-2.7543483001314865E-2</v>
      </c>
      <c r="V81" s="195">
        <f>V51/V$32</f>
        <v>-2.7543487177639901E-2</v>
      </c>
      <c r="X81" s="195">
        <f>X51/X$32</f>
        <v>-2.7543487005125822E-2</v>
      </c>
      <c r="Z81" s="195" t="e">
        <f>Z51/Z$32</f>
        <v>#DIV/0!</v>
      </c>
      <c r="AB81" s="195" t="e">
        <f>AB51/AB$32</f>
        <v>#DIV/0!</v>
      </c>
      <c r="AD81" s="195" t="e">
        <f>AD51/AD$32</f>
        <v>#DIV/0!</v>
      </c>
      <c r="AF81" s="195" t="e">
        <f>AF51/AF$32</f>
        <v>#DIV/0!</v>
      </c>
      <c r="AH81" s="195" t="e">
        <f>AH51/AH$32</f>
        <v>#DIV/0!</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0.13811612590698494</v>
      </c>
      <c r="F82" s="195">
        <f>F52/F$32</f>
        <v>0.13555333440047423</v>
      </c>
      <c r="H82" s="195">
        <f>H52/H$32</f>
        <v>0.13302319567707882</v>
      </c>
      <c r="J82" s="195">
        <f>J52/J$32</f>
        <v>0.13054283723206647</v>
      </c>
      <c r="L82" s="195">
        <f>L52/L$32</f>
        <v>0.12813202739203494</v>
      </c>
      <c r="N82" s="195">
        <f>N52/N$32</f>
        <v>0.12581297026555843</v>
      </c>
      <c r="P82" s="195">
        <f>P52/P$32</f>
        <v>0.12361061962450355</v>
      </c>
      <c r="R82" s="195">
        <f>R52/R$32</f>
        <v>0.12155281614348593</v>
      </c>
      <c r="T82" s="195">
        <f>T52/T$32</f>
        <v>0.11967343347796805</v>
      </c>
      <c r="V82" s="195">
        <f>V52/V$32</f>
        <v>0.11802156762278539</v>
      </c>
      <c r="X82" s="195">
        <f>X52/X$32</f>
        <v>0.11670326725290225</v>
      </c>
      <c r="Z82" s="195" t="e">
        <f>Z52/Z$32</f>
        <v>#DIV/0!</v>
      </c>
      <c r="AB82" s="195" t="e">
        <f>AB52/AB$32</f>
        <v>#DIV/0!</v>
      </c>
      <c r="AD82" s="195" t="e">
        <f>AD52/AD$32</f>
        <v>#DIV/0!</v>
      </c>
      <c r="AF82" s="195" t="e">
        <f>AF52/AF$32</f>
        <v>#DIV/0!</v>
      </c>
      <c r="AH82" s="195" t="e">
        <f>AH52/AH$32</f>
        <v>#DIV/0!</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0.18696951812082446</v>
      </c>
      <c r="F83" s="195">
        <f>F53/F$32</f>
        <v>0.1895324295780331</v>
      </c>
      <c r="H83" s="195">
        <f>H53/H$32</f>
        <v>0.19206260738529934</v>
      </c>
      <c r="J83" s="195">
        <f>J53/J$32</f>
        <v>0.19454300526655574</v>
      </c>
      <c r="L83" s="195">
        <f>L53/L$32</f>
        <v>0.19695367977805295</v>
      </c>
      <c r="N83" s="195">
        <f>N53/N$32</f>
        <v>0.19927283903485049</v>
      </c>
      <c r="P83" s="195">
        <f>P53/P$32</f>
        <v>0.20147492206430856</v>
      </c>
      <c r="R83" s="195">
        <f>R53/R$32</f>
        <v>0.20353310304415417</v>
      </c>
      <c r="T83" s="195">
        <f>T53/T$32</f>
        <v>0.20541227526060737</v>
      </c>
      <c r="V83" s="195">
        <f>V53/V$32</f>
        <v>0.20706421227101035</v>
      </c>
      <c r="X83" s="195">
        <f>X53/X$32</f>
        <v>0.20838250742566872</v>
      </c>
      <c r="Z83" s="195" t="e">
        <f>Z53/Z$32</f>
        <v>#DIV/0!</v>
      </c>
      <c r="AB83" s="195" t="e">
        <f>AB53/AB$32</f>
        <v>#DIV/0!</v>
      </c>
      <c r="AD83" s="195" t="e">
        <f>AD53/AD$32</f>
        <v>#DIV/0!</v>
      </c>
      <c r="AF83" s="195" t="e">
        <f>AF53/AF$32</f>
        <v>#DIV/0!</v>
      </c>
      <c r="AH83" s="195" t="e">
        <f>AH53/AH$32</f>
        <v>#DIV/0!</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3"/>
  <dimension ref="A1:XFD83"/>
  <sheetViews>
    <sheetView showGridLines="0" workbookViewId="0">
      <pane ySplit="1" topLeftCell="A2" activePane="bottomLeft" state="frozen"/>
      <selection pane="bottomLeft" sqref="A1:XFD1048576"/>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c r="AN1" s="91"/>
      <c r="AP1" s="91"/>
      <c r="AR1" s="91"/>
      <c r="AT1" s="91"/>
      <c r="AV1" s="91"/>
      <c r="AX1">
        <v>0.99000000000000032</v>
      </c>
    </row>
    <row r="2" spans="1:51" x14ac:dyDescent="0.2">
      <c r="A2" s="190" t="s">
        <v>139</v>
      </c>
      <c r="B2" s="188">
        <v>5.7716594496607888E-3</v>
      </c>
      <c r="C2" s="189"/>
      <c r="D2" s="188">
        <v>7.1685127548964001E-2</v>
      </c>
      <c r="E2" s="189"/>
      <c r="F2" s="188">
        <v>0.14406874316294255</v>
      </c>
      <c r="G2" s="189"/>
      <c r="H2" s="188">
        <v>0.22398213324643282</v>
      </c>
      <c r="I2" s="189"/>
      <c r="J2" s="188">
        <v>0.3127559149744476</v>
      </c>
      <c r="K2" s="189"/>
      <c r="L2" s="188">
        <v>0.41209882127270586</v>
      </c>
      <c r="M2" s="189"/>
      <c r="N2" s="188">
        <v>0.52428057152073437</v>
      </c>
      <c r="O2" s="189"/>
      <c r="P2" s="188">
        <v>0.65239237726823585</v>
      </c>
      <c r="Q2" s="189"/>
      <c r="R2" s="188">
        <v>0.80079995722560537</v>
      </c>
      <c r="S2" s="189"/>
      <c r="T2" s="188">
        <v>0.97588939521188223</v>
      </c>
      <c r="U2" s="189"/>
      <c r="V2" s="188">
        <v>1.187372206489528</v>
      </c>
      <c r="W2" s="189"/>
      <c r="X2" s="188">
        <v>1.4506283465316019</v>
      </c>
      <c r="Y2" s="189"/>
      <c r="Z2" s="188">
        <v>1.7910035601021692</v>
      </c>
      <c r="AA2" s="189"/>
      <c r="AB2" s="188">
        <v>2.2516629908035348</v>
      </c>
      <c r="AC2" s="189"/>
      <c r="AD2" s="188">
        <v>2.9067886401775991</v>
      </c>
      <c r="AE2" s="189"/>
      <c r="AF2" s="188">
        <v>3.8776913154004955</v>
      </c>
      <c r="AG2" s="189"/>
      <c r="AH2" s="188">
        <v>5.3309322771872099</v>
      </c>
      <c r="AI2" s="189"/>
      <c r="AJ2" s="188">
        <v>7.4014164892913641</v>
      </c>
      <c r="AK2" s="189"/>
      <c r="AL2" s="188"/>
      <c r="AM2" s="189"/>
      <c r="AN2" s="188"/>
      <c r="AO2" s="189"/>
      <c r="AP2" s="188"/>
      <c r="AQ2" s="189"/>
      <c r="AR2" s="188"/>
      <c r="AS2" s="189"/>
      <c r="AT2" s="188"/>
      <c r="AU2" s="189"/>
      <c r="AV2" s="188"/>
      <c r="AW2" s="189"/>
      <c r="AX2">
        <v>5.7716594496607888E-3</v>
      </c>
    </row>
    <row r="3" spans="1:51" x14ac:dyDescent="0.2">
      <c r="A3" t="s">
        <v>12</v>
      </c>
      <c r="B3" s="81">
        <v>1000</v>
      </c>
      <c r="C3" s="82">
        <v>1000</v>
      </c>
      <c r="D3" s="81">
        <v>997.96446256234685</v>
      </c>
      <c r="E3" s="82">
        <v>1028.4819919984209</v>
      </c>
      <c r="F3" s="81">
        <v>995.86710166029627</v>
      </c>
      <c r="G3" s="82">
        <v>1060.4094770006841</v>
      </c>
      <c r="H3" s="81">
        <v>993.6904499077674</v>
      </c>
      <c r="I3" s="82">
        <v>1096.4133709092835</v>
      </c>
      <c r="J3" s="81">
        <v>991.41615352070971</v>
      </c>
      <c r="K3" s="82">
        <v>1137.2796839604798</v>
      </c>
      <c r="L3" s="81">
        <v>989.02552003098663</v>
      </c>
      <c r="M3" s="82">
        <v>1184.0037349420056</v>
      </c>
      <c r="N3" s="81">
        <v>986.50035257980505</v>
      </c>
      <c r="O3" s="82">
        <v>1237.8792247637414</v>
      </c>
      <c r="P3" s="81">
        <v>983.825025837814</v>
      </c>
      <c r="Q3" s="82">
        <v>1300.6218278783954</v>
      </c>
      <c r="R3" s="81">
        <v>980.98978579995151</v>
      </c>
      <c r="S3" s="82">
        <v>1374.5770090036435</v>
      </c>
      <c r="T3" s="81">
        <v>977.9965020656972</v>
      </c>
      <c r="U3" s="82">
        <v>1463.0574960561387</v>
      </c>
      <c r="V3" s="81">
        <v>974.86845013861353</v>
      </c>
      <c r="W3" s="82">
        <v>1570.9158150442145</v>
      </c>
      <c r="X3" s="81">
        <v>971.66658449983106</v>
      </c>
      <c r="Y3" s="82">
        <v>1705.5461470094835</v>
      </c>
      <c r="Z3" s="81">
        <v>968.51551391340013</v>
      </c>
      <c r="AA3" s="82">
        <v>1878.6639669482354</v>
      </c>
      <c r="AB3" s="81">
        <v>965.63935744911726</v>
      </c>
      <c r="AC3" s="82">
        <v>2109.4314536794645</v>
      </c>
      <c r="AD3" s="81">
        <v>963.38860015743865</v>
      </c>
      <c r="AE3" s="82">
        <v>2429.423563678205</v>
      </c>
      <c r="AF3" s="81">
        <v>962.18047578582298</v>
      </c>
      <c r="AG3" s="82">
        <v>2888.0654744634639</v>
      </c>
      <c r="AH3" s="81">
        <v>962.22854215066809</v>
      </c>
      <c r="AI3" s="82">
        <v>3550.2171629088944</v>
      </c>
      <c r="AJ3" s="81">
        <v>963.19429985245995</v>
      </c>
      <c r="AK3" s="82">
        <v>4464.7771523026122</v>
      </c>
      <c r="AL3" s="81"/>
      <c r="AM3" s="82"/>
      <c r="AN3" s="81"/>
      <c r="AO3" s="82"/>
      <c r="AP3" s="81"/>
      <c r="AQ3" s="82"/>
      <c r="AR3" s="81"/>
      <c r="AS3" s="82"/>
      <c r="AT3" s="81"/>
      <c r="AU3" s="82"/>
      <c r="AV3" s="81"/>
      <c r="AW3" s="82"/>
      <c r="AX3">
        <v>1000</v>
      </c>
      <c r="AY3">
        <v>1000</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c r="AM4" s="96"/>
      <c r="AN4" s="95"/>
      <c r="AO4" s="96"/>
      <c r="AP4" s="95"/>
      <c r="AQ4" s="96"/>
      <c r="AR4" s="95"/>
      <c r="AS4" s="96"/>
      <c r="AT4" s="95"/>
      <c r="AU4" s="96"/>
      <c r="AV4" s="95"/>
      <c r="AW4" s="96"/>
      <c r="AX4">
        <v>1000</v>
      </c>
      <c r="AY4">
        <v>1000</v>
      </c>
    </row>
    <row r="5" spans="1:51" x14ac:dyDescent="0.2">
      <c r="A5" t="s">
        <v>115</v>
      </c>
      <c r="B5" s="39">
        <v>1000</v>
      </c>
      <c r="C5" s="40">
        <v>1000</v>
      </c>
      <c r="D5" s="39">
        <v>997.86321002047077</v>
      </c>
      <c r="E5" s="40">
        <v>1024.666536533915</v>
      </c>
      <c r="F5" s="39">
        <v>995.6596003568568</v>
      </c>
      <c r="G5" s="40">
        <v>1051.5116882319317</v>
      </c>
      <c r="H5" s="39">
        <v>993.37060670671906</v>
      </c>
      <c r="I5" s="40">
        <v>1080.7766411941991</v>
      </c>
      <c r="J5" s="39">
        <v>990.97665297543483</v>
      </c>
      <c r="K5" s="40">
        <v>1112.7179485364607</v>
      </c>
      <c r="L5" s="39">
        <v>988.45771566368228</v>
      </c>
      <c r="M5" s="40">
        <v>1147.6054031354206</v>
      </c>
      <c r="N5" s="39">
        <v>985.794189415961</v>
      </c>
      <c r="O5" s="40">
        <v>1185.7126092739638</v>
      </c>
      <c r="P5" s="39">
        <v>982.96907232418459</v>
      </c>
      <c r="Q5" s="40">
        <v>1227.3074885754279</v>
      </c>
      <c r="R5" s="39">
        <v>979.9714574626712</v>
      </c>
      <c r="S5" s="40">
        <v>1272.6254635199716</v>
      </c>
      <c r="T5" s="39">
        <v>976.80265364369905</v>
      </c>
      <c r="U5" s="40">
        <v>1321.8328260741748</v>
      </c>
      <c r="V5" s="39">
        <v>973.48663921103594</v>
      </c>
      <c r="W5" s="40">
        <v>1374.9501510122327</v>
      </c>
      <c r="X5" s="39">
        <v>970.08751804110909</v>
      </c>
      <c r="Y5" s="40">
        <v>1431.714846110403</v>
      </c>
      <c r="Z5" s="39">
        <v>966.73746965584849</v>
      </c>
      <c r="AA5" s="40">
        <v>1491.3289276005162</v>
      </c>
      <c r="AB5" s="39">
        <v>963.67544792325191</v>
      </c>
      <c r="AC5" s="40">
        <v>1552.029636546644</v>
      </c>
      <c r="AD5" s="39">
        <v>961.27638519086577</v>
      </c>
      <c r="AE5" s="40">
        <v>1610.5076072049692</v>
      </c>
      <c r="AF5" s="39">
        <v>959.9876155532487</v>
      </c>
      <c r="AG5" s="40">
        <v>1661.6930044421215</v>
      </c>
      <c r="AH5" s="39">
        <v>960.03890296586599</v>
      </c>
      <c r="AI5" s="40">
        <v>1700.2962622624982</v>
      </c>
      <c r="AJ5" s="39">
        <v>961.0691638760286</v>
      </c>
      <c r="AK5" s="40">
        <v>1724.3479437642238</v>
      </c>
      <c r="AL5" s="39"/>
      <c r="AM5" s="40"/>
      <c r="AN5" s="39"/>
      <c r="AO5" s="40"/>
      <c r="AP5" s="39"/>
      <c r="AQ5" s="40"/>
      <c r="AR5" s="39"/>
      <c r="AS5" s="40"/>
      <c r="AT5" s="39"/>
      <c r="AU5" s="40"/>
      <c r="AV5" s="39"/>
      <c r="AW5" s="40"/>
      <c r="AX5">
        <v>1000</v>
      </c>
      <c r="AY5">
        <v>1000</v>
      </c>
    </row>
    <row r="6" spans="1:51" x14ac:dyDescent="0.2">
      <c r="A6" t="s">
        <v>77</v>
      </c>
      <c r="B6" s="39">
        <v>999.99999999999943</v>
      </c>
      <c r="C6" s="40">
        <v>999.99999999999909</v>
      </c>
      <c r="D6" s="39">
        <v>997.70014297329249</v>
      </c>
      <c r="E6" s="40">
        <v>1030.6776832922249</v>
      </c>
      <c r="F6" s="39">
        <v>995.32915385747469</v>
      </c>
      <c r="G6" s="40">
        <v>1064.9206906208749</v>
      </c>
      <c r="H6" s="39">
        <v>992.86714130298014</v>
      </c>
      <c r="I6" s="40">
        <v>1103.3739381595174</v>
      </c>
      <c r="J6" s="39">
        <v>990.29315693396074</v>
      </c>
      <c r="K6" s="40">
        <v>1146.840515301745</v>
      </c>
      <c r="L6" s="39">
        <v>987.58580635038118</v>
      </c>
      <c r="M6" s="40">
        <v>1196.3372759010956</v>
      </c>
      <c r="N6" s="39">
        <v>984.72418559599248</v>
      </c>
      <c r="O6" s="40">
        <v>1253.18646446042</v>
      </c>
      <c r="P6" s="39">
        <v>981.69022856288871</v>
      </c>
      <c r="Q6" s="40">
        <v>1319.1424003998077</v>
      </c>
      <c r="R6" s="39">
        <v>978.47245391149215</v>
      </c>
      <c r="S6" s="40">
        <v>1396.6048582535127</v>
      </c>
      <c r="T6" s="39">
        <v>975.07251887616758</v>
      </c>
      <c r="U6" s="40">
        <v>1488.9652915395238</v>
      </c>
      <c r="V6" s="39">
        <v>971.51639696438292</v>
      </c>
      <c r="W6" s="40">
        <v>1601.1939641773215</v>
      </c>
      <c r="X6" s="39">
        <v>967.87301872426531</v>
      </c>
      <c r="Y6" s="40">
        <v>1740.8669476962373</v>
      </c>
      <c r="Z6" s="39">
        <v>964.28408866086318</v>
      </c>
      <c r="AA6" s="40">
        <v>1919.9897096928958</v>
      </c>
      <c r="AB6" s="39">
        <v>961.0053279535615</v>
      </c>
      <c r="AC6" s="40">
        <v>2158.1987838742521</v>
      </c>
      <c r="AD6" s="39">
        <v>958.43752233676889</v>
      </c>
      <c r="AE6" s="40">
        <v>2487.847882355703</v>
      </c>
      <c r="AF6" s="39">
        <v>957.05849080459097</v>
      </c>
      <c r="AG6" s="40">
        <v>2959.576559542113</v>
      </c>
      <c r="AH6" s="39">
        <v>957.1133666293124</v>
      </c>
      <c r="AI6" s="40">
        <v>3639.8384459444947</v>
      </c>
      <c r="AJ6" s="39">
        <v>958.21576978093719</v>
      </c>
      <c r="AK6" s="40">
        <v>4578.7349164729339</v>
      </c>
      <c r="AL6" s="39"/>
      <c r="AM6" s="40"/>
      <c r="AN6" s="39"/>
      <c r="AO6" s="40"/>
      <c r="AP6" s="39"/>
      <c r="AQ6" s="40"/>
      <c r="AR6" s="39"/>
      <c r="AS6" s="40"/>
      <c r="AT6" s="39"/>
      <c r="AU6" s="40"/>
      <c r="AV6" s="39"/>
      <c r="AW6" s="40"/>
      <c r="AX6">
        <v>999.99999999999943</v>
      </c>
      <c r="AY6">
        <v>999.99999999999909</v>
      </c>
    </row>
    <row r="7" spans="1:51" x14ac:dyDescent="0.2">
      <c r="A7" t="s">
        <v>13</v>
      </c>
      <c r="B7" s="31">
        <v>1015.9116825427475</v>
      </c>
      <c r="C7" s="32">
        <v>1015.9116825427475</v>
      </c>
      <c r="D7" s="31">
        <v>1013.7408926394035</v>
      </c>
      <c r="E7" s="32">
        <v>1013.7408926394035</v>
      </c>
      <c r="F7" s="31">
        <v>1011.5022198383739</v>
      </c>
      <c r="G7" s="32">
        <v>1011.5022198383739</v>
      </c>
      <c r="H7" s="31">
        <v>1009.1768044479328</v>
      </c>
      <c r="I7" s="32">
        <v>1009.1768044479328</v>
      </c>
      <c r="J7" s="31">
        <v>1006.7447588848544</v>
      </c>
      <c r="K7" s="32">
        <v>1006.7447588848544</v>
      </c>
      <c r="L7" s="31">
        <v>1004.1857410422521</v>
      </c>
      <c r="M7" s="32">
        <v>1004.1857410422521</v>
      </c>
      <c r="N7" s="31">
        <v>1001.4798336104328</v>
      </c>
      <c r="O7" s="32">
        <v>1001.4798336104328</v>
      </c>
      <c r="P7" s="31">
        <v>998.60976415234597</v>
      </c>
      <c r="Q7" s="32">
        <v>998.60976415234597</v>
      </c>
      <c r="R7" s="31">
        <v>995.56445219477075</v>
      </c>
      <c r="S7" s="32">
        <v>995.56445219477075</v>
      </c>
      <c r="T7" s="31">
        <v>992.34522737539089</v>
      </c>
      <c r="U7" s="32">
        <v>992.34522737539089</v>
      </c>
      <c r="V7" s="31">
        <v>988.97644957376804</v>
      </c>
      <c r="W7" s="32">
        <v>988.97644957376804</v>
      </c>
      <c r="X7" s="31">
        <v>985.52324266686105</v>
      </c>
      <c r="Y7" s="32">
        <v>985.52324266686105</v>
      </c>
      <c r="Z7" s="31">
        <v>982.11988937519129</v>
      </c>
      <c r="AA7" s="32">
        <v>982.11988937519129</v>
      </c>
      <c r="AB7" s="31">
        <v>979.00914572484669</v>
      </c>
      <c r="AC7" s="32">
        <v>979.00914572484669</v>
      </c>
      <c r="AD7" s="31">
        <v>976.57190986786259</v>
      </c>
      <c r="AE7" s="32">
        <v>976.57190986786259</v>
      </c>
      <c r="AF7" s="31">
        <v>975.26263373690108</v>
      </c>
      <c r="AG7" s="32">
        <v>975.26263373690108</v>
      </c>
      <c r="AH7" s="31">
        <v>975.31473721854638</v>
      </c>
      <c r="AI7" s="32">
        <v>975.31473721854638</v>
      </c>
      <c r="AJ7" s="31">
        <v>976.36139131324774</v>
      </c>
      <c r="AK7" s="32">
        <v>976.36139131324774</v>
      </c>
      <c r="AL7" s="31"/>
      <c r="AM7" s="32"/>
      <c r="AN7" s="31"/>
      <c r="AO7" s="32"/>
      <c r="AP7" s="31"/>
      <c r="AQ7" s="32"/>
      <c r="AR7" s="31"/>
      <c r="AS7" s="32"/>
      <c r="AT7" s="31"/>
      <c r="AU7" s="32"/>
      <c r="AV7" s="31"/>
      <c r="AW7" s="32"/>
      <c r="AX7">
        <v>1015.9116825427475</v>
      </c>
      <c r="AY7">
        <v>1015.9116825427475</v>
      </c>
    </row>
    <row r="8" spans="1:51" x14ac:dyDescent="0.2">
      <c r="B8" s="33">
        <v>1005.7716594496609</v>
      </c>
      <c r="C8" s="34">
        <v>1005.7716594496609</v>
      </c>
      <c r="D8" s="33">
        <v>1098.119887900504</v>
      </c>
      <c r="E8" s="34">
        <v>1098.119887900504</v>
      </c>
      <c r="F8" s="33">
        <v>1203.0016555766499</v>
      </c>
      <c r="G8" s="34">
        <v>1203.0016555766499</v>
      </c>
      <c r="H8" s="33">
        <v>1322.8512988517905</v>
      </c>
      <c r="I8" s="34">
        <v>1322.8512988517905</v>
      </c>
      <c r="J8" s="33">
        <v>1460.7270686394718</v>
      </c>
      <c r="K8" s="34">
        <v>1460.7270686394718</v>
      </c>
      <c r="L8" s="33">
        <v>1620.532237053716</v>
      </c>
      <c r="M8" s="34">
        <v>1620.532237053716</v>
      </c>
      <c r="N8" s="33">
        <v>1807.3586937234588</v>
      </c>
      <c r="O8" s="34">
        <v>1807.3586937234588</v>
      </c>
      <c r="P8" s="33">
        <v>2027.9935386862594</v>
      </c>
      <c r="Q8" s="34">
        <v>2027.9935386862594</v>
      </c>
      <c r="R8" s="33">
        <v>2291.7438802709812</v>
      </c>
      <c r="S8" s="34">
        <v>2291.7438802709812</v>
      </c>
      <c r="T8" s="33">
        <v>2611.7954632829146</v>
      </c>
      <c r="U8" s="34">
        <v>2611.7954632829146</v>
      </c>
      <c r="V8" s="33">
        <v>3007.5277456327372</v>
      </c>
      <c r="W8" s="34">
        <v>3007.5277456327372</v>
      </c>
      <c r="X8" s="33">
        <v>3508.6009860282834</v>
      </c>
      <c r="Y8" s="34">
        <v>3508.6009860282834</v>
      </c>
      <c r="Z8" s="33">
        <v>4162.3043462163905</v>
      </c>
      <c r="AA8" s="34">
        <v>4162.3043462163905</v>
      </c>
      <c r="AB8" s="33">
        <v>5046.677329788984</v>
      </c>
      <c r="AC8" s="34">
        <v>5046.677329788984</v>
      </c>
      <c r="AD8" s="33">
        <v>6291.9128247479803</v>
      </c>
      <c r="AE8" s="34">
        <v>6291.9128247479803</v>
      </c>
      <c r="AF8" s="33">
        <v>8105.2255366290929</v>
      </c>
      <c r="AG8" s="34">
        <v>8105.2255366290929</v>
      </c>
      <c r="AH8" s="33">
        <v>10764.460487538419</v>
      </c>
      <c r="AI8" s="34">
        <v>10764.460487538419</v>
      </c>
      <c r="AJ8" s="33">
        <v>14486.965248016408</v>
      </c>
      <c r="AK8" s="34">
        <v>14486.965248016408</v>
      </c>
      <c r="AL8" s="33"/>
      <c r="AM8" s="34"/>
      <c r="AN8" s="33"/>
      <c r="AO8" s="34"/>
      <c r="AP8" s="33"/>
      <c r="AQ8" s="34"/>
      <c r="AR8" s="33"/>
      <c r="AS8" s="34"/>
      <c r="AT8" s="33"/>
      <c r="AU8" s="34"/>
      <c r="AV8" s="33"/>
      <c r="AW8" s="34"/>
      <c r="AX8">
        <v>1005.7716594496609</v>
      </c>
      <c r="AY8">
        <v>1005.7716594496609</v>
      </c>
    </row>
    <row r="9" spans="1:51" x14ac:dyDescent="0.2">
      <c r="A9" t="s">
        <v>14</v>
      </c>
      <c r="B9" s="39">
        <v>1015.9116825427475</v>
      </c>
      <c r="C9" s="40">
        <v>1005.7716594496609</v>
      </c>
      <c r="D9" s="39">
        <v>1013.7408926394035</v>
      </c>
      <c r="E9" s="40">
        <v>1098.119887900504</v>
      </c>
      <c r="F9" s="39">
        <v>1011.5022198383739</v>
      </c>
      <c r="G9" s="40">
        <v>1203.0016555766499</v>
      </c>
      <c r="H9" s="39">
        <v>1009.1768044479328</v>
      </c>
      <c r="I9" s="40">
        <v>1322.8512988517905</v>
      </c>
      <c r="J9" s="39">
        <v>1006.7447588848544</v>
      </c>
      <c r="K9" s="40">
        <v>1460.7270686394718</v>
      </c>
      <c r="L9" s="39">
        <v>1004.1857410422521</v>
      </c>
      <c r="M9" s="40">
        <v>1620.532237053716</v>
      </c>
      <c r="N9" s="39">
        <v>1001.4798336104328</v>
      </c>
      <c r="O9" s="40">
        <v>1807.3586937234588</v>
      </c>
      <c r="P9" s="39">
        <v>998.60976415234597</v>
      </c>
      <c r="Q9" s="40">
        <v>2027.9935386862594</v>
      </c>
      <c r="R9" s="39">
        <v>995.56445219477075</v>
      </c>
      <c r="S9" s="40">
        <v>2291.7438802709812</v>
      </c>
      <c r="T9" s="39">
        <v>992.34522737539089</v>
      </c>
      <c r="U9" s="40">
        <v>2611.7954632829146</v>
      </c>
      <c r="V9" s="39">
        <v>988.97644957376804</v>
      </c>
      <c r="W9" s="40">
        <v>3007.5277456327372</v>
      </c>
      <c r="X9" s="39">
        <v>985.52324266686105</v>
      </c>
      <c r="Y9" s="40">
        <v>3508.6009860282834</v>
      </c>
      <c r="Z9" s="39">
        <v>982.11988937519129</v>
      </c>
      <c r="AA9" s="40">
        <v>4162.3043462163905</v>
      </c>
      <c r="AB9" s="39">
        <v>979.00914572484669</v>
      </c>
      <c r="AC9" s="40">
        <v>5046.677329788984</v>
      </c>
      <c r="AD9" s="39">
        <v>976.57190986786259</v>
      </c>
      <c r="AE9" s="40">
        <v>6291.9128247479803</v>
      </c>
      <c r="AF9" s="39">
        <v>975.26263373690108</v>
      </c>
      <c r="AG9" s="40">
        <v>8105.2255366290929</v>
      </c>
      <c r="AH9" s="39">
        <v>975.31473721854638</v>
      </c>
      <c r="AI9" s="40">
        <v>10764.460487538419</v>
      </c>
      <c r="AJ9" s="39">
        <v>976.36139131324774</v>
      </c>
      <c r="AK9" s="40">
        <v>14486.965248016408</v>
      </c>
      <c r="AL9" s="39"/>
      <c r="AM9" s="40"/>
      <c r="AN9" s="39"/>
      <c r="AO9" s="40"/>
      <c r="AP9" s="39"/>
      <c r="AQ9" s="40"/>
      <c r="AR9" s="39"/>
      <c r="AS9" s="40"/>
      <c r="AT9" s="39"/>
      <c r="AU9" s="40"/>
      <c r="AV9" s="39"/>
      <c r="AW9" s="40"/>
      <c r="AX9">
        <v>1015.9116825427475</v>
      </c>
      <c r="AY9">
        <v>1005.7716594496609</v>
      </c>
    </row>
    <row r="10" spans="1:51" x14ac:dyDescent="0.2">
      <c r="A10" t="s">
        <v>15</v>
      </c>
      <c r="B10" s="39">
        <v>1015.9116825427475</v>
      </c>
      <c r="C10" s="40">
        <v>1005.7716594496609</v>
      </c>
      <c r="D10" s="39">
        <v>1013.7408926394035</v>
      </c>
      <c r="E10" s="40">
        <v>1098.119887900504</v>
      </c>
      <c r="F10" s="39">
        <v>1011.5022198383739</v>
      </c>
      <c r="G10" s="40">
        <v>1203.0016555766499</v>
      </c>
      <c r="H10" s="39">
        <v>1009.1768044479328</v>
      </c>
      <c r="I10" s="40">
        <v>1322.8512988517905</v>
      </c>
      <c r="J10" s="39">
        <v>1006.7447588848544</v>
      </c>
      <c r="K10" s="40">
        <v>1460.7270686394718</v>
      </c>
      <c r="L10" s="39">
        <v>1004.1857410422521</v>
      </c>
      <c r="M10" s="40">
        <v>1620.532237053716</v>
      </c>
      <c r="N10" s="39">
        <v>1001.4798336104328</v>
      </c>
      <c r="O10" s="40">
        <v>1807.3586937234588</v>
      </c>
      <c r="P10" s="39">
        <v>998.60976415234597</v>
      </c>
      <c r="Q10" s="40">
        <v>2027.9935386862594</v>
      </c>
      <c r="R10" s="39">
        <v>995.56445219477075</v>
      </c>
      <c r="S10" s="40">
        <v>2291.7438802709812</v>
      </c>
      <c r="T10" s="39">
        <v>992.34522737539089</v>
      </c>
      <c r="U10" s="40">
        <v>2611.7954632829146</v>
      </c>
      <c r="V10" s="39">
        <v>988.97644957376804</v>
      </c>
      <c r="W10" s="40">
        <v>3007.5277456327372</v>
      </c>
      <c r="X10" s="39">
        <v>985.52324266686105</v>
      </c>
      <c r="Y10" s="40">
        <v>3508.6009860282834</v>
      </c>
      <c r="Z10" s="39">
        <v>982.11988937519129</v>
      </c>
      <c r="AA10" s="40">
        <v>4162.3043462163905</v>
      </c>
      <c r="AB10" s="39">
        <v>979.00914572484669</v>
      </c>
      <c r="AC10" s="40">
        <v>5046.677329788984</v>
      </c>
      <c r="AD10" s="39">
        <v>976.57190986786259</v>
      </c>
      <c r="AE10" s="40">
        <v>6291.9128247479803</v>
      </c>
      <c r="AF10" s="39">
        <v>975.26263373690108</v>
      </c>
      <c r="AG10" s="40">
        <v>8105.2255366290929</v>
      </c>
      <c r="AH10" s="39">
        <v>975.31473721854638</v>
      </c>
      <c r="AI10" s="40">
        <v>10764.460487538419</v>
      </c>
      <c r="AJ10" s="39">
        <v>976.36139131324774</v>
      </c>
      <c r="AK10" s="40">
        <v>14486.965248016408</v>
      </c>
      <c r="AL10" s="39"/>
      <c r="AM10" s="40"/>
      <c r="AN10" s="39"/>
      <c r="AO10" s="40"/>
      <c r="AP10" s="39"/>
      <c r="AQ10" s="40"/>
      <c r="AR10" s="39"/>
      <c r="AS10" s="40"/>
      <c r="AT10" s="39"/>
      <c r="AU10" s="40"/>
      <c r="AV10" s="39"/>
      <c r="AW10" s="40"/>
      <c r="AX10">
        <v>1015.9116825427475</v>
      </c>
      <c r="AY10">
        <v>1005.7716594496609</v>
      </c>
    </row>
    <row r="11" spans="1:51" x14ac:dyDescent="0.2">
      <c r="A11" t="s">
        <v>29</v>
      </c>
      <c r="B11" s="39">
        <v>1015.9116825427475</v>
      </c>
      <c r="C11" s="40">
        <v>1005.7716594496609</v>
      </c>
      <c r="D11" s="39">
        <v>1013.7408926394035</v>
      </c>
      <c r="E11" s="40">
        <v>1098.119887900504</v>
      </c>
      <c r="F11" s="39">
        <v>1011.5022198383739</v>
      </c>
      <c r="G11" s="40">
        <v>1203.0016555766499</v>
      </c>
      <c r="H11" s="39">
        <v>1009.1768044479328</v>
      </c>
      <c r="I11" s="40">
        <v>1322.8512988517905</v>
      </c>
      <c r="J11" s="39">
        <v>1006.7447588848544</v>
      </c>
      <c r="K11" s="40">
        <v>1460.7270686394718</v>
      </c>
      <c r="L11" s="39">
        <v>1004.1857410422521</v>
      </c>
      <c r="M11" s="40">
        <v>1620.532237053716</v>
      </c>
      <c r="N11" s="39">
        <v>1001.4798336104328</v>
      </c>
      <c r="O11" s="40">
        <v>1807.3586937234588</v>
      </c>
      <c r="P11" s="39">
        <v>998.60976415234597</v>
      </c>
      <c r="Q11" s="40">
        <v>2027.9935386862594</v>
      </c>
      <c r="R11" s="39">
        <v>995.56445219477075</v>
      </c>
      <c r="S11" s="40">
        <v>2291.7438802709812</v>
      </c>
      <c r="T11" s="39">
        <v>992.34522737539089</v>
      </c>
      <c r="U11" s="40">
        <v>2611.7954632829146</v>
      </c>
      <c r="V11" s="39">
        <v>988.97644957376804</v>
      </c>
      <c r="W11" s="40">
        <v>3007.5277456327372</v>
      </c>
      <c r="X11" s="39">
        <v>985.52324266686105</v>
      </c>
      <c r="Y11" s="40">
        <v>3508.6009860282834</v>
      </c>
      <c r="Z11" s="39">
        <v>982.11988937519129</v>
      </c>
      <c r="AA11" s="40">
        <v>4162.3043462163905</v>
      </c>
      <c r="AB11" s="39">
        <v>979.00914572484669</v>
      </c>
      <c r="AC11" s="40">
        <v>5046.677329788984</v>
      </c>
      <c r="AD11" s="39">
        <v>976.57190986786259</v>
      </c>
      <c r="AE11" s="40">
        <v>6291.9128247479803</v>
      </c>
      <c r="AF11" s="39">
        <v>975.26263373690108</v>
      </c>
      <c r="AG11" s="40">
        <v>8105.2255366290929</v>
      </c>
      <c r="AH11" s="39">
        <v>975.31473721854638</v>
      </c>
      <c r="AI11" s="40">
        <v>10764.460487538419</v>
      </c>
      <c r="AJ11" s="39">
        <v>976.36139131324774</v>
      </c>
      <c r="AK11" s="40">
        <v>14486.965248016408</v>
      </c>
      <c r="AL11" s="39"/>
      <c r="AM11" s="40"/>
      <c r="AN11" s="39"/>
      <c r="AO11" s="40"/>
      <c r="AP11" s="39"/>
      <c r="AQ11" s="40"/>
      <c r="AR11" s="39"/>
      <c r="AS11" s="40"/>
      <c r="AT11" s="39"/>
      <c r="AU11" s="40"/>
      <c r="AV11" s="39"/>
      <c r="AW11" s="40"/>
      <c r="AX11">
        <v>1015.9116825427475</v>
      </c>
      <c r="AY11">
        <v>1005.7716594496609</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c r="AM12" s="40"/>
      <c r="AN12" s="39"/>
      <c r="AO12" s="40"/>
      <c r="AP12" s="39"/>
      <c r="AQ12" s="40"/>
      <c r="AR12" s="39"/>
      <c r="AS12" s="40"/>
      <c r="AT12" s="39"/>
      <c r="AU12" s="40"/>
      <c r="AV12" s="39"/>
      <c r="AW12" s="40"/>
      <c r="AX12">
        <v>1000</v>
      </c>
      <c r="AY12">
        <v>1000</v>
      </c>
    </row>
    <row r="13" spans="1:51" x14ac:dyDescent="0.2">
      <c r="A13" t="s">
        <v>17</v>
      </c>
      <c r="B13" s="93">
        <v>1000</v>
      </c>
      <c r="C13" s="94">
        <v>1000</v>
      </c>
      <c r="D13" s="93">
        <v>1002.9129593444912</v>
      </c>
      <c r="E13" s="94">
        <v>1002.9129593444912</v>
      </c>
      <c r="F13" s="93">
        <v>1006.2930402537008</v>
      </c>
      <c r="G13" s="94">
        <v>1006.2930402537008</v>
      </c>
      <c r="H13" s="93">
        <v>1010.2198152341003</v>
      </c>
      <c r="I13" s="94">
        <v>1010.2198152341003</v>
      </c>
      <c r="J13" s="93">
        <v>1014.7954265843827</v>
      </c>
      <c r="K13" s="94">
        <v>1014.7954265843827</v>
      </c>
      <c r="L13" s="93">
        <v>1020.1532124328099</v>
      </c>
      <c r="M13" s="94">
        <v>1020.1532124328099</v>
      </c>
      <c r="N13" s="93">
        <v>1026.4716330028634</v>
      </c>
      <c r="O13" s="94">
        <v>1026.4716330028634</v>
      </c>
      <c r="P13" s="93">
        <v>1033.9946761776366</v>
      </c>
      <c r="Q13" s="94">
        <v>1033.9946761776366</v>
      </c>
      <c r="R13" s="93">
        <v>1043.0656056983078</v>
      </c>
      <c r="S13" s="94">
        <v>1043.0656056983078</v>
      </c>
      <c r="T13" s="93">
        <v>1054.1820031357581</v>
      </c>
      <c r="U13" s="94">
        <v>1054.1820031357581</v>
      </c>
      <c r="V13" s="93">
        <v>1068.0886369689167</v>
      </c>
      <c r="W13" s="94">
        <v>1068.0886369689167</v>
      </c>
      <c r="X13" s="93">
        <v>1085.937820881438</v>
      </c>
      <c r="Y13" s="94">
        <v>1085.937820881438</v>
      </c>
      <c r="Z13" s="93">
        <v>1109.5679638394538</v>
      </c>
      <c r="AA13" s="94">
        <v>1109.5679638394538</v>
      </c>
      <c r="AB13" s="93">
        <v>1141.9727737846613</v>
      </c>
      <c r="AC13" s="94">
        <v>1141.9727737846613</v>
      </c>
      <c r="AD13" s="93">
        <v>1187.9839467577472</v>
      </c>
      <c r="AE13" s="94">
        <v>1187.9839467577472</v>
      </c>
      <c r="AF13" s="93">
        <v>1254.8148027884072</v>
      </c>
      <c r="AG13" s="94">
        <v>1254.8148027884072</v>
      </c>
      <c r="AH13" s="93">
        <v>1351.026598803533</v>
      </c>
      <c r="AI13" s="94">
        <v>1351.026598803533</v>
      </c>
      <c r="AJ13" s="93">
        <v>1481.1821276760088</v>
      </c>
      <c r="AK13" s="94">
        <v>1481.1821276760088</v>
      </c>
      <c r="AL13" s="93"/>
      <c r="AM13" s="94"/>
      <c r="AN13" s="93"/>
      <c r="AO13" s="94"/>
      <c r="AP13" s="93"/>
      <c r="AQ13" s="94"/>
      <c r="AR13" s="93"/>
      <c r="AS13" s="94"/>
      <c r="AT13" s="93"/>
      <c r="AU13" s="94"/>
      <c r="AV13" s="93"/>
      <c r="AW13" s="94"/>
      <c r="AX13">
        <v>1000</v>
      </c>
      <c r="AY13">
        <v>1000</v>
      </c>
    </row>
    <row r="14" spans="1:51" x14ac:dyDescent="0.2">
      <c r="A14" t="s">
        <v>36</v>
      </c>
      <c r="B14" s="39">
        <v>1457.0034251455234</v>
      </c>
      <c r="C14" s="40">
        <v>1457.0034251455236</v>
      </c>
      <c r="D14" s="39">
        <v>1461.2476168877567</v>
      </c>
      <c r="E14" s="40">
        <v>1461.247616887757</v>
      </c>
      <c r="F14" s="39">
        <v>1466.1724063497441</v>
      </c>
      <c r="G14" s="40">
        <v>1466.1724063497443</v>
      </c>
      <c r="H14" s="39">
        <v>1471.8937309459618</v>
      </c>
      <c r="I14" s="40">
        <v>1471.893730945962</v>
      </c>
      <c r="J14" s="39">
        <v>1478.5604123554579</v>
      </c>
      <c r="K14" s="40">
        <v>1478.5604123554581</v>
      </c>
      <c r="L14" s="39">
        <v>1486.3667246878126</v>
      </c>
      <c r="M14" s="40">
        <v>1486.3667246878128</v>
      </c>
      <c r="N14" s="39">
        <v>1495.5726850998906</v>
      </c>
      <c r="O14" s="40">
        <v>1495.5726850998908</v>
      </c>
      <c r="P14" s="39">
        <v>1506.5337847730527</v>
      </c>
      <c r="Q14" s="40">
        <v>1506.533784773053</v>
      </c>
      <c r="R14" s="39">
        <v>1519.7501601539243</v>
      </c>
      <c r="S14" s="40">
        <v>1519.7501601539245</v>
      </c>
      <c r="T14" s="39">
        <v>1535.9467892955684</v>
      </c>
      <c r="U14" s="40">
        <v>1535.9467892955686</v>
      </c>
      <c r="V14" s="39">
        <v>1556.2088024227251</v>
      </c>
      <c r="W14" s="40">
        <v>1556.2088024227253</v>
      </c>
      <c r="X14" s="39">
        <v>1582.2151245193209</v>
      </c>
      <c r="Y14" s="40">
        <v>1582.2151245193213</v>
      </c>
      <c r="Z14" s="39">
        <v>1616.6443237458284</v>
      </c>
      <c r="AA14" s="40">
        <v>1616.6443237458286</v>
      </c>
      <c r="AB14" s="39">
        <v>1663.8582428271852</v>
      </c>
      <c r="AC14" s="40">
        <v>1663.8582428271857</v>
      </c>
      <c r="AD14" s="39">
        <v>1730.8966794439345</v>
      </c>
      <c r="AE14" s="40">
        <v>1730.8966794439348</v>
      </c>
      <c r="AF14" s="39">
        <v>1828.2694655860137</v>
      </c>
      <c r="AG14" s="40">
        <v>1828.2694655860139</v>
      </c>
      <c r="AH14" s="39">
        <v>1968.4503819194545</v>
      </c>
      <c r="AI14" s="40">
        <v>1968.4503819194547</v>
      </c>
      <c r="AJ14" s="39">
        <v>2158.0874332882786</v>
      </c>
      <c r="AK14" s="40">
        <v>2158.087433288279</v>
      </c>
      <c r="AL14" s="39"/>
      <c r="AM14" s="40"/>
      <c r="AN14" s="39"/>
      <c r="AO14" s="40"/>
      <c r="AP14" s="39"/>
      <c r="AQ14" s="40"/>
      <c r="AR14" s="39"/>
      <c r="AS14" s="40"/>
      <c r="AT14" s="39"/>
      <c r="AU14" s="40"/>
      <c r="AV14" s="39"/>
      <c r="AW14" s="40"/>
      <c r="AX14">
        <v>1457.0034251455234</v>
      </c>
      <c r="AY14">
        <v>1457.0034251455236</v>
      </c>
    </row>
    <row r="15" spans="1:51" x14ac:dyDescent="0.2">
      <c r="A15" t="s">
        <v>18</v>
      </c>
      <c r="B15" s="144">
        <v>1000</v>
      </c>
      <c r="C15" s="145">
        <v>1000</v>
      </c>
      <c r="D15" s="144">
        <v>983.79067886607413</v>
      </c>
      <c r="E15" s="145">
        <v>983.79067886607413</v>
      </c>
      <c r="F15" s="144">
        <v>965.92034338060341</v>
      </c>
      <c r="G15" s="145">
        <v>965.92034338060341</v>
      </c>
      <c r="H15" s="144">
        <v>946.22582825110567</v>
      </c>
      <c r="I15" s="145">
        <v>946.22582825110567</v>
      </c>
      <c r="J15" s="144">
        <v>924.50448244327697</v>
      </c>
      <c r="K15" s="145">
        <v>924.50448244327697</v>
      </c>
      <c r="L15" s="144">
        <v>900.50401501139504</v>
      </c>
      <c r="M15" s="145">
        <v>900.50401501139504</v>
      </c>
      <c r="N15" s="144">
        <v>873.90548131967</v>
      </c>
      <c r="O15" s="145">
        <v>873.90548131967</v>
      </c>
      <c r="P15" s="144">
        <v>844.29955076021986</v>
      </c>
      <c r="Q15" s="145">
        <v>844.29955076021986</v>
      </c>
      <c r="R15" s="144">
        <v>811.14700761679467</v>
      </c>
      <c r="S15" s="145">
        <v>811.14700761679467</v>
      </c>
      <c r="T15" s="144">
        <v>773.71561689504949</v>
      </c>
      <c r="U15" s="145">
        <v>773.71561689504949</v>
      </c>
      <c r="V15" s="144">
        <v>730.97904631975723</v>
      </c>
      <c r="W15" s="145">
        <v>730.97904631975723</v>
      </c>
      <c r="X15" s="144">
        <v>681.4547031999</v>
      </c>
      <c r="Y15" s="145">
        <v>681.4547031999</v>
      </c>
      <c r="Z15" s="144">
        <v>622.95768907688876</v>
      </c>
      <c r="AA15" s="145">
        <v>622.95768907688876</v>
      </c>
      <c r="AB15" s="144">
        <v>552.28875604618611</v>
      </c>
      <c r="AC15" s="145">
        <v>552.28875604618611</v>
      </c>
      <c r="AD15" s="144">
        <v>465.10649929188793</v>
      </c>
      <c r="AE15" s="145">
        <v>465.10649929188793</v>
      </c>
      <c r="AF15" s="144">
        <v>356.99885440294025</v>
      </c>
      <c r="AG15" s="145">
        <v>356.99885440294025</v>
      </c>
      <c r="AH15" s="144">
        <v>228.05621925545262</v>
      </c>
      <c r="AI15" s="145">
        <v>228.05621925545262</v>
      </c>
      <c r="AJ15" s="144">
        <v>92.423728552097387</v>
      </c>
      <c r="AK15" s="145">
        <v>92.423728552097387</v>
      </c>
      <c r="AL15" s="144"/>
      <c r="AM15" s="145"/>
      <c r="AN15" s="144"/>
      <c r="AO15" s="145"/>
      <c r="AP15" s="144"/>
      <c r="AQ15" s="145"/>
      <c r="AR15" s="144"/>
      <c r="AS15" s="145"/>
      <c r="AT15" s="144"/>
      <c r="AU15" s="145"/>
      <c r="AV15" s="144"/>
      <c r="AW15" s="145"/>
      <c r="AX15">
        <v>1000</v>
      </c>
      <c r="AY15">
        <v>1000</v>
      </c>
    </row>
    <row r="16" spans="1:51" s="27" customFormat="1" x14ac:dyDescent="0.2">
      <c r="A16" t="s">
        <v>61</v>
      </c>
      <c r="B16" s="39">
        <v>1000</v>
      </c>
      <c r="C16" s="40">
        <v>1000</v>
      </c>
      <c r="D16" s="39">
        <v>994.06911933122694</v>
      </c>
      <c r="E16" s="40">
        <v>989.2993728819107</v>
      </c>
      <c r="F16" s="39">
        <v>987.76011090361976</v>
      </c>
      <c r="G16" s="40">
        <v>977.63322743389563</v>
      </c>
      <c r="H16" s="39">
        <v>981.01095813561517</v>
      </c>
      <c r="I16" s="40">
        <v>964.88834320532385</v>
      </c>
      <c r="J16" s="39">
        <v>973.75022600716511</v>
      </c>
      <c r="K16" s="40">
        <v>950.92823151697235</v>
      </c>
      <c r="L16" s="39">
        <v>965.89475317217114</v>
      </c>
      <c r="M16" s="40">
        <v>935.58777905518696</v>
      </c>
      <c r="N16" s="39">
        <v>957.34597523068862</v>
      </c>
      <c r="O16" s="40">
        <v>918.6628180982699</v>
      </c>
      <c r="P16" s="39">
        <v>947.9855836580507</v>
      </c>
      <c r="Q16" s="40">
        <v>899.89758091063493</v>
      </c>
      <c r="R16" s="39">
        <v>937.66850683109874</v>
      </c>
      <c r="S16" s="40">
        <v>878.9621278596918</v>
      </c>
      <c r="T16" s="39">
        <v>926.21219816425617</v>
      </c>
      <c r="U16" s="40">
        <v>855.41858072927312</v>
      </c>
      <c r="V16" s="39">
        <v>913.37999125318311</v>
      </c>
      <c r="W16" s="40">
        <v>828.66580979258094</v>
      </c>
      <c r="X16" s="39">
        <v>898.85430462480213</v>
      </c>
      <c r="Y16" s="40">
        <v>797.85181063165919</v>
      </c>
      <c r="Z16" s="39">
        <v>882.19430649978653</v>
      </c>
      <c r="AA16" s="40">
        <v>761.74016336401075</v>
      </c>
      <c r="AB16" s="39">
        <v>862.77336744546312</v>
      </c>
      <c r="AC16" s="40">
        <v>718.53854165685163</v>
      </c>
      <c r="AD16" s="39">
        <v>839.70982806729864</v>
      </c>
      <c r="AE16" s="40">
        <v>665.81463969523111</v>
      </c>
      <c r="AF16" s="39">
        <v>811.88085581592884</v>
      </c>
      <c r="AG16" s="40">
        <v>601.01705766915939</v>
      </c>
      <c r="AH16" s="39">
        <v>778.30282411281587</v>
      </c>
      <c r="AI16" s="40">
        <v>523.77510500407857</v>
      </c>
      <c r="AJ16" s="39">
        <v>739.38657169756664</v>
      </c>
      <c r="AK16" s="40">
        <v>440.62254735365866</v>
      </c>
      <c r="AL16" s="39"/>
      <c r="AM16" s="40"/>
      <c r="AN16" s="39"/>
      <c r="AO16" s="40"/>
      <c r="AP16" s="39"/>
      <c r="AQ16" s="40"/>
      <c r="AR16" s="39"/>
      <c r="AS16" s="40"/>
      <c r="AT16" s="39"/>
      <c r="AU16" s="40"/>
      <c r="AV16" s="39"/>
      <c r="AW16" s="40"/>
      <c r="AX16" s="27">
        <v>1000</v>
      </c>
      <c r="AY16" s="27">
        <v>1000</v>
      </c>
    </row>
    <row r="17" spans="1:51" x14ac:dyDescent="0.2">
      <c r="A17" t="s">
        <v>62</v>
      </c>
      <c r="B17" s="33">
        <v>1000.0000000000002</v>
      </c>
      <c r="C17" s="34">
        <v>999.99999999999977</v>
      </c>
      <c r="D17" s="33">
        <v>998.0586344612758</v>
      </c>
      <c r="E17" s="34">
        <v>1043.5394288022333</v>
      </c>
      <c r="F17" s="33">
        <v>996.06009342332572</v>
      </c>
      <c r="G17" s="34">
        <v>1092.5189714727405</v>
      </c>
      <c r="H17" s="33">
        <v>993.98795075401961</v>
      </c>
      <c r="I17" s="34">
        <v>1147.972119015323</v>
      </c>
      <c r="J17" s="33">
        <v>991.82499971106608</v>
      </c>
      <c r="K17" s="34">
        <v>1211.1919311916556</v>
      </c>
      <c r="L17" s="33">
        <v>989.55375069998831</v>
      </c>
      <c r="M17" s="34">
        <v>1283.8240572315797</v>
      </c>
      <c r="N17" s="33">
        <v>987.15736267109378</v>
      </c>
      <c r="O17" s="34">
        <v>1368.0112158041802</v>
      </c>
      <c r="P17" s="33">
        <v>984.62148125838257</v>
      </c>
      <c r="Q17" s="34">
        <v>1466.6059005497457</v>
      </c>
      <c r="R17" s="33">
        <v>981.93743626009837</v>
      </c>
      <c r="S17" s="34">
        <v>1583.5163779320358</v>
      </c>
      <c r="T17" s="33">
        <v>979.10762880131631</v>
      </c>
      <c r="U17" s="34">
        <v>1724.2764710512961</v>
      </c>
      <c r="V17" s="33">
        <v>976.15468331803993</v>
      </c>
      <c r="W17" s="34">
        <v>1897.0132173415191</v>
      </c>
      <c r="X17" s="33">
        <v>973.13664114476364</v>
      </c>
      <c r="Y17" s="34">
        <v>2114.1510271610478</v>
      </c>
      <c r="Z17" s="33">
        <v>970.17104263367332</v>
      </c>
      <c r="AA17" s="34">
        <v>2395.4646977820025</v>
      </c>
      <c r="AB17" s="33">
        <v>967.46818720088754</v>
      </c>
      <c r="AC17" s="34">
        <v>2773.5111859519793</v>
      </c>
      <c r="AD17" s="33">
        <v>965.35574846420548</v>
      </c>
      <c r="AE17" s="34">
        <v>3302.4550486048752</v>
      </c>
      <c r="AF17" s="33">
        <v>964.22285013886801</v>
      </c>
      <c r="AG17" s="34">
        <v>4068.3128625593181</v>
      </c>
      <c r="AH17" s="33">
        <v>964.26791171674176</v>
      </c>
      <c r="AI17" s="34">
        <v>5186.5900501190608</v>
      </c>
      <c r="AJ17" s="33">
        <v>965.17350023926008</v>
      </c>
      <c r="AK17" s="34">
        <v>6749.4772066527639</v>
      </c>
      <c r="AL17" s="33"/>
      <c r="AM17" s="34"/>
      <c r="AN17" s="33"/>
      <c r="AO17" s="34"/>
      <c r="AP17" s="33"/>
      <c r="AQ17" s="34"/>
      <c r="AR17" s="33"/>
      <c r="AS17" s="34"/>
      <c r="AT17" s="33"/>
      <c r="AU17" s="34"/>
      <c r="AV17" s="33"/>
      <c r="AW17" s="34"/>
      <c r="AX17">
        <v>1000.0000000000002</v>
      </c>
      <c r="AY17">
        <v>999.99999999999977</v>
      </c>
    </row>
    <row r="18" spans="1:51" x14ac:dyDescent="0.2">
      <c r="A18" t="s">
        <v>19</v>
      </c>
      <c r="B18" s="31">
        <v>27857.010133999996</v>
      </c>
      <c r="C18" s="32">
        <v>1236.7674480000003</v>
      </c>
      <c r="D18" s="31">
        <v>28027.566725134198</v>
      </c>
      <c r="E18" s="32">
        <v>1142.8740985223142</v>
      </c>
      <c r="F18" s="31">
        <v>28176.482368408804</v>
      </c>
      <c r="G18" s="32">
        <v>1049.1331695039157</v>
      </c>
      <c r="H18" s="31">
        <v>28302.255643881868</v>
      </c>
      <c r="I18" s="32">
        <v>955.57138200454085</v>
      </c>
      <c r="J18" s="31">
        <v>28402.683380493811</v>
      </c>
      <c r="K18" s="32">
        <v>862.2550574876326</v>
      </c>
      <c r="L18" s="31">
        <v>28474.661275888007</v>
      </c>
      <c r="M18" s="32">
        <v>769.31474518181142</v>
      </c>
      <c r="N18" s="31">
        <v>28513.956121762105</v>
      </c>
      <c r="O18" s="32">
        <v>676.96521959014296</v>
      </c>
      <c r="P18" s="31">
        <v>28514.763097174935</v>
      </c>
      <c r="Q18" s="32">
        <v>585.5540257732805</v>
      </c>
      <c r="R18" s="31">
        <v>28469.105403558005</v>
      </c>
      <c r="S18" s="32">
        <v>495.60840689623751</v>
      </c>
      <c r="T18" s="31">
        <v>28365.842794101394</v>
      </c>
      <c r="U18" s="32">
        <v>407.91755799146654</v>
      </c>
      <c r="V18" s="31">
        <v>28189.066289860893</v>
      </c>
      <c r="W18" s="32">
        <v>323.6294240035499</v>
      </c>
      <c r="X18" s="31">
        <v>27915.367101258133</v>
      </c>
      <c r="Y18" s="32">
        <v>244.37697447524698</v>
      </c>
      <c r="Z18" s="31">
        <v>27509.020705506191</v>
      </c>
      <c r="AA18" s="32">
        <v>172.40370353860251</v>
      </c>
      <c r="AB18" s="31">
        <v>26913.216961108516</v>
      </c>
      <c r="AC18" s="32">
        <v>110.59568419135536</v>
      </c>
      <c r="AD18" s="31">
        <v>26034.080392223965</v>
      </c>
      <c r="AE18" s="32">
        <v>62.133231886444044</v>
      </c>
      <c r="AF18" s="31">
        <v>24713.288521800532</v>
      </c>
      <c r="AG18" s="32">
        <v>29.259559381655752</v>
      </c>
      <c r="AH18" s="31">
        <v>22688.842314139216</v>
      </c>
      <c r="AI18" s="32">
        <v>11.20555960805468</v>
      </c>
      <c r="AJ18" s="31">
        <v>19556.944395299441</v>
      </c>
      <c r="AK18" s="32">
        <v>3.5481776281394879</v>
      </c>
      <c r="AL18" s="31"/>
      <c r="AM18" s="32"/>
      <c r="AN18" s="31"/>
      <c r="AO18" s="32"/>
      <c r="AP18" s="31"/>
      <c r="AQ18" s="32"/>
      <c r="AR18" s="31"/>
      <c r="AS18" s="32"/>
      <c r="AT18" s="31"/>
      <c r="AU18" s="32"/>
      <c r="AV18" s="31"/>
      <c r="AW18" s="32"/>
      <c r="AX18">
        <v>27857.010133999996</v>
      </c>
      <c r="AY18">
        <v>1236.7674480000003</v>
      </c>
    </row>
    <row r="19" spans="1:51" x14ac:dyDescent="0.2">
      <c r="A19" t="s">
        <v>3</v>
      </c>
      <c r="B19" s="39">
        <v>1886.3937399999918</v>
      </c>
      <c r="C19" s="40">
        <v>262.78711299999759</v>
      </c>
      <c r="D19" s="39">
        <v>1888.2227414432016</v>
      </c>
      <c r="E19" s="40">
        <v>275.20610970045453</v>
      </c>
      <c r="F19" s="39">
        <v>1888.2032752787356</v>
      </c>
      <c r="G19" s="40">
        <v>289.13659749249666</v>
      </c>
      <c r="H19" s="39">
        <v>1886.1716555622263</v>
      </c>
      <c r="I19" s="40">
        <v>304.76627210659956</v>
      </c>
      <c r="J19" s="39">
        <v>1881.9164911654168</v>
      </c>
      <c r="K19" s="40">
        <v>322.28165854447741</v>
      </c>
      <c r="L19" s="39">
        <v>1875.1705492305616</v>
      </c>
      <c r="M19" s="40">
        <v>341.85024398286748</v>
      </c>
      <c r="N19" s="39">
        <v>1865.6030818450815</v>
      </c>
      <c r="O19" s="40">
        <v>363.59707167705386</v>
      </c>
      <c r="P19" s="39">
        <v>1852.8051688182129</v>
      </c>
      <c r="Q19" s="40">
        <v>387.55280347100177</v>
      </c>
      <c r="R19" s="39">
        <v>1836.2724108817333</v>
      </c>
      <c r="S19" s="40">
        <v>413.57839391349989</v>
      </c>
      <c r="T19" s="39">
        <v>1815.3760415795646</v>
      </c>
      <c r="U19" s="40">
        <v>441.23823664854802</v>
      </c>
      <c r="V19" s="39">
        <v>1789.3159940445667</v>
      </c>
      <c r="W19" s="40">
        <v>469.5934021301544</v>
      </c>
      <c r="X19" s="39">
        <v>1757.0340806281122</v>
      </c>
      <c r="Y19" s="40">
        <v>496.86984486859666</v>
      </c>
      <c r="Z19" s="39">
        <v>1717.0376326460307</v>
      </c>
      <c r="AA19" s="40">
        <v>519.94570809084223</v>
      </c>
      <c r="AB19" s="39">
        <v>1667.0043072621543</v>
      </c>
      <c r="AC19" s="40">
        <v>533.6694846792102</v>
      </c>
      <c r="AD19" s="39">
        <v>1602.8478948800162</v>
      </c>
      <c r="AE19" s="40">
        <v>530.36697086342531</v>
      </c>
      <c r="AF19" s="39">
        <v>1516.5936229075819</v>
      </c>
      <c r="AG19" s="40">
        <v>500.89566572966135</v>
      </c>
      <c r="AH19" s="39">
        <v>1392.5385825837782</v>
      </c>
      <c r="AI19" s="40">
        <v>439.27094571519825</v>
      </c>
      <c r="AJ19" s="39">
        <v>1203.4395873918156</v>
      </c>
      <c r="AK19" s="40">
        <v>348.49371539978455</v>
      </c>
      <c r="AL19" s="39"/>
      <c r="AM19" s="40"/>
      <c r="AN19" s="39"/>
      <c r="AO19" s="40"/>
      <c r="AP19" s="39"/>
      <c r="AQ19" s="40"/>
      <c r="AR19" s="39"/>
      <c r="AS19" s="40"/>
      <c r="AT19" s="39"/>
      <c r="AU19" s="40"/>
      <c r="AV19" s="39"/>
      <c r="AW19" s="40"/>
      <c r="AX19">
        <v>1886.3937399999918</v>
      </c>
      <c r="AY19">
        <v>262.78711299999759</v>
      </c>
    </row>
    <row r="20" spans="1:51" x14ac:dyDescent="0.2">
      <c r="A20" t="s">
        <v>114</v>
      </c>
      <c r="B20" s="79">
        <v>26548.356269999993</v>
      </c>
      <c r="C20" s="80">
        <v>1408.5418709999938</v>
      </c>
      <c r="D20" s="79">
        <v>26688.028472361893</v>
      </c>
      <c r="E20" s="80">
        <v>1338.1147774499941</v>
      </c>
      <c r="F20" s="79">
        <v>26806.015591386269</v>
      </c>
      <c r="G20" s="80">
        <v>1267.6876838999945</v>
      </c>
      <c r="H20" s="79">
        <v>26900.71938316619</v>
      </c>
      <c r="I20" s="80">
        <v>1197.2605903499943</v>
      </c>
      <c r="J20" s="79">
        <v>26969.866253593402</v>
      </c>
      <c r="K20" s="80">
        <v>1126.8334967999951</v>
      </c>
      <c r="L20" s="79">
        <v>27010.328899657889</v>
      </c>
      <c r="M20" s="80">
        <v>1056.4064032499953</v>
      </c>
      <c r="N20" s="79">
        <v>27017.927572109533</v>
      </c>
      <c r="O20" s="80">
        <v>985.97930969999561</v>
      </c>
      <c r="P20" s="79">
        <v>26987.045231353695</v>
      </c>
      <c r="Q20" s="80">
        <v>915.55221614999596</v>
      </c>
      <c r="R20" s="79">
        <v>26910.114547228146</v>
      </c>
      <c r="S20" s="80">
        <v>845.12512259999642</v>
      </c>
      <c r="T20" s="79">
        <v>26776.772486365524</v>
      </c>
      <c r="U20" s="80">
        <v>774.69802904999653</v>
      </c>
      <c r="V20" s="79">
        <v>26572.495599091359</v>
      </c>
      <c r="W20" s="80">
        <v>704.27093549999688</v>
      </c>
      <c r="X20" s="79">
        <v>26276.265582365439</v>
      </c>
      <c r="Y20" s="80">
        <v>633.84384194999734</v>
      </c>
      <c r="Z20" s="79">
        <v>25856.396621343694</v>
      </c>
      <c r="AA20" s="80">
        <v>563.41674839999757</v>
      </c>
      <c r="AB20" s="79">
        <v>25262.73833430565</v>
      </c>
      <c r="AC20" s="80">
        <v>492.98965484999775</v>
      </c>
      <c r="AD20" s="79">
        <v>24411.870343348593</v>
      </c>
      <c r="AE20" s="80">
        <v>422.56256129999798</v>
      </c>
      <c r="AF20" s="79">
        <v>23160.250725609676</v>
      </c>
      <c r="AG20" s="80">
        <v>352.13546774999827</v>
      </c>
      <c r="AH20" s="79">
        <v>21263.505478565978</v>
      </c>
      <c r="AI20" s="80">
        <v>281.70837419999856</v>
      </c>
      <c r="AJ20" s="79">
        <v>18336.662775561072</v>
      </c>
      <c r="AK20" s="80">
        <v>211.28128064999879</v>
      </c>
      <c r="AL20" s="79"/>
      <c r="AM20" s="80"/>
      <c r="AN20" s="79"/>
      <c r="AO20" s="80"/>
      <c r="AP20" s="79"/>
      <c r="AQ20" s="80"/>
      <c r="AR20" s="79"/>
      <c r="AS20" s="80"/>
      <c r="AT20" s="79"/>
      <c r="AU20" s="80"/>
      <c r="AV20" s="79"/>
      <c r="AW20" s="80"/>
      <c r="AX20">
        <v>26548.356269999993</v>
      </c>
      <c r="AY20">
        <v>1408.5418709999938</v>
      </c>
    </row>
    <row r="21" spans="1:51" x14ac:dyDescent="0.2">
      <c r="A21" t="s">
        <v>76</v>
      </c>
      <c r="B21" s="79">
        <v>24661.962529999968</v>
      </c>
      <c r="C21" s="80">
        <v>1145.7547579999991</v>
      </c>
      <c r="D21" s="79">
        <v>24799.815051539244</v>
      </c>
      <c r="E21" s="80">
        <v>1063.2960155729922</v>
      </c>
      <c r="F21" s="79">
        <v>24917.850943591118</v>
      </c>
      <c r="G21" s="80">
        <v>980.21560265769313</v>
      </c>
      <c r="H21" s="79">
        <v>25014.638158362926</v>
      </c>
      <c r="I21" s="80">
        <v>896.52751295294274</v>
      </c>
      <c r="J21" s="79">
        <v>25088.117727432116</v>
      </c>
      <c r="K21" s="80">
        <v>812.28996287441385</v>
      </c>
      <c r="L21" s="79">
        <v>25135.433594593069</v>
      </c>
      <c r="M21" s="80">
        <v>727.62725880135974</v>
      </c>
      <c r="N21" s="79">
        <v>25152.741540896819</v>
      </c>
      <c r="O21" s="80">
        <v>642.75461072543862</v>
      </c>
      <c r="P21" s="79">
        <v>25134.838800311289</v>
      </c>
      <c r="Q21" s="80">
        <v>558.02257546468968</v>
      </c>
      <c r="R21" s="79">
        <v>25074.667830012924</v>
      </c>
      <c r="S21" s="80">
        <v>473.9704369908132</v>
      </c>
      <c r="T21" s="79">
        <v>24962.498591867407</v>
      </c>
      <c r="U21" s="80">
        <v>391.40146685630361</v>
      </c>
      <c r="V21" s="79">
        <v>24784.608389183511</v>
      </c>
      <c r="W21" s="80">
        <v>311.4826168980494</v>
      </c>
      <c r="X21" s="79">
        <v>24521.029847747646</v>
      </c>
      <c r="Y21" s="80">
        <v>235.86740371555018</v>
      </c>
      <c r="Z21" s="79">
        <v>24141.547169892176</v>
      </c>
      <c r="AA21" s="80">
        <v>166.82072297169859</v>
      </c>
      <c r="AB21" s="79">
        <v>23598.283707011615</v>
      </c>
      <c r="AC21" s="80">
        <v>107.24923479060948</v>
      </c>
      <c r="AD21" s="79">
        <v>22811.822445368856</v>
      </c>
      <c r="AE21" s="80">
        <v>60.362718011927285</v>
      </c>
      <c r="AF21" s="79">
        <v>21646.493302805036</v>
      </c>
      <c r="AG21" s="80">
        <v>28.46535232439879</v>
      </c>
      <c r="AH21" s="79">
        <v>19873.56414972508</v>
      </c>
      <c r="AI21" s="80">
        <v>10.911680799041601</v>
      </c>
      <c r="AJ21" s="79">
        <v>17135.348939567964</v>
      </c>
      <c r="AK21" s="80">
        <v>3.4570093352074682</v>
      </c>
      <c r="AL21" s="79"/>
      <c r="AM21" s="80"/>
      <c r="AN21" s="79"/>
      <c r="AO21" s="80"/>
      <c r="AP21" s="79"/>
      <c r="AQ21" s="80"/>
      <c r="AR21" s="79"/>
      <c r="AS21" s="80"/>
      <c r="AT21" s="79"/>
      <c r="AU21" s="80"/>
      <c r="AV21" s="79"/>
      <c r="AW21" s="80"/>
      <c r="AX21">
        <v>24661.962529999968</v>
      </c>
      <c r="AY21">
        <v>1145.7547579999991</v>
      </c>
    </row>
    <row r="22" spans="1:51" x14ac:dyDescent="0.2">
      <c r="A22" t="s">
        <v>28</v>
      </c>
      <c r="B22" s="39">
        <v>6533.6044688320644</v>
      </c>
      <c r="C22" s="40">
        <v>379.90788307663388</v>
      </c>
      <c r="D22" s="39">
        <v>6564.321954340232</v>
      </c>
      <c r="E22" s="40">
        <v>371.52798601079445</v>
      </c>
      <c r="F22" s="39">
        <v>6588.0412330915751</v>
      </c>
      <c r="G22" s="40">
        <v>362.564259694246</v>
      </c>
      <c r="H22" s="39">
        <v>6604.1505122066992</v>
      </c>
      <c r="I22" s="40">
        <v>352.99806884129754</v>
      </c>
      <c r="J22" s="39">
        <v>6611.829850172745</v>
      </c>
      <c r="K22" s="40">
        <v>342.80350704515331</v>
      </c>
      <c r="L22" s="39">
        <v>6609.9960740854349</v>
      </c>
      <c r="M22" s="40">
        <v>331.94536707385936</v>
      </c>
      <c r="N22" s="39">
        <v>6597.2448933089872</v>
      </c>
      <c r="O22" s="40">
        <v>320.37635785449896</v>
      </c>
      <c r="P22" s="39">
        <v>6571.7346887544036</v>
      </c>
      <c r="Q22" s="40">
        <v>308.03303276734846</v>
      </c>
      <c r="R22" s="39">
        <v>6531.0400354812436</v>
      </c>
      <c r="S22" s="40">
        <v>294.83010948314171</v>
      </c>
      <c r="T22" s="39">
        <v>6471.9091554625838</v>
      </c>
      <c r="U22" s="40">
        <v>280.65190641618346</v>
      </c>
      <c r="V22" s="39">
        <v>6389.8866530331934</v>
      </c>
      <c r="W22" s="40">
        <v>265.34111155307454</v>
      </c>
      <c r="X22" s="39">
        <v>6278.6888783778504</v>
      </c>
      <c r="Y22" s="40">
        <v>248.683704332194</v>
      </c>
      <c r="Z22" s="39">
        <v>6129.1433502907057</v>
      </c>
      <c r="AA22" s="40">
        <v>230.39204436077065</v>
      </c>
      <c r="AB22" s="39">
        <v>5927.353313944499</v>
      </c>
      <c r="AC22" s="40">
        <v>210.09401264230866</v>
      </c>
      <c r="AD22" s="39">
        <v>5651.6153466542482</v>
      </c>
      <c r="AE22" s="40">
        <v>187.35597706007692</v>
      </c>
      <c r="AF22" s="39">
        <v>5267.9079076430962</v>
      </c>
      <c r="AG22" s="40">
        <v>161.79444843504623</v>
      </c>
      <c r="AH22" s="39">
        <v>4725.6896750644319</v>
      </c>
      <c r="AI22" s="40">
        <v>133.29978598492278</v>
      </c>
      <c r="AJ22" s="39">
        <v>3959.3255278543265</v>
      </c>
      <c r="AK22" s="40">
        <v>102.19500312221926</v>
      </c>
      <c r="AL22" s="39"/>
      <c r="AM22" s="40"/>
      <c r="AN22" s="39"/>
      <c r="AO22" s="40"/>
      <c r="AP22" s="39"/>
      <c r="AQ22" s="40"/>
      <c r="AR22" s="39"/>
      <c r="AS22" s="40"/>
      <c r="AT22" s="39"/>
      <c r="AU22" s="40"/>
      <c r="AV22" s="39"/>
      <c r="AW22" s="40"/>
      <c r="AX22">
        <v>6533.6044688320644</v>
      </c>
      <c r="AY22">
        <v>379.90788307663388</v>
      </c>
    </row>
    <row r="23" spans="1:51" x14ac:dyDescent="0.2">
      <c r="A23" t="s">
        <v>7</v>
      </c>
      <c r="B23" s="110">
        <v>3278.5018080150408</v>
      </c>
      <c r="C23" s="8">
        <v>0</v>
      </c>
      <c r="D23" s="110">
        <v>3305.5724053450308</v>
      </c>
      <c r="E23" s="8">
        <v>0</v>
      </c>
      <c r="F23" s="110">
        <v>3330.469533980257</v>
      </c>
      <c r="G23" s="8">
        <v>0</v>
      </c>
      <c r="H23" s="110">
        <v>3353.0647707456333</v>
      </c>
      <c r="I23" s="8">
        <v>0</v>
      </c>
      <c r="J23" s="110">
        <v>3373.1583344785072</v>
      </c>
      <c r="K23" s="8">
        <v>0</v>
      </c>
      <c r="L23" s="110">
        <v>3390.4600860583732</v>
      </c>
      <c r="M23" s="8">
        <v>0</v>
      </c>
      <c r="N23" s="110">
        <v>3404.5720942860185</v>
      </c>
      <c r="O23" s="8">
        <v>0</v>
      </c>
      <c r="P23" s="110">
        <v>3414.9484917122904</v>
      </c>
      <c r="Q23" s="8">
        <v>0</v>
      </c>
      <c r="R23" s="110">
        <v>3420.8472278117624</v>
      </c>
      <c r="S23" s="8">
        <v>0</v>
      </c>
      <c r="T23" s="110">
        <v>3421.2473453198227</v>
      </c>
      <c r="U23" s="8">
        <v>0</v>
      </c>
      <c r="V23" s="110">
        <v>3414.7155785816694</v>
      </c>
      <c r="W23" s="8">
        <v>0</v>
      </c>
      <c r="X23" s="110">
        <v>3399.1694624672314</v>
      </c>
      <c r="Y23" s="8">
        <v>0</v>
      </c>
      <c r="Z23" s="110">
        <v>3371.4248717136843</v>
      </c>
      <c r="AA23" s="8">
        <v>0</v>
      </c>
      <c r="AB23" s="110">
        <v>3326.2545185219301</v>
      </c>
      <c r="AC23" s="8">
        <v>0</v>
      </c>
      <c r="AD23" s="110">
        <v>3254.3047429295975</v>
      </c>
      <c r="AE23" s="8">
        <v>0</v>
      </c>
      <c r="AF23" s="110">
        <v>3137.5019873572987</v>
      </c>
      <c r="AG23" s="8">
        <v>0</v>
      </c>
      <c r="AH23" s="110">
        <v>2940.2885692037949</v>
      </c>
      <c r="AI23" s="8">
        <v>0</v>
      </c>
      <c r="AJ23" s="110">
        <v>2598.0758996538907</v>
      </c>
      <c r="AK23" s="8">
        <v>0</v>
      </c>
      <c r="AL23" s="110"/>
      <c r="AM23" s="8"/>
      <c r="AN23" s="110"/>
      <c r="AO23" s="8"/>
      <c r="AP23" s="110"/>
      <c r="AQ23" s="8"/>
      <c r="AR23" s="110"/>
      <c r="AS23" s="8"/>
      <c r="AT23" s="110"/>
      <c r="AU23" s="8"/>
      <c r="AV23" s="110"/>
      <c r="AW23" s="8"/>
      <c r="AX23">
        <v>3278.5018080150408</v>
      </c>
      <c r="AY23">
        <v>0</v>
      </c>
    </row>
    <row r="24" spans="1:51" x14ac:dyDescent="0.2">
      <c r="A24" t="s">
        <v>8</v>
      </c>
      <c r="B24" s="93">
        <v>3196.3846373657216</v>
      </c>
      <c r="C24" s="8">
        <v>0</v>
      </c>
      <c r="D24" s="93">
        <v>3222.7772066803705</v>
      </c>
      <c r="E24" s="8">
        <v>0</v>
      </c>
      <c r="F24" s="93">
        <v>3247.0507188649872</v>
      </c>
      <c r="G24" s="8">
        <v>0</v>
      </c>
      <c r="H24" s="93">
        <v>3269.0800088047095</v>
      </c>
      <c r="I24" s="8">
        <v>0</v>
      </c>
      <c r="J24" s="93">
        <v>3288.6702771631676</v>
      </c>
      <c r="K24" s="8">
        <v>0</v>
      </c>
      <c r="L24" s="93">
        <v>3305.5386766987049</v>
      </c>
      <c r="M24" s="8">
        <v>0</v>
      </c>
      <c r="N24" s="93">
        <v>3319.2972171883885</v>
      </c>
      <c r="O24" s="8">
        <v>0</v>
      </c>
      <c r="P24" s="93">
        <v>3329.4137190962665</v>
      </c>
      <c r="Q24" s="8">
        <v>0</v>
      </c>
      <c r="R24" s="93">
        <v>3335.16470764824</v>
      </c>
      <c r="S24" s="8">
        <v>0</v>
      </c>
      <c r="T24" s="93">
        <v>3335.5548026079655</v>
      </c>
      <c r="U24" s="8">
        <v>0</v>
      </c>
      <c r="V24" s="93">
        <v>3329.186638674299</v>
      </c>
      <c r="W24" s="8">
        <v>0</v>
      </c>
      <c r="X24" s="93">
        <v>3314.0299106739017</v>
      </c>
      <c r="Y24" s="8">
        <v>0</v>
      </c>
      <c r="Z24" s="93">
        <v>3286.980241324407</v>
      </c>
      <c r="AA24" s="8">
        <v>0</v>
      </c>
      <c r="AB24" s="93">
        <v>3242.9412771911875</v>
      </c>
      <c r="AC24" s="8">
        <v>0</v>
      </c>
      <c r="AD24" s="93">
        <v>3172.7936400837534</v>
      </c>
      <c r="AE24" s="8">
        <v>0</v>
      </c>
      <c r="AF24" s="93">
        <v>3058.9164647720886</v>
      </c>
      <c r="AG24" s="8">
        <v>0</v>
      </c>
      <c r="AH24" s="93">
        <v>2866.6426808074289</v>
      </c>
      <c r="AI24" s="8">
        <v>0</v>
      </c>
      <c r="AJ24" s="93">
        <v>2533.0014679298793</v>
      </c>
      <c r="AK24" s="8">
        <v>0</v>
      </c>
      <c r="AL24" s="93"/>
      <c r="AM24" s="8"/>
      <c r="AN24" s="93"/>
      <c r="AO24" s="8"/>
      <c r="AP24" s="93"/>
      <c r="AQ24" s="8"/>
      <c r="AR24" s="93"/>
      <c r="AS24" s="8"/>
      <c r="AT24" s="93"/>
      <c r="AU24" s="8"/>
      <c r="AV24" s="93"/>
      <c r="AW24" s="8"/>
      <c r="AX24">
        <v>3196.3846373657216</v>
      </c>
      <c r="AY24">
        <v>0</v>
      </c>
    </row>
    <row r="25" spans="1:51" x14ac:dyDescent="0.2">
      <c r="A25" t="s">
        <v>0</v>
      </c>
      <c r="B25" s="39">
        <v>3195.0476040000012</v>
      </c>
      <c r="C25" s="40">
        <v>91.012690000004397</v>
      </c>
      <c r="D25" s="39">
        <v>3227.7365008164033</v>
      </c>
      <c r="E25" s="40">
        <v>79.509479629186828</v>
      </c>
      <c r="F25" s="39">
        <v>3258.5683365414966</v>
      </c>
      <c r="G25" s="40">
        <v>68.658975980111819</v>
      </c>
      <c r="H25" s="39">
        <v>3287.4688666441125</v>
      </c>
      <c r="I25" s="40">
        <v>58.4962994756509</v>
      </c>
      <c r="J25" s="39">
        <v>3314.2878296376593</v>
      </c>
      <c r="K25" s="40">
        <v>49.05859349488869</v>
      </c>
      <c r="L25" s="39">
        <v>3338.7692250425766</v>
      </c>
      <c r="M25" s="40">
        <v>40.384230909424346</v>
      </c>
      <c r="N25" s="39">
        <v>3360.5148462960101</v>
      </c>
      <c r="O25" s="40">
        <v>32.510504780699151</v>
      </c>
      <c r="P25" s="39">
        <v>3378.911893829556</v>
      </c>
      <c r="Q25" s="40">
        <v>25.472923960328654</v>
      </c>
      <c r="R25" s="39">
        <v>3393.0298508654</v>
      </c>
      <c r="S25" s="40">
        <v>19.302538082302185</v>
      </c>
      <c r="T25" s="39">
        <v>3401.4486558335684</v>
      </c>
      <c r="U25" s="40">
        <v>14.023729188905529</v>
      </c>
      <c r="V25" s="39">
        <v>3401.9779237661364</v>
      </c>
      <c r="W25" s="40">
        <v>9.6506392392541596</v>
      </c>
      <c r="X25" s="39">
        <v>3391.1862227008687</v>
      </c>
      <c r="Y25" s="40">
        <v>6.1822596218914416</v>
      </c>
      <c r="Z25" s="39">
        <v>3363.6035158693135</v>
      </c>
      <c r="AA25" s="40">
        <v>3.5946969607601273</v>
      </c>
      <c r="AB25" s="39">
        <v>3310.3851623256919</v>
      </c>
      <c r="AC25" s="40">
        <v>1.8290317711742492</v>
      </c>
      <c r="AD25" s="39">
        <v>3217.2296810658822</v>
      </c>
      <c r="AE25" s="40">
        <v>0.77469610044216308</v>
      </c>
      <c r="AF25" s="39">
        <v>3061.6834760683078</v>
      </c>
      <c r="AG25" s="40">
        <v>0.25814731779063121</v>
      </c>
      <c r="AH25" s="39">
        <v>2810.5977728288058</v>
      </c>
      <c r="AI25" s="40">
        <v>6.542407883156412E-2</v>
      </c>
      <c r="AJ25" s="39">
        <v>2417.775789543035</v>
      </c>
      <c r="AK25" s="40">
        <v>1.3098443279240896E-2</v>
      </c>
      <c r="AL25" s="39"/>
      <c r="AM25" s="40"/>
      <c r="AN25" s="39"/>
      <c r="AO25" s="40"/>
      <c r="AP25" s="39"/>
      <c r="AQ25" s="40"/>
      <c r="AR25" s="39"/>
      <c r="AS25" s="40"/>
      <c r="AT25" s="39"/>
      <c r="AU25" s="40"/>
      <c r="AV25" s="39"/>
      <c r="AW25" s="40"/>
      <c r="AX25">
        <v>3195.0476040000012</v>
      </c>
      <c r="AY25">
        <v>91.012690000004397</v>
      </c>
    </row>
    <row r="26" spans="1:51" x14ac:dyDescent="0.2">
      <c r="A26" t="s">
        <v>27</v>
      </c>
      <c r="B26" s="31">
        <v>5036.2953101960647</v>
      </c>
      <c r="C26" s="32">
        <v>74.905331803938267</v>
      </c>
      <c r="D26" s="31">
        <v>5099.8072184909151</v>
      </c>
      <c r="E26" s="32">
        <v>70.106701324594638</v>
      </c>
      <c r="F26" s="31">
        <v>5158.4800673943555</v>
      </c>
      <c r="G26" s="32">
        <v>65.205525159451355</v>
      </c>
      <c r="H26" s="31">
        <v>5211.8019106207867</v>
      </c>
      <c r="I26" s="32">
        <v>60.199659736438122</v>
      </c>
      <c r="J26" s="31">
        <v>5259.0689549083663</v>
      </c>
      <c r="K26" s="32">
        <v>55.0884209367252</v>
      </c>
      <c r="L26" s="31">
        <v>5299.3336583004129</v>
      </c>
      <c r="M26" s="32">
        <v>49.874011552765779</v>
      </c>
      <c r="N26" s="31">
        <v>5331.3517778433179</v>
      </c>
      <c r="O26" s="32">
        <v>44.563321420159937</v>
      </c>
      <c r="P26" s="31">
        <v>5353.478715395082</v>
      </c>
      <c r="Q26" s="32">
        <v>39.171182513401654</v>
      </c>
      <c r="R26" s="31">
        <v>5363.5397440900479</v>
      </c>
      <c r="S26" s="32">
        <v>33.724461673185573</v>
      </c>
      <c r="T26" s="31">
        <v>5358.6234063260026</v>
      </c>
      <c r="U26" s="32">
        <v>28.268275974524478</v>
      </c>
      <c r="V26" s="31">
        <v>5334.7523442507309</v>
      </c>
      <c r="W26" s="32">
        <v>22.874338744405794</v>
      </c>
      <c r="X26" s="31">
        <v>5286.328639720823</v>
      </c>
      <c r="Y26" s="32">
        <v>17.652020286103109</v>
      </c>
      <c r="Z26" s="31">
        <v>5205.1459123636068</v>
      </c>
      <c r="AA26" s="32">
        <v>12.761041575638465</v>
      </c>
      <c r="AB26" s="31">
        <v>5078.5542290638286</v>
      </c>
      <c r="AC26" s="32">
        <v>8.4199294598139041</v>
      </c>
      <c r="AD26" s="31">
        <v>4886.082160588423</v>
      </c>
      <c r="AE26" s="32">
        <v>4.8903015070171438</v>
      </c>
      <c r="AF26" s="31">
        <v>4594.0231482197969</v>
      </c>
      <c r="AG26" s="32">
        <v>2.395686384433533</v>
      </c>
      <c r="AH26" s="31">
        <v>4150.4741426834253</v>
      </c>
      <c r="AI26" s="32">
        <v>0.95984444431097871</v>
      </c>
      <c r="AJ26" s="31">
        <v>3490.0293765184815</v>
      </c>
      <c r="AK26" s="32">
        <v>0.31829134589040758</v>
      </c>
      <c r="AL26" s="31"/>
      <c r="AM26" s="32"/>
      <c r="AN26" s="31"/>
      <c r="AO26" s="32"/>
      <c r="AP26" s="31"/>
      <c r="AQ26" s="32"/>
      <c r="AR26" s="31"/>
      <c r="AS26" s="32"/>
      <c r="AT26" s="31"/>
      <c r="AU26" s="32"/>
      <c r="AV26" s="31"/>
      <c r="AW26" s="32"/>
      <c r="AX26">
        <v>5036.2953101960647</v>
      </c>
      <c r="AY26">
        <v>74.905331803938267</v>
      </c>
    </row>
    <row r="27" spans="1:51" x14ac:dyDescent="0.2">
      <c r="A27" t="s">
        <v>2</v>
      </c>
      <c r="B27" s="33">
        <v>6425.1981590000414</v>
      </c>
      <c r="C27" s="34">
        <v>273.22915400000028</v>
      </c>
      <c r="D27" s="33">
        <v>6444.2959788781191</v>
      </c>
      <c r="E27" s="34">
        <v>254.13119883596571</v>
      </c>
      <c r="F27" s="33">
        <v>6463.3725741033913</v>
      </c>
      <c r="G27" s="34">
        <v>235.05473727214519</v>
      </c>
      <c r="H27" s="33">
        <v>6482.4598169687188</v>
      </c>
      <c r="I27" s="34">
        <v>215.96749651621556</v>
      </c>
      <c r="J27" s="33">
        <v>6501.5851594683927</v>
      </c>
      <c r="K27" s="34">
        <v>196.84241001131818</v>
      </c>
      <c r="L27" s="33">
        <v>6520.7650731766862</v>
      </c>
      <c r="M27" s="34">
        <v>177.66224548661117</v>
      </c>
      <c r="N27" s="33">
        <v>6540.0043899726161</v>
      </c>
      <c r="O27" s="34">
        <v>158.42293333738428</v>
      </c>
      <c r="P27" s="33">
        <v>6559.2832189322507</v>
      </c>
      <c r="Q27" s="34">
        <v>139.14410293581372</v>
      </c>
      <c r="R27" s="33">
        <v>6578.5478123950552</v>
      </c>
      <c r="S27" s="34">
        <v>119.87950232840508</v>
      </c>
      <c r="T27" s="33">
        <v>6597.6895436723953</v>
      </c>
      <c r="U27" s="34">
        <v>100.73776823445378</v>
      </c>
      <c r="V27" s="33">
        <v>6616.5185116801986</v>
      </c>
      <c r="W27" s="34">
        <v>81.908793793858521</v>
      </c>
      <c r="X27" s="33">
        <v>6634.7245311443939</v>
      </c>
      <c r="Y27" s="34">
        <v>63.702809561040425</v>
      </c>
      <c r="Z27" s="33">
        <v>6651.8280431017156</v>
      </c>
      <c r="AA27" s="34">
        <v>46.599254652769446</v>
      </c>
      <c r="AB27" s="33">
        <v>6667.1363237661017</v>
      </c>
      <c r="AC27" s="34">
        <v>31.290963145386272</v>
      </c>
      <c r="AD27" s="33">
        <v>6679.7695307482754</v>
      </c>
      <c r="AE27" s="34">
        <v>18.657778513300503</v>
      </c>
      <c r="AF27" s="33">
        <v>6688.9074902011398</v>
      </c>
      <c r="AG27" s="34">
        <v>9.5197494064177732</v>
      </c>
      <c r="AH27" s="33">
        <v>6694.3514344158048</v>
      </c>
      <c r="AI27" s="34">
        <v>4.0758740702414631</v>
      </c>
      <c r="AJ27" s="33">
        <v>6696.9064265859297</v>
      </c>
      <c r="AK27" s="34">
        <v>1.5208792155714628</v>
      </c>
      <c r="AL27" s="33"/>
      <c r="AM27" s="34"/>
      <c r="AN27" s="33"/>
      <c r="AO27" s="34"/>
      <c r="AP27" s="33"/>
      <c r="AQ27" s="34"/>
      <c r="AR27" s="33"/>
      <c r="AS27" s="34"/>
      <c r="AT27" s="33"/>
      <c r="AU27" s="34"/>
      <c r="AV27" s="33"/>
      <c r="AW27" s="34"/>
      <c r="AX27">
        <v>6425.1981590000414</v>
      </c>
      <c r="AY27">
        <v>273.22915400000028</v>
      </c>
    </row>
    <row r="28" spans="1:51" x14ac:dyDescent="0.2">
      <c r="A28" t="s">
        <v>35</v>
      </c>
      <c r="B28" s="39">
        <v>13763.097676000029</v>
      </c>
      <c r="C28" s="40">
        <v>382.36647899999997</v>
      </c>
      <c r="D28" s="39">
        <v>13874.205950981608</v>
      </c>
      <c r="E28" s="40">
        <v>356.26747044008397</v>
      </c>
      <c r="F28" s="39">
        <v>13977.406105189111</v>
      </c>
      <c r="G28" s="40">
        <v>330.02835535036905</v>
      </c>
      <c r="H28" s="39">
        <v>14072.309148565271</v>
      </c>
      <c r="I28" s="40">
        <v>303.6221929053599</v>
      </c>
      <c r="J28" s="39">
        <v>14158.246271783828</v>
      </c>
      <c r="K28" s="40">
        <v>277.02744211427137</v>
      </c>
      <c r="L28" s="39">
        <v>14234.188863716228</v>
      </c>
      <c r="M28" s="40">
        <v>250.23480112176904</v>
      </c>
      <c r="N28" s="39">
        <v>14298.665380897666</v>
      </c>
      <c r="O28" s="40">
        <v>223.25310713702012</v>
      </c>
      <c r="P28" s="39">
        <v>14349.58152689754</v>
      </c>
      <c r="Q28" s="40">
        <v>196.12456284055952</v>
      </c>
      <c r="R28" s="39">
        <v>14383.985008333773</v>
      </c>
      <c r="S28" s="40">
        <v>168.94090197740687</v>
      </c>
      <c r="T28" s="39">
        <v>14397.66810057928</v>
      </c>
      <c r="U28" s="40">
        <v>141.87317525730222</v>
      </c>
      <c r="V28" s="39">
        <v>14384.511448510535</v>
      </c>
      <c r="W28" s="40">
        <v>115.21032268155221</v>
      </c>
      <c r="X28" s="39">
        <v>14335.330334606308</v>
      </c>
      <c r="Y28" s="40">
        <v>89.414944171480855</v>
      </c>
      <c r="Z28" s="39">
        <v>14235.72665471459</v>
      </c>
      <c r="AA28" s="40">
        <v>65.192082084638912</v>
      </c>
      <c r="AB28" s="39">
        <v>14061.837305200323</v>
      </c>
      <c r="AC28" s="40">
        <v>43.548412625824305</v>
      </c>
      <c r="AD28" s="39">
        <v>13771.552053373751</v>
      </c>
      <c r="AE28" s="40">
        <v>25.746595930294578</v>
      </c>
      <c r="AF28" s="39">
        <v>13286.487189529029</v>
      </c>
      <c r="AG28" s="40">
        <v>12.942222956705251</v>
      </c>
      <c r="AH28" s="39">
        <v>12458.763591030116</v>
      </c>
      <c r="AI28" s="40">
        <v>5.3819558661442812</v>
      </c>
      <c r="AJ28" s="39">
        <v>11023.653810891372</v>
      </c>
      <c r="AK28" s="40">
        <v>1.8779470881310676</v>
      </c>
      <c r="AL28" s="39"/>
      <c r="AM28" s="40"/>
      <c r="AN28" s="39"/>
      <c r="AO28" s="40"/>
      <c r="AP28" s="39"/>
      <c r="AQ28" s="40"/>
      <c r="AR28" s="39"/>
      <c r="AS28" s="40"/>
      <c r="AT28" s="39"/>
      <c r="AU28" s="40"/>
      <c r="AV28" s="39"/>
      <c r="AW28" s="40"/>
      <c r="AX28">
        <v>13763.097676000029</v>
      </c>
      <c r="AY28">
        <v>382.36647899999997</v>
      </c>
    </row>
    <row r="29" spans="1:51" x14ac:dyDescent="0.2">
      <c r="A29" t="s">
        <v>53</v>
      </c>
      <c r="B29" s="33">
        <v>14362.768558000025</v>
      </c>
      <c r="C29" s="34">
        <v>817.26650999999993</v>
      </c>
      <c r="D29" s="33">
        <v>14449.751236455615</v>
      </c>
      <c r="E29" s="34">
        <v>751.38890635389282</v>
      </c>
      <c r="F29" s="33">
        <v>14525.514538050506</v>
      </c>
      <c r="G29" s="34">
        <v>686.07546345129208</v>
      </c>
      <c r="H29" s="33">
        <v>14589.274879481756</v>
      </c>
      <c r="I29" s="34">
        <v>621.3750817756212</v>
      </c>
      <c r="J29" s="33">
        <v>14639.885930766499</v>
      </c>
      <c r="K29" s="34">
        <v>557.36587581881236</v>
      </c>
      <c r="L29" s="33">
        <v>14675.736415645802</v>
      </c>
      <c r="M29" s="34">
        <v>494.16997760603931</v>
      </c>
      <c r="N29" s="33">
        <v>14694.632746520141</v>
      </c>
      <c r="O29" s="34">
        <v>431.96446642625961</v>
      </c>
      <c r="P29" s="33">
        <v>14693.573154703534</v>
      </c>
      <c r="Q29" s="34">
        <v>371.01015206094058</v>
      </c>
      <c r="R29" s="33">
        <v>14668.440649713399</v>
      </c>
      <c r="S29" s="34">
        <v>311.67760660959425</v>
      </c>
      <c r="T29" s="33">
        <v>14613.497144931378</v>
      </c>
      <c r="U29" s="34">
        <v>254.49375165116504</v>
      </c>
      <c r="V29" s="33">
        <v>14520.564896781823</v>
      </c>
      <c r="W29" s="34">
        <v>200.19468805304808</v>
      </c>
      <c r="X29" s="33">
        <v>14377.633670374236</v>
      </c>
      <c r="Y29" s="34">
        <v>149.79266834548997</v>
      </c>
      <c r="Z29" s="33">
        <v>14166.402665676944</v>
      </c>
      <c r="AA29" s="34">
        <v>104.63645372915441</v>
      </c>
      <c r="AB29" s="33">
        <v>13857.792617085088</v>
      </c>
      <c r="AC29" s="34">
        <v>66.406601782053656</v>
      </c>
      <c r="AD29" s="33">
        <v>13403.733452324337</v>
      </c>
      <c r="AE29" s="34">
        <v>36.87506668191557</v>
      </c>
      <c r="AF29" s="33">
        <v>12723.00167077052</v>
      </c>
      <c r="AG29" s="34">
        <v>17.149871944830078</v>
      </c>
      <c r="AH29" s="33">
        <v>11680.793896357627</v>
      </c>
      <c r="AI29" s="34">
        <v>6.4846980021940199</v>
      </c>
      <c r="AJ29" s="33">
        <v>10068.867389630001</v>
      </c>
      <c r="AK29" s="34">
        <v>2.0289268432024783</v>
      </c>
      <c r="AL29" s="33"/>
      <c r="AM29" s="34"/>
      <c r="AN29" s="33"/>
      <c r="AO29" s="34"/>
      <c r="AP29" s="33"/>
      <c r="AQ29" s="34"/>
      <c r="AR29" s="33"/>
      <c r="AS29" s="34"/>
      <c r="AT29" s="33"/>
      <c r="AU29" s="34"/>
      <c r="AV29" s="33"/>
      <c r="AW29" s="34"/>
      <c r="AX29">
        <v>14362.768558000025</v>
      </c>
      <c r="AY29">
        <v>817.26650999999993</v>
      </c>
    </row>
    <row r="30" spans="1:51" x14ac:dyDescent="0.2">
      <c r="A30" t="s">
        <v>48</v>
      </c>
      <c r="B30" s="112">
        <v>2924829.9599999995</v>
      </c>
      <c r="D30" s="112">
        <v>3049552.3803995801</v>
      </c>
      <c r="F30" s="112">
        <v>3176341.8171820696</v>
      </c>
      <c r="H30" s="112">
        <v>3305556.1858402919</v>
      </c>
      <c r="J30" s="112">
        <v>3437568.4874396888</v>
      </c>
      <c r="L30" s="112">
        <v>3572778.9718620912</v>
      </c>
      <c r="N30" s="112">
        <v>3711670.5887170443</v>
      </c>
      <c r="P30" s="112">
        <v>3854849.9016638454</v>
      </c>
      <c r="R30" s="112">
        <v>4003163.4107931368</v>
      </c>
      <c r="T30" s="112">
        <v>4157870.0249455636</v>
      </c>
      <c r="V30" s="112">
        <v>4320917.5487532308</v>
      </c>
      <c r="X30" s="112">
        <v>4495336.4864040762</v>
      </c>
      <c r="Z30" s="112">
        <v>4685623.1450831909</v>
      </c>
      <c r="AB30" s="112">
        <v>4897400.7871141164</v>
      </c>
      <c r="AD30" s="112">
        <v>5133470.6706653144</v>
      </c>
      <c r="AF30" s="112">
        <v>5377576.6746888999</v>
      </c>
      <c r="AH30" s="112">
        <v>5550058.6031432664</v>
      </c>
      <c r="AJ30" s="112">
        <v>5432935.2463303134</v>
      </c>
      <c r="AL30" s="112"/>
      <c r="AN30" s="112"/>
      <c r="AP30" s="112"/>
      <c r="AR30" s="112"/>
      <c r="AT30" s="112"/>
      <c r="AV30" s="112"/>
      <c r="AX30">
        <v>2924829.9599999995</v>
      </c>
    </row>
    <row r="31" spans="1:51" x14ac:dyDescent="0.2">
      <c r="A31" t="s">
        <v>47</v>
      </c>
      <c r="B31" s="77">
        <v>1</v>
      </c>
      <c r="D31" s="77">
        <v>1.0031814870091846</v>
      </c>
      <c r="F31" s="77">
        <v>1.00512633845918</v>
      </c>
      <c r="H31" s="77">
        <v>1.0057206856650183</v>
      </c>
      <c r="J31" s="77">
        <v>1.0048155137614352</v>
      </c>
      <c r="L31" s="77">
        <v>1.0022175382199094</v>
      </c>
      <c r="N31" s="77">
        <v>0.99767916771418907</v>
      </c>
      <c r="P31" s="77">
        <v>0.99087941157553427</v>
      </c>
      <c r="R31" s="77">
        <v>0.98139933103355403</v>
      </c>
      <c r="T31" s="77">
        <v>0.96868199048757908</v>
      </c>
      <c r="V31" s="77">
        <v>0.95197093485511963</v>
      </c>
      <c r="X31" s="77">
        <v>0.93021062366032925</v>
      </c>
      <c r="Z31" s="77">
        <v>0.90188412956932873</v>
      </c>
      <c r="AB31" s="77">
        <v>0.86475159528404721</v>
      </c>
      <c r="AD31" s="77">
        <v>0.81546819366492074</v>
      </c>
      <c r="AF31" s="77">
        <v>0.74918600666516622</v>
      </c>
      <c r="AH31" s="77">
        <v>0.65960335915434065</v>
      </c>
      <c r="AJ31" s="77">
        <v>0.5401773311546354</v>
      </c>
      <c r="AL31" s="77"/>
      <c r="AN31" s="77"/>
      <c r="AP31" s="77"/>
      <c r="AR31" s="77"/>
      <c r="AT31" s="77"/>
      <c r="AV31" s="77"/>
      <c r="AX31">
        <v>1</v>
      </c>
    </row>
    <row r="32" spans="1:51" x14ac:dyDescent="0.2">
      <c r="A32" t="s">
        <v>64</v>
      </c>
      <c r="B32" s="83">
        <v>14734457.915000005</v>
      </c>
      <c r="D32" s="83">
        <v>14824375.960374037</v>
      </c>
      <c r="F32" s="83">
        <v>14903047.51285916</v>
      </c>
      <c r="H32" s="83">
        <v>14969661.609529926</v>
      </c>
      <c r="J32" s="83">
        <v>15023076.72304731</v>
      </c>
      <c r="L32" s="83">
        <v>15061751.116561456</v>
      </c>
      <c r="N32" s="83">
        <v>15083687.430498397</v>
      </c>
      <c r="P32" s="83">
        <v>15086300.229957135</v>
      </c>
      <c r="R32" s="83">
        <v>15066273.300013648</v>
      </c>
      <c r="T32" s="83">
        <v>15019312.008980161</v>
      </c>
      <c r="V32" s="83">
        <v>14939747.808273612</v>
      </c>
      <c r="X32" s="83">
        <v>14819804.28505763</v>
      </c>
      <c r="Z32" s="83">
        <v>14648082.361854086</v>
      </c>
      <c r="AB32" s="83">
        <v>14406052.96123633</v>
      </c>
      <c r="AD32" s="83">
        <v>14059349.522009024</v>
      </c>
      <c r="AF32" s="83">
        <v>13536561.949540496</v>
      </c>
      <c r="AH32" s="83">
        <v>12686374.357603412</v>
      </c>
      <c r="AJ32" s="83">
        <v>11221869.462535141</v>
      </c>
      <c r="AL32" s="83"/>
      <c r="AN32" s="83"/>
      <c r="AP32" s="83"/>
      <c r="AR32" s="83"/>
      <c r="AT32" s="83"/>
      <c r="AV32" s="83"/>
      <c r="AX32">
        <v>14734457.915000005</v>
      </c>
    </row>
    <row r="33" spans="1:51 16319:16384" x14ac:dyDescent="0.2">
      <c r="A33" t="s">
        <v>54</v>
      </c>
      <c r="B33" s="111">
        <v>7019665.6909999885</v>
      </c>
      <c r="D33" s="111">
        <v>7062503.8679153696</v>
      </c>
      <c r="F33" s="111">
        <v>7099983.7363239573</v>
      </c>
      <c r="H33" s="111">
        <v>7131719.4638608135</v>
      </c>
      <c r="J33" s="111">
        <v>7157167.4102652343</v>
      </c>
      <c r="L33" s="111">
        <v>7175591.9742256645</v>
      </c>
      <c r="N33" s="111">
        <v>7186042.7136701392</v>
      </c>
      <c r="P33" s="111">
        <v>7187287.4277629368</v>
      </c>
      <c r="R33" s="111">
        <v>7177746.3943136092</v>
      </c>
      <c r="T33" s="111">
        <v>7155373.5383698689</v>
      </c>
      <c r="V33" s="111">
        <v>7117468.1703484729</v>
      </c>
      <c r="X33" s="111">
        <v>7060325.7133443905</v>
      </c>
      <c r="Z33" s="111">
        <v>6978515.3967287075</v>
      </c>
      <c r="AB33" s="111">
        <v>6863209.7950204741</v>
      </c>
      <c r="AD33" s="111">
        <v>6698036.2677781424</v>
      </c>
      <c r="AF33" s="111">
        <v>6448974.2354320027</v>
      </c>
      <c r="AH33" s="111">
        <v>6043935.0628438899</v>
      </c>
      <c r="AJ33" s="111">
        <v>5346228.0397904199</v>
      </c>
      <c r="AL33" s="111"/>
      <c r="AN33" s="111"/>
      <c r="AP33" s="111"/>
      <c r="AR33" s="111"/>
      <c r="AT33" s="111"/>
      <c r="AV33" s="111"/>
      <c r="AX33">
        <v>7019665.6909999885</v>
      </c>
    </row>
    <row r="34" spans="1:51 16319:16384" x14ac:dyDescent="0.2">
      <c r="A34" t="s">
        <v>75</v>
      </c>
      <c r="B34" s="111">
        <v>1136879.4410000162</v>
      </c>
      <c r="D34" s="111">
        <v>1143817.129301934</v>
      </c>
      <c r="F34" s="111">
        <v>1149887.4397503762</v>
      </c>
      <c r="H34" s="111">
        <v>1155027.2384509374</v>
      </c>
      <c r="J34" s="111">
        <v>1159148.2734226538</v>
      </c>
      <c r="L34" s="111">
        <v>1162132.6627385719</v>
      </c>
      <c r="N34" s="111">
        <v>1163825.1975545736</v>
      </c>
      <c r="P34" s="111">
        <v>1164026.8455006704</v>
      </c>
      <c r="R34" s="111">
        <v>1162481.5841524689</v>
      </c>
      <c r="T34" s="111">
        <v>1158858.1067943613</v>
      </c>
      <c r="V34" s="111">
        <v>1152719.1668306696</v>
      </c>
      <c r="X34" s="111">
        <v>1143464.5568260513</v>
      </c>
      <c r="Z34" s="111">
        <v>1130214.8720932005</v>
      </c>
      <c r="AB34" s="111">
        <v>1111540.4021555018</v>
      </c>
      <c r="AD34" s="111">
        <v>1084789.5114228828</v>
      </c>
      <c r="AF34" s="111">
        <v>1044452.334748855</v>
      </c>
      <c r="AH34" s="111">
        <v>978853.66860866104</v>
      </c>
      <c r="AJ34" s="111">
        <v>865855.58519471402</v>
      </c>
      <c r="AL34" s="111"/>
      <c r="AN34" s="111"/>
      <c r="AP34" s="111"/>
      <c r="AR34" s="111"/>
      <c r="AT34" s="111"/>
      <c r="AV34" s="111"/>
      <c r="AX34">
        <v>1136879.4410000162</v>
      </c>
    </row>
    <row r="35" spans="1:51 16319:16384" x14ac:dyDescent="0.2">
      <c r="A35" t="s">
        <v>78</v>
      </c>
      <c r="B35" s="192">
        <v>1</v>
      </c>
      <c r="D35" s="192">
        <v>1.0029129601854128</v>
      </c>
      <c r="F35" s="192">
        <v>1.0062930397357071</v>
      </c>
      <c r="H35" s="192">
        <v>1.0102198144302679</v>
      </c>
      <c r="J35" s="192">
        <v>1.0147954012655378</v>
      </c>
      <c r="L35" s="192">
        <v>1.020153210667057</v>
      </c>
      <c r="N35" s="192">
        <v>1.0264716285979814</v>
      </c>
      <c r="P35" s="192">
        <v>1.0339946789294239</v>
      </c>
      <c r="R35" s="192">
        <v>1.0430656042086859</v>
      </c>
      <c r="T35" s="192">
        <v>1.0541819996580035</v>
      </c>
      <c r="V35" s="192">
        <v>1.0680886341563152</v>
      </c>
      <c r="X35" s="192">
        <v>1.0859378281899692</v>
      </c>
      <c r="Z35" s="192">
        <v>1.1095679608404703</v>
      </c>
      <c r="AB35" s="192">
        <v>1.1419727663312278</v>
      </c>
      <c r="AD35" s="192">
        <v>1.1879839460100685</v>
      </c>
      <c r="AF35" s="192">
        <v>1.2548148014434113</v>
      </c>
      <c r="AH35" s="192">
        <v>1.3510265977854301</v>
      </c>
      <c r="AJ35" s="192">
        <v>1.4811821268119238</v>
      </c>
      <c r="AL35" s="192"/>
      <c r="AN35" s="192"/>
      <c r="AP35" s="192"/>
      <c r="AR35" s="192"/>
      <c r="AT35" s="192"/>
      <c r="AV35" s="192"/>
      <c r="AX35">
        <v>1</v>
      </c>
    </row>
    <row r="36" spans="1:51 16319:16384" x14ac:dyDescent="0.2">
      <c r="A36" t="s">
        <v>21</v>
      </c>
      <c r="B36" s="35">
        <v>0.47195767671988198</v>
      </c>
      <c r="C36" s="36">
        <v>0.31738834428178964</v>
      </c>
      <c r="D36" s="35">
        <v>0.47199119980644783</v>
      </c>
      <c r="E36" s="36">
        <v>0.32076350748277233</v>
      </c>
      <c r="F36" s="35">
        <v>0.47202652580429416</v>
      </c>
      <c r="G36" s="36">
        <v>0.32446504922421721</v>
      </c>
      <c r="H36" s="35">
        <v>0.47206404363542515</v>
      </c>
      <c r="I36" s="36">
        <v>0.32854361227879297</v>
      </c>
      <c r="J36" s="35">
        <v>0.47210418949304944</v>
      </c>
      <c r="K36" s="36">
        <v>0.33305985123591403</v>
      </c>
      <c r="L36" s="35">
        <v>0.47214743679168514</v>
      </c>
      <c r="M36" s="36">
        <v>0.33808757661781508</v>
      </c>
      <c r="N36" s="35">
        <v>0.47219430901215187</v>
      </c>
      <c r="O36" s="36">
        <v>0.34371871138937554</v>
      </c>
      <c r="P36" s="35">
        <v>0.47224532052052332</v>
      </c>
      <c r="Q36" s="36">
        <v>0.35006999662196681</v>
      </c>
      <c r="R36" s="35">
        <v>0.47230092471110352</v>
      </c>
      <c r="S36" s="36">
        <v>0.35729377453359878</v>
      </c>
      <c r="T36" s="35">
        <v>0.47236138183782761</v>
      </c>
      <c r="U36" s="36">
        <v>0.36559484789652125</v>
      </c>
      <c r="V36" s="35">
        <v>0.47242651942487307</v>
      </c>
      <c r="W36" s="36">
        <v>0.37525716482095151</v>
      </c>
      <c r="X36" s="35">
        <v>0.47249530887579272</v>
      </c>
      <c r="Y36" s="36">
        <v>0.38668682267999044</v>
      </c>
      <c r="Z36" s="35">
        <v>0.47256513341658529</v>
      </c>
      <c r="AA36" s="36">
        <v>0.40047938613318451</v>
      </c>
      <c r="AB36" s="35">
        <v>0.47263074453444248</v>
      </c>
      <c r="AC36" s="36">
        <v>0.41751596682521819</v>
      </c>
      <c r="AD36" s="35">
        <v>0.47268336128907745</v>
      </c>
      <c r="AE36" s="36">
        <v>0.43905629839430171</v>
      </c>
      <c r="AF36" s="35">
        <v>0.47271206980538538</v>
      </c>
      <c r="AG36" s="36">
        <v>0.4666706269015703</v>
      </c>
      <c r="AH36" s="35">
        <v>0.47271092184120544</v>
      </c>
      <c r="AI36" s="36">
        <v>0.50162492056586838</v>
      </c>
      <c r="AJ36" s="35">
        <v>0.47268795639573091</v>
      </c>
      <c r="AK36" s="36">
        <v>0.54332135354528666</v>
      </c>
      <c r="AL36" s="35"/>
      <c r="AM36" s="36"/>
      <c r="AN36" s="35"/>
      <c r="AO36" s="36"/>
      <c r="AP36" s="35"/>
      <c r="AQ36" s="36"/>
      <c r="AR36" s="35"/>
      <c r="AS36" s="36"/>
      <c r="AT36" s="35"/>
      <c r="AU36" s="36"/>
      <c r="AV36" s="35"/>
      <c r="AW36" s="36"/>
      <c r="AX36">
        <v>0.47195767671988198</v>
      </c>
      <c r="AY36">
        <v>0.31738834428178964</v>
      </c>
    </row>
    <row r="37" spans="1:51 16319:16384" x14ac:dyDescent="0.2">
      <c r="B37" s="37">
        <v>2.1403217525954466E-2</v>
      </c>
      <c r="C37" s="38">
        <v>0.3496246130199252</v>
      </c>
      <c r="D37" s="37">
        <v>2.0462242491337775E-2</v>
      </c>
      <c r="E37" s="38">
        <v>0.34393973749655055</v>
      </c>
      <c r="F37" s="37">
        <v>1.9528977803249484E-2</v>
      </c>
      <c r="G37" s="38">
        <v>0.33824637479621666</v>
      </c>
      <c r="H37" s="37">
        <v>1.8602563925636677E-2</v>
      </c>
      <c r="I37" s="38">
        <v>0.33254235422746281</v>
      </c>
      <c r="J37" s="37">
        <v>1.7682204513072876E-2</v>
      </c>
      <c r="K37" s="38">
        <v>0.32682614317275605</v>
      </c>
      <c r="L37" s="37">
        <v>1.6767074569860162E-2</v>
      </c>
      <c r="M37" s="38">
        <v>0.32109640980509091</v>
      </c>
      <c r="N37" s="37">
        <v>1.58561366523381E-2</v>
      </c>
      <c r="O37" s="38">
        <v>0.3153509788079048</v>
      </c>
      <c r="P37" s="37">
        <v>1.4948035606445179E-2</v>
      </c>
      <c r="Q37" s="38">
        <v>0.30958629589406444</v>
      </c>
      <c r="R37" s="37">
        <v>1.404087259269437E-2</v>
      </c>
      <c r="S37" s="38">
        <v>0.30379613608338957</v>
      </c>
      <c r="T37" s="37">
        <v>1.3131949538372141E-2</v>
      </c>
      <c r="U37" s="38">
        <v>0.29797021207525015</v>
      </c>
      <c r="V37" s="37">
        <v>1.2217502125894055E-2</v>
      </c>
      <c r="W37" s="38">
        <v>0.29209284479865366</v>
      </c>
      <c r="X37" s="37">
        <v>1.1292473882866251E-2</v>
      </c>
      <c r="Y37" s="38">
        <v>0.28614223879034623</v>
      </c>
      <c r="Z37" s="37">
        <v>1.0350630175480125E-2</v>
      </c>
      <c r="AA37" s="38">
        <v>0.28009257579030084</v>
      </c>
      <c r="AB37" s="37">
        <v>9.385753090205208E-3</v>
      </c>
      <c r="AC37" s="38">
        <v>0.27392417565820942</v>
      </c>
      <c r="AD37" s="37">
        <v>8.3957788130663256E-3</v>
      </c>
      <c r="AE37" s="38">
        <v>0.26765392414984218</v>
      </c>
      <c r="AF37" s="37">
        <v>7.3924824892775947E-3</v>
      </c>
      <c r="AG37" s="38">
        <v>0.26140061205720955</v>
      </c>
      <c r="AH37" s="37">
        <v>6.4148698553070371E-3</v>
      </c>
      <c r="AI37" s="38">
        <v>0.25546405962252189</v>
      </c>
      <c r="AJ37" s="37">
        <v>5.5324654171597567E-3</v>
      </c>
      <c r="AK37" s="38">
        <v>0.25031415220848524</v>
      </c>
      <c r="AL37" s="37"/>
      <c r="AM37" s="38"/>
      <c r="AN37" s="37"/>
      <c r="AO37" s="38"/>
      <c r="AP37" s="37"/>
      <c r="AQ37" s="38"/>
      <c r="AR37" s="37"/>
      <c r="AS37" s="38"/>
      <c r="AT37" s="37"/>
      <c r="AU37" s="38"/>
      <c r="AV37" s="37"/>
      <c r="AW37" s="38"/>
      <c r="AX37">
        <v>2.1403217525954466E-2</v>
      </c>
      <c r="AY37">
        <v>0.3496246130199252</v>
      </c>
    </row>
    <row r="38" spans="1:51 16319:16384" x14ac:dyDescent="0.2">
      <c r="A38" t="s">
        <v>22</v>
      </c>
      <c r="B38" s="35">
        <v>0.18079094942242827</v>
      </c>
      <c r="C38" s="36">
        <v>6.0565413429233668E-2</v>
      </c>
      <c r="D38" s="35">
        <v>0.18195683087670883</v>
      </c>
      <c r="E38" s="36">
        <v>6.1342453569679732E-2</v>
      </c>
      <c r="F38" s="35">
        <v>0.18307750413791868</v>
      </c>
      <c r="G38" s="36">
        <v>6.2151809755747106E-2</v>
      </c>
      <c r="H38" s="35">
        <v>0.18414793422118736</v>
      </c>
      <c r="I38" s="36">
        <v>6.299860049194321E-2</v>
      </c>
      <c r="J38" s="35">
        <v>0.18516098934934266</v>
      </c>
      <c r="K38" s="36">
        <v>6.3888776828096877E-2</v>
      </c>
      <c r="L38" s="35">
        <v>0.18610699551280785</v>
      </c>
      <c r="M38" s="36">
        <v>6.4829137703553447E-2</v>
      </c>
      <c r="N38" s="35">
        <v>0.18697341593278188</v>
      </c>
      <c r="O38" s="36">
        <v>6.5828081163667521E-2</v>
      </c>
      <c r="P38" s="35">
        <v>0.18774410634768596</v>
      </c>
      <c r="Q38" s="36">
        <v>6.6895932380743747E-2</v>
      </c>
      <c r="R38" s="35">
        <v>0.18839860501621961</v>
      </c>
      <c r="S38" s="36">
        <v>6.8046589210191216E-2</v>
      </c>
      <c r="T38" s="35">
        <v>0.18891112967178661</v>
      </c>
      <c r="U38" s="36">
        <v>6.9298992947775584E-2</v>
      </c>
      <c r="V38" s="35">
        <v>0.18924899070422729</v>
      </c>
      <c r="W38" s="36">
        <v>7.0680652152799575E-2</v>
      </c>
      <c r="X38" s="35">
        <v>0.18936984136893442</v>
      </c>
      <c r="Y38" s="36">
        <v>7.2232747475524078E-2</v>
      </c>
      <c r="Z38" s="35">
        <v>0.18921596548588687</v>
      </c>
      <c r="AA38" s="36">
        <v>7.4018372655093048E-2</v>
      </c>
      <c r="AB38" s="35">
        <v>0.18870112169803763</v>
      </c>
      <c r="AC38" s="36">
        <v>7.6132531946233414E-2</v>
      </c>
      <c r="AD38" s="35">
        <v>0.18768022864551925</v>
      </c>
      <c r="AE38" s="36">
        <v>7.8706697825645988E-2</v>
      </c>
      <c r="AF38" s="35">
        <v>0.18589283025475278</v>
      </c>
      <c r="AG38" s="36">
        <v>8.1877049246869588E-2</v>
      </c>
      <c r="AH38" s="35">
        <v>0.18293018591331722</v>
      </c>
      <c r="AI38" s="36">
        <v>8.5657876793679449E-2</v>
      </c>
      <c r="AJ38" s="35">
        <v>0.17845473740556927</v>
      </c>
      <c r="AK38" s="36">
        <v>8.9705583893584809E-2</v>
      </c>
      <c r="AL38" s="35"/>
      <c r="AM38" s="36"/>
      <c r="AN38" s="35"/>
      <c r="AO38" s="36"/>
      <c r="AP38" s="35"/>
      <c r="AQ38" s="36"/>
      <c r="AR38" s="35"/>
      <c r="AS38" s="36"/>
      <c r="AT38" s="35"/>
      <c r="AU38" s="36"/>
      <c r="AV38" s="35"/>
      <c r="AW38" s="36"/>
      <c r="AX38">
        <v>0.18079094942242827</v>
      </c>
      <c r="AY38">
        <v>6.0565413429233668E-2</v>
      </c>
    </row>
    <row r="39" spans="1:51 16319:16384" x14ac:dyDescent="0.2">
      <c r="A39" t="s">
        <v>23</v>
      </c>
      <c r="B39" s="37">
        <v>0.23064923795098771</v>
      </c>
      <c r="C39" s="38">
        <v>0.22092201281804777</v>
      </c>
      <c r="D39" s="37">
        <v>0.2299270586732414</v>
      </c>
      <c r="E39" s="38">
        <v>0.22236149998022192</v>
      </c>
      <c r="F39" s="37">
        <v>0.22938890985732346</v>
      </c>
      <c r="G39" s="38">
        <v>0.22404661686875385</v>
      </c>
      <c r="H39" s="37">
        <v>0.22904392846052324</v>
      </c>
      <c r="I39" s="38">
        <v>0.2260087530699923</v>
      </c>
      <c r="J39" s="37">
        <v>0.22890742654032134</v>
      </c>
      <c r="K39" s="38">
        <v>0.22828791585735814</v>
      </c>
      <c r="L39" s="37">
        <v>0.22900237548034996</v>
      </c>
      <c r="M39" s="38">
        <v>0.23093570817315404</v>
      </c>
      <c r="N39" s="37">
        <v>0.22936152254864511</v>
      </c>
      <c r="O39" s="38">
        <v>0.23401930963794379</v>
      </c>
      <c r="P39" s="37">
        <v>0.23003113147315973</v>
      </c>
      <c r="Q39" s="38">
        <v>0.23762812108081835</v>
      </c>
      <c r="R39" s="37">
        <v>0.23107673104378204</v>
      </c>
      <c r="S39" s="38">
        <v>0.24188351258840432</v>
      </c>
      <c r="T39" s="37">
        <v>0.23259275571548921</v>
      </c>
      <c r="U39" s="38">
        <v>0.24695619558636692</v>
      </c>
      <c r="V39" s="37">
        <v>0.23471932144343649</v>
      </c>
      <c r="W39" s="38">
        <v>0.25309439661135402</v>
      </c>
      <c r="X39" s="37">
        <v>0.23767283830006913</v>
      </c>
      <c r="Y39" s="38">
        <v>0.26067435239277381</v>
      </c>
      <c r="Z39" s="37">
        <v>0.2418053377585444</v>
      </c>
      <c r="AA39" s="38">
        <v>0.2702914943027051</v>
      </c>
      <c r="AB39" s="37">
        <v>0.24772721646024631</v>
      </c>
      <c r="AC39" s="38">
        <v>0.28293114124820534</v>
      </c>
      <c r="AD39" s="37">
        <v>0.25657789444114315</v>
      </c>
      <c r="AE39" s="38">
        <v>0.30028662515736887</v>
      </c>
      <c r="AF39" s="37">
        <v>0.2706603568481224</v>
      </c>
      <c r="AG39" s="38">
        <v>0.32535518673552444</v>
      </c>
      <c r="AH39" s="37">
        <v>0.29505037505787696</v>
      </c>
      <c r="AI39" s="38">
        <v>0.3637367711034869</v>
      </c>
      <c r="AJ39" s="37">
        <v>0.34243112273692139</v>
      </c>
      <c r="AK39" s="38">
        <v>0.42863671861009578</v>
      </c>
      <c r="AL39" s="37"/>
      <c r="AM39" s="38"/>
      <c r="AN39" s="37"/>
      <c r="AO39" s="38"/>
      <c r="AP39" s="37"/>
      <c r="AQ39" s="38"/>
      <c r="AR39" s="37"/>
      <c r="AS39" s="38"/>
      <c r="AT39" s="37"/>
      <c r="AU39" s="38"/>
      <c r="AV39" s="37"/>
      <c r="AW39" s="38"/>
      <c r="AX39">
        <v>0.23064923795098771</v>
      </c>
      <c r="AY39">
        <v>0.22092201281804777</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5.0213538710312089E-2</v>
      </c>
      <c r="E42" s="126"/>
      <c r="F42" s="167">
        <f>6.1%+(1-6.1%)*(1-SUM(F26:G26)/SUM($B$26:$C$26))</f>
        <v>4.0334920311660694E-2</v>
      </c>
      <c r="G42" s="126"/>
      <c r="H42" s="167">
        <f>6.1%+(1-6.1%)*(1-SUM(H26:I26)/SUM($B$26:$C$26))</f>
        <v>3.1458590397197145E-2</v>
      </c>
      <c r="I42" s="126"/>
      <c r="J42" s="167">
        <f>6.1%+(1-6.1%)*(1-SUM(J26:K26)/SUM($B$26:$C$26))</f>
        <v>2.3713971446449468E-2</v>
      </c>
      <c r="K42" s="126"/>
      <c r="L42" s="167">
        <f>6.1%+(1-6.1%)*(1-SUM(L26:M26)/SUM($B$26:$C$26))</f>
        <v>1.7274735662366474E-2</v>
      </c>
      <c r="M42" s="126"/>
      <c r="N42" s="167">
        <f>6.1%+(1-6.1%)*(1-SUM(N26:O26)/SUM($B$26:$C$26))</f>
        <v>1.2368202349978825E-2</v>
      </c>
      <c r="O42" s="126"/>
      <c r="P42" s="167">
        <f>6.1%+(1-6.1%)*(1-SUM(P26:Q26)/SUM($B$26:$C$26))</f>
        <v>9.2937826532572959E-3</v>
      </c>
      <c r="Q42" s="126"/>
      <c r="R42" s="167">
        <f>6.1%+(1-6.1%)*(1-SUM(R26:S26)/SUM($B$26:$C$26))</f>
        <v>8.4460689008354559E-3</v>
      </c>
      <c r="S42" s="126"/>
      <c r="T42" s="167">
        <f>6.1%+(1-6.1%)*(1-SUM(T26:U26)/SUM($B$26:$C$26))</f>
        <v>1.0351648472775379E-2</v>
      </c>
      <c r="U42" s="126"/>
      <c r="V42" s="167">
        <f>6.1%+(1-6.1%)*(1-SUM(V26:W26)/SUM($B$26:$C$26))</f>
        <v>1.5728043623839123E-2</v>
      </c>
      <c r="W42" s="126"/>
      <c r="X42" s="167">
        <f>6.1%+(1-6.1%)*(1-SUM(X26:Y26)/SUM($B$26:$C$26))</f>
        <v>2.5583578382540828E-2</v>
      </c>
      <c r="Y42" s="152"/>
      <c r="Z42" s="167">
        <f>6.1%+(1-6.1%)*(1-SUM(Z26:AA26)/SUM($B$26:$C$26))</f>
        <v>4.1396538126951536E-2</v>
      </c>
      <c r="AA42" s="126"/>
      <c r="AB42" s="167">
        <f>6.1%+(1-6.1%)*(1-SUM(AB26:AC26)/SUM($B$26:$C$26))</f>
        <v>6.5450748381382554E-2</v>
      </c>
      <c r="AC42" s="126"/>
      <c r="AD42" s="167">
        <f>6.1%+(1-6.1%)*(1-SUM(AD26:AE26)/SUM($B$26:$C$26))</f>
        <v>0.10145903798632064</v>
      </c>
      <c r="AE42" s="126"/>
      <c r="AF42" s="167">
        <f>6.1%+(1-6.1%)*(1-SUM(AF26:AG26)/SUM($B$26:$C$26))</f>
        <v>0.15557271412367901</v>
      </c>
      <c r="AG42" s="126"/>
      <c r="AH42" s="167">
        <f>6.1%+(1-6.1%)*(1-SUM(AH26:AI26)/SUM($B$26:$C$26))</f>
        <v>0.23732273746397345</v>
      </c>
      <c r="AI42" s="126"/>
      <c r="AJ42" s="167">
        <f>6.1%+(1-6.1%)*(1-SUM(AJ26:AK26)/SUM($B$26:$C$26))</f>
        <v>0.35877366402071237</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51 16319:16384" x14ac:dyDescent="0.2">
      <c r="A43" t="s">
        <v>95</v>
      </c>
      <c r="B43" s="152">
        <f>SUM(B15:C15*B27:C27)/SUM(B15:C15*B27:C27,B13:C13*B26:C26)</f>
        <v>0.56058995943839207</v>
      </c>
      <c r="C43" s="126"/>
      <c r="D43" s="152">
        <f t="array" ref="D43">SUM(D15:E15*D27:E27)/SUM(D15:E15*D27:E27,D13:E13*D26:E26)</f>
        <v>0.55965594750369596</v>
      </c>
      <c r="E43" s="126"/>
      <c r="F43" s="152">
        <f t="array" ref="F43">SUM(F15:G15*F27:G27)/SUM(F15:G15*F27:G27,F13:G13*F26:G26)</f>
        <v>0.55174465818129259</v>
      </c>
      <c r="G43" s="126"/>
      <c r="H43" s="152">
        <f t="array" ref="H43">SUM(H15:I15*H27:I27)/SUM(H15:I15*H27:I27,H13:I13*H26:I26)</f>
        <v>0.54339571904346917</v>
      </c>
      <c r="I43" s="126"/>
      <c r="J43" s="152">
        <f t="array" ref="J43">SUM(J15:K15*J27:K27)/SUM(J15:K15*J27:K27,J13:K13*J26:K26)</f>
        <v>0.53452346021458474</v>
      </c>
      <c r="K43" s="126"/>
      <c r="L43" s="152">
        <f t="array" ref="L43">SUM(L15:M15*L27:M27)/SUM(L15:M15*L27:M27,L13:M13*L26:M26)</f>
        <v>0.52502179055659992</v>
      </c>
      <c r="M43" s="126"/>
      <c r="N43" s="152">
        <f t="array" ref="N43">SUM(N15:O15*N27:O27)/SUM(N15:O15*N27:O27,N13:O13*N26:O26)</f>
        <v>0.51475411142739935</v>
      </c>
      <c r="O43" s="126"/>
      <c r="P43" s="152">
        <f t="array" ref="P43">SUM(P15:Q15*P27:Q27)/SUM(P15:Q15*P27:Q27,P13:Q13*P26:Q26)</f>
        <v>0.50353952029543103</v>
      </c>
      <c r="Q43" s="126"/>
      <c r="R43" s="152">
        <f t="array" ref="R43">SUM(R15:S15*R27:S27)/SUM(R15:S15*R27:S27,R13:S13*R26:S26)</f>
        <v>0.49112856208316935</v>
      </c>
      <c r="S43" s="126"/>
      <c r="T43" s="152">
        <f t="array" ref="T43">SUM(T15:U15*T27:U27)/SUM(T15:U15*T27:U27,T13:U13*T26:U26)</f>
        <v>0.47716295678698328</v>
      </c>
      <c r="U43" s="126"/>
      <c r="V43" s="152">
        <f t="array" ref="V43">SUM(V15:W15*V27:W27)/SUM(V15:W15*V27:W27,V13:W13*V26:W26)</f>
        <v>0.46110634772127473</v>
      </c>
      <c r="W43" s="126"/>
      <c r="X43" s="152">
        <f t="array" ref="X43">SUM(X15:Y15*X27:Y27)/SUM(X15:Y15*X27:Y27,X13:Y13*X26:Y26)</f>
        <v>0.44212203559599456</v>
      </c>
      <c r="Y43" s="126"/>
      <c r="Z43" s="152">
        <f t="array" ref="Z43">SUM(Z15:AA15*Z27:AA27)/SUM(Z15:AA15*Z27:AA27,Z13:AA13*Z26:AA26)</f>
        <v>0.41885609894973058</v>
      </c>
      <c r="AA43" s="126"/>
      <c r="AB43" s="152">
        <f t="array" ref="AB43">SUM(AB15:AC15*AB27:AC27)/SUM(AB15:AC15*AB27:AC27,AB13:AC13*AB26:AC26)</f>
        <v>0.38906314469785025</v>
      </c>
      <c r="AC43" s="126"/>
      <c r="AD43" s="152">
        <f t="array" ref="AD43">SUM(AD15:AE15*AD27:AE27)/SUM(AD15:AE15*AD27:AE27,AD13:AE13*AD26:AE26)</f>
        <v>0.34903925209742015</v>
      </c>
      <c r="AE43" s="126"/>
      <c r="AF43" s="152">
        <f t="array" ref="AF43">SUM(AF15:AG15*AF27:AG27)/SUM(AF15:AG15*AF27:AG27,AF13:AG13*AF26:AG26)</f>
        <v>0.29309169942507779</v>
      </c>
      <c r="AG43" s="126"/>
      <c r="AH43" s="152">
        <f t="array" ref="AH43">SUM(AH15:AI15*AH27:AI27)/SUM(AH15:AI15*AH27:AI27,AH13:AI13*AH26:AI26)</f>
        <v>0.21406255848944059</v>
      </c>
      <c r="AI43" s="126"/>
      <c r="AJ43" s="152">
        <f t="array" ref="AJ43">SUM(AJ15:AK15*AJ27:AK27)/SUM(AJ15:AK15*AJ27:AK27,AJ13:AK13*AJ26:AK26)</f>
        <v>0.10694431899887205</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51 16319:16384" x14ac:dyDescent="0.2">
      <c r="A44" t="s">
        <v>129</v>
      </c>
      <c r="B44" s="183">
        <f>(SUM(B11:C11*B24:C24)+B34)/B32</f>
        <v>0.29754226190682465</v>
      </c>
      <c r="D44" s="183">
        <f>(SUM(D11:E11*D24:E24)+D34)/D32</f>
        <v>0.29754224956048164</v>
      </c>
      <c r="F44" s="183">
        <f>(SUM(F11:G11*F24:G24)+F34)/F32</f>
        <v>0.29754226080162166</v>
      </c>
      <c r="H44" s="183">
        <f>(SUM(H11:I11*H24:I24)+H34)/H32</f>
        <v>0.29754226056690142</v>
      </c>
      <c r="J44" s="183">
        <f>(SUM(J11:K11*J24:K24)+J34)/J32</f>
        <v>0.29754223592558277</v>
      </c>
      <c r="L44" s="183">
        <f>(SUM(L11:M11*L24:M24)+L34)/L32</f>
        <v>0.29754226010383039</v>
      </c>
      <c r="N44" s="183">
        <f>(SUM(N11:O11*N24:O24)+N34)/N32</f>
        <v>0.29754225835079373</v>
      </c>
      <c r="P44" s="183">
        <f>(SUM(P11:Q11*P24:Q24)+P34)/P32</f>
        <v>0.29754226191120503</v>
      </c>
      <c r="R44" s="183">
        <f>(SUM(R11:S11*R24:S24)+R34)/R32</f>
        <v>0.29754226012198787</v>
      </c>
      <c r="T44" s="183">
        <f>(SUM(T11:U11*T24:U24)+T34)/T32</f>
        <v>0.29754225713797428</v>
      </c>
      <c r="V44" s="183">
        <f>(SUM(V11:W11*V24:W24)+V34)/V32</f>
        <v>0.29754226147334667</v>
      </c>
      <c r="X44" s="183">
        <f>(SUM(X11:Y11*X24:Y24)+X34)/X32</f>
        <v>0.29754226006441598</v>
      </c>
      <c r="Z44" s="183">
        <f>(SUM(Z11:AA11*Z24:AA24)+Z34)/Z32</f>
        <v>0.29754226085123525</v>
      </c>
      <c r="AB44" s="183">
        <f>(SUM(AB11:AC11*AB24:AC24)+AB34)/AB32</f>
        <v>0.29754226109734011</v>
      </c>
      <c r="AD44" s="183">
        <f>(SUM(AD11:AE11*AD24:AE24)+AD34)/AD32</f>
        <v>0.29754226179436444</v>
      </c>
      <c r="AF44" s="183">
        <f>(SUM(AF11:AG11*AF24:AG24)+AF34)/AF32</f>
        <v>0.29754226202912432</v>
      </c>
      <c r="AH44" s="183">
        <f>(SUM(AH11:AI11*AH24:AI24)+AH34)/AH32</f>
        <v>0.29754226188962263</v>
      </c>
      <c r="AJ44" s="183">
        <f>(SUM(AJ11:AK11*AJ24:AK24)+AJ34)/AJ32</f>
        <v>0.2975422618992859</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51 16319:16384" x14ac:dyDescent="0.2">
      <c r="A45" t="s">
        <v>82</v>
      </c>
      <c r="B45" s="183">
        <f>SUM(B11:C11*B24:C24)/B32</f>
        <v>0.22038438833194082</v>
      </c>
      <c r="D45" s="183">
        <f>SUM(D11:E11*D24:E24)/D32</f>
        <v>0.22038438926609968</v>
      </c>
      <c r="F45" s="183">
        <f>SUM(F11:G11*F24:G24)/F32</f>
        <v>0.22038438830888543</v>
      </c>
      <c r="H45" s="183">
        <f>SUM(H11:I11*H24:I24)/H32</f>
        <v>0.22038438829304666</v>
      </c>
      <c r="J45" s="183">
        <f>SUM(J11:K11*J24:K24)/J32</f>
        <v>0.22038438771700825</v>
      </c>
      <c r="L45" s="183">
        <f>SUM(L11:M11*L24:M24)/L32</f>
        <v>0.22038438823721021</v>
      </c>
      <c r="N45" s="183">
        <f>SUM(N11:O11*N24:O24)/N32</f>
        <v>0.22038438810738212</v>
      </c>
      <c r="P45" s="183">
        <f>SUM(P11:Q11*P24:Q24)/P32</f>
        <v>0.2203843883598593</v>
      </c>
      <c r="R45" s="183">
        <f>SUM(R11:S11*R24:S24)/R32</f>
        <v>0.22038438829767845</v>
      </c>
      <c r="T45" s="183">
        <f>SUM(T11:U11*T24:U24)/T32</f>
        <v>0.22038438824880868</v>
      </c>
      <c r="V45" s="183">
        <f>SUM(V11:W11*V24:W24)/V32</f>
        <v>0.22038438828673937</v>
      </c>
      <c r="X45" s="183">
        <f>SUM(X11:Y11*X24:Y24)/X32</f>
        <v>0.22038438841971594</v>
      </c>
      <c r="Z45" s="183">
        <f>SUM(Z11:AA11*Z24:AA24)/Z32</f>
        <v>0.22038438829335982</v>
      </c>
      <c r="AB45" s="183">
        <f>SUM(AB11:AC11*AB24:AC24)/AB32</f>
        <v>0.22038438828190451</v>
      </c>
      <c r="AD45" s="183">
        <f>SUM(AD11:AE11*AD24:AE24)/AD32</f>
        <v>0.22038438832911533</v>
      </c>
      <c r="AF45" s="183">
        <f>SUM(AF11:AG11*AF24:AG24)/AF32</f>
        <v>0.22038438851277631</v>
      </c>
      <c r="AH45" s="183">
        <f>SUM(AH11:AI11*AH24:AI24)/AH32</f>
        <v>0.22038438833042112</v>
      </c>
      <c r="AJ45" s="183">
        <f>SUM(AJ11:AK11*AJ24:AK24)/AJ32</f>
        <v>0.2203843883305884</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51 16319:16384" x14ac:dyDescent="0.2">
      <c r="A46" t="s">
        <v>126</v>
      </c>
      <c r="B46" s="183">
        <f>B34/B32</f>
        <v>7.7157873574883795E-2</v>
      </c>
      <c r="D46" s="183">
        <f>D34/D32</f>
        <v>7.7157860294381944E-2</v>
      </c>
      <c r="F46" s="183">
        <f>F34/F32</f>
        <v>7.7157872492736188E-2</v>
      </c>
      <c r="H46" s="183">
        <f>H34/H32</f>
        <v>7.7157872273854788E-2</v>
      </c>
      <c r="J46" s="183">
        <f>J34/J32</f>
        <v>7.7157848208574534E-2</v>
      </c>
      <c r="L46" s="183">
        <f>L34/L32</f>
        <v>7.7157871866620154E-2</v>
      </c>
      <c r="N46" s="183">
        <f>N34/N32</f>
        <v>7.7157870243411586E-2</v>
      </c>
      <c r="P46" s="183">
        <f>P34/P32</f>
        <v>7.7157873551345707E-2</v>
      </c>
      <c r="R46" s="183">
        <f>R34/R32</f>
        <v>7.7157871824309457E-2</v>
      </c>
      <c r="T46" s="183">
        <f>T34/T32</f>
        <v>7.7157868889165579E-2</v>
      </c>
      <c r="V46" s="183">
        <f>V34/V32</f>
        <v>7.7157873186607301E-2</v>
      </c>
      <c r="X46" s="183">
        <f>X34/X32</f>
        <v>7.7157871644699977E-2</v>
      </c>
      <c r="Z46" s="183">
        <f>Z34/Z32</f>
        <v>7.7157872557875429E-2</v>
      </c>
      <c r="AB46" s="183">
        <f>AB34/AB32</f>
        <v>7.7157872815435569E-2</v>
      </c>
      <c r="AD46" s="183">
        <f>AD34/AD32</f>
        <v>7.7157873465249105E-2</v>
      </c>
      <c r="AF46" s="183">
        <f>AF34/AF32</f>
        <v>7.7157873516348022E-2</v>
      </c>
      <c r="AH46" s="183">
        <f>AH34/AH32</f>
        <v>7.7157873559201562E-2</v>
      </c>
      <c r="AJ46" s="183">
        <f>AJ34/AJ32</f>
        <v>7.7157873568697521E-2</v>
      </c>
      <c r="AL46" s="183" t="e">
        <f>AL34/AL32</f>
        <v>#DIV/0!</v>
      </c>
      <c r="AN46" s="183" t="e">
        <f>AN34/AN32</f>
        <v>#DIV/0!</v>
      </c>
      <c r="AP46" s="183" t="e">
        <f>AP34/AP32</f>
        <v>#DIV/0!</v>
      </c>
      <c r="AR46" s="183" t="e">
        <f>AR34/AR32</f>
        <v>#DIV/0!</v>
      </c>
      <c r="AT46" s="183" t="e">
        <f>AT34/AT32</f>
        <v>#DIV/0!</v>
      </c>
      <c r="AV46" s="183" t="e">
        <f>AV34/AV32</f>
        <v>#DIV/0!</v>
      </c>
      <c r="XCS46" s="183"/>
    </row>
    <row r="48" spans="1:51 16319:16384" x14ac:dyDescent="0.2">
      <c r="A48" t="s">
        <v>143</v>
      </c>
      <c r="B48" s="181">
        <f>B24/$B$24</f>
        <v>1</v>
      </c>
      <c r="C48" s="181"/>
      <c r="D48" s="181">
        <f>D24/$B$24</f>
        <v>1.0082570066837764</v>
      </c>
      <c r="E48" s="181"/>
      <c r="F48" s="181">
        <f>F24/$B$24</f>
        <v>1.0158510590080365</v>
      </c>
      <c r="G48" s="181"/>
      <c r="H48" s="181">
        <f>H24/$B$24</f>
        <v>1.0227429986332619</v>
      </c>
      <c r="I48" s="181"/>
      <c r="J48" s="181">
        <f>J24/$B$24</f>
        <v>1.0288718819126546</v>
      </c>
      <c r="K48" s="181"/>
      <c r="L48" s="181">
        <f>L24/$B$24</f>
        <v>1.0341492191074169</v>
      </c>
      <c r="M48" s="181"/>
      <c r="N48" s="181">
        <f>N24/$B$24</f>
        <v>1.0384536261330439</v>
      </c>
      <c r="O48" s="181"/>
      <c r="P48" s="181">
        <f>P24/$B$24</f>
        <v>1.0416186087792549</v>
      </c>
      <c r="Q48" s="181"/>
      <c r="R48" s="181">
        <f>R24/$B$24</f>
        <v>1.0434178254582318</v>
      </c>
      <c r="S48" s="181"/>
      <c r="T48" s="181">
        <f>T24/$B$24</f>
        <v>1.0435398680169292</v>
      </c>
      <c r="U48" s="181"/>
      <c r="V48" s="181">
        <f>V24/$B$24</f>
        <v>1.0415475658830675</v>
      </c>
      <c r="W48" s="181"/>
      <c r="X48" s="181">
        <f>X24/$B$24</f>
        <v>1.0368057310540502</v>
      </c>
      <c r="Y48" s="181"/>
      <c r="Z48" s="181">
        <f>Z24/$B$24</f>
        <v>1.0283431483494267</v>
      </c>
      <c r="AA48" s="181"/>
      <c r="AB48" s="181">
        <f>AB24/$B$24</f>
        <v>1.0145654059530944</v>
      </c>
      <c r="AC48" s="181"/>
      <c r="AD48" s="181">
        <f>AD24/$B$24</f>
        <v>0.99261947482596757</v>
      </c>
      <c r="AE48" s="181"/>
      <c r="AF48" s="181">
        <f>AF24/$B$24</f>
        <v>0.95699260627565574</v>
      </c>
      <c r="AG48" s="181"/>
      <c r="AH48" s="181">
        <f>AH24/$B$24</f>
        <v>0.89683908729143214</v>
      </c>
      <c r="AI48" s="181"/>
      <c r="AJ48" s="181">
        <f>AJ24/$B$24</f>
        <v>0.79245827874377317</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0.99999999916152094</v>
      </c>
      <c r="E49" s="181"/>
      <c r="F49" s="181">
        <f>F13/F35/$B$13*$B$35</f>
        <v>1.0000000005147545</v>
      </c>
      <c r="G49" s="181"/>
      <c r="H49" s="181">
        <f>H13/H35/$B$13*$B$35</f>
        <v>1.0000000007957006</v>
      </c>
      <c r="I49" s="181"/>
      <c r="J49" s="181">
        <f>J13/J35/$B$13*$B$35</f>
        <v>1.0000000249497041</v>
      </c>
      <c r="K49" s="181"/>
      <c r="L49" s="181">
        <f>L13/L35/$B$13*$B$35</f>
        <v>1.0000000017308703</v>
      </c>
      <c r="M49" s="181"/>
      <c r="N49" s="181">
        <f>N13/N35/$B$13*$B$35</f>
        <v>1.0000000042912847</v>
      </c>
      <c r="O49" s="181"/>
      <c r="P49" s="181">
        <f>P13/P35/$B$13*$B$35</f>
        <v>0.99999999733868328</v>
      </c>
      <c r="Q49" s="181"/>
      <c r="R49" s="181">
        <f>R13/R35/$B$13*$B$35</f>
        <v>1.000000001428119</v>
      </c>
      <c r="S49" s="181"/>
      <c r="T49" s="181">
        <f>T13/T35/$B$13*$B$35</f>
        <v>1.0000000032990077</v>
      </c>
      <c r="U49" s="181"/>
      <c r="V49" s="181">
        <f>V13/V35/$B$13*$B$35</f>
        <v>1.0000000026333036</v>
      </c>
      <c r="W49" s="181"/>
      <c r="X49" s="181">
        <f>X13/X35/$B$13*$B$35</f>
        <v>0.99999999326984379</v>
      </c>
      <c r="Y49" s="181"/>
      <c r="Z49" s="181">
        <f>Z13/Z35/$B$13*$B$35</f>
        <v>1.0000000027028391</v>
      </c>
      <c r="AA49" s="181"/>
      <c r="AB49" s="181">
        <f>AB13/AB35/$B$13*$B$35</f>
        <v>1.0000000065268049</v>
      </c>
      <c r="AC49" s="181"/>
      <c r="AD49" s="181">
        <f>AD13/AD35/$B$13*$B$35</f>
        <v>1.0000000006293677</v>
      </c>
      <c r="AE49" s="181"/>
      <c r="AF49" s="181">
        <f>AF13/AF35/$B$13*$B$35</f>
        <v>1.0000000010718681</v>
      </c>
      <c r="AG49" s="181"/>
      <c r="AH49" s="181">
        <f>AH13/AH35/$B$13*$B$35</f>
        <v>1.0000000007535772</v>
      </c>
      <c r="AI49" s="181"/>
      <c r="AJ49" s="181">
        <f>AJ13/AJ35/$B$13*$B$35</f>
        <v>1.0000000005833753</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-301441.54047907144</v>
      </c>
      <c r="F51" s="27">
        <f>F30-F10*F23</f>
        <v>-192435.50954303471</v>
      </c>
      <c r="H51" s="27">
        <f>H30-H10*H23</f>
        <v>-78279.00460772682</v>
      </c>
      <c r="J51" s="27">
        <f>J30-J10*J23</f>
        <v>41659.013314687181</v>
      </c>
      <c r="L51" s="27">
        <f>L30-L10*L23</f>
        <v>168127.29786938615</v>
      </c>
      <c r="N51" s="27">
        <f>N30-N10*N23</f>
        <v>302060.29421675997</v>
      </c>
      <c r="P51" s="27">
        <f>P30-P10*P23</f>
        <v>444648.99376262538</v>
      </c>
      <c r="R51" s="27">
        <f>R30-R10*R23</f>
        <v>597489.51439471962</v>
      </c>
      <c r="T51" s="27">
        <f>T30-T10*T23</f>
        <v>762811.55014671152</v>
      </c>
      <c r="V51" s="27">
        <f>V30-V10*V23</f>
        <v>943844.25954329642</v>
      </c>
      <c r="X51" s="27">
        <f>X30-X10*X23</f>
        <v>1145375.9753791993</v>
      </c>
      <c r="Z51" s="27">
        <f>Z30-Z10*Z23</f>
        <v>1374479.7230389789</v>
      </c>
      <c r="AB51" s="27">
        <f>AB30-AB10*AB23</f>
        <v>1640967.1924725506</v>
      </c>
      <c r="AD51" s="27">
        <f>AD30-AD10*AD23</f>
        <v>1955408.0725705139</v>
      </c>
      <c r="AF51" s="27">
        <f>AF30-AF10*AF23</f>
        <v>2317688.2231440595</v>
      </c>
      <c r="AH51" s="27">
        <f>AH30-AH10*AH23</f>
        <v>2682351.8299235716</v>
      </c>
      <c r="AJ51" s="27">
        <f>AJ30-AJ10*AJ23</f>
        <v>2896274.2462068228</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2103015.2946728836</v>
      </c>
      <c r="F52" s="27">
        <f t="array" ref="F52">Calibration!sL*SUM(F13:G13*F26:G26)</f>
        <v>2132049.9460219932</v>
      </c>
      <c r="H52" s="27">
        <f t="array" ref="H52">Calibration!sL*SUM(H13:I13*H26:I26)</f>
        <v>2160166.8135860306</v>
      </c>
      <c r="J52" s="27">
        <f t="array" ref="J52">Calibration!sL*SUM(J13:K13*J26:K26)</f>
        <v>2187302.1957954718</v>
      </c>
      <c r="L52" s="27">
        <f t="array" ref="L52">Calibration!sL*SUM(L13:M13*L26:M26)</f>
        <v>2213353.2676995425</v>
      </c>
      <c r="N52" s="27">
        <f t="array" ref="N52">Calibration!sL*SUM(N13:O13*N26:O26)</f>
        <v>2238181.1269126632</v>
      </c>
      <c r="P52" s="27">
        <f t="array" ref="P52">Calibration!sL*SUM(P13:Q13*P26:Q26)</f>
        <v>2261603.1717274492</v>
      </c>
      <c r="R52" s="27">
        <f t="array" ref="R52">Calibration!sL*SUM(R13:S13*R26:S26)</f>
        <v>2283395.7015158567</v>
      </c>
      <c r="T52" s="27">
        <f t="array" ref="T52">Calibration!sL*SUM(T13:U13*T26:U26)</f>
        <v>2303295.8054146054</v>
      </c>
      <c r="V52" s="27">
        <f t="array" ref="V52">Calibration!sL*SUM(V13:W13*V26:W26)</f>
        <v>2321002.5609004842</v>
      </c>
      <c r="X52" s="27">
        <f t="array" ref="X52">Calibration!sL*SUM(X13:Y13*X26:Y26)</f>
        <v>2336160.9850211083</v>
      </c>
      <c r="Z52" s="27">
        <f t="array" ref="Z52">Calibration!sL*SUM(Z13:AA13*Z26:AA26)</f>
        <v>2348259.6486180974</v>
      </c>
      <c r="AB52" s="27">
        <f t="array" ref="AB52">Calibration!sL*SUM(AB13:AC13*AB26:AC26)</f>
        <v>2356194.6051637814</v>
      </c>
      <c r="AD52" s="27">
        <f t="array" ref="AD52">Calibration!sL*SUM(AD13:AE13*AD26:AE26)</f>
        <v>2356685.6947945906</v>
      </c>
      <c r="AF52" s="27">
        <f t="array" ref="AF52">Calibration!sL*SUM(AF13:AG13*AF26:AG26)</f>
        <v>2339349.4699256048</v>
      </c>
      <c r="AH52" s="27">
        <f t="array" ref="AH52">Calibration!sL*SUM(AH13:AI13*AH26:AI26)</f>
        <v>2274876.9585400396</v>
      </c>
      <c r="AJ52" s="27">
        <f t="array" ref="AJ52">Calibration!sL*SUM(AJ13:AK13*AJ26:AK26)</f>
        <v>2096877.3451190414</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2672830.5076058581</v>
      </c>
      <c r="F53" s="27">
        <f t="array" ref="F53">Calibration!sK*SUM(F15:G15*F27:G27)</f>
        <v>2624279.1974782762</v>
      </c>
      <c r="H53" s="27">
        <f t="array" ref="H53">Calibration!sK*SUM(H15:I15*H27:I27)</f>
        <v>2570771.7773985793</v>
      </c>
      <c r="J53" s="27">
        <f t="array" ref="J53">Calibration!sK*SUM(J15:K15*J27:K27)</f>
        <v>2511757.8187088445</v>
      </c>
      <c r="L53" s="27">
        <f t="array" ref="L53">Calibration!sK*SUM(L15:M15*L27:M27)</f>
        <v>2446551.5946587655</v>
      </c>
      <c r="N53" s="27">
        <f t="array" ref="N53">Calibration!sK*SUM(N15:O15*N27:O27)</f>
        <v>2374286.8601866141</v>
      </c>
      <c r="P53" s="27">
        <f t="array" ref="P53">Calibration!sK*SUM(P15:Q15*P27:Q27)</f>
        <v>2293851.4196899217</v>
      </c>
      <c r="R53" s="27">
        <f t="array" ref="R53">Calibration!sK*SUM(R15:S15*R27:S27)</f>
        <v>2203780.2949664858</v>
      </c>
      <c r="T53" s="27">
        <f t="array" ref="T53">Calibration!sK*SUM(T15:U15*T27:U27)</f>
        <v>2102084.1027496019</v>
      </c>
      <c r="V53" s="27">
        <f t="array" ref="V53">Calibration!sK*SUM(V15:W15*V27:W27)</f>
        <v>1985974.4299882879</v>
      </c>
      <c r="X53" s="27">
        <f t="array" ref="X53">Calibration!sK*SUM(X15:Y15*X27:Y27)</f>
        <v>1851423.2790694905</v>
      </c>
      <c r="Z53" s="27">
        <f t="array" ref="Z53">Calibration!sK*SUM(Z15:AA15*Z27:AA27)</f>
        <v>1692494.5335633159</v>
      </c>
      <c r="AB53" s="27">
        <f t="array" ref="AB53">Calibration!sK*SUM(AB15:AC15*AB27:AC27)</f>
        <v>1500496.2863989535</v>
      </c>
      <c r="AD53" s="27">
        <f t="array" ref="AD53">Calibration!sK*SUM(AD15:AE15*AD27:AE27)</f>
        <v>1263633.5063061228</v>
      </c>
      <c r="AF53" s="27">
        <f t="array" ref="AF53">Calibration!sK*SUM(AF15:AG15*AF27:AG27)</f>
        <v>969919.16933500767</v>
      </c>
      <c r="AH53" s="27">
        <f t="array" ref="AH53">Calibration!sK*SUM(AH15:AI15*AH27:AI27)</f>
        <v>619598.90987992252</v>
      </c>
      <c r="AJ53" s="27">
        <f t="array" ref="AJ53">Calibration!sK*SUM(AJ15:AK15*AJ27:AK27)</f>
        <v>251103.17807567419</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0.20571202380127954</v>
      </c>
      <c r="F55" s="183">
        <f>F30/F32</f>
        <v>0.2131337107018782</v>
      </c>
      <c r="H55" s="183">
        <f>H30/H32</f>
        <v>0.22081702793708591</v>
      </c>
      <c r="J55" s="183">
        <f>J30/J32</f>
        <v>0.22881920599966193</v>
      </c>
      <c r="L55" s="183">
        <f>L30/L32</f>
        <v>0.23720873782953228</v>
      </c>
      <c r="N55" s="183">
        <f>N30/N32</f>
        <v>0.24607183129585727</v>
      </c>
      <c r="P55" s="183">
        <f>P30/P32</f>
        <v>0.25551989837834471</v>
      </c>
      <c r="R55" s="183">
        <f>R30/R32</f>
        <v>0.26570362365519484</v>
      </c>
      <c r="T55" s="183">
        <f>T30/T32</f>
        <v>0.27683491910012531</v>
      </c>
      <c r="V55" s="183">
        <f>V30/V32</f>
        <v>0.28922292425581059</v>
      </c>
      <c r="X55" s="183">
        <f>X30/X32</f>
        <v>0.30333305352329049</v>
      </c>
      <c r="Z55" s="183">
        <f>Z30/Z32</f>
        <v>0.31987962856389257</v>
      </c>
      <c r="AB55" s="183">
        <f>AB30/AB32</f>
        <v>0.33995437891919428</v>
      </c>
      <c r="AD55" s="183">
        <f>AD30/AD32</f>
        <v>0.36512860446560419</v>
      </c>
      <c r="AF55" s="183">
        <f>AF30/AF32</f>
        <v>0.39726310822013738</v>
      </c>
      <c r="AH55" s="183">
        <f>AH30/AH32</f>
        <v>0.43748185625760849</v>
      </c>
      <c r="AJ55" s="183">
        <f>AJ30/AJ32</f>
        <v>0.48413816115652397</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3.5214504955990704E-2</v>
      </c>
      <c r="F56" s="183">
        <f>(Model!$C$52*F5*F20+F2*G5*G20)/F32</f>
        <v>4.1382104575263638E-2</v>
      </c>
      <c r="H56" s="183">
        <f>(Model!$C$52*H5*H20+H2*I5*I20)/H32</f>
        <v>4.7764909864891805E-2</v>
      </c>
      <c r="J56" s="183">
        <f>(Model!$C$52*J5*J20+J2*K5*K20)/J32</f>
        <v>5.4410428452348461E-2</v>
      </c>
      <c r="L56" s="183">
        <f>(Model!$C$52*L5*L20+L2*M5*M20)/L32</f>
        <v>6.1375471343495108E-2</v>
      </c>
      <c r="N56" s="183">
        <f>(Model!$C$52*N5*N20+N2*O5*O20)/N32</f>
        <v>6.8731454478109938E-2</v>
      </c>
      <c r="P56" s="183">
        <f>(Model!$C$52*P5*P20+P2*Q5*Q20)/P32</f>
        <v>7.6570526095044958E-2</v>
      </c>
      <c r="R56" s="183">
        <f>(Model!$C$52*R5*R20+R2*S5*S20)/R32</f>
        <v>8.5017165543822729E-2</v>
      </c>
      <c r="T56" s="183">
        <f>(Model!$C$52*T5*T20+T2*U5*U20)/T32</f>
        <v>9.4246092791299363E-2</v>
      </c>
      <c r="V56" s="183">
        <f>(Model!$C$52*V5*V20+V2*W5*W20)/V32</f>
        <v>0.10451179548489352</v>
      </c>
      <c r="X56" s="183">
        <f>(Model!$C$52*X5*X20+X2*Y5*Y20)/X32</f>
        <v>0.1161968577194385</v>
      </c>
      <c r="Z56" s="183">
        <f>(Model!$C$52*Z5*Z20+Z2*AA5*AA20)/Z32</f>
        <v>0.12988773435810766</v>
      </c>
      <c r="AB56" s="183">
        <f>(Model!$C$52*AB5*AB20+AB2*AC5*AC20)/AB32</f>
        <v>0.14647984156735958</v>
      </c>
      <c r="AD56" s="183">
        <f>(Model!$C$52*AD5*AD20+AD2*AE5*AE20)/AD32</f>
        <v>0.16726086372454418</v>
      </c>
      <c r="AF56" s="183">
        <f>(Model!$C$52*AF5*AF20+AF2*AG5*AG20)/AF32</f>
        <v>0.1937544852919362</v>
      </c>
      <c r="AH56" s="183">
        <f>(Model!$C$52*AH5*AH20+AH2*AI5*AI20)/AH32</f>
        <v>0.22687874971786184</v>
      </c>
      <c r="AJ56" s="183">
        <f>(Model!$C$52*AJ5*AJ20+AJ2*AK5*AK20)/AJ32</f>
        <v>0.2652775953267229</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0.15984151591275592</v>
      </c>
      <c r="F57" s="183">
        <f t="array" ref="F57">SUM(Model!tauL*F13:G13*F26:G26)/F32</f>
        <v>0.1611928846711301</v>
      </c>
      <c r="H57" s="183">
        <f t="array" ref="H57">SUM(Model!tauL*H13:I13*H26:I26)/H32</f>
        <v>0.16259189232951096</v>
      </c>
      <c r="J57" s="183">
        <f t="array" ref="J57">SUM(Model!tauL*J13:K13*J26:K26)/J32</f>
        <v>0.16404896049110673</v>
      </c>
      <c r="L57" s="183">
        <f t="array" ref="L57">SUM(Model!tauL*L13:M13*L26:M26)/L32</f>
        <v>0.1655765572172721</v>
      </c>
      <c r="N57" s="183">
        <f t="array" ref="N57">SUM(Model!tauL*N13:O13*N26:O26)/N32</f>
        <v>0.16719037971774417</v>
      </c>
      <c r="P57" s="183">
        <f t="array" ref="P57">SUM(Model!tauL*P13:Q13*P26:Q26)/P32</f>
        <v>0.16891072939571727</v>
      </c>
      <c r="R57" s="183">
        <f t="array" ref="R57">SUM(Model!tauL*R13:S13*R26:S26)/R32</f>
        <v>0.17076502144701991</v>
      </c>
      <c r="T57" s="183">
        <f t="array" ref="T57">SUM(Model!tauL*T13:U13*T26:U26)/T32</f>
        <v>0.17279185077438139</v>
      </c>
      <c r="V57" s="183">
        <f t="array" ref="V57">SUM(Model!tauL*V13:W13*V26:W26)/V32</f>
        <v>0.17504750793015728</v>
      </c>
      <c r="X57" s="183">
        <f t="array" ref="X57">SUM(Model!tauL*X13:Y13*X26:Y26)/X32</f>
        <v>0.17761673297870278</v>
      </c>
      <c r="Y57" s="183"/>
      <c r="Z57" s="183">
        <f t="array" ref="Z57">SUM(Model!tauL*Z13:AA13*Z26:AA26)/Z32</f>
        <v>0.18062960046046389</v>
      </c>
      <c r="AB57" s="183">
        <f t="array" ref="AB57">SUM(Model!tauL*AB13:AC13*AB26:AC26)/AB32</f>
        <v>0.18428489065477333</v>
      </c>
      <c r="AD57" s="183">
        <f t="array" ref="AD57">SUM(Model!tauL*AD13:AE13*AD26:AE26)/AD32</f>
        <v>0.18886871122538845</v>
      </c>
      <c r="AF57" s="183">
        <f t="array" ref="AF57">SUM(Model!tauL*AF13:AG13*AF26:AG26)/AF32</f>
        <v>0.19471988697721071</v>
      </c>
      <c r="AH57" s="183">
        <f t="array" ref="AH57">SUM(Model!tauL*AH13:AI13*AH26:AI26)/AH32</f>
        <v>0.20204307435971283</v>
      </c>
      <c r="AJ57" s="183">
        <f t="array" ref="AJ57">SUM(Model!tauL*AJ13:AK13*AJ26:AK26)/AJ32</f>
        <v>0.21053843681719872</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1.0656002932532877E-2</v>
      </c>
      <c r="F58" s="183">
        <f t="array" ref="F58">SUM(Model!tauY/(1+Model!tauY)*F3:G3*F18:G18)/F32</f>
        <v>1.0558721455484463E-2</v>
      </c>
      <c r="H58" s="183">
        <f t="array" ref="H58">SUM(Model!tauY/(1+Model!tauY)*H3:I3*H18:I18)/H32</f>
        <v>1.0460225742683162E-2</v>
      </c>
      <c r="J58" s="183">
        <f t="array" ref="J58">SUM(Model!tauY/(1+Model!tauY)*J3:K3*J18:K18)/J32</f>
        <v>1.0359817056206746E-2</v>
      </c>
      <c r="L58" s="183">
        <f t="array" ref="L58">SUM(Model!tauY/(1+Model!tauY)*L3:M3*L18:M18)/L32</f>
        <v>1.0256709268765044E-2</v>
      </c>
      <c r="N58" s="183">
        <f t="array" ref="N58">SUM(Model!tauY/(1+Model!tauY)*N3:O3*N18:O18)/N32</f>
        <v>1.0149997100003128E-2</v>
      </c>
      <c r="P58" s="183">
        <f t="array" ref="P58">SUM(Model!tauY/(1+Model!tauY)*P3:Q3*P18:Q18)/P32</f>
        <v>1.003864288758248E-2</v>
      </c>
      <c r="R58" s="183">
        <f t="array" ref="R58">SUM(Model!tauY/(1+Model!tauY)*R3:S3*R18:S18)/R32</f>
        <v>9.921436664352197E-3</v>
      </c>
      <c r="T58" s="183">
        <f t="array" ref="T58">SUM(Model!tauY/(1+Model!tauY)*T3:U3*T18:U18)/T32</f>
        <v>9.7969755344445783E-3</v>
      </c>
      <c r="V58" s="183">
        <f t="array" ref="V58">SUM(Model!tauY/(1+Model!tauY)*V3:W3*V18:W18)/V32</f>
        <v>9.6636208407597478E-3</v>
      </c>
      <c r="X58" s="183">
        <f t="array" ref="X58">SUM(Model!tauY/(1+Model!tauY)*X3:Y3*X18:Y18)/X32</f>
        <v>9.5194628251491775E-3</v>
      </c>
      <c r="Y58" s="183"/>
      <c r="Z58" s="183">
        <f t="array" ref="Z58">SUM(Model!tauY/(1+Model!tauY)*Z3:AA3*Z18:AA18)/Z32</f>
        <v>9.3622937453210538E-3</v>
      </c>
      <c r="AB58" s="183">
        <f t="array" ref="AB58">SUM(Model!tauY/(1+Model!tauY)*AB3:AC3*AB18:AC18)/AB32</f>
        <v>9.1896466970614252E-3</v>
      </c>
      <c r="AD58" s="183">
        <f t="array" ref="AD58">SUM(Model!tauY/(1+Model!tauY)*AD3:AE3*AD18:AE18)/AD32</f>
        <v>8.9990295156715094E-3</v>
      </c>
      <c r="AF58" s="183">
        <f t="array" ref="AF58">SUM(Model!tauY/(1+Model!tauY)*AF3:AG3*AF18:AG18)/AF32</f>
        <v>8.7887359509905283E-3</v>
      </c>
      <c r="AH58" s="183">
        <f t="array" ref="AH58">SUM(Model!tauY/(1+Model!tauY)*AH3:AI3*AH18:AI18)/AH32</f>
        <v>8.5600321800337695E-3</v>
      </c>
      <c r="AJ58" s="183">
        <f t="array" ref="AJ58">SUM(Model!tauY/(1+Model!tauY)*AJ3:AK3*AJ18:AK18)/AJ32</f>
        <v>8.3221290126024011E-3</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6.6302295071029313E-3</v>
      </c>
      <c r="F59" s="183">
        <f>(F2*G5*G20)/F32</f>
        <v>1.2886086934340606E-2</v>
      </c>
      <c r="H59" s="183">
        <f>(H2*I5*I20)/H32</f>
        <v>1.9360921782720347E-2</v>
      </c>
      <c r="J59" s="183">
        <f>(J2*K5*K20)/J32</f>
        <v>2.6103064036300902E-2</v>
      </c>
      <c r="L59" s="183">
        <f>(L2*M5*M20)/L32</f>
        <v>3.317030880099231E-2</v>
      </c>
      <c r="N59" s="183">
        <f>(N2*O5*O20)/N32</f>
        <v>4.0635300886963932E-2</v>
      </c>
      <c r="P59" s="183">
        <f>(P2*Q5*Q20)/P32</f>
        <v>4.8591760500940363E-2</v>
      </c>
      <c r="R59" s="183">
        <f>(R2*S5*S20)/R32</f>
        <v>5.7166265323212409E-2</v>
      </c>
      <c r="T59" s="183">
        <f>(T2*U5*U20)/T32</f>
        <v>6.6536437354536501E-2</v>
      </c>
      <c r="V59" s="183">
        <f>(V2*W5*W20)/V32</f>
        <v>7.6960934320656496E-2</v>
      </c>
      <c r="X59" s="183">
        <f>(X2*Y5*Y20)/X32</f>
        <v>8.8828534095120149E-2</v>
      </c>
      <c r="Z59" s="183">
        <f>(Z2*AA5*AA20)/Z32</f>
        <v>0.1027351054040905</v>
      </c>
      <c r="AB59" s="183">
        <f>(AB2*AC5*AC20)/AB32</f>
        <v>0.11959036696239028</v>
      </c>
      <c r="AD59" s="183">
        <f>(AD2*AE5*AE20)/AD32</f>
        <v>0.14070256779031085</v>
      </c>
      <c r="AF59" s="183">
        <f>(AF2*AG5*AG20)/AF32</f>
        <v>0.16761983956059182</v>
      </c>
      <c r="AH59" s="183">
        <f>(AH2*AI5*AI20)/AH32</f>
        <v>0.20127507634629208</v>
      </c>
      <c r="AJ59" s="183">
        <f>(AJ2*AK5*AK20)/AJ32</f>
        <v>0.24028992116604675</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2.8584275448887777E-2</v>
      </c>
      <c r="F60" s="183">
        <f>Model!$C$52*F5*F20/F32</f>
        <v>2.8496017640923028E-2</v>
      </c>
      <c r="H60" s="183">
        <f>Model!$C$52*H5*H20/H32</f>
        <v>2.8403988082171462E-2</v>
      </c>
      <c r="J60" s="183">
        <f>Model!$C$52*J5*J20/J32</f>
        <v>2.8307364416047552E-2</v>
      </c>
      <c r="L60" s="183">
        <f>Model!$C$52*L5*L20/L32</f>
        <v>2.8205162542502805E-2</v>
      </c>
      <c r="N60" s="183">
        <f>Model!$C$52*N5*N20/N32</f>
        <v>2.8096153591146006E-2</v>
      </c>
      <c r="P60" s="183">
        <f>Model!$C$52*P5*P20/P32</f>
        <v>2.7978765594104588E-2</v>
      </c>
      <c r="R60" s="183">
        <f>Model!$C$52*R5*R20/R32</f>
        <v>2.7850900220610326E-2</v>
      </c>
      <c r="T60" s="183">
        <f>Model!$C$52*T5*T20/T32</f>
        <v>2.7709655436762851E-2</v>
      </c>
      <c r="V60" s="183">
        <f>Model!$C$52*V5*V20/V32</f>
        <v>2.7550861164237012E-2</v>
      </c>
      <c r="X60" s="183">
        <f>Model!$C$52*X5*X20/X32</f>
        <v>2.7368323624318354E-2</v>
      </c>
      <c r="Z60" s="183">
        <f>Model!$C$52*Z5*Z20/Z32</f>
        <v>2.7152628954017159E-2</v>
      </c>
      <c r="AB60" s="183">
        <f>Model!$C$52*AB5*AB20/AB32</f>
        <v>2.688947460496929E-2</v>
      </c>
      <c r="AD60" s="183">
        <f>Model!$C$52*AD5*AD20/AD32</f>
        <v>2.6558295934233343E-2</v>
      </c>
      <c r="AF60" s="183">
        <f>Model!$C$52*AF5*AF20/AF32</f>
        <v>2.6134645731344375E-2</v>
      </c>
      <c r="AH60" s="183">
        <f>Model!$C$52*AH5*AH20/AH32</f>
        <v>2.5603673371569786E-2</v>
      </c>
      <c r="AJ60" s="183">
        <f>Model!$C$52*AJ5*AJ20/AJ32</f>
        <v>2.4987674160676134E-2</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1.0194373466726252</v>
      </c>
      <c r="F62">
        <f>F13/F15</f>
        <v>1.0417971286657013</v>
      </c>
      <c r="H62">
        <f>H13/H15</f>
        <v>1.067630775944125</v>
      </c>
      <c r="J62">
        <f>J13/J15</f>
        <v>1.0976641496669493</v>
      </c>
      <c r="L62">
        <f>L13/L15</f>
        <v>1.1328691437537908</v>
      </c>
      <c r="N62">
        <f>N13/N15</f>
        <v>1.174579694193937</v>
      </c>
      <c r="P62">
        <f>P13/P15</f>
        <v>1.224677515517582</v>
      </c>
      <c r="R62">
        <f>R13/R15</f>
        <v>1.2859143853133426</v>
      </c>
      <c r="T62">
        <f>T13/T15</f>
        <v>1.3624928592836616</v>
      </c>
      <c r="V62">
        <f>V13/V15</f>
        <v>1.4611754500301988</v>
      </c>
      <c r="X62">
        <f>X13/X15</f>
        <v>1.5935583330516478</v>
      </c>
      <c r="Z62">
        <f>Z13/Z15</f>
        <v>1.7811289326625601</v>
      </c>
      <c r="AB62">
        <f>AB13/AB15</f>
        <v>2.0677096198010627</v>
      </c>
      <c r="AD62">
        <f>AD13/AD15</f>
        <v>2.5542191918763133</v>
      </c>
      <c r="AF62">
        <f>AF13/AF15</f>
        <v>3.5148986819215757</v>
      </c>
      <c r="AH62">
        <f>AH13/AH15</f>
        <v>5.9240945202647932</v>
      </c>
      <c r="AJ62">
        <f>AJ13/AJ15</f>
        <v>16.025994091345236</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0.99805722593479074</v>
      </c>
      <c r="E65" s="181"/>
      <c r="F65" s="181">
        <f t="array" ref="F65">SQRT((F9:G9*$B$22:$C$22+F10:G10*$B$23:$C$23+F11:G11*$B$24:$C$24+F4:G4*($B$25:$C$25-$B$19:$C$19))/($B$9:$C$9*$B$22:$C$22+$B$10:$C$10*$B$23:$C$23+$B$11:$C$11*$B$24:$C$24+$B$4:$C$4*($B$25:$C$25-$B$19:$C$19))*(F9:G9*F22:G22+F10:G10*F23:G23+F11:G11*F24:G24+F4:G4*(F25:G25-F19:G19))/($B$9:$C$9*F22:G22+$B$10:$C$10*F23:G23+$B$11:$C$11*F24:G24+$B$4:$C$4*(F25:G25-F19:G19)))</f>
        <v>0.99605682730228917</v>
      </c>
      <c r="G65" s="181"/>
      <c r="H65" s="181">
        <f t="array" ref="H65">SQRT((H9:I9*$B$22:$C$22+H10:I10*$B$23:$C$23+H11:I11*$B$24:$C$24+H4:I4*($B$25:$C$25-$B$19:$C$19))/($B$9:$C$9*$B$22:$C$22+$B$10:$C$10*$B$23:$C$23+$B$11:$C$11*$B$24:$C$24+$B$4:$C$4*($B$25:$C$25-$B$19:$C$19))*(H9:I9*H22:I22+H10:I10*H23:I23+H11:I11*H24:I24+H4:I4*(H25:I25-H19:I19))/($B$9:$C$9*H22:I22+$B$10:$C$10*H23:I23+$B$11:$C$11*H24:I24+$B$4:$C$4*(H25:I25-H19:I19)))</f>
        <v>0.99398230573992075</v>
      </c>
      <c r="I65" s="181"/>
      <c r="J65" s="181">
        <f t="array" ref="J65">SQRT((J9:K9*$B$22:$C$22+J10:K10*$B$23:$C$23+J11:K11*$B$24:$C$24+J4:K4*($B$25:$C$25-$B$19:$C$19))/($B$9:$C$9*$B$22:$C$22+$B$10:$C$10*$B$23:$C$23+$B$11:$C$11*$B$24:$C$24+$B$4:$C$4*($B$25:$C$25-$B$19:$C$19))*(J9:K9*J22:K22+J10:K10*J23:K23+J11:K11*J24:K24+J4:K4*(J25:K25-J19:K19))/($B$9:$C$9*J22:K22+$B$10:$C$10*J23:K23+$B$11:$C$11*J24:K24+$B$4:$C$4*(J25:K25-J19:K19)))</f>
        <v>0.99181638002754025</v>
      </c>
      <c r="K65" s="181"/>
      <c r="L65" s="181">
        <f t="array" ref="L65">SQRT((L9:M9*$B$22:$C$22+L10:M10*$B$23:$C$23+L11:M11*$B$24:$C$24+L4:M4*($B$25:$C$25-$B$19:$C$19))/($B$9:$C$9*$B$22:$C$22+$B$10:$C$10*$B$23:$C$23+$B$11:$C$11*$B$24:$C$24+$B$4:$C$4*($B$25:$C$25-$B$19:$C$19))*(L9:M9*L22:M22+L10:M10*L23:M23+L11:M11*L24:M24+L4:M4*(L25:M25-L19:M19))/($B$9:$C$9*L22:M22+$B$10:$C$10*L23:M23+$B$11:$C$11*L24:M24+$B$4:$C$4*(L25:M25-L19:M19)))</f>
        <v>0.98954151777867716</v>
      </c>
      <c r="M65" s="181"/>
      <c r="N65" s="181">
        <f t="array" ref="N65">SQRT((N9:O9*$B$22:$C$22+N10:O10*$B$23:$C$23+N11:O11*$B$24:$C$24+N4:O4*($B$25:$C$25-$B$19:$C$19))/($B$9:$C$9*$B$22:$C$22+$B$10:$C$10*$B$23:$C$23+$B$11:$C$11*$B$24:$C$24+$B$4:$C$4*($B$25:$C$25-$B$19:$C$19))*(N9:O9*N22:O22+N10:O10*N23:O23+N11:O11*N24:O24+N4:O4*(N25:O25-N19:O19))/($B$9:$C$9*N22:O22+$B$10:$C$10*N23:O23+$B$11:$C$11*N24:O24+$B$4:$C$4*(N25:O25-N19:O19)))</f>
        <v>0.98714073620253395</v>
      </c>
      <c r="O65" s="181"/>
      <c r="P65" s="181">
        <f t="array" ref="P65">SQRT((P9:Q9*$B$22:$C$22+P10:Q10*$B$23:$C$23+P11:Q11*$B$24:$C$24+P4:Q4*($B$25:$C$25-$B$19:$C$19))/($B$9:$C$9*$B$22:$C$22+$B$10:$C$10*$B$23:$C$23+$B$11:$C$11*$B$24:$C$24+$B$4:$C$4*($B$25:$C$25-$B$19:$C$19))*(P9:Q9*P22:Q22+P10:Q10*P23:Q23+P11:Q11*P24:Q24+P4:Q4*(P25:Q25-P19:Q19))/($B$9:$C$9*P22:Q22+$B$10:$C$10*P23:Q23+$B$11:$C$11*P24:Q24+$B$4:$C$4*(P25:Q25-P19:Q19)))</f>
        <v>0.9845995827798264</v>
      </c>
      <c r="Q65" s="181"/>
      <c r="R65" s="181">
        <f t="array" ref="R65">SQRT((R9:S9*$B$22:$C$22+R10:S10*$B$23:$C$23+R11:S11*$B$24:$C$24+R4:S4*($B$25:$C$25-$B$19:$C$19))/($B$9:$C$9*$B$22:$C$22+$B$10:$C$10*$B$23:$C$23+$B$11:$C$11*$B$24:$C$24+$B$4:$C$4*($B$25:$C$25-$B$19:$C$19))*(R9:S9*R22:S22+R10:S10*R23:S23+R11:S11*R24:S24+R4:S4*(R25:S25-R19:S19))/($B$9:$C$9*R22:S22+$B$10:$C$10*R23:S23+$B$11:$C$11*R24:S24+$B$4:$C$4*(R25:S25-R19:S19)))</f>
        <v>0.98190926144297663</v>
      </c>
      <c r="S65" s="181"/>
      <c r="T65" s="181">
        <f t="array" ref="T65">SQRT((T9:U9*$B$22:$C$22+T10:U10*$B$23:$C$23+T11:U11*$B$24:$C$24+T4:U4*($B$25:$C$25-$B$19:$C$19))/($B$9:$C$9*$B$22:$C$22+$B$10:$C$10*$B$23:$C$23+$B$11:$C$11*$B$24:$C$24+$B$4:$C$4*($B$25:$C$25-$B$19:$C$19))*(T9:U9*T22:U22+T10:U10*T23:U23+T11:U11*T24:U24+T4:U4*(T25:U25-T19:U19))/($B$9:$C$9*T22:U22+$B$10:$C$10*T23:U23+$B$11:$C$11*T24:U24+$B$4:$C$4*(T25:U25-T19:U19)))</f>
        <v>0.97907206079474485</v>
      </c>
      <c r="U65" s="181"/>
      <c r="V65" s="181">
        <f t="array" ref="V65">SQRT((V9:W9*$B$22:$C$22+V10:W10*$B$23:$C$23+V11:W11*$B$24:$C$24+V4:W4*($B$25:$C$25-$B$19:$C$19))/($B$9:$C$9*$B$22:$C$22+$B$10:$C$10*$B$23:$C$23+$B$11:$C$11*$B$24:$C$24+$B$4:$C$4*($B$25:$C$25-$B$19:$C$19))*(V9:W9*V22:W22+V10:W10*V23:W23+V11:W11*V24:W24+V4:W4*(V25:W25-V19:W19))/($B$9:$C$9*V22:W22+$B$10:$C$10*V23:W23+$B$11:$C$11*V24:W24+$B$4:$C$4*(V25:W25-V19:W19)))</f>
        <v>0.97611054841321754</v>
      </c>
      <c r="W65" s="181"/>
      <c r="X65" s="181">
        <f t="array" ref="X65">SQRT((X9:Y9*$B$22:$C$22+X10:Y10*$B$23:$C$23+X11:Y11*$B$24:$C$24+X4:Y4*($B$25:$C$25-$B$19:$C$19))/($B$9:$C$9*$B$22:$C$22+$B$10:$C$10*$B$23:$C$23+$B$11:$C$11*$B$24:$C$24+$B$4:$C$4*($B$25:$C$25-$B$19:$C$19))*(X9:Y9*X22:Y22+X10:Y10*X23:Y23+X11:Y11*X24:Y24+X4:Y4*(X25:Y25-X19:Y19))/($B$9:$C$9*X22:Y22+$B$10:$C$10*X23:Y23+$B$11:$C$11*X24:Y24+$B$4:$C$4*(X25:Y25-X19:Y19)))</f>
        <v>0.97308281544112052</v>
      </c>
      <c r="Y65" s="181"/>
      <c r="Z65" s="181">
        <f t="array" ref="Z65">SQRT((Z9:AA9*$B$22:$C$22+Z10:AA10*$B$23:$C$23+Z11:AA11*$B$24:$C$24+Z4:AA4*($B$25:$C$25-$B$19:$C$19))/($B$9:$C$9*$B$22:$C$22+$B$10:$C$10*$B$23:$C$23+$B$11:$C$11*$B$24:$C$24+$B$4:$C$4*($B$25:$C$25-$B$19:$C$19))*(Z9:AA9*Z22:AA22+Z10:AA10*Z23:AA23+Z11:AA11*Z24:AA24+Z4:AA4*(Z25:AA25-Z19:AA19))/($B$9:$C$9*Z22:AA22+$B$10:$C$10*Z23:AA23+$B$11:$C$11*Z24:AA24+$B$4:$C$4*(Z25:AA25-Z19:AA19)))</f>
        <v>0.97010674176869338</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0.96739340015719988</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0.96527190331066504</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0.96413328249896035</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0.96417713030522756</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0.96508500515034834</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0.99786321002047074</v>
      </c>
      <c r="E66" s="181"/>
      <c r="F66" s="181">
        <f t="array" ref="F66">SQRT((F9:G9*$B$22:$C$22)/($B$9:$C$9*$B$22:$C$22)*(F9:G9*F22:G22)/($B$9:$C$9*F22:G22))</f>
        <v>0.99565960035685686</v>
      </c>
      <c r="G66" s="181"/>
      <c r="H66" s="181">
        <f t="array" ref="H66">SQRT((H9:I9*$B$22:$C$22)/($B$9:$C$9*$B$22:$C$22)*(H9:I9*H22:I22)/($B$9:$C$9*H22:I22))</f>
        <v>0.99337060670671895</v>
      </c>
      <c r="I66" s="181"/>
      <c r="J66" s="181">
        <f t="array" ref="J66">SQRT((J9:K9*$B$22:$C$22)/($B$9:$C$9*$B$22:$C$22)*(J9:K9*J22:K22)/($B$9:$C$9*J22:K22))</f>
        <v>0.9909766529754348</v>
      </c>
      <c r="K66" s="181"/>
      <c r="L66" s="181">
        <f t="array" ref="L66">SQRT((L9:M9*$B$22:$C$22)/($B$9:$C$9*$B$22:$C$22)*(L9:M9*L22:M22)/($B$9:$C$9*L22:M22))</f>
        <v>0.98845771566368223</v>
      </c>
      <c r="M66" s="181"/>
      <c r="N66" s="181">
        <f t="array" ref="N66">SQRT((N9:O9*$B$22:$C$22)/($B$9:$C$9*$B$22:$C$22)*(N9:O9*N22:O22)/($B$9:$C$9*N22:O22))</f>
        <v>0.98579418941596098</v>
      </c>
      <c r="O66" s="181"/>
      <c r="P66" s="181">
        <f t="array" ref="P66">SQRT((P9:Q9*$B$22:$C$22)/($B$9:$C$9*$B$22:$C$22)*(P9:Q9*P22:Q22)/($B$9:$C$9*P22:Q22))</f>
        <v>0.98296907232418462</v>
      </c>
      <c r="Q66" s="181"/>
      <c r="R66" s="181">
        <f t="array" ref="R66">SQRT((R9:S9*$B$22:$C$22)/($B$9:$C$9*$B$22:$C$22)*(R9:S9*R22:S22)/($B$9:$C$9*R22:S22))</f>
        <v>0.97997145746267122</v>
      </c>
      <c r="S66" s="181"/>
      <c r="T66" s="181">
        <f t="array" ref="T66">SQRT((T9:U9*$B$22:$C$22)/($B$9:$C$9*$B$22:$C$22)*(T9:U9*T22:U22)/($B$9:$C$9*T22:U22))</f>
        <v>0.97680265364369911</v>
      </c>
      <c r="U66" s="181"/>
      <c r="V66" s="181">
        <f t="array" ref="V66">SQRT((V9:W9*$B$22:$C$22)/($B$9:$C$9*$B$22:$C$22)*(V9:W9*V22:W22)/($B$9:$C$9*V22:W22))</f>
        <v>0.97348663921103584</v>
      </c>
      <c r="W66" s="181"/>
      <c r="X66" s="181">
        <f t="array" ref="X66">SQRT((X9:Y9*$B$22:$C$22)/($B$9:$C$9*$B$22:$C$22)*(X9:Y9*X22:Y22)/($B$9:$C$9*X22:Y22))</f>
        <v>0.97008751804110915</v>
      </c>
      <c r="Y66" s="181"/>
      <c r="Z66" s="181">
        <f t="array" ref="Z66">SQRT((Z9:AA9*$B$22:$C$22)/($B$9:$C$9*$B$22:$C$22)*(Z9:AA9*Z22:AA22)/($B$9:$C$9*Z22:AA22))</f>
        <v>0.96673746965584839</v>
      </c>
      <c r="AA66" s="181"/>
      <c r="AB66" s="181">
        <f t="array" ref="AB66">SQRT((AB9:AC9*$B$22:$C$22)/($B$9:$C$9*$B$22:$C$22)*(AB9:AC9*AB22:AC22)/($B$9:$C$9*AB22:AC22))</f>
        <v>0.96367544792325199</v>
      </c>
      <c r="AC66" s="181"/>
      <c r="AD66" s="181">
        <f t="array" ref="AD66">SQRT((AD9:AE9*$B$22:$C$22)/($B$9:$C$9*$B$22:$C$22)*(AD9:AE9*AD22:AE22)/($B$9:$C$9*AD22:AE22))</f>
        <v>0.96127638519086567</v>
      </c>
      <c r="AE66" s="181"/>
      <c r="AF66" s="181">
        <f t="array" ref="AF66">SQRT((AF9:AG9*$B$22:$C$22)/($B$9:$C$9*$B$22:$C$22)*(AF9:AG9*AF22:AG22)/($B$9:$C$9*AF22:AG22))</f>
        <v>0.95998761555324874</v>
      </c>
      <c r="AG66" s="181"/>
      <c r="AH66" s="181">
        <f t="array" ref="AH66">SQRT((AH9:AI9*$B$22:$C$22)/($B$9:$C$9*$B$22:$C$22)*(AH9:AI9*AH22:AI22)/($B$9:$C$9*AH22:AI22))</f>
        <v>0.96003890296586591</v>
      </c>
      <c r="AI66" s="181"/>
      <c r="AJ66" s="181">
        <f t="array" ref="AJ66">SQRT((AJ9:AK9*$B$22:$C$22)/($B$9:$C$9*$B$22:$C$22)*(AJ9:AK9*AJ22:AK22)/($B$9:$C$9*AJ22:AK22))</f>
        <v>0.96106916387602859</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0.99786321002047074</v>
      </c>
      <c r="E68" s="181"/>
      <c r="F68" s="181">
        <f>F66/F67</f>
        <v>0.99565960035685686</v>
      </c>
      <c r="G68" s="181"/>
      <c r="H68" s="181">
        <f>H66/H67</f>
        <v>0.99337060670671895</v>
      </c>
      <c r="I68" s="181"/>
      <c r="J68" s="181">
        <f>J66/J67</f>
        <v>0.9909766529754348</v>
      </c>
      <c r="K68" s="181"/>
      <c r="L68" s="181">
        <f>L66/L67</f>
        <v>0.98845771566368223</v>
      </c>
      <c r="M68" s="181"/>
      <c r="N68" s="181">
        <f>N66/N67</f>
        <v>0.98579418941596098</v>
      </c>
      <c r="O68" s="181"/>
      <c r="P68" s="181">
        <f>P66/P67</f>
        <v>0.98296907232418462</v>
      </c>
      <c r="Q68" s="181"/>
      <c r="R68" s="181">
        <f>R66/R67</f>
        <v>0.97997145746267122</v>
      </c>
      <c r="S68" s="181"/>
      <c r="T68" s="181">
        <f>T66/T67</f>
        <v>0.97680265364369911</v>
      </c>
      <c r="U68" s="181"/>
      <c r="V68" s="181">
        <f>V66/V67</f>
        <v>0.97348663921103584</v>
      </c>
      <c r="W68" s="181"/>
      <c r="X68" s="181">
        <f>X66/X67</f>
        <v>0.97008751804110915</v>
      </c>
      <c r="Y68" s="181"/>
      <c r="Z68" s="181">
        <f>Z66/Z67</f>
        <v>0.96673746965584839</v>
      </c>
      <c r="AA68" s="181"/>
      <c r="AB68" s="181">
        <f>AB66/AB67</f>
        <v>0.96367544792325199</v>
      </c>
      <c r="AC68" s="181"/>
      <c r="AD68" s="181">
        <f>AD66/AD67</f>
        <v>0.96127638519086567</v>
      </c>
      <c r="AE68" s="181"/>
      <c r="AF68" s="181">
        <f>AF66/AF67</f>
        <v>0.95998761555324874</v>
      </c>
      <c r="AG68" s="181"/>
      <c r="AH68" s="181">
        <f>AH66/AH67</f>
        <v>0.96003890296586591</v>
      </c>
      <c r="AI68" s="181"/>
      <c r="AJ68" s="181">
        <f>AJ66/AJ67</f>
        <v>0.96106916387602859</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1.0080610037246513</v>
      </c>
      <c r="E69" s="181"/>
      <c r="F69" s="181">
        <f>F32/F65/($B$32)</f>
        <v>1.0154459382395102</v>
      </c>
      <c r="G69" s="181"/>
      <c r="H69" s="181">
        <f>H32/H65/($B$32)</f>
        <v>1.0221136003828457</v>
      </c>
      <c r="I69" s="181"/>
      <c r="J69" s="181">
        <f>J32/J65/($B$32)</f>
        <v>1.0280007844748</v>
      </c>
      <c r="K69" s="181"/>
      <c r="L69" s="181">
        <f>L32/L65/($B$32)</f>
        <v>1.0330165605464963</v>
      </c>
      <c r="M69" s="181"/>
      <c r="N69" s="181">
        <f>N32/N65/($B$32)</f>
        <v>1.0370370851081419</v>
      </c>
      <c r="O69" s="181"/>
      <c r="P69" s="181">
        <f>P32/P65/($B$32)</f>
        <v>1.0398936739003304</v>
      </c>
      <c r="Q69" s="181"/>
      <c r="R69" s="181">
        <f>R32/R65/($B$32)</f>
        <v>1.0413586341095773</v>
      </c>
      <c r="S69" s="181"/>
      <c r="T69" s="181">
        <f>T32/T65/($B$32)</f>
        <v>1.0411210302733112</v>
      </c>
      <c r="U69" s="181"/>
      <c r="V69" s="181">
        <f>V32/V65/($B$32)</f>
        <v>1.0387477538749781</v>
      </c>
      <c r="W69" s="181"/>
      <c r="X69" s="181">
        <f>X32/X65/($B$32)</f>
        <v>1.0336142843838874</v>
      </c>
      <c r="Y69" s="181"/>
      <c r="Z69" s="181">
        <f>Z32/Z65/($B$32)</f>
        <v>1.0247716158891782</v>
      </c>
      <c r="AA69" s="181"/>
      <c r="AB69" s="181">
        <f>AB32/AB65/($B$32)</f>
        <v>1.0106661592816202</v>
      </c>
      <c r="AC69" s="181"/>
      <c r="AD69" s="181">
        <f>AD32/AD65/($B$32)</f>
        <v>0.98851075781898023</v>
      </c>
      <c r="AE69" s="181"/>
      <c r="AF69" s="181">
        <f>AF32/AF65/($B$32)</f>
        <v>0.95287764266950281</v>
      </c>
      <c r="AG69" s="181"/>
      <c r="AH69" s="181">
        <f>AH32/AH65/($B$32)</f>
        <v>0.89298987337891644</v>
      </c>
      <c r="AI69" s="181"/>
      <c r="AJ69" s="181">
        <f>AJ32/AJ65/($B$32)</f>
        <v>0.7891607592068427</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1.0061225734676398</v>
      </c>
      <c r="E70" s="129"/>
      <c r="F70" s="129">
        <f>F18/$B$18</f>
        <v>1.0114682886954507</v>
      </c>
      <c r="G70" s="129"/>
      <c r="H70" s="129">
        <f>H18/$B$18</f>
        <v>1.0159832483005218</v>
      </c>
      <c r="I70" s="129"/>
      <c r="J70" s="129">
        <f>J18/$B$18</f>
        <v>1.0195883637141594</v>
      </c>
      <c r="K70" s="129"/>
      <c r="L70" s="129">
        <f>L18/$B$18</f>
        <v>1.0221721979105776</v>
      </c>
      <c r="M70" s="129"/>
      <c r="N70" s="129">
        <f>N18/$B$18</f>
        <v>1.023582788842091</v>
      </c>
      <c r="O70" s="129"/>
      <c r="P70" s="129">
        <f>P18/$B$18</f>
        <v>1.0236117573282619</v>
      </c>
      <c r="Q70" s="129"/>
      <c r="R70" s="129">
        <f>R18/$B$18</f>
        <v>1.0219727553895288</v>
      </c>
      <c r="S70" s="129"/>
      <c r="T70" s="129">
        <f>T18/$B$18</f>
        <v>1.0182658748248203</v>
      </c>
      <c r="U70" s="129"/>
      <c r="V70" s="129">
        <f>V18/$B$18</f>
        <v>1.0119200213613597</v>
      </c>
      <c r="W70" s="129"/>
      <c r="X70" s="129">
        <f>X18/$B$18</f>
        <v>1.0020948754721855</v>
      </c>
      <c r="Y70" s="129"/>
      <c r="Z70" s="129">
        <f>Z18/$B$18</f>
        <v>0.98750801228057572</v>
      </c>
      <c r="AA70" s="129"/>
      <c r="AB70" s="129">
        <f>AB18/$B$18</f>
        <v>0.966120083657522</v>
      </c>
      <c r="AC70" s="129"/>
      <c r="AD70" s="129">
        <f>AD18/$B$18</f>
        <v>0.93456118467103144</v>
      </c>
      <c r="AE70" s="129"/>
      <c r="AF70" s="129">
        <f>AF18/$B$18</f>
        <v>0.887147917271908</v>
      </c>
      <c r="AG70" s="129"/>
      <c r="AH70" s="129">
        <f>AH18/$B$18</f>
        <v>0.8144751430609225</v>
      </c>
      <c r="AI70" s="129"/>
      <c r="AJ70" s="129">
        <f>AJ18/$B$18</f>
        <v>0.70204750262950255</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0.92408164555954087</v>
      </c>
      <c r="E71" s="129"/>
      <c r="F71" s="129">
        <f>G18/$C$18</f>
        <v>0.84828653212088378</v>
      </c>
      <c r="G71" s="129"/>
      <c r="H71" s="129">
        <f>I18/$C$18</f>
        <v>0.77263626524922946</v>
      </c>
      <c r="I71" s="129"/>
      <c r="J71" s="129">
        <f>K18/$C$18</f>
        <v>0.69718446979017867</v>
      </c>
      <c r="K71" s="129"/>
      <c r="L71" s="129">
        <f>M18/$C$18</f>
        <v>0.62203670255542753</v>
      </c>
      <c r="M71" s="129"/>
      <c r="N71" s="129">
        <f>O18/$C$18</f>
        <v>0.54736662149774074</v>
      </c>
      <c r="O71" s="129"/>
      <c r="P71" s="129">
        <f>Q18/$C$18</f>
        <v>0.47345523745809354</v>
      </c>
      <c r="Q71" s="129"/>
      <c r="R71" s="129">
        <f>S18/$C$18</f>
        <v>0.40072885787679413</v>
      </c>
      <c r="S71" s="129"/>
      <c r="T71" s="129">
        <f>U18/$C$18</f>
        <v>0.32982559385041837</v>
      </c>
      <c r="U71" s="129"/>
      <c r="V71" s="129">
        <f>W18/$C$18</f>
        <v>0.26167362710499625</v>
      </c>
      <c r="W71" s="129"/>
      <c r="X71" s="129">
        <f>Y18/$C$18</f>
        <v>0.19759331058594204</v>
      </c>
      <c r="Y71" s="129"/>
      <c r="Z71" s="129">
        <f>AA18/$C$18</f>
        <v>0.13939864266107566</v>
      </c>
      <c r="AA71" s="129"/>
      <c r="AB71" s="129">
        <f>AC18/$C$18</f>
        <v>8.9423184908530462E-2</v>
      </c>
      <c r="AC71" s="129"/>
      <c r="AD71" s="129">
        <f>AE18/$C$18</f>
        <v>5.0238411422390564E-2</v>
      </c>
      <c r="AE71" s="129"/>
      <c r="AF71" s="129">
        <f>AG18/$C$18</f>
        <v>2.3658093062662613E-2</v>
      </c>
      <c r="AG71" s="129"/>
      <c r="AH71" s="129">
        <f>AI18/$C$18</f>
        <v>9.0603610453811653E-3</v>
      </c>
      <c r="AI71" s="129"/>
      <c r="AJ71" s="129">
        <f>AK18/$C$18</f>
        <v>2.8689125298998709E-3</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1.0472587736844503</v>
      </c>
      <c r="E72" s="129"/>
      <c r="F72" s="129">
        <f>G19/$C$19</f>
        <v>1.1002693175920666</v>
      </c>
      <c r="G72" s="129"/>
      <c r="H72" s="129">
        <f>I19/$C$19</f>
        <v>1.1597458818560953</v>
      </c>
      <c r="I72" s="129"/>
      <c r="J72" s="129">
        <f>K19/$C$19</f>
        <v>1.2263982615634594</v>
      </c>
      <c r="K72" s="129"/>
      <c r="L72" s="129">
        <f>M19/$C$19</f>
        <v>1.3008638059921553</v>
      </c>
      <c r="M72" s="129"/>
      <c r="N72" s="129">
        <f>O19/$C$19</f>
        <v>1.3836183499495167</v>
      </c>
      <c r="O72" s="129"/>
      <c r="P72" s="129">
        <f>Q19/$C$19</f>
        <v>1.4747785728404623</v>
      </c>
      <c r="Q72" s="129"/>
      <c r="R72" s="129">
        <f>S19/$C$19</f>
        <v>1.5738153564383641</v>
      </c>
      <c r="S72" s="129"/>
      <c r="T72" s="129">
        <f>U19/$C$19</f>
        <v>1.6790710610247925</v>
      </c>
      <c r="U72" s="129"/>
      <c r="V72" s="129">
        <f>W19/$C$19</f>
        <v>1.7869727201202545</v>
      </c>
      <c r="W72" s="129"/>
      <c r="X72" s="129">
        <f>Y19/$C$19</f>
        <v>1.8907694490657965</v>
      </c>
      <c r="Y72" s="129"/>
      <c r="Z72" s="129">
        <f>AA19/$C$19</f>
        <v>1.9785814538433892</v>
      </c>
      <c r="AA72" s="129"/>
      <c r="AB72" s="129">
        <f>AC19/$C$19</f>
        <v>2.0308053868654325</v>
      </c>
      <c r="AC72" s="129"/>
      <c r="AD72" s="129">
        <f>AE19/$C$19</f>
        <v>2.0182381274664341</v>
      </c>
      <c r="AE72" s="129"/>
      <c r="AF72" s="129">
        <f>AG19/$C$19</f>
        <v>1.9060891533507807</v>
      </c>
      <c r="AG72" s="129"/>
      <c r="AH72" s="129">
        <f>AI19/$C$19</f>
        <v>1.6715848075670372</v>
      </c>
      <c r="AI72" s="129"/>
      <c r="AJ72" s="129">
        <f>AK19/$C$19</f>
        <v>1.3261446172963123</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0.47641153352875065</v>
      </c>
      <c r="D73" s="183">
        <f t="array" ref="D73">SUM(D9:E9*D22:E22)/D32</f>
        <v>0.47641154587509382</v>
      </c>
      <c r="E73" s="129"/>
      <c r="F73" s="183">
        <f t="array" ref="F73">SUM(F9:G9*F22:G22)/F32</f>
        <v>0.47641153463395419</v>
      </c>
      <c r="G73" s="129"/>
      <c r="H73" s="183">
        <f t="array" ref="H73">SUM(H9:I9*H22:I22)/H32</f>
        <v>0.47641153486867416</v>
      </c>
      <c r="I73" s="129"/>
      <c r="J73" s="183">
        <f t="array" ref="J73">SUM(J9:K9*J22:K22)/J32</f>
        <v>0.4764115595099927</v>
      </c>
      <c r="K73" s="129"/>
      <c r="L73" s="183">
        <f t="array" ref="L73">SUM(L9:M9*L22:M22)/L32</f>
        <v>0.47641153533174568</v>
      </c>
      <c r="M73" s="129"/>
      <c r="N73" s="183">
        <f t="array" ref="N73">SUM(N9:O9*N22:O22)/N32</f>
        <v>0.47641153708478218</v>
      </c>
      <c r="O73" s="129"/>
      <c r="P73" s="183">
        <f t="array" ref="P73">SUM(P9:Q9*P22:Q22)/P32</f>
        <v>0.47641153352437043</v>
      </c>
      <c r="Q73" s="129"/>
      <c r="R73" s="183">
        <f t="array" ref="R73">SUM(R9:S9*R22:S22)/R32</f>
        <v>0.4764115353135876</v>
      </c>
      <c r="S73" s="129"/>
      <c r="T73" s="183">
        <f t="array" ref="T73">SUM(T9:U9*T22:U22)/T32</f>
        <v>0.47641153829760169</v>
      </c>
      <c r="U73" s="129"/>
      <c r="V73" s="183">
        <f t="array" ref="V73">SUM(V9:W9*V22:W22)/V32</f>
        <v>0.47641153396222891</v>
      </c>
      <c r="W73" s="129"/>
      <c r="X73" s="183">
        <f t="array" ref="X73">SUM(X9:Y9*X22:Y22)/X32</f>
        <v>0.47641153537115977</v>
      </c>
      <c r="Y73" s="129"/>
      <c r="Z73" s="183">
        <f t="array" ref="Z73">SUM(Z9:AA9*Z22:AA22)/Z32</f>
        <v>0.47641153458434027</v>
      </c>
      <c r="AA73" s="129"/>
      <c r="AB73" s="183">
        <f t="array" ref="AB73">SUM(AB9:AC9*AB22:AC22)/AB32</f>
        <v>0.47641153433823552</v>
      </c>
      <c r="AC73" s="129"/>
      <c r="AD73" s="183">
        <f t="array" ref="AD73">SUM(AD9:AE9*AD22:AE22)/AD32</f>
        <v>0.47641153364121108</v>
      </c>
      <c r="AE73" s="129"/>
      <c r="AF73" s="183">
        <f t="array" ref="AF73">SUM(AF9:AG9*AF22:AG22)/AF32</f>
        <v>0.47641153340645137</v>
      </c>
      <c r="AG73" s="129"/>
      <c r="AH73" s="183">
        <f t="array" ref="AH73">SUM(AH9:AI9*AH22:AI22)/AH32</f>
        <v>0.47641153354595273</v>
      </c>
      <c r="AI73" s="129"/>
      <c r="AJ73" s="183">
        <f t="array" ref="AJ73">SUM(AJ9:AK9*AJ22:AK22)/AJ32</f>
        <v>0.47641153353628996</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0.22038438926609968</v>
      </c>
      <c r="E75" s="129"/>
      <c r="F75" s="183">
        <f t="array" ref="F75">SUM(F11:G11*F24:G24)/F32</f>
        <v>0.22038438830888543</v>
      </c>
      <c r="G75" s="129"/>
      <c r="H75" s="183">
        <f t="array" ref="H75">SUM(H11:I11*H24:I24)/H32</f>
        <v>0.22038438829304666</v>
      </c>
      <c r="I75" s="129"/>
      <c r="J75" s="183">
        <f t="array" ref="J75">SUM(J11:K11*J24:K24)/J32</f>
        <v>0.22038438771700825</v>
      </c>
      <c r="K75" s="129"/>
      <c r="L75" s="183">
        <f t="array" ref="L75">SUM(L11:M11*L24:M24)/L32</f>
        <v>0.22038438823721021</v>
      </c>
      <c r="M75" s="129"/>
      <c r="N75" s="183">
        <f t="array" ref="N75">SUM(N11:O11*N24:O24)/N32</f>
        <v>0.22038438810738212</v>
      </c>
      <c r="O75" s="129"/>
      <c r="P75" s="183">
        <f t="array" ref="P75">SUM(P11:Q11*P24:Q24)/P32</f>
        <v>0.2203843883598593</v>
      </c>
      <c r="Q75" s="129"/>
      <c r="R75" s="183">
        <f t="array" ref="R75">SUM(R11:S11*R24:S24)/R32</f>
        <v>0.22038438829767845</v>
      </c>
      <c r="S75" s="129"/>
      <c r="T75" s="183">
        <f t="array" ref="T75">SUM(T11:U11*T24:U24)/T32</f>
        <v>0.22038438824880868</v>
      </c>
      <c r="U75" s="129"/>
      <c r="V75" s="183">
        <f t="array" ref="V75">SUM(V11:W11*V24:W24)/V32</f>
        <v>0.22038438828673937</v>
      </c>
      <c r="W75" s="129"/>
      <c r="X75" s="183">
        <f t="array" ref="X75">SUM(X11:Y11*X24:Y24)/X32</f>
        <v>0.22038438841971594</v>
      </c>
      <c r="Y75" s="129"/>
      <c r="Z75" s="183">
        <f t="array" ref="Z75">SUM(Z11:AA11*Z24:AA24)/Z32</f>
        <v>0.22038438829335982</v>
      </c>
      <c r="AA75" s="129"/>
      <c r="AB75" s="183">
        <f t="array" ref="AB75">SUM(AB11:AC11*AB24:AC24)/AB32</f>
        <v>0.22038438828190451</v>
      </c>
      <c r="AC75" s="129"/>
      <c r="AD75" s="183">
        <f t="array" ref="AD75">SUM(AD11:AE11*AD24:AE24)/AD32</f>
        <v>0.22038438832911533</v>
      </c>
      <c r="AE75" s="129"/>
      <c r="AF75" s="183">
        <f t="array" ref="AF75">SUM(AF11:AG11*AF24:AG24)/AF32</f>
        <v>0.22038438851277631</v>
      </c>
      <c r="AG75" s="129"/>
      <c r="AH75" s="183">
        <f t="array" ref="AH75">SUM(AH11:AI11*AH24:AI24)/AH32</f>
        <v>0.22038438833042112</v>
      </c>
      <c r="AI75" s="129"/>
      <c r="AJ75" s="183">
        <f t="array" ref="AJ75">SUM(AJ11:AK11*AJ24:AK24)/AJ32</f>
        <v>0.2203843883305884</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0.22301874374724867</v>
      </c>
      <c r="D76" s="183">
        <f t="array" ref="D76">SUM(D12:E12*D25:E25)/D32</f>
        <v>0.22309512314622548</v>
      </c>
      <c r="E76" s="129"/>
      <c r="F76" s="183">
        <f t="array" ref="F76">SUM(F12:G12*F25:G25)/F32</f>
        <v>0.22325818324411137</v>
      </c>
      <c r="G76" s="129"/>
      <c r="H76" s="183">
        <f t="array" ref="H76">SUM(H12:I12*H25:I25)/H32</f>
        <v>0.22351641963567623</v>
      </c>
      <c r="I76" s="129"/>
      <c r="J76" s="183">
        <f t="array" ref="J76">SUM(J12:K12*J25:K25)/J32</f>
        <v>0.22387866913924143</v>
      </c>
      <c r="K76" s="129"/>
      <c r="L76" s="183">
        <f t="array" ref="L76">SUM(L12:M12*L25:M25)/L32</f>
        <v>0.22435329264180867</v>
      </c>
      <c r="M76" s="129"/>
      <c r="N76" s="183">
        <f t="array" ref="N76">SUM(N12:O12*N25:O25)/N32</f>
        <v>0.22494667611688876</v>
      </c>
      <c r="O76" s="129"/>
      <c r="P76" s="183">
        <f t="array" ref="P76">SUM(P12:Q12*P25:Q25)/P32</f>
        <v>0.22566068326213853</v>
      </c>
      <c r="Q76" s="129"/>
      <c r="R76" s="183">
        <f t="array" ref="R76">SUM(R12:S12*R25:S25)/R32</f>
        <v>0.22648815144914508</v>
      </c>
      <c r="S76" s="129"/>
      <c r="T76" s="183">
        <f t="array" ref="T76">SUM(T12:U12*T25:U25)/T32</f>
        <v>0.22740538201618937</v>
      </c>
      <c r="U76" s="129"/>
      <c r="V76" s="183">
        <f t="array" ref="V76">SUM(V12:W12*V25:W25)/V32</f>
        <v>0.22835918027451813</v>
      </c>
      <c r="W76" s="129"/>
      <c r="X76" s="183">
        <f t="array" ref="X76">SUM(X12:Y12*X25:Y25)/X32</f>
        <v>0.22924516525148894</v>
      </c>
      <c r="Y76" s="129"/>
      <c r="Z76" s="183">
        <f t="array" ref="Z76">SUM(Z12:AA12*Z25:AA25)/Z32</f>
        <v>0.22987297105857271</v>
      </c>
      <c r="AA76" s="129"/>
      <c r="AB76" s="183">
        <f t="array" ref="AB76">SUM(AB12:AC12*AB25:AC25)/AB32</f>
        <v>0.22991822971978101</v>
      </c>
      <c r="AC76" s="129"/>
      <c r="AD76" s="183">
        <f t="array" ref="AD76">SUM(AD12:AE12*AD25:AE25)/AD32</f>
        <v>0.22888714532124985</v>
      </c>
      <c r="AE76" s="129"/>
      <c r="AF76" s="183">
        <f t="array" ref="AF76">SUM(AF12:AG12*AF25:AG25)/AF32</f>
        <v>0.22619788058444462</v>
      </c>
      <c r="AG76" s="129"/>
      <c r="AH76" s="183">
        <f t="array" ref="AH76">SUM(AH12:AI12*AH25:AI25)/AH32</f>
        <v>0.22154976021365025</v>
      </c>
      <c r="AI76" s="129"/>
      <c r="AJ76" s="183">
        <f t="array" ref="AJ76">SUM(AJ12:AK12*AJ25:AK25)/AJ32</f>
        <v>0.21545330713908603</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0.14586087017236485</v>
      </c>
      <c r="D77" s="183">
        <f t="array" ref="D77">SUM(D4:E4*D19:E19)/D32</f>
        <v>0.14593726285184355</v>
      </c>
      <c r="E77" s="129"/>
      <c r="F77" s="183">
        <f t="array" ref="F77">SUM(F4:G4*F19:G19)/F32</f>
        <v>0.1461003107513752</v>
      </c>
      <c r="G77" s="129"/>
      <c r="H77" s="183">
        <f t="array" ref="H77">SUM(H4:I4*H19:I19)/H32</f>
        <v>0.14635854736182144</v>
      </c>
      <c r="I77" s="129"/>
      <c r="J77" s="183">
        <f t="array" ref="J77">SUM(J4:K4*J19:K19)/J32</f>
        <v>0.14672082093066688</v>
      </c>
      <c r="K77" s="129"/>
      <c r="L77" s="183">
        <f t="array" ref="L77">SUM(L4:M4*L19:M19)/L32</f>
        <v>0.14719542077518852</v>
      </c>
      <c r="M77" s="129"/>
      <c r="N77" s="183">
        <f t="array" ref="N77">SUM(N4:O4*N19:O19)/N32</f>
        <v>0.1477888058734772</v>
      </c>
      <c r="O77" s="129"/>
      <c r="P77" s="183">
        <f t="array" ref="P77">SUM(P4:Q4*P19:Q19)/P32</f>
        <v>0.14850280971079283</v>
      </c>
      <c r="Q77" s="129"/>
      <c r="R77" s="183">
        <f t="array" ref="R77">SUM(R4:S4*R19:S19)/R32</f>
        <v>0.14933027962483561</v>
      </c>
      <c r="S77" s="129"/>
      <c r="T77" s="183">
        <f t="array" ref="T77">SUM(T4:U4*T19:U19)/T32</f>
        <v>0.15024751312702378</v>
      </c>
      <c r="U77" s="129"/>
      <c r="V77" s="183">
        <f t="array" ref="V77">SUM(V4:W4*V19:W19)/V32</f>
        <v>0.15120130708791085</v>
      </c>
      <c r="W77" s="129"/>
      <c r="X77" s="183">
        <f t="array" ref="X77">SUM(X4:Y4*X19:Y19)/X32</f>
        <v>0.15208729360678894</v>
      </c>
      <c r="Y77" s="129"/>
      <c r="Z77" s="183">
        <f t="array" ref="Z77">SUM(Z4:AA4*Z19:AA19)/Z32</f>
        <v>0.15271509850069726</v>
      </c>
      <c r="AA77" s="129"/>
      <c r="AB77" s="183">
        <f t="array" ref="AB77">SUM(AB4:AC4*AB19:AC19)/AB32</f>
        <v>0.15276035690434545</v>
      </c>
      <c r="AC77" s="129"/>
      <c r="AD77" s="183">
        <f t="array" ref="AD77">SUM(AD4:AE4*AD19:AE19)/AD32</f>
        <v>0.15172927185600074</v>
      </c>
      <c r="AE77" s="129"/>
      <c r="AF77" s="183">
        <f t="array" ref="AF77">SUM(AF4:AG4*AF19:AG19)/AF32</f>
        <v>0.14904000706809661</v>
      </c>
      <c r="AG77" s="129"/>
      <c r="AH77" s="183">
        <f t="array" ref="AH77">SUM(AH4:AI4*AH19:AI19)/AH32</f>
        <v>0.14439188665444871</v>
      </c>
      <c r="AI77" s="129"/>
      <c r="AJ77" s="183">
        <f t="array" ref="AJ77">SUM(AJ4:AK4*AJ19:AK19)/AJ32</f>
        <v>0.13829543357038851</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0.34975999547893472</v>
      </c>
      <c r="E78" s="129"/>
      <c r="F78" s="183">
        <f t="array" ref="F78">SUM(F13:G13*F26:G26)/F32</f>
        <v>0.35271701655146581</v>
      </c>
      <c r="G78" s="129"/>
      <c r="H78" s="183">
        <f t="array" ref="H78">SUM(H13:I13*H26:I26)/H32</f>
        <v>0.35577827951231855</v>
      </c>
      <c r="I78" s="129"/>
      <c r="J78" s="183">
        <f t="array" ref="J78">SUM(J13:K13*J26:K26)/J32</f>
        <v>0.3589665885739669</v>
      </c>
      <c r="K78" s="129"/>
      <c r="L78" s="183">
        <f t="array" ref="L78">SUM(L13:M13*L26:M26)/L32</f>
        <v>0.36230922594190113</v>
      </c>
      <c r="M78" s="129"/>
      <c r="N78" s="183">
        <f t="array" ref="N78">SUM(N13:O13*N26:O26)/N32</f>
        <v>0.36584053973885605</v>
      </c>
      <c r="O78" s="129"/>
      <c r="P78" s="183">
        <f t="array" ref="P78">SUM(P13:Q13*P26:Q26)/P32</f>
        <v>0.36960495283362732</v>
      </c>
      <c r="Q78" s="129"/>
      <c r="R78" s="183">
        <f t="array" ref="R78">SUM(R13:S13*R26:S26)/R32</f>
        <v>0.3736624542641957</v>
      </c>
      <c r="S78" s="129"/>
      <c r="T78" s="183">
        <f t="array" ref="T78">SUM(T13:U13*T26:U26)/T32</f>
        <v>0.37809749613880766</v>
      </c>
      <c r="U78" s="129"/>
      <c r="V78" s="183">
        <f t="array" ref="V78">SUM(V13:W13*V26:W26)/V32</f>
        <v>0.38303325160947538</v>
      </c>
      <c r="W78" s="129"/>
      <c r="X78" s="183">
        <f t="array" ref="X78">SUM(X13:Y13*X26:Y26)/X32</f>
        <v>0.38865514612312674</v>
      </c>
      <c r="Y78" s="129"/>
      <c r="Z78" s="183">
        <f t="array" ref="Z78">SUM(Z13:AA13*Z26:AA26)/Z32</f>
        <v>0.39524780454970571</v>
      </c>
      <c r="AA78" s="129"/>
      <c r="AB78" s="183">
        <f t="array" ref="AB78">SUM(AB13:AC13*AB26:AC26)/AB32</f>
        <v>0.40324619141769369</v>
      </c>
      <c r="AC78" s="129"/>
      <c r="AD78" s="183">
        <f t="array" ref="AD78">SUM(AD13:AE13*AD26:AE26)/AD32</f>
        <v>0.41327635819194819</v>
      </c>
      <c r="AE78" s="129"/>
      <c r="AF78" s="183">
        <f t="array" ref="AF78">SUM(AF13:AG13*AF26:AG26)/AF32</f>
        <v>0.42607971026739277</v>
      </c>
      <c r="AG78" s="129"/>
      <c r="AH78" s="183">
        <f t="array" ref="AH78">SUM(AH13:AI13*AH26:AI26)/AH32</f>
        <v>0.4421040702164899</v>
      </c>
      <c r="AI78" s="129"/>
      <c r="AJ78" s="183">
        <f t="array" ref="AJ78">SUM(AJ13:AK13*AJ26:AK26)/AJ32</f>
        <v>0.46069334546050072</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0.44452800159097089</v>
      </c>
      <c r="F79" s="183">
        <f t="array" ref="F79">SUM(F15:G15*F27:G27)/F32</f>
        <v>0.43414927068648712</v>
      </c>
      <c r="H79" s="183">
        <f t="array" ref="H79">SUM(H15:I15*H27:I27)/H32</f>
        <v>0.42340468996621111</v>
      </c>
      <c r="J79" s="183">
        <f t="array" ref="J79">SUM(J15:K15*J27:K27)/J32</f>
        <v>0.41221425061386974</v>
      </c>
      <c r="L79" s="183">
        <f t="array" ref="L79">SUM(L15:M15*L27:M27)/L32</f>
        <v>0.40048203213806577</v>
      </c>
      <c r="N79" s="183">
        <f t="array" ref="N79">SUM(N15:O15*N27:O27)/N32</f>
        <v>0.38808761988968327</v>
      </c>
      <c r="P79" s="183">
        <f t="array" ref="P79">SUM(P15:Q15*P27:Q27)/P32</f>
        <v>0.37487515775557773</v>
      </c>
      <c r="R79" s="183">
        <f t="array" ref="R79">SUM(R15:S15*R27:S27)/R32</f>
        <v>0.36063392478560802</v>
      </c>
      <c r="T79" s="183">
        <f t="array" ref="T79">SUM(T15:U15*T27:U27)/T32</f>
        <v>0.34506759142894788</v>
      </c>
      <c r="V79" s="183">
        <f t="array" ref="V79">SUM(V15:W15*V27:W27)/V32</f>
        <v>0.32774381913502065</v>
      </c>
      <c r="X79" s="183">
        <f t="array" ref="X79">SUM(X15:Y15*X27:Y27)/X32</f>
        <v>0.30801181497173646</v>
      </c>
      <c r="Z79" s="183">
        <f t="array" ref="Z79">SUM(Z15:AA15*Z27:AA27)/Z32</f>
        <v>0.28487256466589833</v>
      </c>
      <c r="AB79" s="183">
        <f t="array" ref="AB79">SUM(AB15:AC15*AB27:AC27)/AB32</f>
        <v>0.25679942200050654</v>
      </c>
      <c r="AD79" s="183">
        <f t="array" ref="AD79">SUM(AD15:AE15*AD27:AE27)/AD32</f>
        <v>0.22159503693216684</v>
      </c>
      <c r="AF79" s="183">
        <f t="array" ref="AF79">SUM(AF15:AG15*AF27:AG27)/AF32</f>
        <v>0.1766571792568439</v>
      </c>
      <c r="AH79" s="183">
        <f t="array" ref="AH79">SUM(AH15:AI15*AH27:AI27)/AH32</f>
        <v>0.12041407291558029</v>
      </c>
      <c r="AJ79" s="183">
        <f t="array" ref="AJ79">SUM(AJ15:AK15*AJ27:AK27)/AJ32</f>
        <v>5.5168493013061218E-2</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0.20571202380127954</v>
      </c>
      <c r="F80" s="195">
        <f>F55</f>
        <v>0.2131337107018782</v>
      </c>
      <c r="H80" s="195">
        <f>H55</f>
        <v>0.22081702793708591</v>
      </c>
      <c r="J80" s="195">
        <f>J55</f>
        <v>0.22881920599966193</v>
      </c>
      <c r="L80" s="195">
        <f>L55</f>
        <v>0.23720873782953228</v>
      </c>
      <c r="N80" s="195">
        <f>N55</f>
        <v>0.24607183129585727</v>
      </c>
      <c r="P80" s="195">
        <f>P55</f>
        <v>0.25551989837834471</v>
      </c>
      <c r="R80" s="195">
        <f>R55</f>
        <v>0.26570362365519484</v>
      </c>
      <c r="T80" s="195">
        <f>T55</f>
        <v>0.27683491910012531</v>
      </c>
      <c r="V80" s="195">
        <f>V55</f>
        <v>0.28922292425581059</v>
      </c>
      <c r="X80" s="195">
        <f>X55</f>
        <v>0.30333305352329049</v>
      </c>
      <c r="Z80" s="195">
        <f>Z55</f>
        <v>0.31987962856389257</v>
      </c>
      <c r="AB80" s="195">
        <f>AB55</f>
        <v>0.33995437891919428</v>
      </c>
      <c r="AD80" s="195">
        <f>AD55</f>
        <v>0.36512860446560419</v>
      </c>
      <c r="AF80" s="195">
        <f>AF55</f>
        <v>0.39726310822013738</v>
      </c>
      <c r="AH80" s="195">
        <f>AH55</f>
        <v>0.43748185625760849</v>
      </c>
      <c r="AJ80" s="195">
        <f>AJ55</f>
        <v>0.48413816115652397</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-2.0334180763145304E-2</v>
      </c>
      <c r="F81" s="195">
        <f>F51/F$32</f>
        <v>-1.291249386254663E-2</v>
      </c>
      <c r="H81" s="195">
        <f>H51/H$32</f>
        <v>-5.2291766273389346E-3</v>
      </c>
      <c r="J81" s="195">
        <f>J51/J$32</f>
        <v>2.7730014352370948E-3</v>
      </c>
      <c r="L81" s="195">
        <f>L51/L$32</f>
        <v>1.1162533265107424E-2</v>
      </c>
      <c r="N81" s="195">
        <f>N51/N$32</f>
        <v>2.0025626731432426E-2</v>
      </c>
      <c r="P81" s="195">
        <f>P51/P$32</f>
        <v>2.9473693813919861E-2</v>
      </c>
      <c r="R81" s="195">
        <f>R51/R$32</f>
        <v>3.9657419090770002E-2</v>
      </c>
      <c r="T81" s="195">
        <f>T51/T$32</f>
        <v>5.0788714535700483E-2</v>
      </c>
      <c r="V81" s="195">
        <f>V51/V$32</f>
        <v>6.3176719691385733E-2</v>
      </c>
      <c r="X81" s="195">
        <f>X51/X$32</f>
        <v>7.7286848958865673E-2</v>
      </c>
      <c r="Z81" s="195">
        <f>Z51/Z$32</f>
        <v>9.3833423999467716E-2</v>
      </c>
      <c r="AB81" s="195">
        <f>AB51/AB$32</f>
        <v>0.11390817435476945</v>
      </c>
      <c r="AD81" s="195">
        <f>AD51/AD$32</f>
        <v>0.13908239990117935</v>
      </c>
      <c r="AF81" s="195">
        <f>AF51/AF$32</f>
        <v>0.17121690365571254</v>
      </c>
      <c r="AH81" s="195">
        <f>AH51/AH$32</f>
        <v>0.21143565169318365</v>
      </c>
      <c r="AJ81" s="195">
        <f>AJ51/AJ$32</f>
        <v>0.25809195659209916</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0.1418619778865769</v>
      </c>
      <c r="F82" s="195">
        <f>F52/F$32</f>
        <v>0.14306133991603695</v>
      </c>
      <c r="H82" s="195">
        <f>H52/H$32</f>
        <v>0.14430298225384294</v>
      </c>
      <c r="J82" s="195">
        <f>J52/J$32</f>
        <v>0.14559615424448122</v>
      </c>
      <c r="L82" s="195">
        <f>L52/L$32</f>
        <v>0.14695192149774702</v>
      </c>
      <c r="N82" s="195">
        <f>N52/N$32</f>
        <v>0.14838421554580761</v>
      </c>
      <c r="P82" s="195">
        <f>P52/P$32</f>
        <v>0.14991105421835257</v>
      </c>
      <c r="R82" s="195">
        <f>R52/R$32</f>
        <v>0.15155676895319484</v>
      </c>
      <c r="T82" s="195">
        <f>T52/T$32</f>
        <v>0.15335561336214651</v>
      </c>
      <c r="V82" s="195">
        <f>V52/V$32</f>
        <v>0.15535754623750184</v>
      </c>
      <c r="X82" s="195">
        <f>X52/X$32</f>
        <v>0.15763777578200477</v>
      </c>
      <c r="Z82" s="195">
        <f>Z52/Z$32</f>
        <v>0.16031174529256714</v>
      </c>
      <c r="AB82" s="195">
        <f>AB52/AB$32</f>
        <v>0.16355587554091378</v>
      </c>
      <c r="AD82" s="195">
        <f>AD52/AD$32</f>
        <v>0.16762409179068688</v>
      </c>
      <c r="AF82" s="195">
        <f>AF52/AF$32</f>
        <v>0.17281710663652042</v>
      </c>
      <c r="AH82" s="195">
        <f>AH52/AH$32</f>
        <v>0.17931655604791624</v>
      </c>
      <c r="AJ82" s="195">
        <f>AJ52/AJ$32</f>
        <v>0.18685633014352801</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0.18029969792660464</v>
      </c>
      <c r="F83" s="195">
        <f>F53/F$32</f>
        <v>0.17609010473957795</v>
      </c>
      <c r="H83" s="195">
        <f>H53/H$32</f>
        <v>0.17173212357465614</v>
      </c>
      <c r="J83" s="195">
        <f>J53/J$32</f>
        <v>0.16719330301066015</v>
      </c>
      <c r="L83" s="195">
        <f>L53/L$32</f>
        <v>0.16243473788174667</v>
      </c>
      <c r="N83" s="195">
        <f>N53/N$32</f>
        <v>0.15740758823906248</v>
      </c>
      <c r="P83" s="195">
        <f>P53/P$32</f>
        <v>0.15204863914447228</v>
      </c>
      <c r="R83" s="195">
        <f>R53/R$32</f>
        <v>0.14627242258803905</v>
      </c>
      <c r="T83" s="195">
        <f>T53/T$32</f>
        <v>0.13995874787691673</v>
      </c>
      <c r="V83" s="195">
        <f>V53/V$32</f>
        <v>0.13293225933094119</v>
      </c>
      <c r="X83" s="195">
        <f>X53/X$32</f>
        <v>0.1249289965951997</v>
      </c>
      <c r="Z83" s="195">
        <f>Z53/Z$32</f>
        <v>0.11554376141213121</v>
      </c>
      <c r="AB83" s="195">
        <f>AB53/AB$32</f>
        <v>0.1041573490279728</v>
      </c>
      <c r="AD83" s="195">
        <f>AD53/AD$32</f>
        <v>8.9878518513817743E-2</v>
      </c>
      <c r="AF83" s="195">
        <f>AF53/AF$32</f>
        <v>7.1651810330460752E-2</v>
      </c>
      <c r="AH83" s="195">
        <f>AH53/AH$32</f>
        <v>4.8839715147501857E-2</v>
      </c>
      <c r="AJ83" s="195">
        <f>AJ53/AJ$32</f>
        <v>2.2376234094862415E-2</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c r="AX1">
        <v>0.99000000000000032</v>
      </c>
    </row>
    <row r="2" spans="1:51" x14ac:dyDescent="0.2">
      <c r="A2" s="190" t="s">
        <v>139</v>
      </c>
      <c r="B2" s="188">
        <v>5.7716594496607888E-3</v>
      </c>
      <c r="C2" s="189"/>
      <c r="D2" s="188">
        <v>5.4544468439656636E-2</v>
      </c>
      <c r="E2" s="189"/>
      <c r="F2" s="188">
        <v>0.10755578589722956</v>
      </c>
      <c r="G2" s="189"/>
      <c r="H2" s="188">
        <v>0.1653214227814728</v>
      </c>
      <c r="I2" s="189"/>
      <c r="J2" s="188">
        <v>0.22843755579161698</v>
      </c>
      <c r="K2" s="189"/>
      <c r="L2" s="188">
        <v>0.29759491547496619</v>
      </c>
      <c r="M2" s="189"/>
      <c r="N2" s="188">
        <v>0.37359407254672217</v>
      </c>
      <c r="O2" s="189"/>
      <c r="P2" s="188">
        <v>0.45736035672148312</v>
      </c>
      <c r="Q2" s="189"/>
      <c r="R2" s="188">
        <v>0.54995277311290469</v>
      </c>
      <c r="S2" s="189"/>
      <c r="T2" s="188">
        <v>0.65256070077741857</v>
      </c>
      <c r="U2" s="189"/>
      <c r="V2" s="188">
        <v>0.76647001509177748</v>
      </c>
      <c r="W2" s="189"/>
      <c r="X2" s="188">
        <v>0.89297691960556425</v>
      </c>
      <c r="Y2" s="189"/>
      <c r="Z2" s="188">
        <v>1.0332179217960653</v>
      </c>
      <c r="AA2" s="189"/>
      <c r="AB2" s="188">
        <v>1.1878974203904171</v>
      </c>
      <c r="AC2" s="189"/>
      <c r="AD2" s="188">
        <v>1.3569336149436648</v>
      </c>
      <c r="AE2" s="189"/>
      <c r="AF2" s="188">
        <v>1.5391303572761192</v>
      </c>
      <c r="AG2" s="189"/>
      <c r="AH2" s="188">
        <v>1.7320552960049402</v>
      </c>
      <c r="AI2" s="189"/>
      <c r="AJ2" s="188">
        <v>1.9322768007073918</v>
      </c>
      <c r="AK2" s="189"/>
      <c r="AL2" s="188">
        <v>2.1359199271964227</v>
      </c>
      <c r="AM2" s="189"/>
      <c r="AN2" s="188">
        <v>2.3393058401168192</v>
      </c>
      <c r="AO2" s="189"/>
      <c r="AP2" s="188">
        <v>2.3796719273890279</v>
      </c>
      <c r="AQ2" s="189"/>
      <c r="AR2" s="188">
        <v>2.4198841118604686</v>
      </c>
      <c r="AS2" s="189"/>
      <c r="AT2" s="188">
        <v>2.4599236581828867</v>
      </c>
      <c r="AU2" s="189"/>
      <c r="AV2" s="188">
        <v>2.4997732536235224</v>
      </c>
      <c r="AW2" s="189"/>
      <c r="AX2">
        <v>5.7716594496607888E-3</v>
      </c>
    </row>
    <row r="3" spans="1:51" x14ac:dyDescent="0.2">
      <c r="A3" t="s">
        <v>12</v>
      </c>
      <c r="B3" s="81">
        <v>1000</v>
      </c>
      <c r="C3" s="82">
        <v>1000</v>
      </c>
      <c r="D3" s="81">
        <v>998.38902414686015</v>
      </c>
      <c r="E3" s="82">
        <v>1022.6035205183171</v>
      </c>
      <c r="F3" s="81">
        <v>996.72788527552166</v>
      </c>
      <c r="G3" s="82">
        <v>1047.6060165933427</v>
      </c>
      <c r="H3" s="81">
        <v>995.01086465430467</v>
      </c>
      <c r="I3" s="82">
        <v>1075.3346227485051</v>
      </c>
      <c r="J3" s="81">
        <v>993.23240076933064</v>
      </c>
      <c r="K3" s="82">
        <v>1106.1670506999446</v>
      </c>
      <c r="L3" s="81">
        <v>991.38761908472407</v>
      </c>
      <c r="M3" s="82">
        <v>1140.5382412722856</v>
      </c>
      <c r="N3" s="81">
        <v>989.47317644125542</v>
      </c>
      <c r="O3" s="82">
        <v>1178.946351243399</v>
      </c>
      <c r="P3" s="81">
        <v>987.48844815795508</v>
      </c>
      <c r="Q3" s="82">
        <v>1221.9563361968551</v>
      </c>
      <c r="R3" s="81">
        <v>985.43719725442577</v>
      </c>
      <c r="S3" s="82">
        <v>1270.1974348273195</v>
      </c>
      <c r="T3" s="81">
        <v>983.32975008683763</v>
      </c>
      <c r="U3" s="82">
        <v>1324.3497162586484</v>
      </c>
      <c r="V3" s="81">
        <v>981.18547582404824</v>
      </c>
      <c r="W3" s="82">
        <v>1385.1102142101927</v>
      </c>
      <c r="X3" s="81">
        <v>979.03521177332038</v>
      </c>
      <c r="Y3" s="82">
        <v>1453.1259547266429</v>
      </c>
      <c r="Z3" s="81">
        <v>976.92258700676223</v>
      </c>
      <c r="AA3" s="82">
        <v>1528.8817499723002</v>
      </c>
      <c r="AB3" s="81">
        <v>974.90276825438775</v>
      </c>
      <c r="AC3" s="82">
        <v>1612.5389106324244</v>
      </c>
      <c r="AD3" s="81">
        <v>973.03698369295057</v>
      </c>
      <c r="AE3" s="82">
        <v>1703.7501210464457</v>
      </c>
      <c r="AF3" s="81">
        <v>971.38252488996761</v>
      </c>
      <c r="AG3" s="82">
        <v>1801.5190076859853</v>
      </c>
      <c r="AH3" s="81">
        <v>969.98073927957716</v>
      </c>
      <c r="AI3" s="82">
        <v>1904.2017785745061</v>
      </c>
      <c r="AJ3" s="81">
        <v>968.84825315038017</v>
      </c>
      <c r="AK3" s="82">
        <v>2009.7082074008151</v>
      </c>
      <c r="AL3" s="81">
        <v>967.97579705805765</v>
      </c>
      <c r="AM3" s="82">
        <v>2115.8477969764863</v>
      </c>
      <c r="AN3" s="81">
        <v>967.3345995004214</v>
      </c>
      <c r="AO3" s="82">
        <v>2220.6741008327167</v>
      </c>
      <c r="AP3" s="81">
        <v>967.2307852094666</v>
      </c>
      <c r="AQ3" s="82">
        <v>2241.3416405882817</v>
      </c>
      <c r="AR3" s="81">
        <v>967.13435585266529</v>
      </c>
      <c r="AS3" s="82">
        <v>2261.8859585245136</v>
      </c>
      <c r="AT3" s="81">
        <v>967.04498559960155</v>
      </c>
      <c r="AU3" s="82">
        <v>2282.2984524465255</v>
      </c>
      <c r="AV3" s="81">
        <v>966.96235162775156</v>
      </c>
      <c r="AW3" s="82">
        <v>2302.5713387264777</v>
      </c>
      <c r="AX3">
        <v>1000</v>
      </c>
      <c r="AY3">
        <v>1000</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c r="AX4">
        <v>1000</v>
      </c>
      <c r="AY4">
        <v>1000</v>
      </c>
    </row>
    <row r="5" spans="1:51" x14ac:dyDescent="0.2">
      <c r="A5" t="s">
        <v>115</v>
      </c>
      <c r="B5" s="39">
        <v>1000</v>
      </c>
      <c r="C5" s="40">
        <v>1000</v>
      </c>
      <c r="D5" s="39">
        <v>998.30904160797661</v>
      </c>
      <c r="E5" s="40">
        <v>1019.6314336484639</v>
      </c>
      <c r="F5" s="39">
        <v>996.56422664360491</v>
      </c>
      <c r="G5" s="40">
        <v>1040.8479459365878</v>
      </c>
      <c r="H5" s="39">
        <v>994.75942418589921</v>
      </c>
      <c r="I5" s="40">
        <v>1063.7720815680427</v>
      </c>
      <c r="J5" s="39">
        <v>992.88864587898513</v>
      </c>
      <c r="K5" s="40">
        <v>1088.5228300565718</v>
      </c>
      <c r="L5" s="39">
        <v>990.94660264459537</v>
      </c>
      <c r="M5" s="40">
        <v>1115.2078847285902</v>
      </c>
      <c r="N5" s="39">
        <v>988.92959552390437</v>
      </c>
      <c r="O5" s="40">
        <v>1143.912511374466</v>
      </c>
      <c r="P5" s="39">
        <v>986.83677296192616</v>
      </c>
      <c r="Q5" s="40">
        <v>1174.683252673442</v>
      </c>
      <c r="R5" s="39">
        <v>984.67190482779051</v>
      </c>
      <c r="S5" s="40">
        <v>1207.5064051746242</v>
      </c>
      <c r="T5" s="39">
        <v>982.44570232210674</v>
      </c>
      <c r="U5" s="40">
        <v>1242.2768063461892</v>
      </c>
      <c r="V5" s="39">
        <v>980.17847548019029</v>
      </c>
      <c r="W5" s="40">
        <v>1278.7638769429529</v>
      </c>
      <c r="X5" s="39">
        <v>977.90275023623599</v>
      </c>
      <c r="Y5" s="40">
        <v>1316.5712536832241</v>
      </c>
      <c r="Z5" s="39">
        <v>975.6647332596782</v>
      </c>
      <c r="AA5" s="40">
        <v>1355.1062010382097</v>
      </c>
      <c r="AB5" s="39">
        <v>973.52304484172726</v>
      </c>
      <c r="AC5" s="40">
        <v>1393.5733975802834</v>
      </c>
      <c r="AD5" s="39">
        <v>971.54294768038289</v>
      </c>
      <c r="AE5" s="40">
        <v>1431.0216443381489</v>
      </c>
      <c r="AF5" s="39">
        <v>969.78571933505089</v>
      </c>
      <c r="AG5" s="40">
        <v>1466.4574047723172</v>
      </c>
      <c r="AH5" s="39">
        <v>968.29582036078045</v>
      </c>
      <c r="AI5" s="40">
        <v>1499.0108466125473</v>
      </c>
      <c r="AJ5" s="39">
        <v>967.09144896208738</v>
      </c>
      <c r="AK5" s="40">
        <v>1528.0910868551539</v>
      </c>
      <c r="AL5" s="39">
        <v>966.16318510402743</v>
      </c>
      <c r="AM5" s="40">
        <v>1553.4631271658782</v>
      </c>
      <c r="AN5" s="39">
        <v>965.48073427006943</v>
      </c>
      <c r="AO5" s="40">
        <v>1575.2184222865324</v>
      </c>
      <c r="AP5" s="39">
        <v>965.37022176732455</v>
      </c>
      <c r="AQ5" s="40">
        <v>1579.160770552885</v>
      </c>
      <c r="AR5" s="39">
        <v>965.26756592847369</v>
      </c>
      <c r="AS5" s="40">
        <v>1582.9739848669312</v>
      </c>
      <c r="AT5" s="39">
        <v>965.17242091290245</v>
      </c>
      <c r="AU5" s="40">
        <v>1586.6614592333203</v>
      </c>
      <c r="AV5" s="39">
        <v>965.08444394943945</v>
      </c>
      <c r="AW5" s="40">
        <v>1590.2266942854255</v>
      </c>
      <c r="AX5">
        <v>1000</v>
      </c>
      <c r="AY5">
        <v>1000</v>
      </c>
    </row>
    <row r="6" spans="1:51" x14ac:dyDescent="0.2">
      <c r="A6" t="s">
        <v>77</v>
      </c>
      <c r="B6" s="39">
        <v>999.99999999999943</v>
      </c>
      <c r="C6" s="40">
        <v>999.99999999999909</v>
      </c>
      <c r="D6" s="39">
        <v>998.1799355902499</v>
      </c>
      <c r="E6" s="40">
        <v>1024.3566221161932</v>
      </c>
      <c r="F6" s="39">
        <v>996.30239604156645</v>
      </c>
      <c r="G6" s="40">
        <v>1051.2059599726924</v>
      </c>
      <c r="H6" s="39">
        <v>994.36083295555636</v>
      </c>
      <c r="I6" s="40">
        <v>1080.8807094896715</v>
      </c>
      <c r="J6" s="39">
        <v>992.34886015543634</v>
      </c>
      <c r="K6" s="40">
        <v>1113.7645811739812</v>
      </c>
      <c r="L6" s="39">
        <v>990.26085249118159</v>
      </c>
      <c r="M6" s="40">
        <v>1150.2989929924731</v>
      </c>
      <c r="N6" s="39">
        <v>988.09290280222604</v>
      </c>
      <c r="O6" s="40">
        <v>1190.9890747892136</v>
      </c>
      <c r="P6" s="39">
        <v>985.84417051224204</v>
      </c>
      <c r="Q6" s="40">
        <v>1236.4071994353233</v>
      </c>
      <c r="R6" s="39">
        <v>983.51878202869307</v>
      </c>
      <c r="S6" s="40">
        <v>1287.1902403988265</v>
      </c>
      <c r="T6" s="39">
        <v>981.12831347895121</v>
      </c>
      <c r="U6" s="40">
        <v>1344.0256284868531</v>
      </c>
      <c r="V6" s="39">
        <v>978.69462898941379</v>
      </c>
      <c r="W6" s="40">
        <v>1407.6164966048848</v>
      </c>
      <c r="X6" s="39">
        <v>976.25266958791428</v>
      </c>
      <c r="Y6" s="40">
        <v>1478.6129576258429</v>
      </c>
      <c r="Z6" s="39">
        <v>973.85200049718242</v>
      </c>
      <c r="AA6" s="40">
        <v>1557.4972268416686</v>
      </c>
      <c r="AB6" s="39">
        <v>971.5554288834735</v>
      </c>
      <c r="AC6" s="40">
        <v>1644.4188409096323</v>
      </c>
      <c r="AD6" s="39">
        <v>969.43280249092447</v>
      </c>
      <c r="AE6" s="40">
        <v>1739.0060963877547</v>
      </c>
      <c r="AF6" s="39">
        <v>967.54962448976016</v>
      </c>
      <c r="AG6" s="40">
        <v>1840.2240129272559</v>
      </c>
      <c r="AH6" s="39">
        <v>965.95333234496843</v>
      </c>
      <c r="AI6" s="40">
        <v>1946.3782519518979</v>
      </c>
      <c r="AJ6" s="39">
        <v>964.6632224574555</v>
      </c>
      <c r="AK6" s="40">
        <v>2055.3228195685615</v>
      </c>
      <c r="AL6" s="39">
        <v>963.66903782939471</v>
      </c>
      <c r="AM6" s="40">
        <v>2164.8151803342016</v>
      </c>
      <c r="AN6" s="39">
        <v>962.93821248180313</v>
      </c>
      <c r="AO6" s="40">
        <v>2272.867954854667</v>
      </c>
      <c r="AP6" s="39">
        <v>962.81987362332234</v>
      </c>
      <c r="AQ6" s="40">
        <v>2294.1630406771901</v>
      </c>
      <c r="AR6" s="39">
        <v>962.70994961561792</v>
      </c>
      <c r="AS6" s="40">
        <v>2315.3286022378402</v>
      </c>
      <c r="AT6" s="39">
        <v>962.60806974470984</v>
      </c>
      <c r="AU6" s="40">
        <v>2336.3559161093531</v>
      </c>
      <c r="AV6" s="39">
        <v>962.51386663363746</v>
      </c>
      <c r="AW6" s="40">
        <v>2357.2370982178609</v>
      </c>
      <c r="AX6">
        <v>999.99999999999943</v>
      </c>
      <c r="AY6">
        <v>999.99999999999909</v>
      </c>
    </row>
    <row r="7" spans="1:51" x14ac:dyDescent="0.2">
      <c r="A7" t="s">
        <v>13</v>
      </c>
      <c r="B7" s="31">
        <v>1015.9116825427475</v>
      </c>
      <c r="C7" s="32">
        <v>1015.9116825427475</v>
      </c>
      <c r="D7" s="31">
        <v>1014.1938181575972</v>
      </c>
      <c r="E7" s="32">
        <v>1014.1938181575972</v>
      </c>
      <c r="F7" s="31">
        <v>1012.4212402514165</v>
      </c>
      <c r="G7" s="32">
        <v>1012.4212402514165</v>
      </c>
      <c r="H7" s="31">
        <v>1010.5877203499515</v>
      </c>
      <c r="I7" s="32">
        <v>1010.5877203499515</v>
      </c>
      <c r="J7" s="31">
        <v>1008.68717481251</v>
      </c>
      <c r="K7" s="32">
        <v>1008.68717481251</v>
      </c>
      <c r="L7" s="31">
        <v>1006.7142304026903</v>
      </c>
      <c r="M7" s="32">
        <v>1006.7142304026903</v>
      </c>
      <c r="N7" s="31">
        <v>1004.6651293050083</v>
      </c>
      <c r="O7" s="32">
        <v>1004.6651293050083</v>
      </c>
      <c r="P7" s="31">
        <v>1002.5390064148056</v>
      </c>
      <c r="Q7" s="32">
        <v>1002.5390064148056</v>
      </c>
      <c r="R7" s="31">
        <v>1000.3396915861728</v>
      </c>
      <c r="S7" s="32">
        <v>1000.3396915861728</v>
      </c>
      <c r="T7" s="31">
        <v>998.07806645294261</v>
      </c>
      <c r="U7" s="32">
        <v>998.07806645294261</v>
      </c>
      <c r="V7" s="31">
        <v>995.77476421726521</v>
      </c>
      <c r="W7" s="32">
        <v>995.77476421726521</v>
      </c>
      <c r="X7" s="31">
        <v>993.46282835567456</v>
      </c>
      <c r="Y7" s="32">
        <v>993.46282835567456</v>
      </c>
      <c r="Z7" s="31">
        <v>991.18920076346058</v>
      </c>
      <c r="AA7" s="32">
        <v>991.18920076346058</v>
      </c>
      <c r="AB7" s="31">
        <v>989.01343447929776</v>
      </c>
      <c r="AC7" s="32">
        <v>989.01343447929776</v>
      </c>
      <c r="AD7" s="31">
        <v>987.00183064051828</v>
      </c>
      <c r="AE7" s="32">
        <v>987.00183064051828</v>
      </c>
      <c r="AF7" s="31">
        <v>985.21664183560017</v>
      </c>
      <c r="AG7" s="32">
        <v>985.21664183560017</v>
      </c>
      <c r="AH7" s="31">
        <v>983.7030360618304</v>
      </c>
      <c r="AI7" s="32">
        <v>983.7030360618304</v>
      </c>
      <c r="AJ7" s="31">
        <v>982.47950108777775</v>
      </c>
      <c r="AK7" s="32">
        <v>982.47950108777775</v>
      </c>
      <c r="AL7" s="31">
        <v>981.53646698989246</v>
      </c>
      <c r="AM7" s="32">
        <v>981.53646698989246</v>
      </c>
      <c r="AN7" s="31">
        <v>980.8431572149135</v>
      </c>
      <c r="AO7" s="32">
        <v>980.8431572149135</v>
      </c>
      <c r="AP7" s="31">
        <v>980.73088627230788</v>
      </c>
      <c r="AQ7" s="32">
        <v>980.73088627230788</v>
      </c>
      <c r="AR7" s="31">
        <v>980.6265970063381</v>
      </c>
      <c r="AS7" s="32">
        <v>980.6265970063381</v>
      </c>
      <c r="AT7" s="31">
        <v>980.52993807348355</v>
      </c>
      <c r="AU7" s="32">
        <v>980.52993807348355</v>
      </c>
      <c r="AV7" s="31">
        <v>980.44056124850681</v>
      </c>
      <c r="AW7" s="32">
        <v>980.44056124850681</v>
      </c>
      <c r="AX7">
        <v>1015.9116825427475</v>
      </c>
      <c r="AY7">
        <v>1015.9116825427475</v>
      </c>
    </row>
    <row r="8" spans="1:51" x14ac:dyDescent="0.2">
      <c r="B8" s="33">
        <v>1005.7716594496609</v>
      </c>
      <c r="C8" s="34">
        <v>1005.7716594496609</v>
      </c>
      <c r="D8" s="33">
        <v>1075.2466882011843</v>
      </c>
      <c r="E8" s="34">
        <v>1075.2466882011843</v>
      </c>
      <c r="F8" s="33">
        <v>1152.7971647613147</v>
      </c>
      <c r="G8" s="34">
        <v>1152.7971647613147</v>
      </c>
      <c r="H8" s="33">
        <v>1239.6363956080804</v>
      </c>
      <c r="I8" s="34">
        <v>1239.6363956080804</v>
      </c>
      <c r="J8" s="33">
        <v>1337.1823247780687</v>
      </c>
      <c r="K8" s="34">
        <v>1337.1823247780687</v>
      </c>
      <c r="L8" s="33">
        <v>1447.0880809214109</v>
      </c>
      <c r="M8" s="34">
        <v>1447.0880809214109</v>
      </c>
      <c r="N8" s="33">
        <v>1571.2714451360014</v>
      </c>
      <c r="O8" s="34">
        <v>1571.2714451360014</v>
      </c>
      <c r="P8" s="33">
        <v>1711.9368041509194</v>
      </c>
      <c r="Q8" s="34">
        <v>1711.9368041509194</v>
      </c>
      <c r="R8" s="33">
        <v>1871.5779012520034</v>
      </c>
      <c r="S8" s="34">
        <v>1871.5779012520034</v>
      </c>
      <c r="T8" s="33">
        <v>2052.9378296549921</v>
      </c>
      <c r="U8" s="34">
        <v>2052.9378296549921</v>
      </c>
      <c r="V8" s="33">
        <v>2258.8980450022382</v>
      </c>
      <c r="W8" s="34">
        <v>2258.8980450022382</v>
      </c>
      <c r="X8" s="33">
        <v>2492.2389962385055</v>
      </c>
      <c r="Y8" s="34">
        <v>2492.2389962385055</v>
      </c>
      <c r="Z8" s="33">
        <v>2755.22621388787</v>
      </c>
      <c r="AA8" s="34">
        <v>2755.22621388787</v>
      </c>
      <c r="AB8" s="33">
        <v>3048.9956416906111</v>
      </c>
      <c r="AC8" s="34">
        <v>3048.9956416906111</v>
      </c>
      <c r="AD8" s="33">
        <v>3372.8230172525405</v>
      </c>
      <c r="AE8" s="34">
        <v>3372.8230172525405</v>
      </c>
      <c r="AF8" s="33">
        <v>3723.5265141097439</v>
      </c>
      <c r="AG8" s="34">
        <v>3723.5265141097439</v>
      </c>
      <c r="AH8" s="33">
        <v>4095.3805222566593</v>
      </c>
      <c r="AI8" s="34">
        <v>4095.3805222566593</v>
      </c>
      <c r="AJ8" s="33">
        <v>4480.7860433531123</v>
      </c>
      <c r="AK8" s="34">
        <v>4480.7860433531123</v>
      </c>
      <c r="AL8" s="33">
        <v>4871.535976644348</v>
      </c>
      <c r="AM8" s="34">
        <v>4871.535976644348</v>
      </c>
      <c r="AN8" s="33">
        <v>5260.1360770010197</v>
      </c>
      <c r="AO8" s="34">
        <v>5260.1360770010197</v>
      </c>
      <c r="AP8" s="33">
        <v>5337.0453250716109</v>
      </c>
      <c r="AQ8" s="34">
        <v>5337.0453250716109</v>
      </c>
      <c r="AR8" s="33">
        <v>5413.5875803348717</v>
      </c>
      <c r="AS8" s="34">
        <v>5413.5875803348717</v>
      </c>
      <c r="AT8" s="33">
        <v>5489.7275203283471</v>
      </c>
      <c r="AU8" s="34">
        <v>5489.7275203283471</v>
      </c>
      <c r="AV8" s="33">
        <v>5565.4328518582824</v>
      </c>
      <c r="AW8" s="34">
        <v>5565.4328518582824</v>
      </c>
      <c r="AX8">
        <v>1005.7716594496609</v>
      </c>
      <c r="AY8">
        <v>1005.7716594496609</v>
      </c>
    </row>
    <row r="9" spans="1:51" x14ac:dyDescent="0.2">
      <c r="A9" t="s">
        <v>14</v>
      </c>
      <c r="B9" s="39">
        <v>1015.9116825427475</v>
      </c>
      <c r="C9" s="40">
        <v>1005.7716594496609</v>
      </c>
      <c r="D9" s="39">
        <v>1014.1938181575972</v>
      </c>
      <c r="E9" s="40">
        <v>1075.2466882011843</v>
      </c>
      <c r="F9" s="39">
        <v>1012.4212402514165</v>
      </c>
      <c r="G9" s="40">
        <v>1152.7971647613147</v>
      </c>
      <c r="H9" s="39">
        <v>1010.5877203499515</v>
      </c>
      <c r="I9" s="40">
        <v>1239.6363956080804</v>
      </c>
      <c r="J9" s="39">
        <v>1008.68717481251</v>
      </c>
      <c r="K9" s="40">
        <v>1337.1823247780687</v>
      </c>
      <c r="L9" s="39">
        <v>1006.7142304026903</v>
      </c>
      <c r="M9" s="40">
        <v>1447.0880809214109</v>
      </c>
      <c r="N9" s="39">
        <v>1004.6651293050083</v>
      </c>
      <c r="O9" s="40">
        <v>1571.2714451360014</v>
      </c>
      <c r="P9" s="39">
        <v>1002.5390064148056</v>
      </c>
      <c r="Q9" s="40">
        <v>1711.9368041509194</v>
      </c>
      <c r="R9" s="39">
        <v>1000.3396915861728</v>
      </c>
      <c r="S9" s="40">
        <v>1871.5779012520034</v>
      </c>
      <c r="T9" s="39">
        <v>998.07806645294261</v>
      </c>
      <c r="U9" s="40">
        <v>2052.9378296549921</v>
      </c>
      <c r="V9" s="39">
        <v>995.77476421726521</v>
      </c>
      <c r="W9" s="40">
        <v>2258.8980450022382</v>
      </c>
      <c r="X9" s="39">
        <v>993.46282835567456</v>
      </c>
      <c r="Y9" s="40">
        <v>2492.2389962385055</v>
      </c>
      <c r="Z9" s="39">
        <v>991.18920076346058</v>
      </c>
      <c r="AA9" s="40">
        <v>2755.22621388787</v>
      </c>
      <c r="AB9" s="39">
        <v>989.01343447929776</v>
      </c>
      <c r="AC9" s="40">
        <v>3048.9956416906111</v>
      </c>
      <c r="AD9" s="39">
        <v>987.00183064051828</v>
      </c>
      <c r="AE9" s="40">
        <v>3372.8230172525405</v>
      </c>
      <c r="AF9" s="39">
        <v>985.21664183560017</v>
      </c>
      <c r="AG9" s="40">
        <v>3723.5265141097439</v>
      </c>
      <c r="AH9" s="39">
        <v>983.7030360618304</v>
      </c>
      <c r="AI9" s="40">
        <v>4095.3805222566593</v>
      </c>
      <c r="AJ9" s="39">
        <v>982.47950108777775</v>
      </c>
      <c r="AK9" s="40">
        <v>4480.7860433531123</v>
      </c>
      <c r="AL9" s="39">
        <v>981.53646698989246</v>
      </c>
      <c r="AM9" s="40">
        <v>4871.535976644348</v>
      </c>
      <c r="AN9" s="39">
        <v>980.8431572149135</v>
      </c>
      <c r="AO9" s="40">
        <v>5260.1360770010197</v>
      </c>
      <c r="AP9" s="39">
        <v>980.73088627230788</v>
      </c>
      <c r="AQ9" s="40">
        <v>5337.0453250716109</v>
      </c>
      <c r="AR9" s="39">
        <v>980.6265970063381</v>
      </c>
      <c r="AS9" s="40">
        <v>5413.5875803348717</v>
      </c>
      <c r="AT9" s="39">
        <v>980.52993807348355</v>
      </c>
      <c r="AU9" s="40">
        <v>5489.7275203283471</v>
      </c>
      <c r="AV9" s="39">
        <v>980.44056124850681</v>
      </c>
      <c r="AW9" s="40">
        <v>5565.4328518582824</v>
      </c>
      <c r="AX9">
        <v>1015.9116825427475</v>
      </c>
      <c r="AY9">
        <v>1005.7716594496609</v>
      </c>
    </row>
    <row r="10" spans="1:51" x14ac:dyDescent="0.2">
      <c r="A10" t="s">
        <v>15</v>
      </c>
      <c r="B10" s="39">
        <v>1015.9116825427475</v>
      </c>
      <c r="C10" s="40">
        <v>1005.7716594496609</v>
      </c>
      <c r="D10" s="39">
        <v>1014.1938181575972</v>
      </c>
      <c r="E10" s="40">
        <v>1075.2466882011843</v>
      </c>
      <c r="F10" s="39">
        <v>1012.4212402514165</v>
      </c>
      <c r="G10" s="40">
        <v>1152.7971647613147</v>
      </c>
      <c r="H10" s="39">
        <v>1010.5877203499515</v>
      </c>
      <c r="I10" s="40">
        <v>1239.6363956080804</v>
      </c>
      <c r="J10" s="39">
        <v>1008.68717481251</v>
      </c>
      <c r="K10" s="40">
        <v>1337.1823247780687</v>
      </c>
      <c r="L10" s="39">
        <v>1006.7142304026903</v>
      </c>
      <c r="M10" s="40">
        <v>1447.0880809214109</v>
      </c>
      <c r="N10" s="39">
        <v>1004.6651293050083</v>
      </c>
      <c r="O10" s="40">
        <v>1571.2714451360014</v>
      </c>
      <c r="P10" s="39">
        <v>1002.5390064148056</v>
      </c>
      <c r="Q10" s="40">
        <v>1711.9368041509194</v>
      </c>
      <c r="R10" s="39">
        <v>1000.3396915861728</v>
      </c>
      <c r="S10" s="40">
        <v>1871.5779012520034</v>
      </c>
      <c r="T10" s="39">
        <v>998.07806645294261</v>
      </c>
      <c r="U10" s="40">
        <v>2052.9378296549921</v>
      </c>
      <c r="V10" s="39">
        <v>995.77476421726521</v>
      </c>
      <c r="W10" s="40">
        <v>2258.8980450022382</v>
      </c>
      <c r="X10" s="39">
        <v>993.46282835567456</v>
      </c>
      <c r="Y10" s="40">
        <v>2492.2389962385055</v>
      </c>
      <c r="Z10" s="39">
        <v>991.18920076346058</v>
      </c>
      <c r="AA10" s="40">
        <v>2755.22621388787</v>
      </c>
      <c r="AB10" s="39">
        <v>989.01343447929776</v>
      </c>
      <c r="AC10" s="40">
        <v>3048.9956416906111</v>
      </c>
      <c r="AD10" s="39">
        <v>987.00183064051828</v>
      </c>
      <c r="AE10" s="40">
        <v>3372.8230172525405</v>
      </c>
      <c r="AF10" s="39">
        <v>985.21664183560017</v>
      </c>
      <c r="AG10" s="40">
        <v>3723.5265141097439</v>
      </c>
      <c r="AH10" s="39">
        <v>983.7030360618304</v>
      </c>
      <c r="AI10" s="40">
        <v>4095.3805222566593</v>
      </c>
      <c r="AJ10" s="39">
        <v>982.47950108777775</v>
      </c>
      <c r="AK10" s="40">
        <v>4480.7860433531123</v>
      </c>
      <c r="AL10" s="39">
        <v>981.53646698989246</v>
      </c>
      <c r="AM10" s="40">
        <v>4871.535976644348</v>
      </c>
      <c r="AN10" s="39">
        <v>980.8431572149135</v>
      </c>
      <c r="AO10" s="40">
        <v>5260.1360770010197</v>
      </c>
      <c r="AP10" s="39">
        <v>980.73088627230788</v>
      </c>
      <c r="AQ10" s="40">
        <v>5337.0453250716109</v>
      </c>
      <c r="AR10" s="39">
        <v>980.6265970063381</v>
      </c>
      <c r="AS10" s="40">
        <v>5413.5875803348717</v>
      </c>
      <c r="AT10" s="39">
        <v>980.52993807348355</v>
      </c>
      <c r="AU10" s="40">
        <v>5489.7275203283471</v>
      </c>
      <c r="AV10" s="39">
        <v>980.44056124850681</v>
      </c>
      <c r="AW10" s="40">
        <v>5565.4328518582824</v>
      </c>
      <c r="AX10">
        <v>1015.9116825427475</v>
      </c>
      <c r="AY10">
        <v>1005.7716594496609</v>
      </c>
    </row>
    <row r="11" spans="1:51" x14ac:dyDescent="0.2">
      <c r="A11" t="s">
        <v>29</v>
      </c>
      <c r="B11" s="39">
        <v>1015.9116825427475</v>
      </c>
      <c r="C11" s="40">
        <v>1005.7716594496609</v>
      </c>
      <c r="D11" s="39">
        <v>1014.1938181575972</v>
      </c>
      <c r="E11" s="40">
        <v>1075.2466882011843</v>
      </c>
      <c r="F11" s="39">
        <v>1012.4212402514165</v>
      </c>
      <c r="G11" s="40">
        <v>1152.7971647613147</v>
      </c>
      <c r="H11" s="39">
        <v>1010.5877203499515</v>
      </c>
      <c r="I11" s="40">
        <v>1239.6363956080804</v>
      </c>
      <c r="J11" s="39">
        <v>1008.68717481251</v>
      </c>
      <c r="K11" s="40">
        <v>1337.1823247780687</v>
      </c>
      <c r="L11" s="39">
        <v>1006.7142304026903</v>
      </c>
      <c r="M11" s="40">
        <v>1447.0880809214109</v>
      </c>
      <c r="N11" s="39">
        <v>1004.6651293050083</v>
      </c>
      <c r="O11" s="40">
        <v>1571.2714451360014</v>
      </c>
      <c r="P11" s="39">
        <v>1002.5390064148056</v>
      </c>
      <c r="Q11" s="40">
        <v>1711.9368041509194</v>
      </c>
      <c r="R11" s="39">
        <v>1000.3396915861728</v>
      </c>
      <c r="S11" s="40">
        <v>1871.5779012520034</v>
      </c>
      <c r="T11" s="39">
        <v>998.07806645294261</v>
      </c>
      <c r="U11" s="40">
        <v>2052.9378296549921</v>
      </c>
      <c r="V11" s="39">
        <v>995.77476421726521</v>
      </c>
      <c r="W11" s="40">
        <v>2258.8980450022382</v>
      </c>
      <c r="X11" s="39">
        <v>993.46282835567456</v>
      </c>
      <c r="Y11" s="40">
        <v>2492.2389962385055</v>
      </c>
      <c r="Z11" s="39">
        <v>991.18920076346058</v>
      </c>
      <c r="AA11" s="40">
        <v>2755.22621388787</v>
      </c>
      <c r="AB11" s="39">
        <v>989.01343447929776</v>
      </c>
      <c r="AC11" s="40">
        <v>3048.9956416906111</v>
      </c>
      <c r="AD11" s="39">
        <v>987.00183064051828</v>
      </c>
      <c r="AE11" s="40">
        <v>3372.8230172525405</v>
      </c>
      <c r="AF11" s="39">
        <v>985.21664183560017</v>
      </c>
      <c r="AG11" s="40">
        <v>3723.5265141097439</v>
      </c>
      <c r="AH11" s="39">
        <v>983.7030360618304</v>
      </c>
      <c r="AI11" s="40">
        <v>4095.3805222566593</v>
      </c>
      <c r="AJ11" s="39">
        <v>982.47950108777775</v>
      </c>
      <c r="AK11" s="40">
        <v>4480.7860433531123</v>
      </c>
      <c r="AL11" s="39">
        <v>981.53646698989246</v>
      </c>
      <c r="AM11" s="40">
        <v>4871.535976644348</v>
      </c>
      <c r="AN11" s="39">
        <v>980.8431572149135</v>
      </c>
      <c r="AO11" s="40">
        <v>5260.1360770010197</v>
      </c>
      <c r="AP11" s="39">
        <v>980.73088627230788</v>
      </c>
      <c r="AQ11" s="40">
        <v>5337.0453250716109</v>
      </c>
      <c r="AR11" s="39">
        <v>980.6265970063381</v>
      </c>
      <c r="AS11" s="40">
        <v>5413.5875803348717</v>
      </c>
      <c r="AT11" s="39">
        <v>980.52993807348355</v>
      </c>
      <c r="AU11" s="40">
        <v>5489.7275203283471</v>
      </c>
      <c r="AV11" s="39">
        <v>980.44056124850681</v>
      </c>
      <c r="AW11" s="40">
        <v>5565.4328518582824</v>
      </c>
      <c r="AX11">
        <v>1015.9116825427475</v>
      </c>
      <c r="AY11">
        <v>1005.7716594496609</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c r="AX12">
        <v>1000</v>
      </c>
      <c r="AY12">
        <v>1000</v>
      </c>
    </row>
    <row r="13" spans="1:51" x14ac:dyDescent="0.2">
      <c r="A13" t="s">
        <v>17</v>
      </c>
      <c r="B13" s="93">
        <v>1000</v>
      </c>
      <c r="C13" s="94">
        <v>1000</v>
      </c>
      <c r="D13" s="93">
        <v>995.16305073841966</v>
      </c>
      <c r="E13" s="94">
        <v>995.16305073841966</v>
      </c>
      <c r="F13" s="93">
        <v>990.04914130290365</v>
      </c>
      <c r="G13" s="94">
        <v>990.04914130290365</v>
      </c>
      <c r="H13" s="93">
        <v>984.64332348994913</v>
      </c>
      <c r="I13" s="94">
        <v>984.64332348994913</v>
      </c>
      <c r="J13" s="93">
        <v>978.93315050363174</v>
      </c>
      <c r="K13" s="94">
        <v>978.93315050363174</v>
      </c>
      <c r="L13" s="93">
        <v>972.91039813335249</v>
      </c>
      <c r="M13" s="94">
        <v>972.91039813335249</v>
      </c>
      <c r="N13" s="93">
        <v>966.57356472205356</v>
      </c>
      <c r="O13" s="94">
        <v>966.57356472205356</v>
      </c>
      <c r="P13" s="93">
        <v>959.93101266624365</v>
      </c>
      <c r="Q13" s="94">
        <v>959.93101266624365</v>
      </c>
      <c r="R13" s="93">
        <v>953.0050688980192</v>
      </c>
      <c r="S13" s="94">
        <v>953.0050688980192</v>
      </c>
      <c r="T13" s="93">
        <v>945.83726532578146</v>
      </c>
      <c r="U13" s="94">
        <v>945.83726532578146</v>
      </c>
      <c r="V13" s="93">
        <v>938.49348343309816</v>
      </c>
      <c r="W13" s="94">
        <v>938.49348343309816</v>
      </c>
      <c r="X13" s="93">
        <v>931.06892760811786</v>
      </c>
      <c r="Y13" s="94">
        <v>931.06892760811786</v>
      </c>
      <c r="Z13" s="93">
        <v>923.69001877916151</v>
      </c>
      <c r="AA13" s="94">
        <v>923.69001877916151</v>
      </c>
      <c r="AB13" s="93">
        <v>916.51028904074565</v>
      </c>
      <c r="AC13" s="94">
        <v>916.51028904074565</v>
      </c>
      <c r="AD13" s="93">
        <v>909.69676926106956</v>
      </c>
      <c r="AE13" s="94">
        <v>909.69676926106956</v>
      </c>
      <c r="AF13" s="93">
        <v>903.40643511975009</v>
      </c>
      <c r="AG13" s="94">
        <v>903.40643511975009</v>
      </c>
      <c r="AH13" s="93">
        <v>897.75823582521298</v>
      </c>
      <c r="AI13" s="94">
        <v>897.75823582521298</v>
      </c>
      <c r="AJ13" s="93">
        <v>892.8121345667272</v>
      </c>
      <c r="AK13" s="94">
        <v>892.8121345667272</v>
      </c>
      <c r="AL13" s="93">
        <v>888.56495657998482</v>
      </c>
      <c r="AM13" s="94">
        <v>888.56495657998482</v>
      </c>
      <c r="AN13" s="93">
        <v>884.96351626896637</v>
      </c>
      <c r="AO13" s="94">
        <v>884.96351626896637</v>
      </c>
      <c r="AP13" s="93">
        <v>884.313789094085</v>
      </c>
      <c r="AQ13" s="94">
        <v>884.313789094085</v>
      </c>
      <c r="AR13" s="93">
        <v>883.68592743151635</v>
      </c>
      <c r="AS13" s="94">
        <v>883.68592743151635</v>
      </c>
      <c r="AT13" s="93">
        <v>883.07920036790995</v>
      </c>
      <c r="AU13" s="94">
        <v>883.07920036790995</v>
      </c>
      <c r="AV13" s="93">
        <v>882.49287505110544</v>
      </c>
      <c r="AW13" s="94">
        <v>882.49287505110544</v>
      </c>
      <c r="AX13">
        <v>1000</v>
      </c>
      <c r="AY13">
        <v>1000</v>
      </c>
    </row>
    <row r="14" spans="1:51" x14ac:dyDescent="0.2">
      <c r="A14" t="s">
        <v>36</v>
      </c>
      <c r="B14" s="39">
        <v>1457.0034251455234</v>
      </c>
      <c r="C14" s="40">
        <v>1457.0034251455236</v>
      </c>
      <c r="D14" s="39">
        <v>1449.9559735041455</v>
      </c>
      <c r="E14" s="40">
        <v>1449.9559735041457</v>
      </c>
      <c r="F14" s="39">
        <v>1442.5049899407147</v>
      </c>
      <c r="G14" s="40">
        <v>1442.5049899407149</v>
      </c>
      <c r="H14" s="39">
        <v>1434.6286948715274</v>
      </c>
      <c r="I14" s="40">
        <v>1434.6286948715276</v>
      </c>
      <c r="J14" s="39">
        <v>1426.3089532722895</v>
      </c>
      <c r="K14" s="40">
        <v>1426.3089532722897</v>
      </c>
      <c r="L14" s="39">
        <v>1417.5337824399892</v>
      </c>
      <c r="M14" s="40">
        <v>1417.5337824399894</v>
      </c>
      <c r="N14" s="39">
        <v>1408.3009944551502</v>
      </c>
      <c r="O14" s="40">
        <v>1408.3009944551504</v>
      </c>
      <c r="P14" s="39">
        <v>1398.6227733581277</v>
      </c>
      <c r="Q14" s="40">
        <v>1398.6227733581279</v>
      </c>
      <c r="R14" s="39">
        <v>1388.5316495654595</v>
      </c>
      <c r="S14" s="40">
        <v>1388.5316495654597</v>
      </c>
      <c r="T14" s="39">
        <v>1378.0881352099386</v>
      </c>
      <c r="U14" s="40">
        <v>1378.0881352099389</v>
      </c>
      <c r="V14" s="39">
        <v>1367.3882198387773</v>
      </c>
      <c r="W14" s="40">
        <v>1367.3882198387776</v>
      </c>
      <c r="X14" s="39">
        <v>1356.5706165715969</v>
      </c>
      <c r="Y14" s="40">
        <v>1356.5706165715972</v>
      </c>
      <c r="Z14" s="39">
        <v>1345.819521133971</v>
      </c>
      <c r="AA14" s="40">
        <v>1345.8195211339712</v>
      </c>
      <c r="AB14" s="39">
        <v>1335.35863031348</v>
      </c>
      <c r="AC14" s="40">
        <v>1335.3586303134803</v>
      </c>
      <c r="AD14" s="39">
        <v>1325.4313086571951</v>
      </c>
      <c r="AE14" s="40">
        <v>1325.4313086571954</v>
      </c>
      <c r="AF14" s="39">
        <v>1316.2662702679829</v>
      </c>
      <c r="AG14" s="40">
        <v>1316.2662702679829</v>
      </c>
      <c r="AH14" s="39">
        <v>1308.0368245499378</v>
      </c>
      <c r="AI14" s="40">
        <v>1308.0368245499378</v>
      </c>
      <c r="AJ14" s="39">
        <v>1300.8303380752075</v>
      </c>
      <c r="AK14" s="40">
        <v>1300.8303380752075</v>
      </c>
      <c r="AL14" s="39">
        <v>1294.6421852013211</v>
      </c>
      <c r="AM14" s="40">
        <v>1294.6421852013214</v>
      </c>
      <c r="AN14" s="39">
        <v>1289.3948743327101</v>
      </c>
      <c r="AO14" s="40">
        <v>1289.3948743327103</v>
      </c>
      <c r="AP14" s="39">
        <v>1288.4482196134977</v>
      </c>
      <c r="AQ14" s="40">
        <v>1288.4482196134979</v>
      </c>
      <c r="AR14" s="39">
        <v>1287.5334230206176</v>
      </c>
      <c r="AS14" s="40">
        <v>1287.5334230206179</v>
      </c>
      <c r="AT14" s="39">
        <v>1286.6494196108147</v>
      </c>
      <c r="AU14" s="40">
        <v>1286.6494196108149</v>
      </c>
      <c r="AV14" s="39">
        <v>1285.795141615981</v>
      </c>
      <c r="AW14" s="40">
        <v>1285.795141615981</v>
      </c>
      <c r="AX14">
        <v>1457.0034251455234</v>
      </c>
      <c r="AY14">
        <v>1457.0034251455236</v>
      </c>
    </row>
    <row r="15" spans="1:51" x14ac:dyDescent="0.2">
      <c r="A15" t="s">
        <v>18</v>
      </c>
      <c r="B15" s="144">
        <v>1000</v>
      </c>
      <c r="C15" s="145">
        <v>1000</v>
      </c>
      <c r="D15" s="144">
        <v>995.7597040026518</v>
      </c>
      <c r="E15" s="145">
        <v>995.7597040026518</v>
      </c>
      <c r="F15" s="144">
        <v>991.25416704578799</v>
      </c>
      <c r="G15" s="145">
        <v>991.25416704578799</v>
      </c>
      <c r="H15" s="144">
        <v>986.44115627690144</v>
      </c>
      <c r="I15" s="145">
        <v>986.44115627690144</v>
      </c>
      <c r="J15" s="144">
        <v>981.2715682565406</v>
      </c>
      <c r="K15" s="145">
        <v>981.2715682565406</v>
      </c>
      <c r="L15" s="144">
        <v>975.68875097902514</v>
      </c>
      <c r="M15" s="145">
        <v>975.68875097902514</v>
      </c>
      <c r="N15" s="144">
        <v>969.6280826496926</v>
      </c>
      <c r="O15" s="145">
        <v>969.6280826496926</v>
      </c>
      <c r="P15" s="144">
        <v>963.01727313855167</v>
      </c>
      <c r="Q15" s="145">
        <v>963.01727313855167</v>
      </c>
      <c r="R15" s="144">
        <v>955.77787310862232</v>
      </c>
      <c r="S15" s="145">
        <v>955.77787310862232</v>
      </c>
      <c r="T15" s="144">
        <v>947.82886655166112</v>
      </c>
      <c r="U15" s="145">
        <v>947.82886655166112</v>
      </c>
      <c r="V15" s="144">
        <v>939.09376352708489</v>
      </c>
      <c r="W15" s="145">
        <v>939.09376352708489</v>
      </c>
      <c r="X15" s="144">
        <v>929.51245093693842</v>
      </c>
      <c r="Y15" s="145">
        <v>929.51245093693842</v>
      </c>
      <c r="Z15" s="144">
        <v>919.05880523123199</v>
      </c>
      <c r="AA15" s="145">
        <v>919.05880523123199</v>
      </c>
      <c r="AB15" s="144">
        <v>907.76284503370834</v>
      </c>
      <c r="AC15" s="145">
        <v>907.76284503370834</v>
      </c>
      <c r="AD15" s="144">
        <v>895.73169736250566</v>
      </c>
      <c r="AE15" s="145">
        <v>895.73169736250566</v>
      </c>
      <c r="AF15" s="144">
        <v>883.15858553481837</v>
      </c>
      <c r="AG15" s="145">
        <v>883.15858553481837</v>
      </c>
      <c r="AH15" s="144">
        <v>870.30827333487036</v>
      </c>
      <c r="AI15" s="145">
        <v>870.30827333487036</v>
      </c>
      <c r="AJ15" s="144">
        <v>857.4771322496689</v>
      </c>
      <c r="AK15" s="145">
        <v>857.4771322496689</v>
      </c>
      <c r="AL15" s="144">
        <v>844.94179206270303</v>
      </c>
      <c r="AM15" s="145">
        <v>844.94179206270303</v>
      </c>
      <c r="AN15" s="144">
        <v>832.91838494178216</v>
      </c>
      <c r="AO15" s="145">
        <v>832.91838494178216</v>
      </c>
      <c r="AP15" s="144">
        <v>830.58870912897942</v>
      </c>
      <c r="AQ15" s="145">
        <v>830.58870912897942</v>
      </c>
      <c r="AR15" s="144">
        <v>828.28604256636606</v>
      </c>
      <c r="AS15" s="145">
        <v>828.28604256636606</v>
      </c>
      <c r="AT15" s="144">
        <v>826.0110118952432</v>
      </c>
      <c r="AU15" s="145">
        <v>826.0110118952432</v>
      </c>
      <c r="AV15" s="144">
        <v>823.76413580633084</v>
      </c>
      <c r="AW15" s="145">
        <v>823.76413580633084</v>
      </c>
      <c r="AX15">
        <v>1000</v>
      </c>
      <c r="AY15">
        <v>1000</v>
      </c>
    </row>
    <row r="16" spans="1:51" s="27" customFormat="1" x14ac:dyDescent="0.2">
      <c r="A16" t="s">
        <v>61</v>
      </c>
      <c r="B16" s="39">
        <v>1000</v>
      </c>
      <c r="C16" s="40">
        <v>1000</v>
      </c>
      <c r="D16" s="39">
        <v>995.4415804568896</v>
      </c>
      <c r="E16" s="40">
        <v>995.58939819371983</v>
      </c>
      <c r="F16" s="39">
        <v>990.61164374291991</v>
      </c>
      <c r="G16" s="40">
        <v>990.91019897902584</v>
      </c>
      <c r="H16" s="39">
        <v>985.4825057003145</v>
      </c>
      <c r="I16" s="40">
        <v>985.92795793963148</v>
      </c>
      <c r="J16" s="39">
        <v>980.02461487926189</v>
      </c>
      <c r="K16" s="40">
        <v>980.60403776268663</v>
      </c>
      <c r="L16" s="39">
        <v>974.2071553662247</v>
      </c>
      <c r="M16" s="40">
        <v>974.89561573418723</v>
      </c>
      <c r="N16" s="39">
        <v>967.9991835189004</v>
      </c>
      <c r="O16" s="40">
        <v>968.75609649532896</v>
      </c>
      <c r="P16" s="39">
        <v>961.37144017594801</v>
      </c>
      <c r="Q16" s="40">
        <v>962.13622288003262</v>
      </c>
      <c r="R16" s="39">
        <v>954.29923082264963</v>
      </c>
      <c r="S16" s="40">
        <v>954.98631956097597</v>
      </c>
      <c r="T16" s="39">
        <v>946.76687290348548</v>
      </c>
      <c r="U16" s="40">
        <v>947.26034775521202</v>
      </c>
      <c r="V16" s="39">
        <v>938.77370532609143</v>
      </c>
      <c r="W16" s="40">
        <v>938.92242212422718</v>
      </c>
      <c r="X16" s="39">
        <v>930.34220100987932</v>
      </c>
      <c r="Y16" s="40">
        <v>929.95666996975672</v>
      </c>
      <c r="Z16" s="39">
        <v>921.52710264366237</v>
      </c>
      <c r="AA16" s="40">
        <v>920.38031769645897</v>
      </c>
      <c r="AB16" s="39">
        <v>912.4234790305045</v>
      </c>
      <c r="AC16" s="40">
        <v>910.2583089122478</v>
      </c>
      <c r="AD16" s="39">
        <v>903.16921549598146</v>
      </c>
      <c r="AE16" s="40">
        <v>899.71438427502892</v>
      </c>
      <c r="AF16" s="39">
        <v>893.9367456667859</v>
      </c>
      <c r="AG16" s="40">
        <v>888.93081902969629</v>
      </c>
      <c r="AH16" s="39">
        <v>884.91160853269082</v>
      </c>
      <c r="AI16" s="40">
        <v>878.13014650532261</v>
      </c>
      <c r="AJ16" s="39">
        <v>876.262994611605</v>
      </c>
      <c r="AK16" s="40">
        <v>867.54078977284303</v>
      </c>
      <c r="AL16" s="39">
        <v>868.11784810897427</v>
      </c>
      <c r="AM16" s="40">
        <v>857.35930240703908</v>
      </c>
      <c r="AN16" s="39">
        <v>860.54890967962137</v>
      </c>
      <c r="AO16" s="40">
        <v>847.72502220453157</v>
      </c>
      <c r="AP16" s="39">
        <v>859.10696953151341</v>
      </c>
      <c r="AQ16" s="40">
        <v>845.87157705049185</v>
      </c>
      <c r="AR16" s="39">
        <v>857.68905091430781</v>
      </c>
      <c r="AS16" s="40">
        <v>844.04357140941283</v>
      </c>
      <c r="AT16" s="39">
        <v>856.29506512414923</v>
      </c>
      <c r="AU16" s="40">
        <v>842.24124788421511</v>
      </c>
      <c r="AV16" s="39">
        <v>854.92487235244573</v>
      </c>
      <c r="AW16" s="40">
        <v>840.46477152539217</v>
      </c>
      <c r="AX16" s="27">
        <v>1000</v>
      </c>
      <c r="AY16" s="27">
        <v>1000</v>
      </c>
    </row>
    <row r="17" spans="1:51" x14ac:dyDescent="0.2">
      <c r="A17" t="s">
        <v>62</v>
      </c>
      <c r="B17" s="33">
        <v>1000.0000000000002</v>
      </c>
      <c r="C17" s="34">
        <v>999.99999999999977</v>
      </c>
      <c r="D17" s="33">
        <v>998.46340721229842</v>
      </c>
      <c r="E17" s="34">
        <v>1034.5319437212493</v>
      </c>
      <c r="F17" s="33">
        <v>996.88009499914313</v>
      </c>
      <c r="G17" s="34">
        <v>1072.8339567985051</v>
      </c>
      <c r="H17" s="33">
        <v>995.24472929560943</v>
      </c>
      <c r="I17" s="34">
        <v>1115.4421492952049</v>
      </c>
      <c r="J17" s="33">
        <v>993.55214846471767</v>
      </c>
      <c r="K17" s="34">
        <v>1162.9790630068962</v>
      </c>
      <c r="L17" s="33">
        <v>991.79786134822848</v>
      </c>
      <c r="M17" s="34">
        <v>1216.1658087382871</v>
      </c>
      <c r="N17" s="33">
        <v>989.9788616791302</v>
      </c>
      <c r="O17" s="34">
        <v>1275.8334023801344</v>
      </c>
      <c r="P17" s="33">
        <v>988.09474046163427</v>
      </c>
      <c r="Q17" s="34">
        <v>1342.9303932556979</v>
      </c>
      <c r="R17" s="33">
        <v>986.14924758074164</v>
      </c>
      <c r="S17" s="34">
        <v>1418.5216146303499</v>
      </c>
      <c r="T17" s="33">
        <v>984.15236188085248</v>
      </c>
      <c r="U17" s="34">
        <v>1503.767628566254</v>
      </c>
      <c r="V17" s="33">
        <v>982.12257657577493</v>
      </c>
      <c r="W17" s="34">
        <v>1599.8729480616846</v>
      </c>
      <c r="X17" s="33">
        <v>980.08915721250139</v>
      </c>
      <c r="Y17" s="34">
        <v>1707.9779926820884</v>
      </c>
      <c r="Z17" s="33">
        <v>978.09333463513713</v>
      </c>
      <c r="AA17" s="34">
        <v>1828.9760508187844</v>
      </c>
      <c r="AB17" s="33">
        <v>976.18705734550861</v>
      </c>
      <c r="AC17" s="34">
        <v>1963.2456348387032</v>
      </c>
      <c r="AD17" s="33">
        <v>974.42779203276348</v>
      </c>
      <c r="AE17" s="34">
        <v>2110.3381376817961</v>
      </c>
      <c r="AF17" s="33">
        <v>972.86911011887071</v>
      </c>
      <c r="AG17" s="34">
        <v>2268.7314571297106</v>
      </c>
      <c r="AH17" s="33">
        <v>971.54945453498169</v>
      </c>
      <c r="AI17" s="34">
        <v>2435.8129043941794</v>
      </c>
      <c r="AJ17" s="33">
        <v>970.48398088199679</v>
      </c>
      <c r="AK17" s="34">
        <v>2608.1915894809836</v>
      </c>
      <c r="AL17" s="33">
        <v>969.66355403564251</v>
      </c>
      <c r="AM17" s="34">
        <v>2782.2609000642128</v>
      </c>
      <c r="AN17" s="33">
        <v>969.06081923688214</v>
      </c>
      <c r="AO17" s="34">
        <v>2954.7716141047172</v>
      </c>
      <c r="AP17" s="33">
        <v>968.96325040039301</v>
      </c>
      <c r="AQ17" s="34">
        <v>2988.8498604321885</v>
      </c>
      <c r="AR17" s="33">
        <v>968.87262664790671</v>
      </c>
      <c r="AS17" s="34">
        <v>3022.74579088172</v>
      </c>
      <c r="AT17" s="33">
        <v>968.78864084064901</v>
      </c>
      <c r="AU17" s="34">
        <v>3056.4445546346365</v>
      </c>
      <c r="AV17" s="33">
        <v>968.71098876273481</v>
      </c>
      <c r="AW17" s="34">
        <v>3089.9326394812524</v>
      </c>
      <c r="AX17">
        <v>1000.0000000000002</v>
      </c>
      <c r="AY17">
        <v>999.99999999999977</v>
      </c>
    </row>
    <row r="18" spans="1:51" x14ac:dyDescent="0.2">
      <c r="A18" t="s">
        <v>19</v>
      </c>
      <c r="B18" s="31">
        <v>27857.010133999996</v>
      </c>
      <c r="C18" s="32">
        <v>1236.7674480000003</v>
      </c>
      <c r="D18" s="31">
        <v>27708.604922005878</v>
      </c>
      <c r="E18" s="32">
        <v>1149.4550665852096</v>
      </c>
      <c r="F18" s="31">
        <v>27535.031121468357</v>
      </c>
      <c r="G18" s="32">
        <v>1062.5485545213135</v>
      </c>
      <c r="H18" s="31">
        <v>27331.164558337121</v>
      </c>
      <c r="I18" s="32">
        <v>976.162160128815</v>
      </c>
      <c r="J18" s="31">
        <v>27090.52599044345</v>
      </c>
      <c r="K18" s="32">
        <v>890.44957596376992</v>
      </c>
      <c r="L18" s="31">
        <v>26804.867891389629</v>
      </c>
      <c r="M18" s="32">
        <v>805.61557573707341</v>
      </c>
      <c r="N18" s="31">
        <v>26463.604775141077</v>
      </c>
      <c r="O18" s="32">
        <v>721.93592788587614</v>
      </c>
      <c r="P18" s="31">
        <v>26053.100074373928</v>
      </c>
      <c r="Q18" s="32">
        <v>639.77454240250449</v>
      </c>
      <c r="R18" s="31">
        <v>25555.744670578173</v>
      </c>
      <c r="S18" s="32">
        <v>559.60696083287178</v>
      </c>
      <c r="T18" s="31">
        <v>24948.819169290495</v>
      </c>
      <c r="U18" s="32">
        <v>482.04136812858468</v>
      </c>
      <c r="V18" s="31">
        <v>24203.286833011825</v>
      </c>
      <c r="W18" s="32">
        <v>407.83273536481551</v>
      </c>
      <c r="X18" s="31">
        <v>23282.688380325879</v>
      </c>
      <c r="Y18" s="32">
        <v>337.87610538145822</v>
      </c>
      <c r="Z18" s="31">
        <v>22142.710309532227</v>
      </c>
      <c r="AA18" s="32">
        <v>273.16524745497514</v>
      </c>
      <c r="AB18" s="31">
        <v>20732.280665083199</v>
      </c>
      <c r="AC18" s="32">
        <v>214.69464924075751</v>
      </c>
      <c r="AD18" s="31">
        <v>18997.176945462819</v>
      </c>
      <c r="AE18" s="32">
        <v>163.30493462935613</v>
      </c>
      <c r="AF18" s="31">
        <v>16886.564340980567</v>
      </c>
      <c r="AG18" s="32">
        <v>119.49764921903275</v>
      </c>
      <c r="AH18" s="31">
        <v>14361.266207652146</v>
      </c>
      <c r="AI18" s="32">
        <v>83.291275392376491</v>
      </c>
      <c r="AJ18" s="31">
        <v>11400.754012639263</v>
      </c>
      <c r="AK18" s="32">
        <v>54.195355434920899</v>
      </c>
      <c r="AL18" s="31">
        <v>8005.672038339997</v>
      </c>
      <c r="AM18" s="32">
        <v>31.328233240413834</v>
      </c>
      <c r="AN18" s="31">
        <v>4195.0253102200986</v>
      </c>
      <c r="AO18" s="32">
        <v>13.618999664057011</v>
      </c>
      <c r="AP18" s="31">
        <v>3385.6349210046055</v>
      </c>
      <c r="AQ18" s="32">
        <v>10.600440157534489</v>
      </c>
      <c r="AR18" s="31">
        <v>2561.1405378926747</v>
      </c>
      <c r="AS18" s="32">
        <v>7.73695906504196</v>
      </c>
      <c r="AT18" s="31">
        <v>1721.8367868134976</v>
      </c>
      <c r="AU18" s="32">
        <v>5.0207237827180604</v>
      </c>
      <c r="AV18" s="31">
        <v>868.0226140360005</v>
      </c>
      <c r="AW18" s="32">
        <v>2.4441663672177807</v>
      </c>
      <c r="AX18">
        <v>27857.010133999996</v>
      </c>
      <c r="AY18">
        <v>1236.7674480000003</v>
      </c>
    </row>
    <row r="19" spans="1:51" x14ac:dyDescent="0.2">
      <c r="A19" t="s">
        <v>3</v>
      </c>
      <c r="B19" s="39">
        <v>1886.3937399999918</v>
      </c>
      <c r="C19" s="40">
        <v>262.78711299999759</v>
      </c>
      <c r="D19" s="39">
        <v>1868.737292349768</v>
      </c>
      <c r="E19" s="40">
        <v>269.83640532622485</v>
      </c>
      <c r="F19" s="39">
        <v>1849.2468940662538</v>
      </c>
      <c r="G19" s="40">
        <v>277.58484071677469</v>
      </c>
      <c r="H19" s="39">
        <v>1827.5799024725297</v>
      </c>
      <c r="I19" s="40">
        <v>286.03380501524458</v>
      </c>
      <c r="J19" s="39">
        <v>1803.3126357613555</v>
      </c>
      <c r="K19" s="40">
        <v>295.15098023077906</v>
      </c>
      <c r="L19" s="39">
        <v>1775.9182747624957</v>
      </c>
      <c r="M19" s="40">
        <v>304.85174951258335</v>
      </c>
      <c r="N19" s="39">
        <v>1744.7367750467065</v>
      </c>
      <c r="O19" s="40">
        <v>314.97306177237937</v>
      </c>
      <c r="P19" s="39">
        <v>1708.9379563564294</v>
      </c>
      <c r="Q19" s="40">
        <v>325.23769556095635</v>
      </c>
      <c r="R19" s="39">
        <v>1667.4741635609685</v>
      </c>
      <c r="S19" s="40">
        <v>335.20701346069814</v>
      </c>
      <c r="T19" s="39">
        <v>1619.021877763684</v>
      </c>
      <c r="U19" s="40">
        <v>344.22327437221753</v>
      </c>
      <c r="V19" s="39">
        <v>1561.9200145841266</v>
      </c>
      <c r="W19" s="40">
        <v>351.34631008317052</v>
      </c>
      <c r="X19" s="39">
        <v>1494.1124485054497</v>
      </c>
      <c r="Y19" s="40">
        <v>355.29909180680858</v>
      </c>
      <c r="Z19" s="39">
        <v>1413.123646968864</v>
      </c>
      <c r="AA19" s="40">
        <v>354.45199257660948</v>
      </c>
      <c r="AB19" s="39">
        <v>1316.1113916756176</v>
      </c>
      <c r="AC19" s="40">
        <v>346.88975749969103</v>
      </c>
      <c r="AD19" s="39">
        <v>1200.04922332398</v>
      </c>
      <c r="AE19" s="40">
        <v>330.60543470932851</v>
      </c>
      <c r="AF19" s="39">
        <v>1062.0661465081253</v>
      </c>
      <c r="AG19" s="40">
        <v>303.82389068527056</v>
      </c>
      <c r="AH19" s="39">
        <v>899.88898522766681</v>
      </c>
      <c r="AI19" s="40">
        <v>265.37086005320896</v>
      </c>
      <c r="AJ19" s="39">
        <v>712.23413536540761</v>
      </c>
      <c r="AK19" s="40">
        <v>214.92764205388283</v>
      </c>
      <c r="AL19" s="39">
        <v>498.97439991958868</v>
      </c>
      <c r="AM19" s="40">
        <v>153.0410070761647</v>
      </c>
      <c r="AN19" s="39">
        <v>261.01933016266997</v>
      </c>
      <c r="AO19" s="40">
        <v>80.89789878254949</v>
      </c>
      <c r="AP19" s="39">
        <v>210.59978921373536</v>
      </c>
      <c r="AQ19" s="40">
        <v>65.368638484984828</v>
      </c>
      <c r="AR19" s="39">
        <v>159.27201473258356</v>
      </c>
      <c r="AS19" s="40">
        <v>49.501733698347202</v>
      </c>
      <c r="AT19" s="39">
        <v>107.05192096329149</v>
      </c>
      <c r="AU19" s="40">
        <v>33.309731795892439</v>
      </c>
      <c r="AV19" s="39">
        <v>53.955749951323718</v>
      </c>
      <c r="AW19" s="40">
        <v>16.805065984343511</v>
      </c>
      <c r="AX19">
        <v>1886.3937399999918</v>
      </c>
      <c r="AY19">
        <v>262.78711299999759</v>
      </c>
    </row>
    <row r="20" spans="1:51" x14ac:dyDescent="0.2">
      <c r="A20" t="s">
        <v>114</v>
      </c>
      <c r="B20" s="79">
        <v>26548.356269999993</v>
      </c>
      <c r="C20" s="80">
        <v>1408.5418709999938</v>
      </c>
      <c r="D20" s="79">
        <v>26389.036508926096</v>
      </c>
      <c r="E20" s="80">
        <v>1338.1147774499941</v>
      </c>
      <c r="F20" s="79">
        <v>26205.328108776863</v>
      </c>
      <c r="G20" s="80">
        <v>1267.6876838999945</v>
      </c>
      <c r="H20" s="79">
        <v>25992.349593214654</v>
      </c>
      <c r="I20" s="80">
        <v>1197.2605903499943</v>
      </c>
      <c r="J20" s="79">
        <v>25743.95262720935</v>
      </c>
      <c r="K20" s="80">
        <v>1126.8334967999951</v>
      </c>
      <c r="L20" s="79">
        <v>25452.342617599923</v>
      </c>
      <c r="M20" s="80">
        <v>1056.4064032499953</v>
      </c>
      <c r="N20" s="79">
        <v>25107.557003526446</v>
      </c>
      <c r="O20" s="80">
        <v>985.97930969999561</v>
      </c>
      <c r="P20" s="79">
        <v>24696.814369089083</v>
      </c>
      <c r="Q20" s="80">
        <v>915.55221614999596</v>
      </c>
      <c r="R20" s="79">
        <v>24203.674899549333</v>
      </c>
      <c r="S20" s="80">
        <v>845.12512259999642</v>
      </c>
      <c r="T20" s="79">
        <v>23607.005085155353</v>
      </c>
      <c r="U20" s="80">
        <v>774.69802904999653</v>
      </c>
      <c r="V20" s="79">
        <v>22879.880827795707</v>
      </c>
      <c r="W20" s="80">
        <v>704.27093549999688</v>
      </c>
      <c r="X20" s="79">
        <v>21988.582819403975</v>
      </c>
      <c r="Y20" s="80">
        <v>633.84384194999723</v>
      </c>
      <c r="Z20" s="79">
        <v>20892.203152748931</v>
      </c>
      <c r="AA20" s="80">
        <v>563.41674839999746</v>
      </c>
      <c r="AB20" s="79">
        <v>19543.640527079777</v>
      </c>
      <c r="AC20" s="80">
        <v>492.98965484999781</v>
      </c>
      <c r="AD20" s="79">
        <v>17892.883880537822</v>
      </c>
      <c r="AE20" s="80">
        <v>422.56256129999809</v>
      </c>
      <c r="AF20" s="79">
        <v>15892.978184047497</v>
      </c>
      <c r="AG20" s="80">
        <v>352.13546774999827</v>
      </c>
      <c r="AH20" s="79">
        <v>13507.597533538827</v>
      </c>
      <c r="AI20" s="80">
        <v>281.70837419999856</v>
      </c>
      <c r="AJ20" s="79">
        <v>10717.487566555781</v>
      </c>
      <c r="AK20" s="80">
        <v>211.28128064999879</v>
      </c>
      <c r="AL20" s="79">
        <v>7522.8531641778955</v>
      </c>
      <c r="AM20" s="80">
        <v>140.85418709999902</v>
      </c>
      <c r="AN20" s="79">
        <v>3940.8575549873226</v>
      </c>
      <c r="AO20" s="80">
        <v>70.427093549999285</v>
      </c>
      <c r="AP20" s="79">
        <v>3180.3537285551979</v>
      </c>
      <c r="AQ20" s="80">
        <v>56.341674839999328</v>
      </c>
      <c r="AR20" s="79">
        <v>2405.7435882970444</v>
      </c>
      <c r="AS20" s="80">
        <v>42.256256129999379</v>
      </c>
      <c r="AT20" s="79">
        <v>1617.2976212577546</v>
      </c>
      <c r="AU20" s="80">
        <v>28.170837419999433</v>
      </c>
      <c r="AV20" s="79">
        <v>815.29052131940477</v>
      </c>
      <c r="AW20" s="80">
        <v>14.08541870999948</v>
      </c>
      <c r="AX20">
        <v>26548.356269999993</v>
      </c>
      <c r="AY20">
        <v>1408.5418709999938</v>
      </c>
    </row>
    <row r="21" spans="1:51" x14ac:dyDescent="0.2">
      <c r="A21" t="s">
        <v>76</v>
      </c>
      <c r="B21" s="79">
        <v>24661.962529999968</v>
      </c>
      <c r="C21" s="80">
        <v>1145.7547579999991</v>
      </c>
      <c r="D21" s="79">
        <v>24520.304988147975</v>
      </c>
      <c r="E21" s="80">
        <v>1068.5219080163129</v>
      </c>
      <c r="F21" s="79">
        <v>24356.104876268244</v>
      </c>
      <c r="G21" s="80">
        <v>991.13335671933407</v>
      </c>
      <c r="H21" s="79">
        <v>24164.824292706842</v>
      </c>
      <c r="I21" s="80">
        <v>913.67955062540807</v>
      </c>
      <c r="J21" s="79">
        <v>23940.739574298063</v>
      </c>
      <c r="K21" s="80">
        <v>836.29254333272661</v>
      </c>
      <c r="L21" s="79">
        <v>23676.583914451821</v>
      </c>
      <c r="M21" s="80">
        <v>759.16003829440228</v>
      </c>
      <c r="N21" s="79">
        <v>23363.055590373267</v>
      </c>
      <c r="O21" s="80">
        <v>682.54282765049538</v>
      </c>
      <c r="P21" s="79">
        <v>22988.203731112098</v>
      </c>
      <c r="Q21" s="80">
        <v>606.79553994608602</v>
      </c>
      <c r="R21" s="79">
        <v>22536.635709088998</v>
      </c>
      <c r="S21" s="80">
        <v>532.38982836646039</v>
      </c>
      <c r="T21" s="79">
        <v>21988.539639937411</v>
      </c>
      <c r="U21" s="80">
        <v>459.93624649570637</v>
      </c>
      <c r="V21" s="79">
        <v>21318.648408004839</v>
      </c>
      <c r="W21" s="80">
        <v>390.19851374087881</v>
      </c>
      <c r="X21" s="79">
        <v>20495.291626607373</v>
      </c>
      <c r="Y21" s="80">
        <v>324.08853826618196</v>
      </c>
      <c r="Z21" s="79">
        <v>19480.025876238298</v>
      </c>
      <c r="AA21" s="80">
        <v>262.62489970024694</v>
      </c>
      <c r="AB21" s="79">
        <v>18228.577099150494</v>
      </c>
      <c r="AC21" s="80">
        <v>206.83751252205343</v>
      </c>
      <c r="AD21" s="79">
        <v>16693.942976476701</v>
      </c>
      <c r="AE21" s="80">
        <v>157.61341399339673</v>
      </c>
      <c r="AF21" s="79">
        <v>14832.021811469203</v>
      </c>
      <c r="AG21" s="80">
        <v>115.51190671870019</v>
      </c>
      <c r="AH21" s="79">
        <v>12608.747070703717</v>
      </c>
      <c r="AI21" s="80">
        <v>80.617971146085424</v>
      </c>
      <c r="AJ21" s="79">
        <v>10006.141231358271</v>
      </c>
      <c r="AK21" s="80">
        <v>52.512138331952954</v>
      </c>
      <c r="AL21" s="79">
        <v>7024.5375834611186</v>
      </c>
      <c r="AM21" s="80">
        <v>30.381703557164659</v>
      </c>
      <c r="AN21" s="79">
        <v>3680.1974101197329</v>
      </c>
      <c r="AO21" s="80">
        <v>13.21685194096675</v>
      </c>
      <c r="AP21" s="79">
        <v>2970.0456683122984</v>
      </c>
      <c r="AQ21" s="80">
        <v>10.288686384033333</v>
      </c>
      <c r="AR21" s="79">
        <v>2246.6935590044332</v>
      </c>
      <c r="AS21" s="80">
        <v>7.5103031569665406</v>
      </c>
      <c r="AT21" s="79">
        <v>1510.3957521032487</v>
      </c>
      <c r="AU21" s="80">
        <v>4.8741930843072803</v>
      </c>
      <c r="AV21" s="79">
        <v>761.41079612352848</v>
      </c>
      <c r="AW21" s="80">
        <v>2.3730929990557761</v>
      </c>
      <c r="AX21">
        <v>24661.962529999968</v>
      </c>
      <c r="AY21">
        <v>1145.7547579999991</v>
      </c>
    </row>
    <row r="22" spans="1:51" x14ac:dyDescent="0.2">
      <c r="A22" t="s">
        <v>28</v>
      </c>
      <c r="B22" s="39">
        <v>6533.6044688320644</v>
      </c>
      <c r="C22" s="40">
        <v>379.90788307663388</v>
      </c>
      <c r="D22" s="39">
        <v>6460.8063774091324</v>
      </c>
      <c r="E22" s="40">
        <v>368.03496198136071</v>
      </c>
      <c r="F22" s="39">
        <v>6380.5104713134333</v>
      </c>
      <c r="G22" s="40">
        <v>355.75943576781935</v>
      </c>
      <c r="H22" s="39">
        <v>6291.4579459156857</v>
      </c>
      <c r="I22" s="40">
        <v>343.04706254775238</v>
      </c>
      <c r="J22" s="39">
        <v>6192.1101379818701</v>
      </c>
      <c r="K22" s="40">
        <v>329.85793160181561</v>
      </c>
      <c r="L22" s="39">
        <v>6080.5761624156921</v>
      </c>
      <c r="M22" s="40">
        <v>316.14520731872847</v>
      </c>
      <c r="N22" s="39">
        <v>5954.5157450493398</v>
      </c>
      <c r="O22" s="40">
        <v>301.85333506888418</v>
      </c>
      <c r="P22" s="39">
        <v>5811.0260969114979</v>
      </c>
      <c r="Q22" s="40">
        <v>286.91641012614008</v>
      </c>
      <c r="R22" s="39">
        <v>5646.5036978711269</v>
      </c>
      <c r="S22" s="40">
        <v>271.25639900412062</v>
      </c>
      <c r="T22" s="39">
        <v>5456.4910025311774</v>
      </c>
      <c r="U22" s="40">
        <v>254.78189009497638</v>
      </c>
      <c r="V22" s="39">
        <v>5235.5426324647069</v>
      </c>
      <c r="W22" s="40">
        <v>237.38842752756935</v>
      </c>
      <c r="X22" s="39">
        <v>4977.1580374728783</v>
      </c>
      <c r="Y22" s="40">
        <v>218.96187776766493</v>
      </c>
      <c r="Z22" s="39">
        <v>4673.8858929596017</v>
      </c>
      <c r="AA22" s="40">
        <v>199.38679517578566</v>
      </c>
      <c r="AB22" s="39">
        <v>4317.7395651762645</v>
      </c>
      <c r="AC22" s="40">
        <v>178.56180070894928</v>
      </c>
      <c r="AD22" s="39">
        <v>3901.0355157987874</v>
      </c>
      <c r="AE22" s="40">
        <v>156.42123959481324</v>
      </c>
      <c r="AF22" s="39">
        <v>3417.6178447898724</v>
      </c>
      <c r="AG22" s="40">
        <v>132.95821704049155</v>
      </c>
      <c r="AH22" s="39">
        <v>2864.1364763388815</v>
      </c>
      <c r="AI22" s="40">
        <v>108.23884046622416</v>
      </c>
      <c r="AJ22" s="39">
        <v>2240.8277866520116</v>
      </c>
      <c r="AK22" s="40">
        <v>82.398207835494787</v>
      </c>
      <c r="AL22" s="39">
        <v>1551.3817740112434</v>
      </c>
      <c r="AM22" s="40">
        <v>55.61722805815922</v>
      </c>
      <c r="AN22" s="39">
        <v>801.97935158888151</v>
      </c>
      <c r="AO22" s="40">
        <v>28.090693449235758</v>
      </c>
      <c r="AP22" s="39">
        <v>645.54604213663686</v>
      </c>
      <c r="AQ22" s="40">
        <v>22.512328053313169</v>
      </c>
      <c r="AR22" s="39">
        <v>487.07082116518779</v>
      </c>
      <c r="AS22" s="40">
        <v>16.912825224418135</v>
      </c>
      <c r="AT22" s="39">
        <v>326.61462545075693</v>
      </c>
      <c r="AU22" s="40">
        <v>11.293463336838935</v>
      </c>
      <c r="AV22" s="39">
        <v>164.23781570820117</v>
      </c>
      <c r="AW22" s="40">
        <v>5.655465464744232</v>
      </c>
      <c r="AX22">
        <v>6533.6044688320644</v>
      </c>
      <c r="AY22">
        <v>379.90788307663388</v>
      </c>
    </row>
    <row r="23" spans="1:51" x14ac:dyDescent="0.2">
      <c r="A23" t="s">
        <v>7</v>
      </c>
      <c r="B23" s="110">
        <v>3278.5018080150408</v>
      </c>
      <c r="C23" s="8">
        <v>0</v>
      </c>
      <c r="D23" s="110">
        <v>3265.9338330628775</v>
      </c>
      <c r="E23" s="8">
        <v>0</v>
      </c>
      <c r="F23" s="110">
        <v>3250.5184226126516</v>
      </c>
      <c r="G23" s="8">
        <v>0</v>
      </c>
      <c r="H23" s="110">
        <v>3231.6489436480042</v>
      </c>
      <c r="I23" s="8">
        <v>0</v>
      </c>
      <c r="J23" s="110">
        <v>3208.5544869914715</v>
      </c>
      <c r="K23" s="8">
        <v>0</v>
      </c>
      <c r="L23" s="110">
        <v>3180.2493319937194</v>
      </c>
      <c r="M23" s="8">
        <v>0</v>
      </c>
      <c r="N23" s="110">
        <v>3145.4627858239683</v>
      </c>
      <c r="O23" s="8">
        <v>0</v>
      </c>
      <c r="P23" s="110">
        <v>3102.5512074825374</v>
      </c>
      <c r="Q23" s="8">
        <v>0</v>
      </c>
      <c r="R23" s="110">
        <v>3049.3831529500262</v>
      </c>
      <c r="S23" s="8">
        <v>0</v>
      </c>
      <c r="T23" s="110">
        <v>2983.1960654808904</v>
      </c>
      <c r="U23" s="8">
        <v>0</v>
      </c>
      <c r="V23" s="110">
        <v>2900.4403321990958</v>
      </c>
      <c r="W23" s="8">
        <v>0</v>
      </c>
      <c r="X23" s="110">
        <v>2796.6298068348242</v>
      </c>
      <c r="Y23" s="8">
        <v>0</v>
      </c>
      <c r="Z23" s="110">
        <v>2666.266069873484</v>
      </c>
      <c r="AA23" s="8">
        <v>0</v>
      </c>
      <c r="AB23" s="110">
        <v>2502.9415607009405</v>
      </c>
      <c r="AC23" s="8">
        <v>0</v>
      </c>
      <c r="AD23" s="110">
        <v>2299.7482892026669</v>
      </c>
      <c r="AE23" s="8">
        <v>0</v>
      </c>
      <c r="AF23" s="110">
        <v>2050.0597156309409</v>
      </c>
      <c r="AG23" s="8">
        <v>0</v>
      </c>
      <c r="AH23" s="110">
        <v>1748.5598753297243</v>
      </c>
      <c r="AI23" s="8">
        <v>0</v>
      </c>
      <c r="AJ23" s="110">
        <v>1392.1604021212113</v>
      </c>
      <c r="AK23" s="8">
        <v>0</v>
      </c>
      <c r="AL23" s="110">
        <v>980.39759661576375</v>
      </c>
      <c r="AM23" s="8">
        <v>0</v>
      </c>
      <c r="AN23" s="110">
        <v>515.16586531480084</v>
      </c>
      <c r="AO23" s="8">
        <v>0</v>
      </c>
      <c r="AP23" s="110">
        <v>415.99474374869288</v>
      </c>
      <c r="AQ23" s="8">
        <v>0</v>
      </c>
      <c r="AR23" s="110">
        <v>314.85745520523079</v>
      </c>
      <c r="AS23" s="8">
        <v>0</v>
      </c>
      <c r="AT23" s="110">
        <v>211.78878288672095</v>
      </c>
      <c r="AU23" s="8">
        <v>0</v>
      </c>
      <c r="AV23" s="110">
        <v>106.8242593776411</v>
      </c>
      <c r="AW23" s="8">
        <v>0</v>
      </c>
      <c r="AX23">
        <v>3278.5018080150408</v>
      </c>
      <c r="AY23">
        <v>0</v>
      </c>
    </row>
    <row r="24" spans="1:51" x14ac:dyDescent="0.2">
      <c r="A24" t="s">
        <v>8</v>
      </c>
      <c r="B24" s="93">
        <v>3196.3846373657216</v>
      </c>
      <c r="C24" s="8">
        <v>0</v>
      </c>
      <c r="D24" s="93">
        <v>3216.3673271137991</v>
      </c>
      <c r="E24" s="8">
        <v>0</v>
      </c>
      <c r="F24" s="93">
        <v>3234.2479474830975</v>
      </c>
      <c r="G24" s="8">
        <v>0</v>
      </c>
      <c r="H24" s="93">
        <v>3249.4230500753929</v>
      </c>
      <c r="I24" s="8">
        <v>0</v>
      </c>
      <c r="J24" s="93">
        <v>3261.098208990084</v>
      </c>
      <c r="K24" s="8">
        <v>0</v>
      </c>
      <c r="L24" s="93">
        <v>3268.2231626637531</v>
      </c>
      <c r="M24" s="8">
        <v>0</v>
      </c>
      <c r="N24" s="93">
        <v>3269.4003241234477</v>
      </c>
      <c r="O24" s="8">
        <v>0</v>
      </c>
      <c r="P24" s="93">
        <v>3262.7658531061747</v>
      </c>
      <c r="Q24" s="8">
        <v>0</v>
      </c>
      <c r="R24" s="93">
        <v>3245.8294010476061</v>
      </c>
      <c r="S24" s="8">
        <v>0</v>
      </c>
      <c r="T24" s="93">
        <v>3215.2644076584124</v>
      </c>
      <c r="U24" s="8">
        <v>0</v>
      </c>
      <c r="V24" s="93">
        <v>3166.6621054639995</v>
      </c>
      <c r="W24" s="8">
        <v>0</v>
      </c>
      <c r="X24" s="93">
        <v>3094.2622846676677</v>
      </c>
      <c r="Y24" s="8">
        <v>0</v>
      </c>
      <c r="Z24" s="93">
        <v>2990.740470676923</v>
      </c>
      <c r="AA24" s="8">
        <v>0</v>
      </c>
      <c r="AB24" s="93">
        <v>2847.1898096067639</v>
      </c>
      <c r="AC24" s="8">
        <v>0</v>
      </c>
      <c r="AD24" s="93">
        <v>2653.4959531047134</v>
      </c>
      <c r="AE24" s="8">
        <v>0</v>
      </c>
      <c r="AF24" s="93">
        <v>2399.2661685555904</v>
      </c>
      <c r="AG24" s="8">
        <v>0</v>
      </c>
      <c r="AH24" s="93">
        <v>2075.2420347345228</v>
      </c>
      <c r="AI24" s="8">
        <v>0</v>
      </c>
      <c r="AJ24" s="93">
        <v>1674.7661623218139</v>
      </c>
      <c r="AK24" s="8">
        <v>0</v>
      </c>
      <c r="AL24" s="93">
        <v>1194.6927145511359</v>
      </c>
      <c r="AM24" s="8">
        <v>0</v>
      </c>
      <c r="AN24" s="93">
        <v>635.3919913433466</v>
      </c>
      <c r="AO24" s="8">
        <v>0</v>
      </c>
      <c r="AP24" s="93">
        <v>514.2634184746297</v>
      </c>
      <c r="AQ24" s="8">
        <v>0</v>
      </c>
      <c r="AR24" s="93">
        <v>390.12121237998116</v>
      </c>
      <c r="AS24" s="8">
        <v>0</v>
      </c>
      <c r="AT24" s="93">
        <v>263.00315263332817</v>
      </c>
      <c r="AU24" s="8">
        <v>0</v>
      </c>
      <c r="AV24" s="93">
        <v>132.94894816935826</v>
      </c>
      <c r="AW24" s="8">
        <v>0</v>
      </c>
      <c r="AX24">
        <v>3196.3846373657216</v>
      </c>
      <c r="AY24">
        <v>0</v>
      </c>
    </row>
    <row r="25" spans="1:51" x14ac:dyDescent="0.2">
      <c r="A25" t="s">
        <v>0</v>
      </c>
      <c r="B25" s="39">
        <v>3195.0476040000012</v>
      </c>
      <c r="C25" s="40">
        <v>91.012690000004397</v>
      </c>
      <c r="D25" s="39">
        <v>3188.2905769374238</v>
      </c>
      <c r="E25" s="40">
        <v>80.889348314697642</v>
      </c>
      <c r="F25" s="39">
        <v>3178.8876968333807</v>
      </c>
      <c r="G25" s="40">
        <v>71.247022857283724</v>
      </c>
      <c r="H25" s="39">
        <v>3166.2508711157284</v>
      </c>
      <c r="I25" s="40">
        <v>62.12245572415916</v>
      </c>
      <c r="J25" s="39">
        <v>3149.6225524581396</v>
      </c>
      <c r="K25" s="40">
        <v>53.552752808188885</v>
      </c>
      <c r="L25" s="39">
        <v>3128.0199936997847</v>
      </c>
      <c r="M25" s="40">
        <v>45.574515060700449</v>
      </c>
      <c r="N25" s="39">
        <v>3100.1576699496336</v>
      </c>
      <c r="O25" s="40">
        <v>38.222973982364479</v>
      </c>
      <c r="P25" s="39">
        <v>3064.3487547479031</v>
      </c>
      <c r="Q25" s="40">
        <v>31.530400284050046</v>
      </c>
      <c r="R25" s="39">
        <v>3018.3768991413667</v>
      </c>
      <c r="S25" s="40">
        <v>25.52434169921144</v>
      </c>
      <c r="T25" s="39">
        <v>2959.3373054334279</v>
      </c>
      <c r="U25" s="40">
        <v>20.225201143470873</v>
      </c>
      <c r="V25" s="39">
        <v>2883.466810887629</v>
      </c>
      <c r="W25" s="40">
        <v>15.643262144098816</v>
      </c>
      <c r="X25" s="39">
        <v>2785.9885866117606</v>
      </c>
      <c r="Y25" s="40">
        <v>11.775107059144979</v>
      </c>
      <c r="Z25" s="39">
        <v>2661.0516712912663</v>
      </c>
      <c r="AA25" s="40">
        <v>8.5998635071409737</v>
      </c>
      <c r="AB25" s="39">
        <v>2501.8847700014894</v>
      </c>
      <c r="AC25" s="40">
        <v>6.0759573901464989</v>
      </c>
      <c r="AD25" s="39">
        <v>2301.2998226703116</v>
      </c>
      <c r="AE25" s="40">
        <v>4.1400102221124762</v>
      </c>
      <c r="AF25" s="39">
        <v>2052.5963750408514</v>
      </c>
      <c r="AG25" s="40">
        <v>2.7095400151982156</v>
      </c>
      <c r="AH25" s="39">
        <v>1750.6903679519817</v>
      </c>
      <c r="AI25" s="40">
        <v>1.6903922153550108</v>
      </c>
      <c r="AJ25" s="39">
        <v>1393.0441640222768</v>
      </c>
      <c r="AK25" s="40">
        <v>0.98743828428332892</v>
      </c>
      <c r="AL25" s="39">
        <v>979.96740069699638</v>
      </c>
      <c r="AM25" s="40">
        <v>0.51496885143121685</v>
      </c>
      <c r="AN25" s="39">
        <v>514.19041036874353</v>
      </c>
      <c r="AO25" s="40">
        <v>0.20323076822288832</v>
      </c>
      <c r="AP25" s="39">
        <v>415.07132829579371</v>
      </c>
      <c r="AQ25" s="40">
        <v>0.15528220305717799</v>
      </c>
      <c r="AR25" s="39">
        <v>314.05276324384084</v>
      </c>
      <c r="AS25" s="40">
        <v>0.11128657963433708</v>
      </c>
      <c r="AT25" s="39">
        <v>211.17449223633452</v>
      </c>
      <c r="AU25" s="40">
        <v>7.0930882344527171E-2</v>
      </c>
      <c r="AV25" s="39">
        <v>106.47673860486425</v>
      </c>
      <c r="AW25" s="40">
        <v>3.3924892447170119E-2</v>
      </c>
      <c r="AX25">
        <v>3195.0476040000012</v>
      </c>
      <c r="AY25">
        <v>91.012690000004397</v>
      </c>
    </row>
    <row r="26" spans="1:51" x14ac:dyDescent="0.2">
      <c r="A26" t="s">
        <v>27</v>
      </c>
      <c r="B26" s="31">
        <v>5036.2953101960647</v>
      </c>
      <c r="C26" s="32">
        <v>74.905331803938267</v>
      </c>
      <c r="D26" s="31">
        <v>5017.2223165216592</v>
      </c>
      <c r="E26" s="32">
        <v>70.008002662629451</v>
      </c>
      <c r="F26" s="31">
        <v>4994.1270556368363</v>
      </c>
      <c r="G26" s="32">
        <v>65.108483570521869</v>
      </c>
      <c r="H26" s="31">
        <v>4966.0930773563059</v>
      </c>
      <c r="I26" s="32">
        <v>60.209618471757842</v>
      </c>
      <c r="J26" s="31">
        <v>4931.9458140858524</v>
      </c>
      <c r="K26" s="32">
        <v>55.316121644579013</v>
      </c>
      <c r="L26" s="31">
        <v>4890.1710454866179</v>
      </c>
      <c r="M26" s="32">
        <v>50.435345819086137</v>
      </c>
      <c r="N26" s="31">
        <v>4838.8019623997789</v>
      </c>
      <c r="O26" s="32">
        <v>45.578521921079044</v>
      </c>
      <c r="P26" s="31">
        <v>4775.2766907797659</v>
      </c>
      <c r="Q26" s="32">
        <v>40.762063179591301</v>
      </c>
      <c r="R26" s="31">
        <v>4696.2529884608011</v>
      </c>
      <c r="S26" s="32">
        <v>36.009337718461033</v>
      </c>
      <c r="T26" s="31">
        <v>4597.3768117180389</v>
      </c>
      <c r="U26" s="32">
        <v>31.352519769384148</v>
      </c>
      <c r="V26" s="31">
        <v>4473.0330830432404</v>
      </c>
      <c r="W26" s="32">
        <v>26.834284677706677</v>
      </c>
      <c r="X26" s="31">
        <v>4316.1091395093781</v>
      </c>
      <c r="Y26" s="32">
        <v>22.508500623330825</v>
      </c>
      <c r="Z26" s="31">
        <v>4117.8830815057663</v>
      </c>
      <c r="AA26" s="32">
        <v>18.438880546170054</v>
      </c>
      <c r="AB26" s="31">
        <v>3868.2058254602243</v>
      </c>
      <c r="AC26" s="32">
        <v>14.693996810264492</v>
      </c>
      <c r="AD26" s="31">
        <v>3556.1784360769366</v>
      </c>
      <c r="AE26" s="32">
        <v>11.337984182703169</v>
      </c>
      <c r="AF26" s="31">
        <v>3171.4216746931238</v>
      </c>
      <c r="AG26" s="32">
        <v>8.4180225302827925</v>
      </c>
      <c r="AH26" s="31">
        <v>2705.7197681303455</v>
      </c>
      <c r="AI26" s="32">
        <v>5.9529137172810556</v>
      </c>
      <c r="AJ26" s="31">
        <v>2154.4513885077577</v>
      </c>
      <c r="AK26" s="32">
        <v>3.9283152731622142</v>
      </c>
      <c r="AL26" s="31">
        <v>1517.1653734893337</v>
      </c>
      <c r="AM26" s="32">
        <v>2.3015512972266774</v>
      </c>
      <c r="AN26" s="31">
        <v>797.09860771517094</v>
      </c>
      <c r="AO26" s="32">
        <v>1.0132647726208919</v>
      </c>
      <c r="AP26" s="31">
        <v>643.62819324824329</v>
      </c>
      <c r="AQ26" s="32">
        <v>0.79059595787638104</v>
      </c>
      <c r="AR26" s="31">
        <v>487.12696126521428</v>
      </c>
      <c r="AS26" s="32">
        <v>0.57841341718578643</v>
      </c>
      <c r="AT26" s="31">
        <v>327.65058324253442</v>
      </c>
      <c r="AU26" s="32">
        <v>0.37623229985305673</v>
      </c>
      <c r="AV26" s="31">
        <v>165.25576666106312</v>
      </c>
      <c r="AW26" s="32">
        <v>0.18358048014148756</v>
      </c>
      <c r="AX26">
        <v>5036.2953101960647</v>
      </c>
      <c r="AY26">
        <v>74.905331803938267</v>
      </c>
    </row>
    <row r="27" spans="1:51" x14ac:dyDescent="0.2">
      <c r="A27" t="s">
        <v>2</v>
      </c>
      <c r="B27" s="33">
        <v>6425.1981590000414</v>
      </c>
      <c r="C27" s="34">
        <v>273.22915400000028</v>
      </c>
      <c r="D27" s="33">
        <v>6399.7143940921433</v>
      </c>
      <c r="E27" s="34">
        <v>255.34240120596078</v>
      </c>
      <c r="F27" s="33">
        <v>6369.0761810118365</v>
      </c>
      <c r="G27" s="34">
        <v>237.45025069360912</v>
      </c>
      <c r="H27" s="33">
        <v>6332.1693482528844</v>
      </c>
      <c r="I27" s="34">
        <v>219.56409595519045</v>
      </c>
      <c r="J27" s="33">
        <v>6287.569267383803</v>
      </c>
      <c r="K27" s="34">
        <v>201.70220611364184</v>
      </c>
      <c r="L27" s="33">
        <v>6233.441001396026</v>
      </c>
      <c r="M27" s="34">
        <v>183.89227957544477</v>
      </c>
      <c r="N27" s="33">
        <v>6167.3998542392701</v>
      </c>
      <c r="O27" s="34">
        <v>166.17623705898535</v>
      </c>
      <c r="P27" s="33">
        <v>6086.3323997909929</v>
      </c>
      <c r="Q27" s="34">
        <v>148.61453707704993</v>
      </c>
      <c r="R27" s="33">
        <v>5986.1596428824778</v>
      </c>
      <c r="S27" s="34">
        <v>131.29257707620317</v>
      </c>
      <c r="T27" s="33">
        <v>5861.5353224215824</v>
      </c>
      <c r="U27" s="34">
        <v>114.32724758639705</v>
      </c>
      <c r="V27" s="33">
        <v>5705.5056531697082</v>
      </c>
      <c r="W27" s="34">
        <v>97.872965796996553</v>
      </c>
      <c r="X27" s="33">
        <v>5509.1645372336789</v>
      </c>
      <c r="Y27" s="34">
        <v>82.123947714359332</v>
      </c>
      <c r="Z27" s="33">
        <v>5261.4353153412485</v>
      </c>
      <c r="AA27" s="34">
        <v>67.309484104392425</v>
      </c>
      <c r="AB27" s="33">
        <v>4949.1930631572695</v>
      </c>
      <c r="AC27" s="34">
        <v>53.67585814755116</v>
      </c>
      <c r="AD27" s="33">
        <v>4558.0018147528408</v>
      </c>
      <c r="AE27" s="34">
        <v>41.453196278437218</v>
      </c>
      <c r="AF27" s="33">
        <v>4073.6402629575227</v>
      </c>
      <c r="AG27" s="34">
        <v>30.81066210307857</v>
      </c>
      <c r="AH27" s="33">
        <v>3484.2077309164733</v>
      </c>
      <c r="AI27" s="34">
        <v>21.815580580624008</v>
      </c>
      <c r="AJ27" s="33">
        <v>2782.1036052240179</v>
      </c>
      <c r="AK27" s="34">
        <v>14.416216618616858</v>
      </c>
      <c r="AL27" s="33">
        <v>1965.0200228646381</v>
      </c>
      <c r="AM27" s="34">
        <v>8.4589092484027333</v>
      </c>
      <c r="AN27" s="33">
        <v>1035.5814392477448</v>
      </c>
      <c r="AO27" s="34">
        <v>3.7298005361480002</v>
      </c>
      <c r="AP27" s="33">
        <v>836.71298925577662</v>
      </c>
      <c r="AQ27" s="34">
        <v>2.9110653556965564</v>
      </c>
      <c r="AR27" s="33">
        <v>633.65489421417726</v>
      </c>
      <c r="AS27" s="34">
        <v>2.1304451163961828</v>
      </c>
      <c r="AT27" s="33">
        <v>426.47191679834924</v>
      </c>
      <c r="AU27" s="34">
        <v>1.386189201223732</v>
      </c>
      <c r="AV27" s="33">
        <v>215.23081948512242</v>
      </c>
      <c r="AW27" s="34">
        <v>0.67659230252796942</v>
      </c>
      <c r="AX27">
        <v>6425.1981590000414</v>
      </c>
      <c r="AY27">
        <v>273.22915400000028</v>
      </c>
    </row>
    <row r="28" spans="1:51" x14ac:dyDescent="0.2">
      <c r="A28" t="s">
        <v>35</v>
      </c>
      <c r="B28" s="39">
        <v>13763.097676000029</v>
      </c>
      <c r="C28" s="40">
        <v>382.36647899999997</v>
      </c>
      <c r="D28" s="39">
        <v>13709.824310096637</v>
      </c>
      <c r="E28" s="40">
        <v>357.34429890849782</v>
      </c>
      <c r="F28" s="39">
        <v>13645.535652876877</v>
      </c>
      <c r="G28" s="40">
        <v>332.31352673908066</v>
      </c>
      <c r="H28" s="39">
        <v>13567.782285854077</v>
      </c>
      <c r="I28" s="40">
        <v>307.28970065058684</v>
      </c>
      <c r="J28" s="39">
        <v>13473.428347605872</v>
      </c>
      <c r="K28" s="40">
        <v>282.29796025462559</v>
      </c>
      <c r="L28" s="39">
        <v>13358.432908455979</v>
      </c>
      <c r="M28" s="40">
        <v>257.37671916067438</v>
      </c>
      <c r="N28" s="39">
        <v>13217.545974327597</v>
      </c>
      <c r="O28" s="40">
        <v>232.58426417600458</v>
      </c>
      <c r="P28" s="39">
        <v>13043.921876402892</v>
      </c>
      <c r="Q28" s="40">
        <v>208.0049699525064</v>
      </c>
      <c r="R28" s="39">
        <v>12828.612289513725</v>
      </c>
      <c r="S28" s="40">
        <v>183.75828174905391</v>
      </c>
      <c r="T28" s="39">
        <v>12559.927009005178</v>
      </c>
      <c r="U28" s="40">
        <v>160.00796545326685</v>
      </c>
      <c r="V28" s="39">
        <v>12222.729989375504</v>
      </c>
      <c r="W28" s="40">
        <v>136.97060963024126</v>
      </c>
      <c r="X28" s="39">
        <v>11797.749103813205</v>
      </c>
      <c r="Y28" s="40">
        <v>114.91890529996736</v>
      </c>
      <c r="Z28" s="39">
        <v>11261.19444755603</v>
      </c>
      <c r="AA28" s="40">
        <v>94.174959809630323</v>
      </c>
      <c r="AB28" s="39">
        <v>10585.145856549574</v>
      </c>
      <c r="AC28" s="40">
        <v>75.0849560907305</v>
      </c>
      <c r="AD28" s="39">
        <v>9739.2789629289582</v>
      </c>
      <c r="AE28" s="40">
        <v>57.97246547134916</v>
      </c>
      <c r="AF28" s="39">
        <v>8694.2457500233631</v>
      </c>
      <c r="AG28" s="40">
        <v>43.075410438709255</v>
      </c>
      <c r="AH28" s="39">
        <v>7426.1834114071371</v>
      </c>
      <c r="AI28" s="40">
        <v>30.488545153623711</v>
      </c>
      <c r="AJ28" s="39">
        <v>5920.7863175938837</v>
      </c>
      <c r="AK28" s="40">
        <v>20.139281028448991</v>
      </c>
      <c r="AL28" s="39">
        <v>4175.1403244504763</v>
      </c>
      <c r="AM28" s="40">
        <v>11.811817182877951</v>
      </c>
      <c r="AN28" s="39">
        <v>2196.6557132473531</v>
      </c>
      <c r="AO28" s="40">
        <v>5.2058364767934551</v>
      </c>
      <c r="AP28" s="39">
        <v>1774.2213896512656</v>
      </c>
      <c r="AQ28" s="40">
        <v>4.0627207055719206</v>
      </c>
      <c r="AR28" s="39">
        <v>1343.1904573544944</v>
      </c>
      <c r="AS28" s="40">
        <v>2.9730035821811542</v>
      </c>
      <c r="AT28" s="39">
        <v>903.7094382783431</v>
      </c>
      <c r="AU28" s="40">
        <v>1.9342280126017057</v>
      </c>
      <c r="AV28" s="39">
        <v>455.92835641372989</v>
      </c>
      <c r="AW28" s="40">
        <v>0.94400073593415224</v>
      </c>
      <c r="AX28">
        <v>13763.097676000029</v>
      </c>
      <c r="AY28">
        <v>382.36647899999997</v>
      </c>
    </row>
    <row r="29" spans="1:51" x14ac:dyDescent="0.2">
      <c r="A29" t="s">
        <v>53</v>
      </c>
      <c r="B29" s="33">
        <v>14362.768558000025</v>
      </c>
      <c r="C29" s="34">
        <v>817.26650999999993</v>
      </c>
      <c r="D29" s="33">
        <v>14285.507448432852</v>
      </c>
      <c r="E29" s="34">
        <v>756.49286824408387</v>
      </c>
      <c r="F29" s="33">
        <v>14195.24232620128</v>
      </c>
      <c r="G29" s="34">
        <v>696.31757545637618</v>
      </c>
      <c r="H29" s="33">
        <v>14089.330371895534</v>
      </c>
      <c r="I29" s="34">
        <v>636.84160459343423</v>
      </c>
      <c r="J29" s="33">
        <v>13964.431044659155</v>
      </c>
      <c r="K29" s="34">
        <v>578.19199715828108</v>
      </c>
      <c r="L29" s="33">
        <v>13816.293730481</v>
      </c>
      <c r="M29" s="34">
        <v>520.52846442024872</v>
      </c>
      <c r="N29" s="33">
        <v>13639.464967220007</v>
      </c>
      <c r="O29" s="34">
        <v>464.05487513767599</v>
      </c>
      <c r="P29" s="33">
        <v>13426.922234735608</v>
      </c>
      <c r="Q29" s="34">
        <v>409.02831052898921</v>
      </c>
      <c r="R29" s="33">
        <v>13169.600876054084</v>
      </c>
      <c r="S29" s="34">
        <v>355.77146347509648</v>
      </c>
      <c r="T29" s="33">
        <v>12855.80993664269</v>
      </c>
      <c r="U29" s="34">
        <v>304.68259830383931</v>
      </c>
      <c r="V29" s="33">
        <v>12470.612921490165</v>
      </c>
      <c r="W29" s="34">
        <v>256.24024058539214</v>
      </c>
      <c r="X29" s="33">
        <v>11995.260795584081</v>
      </c>
      <c r="Y29" s="34">
        <v>210.99418288746321</v>
      </c>
      <c r="Z29" s="33">
        <v>11406.97091986267</v>
      </c>
      <c r="AA29" s="34">
        <v>169.53491793326285</v>
      </c>
      <c r="AB29" s="33">
        <v>10679.490172294391</v>
      </c>
      <c r="AC29" s="34">
        <v>132.42937360367367</v>
      </c>
      <c r="AD29" s="33">
        <v>9784.9476802035206</v>
      </c>
      <c r="AE29" s="34">
        <v>100.125296579561</v>
      </c>
      <c r="AF29" s="33">
        <v>8697.2122648484401</v>
      </c>
      <c r="AG29" s="34">
        <v>72.842448023000244</v>
      </c>
      <c r="AH29" s="33">
        <v>7396.1401403946093</v>
      </c>
      <c r="AI29" s="34">
        <v>50.495111104309856</v>
      </c>
      <c r="AJ29" s="33">
        <v>5871.166652468366</v>
      </c>
      <c r="AK29" s="34">
        <v>32.690040330482766</v>
      </c>
      <c r="AL29" s="33">
        <v>4122.6062100954468</v>
      </c>
      <c r="AM29" s="34">
        <v>18.810132742459864</v>
      </c>
      <c r="AN29" s="33">
        <v>2160.2112653714294</v>
      </c>
      <c r="AO29" s="34">
        <v>8.1434265582553547</v>
      </c>
      <c r="AP29" s="33">
        <v>1743.4108686009404</v>
      </c>
      <c r="AQ29" s="34">
        <v>6.333604514007722</v>
      </c>
      <c r="AR29" s="33">
        <v>1318.8371067418698</v>
      </c>
      <c r="AS29" s="34">
        <v>4.6192358133490039</v>
      </c>
      <c r="AT29" s="33">
        <v>886.64136712030552</v>
      </c>
      <c r="AU29" s="34">
        <v>2.9953429630840094</v>
      </c>
      <c r="AV29" s="33">
        <v>446.97726846381073</v>
      </c>
      <c r="AW29" s="34">
        <v>1.4571318441446013</v>
      </c>
      <c r="AX29">
        <v>14362.768558000025</v>
      </c>
      <c r="AY29">
        <v>817.26650999999993</v>
      </c>
    </row>
    <row r="30" spans="1:51" x14ac:dyDescent="0.2">
      <c r="A30" t="s">
        <v>48</v>
      </c>
      <c r="B30" s="112">
        <v>2924829.9599999995</v>
      </c>
      <c r="D30" s="112">
        <v>2963693.1995930891</v>
      </c>
      <c r="F30" s="112">
        <v>3000862.2998998608</v>
      </c>
      <c r="H30" s="112">
        <v>3035760.1993195005</v>
      </c>
      <c r="J30" s="112">
        <v>3067616.1859786576</v>
      </c>
      <c r="L30" s="112">
        <v>3095398.6924444316</v>
      </c>
      <c r="N30" s="112">
        <v>3117721.4564838069</v>
      </c>
      <c r="P30" s="112">
        <v>3132718.6568158506</v>
      </c>
      <c r="R30" s="112">
        <v>3137874.841203338</v>
      </c>
      <c r="T30" s="112">
        <v>3129800.4508495177</v>
      </c>
      <c r="V30" s="112">
        <v>3103955.9430418508</v>
      </c>
      <c r="X30" s="112">
        <v>3054336.9171191151</v>
      </c>
      <c r="Z30" s="112">
        <v>2973191.4614090398</v>
      </c>
      <c r="AB30" s="112">
        <v>2850911.8127859952</v>
      </c>
      <c r="AD30" s="112">
        <v>2676320.9147320781</v>
      </c>
      <c r="AF30" s="112">
        <v>2437564.4622593527</v>
      </c>
      <c r="AH30" s="112">
        <v>2123597.8271226115</v>
      </c>
      <c r="AJ30" s="112">
        <v>1725859.0344174639</v>
      </c>
      <c r="AL30" s="112">
        <v>1239456.701649298</v>
      </c>
      <c r="AN30" s="112">
        <v>663408.64218642178</v>
      </c>
      <c r="AP30" s="112">
        <v>537596.67633867497</v>
      </c>
      <c r="AR30" s="112">
        <v>408314.34075100825</v>
      </c>
      <c r="AT30" s="112">
        <v>275595.79831916397</v>
      </c>
      <c r="AV30" s="112">
        <v>139477.92624045655</v>
      </c>
      <c r="AX30">
        <v>2924829.9599999995</v>
      </c>
    </row>
    <row r="31" spans="1:51" x14ac:dyDescent="0.2">
      <c r="A31" t="s">
        <v>47</v>
      </c>
      <c r="B31" s="77">
        <v>1</v>
      </c>
      <c r="D31" s="77">
        <v>0.9877271880802434</v>
      </c>
      <c r="F31" s="77">
        <v>0.97423402325172825</v>
      </c>
      <c r="H31" s="77">
        <v>0.95932502634062766</v>
      </c>
      <c r="J31" s="77">
        <v>0.9427633180224031</v>
      </c>
      <c r="L31" s="77">
        <v>0.92426045548480329</v>
      </c>
      <c r="N31" s="77">
        <v>0.90346291077953633</v>
      </c>
      <c r="P31" s="77">
        <v>0.87993672474920093</v>
      </c>
      <c r="R31" s="77">
        <v>0.85314918508847593</v>
      </c>
      <c r="T31" s="77">
        <v>0.82244936175813388</v>
      </c>
      <c r="V31" s="77">
        <v>0.78705289829211189</v>
      </c>
      <c r="X31" s="77">
        <v>0.7460382369389813</v>
      </c>
      <c r="Z31" s="77">
        <v>0.69836935518448184</v>
      </c>
      <c r="AB31" s="77">
        <v>0.64296396569281566</v>
      </c>
      <c r="AD31" s="77">
        <v>0.57882012385238135</v>
      </c>
      <c r="AF31" s="77">
        <v>0.50519111780540082</v>
      </c>
      <c r="AH31" s="77">
        <v>0.42175671460151942</v>
      </c>
      <c r="AJ31" s="77">
        <v>0.32871271995637508</v>
      </c>
      <c r="AL31" s="77">
        <v>0.2267271680377192</v>
      </c>
      <c r="AN31" s="77">
        <v>0.11678530576525649</v>
      </c>
      <c r="AP31" s="77">
        <v>9.3939773807691099E-2</v>
      </c>
      <c r="AR31" s="77">
        <v>7.0829634318496065E-2</v>
      </c>
      <c r="AT31" s="77">
        <v>4.7463801385568723E-2</v>
      </c>
      <c r="AV31" s="77">
        <v>2.3851051081447892E-2</v>
      </c>
      <c r="AX31">
        <v>1</v>
      </c>
    </row>
    <row r="32" spans="1:51" x14ac:dyDescent="0.2">
      <c r="A32" t="s">
        <v>64</v>
      </c>
      <c r="B32" s="83">
        <v>14734457.915000005</v>
      </c>
      <c r="D32" s="83">
        <v>14653154.253957355</v>
      </c>
      <c r="F32" s="83">
        <v>14558500.98975517</v>
      </c>
      <c r="H32" s="83">
        <v>14447775.158294108</v>
      </c>
      <c r="J32" s="83">
        <v>14317549.666236594</v>
      </c>
      <c r="L32" s="83">
        <v>14163486.022320036</v>
      </c>
      <c r="N32" s="83">
        <v>13980047.939903662</v>
      </c>
      <c r="P32" s="83">
        <v>13760145.236210341</v>
      </c>
      <c r="R32" s="83">
        <v>13494670.298172196</v>
      </c>
      <c r="T32" s="83">
        <v>13171920.168368032</v>
      </c>
      <c r="V32" s="83">
        <v>12776968.732950555</v>
      </c>
      <c r="X32" s="83">
        <v>12291061.303663952</v>
      </c>
      <c r="Z32" s="83">
        <v>11691300.63436841</v>
      </c>
      <c r="AB32" s="83">
        <v>10951047.968355918</v>
      </c>
      <c r="AD32" s="83">
        <v>10041556.662405746</v>
      </c>
      <c r="AF32" s="83">
        <v>8935133.2064534463</v>
      </c>
      <c r="AH32" s="83">
        <v>7609345.449582696</v>
      </c>
      <c r="AJ32" s="83">
        <v>6050838.4113141941</v>
      </c>
      <c r="AL32" s="83">
        <v>4257076.5347814411</v>
      </c>
      <c r="AN32" s="83">
        <v>2235370.0421486562</v>
      </c>
      <c r="AP32" s="83">
        <v>1804847.3519271153</v>
      </c>
      <c r="AR32" s="83">
        <v>1365904.7955922782</v>
      </c>
      <c r="AT32" s="83">
        <v>918684.93243994645</v>
      </c>
      <c r="AV32" s="83">
        <v>463333.75524259382</v>
      </c>
      <c r="AX32">
        <v>14734457.915000005</v>
      </c>
    </row>
    <row r="33" spans="1:51 16319:16384" x14ac:dyDescent="0.2">
      <c r="A33" t="s">
        <v>54</v>
      </c>
      <c r="B33" s="111">
        <v>7019665.6909999885</v>
      </c>
      <c r="D33" s="111">
        <v>6948238.2622942198</v>
      </c>
      <c r="F33" s="111">
        <v>6869882.7936945204</v>
      </c>
      <c r="H33" s="111">
        <v>6783323.7673811521</v>
      </c>
      <c r="J33" s="111">
        <v>6686982.2770346273</v>
      </c>
      <c r="L33" s="111">
        <v>6578892.5131026153</v>
      </c>
      <c r="N33" s="111">
        <v>6456587.8569615018</v>
      </c>
      <c r="P33" s="111">
        <v>6316963.0916579543</v>
      </c>
      <c r="R33" s="111">
        <v>6156099.2496178914</v>
      </c>
      <c r="T33" s="111">
        <v>5969055.3699111668</v>
      </c>
      <c r="V33" s="111">
        <v>5749657.4852401605</v>
      </c>
      <c r="X33" s="111">
        <v>5490326.8315431643</v>
      </c>
      <c r="Z33" s="111">
        <v>5182060.9474736499</v>
      </c>
      <c r="AB33" s="111">
        <v>4814736.588676136</v>
      </c>
      <c r="AD33" s="111">
        <v>4377910.352779639</v>
      </c>
      <c r="AF33" s="111">
        <v>3862167.4225403257</v>
      </c>
      <c r="AH33" s="111">
        <v>3260738.9864670094</v>
      </c>
      <c r="AJ33" s="111">
        <v>2570776.1055200887</v>
      </c>
      <c r="AL33" s="111">
        <v>1793679.1128220623</v>
      </c>
      <c r="AN33" s="111">
        <v>934376.82927390793</v>
      </c>
      <c r="AP33" s="111">
        <v>753256.25722765713</v>
      </c>
      <c r="AR33" s="111">
        <v>569193.662443585</v>
      </c>
      <c r="AT33" s="111">
        <v>382253.45494718826</v>
      </c>
      <c r="AV33" s="111">
        <v>192500.52950121486</v>
      </c>
      <c r="AX33">
        <v>7019665.6909999885</v>
      </c>
    </row>
    <row r="34" spans="1:51 16319:16384" x14ac:dyDescent="0.2">
      <c r="A34" t="s">
        <v>75</v>
      </c>
      <c r="B34" s="111">
        <v>1136879.4410000162</v>
      </c>
      <c r="D34" s="111">
        <v>1130606.2275761287</v>
      </c>
      <c r="F34" s="111">
        <v>1123302.9849076355</v>
      </c>
      <c r="H34" s="111">
        <v>1114759.619352113</v>
      </c>
      <c r="J34" s="111">
        <v>1104711.689274194</v>
      </c>
      <c r="L34" s="111">
        <v>1092824.4844854062</v>
      </c>
      <c r="N34" s="111">
        <v>1078670.8071129122</v>
      </c>
      <c r="P34" s="111">
        <v>1061703.5031145674</v>
      </c>
      <c r="R34" s="111">
        <v>1041220.0638189116</v>
      </c>
      <c r="T34" s="111">
        <v>1016317.3544409974</v>
      </c>
      <c r="V34" s="111">
        <v>985843.74836443085</v>
      </c>
      <c r="X34" s="111">
        <v>948352.15335864737</v>
      </c>
      <c r="Z34" s="111">
        <v>902075.89525293349</v>
      </c>
      <c r="AB34" s="111">
        <v>844959.57821632712</v>
      </c>
      <c r="AD34" s="111">
        <v>774785.17485911574</v>
      </c>
      <c r="AF34" s="111">
        <v>689415.8778626537</v>
      </c>
      <c r="AH34" s="111">
        <v>587120.91488646099</v>
      </c>
      <c r="AJ34" s="111">
        <v>466869.82488726982</v>
      </c>
      <c r="AL34" s="111">
        <v>328466.96255267417</v>
      </c>
      <c r="AN34" s="111">
        <v>172476.41219174696</v>
      </c>
      <c r="AP34" s="111">
        <v>139258.18280013071</v>
      </c>
      <c r="AR34" s="111">
        <v>105390.30139254442</v>
      </c>
      <c r="AT34" s="111">
        <v>70883.770359495102</v>
      </c>
      <c r="AV34" s="111">
        <v>35749.847561644186</v>
      </c>
      <c r="AX34">
        <v>1136879.4410000162</v>
      </c>
    </row>
    <row r="35" spans="1:51 16319:16384" x14ac:dyDescent="0.2">
      <c r="A35" t="s">
        <v>78</v>
      </c>
      <c r="B35" s="192">
        <v>1</v>
      </c>
      <c r="D35" s="192">
        <v>1.0021240306604771</v>
      </c>
      <c r="F35" s="192">
        <v>1.0045497409165633</v>
      </c>
      <c r="H35" s="192">
        <v>1.0073191629004643</v>
      </c>
      <c r="J35" s="192">
        <v>1.0104818022805704</v>
      </c>
      <c r="L35" s="192">
        <v>1.0140960778570074</v>
      </c>
      <c r="N35" s="192">
        <v>1.0182309413781372</v>
      </c>
      <c r="P35" s="192">
        <v>1.0229674259400519</v>
      </c>
      <c r="R35" s="192">
        <v>1.028399782642528</v>
      </c>
      <c r="T35" s="192">
        <v>1.0346352806244619</v>
      </c>
      <c r="V35" s="192">
        <v>1.0417914474274739</v>
      </c>
      <c r="X35" s="192">
        <v>1.0499882181885012</v>
      </c>
      <c r="Z35" s="192">
        <v>1.0593325259414559</v>
      </c>
      <c r="AB35" s="192">
        <v>1.069893393874729</v>
      </c>
      <c r="AD35" s="192">
        <v>1.0816699850877398</v>
      </c>
      <c r="AF35" s="192">
        <v>1.0945624970250059</v>
      </c>
      <c r="AH35" s="192">
        <v>1.1083625452212063</v>
      </c>
      <c r="AJ35" s="192">
        <v>1.1227757742434408</v>
      </c>
      <c r="AL35" s="192">
        <v>1.1374723091467664</v>
      </c>
      <c r="AN35" s="192">
        <v>1.1521430430434314</v>
      </c>
      <c r="AP35" s="192">
        <v>1.1550508929961623</v>
      </c>
      <c r="AR35" s="192">
        <v>1.1579458679180332</v>
      </c>
      <c r="AT35" s="192">
        <v>1.1608264544798117</v>
      </c>
      <c r="AV35" s="192">
        <v>1.1636912630875103</v>
      </c>
      <c r="AX35">
        <v>1</v>
      </c>
    </row>
    <row r="36" spans="1:51 16319:16384" x14ac:dyDescent="0.2">
      <c r="A36" t="s">
        <v>21</v>
      </c>
      <c r="B36" s="35">
        <v>0.47195767671988198</v>
      </c>
      <c r="C36" s="36">
        <v>0.31738834428178964</v>
      </c>
      <c r="D36" s="35">
        <v>0.4719841450214376</v>
      </c>
      <c r="E36" s="36">
        <v>0.32007059075990518</v>
      </c>
      <c r="F36" s="35">
        <v>0.4720119297502684</v>
      </c>
      <c r="G36" s="36">
        <v>0.3229857899382122</v>
      </c>
      <c r="H36" s="35">
        <v>0.47204117964643089</v>
      </c>
      <c r="I36" s="36">
        <v>0.32615941716093022</v>
      </c>
      <c r="J36" s="35">
        <v>0.47207205081667497</v>
      </c>
      <c r="K36" s="36">
        <v>0.32961960527419387</v>
      </c>
      <c r="L36" s="35">
        <v>0.47210469675214883</v>
      </c>
      <c r="M36" s="36">
        <v>0.33339711225056429</v>
      </c>
      <c r="N36" s="35">
        <v>0.4721392549996799</v>
      </c>
      <c r="O36" s="36">
        <v>0.33752504898973279</v>
      </c>
      <c r="P36" s="35">
        <v>0.47217582151512666</v>
      </c>
      <c r="Q36" s="36">
        <v>0.34203818480549858</v>
      </c>
      <c r="R36" s="35">
        <v>0.47221441248140045</v>
      </c>
      <c r="S36" s="36">
        <v>0.34697154763142135</v>
      </c>
      <c r="T36" s="35">
        <v>0.47225491838248673</v>
      </c>
      <c r="U36" s="36">
        <v>0.35235782310423264</v>
      </c>
      <c r="V36" s="35">
        <v>0.47229703520667771</v>
      </c>
      <c r="W36" s="36">
        <v>0.35822318015910548</v>
      </c>
      <c r="X36" s="35">
        <v>0.47234019606795929</v>
      </c>
      <c r="Y36" s="36">
        <v>0.36458066308454851</v>
      </c>
      <c r="Z36" s="35">
        <v>0.47238351690392816</v>
      </c>
      <c r="AA36" s="36">
        <v>0.37142114510914409</v>
      </c>
      <c r="AB36" s="35">
        <v>0.47242579395254813</v>
      </c>
      <c r="AC36" s="36">
        <v>0.37870266597569824</v>
      </c>
      <c r="AD36" s="35">
        <v>0.47246560234999729</v>
      </c>
      <c r="AE36" s="36">
        <v>0.38634148051038569</v>
      </c>
      <c r="AF36" s="35">
        <v>0.47250151541305019</v>
      </c>
      <c r="AG36" s="36">
        <v>0.39421037113654106</v>
      </c>
      <c r="AH36" s="35">
        <v>0.47253239987699863</v>
      </c>
      <c r="AI36" s="36">
        <v>0.40214964649813861</v>
      </c>
      <c r="AJ36" s="35">
        <v>0.4725576593252418</v>
      </c>
      <c r="AK36" s="36">
        <v>0.40999058703883262</v>
      </c>
      <c r="AL36" s="35">
        <v>0.4725773079909622</v>
      </c>
      <c r="AM36" s="36">
        <v>0.41758304086347686</v>
      </c>
      <c r="AN36" s="35">
        <v>0.47259185393076453</v>
      </c>
      <c r="AO36" s="36">
        <v>0.424815543827324</v>
      </c>
      <c r="AP36" s="35">
        <v>0.47259421747340308</v>
      </c>
      <c r="AQ36" s="36">
        <v>0.42621225236934746</v>
      </c>
      <c r="AR36" s="35">
        <v>0.47259641498179472</v>
      </c>
      <c r="AS36" s="36">
        <v>0.42759145788895286</v>
      </c>
      <c r="AT36" s="35">
        <v>0.47259845343330137</v>
      </c>
      <c r="AU36" s="36">
        <v>0.42895290166868977</v>
      </c>
      <c r="AV36" s="35">
        <v>0.47260033979023758</v>
      </c>
      <c r="AW36" s="36">
        <v>0.43029638394573722</v>
      </c>
      <c r="AX36">
        <v>0.47195767671988198</v>
      </c>
      <c r="AY36">
        <v>0.31738834428178964</v>
      </c>
    </row>
    <row r="37" spans="1:51 16319:16384" x14ac:dyDescent="0.2">
      <c r="B37" s="37">
        <v>2.1403217525954466E-2</v>
      </c>
      <c r="C37" s="38">
        <v>0.3496246130199252</v>
      </c>
      <c r="D37" s="37">
        <v>2.0683219145538601E-2</v>
      </c>
      <c r="E37" s="38">
        <v>0.34536074899649133</v>
      </c>
      <c r="F37" s="37">
        <v>1.9958474965668438E-2</v>
      </c>
      <c r="G37" s="38">
        <v>0.3410394864215931</v>
      </c>
      <c r="H37" s="37">
        <v>1.9229814806796693E-2</v>
      </c>
      <c r="I37" s="38">
        <v>0.33666566956459054</v>
      </c>
      <c r="J37" s="37">
        <v>1.8498262175646329E-2</v>
      </c>
      <c r="K37" s="38">
        <v>0.33224561091110111</v>
      </c>
      <c r="L37" s="37">
        <v>1.7765076795876075E-2</v>
      </c>
      <c r="M37" s="38">
        <v>0.32778741493760105</v>
      </c>
      <c r="N37" s="37">
        <v>1.7031809335055215E-2</v>
      </c>
      <c r="O37" s="38">
        <v>0.32330138268984376</v>
      </c>
      <c r="P37" s="37">
        <v>1.6300375068611643E-2</v>
      </c>
      <c r="Q37" s="38">
        <v>0.31880053934941066</v>
      </c>
      <c r="R37" s="37">
        <v>1.5573152791371263E-2</v>
      </c>
      <c r="S37" s="38">
        <v>0.31430132004155659</v>
      </c>
      <c r="T37" s="37">
        <v>1.4853124481422741E-2</v>
      </c>
      <c r="U37" s="38">
        <v>0.30982450470750883</v>
      </c>
      <c r="V37" s="37">
        <v>1.4144027311921013E-2</v>
      </c>
      <c r="W37" s="38">
        <v>0.30539622048491583</v>
      </c>
      <c r="X37" s="37">
        <v>1.3450536893197267E-2</v>
      </c>
      <c r="Y37" s="38">
        <v>0.30104910380364885</v>
      </c>
      <c r="Z37" s="37">
        <v>1.2778391127767939E-2</v>
      </c>
      <c r="AA37" s="38">
        <v>0.29682302939014699</v>
      </c>
      <c r="AB37" s="37">
        <v>1.213435409390223E-2</v>
      </c>
      <c r="AC37" s="38">
        <v>0.29276472901538342</v>
      </c>
      <c r="AD37" s="37">
        <v>1.1525840272208472E-2</v>
      </c>
      <c r="AE37" s="38">
        <v>0.28892513271902193</v>
      </c>
      <c r="AF37" s="37">
        <v>1.0960083288883732E-2</v>
      </c>
      <c r="AG37" s="38">
        <v>0.28535370901546536</v>
      </c>
      <c r="AH37" s="37">
        <v>1.0442941064093351E-2</v>
      </c>
      <c r="AI37" s="38">
        <v>0.28209047812193039</v>
      </c>
      <c r="AJ37" s="37">
        <v>9.977759163602799E-3</v>
      </c>
      <c r="AK37" s="38">
        <v>0.27915852740017572</v>
      </c>
      <c r="AL37" s="37">
        <v>9.5648186394668763E-3</v>
      </c>
      <c r="AM37" s="38">
        <v>0.27656048738251732</v>
      </c>
      <c r="AN37" s="37">
        <v>9.2016089150483652E-3</v>
      </c>
      <c r="AO37" s="38">
        <v>0.27428047949300205</v>
      </c>
      <c r="AP37" s="37">
        <v>9.1345663185283376E-3</v>
      </c>
      <c r="AQ37" s="38">
        <v>0.27386027211361774</v>
      </c>
      <c r="AR37" s="37">
        <v>9.0692966870325568E-3</v>
      </c>
      <c r="AS37" s="38">
        <v>0.27345139264404222</v>
      </c>
      <c r="AT37" s="37">
        <v>9.0057572076707362E-3</v>
      </c>
      <c r="AU37" s="38">
        <v>0.27305356449241408</v>
      </c>
      <c r="AV37" s="37">
        <v>8.9439042080120129E-3</v>
      </c>
      <c r="AW37" s="38">
        <v>0.27266650548648524</v>
      </c>
      <c r="AX37">
        <v>2.1403217525954466E-2</v>
      </c>
      <c r="AY37">
        <v>0.3496246130199252</v>
      </c>
    </row>
    <row r="38" spans="1:51 16319:16384" x14ac:dyDescent="0.2">
      <c r="A38" t="s">
        <v>22</v>
      </c>
      <c r="B38" s="35">
        <v>0.18079094942242827</v>
      </c>
      <c r="C38" s="36">
        <v>6.0565413429233668E-2</v>
      </c>
      <c r="D38" s="35">
        <v>0.18107091030544936</v>
      </c>
      <c r="E38" s="36">
        <v>6.090538438410522E-2</v>
      </c>
      <c r="F38" s="35">
        <v>0.1813735758498215</v>
      </c>
      <c r="G38" s="36">
        <v>6.1275772569145091E-2</v>
      </c>
      <c r="H38" s="35">
        <v>0.18170074922187845</v>
      </c>
      <c r="I38" s="36">
        <v>6.167993488275815E-2</v>
      </c>
      <c r="J38" s="35">
        <v>0.18205426560656898</v>
      </c>
      <c r="K38" s="36">
        <v>6.2121565485286592E-2</v>
      </c>
      <c r="L38" s="35">
        <v>0.18243593161141672</v>
      </c>
      <c r="M38" s="36">
        <v>6.2604730268455713E-2</v>
      </c>
      <c r="N38" s="35">
        <v>0.18284742398152684</v>
      </c>
      <c r="O38" s="36">
        <v>6.3133749354394392E-2</v>
      </c>
      <c r="P38" s="35">
        <v>0.18329015269383517</v>
      </c>
      <c r="Q38" s="36">
        <v>6.3713168433554929E-2</v>
      </c>
      <c r="R38" s="35">
        <v>0.18376506139801532</v>
      </c>
      <c r="S38" s="36">
        <v>6.4347551475892606E-2</v>
      </c>
      <c r="T38" s="35">
        <v>0.1842723208871124</v>
      </c>
      <c r="U38" s="36">
        <v>6.5041139292885033E-2</v>
      </c>
      <c r="V38" s="35">
        <v>0.18481097686874051</v>
      </c>
      <c r="W38" s="36">
        <v>6.5797279989559462E-2</v>
      </c>
      <c r="X38" s="35">
        <v>0.18537846957383738</v>
      </c>
      <c r="Y38" s="36">
        <v>6.6617615939188676E-2</v>
      </c>
      <c r="Z38" s="35">
        <v>0.18597014656029062</v>
      </c>
      <c r="AA38" s="36">
        <v>6.7500828593539411E-2</v>
      </c>
      <c r="AB38" s="35">
        <v>0.18657888574579073</v>
      </c>
      <c r="AC38" s="36">
        <v>6.8441374120072812E-2</v>
      </c>
      <c r="AD38" s="35">
        <v>0.18719509989752844</v>
      </c>
      <c r="AE38" s="36">
        <v>6.9428301162094974E-2</v>
      </c>
      <c r="AF38" s="35">
        <v>0.18780739590685538</v>
      </c>
      <c r="AG38" s="36">
        <v>7.0445088964495112E-2</v>
      </c>
      <c r="AH38" s="35">
        <v>0.18840398395293659</v>
      </c>
      <c r="AI38" s="36">
        <v>7.1471035702569102E-2</v>
      </c>
      <c r="AJ38" s="35">
        <v>0.18897446485725941</v>
      </c>
      <c r="AK38" s="36">
        <v>7.2484352978908512E-2</v>
      </c>
      <c r="AL38" s="35">
        <v>0.18951130726108573</v>
      </c>
      <c r="AM38" s="36">
        <v>7.3465722741672068E-2</v>
      </c>
      <c r="AN38" s="35">
        <v>0.19001044064579192</v>
      </c>
      <c r="AO38" s="36">
        <v>7.4400822205398814E-2</v>
      </c>
      <c r="AP38" s="35">
        <v>0.19010561039973622</v>
      </c>
      <c r="AQ38" s="36">
        <v>7.4581427386715457E-2</v>
      </c>
      <c r="AR38" s="35">
        <v>0.19019923118550375</v>
      </c>
      <c r="AS38" s="36">
        <v>7.475978770512591E-2</v>
      </c>
      <c r="AT38" s="35">
        <v>0.19029131317893269</v>
      </c>
      <c r="AU38" s="36">
        <v>7.4935869037068698E-2</v>
      </c>
      <c r="AV38" s="35">
        <v>0.19038186792470971</v>
      </c>
      <c r="AW38" s="36">
        <v>7.5109649900984066E-2</v>
      </c>
      <c r="AX38">
        <v>0.18079094942242827</v>
      </c>
      <c r="AY38">
        <v>6.0565413429233668E-2</v>
      </c>
    </row>
    <row r="39" spans="1:51 16319:16384" x14ac:dyDescent="0.2">
      <c r="A39" t="s">
        <v>23</v>
      </c>
      <c r="B39" s="37">
        <v>0.23064923795098771</v>
      </c>
      <c r="C39" s="38">
        <v>0.22092201281804777</v>
      </c>
      <c r="D39" s="37">
        <v>0.23096487217981726</v>
      </c>
      <c r="E39" s="38">
        <v>0.22214213380652592</v>
      </c>
      <c r="F39" s="37">
        <v>0.23130811630156581</v>
      </c>
      <c r="G39" s="38">
        <v>0.22347237656408309</v>
      </c>
      <c r="H39" s="37">
        <v>0.23168311524879076</v>
      </c>
      <c r="I39" s="38">
        <v>0.22492584216357725</v>
      </c>
      <c r="J39" s="37">
        <v>0.23209476514416252</v>
      </c>
      <c r="K39" s="38">
        <v>0.22651726898216701</v>
      </c>
      <c r="L39" s="37">
        <v>0.23254884249581986</v>
      </c>
      <c r="M39" s="38">
        <v>0.22826306381576367</v>
      </c>
      <c r="N39" s="37">
        <v>0.23305214488514034</v>
      </c>
      <c r="O39" s="38">
        <v>0.23018142004044234</v>
      </c>
      <c r="P39" s="37">
        <v>0.2336125982096682</v>
      </c>
      <c r="Q39" s="38">
        <v>0.23229204544302004</v>
      </c>
      <c r="R39" s="37">
        <v>0.23423929609745342</v>
      </c>
      <c r="S39" s="38">
        <v>0.23461569684694125</v>
      </c>
      <c r="T39" s="37">
        <v>0.23494239477420026</v>
      </c>
      <c r="U39" s="38">
        <v>0.23717310410566303</v>
      </c>
      <c r="V39" s="37">
        <v>0.23573267930650404</v>
      </c>
      <c r="W39" s="38">
        <v>0.23998310412587895</v>
      </c>
      <c r="X39" s="37">
        <v>0.23662063621007709</v>
      </c>
      <c r="Y39" s="38">
        <v>0.24305935343265053</v>
      </c>
      <c r="Z39" s="37">
        <v>0.23761478345657849</v>
      </c>
      <c r="AA39" s="38">
        <v>0.24640573693579673</v>
      </c>
      <c r="AB39" s="37">
        <v>0.2387191811218618</v>
      </c>
      <c r="AC39" s="38">
        <v>0.25001022772281262</v>
      </c>
      <c r="AD39" s="37">
        <v>0.23993048166251085</v>
      </c>
      <c r="AE39" s="38">
        <v>0.25383921418248118</v>
      </c>
      <c r="AF39" s="37">
        <v>0.24123558710350285</v>
      </c>
      <c r="AG39" s="38">
        <v>0.25783488047203579</v>
      </c>
      <c r="AH39" s="37">
        <v>0.24261145782953142</v>
      </c>
      <c r="AI39" s="38">
        <v>0.26191915633243806</v>
      </c>
      <c r="AJ39" s="37">
        <v>0.24402803552639443</v>
      </c>
      <c r="AK39" s="38">
        <v>0.26600465119060251</v>
      </c>
      <c r="AL39" s="37">
        <v>0.24545347516785007</v>
      </c>
      <c r="AM39" s="38">
        <v>0.27000913787537273</v>
      </c>
      <c r="AN39" s="37">
        <v>0.24685940195040479</v>
      </c>
      <c r="AO39" s="38">
        <v>0.27386743726792317</v>
      </c>
      <c r="AP39" s="37">
        <v>0.24713621190069193</v>
      </c>
      <c r="AQ39" s="38">
        <v>0.27461740384690109</v>
      </c>
      <c r="AR39" s="37">
        <v>0.24741121576075367</v>
      </c>
      <c r="AS39" s="38">
        <v>0.27535949182182068</v>
      </c>
      <c r="AT39" s="37">
        <v>0.2476842869570674</v>
      </c>
      <c r="AU39" s="38">
        <v>0.27609349990436899</v>
      </c>
      <c r="AV39" s="37">
        <v>0.24795531361144457</v>
      </c>
      <c r="AW39" s="38">
        <v>0.27681925076898151</v>
      </c>
      <c r="AX39">
        <v>0.23064923795098771</v>
      </c>
      <c r="AY39">
        <v>0.22092201281804777</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6.540368803740583E-2</v>
      </c>
      <c r="E42" s="126"/>
      <c r="F42" s="167">
        <f>6.1%+(1-6.1%)*(1-SUM(F26:G26)/SUM($B$26:$C$26))</f>
        <v>7.0546725894759743E-2</v>
      </c>
      <c r="G42" s="126"/>
      <c r="H42" s="167">
        <f>6.1%+(1-6.1%)*(1-SUM(H26:I26)/SUM($B$26:$C$26))</f>
        <v>7.6596955987283943E-2</v>
      </c>
      <c r="I42" s="126"/>
      <c r="J42" s="167">
        <f>6.1%+(1-6.1%)*(1-SUM(J26:K26)/SUM($B$26:$C$26))</f>
        <v>8.3769296949686864E-2</v>
      </c>
      <c r="K42" s="126"/>
      <c r="L42" s="167">
        <f>6.1%+(1-6.1%)*(1-SUM(L26:M26)/SUM($B$26:$C$26))</f>
        <v>9.2340581718831832E-2</v>
      </c>
      <c r="M42" s="126"/>
      <c r="N42" s="167">
        <f>6.1%+(1-6.1%)*(1-SUM(N26:O26)/SUM($B$26:$C$26))</f>
        <v>0.10267007773292525</v>
      </c>
      <c r="O42" s="126"/>
      <c r="P42" s="167">
        <f>6.1%+(1-6.1%)*(1-SUM(P26:Q26)/SUM($B$26:$C$26))</f>
        <v>0.11522542222128765</v>
      </c>
      <c r="Q42" s="126"/>
      <c r="R42" s="167">
        <f>6.1%+(1-6.1%)*(1-SUM(R26:S26)/SUM($B$26:$C$26))</f>
        <v>0.13061633938448619</v>
      </c>
      <c r="S42" s="126"/>
      <c r="T42" s="167">
        <f>6.1%+(1-6.1%)*(1-SUM(T26:U26)/SUM($B$26:$C$26))</f>
        <v>0.14963681790312955</v>
      </c>
      <c r="U42" s="126"/>
      <c r="V42" s="167">
        <f>6.1%+(1-6.1%)*(1-SUM(V26:W26)/SUM($B$26:$C$26))</f>
        <v>0.17331058703330654</v>
      </c>
      <c r="W42" s="126"/>
      <c r="X42" s="167">
        <f>6.1%+(1-6.1%)*(1-SUM(X26:Y26)/SUM($B$26:$C$26))</f>
        <v>0.20293444741576805</v>
      </c>
      <c r="Y42" s="152"/>
      <c r="Z42" s="167">
        <f>6.1%+(1-6.1%)*(1-SUM(Z26:AA26)/SUM($B$26:$C$26))</f>
        <v>0.2400990306561388</v>
      </c>
      <c r="AA42" s="126"/>
      <c r="AB42" s="167">
        <f>6.1%+(1-6.1%)*(1-SUM(AB26:AC26)/SUM($B$26:$C$26))</f>
        <v>0.28665626953644707</v>
      </c>
      <c r="AC42" s="126"/>
      <c r="AD42" s="167">
        <f>6.1%+(1-6.1%)*(1-SUM(AD26:AE26)/SUM($B$26:$C$26))</f>
        <v>0.34459667047760567</v>
      </c>
      <c r="AE42" s="126"/>
      <c r="AF42" s="167">
        <f>6.1%+(1-6.1%)*(1-SUM(AF26:AG26)/SUM($B$26:$C$26))</f>
        <v>0.41581837911876351</v>
      </c>
      <c r="AG42" s="126"/>
      <c r="AH42" s="167">
        <f>6.1%+(1-6.1%)*(1-SUM(AH26:AI26)/SUM($B$26:$C$26))</f>
        <v>0.50182729526763903</v>
      </c>
      <c r="AI42" s="126"/>
      <c r="AJ42" s="167">
        <f>6.1%+(1-6.1%)*(1-SUM(AJ26:AK26)/SUM($B$26:$C$26))</f>
        <v>0.60347505727006001</v>
      </c>
      <c r="AK42" s="126"/>
      <c r="AL42" s="167">
        <f>6.1%+(1-6.1%)*(1-SUM(AL26:AM26)/SUM($B$26:$C$26))</f>
        <v>0.72085239020938063</v>
      </c>
      <c r="AM42" s="126"/>
      <c r="AN42" s="167">
        <f>6.1%+(1-6.1%)*(1-SUM(AN26:AO26)/SUM($B$26:$C$26))</f>
        <v>0.85337553722547921</v>
      </c>
      <c r="AO42" s="126"/>
      <c r="AP42" s="167">
        <f>6.1%+(1-6.1%)*(1-SUM(AP26:AQ26)/SUM($B$26:$C$26))</f>
        <v>0.88161113494699972</v>
      </c>
      <c r="AQ42" s="126"/>
      <c r="AR42" s="167">
        <f>6.1%+(1-6.1%)*(1-SUM(AR26:AS26)/SUM($B$26:$C$26))</f>
        <v>0.91040161032544087</v>
      </c>
      <c r="AS42" s="126"/>
      <c r="AT42" s="167">
        <f>6.1%+(1-6.1%)*(1-SUM(AT26:AU26)/SUM($B$26:$C$26))</f>
        <v>0.93973682479547982</v>
      </c>
      <c r="AU42" s="126"/>
      <c r="AV42" s="167">
        <f>6.1%+(1-6.1%)*(1-SUM(AV26:AW26)/SUM($B$26:$C$26))</f>
        <v>0.96960644712534627</v>
      </c>
      <c r="XFD42" s="167"/>
    </row>
    <row r="43" spans="1:51 16319:16384" x14ac:dyDescent="0.2">
      <c r="A43" t="s">
        <v>95</v>
      </c>
      <c r="B43" s="152">
        <f>SUM(B15:C15*B27:C27)/SUM(B15:C15*B27:C27,B13:C13*B26:C26)</f>
        <v>0.56058995943839207</v>
      </c>
      <c r="C43" s="126"/>
      <c r="D43" s="152">
        <f t="array" ref="D43">SUM(D15:E15*D27:E27)/SUM(D15:E15*D27:E27,D13:E13*D26:E26)</f>
        <v>0.56690700865066457</v>
      </c>
      <c r="E43" s="126"/>
      <c r="F43" s="152">
        <f t="array" ref="F43">SUM(F15:G15*F27:G27)/SUM(F15:G15*F27:G27,F13:G13*F26:G26)</f>
        <v>0.56661633486163809</v>
      </c>
      <c r="G43" s="126"/>
      <c r="H43" s="152">
        <f t="array" ref="H43">SUM(H15:I15*H27:I27)/SUM(H15:I15*H27:I27,H13:I13*H26:I26)</f>
        <v>0.56632413888155553</v>
      </c>
      <c r="I43" s="126"/>
      <c r="J43" s="152">
        <f t="array" ref="J43">SUM(J15:K15*J27:K27)/SUM(J15:K15*J27:K27,J13:K13*J26:K26)</f>
        <v>0.56602445866516671</v>
      </c>
      <c r="K43" s="126"/>
      <c r="L43" s="152">
        <f t="array" ref="L43">SUM(L15:M15*L27:M27)/SUM(L15:M15*L27:M27,L13:M13*L26:M26)</f>
        <v>0.56570930156269772</v>
      </c>
      <c r="M43" s="126"/>
      <c r="N43" s="152">
        <f t="array" ref="N43">SUM(N15:O15*N27:O27)/SUM(N15:O15*N27:O27,N13:O13*N26:O26)</f>
        <v>0.56536814244872302</v>
      </c>
      <c r="O43" s="126"/>
      <c r="P43" s="152">
        <f t="array" ref="P43">SUM(P15:Q15*P27:Q27)/SUM(P15:Q15*P27:Q27,P13:Q13*P26:Q26)</f>
        <v>0.56498735286351276</v>
      </c>
      <c r="Q43" s="126"/>
      <c r="R43" s="152">
        <f t="array" ref="R43">SUM(R15:S15*R27:S27)/SUM(R15:S15*R27:S27,R13:S13*R26:S26)</f>
        <v>0.5645496714274616</v>
      </c>
      <c r="S43" s="126"/>
      <c r="T43" s="152">
        <f t="array" ref="T43">SUM(T15:U15*T27:U27)/SUM(T15:U15*T27:U27,T13:U13*T26:U26)</f>
        <v>0.56403380894514854</v>
      </c>
      <c r="U43" s="126"/>
      <c r="V43" s="152">
        <f t="array" ref="V43">SUM(V15:W15*V27:W27)/SUM(V15:W15*V27:W27,V13:W13*V26:W26)</f>
        <v>0.56341459915878644</v>
      </c>
      <c r="W43" s="126"/>
      <c r="X43" s="152">
        <f t="array" ref="X43">SUM(X15:Y15*X27:Y27)/SUM(X15:Y15*X27:Y27,X13:Y13*X26:Y26)</f>
        <v>0.5626640001259654</v>
      </c>
      <c r="Y43" s="126"/>
      <c r="Z43" s="152">
        <f t="array" ref="Z43">SUM(Z15:AA15*Z27:AA27)/SUM(Z15:AA15*Z27:AA27,Z13:AA13*Z26:AA26)</f>
        <v>0.5617536727700313</v>
      </c>
      <c r="AA43" s="126"/>
      <c r="AB43" s="152">
        <f t="array" ref="AB43">SUM(AB15:AC15*AB27:AC27)/SUM(AB15:AC15*AB27:AC27,AB13:AC13*AB26:AC26)</f>
        <v>0.56065952886728176</v>
      </c>
      <c r="AC43" s="126"/>
      <c r="AD43" s="152">
        <f t="array" ref="AD43">SUM(AD15:AE15*AD27:AE27)/SUM(AD15:AE15*AD27:AE27,AD13:AE13*AD26:AE26)</f>
        <v>0.55936805726521788</v>
      </c>
      <c r="AE43" s="126"/>
      <c r="AF43" s="152">
        <f t="array" ref="AF43">SUM(AF15:AG15*AF27:AG27)/SUM(AF15:AG15*AF27:AG27,AF13:AG13*AF26:AG26)</f>
        <v>0.55788268357298909</v>
      </c>
      <c r="AG43" s="126"/>
      <c r="AH43" s="152">
        <f t="array" ref="AH43">SUM(AH15:AI15*AH27:AI27)/SUM(AH15:AI15*AH27:AI27,AH13:AI13*AH26:AI26)</f>
        <v>0.55622703221353398</v>
      </c>
      <c r="AI43" s="126"/>
      <c r="AJ43" s="152">
        <f t="array" ref="AJ43">SUM(AJ15:AK15*AJ27:AK27)/SUM(AJ15:AK15*AJ27:AK27,AJ13:AK13*AJ26:AK26)</f>
        <v>0.55444236427108051</v>
      </c>
      <c r="AK43" s="126"/>
      <c r="AL43" s="152">
        <f t="array" ref="AL43">SUM(AL15:AM15*AL27:AM27)/SUM(AL15:AM15*AL27:AM27,AL13:AM13*AL26:AM26)</f>
        <v>0.55257947907216798</v>
      </c>
      <c r="AM43" s="126"/>
      <c r="AN43" s="152">
        <f t="array" ref="AN43">SUM(AN15:AO15*AN27:AO27)/SUM(AN15:AO15*AN27:AO27,AN13:AO13*AN26:AO26)</f>
        <v>0.55068876293781688</v>
      </c>
      <c r="AO43" s="126"/>
      <c r="AP43" s="152">
        <f t="array" ref="AP43">SUM(AP15:AQ15*AP27:AQ27)/SUM(AP15:AQ15*AP27:AQ27,AP13:AQ13*AP26:AQ26)</f>
        <v>0.55031121322205878</v>
      </c>
      <c r="AQ43" s="126"/>
      <c r="AR43" s="152">
        <f t="array" ref="AR43">SUM(AR15:AS15*AR27:AS27)/SUM(AR15:AS15*AR27:AS27,AR13:AS13*AR26:AS26)</f>
        <v>0.54993457349389441</v>
      </c>
      <c r="AS43" s="126"/>
      <c r="AT43" s="152">
        <f t="array" ref="AT43">SUM(AT15:AU15*AT27:AU27)/SUM(AT15:AU15*AT27:AU27,AT13:AU13*AT26:AU26)</f>
        <v>0.5495591067147455</v>
      </c>
      <c r="AU43" s="126"/>
      <c r="AV43" s="152">
        <f t="array" ref="AV43">SUM(AV15:AW15*AV27:AW27)/SUM(AV15:AW15*AV27:AW27,AV13:AW13*AV26:AW26)</f>
        <v>0.54918506116938437</v>
      </c>
    </row>
    <row r="44" spans="1:51 16319:16384" x14ac:dyDescent="0.2">
      <c r="A44" t="s">
        <v>129</v>
      </c>
      <c r="B44" s="183">
        <f>(SUM(B11:C11*B24:C24)+B34)/B32</f>
        <v>0.29754226190682465</v>
      </c>
      <c r="D44" s="183">
        <f>(SUM(D11:E11*D24:E24)+D34)/D32</f>
        <v>0.29977341475626029</v>
      </c>
      <c r="F44" s="183">
        <f>(SUM(F11:G11*F24:G24)+F34)/F32</f>
        <v>0.30207260392218632</v>
      </c>
      <c r="H44" s="183">
        <f>(SUM(H11:I11*H24:I24)+H34)/H32</f>
        <v>0.30444733557853521</v>
      </c>
      <c r="J44" s="183">
        <f>(SUM(J11:K11*J24:K24)+J34)/J32</f>
        <v>0.30690584149665812</v>
      </c>
      <c r="L44" s="183">
        <f>(SUM(L11:M11*L24:M24)+L34)/L32</f>
        <v>0.30945709577173303</v>
      </c>
      <c r="N44" s="183">
        <f>(SUM(N11:O11*N24:O24)+N34)/N32</f>
        <v>0.31211075421593293</v>
      </c>
      <c r="P44" s="183">
        <f>(SUM(P11:Q11*P24:Q24)+P34)/P32</f>
        <v>0.31487702093797554</v>
      </c>
      <c r="R44" s="183">
        <f>(SUM(R11:S11*R24:S24)+R34)/R32</f>
        <v>0.31776634412365162</v>
      </c>
      <c r="T44" s="183">
        <f>(SUM(T11:U11*T24:U24)+T34)/T32</f>
        <v>0.3207886309331609</v>
      </c>
      <c r="V44" s="183">
        <f>(SUM(V11:W11*V24:W24)+V34)/V32</f>
        <v>0.32395210838343774</v>
      </c>
      <c r="X44" s="183">
        <f>(SUM(X11:Y11*X24:Y24)+X34)/X32</f>
        <v>0.32726113839817972</v>
      </c>
      <c r="Z44" s="183">
        <f>(SUM(Z11:AA11*Z24:AA24)+Z34)/Z32</f>
        <v>0.3307130380950129</v>
      </c>
      <c r="AB44" s="183">
        <f>(SUM(AB11:AC11*AB24:AC24)+AB34)/AB32</f>
        <v>0.33429390146115645</v>
      </c>
      <c r="AD44" s="183">
        <f>(SUM(AD11:AE11*AD24:AE24)+AD34)/AD32</f>
        <v>0.33797454441267816</v>
      </c>
      <c r="AF44" s="183">
        <f>(SUM(AF11:AG11*AF24:AG24)+AF34)/AF32</f>
        <v>0.34170870929059688</v>
      </c>
      <c r="AH44" s="183">
        <f>(SUM(AH11:AI11*AH24:AI24)+AH34)/AH32</f>
        <v>0.34543612488536624</v>
      </c>
      <c r="AJ44" s="183">
        <f>(SUM(AJ11:AK11*AJ24:AK24)+AJ34)/AJ32</f>
        <v>0.34909100275000143</v>
      </c>
      <c r="AL44" s="183">
        <f>(SUM(AL11:AM11*AL24:AM24)+AL34)/AL32</f>
        <v>0.35261321154725889</v>
      </c>
      <c r="AN44" s="183">
        <f>(SUM(AN11:AO11*AN24:AO24)+AN34)/AN32</f>
        <v>0.35595730641768653</v>
      </c>
      <c r="AP44" s="183">
        <f>(SUM(AP11:AQ11*AP24:AQ24)+AP34)/AP32</f>
        <v>0.35660201417641657</v>
      </c>
      <c r="AR44" s="183">
        <f>(SUM(AR11:AS11*AR24:AS24)+AR34)/AR32</f>
        <v>0.35723832281965723</v>
      </c>
      <c r="AT44" s="183">
        <f>(SUM(AT11:AU11*AT24:AU24)+AT34)/AT32</f>
        <v>0.35786614508960007</v>
      </c>
      <c r="AV44" s="183">
        <f>(SUM(AV11:AW11*AV24:AW24)+AV34)/AV32</f>
        <v>0.35848540505157478</v>
      </c>
    </row>
    <row r="45" spans="1:51 16319:16384" x14ac:dyDescent="0.2">
      <c r="A45" t="s">
        <v>82</v>
      </c>
      <c r="B45" s="183">
        <f>SUM(B11:C11*B24:C24)/B32</f>
        <v>0.22038438833194082</v>
      </c>
      <c r="D45" s="183">
        <f>SUM(D11:E11*D24:E24)/D32</f>
        <v>0.22261554089638555</v>
      </c>
      <c r="F45" s="183">
        <f>SUM(F11:G11*F24:G24)/F32</f>
        <v>0.22491472992828374</v>
      </c>
      <c r="H45" s="183">
        <f>SUM(H11:I11*H24:I24)/H32</f>
        <v>0.22728946129419203</v>
      </c>
      <c r="J45" s="183">
        <f>SUM(J11:K11*J24:K24)/J32</f>
        <v>0.22974796776639916</v>
      </c>
      <c r="L45" s="183">
        <f>SUM(L11:M11*L24:M24)/L32</f>
        <v>0.23229922074271545</v>
      </c>
      <c r="N45" s="183">
        <f>SUM(N11:O11*N24:O24)/N32</f>
        <v>0.2349528780949198</v>
      </c>
      <c r="P45" s="183">
        <f>SUM(P11:Q11*P24:Q24)/P32</f>
        <v>0.23771915051661874</v>
      </c>
      <c r="R45" s="183">
        <f>SUM(R11:S11*R24:S24)/R32</f>
        <v>0.24060847062155191</v>
      </c>
      <c r="T45" s="183">
        <f>SUM(T11:U11*T24:U24)/T32</f>
        <v>0.24363075710382717</v>
      </c>
      <c r="V45" s="183">
        <f>SUM(V11:W11*V24:W24)/V32</f>
        <v>0.24679423401046255</v>
      </c>
      <c r="X45" s="183">
        <f>SUM(X11:Y11*X24:Y24)/X32</f>
        <v>0.2501032648892465</v>
      </c>
      <c r="Z45" s="183">
        <f>SUM(Z11:AA11*Z24:AA24)/Z32</f>
        <v>0.25355516460734123</v>
      </c>
      <c r="AB45" s="183">
        <f>SUM(AB11:AC11*AB24:AC24)/AB32</f>
        <v>0.25713602756105874</v>
      </c>
      <c r="AD45" s="183">
        <f>SUM(AD11:AE11*AD24:AE24)/AD32</f>
        <v>0.26081666930355202</v>
      </c>
      <c r="AF45" s="183">
        <f>SUM(AF11:AG11*AF24:AG24)/AF32</f>
        <v>0.26455083576670591</v>
      </c>
      <c r="AH45" s="183">
        <f>SUM(AH11:AI11*AH24:AI24)/AH32</f>
        <v>0.26827825121849791</v>
      </c>
      <c r="AJ45" s="183">
        <f>SUM(AJ11:AK11*AJ24:AK24)/AJ32</f>
        <v>0.27193312922055957</v>
      </c>
      <c r="AL45" s="183">
        <f>SUM(AL11:AM11*AL24:AM24)/AL32</f>
        <v>0.27545534044275505</v>
      </c>
      <c r="AN45" s="183">
        <f>SUM(AN11:AO11*AN24:AO24)/AN32</f>
        <v>0.2787994269884887</v>
      </c>
      <c r="AP45" s="183">
        <f>SUM(AP11:AQ11*AP24:AQ24)/AP32</f>
        <v>0.27944414115660765</v>
      </c>
      <c r="AR45" s="183">
        <f>SUM(AR11:AS11*AR24:AS24)/AR32</f>
        <v>0.28008045520499275</v>
      </c>
      <c r="AT45" s="183">
        <f>SUM(AT11:AU11*AT24:AU24)/AT32</f>
        <v>0.28070827751552979</v>
      </c>
      <c r="AV45" s="183">
        <f>SUM(AV11:AW11*AV24:AW24)/AV32</f>
        <v>0.2813275309335404</v>
      </c>
      <c r="XCQ45" s="183"/>
    </row>
    <row r="46" spans="1:51 16319:16384" x14ac:dyDescent="0.2">
      <c r="A46" t="s">
        <v>126</v>
      </c>
      <c r="B46" s="183">
        <f>B34/B32</f>
        <v>7.7157873574883795E-2</v>
      </c>
      <c r="D46" s="183">
        <f>D34/D32</f>
        <v>7.7157873859874743E-2</v>
      </c>
      <c r="F46" s="183">
        <f>F34/F32</f>
        <v>7.7157873993902587E-2</v>
      </c>
      <c r="H46" s="183">
        <f>H34/H32</f>
        <v>7.7157874284343175E-2</v>
      </c>
      <c r="J46" s="183">
        <f>J34/J32</f>
        <v>7.7157873730258925E-2</v>
      </c>
      <c r="L46" s="183">
        <f>L34/L32</f>
        <v>7.7157875029017553E-2</v>
      </c>
      <c r="N46" s="183">
        <f>N34/N32</f>
        <v>7.7157876121013172E-2</v>
      </c>
      <c r="P46" s="183">
        <f>P34/P32</f>
        <v>7.7157870421356786E-2</v>
      </c>
      <c r="R46" s="183">
        <f>R34/R32</f>
        <v>7.7157873502099641E-2</v>
      </c>
      <c r="T46" s="183">
        <f>T34/T32</f>
        <v>7.7157873829333756E-2</v>
      </c>
      <c r="V46" s="183">
        <f>V34/V32</f>
        <v>7.715787437297518E-2</v>
      </c>
      <c r="X46" s="183">
        <f>X34/X32</f>
        <v>7.7157873508933245E-2</v>
      </c>
      <c r="Z46" s="183">
        <f>Z34/Z32</f>
        <v>7.7157873487671683E-2</v>
      </c>
      <c r="AB46" s="183">
        <f>AB34/AB32</f>
        <v>7.7157873900097707E-2</v>
      </c>
      <c r="AD46" s="183">
        <f>AD34/AD32</f>
        <v>7.7157875109126112E-2</v>
      </c>
      <c r="AF46" s="183">
        <f>AF34/AF32</f>
        <v>7.7157873523891002E-2</v>
      </c>
      <c r="AH46" s="183">
        <f>AH34/AH32</f>
        <v>7.7157873666868326E-2</v>
      </c>
      <c r="AJ46" s="183">
        <f>AJ34/AJ32</f>
        <v>7.7157873529441909E-2</v>
      </c>
      <c r="AL46" s="183">
        <f>AL34/AL32</f>
        <v>7.7157871104503811E-2</v>
      </c>
      <c r="AN46" s="183">
        <f>AN34/AN32</f>
        <v>7.7157879429197856E-2</v>
      </c>
      <c r="AP46" s="183">
        <f>AP34/AP32</f>
        <v>7.7157873019808906E-2</v>
      </c>
      <c r="AR46" s="183">
        <f>AR34/AR32</f>
        <v>7.7157867614664533E-2</v>
      </c>
      <c r="AT46" s="183">
        <f>AT34/AT32</f>
        <v>7.7157867574070296E-2</v>
      </c>
      <c r="AV46" s="183">
        <f>AV34/AV32</f>
        <v>7.7157874118034334E-2</v>
      </c>
      <c r="XCS46" s="183"/>
    </row>
    <row r="48" spans="1:51 16319:16384" x14ac:dyDescent="0.2">
      <c r="A48" t="s">
        <v>143</v>
      </c>
      <c r="B48" s="181">
        <f>B24/$B$24</f>
        <v>1</v>
      </c>
      <c r="C48" s="181"/>
      <c r="D48" s="181">
        <f>D24/$B$24</f>
        <v>1.0062516536697368</v>
      </c>
      <c r="E48" s="181"/>
      <c r="F48" s="181">
        <f>F24/$B$24</f>
        <v>1.01184566765675</v>
      </c>
      <c r="G48" s="181"/>
      <c r="H48" s="181">
        <f>H24/$B$24</f>
        <v>1.0165932510404576</v>
      </c>
      <c r="I48" s="181"/>
      <c r="J48" s="181">
        <f>J24/$B$24</f>
        <v>1.020245864927475</v>
      </c>
      <c r="K48" s="181"/>
      <c r="L48" s="181">
        <f>L24/$B$24</f>
        <v>1.0224749313515775</v>
      </c>
      <c r="M48" s="181"/>
      <c r="N48" s="181">
        <f>N24/$B$24</f>
        <v>1.0228432103896925</v>
      </c>
      <c r="O48" s="181"/>
      <c r="P48" s="181">
        <f>P24/$B$24</f>
        <v>1.0207675931627431</v>
      </c>
      <c r="Q48" s="181"/>
      <c r="R48" s="181">
        <f>R24/$B$24</f>
        <v>1.0154689655005458</v>
      </c>
      <c r="S48" s="181"/>
      <c r="T48" s="181">
        <f>T24/$B$24</f>
        <v>1.0059066014997027</v>
      </c>
      <c r="U48" s="181"/>
      <c r="V48" s="181">
        <f>V24/$B$24</f>
        <v>0.99070120299219755</v>
      </c>
      <c r="W48" s="181"/>
      <c r="X48" s="181">
        <f>X24/$B$24</f>
        <v>0.96805066840071619</v>
      </c>
      <c r="Y48" s="181"/>
      <c r="Z48" s="181">
        <f>Z24/$B$24</f>
        <v>0.93566351049094054</v>
      </c>
      <c r="AA48" s="181"/>
      <c r="AB48" s="181">
        <f>AB24/$B$24</f>
        <v>0.89075318918853763</v>
      </c>
      <c r="AC48" s="181"/>
      <c r="AD48" s="181">
        <f>AD24/$B$24</f>
        <v>0.83015539559455953</v>
      </c>
      <c r="AE48" s="181"/>
      <c r="AF48" s="181">
        <f>AF24/$B$24</f>
        <v>0.75061872732967738</v>
      </c>
      <c r="AG48" s="181"/>
      <c r="AH48" s="181">
        <f>AH24/$B$24</f>
        <v>0.64924665526011893</v>
      </c>
      <c r="AI48" s="181"/>
      <c r="AJ48" s="181">
        <f>AJ24/$B$24</f>
        <v>0.52395639208867584</v>
      </c>
      <c r="AK48" s="181"/>
      <c r="AL48" s="181">
        <f>AL24/$B$24</f>
        <v>0.37376375189180411</v>
      </c>
      <c r="AM48" s="181"/>
      <c r="AN48" s="181">
        <f>AN24/$B$24</f>
        <v>0.19878458428175921</v>
      </c>
      <c r="AO48" s="181"/>
      <c r="AP48" s="181">
        <f>AP24/$B$24</f>
        <v>0.16088909090066719</v>
      </c>
      <c r="AQ48" s="181"/>
      <c r="AR48" s="181">
        <f>AR24/$B$24</f>
        <v>0.12205077193134581</v>
      </c>
      <c r="AS48" s="181"/>
      <c r="AT48" s="181">
        <f>AT24/$B$24</f>
        <v>8.2281446844294809E-2</v>
      </c>
      <c r="AU48" s="181"/>
      <c r="AV48" s="181">
        <f>AV24/$B$24</f>
        <v>4.1593538717207459E-2</v>
      </c>
    </row>
    <row r="49" spans="1:48 16321:16384" x14ac:dyDescent="0.2">
      <c r="A49" t="s">
        <v>144</v>
      </c>
      <c r="B49" s="181">
        <f>B13/B35/$B$13*$B$35</f>
        <v>1</v>
      </c>
      <c r="C49" s="181"/>
      <c r="D49" s="181">
        <f>D13/D35/$B$13*$B$35</f>
        <v>0.99305377407478235</v>
      </c>
      <c r="E49" s="181"/>
      <c r="F49" s="181">
        <f>F13/F35/$B$13*$B$35</f>
        <v>0.98556507555272566</v>
      </c>
      <c r="G49" s="181"/>
      <c r="H49" s="181">
        <f>H13/H35/$B$13*$B$35</f>
        <v>0.97748892283035438</v>
      </c>
      <c r="I49" s="181"/>
      <c r="J49" s="181">
        <f>J13/J35/$B$13*$B$35</f>
        <v>0.96877860471535848</v>
      </c>
      <c r="K49" s="181"/>
      <c r="L49" s="181">
        <f>L13/L35/$B$13*$B$35</f>
        <v>0.9593868070067989</v>
      </c>
      <c r="M49" s="181"/>
      <c r="N49" s="181">
        <f>N13/N35/$B$13*$B$35</f>
        <v>0.94926752413733639</v>
      </c>
      <c r="O49" s="181"/>
      <c r="P49" s="181">
        <f>P13/P35/$B$13*$B$35</f>
        <v>0.93837886556760974</v>
      </c>
      <c r="Q49" s="181"/>
      <c r="R49" s="181">
        <f>R13/R35/$B$13*$B$35</f>
        <v>0.92668734959202537</v>
      </c>
      <c r="S49" s="181"/>
      <c r="T49" s="181">
        <f>T13/T35/$B$13*$B$35</f>
        <v>0.91417457246858458</v>
      </c>
      <c r="U49" s="181"/>
      <c r="V49" s="181">
        <f>V13/V35/$B$13*$B$35</f>
        <v>0.9008458321965952</v>
      </c>
      <c r="W49" s="181"/>
      <c r="X49" s="181">
        <f>X13/X35/$B$13*$B$35</f>
        <v>0.8867422619412344</v>
      </c>
      <c r="Y49" s="181"/>
      <c r="Z49" s="181">
        <f>Z13/Z35/$B$13*$B$35</f>
        <v>0.87195474146161489</v>
      </c>
      <c r="AA49" s="181"/>
      <c r="AB49" s="181">
        <f>AB13/AB35/$B$13*$B$35</f>
        <v>0.85663702036845868</v>
      </c>
      <c r="AC49" s="181"/>
      <c r="AD49" s="181">
        <f>AD13/AD35/$B$13*$B$35</f>
        <v>0.84101138221680383</v>
      </c>
      <c r="AE49" s="181"/>
      <c r="AF49" s="181">
        <f>AF13/AF35/$B$13*$B$35</f>
        <v>0.82535847662896056</v>
      </c>
      <c r="AG49" s="181"/>
      <c r="AH49" s="181">
        <f>AH13/AH35/$B$13*$B$35</f>
        <v>0.80998608234820768</v>
      </c>
      <c r="AI49" s="181"/>
      <c r="AJ49" s="181">
        <f>AJ13/AJ35/$B$13*$B$35</f>
        <v>0.79518293416005548</v>
      </c>
      <c r="AK49" s="181"/>
      <c r="AL49" s="181">
        <f>AL13/AL35/$B$13*$B$35</f>
        <v>0.78117502240253178</v>
      </c>
      <c r="AM49" s="181"/>
      <c r="AN49" s="181">
        <f>AN13/AN35/$B$13*$B$35</f>
        <v>0.76810212205187667</v>
      </c>
      <c r="AO49" s="181"/>
      <c r="AP49" s="181">
        <f>AP13/AP35/$B$13*$B$35</f>
        <v>0.76560590919089755</v>
      </c>
      <c r="AQ49" s="181"/>
      <c r="AR49" s="181">
        <f>AR13/AR35/$B$13*$B$35</f>
        <v>0.76314960130249299</v>
      </c>
      <c r="AS49" s="181"/>
      <c r="AT49" s="181">
        <f>AT13/AT35/$B$13*$B$35</f>
        <v>0.76073318019241254</v>
      </c>
      <c r="AU49" s="181"/>
      <c r="AV49" s="181">
        <f>AV13/AV35/$B$13*$B$35</f>
        <v>0.75835653583036433</v>
      </c>
    </row>
    <row r="51" spans="1:48 16321:16384" x14ac:dyDescent="0.2">
      <c r="A51" t="s">
        <v>150</v>
      </c>
      <c r="B51" s="27">
        <f>B30-B10*B23</f>
        <v>-405838.32800000021</v>
      </c>
      <c r="D51" s="27">
        <f>D30-D10*D23</f>
        <v>-348596.70441102749</v>
      </c>
      <c r="F51" s="27">
        <f>F30-F10*F23</f>
        <v>-290031.59298171801</v>
      </c>
      <c r="H51" s="27">
        <f>H30-H10*H23</f>
        <v>-230104.53961306484</v>
      </c>
      <c r="J51" s="27">
        <f>J30-J10*J23</f>
        <v>-168811.57473677211</v>
      </c>
      <c r="L51" s="27">
        <f>L30-L10*L23</f>
        <v>-106203.56630229531</v>
      </c>
      <c r="N51" s="27">
        <f>N30-N10*N23</f>
        <v>-42415.319960121997</v>
      </c>
      <c r="P51" s="27">
        <f>P30-P10*P23</f>
        <v>22290.051915252116</v>
      </c>
      <c r="R51" s="27">
        <f>R30-R10*R23</f>
        <v>87455.838453237899</v>
      </c>
      <c r="T51" s="27">
        <f>T30-T10*T23</f>
        <v>152337.88996432442</v>
      </c>
      <c r="V51" s="27">
        <f>V30-V10*V23</f>
        <v>215770.6551200496</v>
      </c>
      <c r="X51" s="27">
        <f>X30-X10*X23</f>
        <v>275989.1593572069</v>
      </c>
      <c r="Z51" s="27">
        <f>Z30-Z10*Z23</f>
        <v>330417.32658840809</v>
      </c>
      <c r="AB51" s="27">
        <f>AB30-AB10*AB23</f>
        <v>375468.9835361843</v>
      </c>
      <c r="AD51" s="27">
        <f>AD30-AD10*AD23</f>
        <v>406465.1432766458</v>
      </c>
      <c r="AF51" s="27">
        <f>AF30-AF10*AF23</f>
        <v>417811.51366299158</v>
      </c>
      <c r="AH51" s="27">
        <f>AH30-AH10*AH23</f>
        <v>403534.16902486607</v>
      </c>
      <c r="AJ51" s="27">
        <f>AJ30-AJ10*AJ23</f>
        <v>358089.97710725619</v>
      </c>
      <c r="AL51" s="27">
        <f>AL30-AL10*AL23</f>
        <v>277160.70842167945</v>
      </c>
      <c r="AN51" s="27">
        <f>AN30-AN10*AN23</f>
        <v>158111.72836169961</v>
      </c>
      <c r="AP51" s="27">
        <f>AP30-AP10*AP23</f>
        <v>129617.78261739778</v>
      </c>
      <c r="AQ51" s="27"/>
      <c r="AR51" s="27">
        <f>AR30-AR10*AR23</f>
        <v>99556.745911027247</v>
      </c>
      <c r="AT51" s="27">
        <f>AT30-AT10*AT23</f>
        <v>67930.556150589022</v>
      </c>
      <c r="AV51" s="27">
        <f>AV30-AV10*AV23</f>
        <v>34743.089421286044</v>
      </c>
      <c r="XFD51" s="27"/>
    </row>
    <row r="52" spans="1:48 16321:16384" x14ac:dyDescent="0.2">
      <c r="A52" t="s">
        <v>151</v>
      </c>
      <c r="B52" s="27">
        <f t="array" ref="B52">Calibration!sL*SUM(B13:C13*B26:C26)</f>
        <v>2073093.0976150823</v>
      </c>
      <c r="D52" s="27">
        <f t="array" ref="D52">Calibration!sL*SUM(D13:E13*D26:E26)</f>
        <v>2053390.3612532667</v>
      </c>
      <c r="F52" s="27">
        <f t="array" ref="F52">Calibration!sL*SUM(F13:G13*F26:G26)</f>
        <v>2031596.8296230061</v>
      </c>
      <c r="H52" s="27">
        <f t="array" ref="H52">Calibration!sL*SUM(H13:I13*H26:I26)</f>
        <v>2007351.6333262513</v>
      </c>
      <c r="J52" s="27">
        <f t="array" ref="J52">Calibration!sL*SUM(J13:K13*J26:K26)</f>
        <v>1980209.2734842519</v>
      </c>
      <c r="L52" s="27">
        <f t="array" ref="L52">Calibration!sL*SUM(L13:M13*L26:M26)</f>
        <v>1949615.5353867945</v>
      </c>
      <c r="N52" s="27">
        <f t="array" ref="N52">Calibration!sL*SUM(N13:O13*N26:O26)</f>
        <v>1914874.32706531</v>
      </c>
      <c r="P52" s="27">
        <f t="array" ref="P52">Calibration!sL*SUM(P13:Q13*P26:Q26)</f>
        <v>1875106.2080731122</v>
      </c>
      <c r="R52" s="27">
        <f t="array" ref="R52">Calibration!sL*SUM(R13:S13*R26:S26)</f>
        <v>1829194.545518036</v>
      </c>
      <c r="T52" s="27">
        <f t="array" ref="T52">Calibration!sL*SUM(T13:U13*T26:U26)</f>
        <v>1775718.3502655881</v>
      </c>
      <c r="V52" s="27">
        <f t="array" ref="V52">Calibration!sL*SUM(V13:W13*V26:W26)</f>
        <v>1712879.653510263</v>
      </c>
      <c r="X52" s="27">
        <f t="array" ref="X52">Calibration!sL*SUM(X13:Y13*X26:Y26)</f>
        <v>1638434.5103213794</v>
      </c>
      <c r="Z52" s="27">
        <f t="array" ref="Z52">Calibration!sL*SUM(Z13:AA13*Z26:AA26)</f>
        <v>1549660.1409742448</v>
      </c>
      <c r="AB52" s="27">
        <f t="array" ref="AB52">Calibration!sL*SUM(AB13:AC13*AB26:AC26)</f>
        <v>1443408.9931742323</v>
      </c>
      <c r="AD52" s="27">
        <f t="array" ref="AD52">Calibration!sL*SUM(AD13:AE13*AD26:AE26)</f>
        <v>1316310.9953506845</v>
      </c>
      <c r="AF52" s="27">
        <f t="array" ref="AF52">Calibration!sL*SUM(AF13:AG13*AF26:AG26)</f>
        <v>1165156.5543656433</v>
      </c>
      <c r="AH52" s="27">
        <f t="array" ref="AH52">Calibration!sL*SUM(AH13:AI13*AH26:AI26)</f>
        <v>987398.67440717376</v>
      </c>
      <c r="AJ52" s="27">
        <f t="array" ref="AJ52">Calibration!sL*SUM(AJ13:AK13*AJ26:AK26)</f>
        <v>781598.66471124266</v>
      </c>
      <c r="AL52" s="27">
        <f t="array" ref="AL52">Calibration!sL*SUM(AL13:AM13*AL26:AM26)</f>
        <v>547616.22658877389</v>
      </c>
      <c r="AN52" s="27">
        <f t="array" ref="AN52">Calibration!sL*SUM(AN13:AO13*AN26:AO26)</f>
        <v>286473.8693311637</v>
      </c>
      <c r="AP52" s="27">
        <f t="array" ref="AP52">Calibration!sL*SUM(AP13:AQ13*AP26:AQ26)</f>
        <v>231137.52978638778</v>
      </c>
      <c r="AQ52" s="27"/>
      <c r="AR52" s="27">
        <f t="array" ref="AR52">Calibration!sL*SUM(AR13:AS13*AR26:AS26)</f>
        <v>174803.996123555</v>
      </c>
      <c r="AT52" s="27">
        <f t="array" ref="AT52">Calibration!sL*SUM(AT13:AU13*AT26:AU26)</f>
        <v>117491.07557245628</v>
      </c>
      <c r="AV52" s="27">
        <f t="array" ref="AV52">Calibration!sL*SUM(AV13:AW13*AV26:AW26)</f>
        <v>59216.930397705859</v>
      </c>
    </row>
    <row r="53" spans="1:48 16321:16384" x14ac:dyDescent="0.2">
      <c r="A53" t="s">
        <v>152</v>
      </c>
      <c r="B53" s="27">
        <f t="array" ref="B53">Calibration!sK*SUM(B15:C15*B27:C27)</f>
        <v>2716869.1663849424</v>
      </c>
      <c r="D53" s="27">
        <f t="array" ref="D53">Calibration!sK*SUM(D15:E15*D27:E27)</f>
        <v>2687832.4298516344</v>
      </c>
      <c r="F53" s="27">
        <f t="array" ref="F53">Calibration!sK*SUM(F15:G15*F27:G27)</f>
        <v>2656159.0620864779</v>
      </c>
      <c r="H53" s="27">
        <f t="array" ref="H53">Calibration!sK*SUM(H15:I15*H27:I27)</f>
        <v>2621339.5466470066</v>
      </c>
      <c r="J53" s="27">
        <f t="array" ref="J53">Calibration!sK*SUM(J15:K15*J27:K27)</f>
        <v>2582742.0564305</v>
      </c>
      <c r="L53" s="27">
        <f t="array" ref="L53">Calibration!sK*SUM(L15:M15*L27:M27)</f>
        <v>2539579.2422173517</v>
      </c>
      <c r="N53" s="27">
        <f t="array" ref="N53">Calibration!sK*SUM(N15:O15*N27:O27)</f>
        <v>2490864.2164775934</v>
      </c>
      <c r="P53" s="27">
        <f t="array" ref="P53">Calibration!sK*SUM(P15:Q15*P27:Q27)</f>
        <v>2435357.4541127565</v>
      </c>
      <c r="R53" s="27">
        <f t="array" ref="R53">Calibration!sK*SUM(R15:S15*R27:S27)</f>
        <v>2371501.6659519807</v>
      </c>
      <c r="T53" s="27">
        <f t="array" ref="T53">Calibration!sK*SUM(T15:U15*T27:U27)</f>
        <v>2297345.9989884454</v>
      </c>
      <c r="V53" s="27">
        <f t="array" ref="V53">Calibration!sK*SUM(V15:W15*V27:W27)</f>
        <v>2210475.6630208967</v>
      </c>
      <c r="X53" s="27">
        <f t="array" ref="X53">Calibration!sK*SUM(X15:Y15*X27:Y27)</f>
        <v>2107963.0210807822</v>
      </c>
      <c r="Z53" s="27">
        <f t="array" ref="Z53">Calibration!sK*SUM(Z15:AA15*Z27:AA27)</f>
        <v>1986388.0691025157</v>
      </c>
      <c r="AB53" s="27">
        <f t="array" ref="AB53">Calibration!sK*SUM(AB15:AC15*AB27:AC27)</f>
        <v>1841990.5727997387</v>
      </c>
      <c r="AD53" s="27">
        <f t="array" ref="AD53">Calibration!sK*SUM(AD15:AE15*AD27:AE27)</f>
        <v>1671014.4063916416</v>
      </c>
      <c r="AF53" s="27">
        <f t="array" ref="AF53">Calibration!sK*SUM(AF15:AG15*AF27:AG27)</f>
        <v>1470244.7544586828</v>
      </c>
      <c r="AH53" s="27">
        <f t="array" ref="AH53">Calibration!sK*SUM(AH15:AI15*AH27:AI27)</f>
        <v>1237609.936036824</v>
      </c>
      <c r="AJ53" s="27">
        <f t="array" ref="AJ53">Calibration!sK*SUM(AJ15:AK15*AJ27:AK27)</f>
        <v>972604.61234082642</v>
      </c>
      <c r="AL53" s="27">
        <f t="array" ref="AL53">Calibration!sK*SUM(AL15:AM15*AL27:AM27)</f>
        <v>676324.56506995996</v>
      </c>
      <c r="AN53" s="27">
        <f t="array" ref="AN53">Calibration!sK*SUM(AN15:AO15*AN27:AO27)</f>
        <v>351110.605974351</v>
      </c>
      <c r="AP53" s="27">
        <f t="array" ref="AP53">Calibration!sK*SUM(AP15:AQ15*AP27:AQ27)</f>
        <v>282856.8960975841</v>
      </c>
      <c r="AQ53" s="27"/>
      <c r="AR53" s="27">
        <f t="array" ref="AR53">Calibration!sK*SUM(AR15:AS15*AR27:AS27)</f>
        <v>213592.85870835825</v>
      </c>
      <c r="AT53" s="27">
        <f t="array" ref="AT53">Calibration!sK*SUM(AT15:AU15*AT27:AU27)</f>
        <v>143344.64632558139</v>
      </c>
      <c r="AV53" s="27">
        <f t="array" ref="AV53">Calibration!sK*SUM(AV15:AW15*AV27:AW27)</f>
        <v>72138.367080480399</v>
      </c>
      <c r="XFD53" s="27"/>
    </row>
    <row r="55" spans="1:48 16321:16384" x14ac:dyDescent="0.2">
      <c r="A55" t="s">
        <v>153</v>
      </c>
      <c r="B55" s="183">
        <f>B30/B32</f>
        <v>0.19850271905982084</v>
      </c>
      <c r="D55" s="183">
        <f>D30/D32</f>
        <v>0.20225632981326794</v>
      </c>
      <c r="F55" s="183">
        <f>F30/F32</f>
        <v>0.20612440126985396</v>
      </c>
      <c r="H55" s="183">
        <f>H30/H32</f>
        <v>0.21011956277411656</v>
      </c>
      <c r="J55" s="183">
        <f>J30/J32</f>
        <v>0.21425566926529743</v>
      </c>
      <c r="L55" s="183">
        <f>L30/L32</f>
        <v>0.21854779872458213</v>
      </c>
      <c r="N55" s="183">
        <f>N30/N32</f>
        <v>0.22301221497136667</v>
      </c>
      <c r="P55" s="183">
        <f>P30/P32</f>
        <v>0.22766610403006382</v>
      </c>
      <c r="R55" s="183">
        <f>R30/R32</f>
        <v>0.23252697338062062</v>
      </c>
      <c r="T55" s="183">
        <f>T30/T32</f>
        <v>0.2376115563139867</v>
      </c>
      <c r="V55" s="183">
        <f>V30/V32</f>
        <v>0.24293367291703949</v>
      </c>
      <c r="X55" s="183">
        <f>X30/X32</f>
        <v>0.24850066578128779</v>
      </c>
      <c r="Z55" s="183">
        <f>Z30/Z32</f>
        <v>0.25430801536904096</v>
      </c>
      <c r="AB55" s="183">
        <f>AB30/AB32</f>
        <v>0.26033232810448576</v>
      </c>
      <c r="AD55" s="183">
        <f>AD30/AD32</f>
        <v>0.26652450458720889</v>
      </c>
      <c r="AF55" s="183">
        <f>AF30/AF32</f>
        <v>0.2728067288911607</v>
      </c>
      <c r="AH55" s="183">
        <f>AH30/AH32</f>
        <v>0.27907759493808654</v>
      </c>
      <c r="AJ55" s="183">
        <f>AJ30/AJ32</f>
        <v>0.28522642931438341</v>
      </c>
      <c r="AL55" s="183">
        <f>AL30/AL32</f>
        <v>0.2911520832483534</v>
      </c>
      <c r="AN55" s="183">
        <f>AN30/AN32</f>
        <v>0.29677799633958946</v>
      </c>
      <c r="AP55" s="183">
        <f>AP30/AP32</f>
        <v>0.29786268393538057</v>
      </c>
      <c r="AR55" s="183">
        <f>AR30/AR32</f>
        <v>0.29893323610007283</v>
      </c>
      <c r="AT55" s="183">
        <f>AT30/AT32</f>
        <v>0.29998946166147056</v>
      </c>
      <c r="AV55" s="183">
        <f>AV30/AV32</f>
        <v>0.30103122136531635</v>
      </c>
      <c r="XCS55" s="183"/>
      <c r="XFD55" s="183"/>
    </row>
    <row r="56" spans="1:48 16321:16384" x14ac:dyDescent="0.2">
      <c r="A56" t="s">
        <v>154</v>
      </c>
      <c r="B56" s="183">
        <f>(Model!$C$52*B5*B20+B2*C5*C20)/B32</f>
        <v>2.9221206744340551E-2</v>
      </c>
      <c r="D56" s="183">
        <f>(Model!$C$52*D5*D20+D2*E5*E20)/D32</f>
        <v>3.3685821749907773E-2</v>
      </c>
      <c r="F56" s="183">
        <f>(Model!$C$52*F5*F20+F2*G5*G20)/F32</f>
        <v>3.8290679152795923E-2</v>
      </c>
      <c r="H56" s="183">
        <f>(Model!$C$52*H5*H20+H2*I5*I20)/H32</f>
        <v>4.3049536208556068E-2</v>
      </c>
      <c r="J56" s="183">
        <f>(Model!$C$52*J5*J20+J2*K5*K20)/J32</f>
        <v>4.7977094154153667E-2</v>
      </c>
      <c r="L56" s="183">
        <f>(Model!$C$52*L5*L20+L2*M5*M20)/L32</f>
        <v>5.30888671864276E-2</v>
      </c>
      <c r="N56" s="183">
        <f>(Model!$C$52*N5*N20+N2*O5*O20)/N32</f>
        <v>5.8400935490635894E-2</v>
      </c>
      <c r="P56" s="183">
        <f>(Model!$C$52*P5*P20+P2*Q5*Q20)/P32</f>
        <v>6.3929472353287345E-2</v>
      </c>
      <c r="R56" s="183">
        <f>(Model!$C$52*R5*R20+R2*S5*S20)/R32</f>
        <v>6.9689847980968181E-2</v>
      </c>
      <c r="T56" s="183">
        <f>(Model!$C$52*T5*T20+T2*U5*U20)/T32</f>
        <v>7.5695174566045062E-2</v>
      </c>
      <c r="V56" s="183">
        <f>(Model!$C$52*V5*V20+V2*W5*W20)/V32</f>
        <v>8.1953807432773071E-2</v>
      </c>
      <c r="X56" s="183">
        <f>(Model!$C$52*X5*X20+X2*Y5*Y20)/X32</f>
        <v>8.8465413875973439E-2</v>
      </c>
      <c r="Z56" s="183">
        <f>(Model!$C$52*Z5*Z20+Z2*AA5*AA20)/Z32</f>
        <v>9.5215359586630507E-2</v>
      </c>
      <c r="AB56" s="183">
        <f>(Model!$C$52*AB5*AB20+AB2*AC5*AC20)/AB32</f>
        <v>0.10216781541721355</v>
      </c>
      <c r="AD56" s="183">
        <f>(Model!$C$52*AD5*AD20+AD2*AE5*AE20)/AD32</f>
        <v>0.10925960946977664</v>
      </c>
      <c r="AF56" s="183">
        <f>(Model!$C$52*AF5*AF20+AF2*AG5*AG20)/AF32</f>
        <v>0.11639864534648381</v>
      </c>
      <c r="AH56" s="183">
        <f>(Model!$C$52*AH5*AH20+AH2*AI5*AI20)/AH32</f>
        <v>0.12347100748351607</v>
      </c>
      <c r="AJ56" s="183">
        <f>(Model!$C$52*AJ5*AJ20+AJ2*AK5*AK20)/AJ32</f>
        <v>0.13035721258617547</v>
      </c>
      <c r="AL56" s="183">
        <f>(Model!$C$52*AL5*AL20+AL2*AM5*AM20)/AL32</f>
        <v>0.13695205887593426</v>
      </c>
      <c r="AN56" s="183">
        <f>(Model!$C$52*AN5*AN20+AN2*AO5*AO20)/AN32</f>
        <v>0.14317949819622577</v>
      </c>
      <c r="AP56" s="183">
        <f>(Model!$C$52*AP5*AP20+AP2*AQ5*AQ20)/AP32</f>
        <v>0.14437667319079855</v>
      </c>
      <c r="AR56" s="183">
        <f>(Model!$C$52*AR5*AR20+AR2*AS5*AS20)/AR32</f>
        <v>0.14555720164740196</v>
      </c>
      <c r="AT56" s="183">
        <f>(Model!$C$52*AT5*AT20+AT2*AU5*AU20)/AT32</f>
        <v>0.14672093844063322</v>
      </c>
      <c r="AV56" s="183">
        <f>(Model!$C$52*AV5*AV20+AV2*AW5*AW20)/AV32</f>
        <v>0.14786779355263829</v>
      </c>
      <c r="XFD56" s="183"/>
    </row>
    <row r="57" spans="1:48 16321:16384" x14ac:dyDescent="0.2">
      <c r="A57" t="s">
        <v>155</v>
      </c>
      <c r="B57" s="183">
        <f t="array" ref="B57">SUM(Model!tauL*B13:C13*B26:C26)/B32</f>
        <v>0.15852881819439493</v>
      </c>
      <c r="D57" s="183">
        <f t="array" ref="D57">SUM(Model!tauL*D13:E13*D26:E26)/D32</f>
        <v>0.15789339998378843</v>
      </c>
      <c r="F57" s="183">
        <f t="array" ref="F57">SUM(Model!tauL*F13:G13*F26:G26)/F32</f>
        <v>0.15723326948024852</v>
      </c>
      <c r="H57" s="183">
        <f t="array" ref="H57">SUM(Model!tauL*H13:I13*H26:I26)/H32</f>
        <v>0.1565474725677744</v>
      </c>
      <c r="J57" s="183">
        <f t="array" ref="J57">SUM(Model!tauL*J13:K13*J26:K26)/J32</f>
        <v>0.15583534641940194</v>
      </c>
      <c r="L57" s="183">
        <f t="array" ref="L57">SUM(Model!tauL*L13:M13*L26:M26)/L32</f>
        <v>0.15509664292869563</v>
      </c>
      <c r="N57" s="183">
        <f t="array" ref="N57">SUM(Model!tauL*N13:O13*N26:O26)/N32</f>
        <v>0.15433171949426222</v>
      </c>
      <c r="P57" s="183">
        <f t="array" ref="P57">SUM(Model!tauL*P13:Q13*P26:Q26)/P32</f>
        <v>0.15354173115665812</v>
      </c>
      <c r="R57" s="183">
        <f t="array" ref="R57">SUM(Model!tauL*R13:S13*R26:S26)/R32</f>
        <v>0.15272889105125889</v>
      </c>
      <c r="T57" s="183">
        <f t="array" ref="T57">SUM(Model!tauL*T13:U13*T26:U26)/T32</f>
        <v>0.15189678151850225</v>
      </c>
      <c r="V57" s="183">
        <f t="array" ref="V57">SUM(Model!tauL*V13:W13*V26:W26)/V32</f>
        <v>0.15105064971803453</v>
      </c>
      <c r="X57" s="183">
        <f t="array" ref="X57">SUM(Model!tauL*X13:Y13*X26:Y26)/X32</f>
        <v>0.15019769961548354</v>
      </c>
      <c r="Y57" s="183"/>
      <c r="Z57" s="183">
        <f t="array" ref="Z57">SUM(Model!tauL*Z13:AA13*Z26:AA26)/Z32</f>
        <v>0.14934724424820844</v>
      </c>
      <c r="AB57" s="183">
        <f t="array" ref="AB57">SUM(Model!tauL*AB13:AC13*AB26:AC26)/AB32</f>
        <v>0.14851054936346447</v>
      </c>
      <c r="AD57" s="183">
        <f t="array" ref="AD57">SUM(Model!tauL*AD13:AE13*AD26:AE26)/AD32</f>
        <v>0.14770018689606509</v>
      </c>
      <c r="AF57" s="183">
        <f t="array" ref="AF57">SUM(Model!tauL*AF13:AG13*AF26:AG26)/AF32</f>
        <v>0.14692876567808361</v>
      </c>
      <c r="AH57" s="183">
        <f t="array" ref="AH57">SUM(Model!tauL*AH13:AI13*AH26:AI26)/AH32</f>
        <v>0.14620721957797916</v>
      </c>
      <c r="AJ57" s="183">
        <f t="array" ref="AJ57">SUM(Model!tauL*AJ13:AK13*AJ26:AK26)/AJ32</f>
        <v>0.14554317093960945</v>
      </c>
      <c r="AL57" s="183">
        <f t="array" ref="AL57">SUM(Model!tauL*AL13:AM13*AL26:AM26)/AL32</f>
        <v>0.14494005751550079</v>
      </c>
      <c r="AN57" s="183">
        <f t="array" ref="AN57">SUM(Model!tauL*AN13:AO13*AN26:AO26)/AN32</f>
        <v>0.14439733126546458</v>
      </c>
      <c r="AP57" s="183">
        <f t="array" ref="AP57">SUM(Model!tauL*AP13:AQ13*AP26:AQ26)/AP32</f>
        <v>0.1442957600340827</v>
      </c>
      <c r="AR57" s="183">
        <f t="array" ref="AR57">SUM(Model!tauL*AR13:AS13*AR26:AS26)/AR32</f>
        <v>0.14419642919946496</v>
      </c>
      <c r="AT57" s="183">
        <f t="array" ref="AT57">SUM(Model!tauL*AT13:AU13*AT26:AU26)/AT32</f>
        <v>0.14409929801983212</v>
      </c>
      <c r="AV57" s="183">
        <f t="array" ref="AV57">SUM(Model!tauL*AV13:AW13*AV26:AW26)/AV32</f>
        <v>0.14400432285820947</v>
      </c>
      <c r="XFD57" s="183"/>
    </row>
    <row r="58" spans="1:48 16321:16384" x14ac:dyDescent="0.2">
      <c r="A58" t="s">
        <v>156</v>
      </c>
      <c r="B58" s="183">
        <f t="array" ref="B58">SUM(Model!tauY/(1+Model!tauY)*B3:C3*B18:C18)/B32</f>
        <v>1.075269412108535E-2</v>
      </c>
      <c r="D58" s="183">
        <f t="array" ref="D58">SUM(Model!tauY/(1+Model!tauY)*D3:E3*D18:E18)/D32</f>
        <v>1.0677108079571734E-2</v>
      </c>
      <c r="F58" s="183">
        <f t="array" ref="F58">SUM(Model!tauY/(1+Model!tauY)*F3:G3*F18:G18)/F32</f>
        <v>1.0600452636809487E-2</v>
      </c>
      <c r="H58" s="183">
        <f t="array" ref="H58">SUM(Model!tauY/(1+Model!tauY)*H3:I3*H18:I18)/H32</f>
        <v>1.0522553997786087E-2</v>
      </c>
      <c r="J58" s="183">
        <f t="array" ref="J58">SUM(Model!tauY/(1+Model!tauY)*J3:K3*J18:K18)/J32</f>
        <v>1.0443228691741855E-2</v>
      </c>
      <c r="L58" s="183">
        <f t="array" ref="L58">SUM(Model!tauY/(1+Model!tauY)*L3:M3*L18:M18)/L32</f>
        <v>1.0362288609458908E-2</v>
      </c>
      <c r="N58" s="183">
        <f t="array" ref="N58">SUM(Model!tauY/(1+Model!tauY)*N3:O3*N18:O18)/N32</f>
        <v>1.0279559986468541E-2</v>
      </c>
      <c r="P58" s="183">
        <f t="array" ref="P58">SUM(Model!tauY/(1+Model!tauY)*P3:Q3*P18:Q18)/P32</f>
        <v>1.0194900520118339E-2</v>
      </c>
      <c r="R58" s="183">
        <f t="array" ref="R58">SUM(Model!tauY/(1+Model!tauY)*R3:S3*R18:S18)/R32</f>
        <v>1.0108234348393528E-2</v>
      </c>
      <c r="T58" s="183">
        <f t="array" ref="T58">SUM(Model!tauY/(1+Model!tauY)*T3:U3*T18:U18)/T32</f>
        <v>1.0019600229439365E-2</v>
      </c>
      <c r="V58" s="183">
        <f t="array" ref="V58">SUM(Model!tauY/(1+Model!tauY)*V3:W3*V18:W18)/V32</f>
        <v>9.9292157662319112E-3</v>
      </c>
      <c r="X58" s="183">
        <f t="array" ref="X58">SUM(Model!tauY/(1+Model!tauY)*X3:Y3*X18:Y18)/X32</f>
        <v>9.837552289830789E-3</v>
      </c>
      <c r="Y58" s="183"/>
      <c r="Z58" s="183">
        <f t="array" ref="Z58">SUM(Model!tauY/(1+Model!tauY)*Z3:AA3*Z18:AA18)/Z32</f>
        <v>9.7454115342019889E-3</v>
      </c>
      <c r="AB58" s="183">
        <f t="array" ref="AB58">SUM(Model!tauY/(1+Model!tauY)*AB3:AC3*AB18:AC18)/AB32</f>
        <v>9.6539633238077339E-3</v>
      </c>
      <c r="AD58" s="183">
        <f t="array" ref="AD58">SUM(Model!tauY/(1+Model!tauY)*AD3:AE3*AD18:AE18)/AD32</f>
        <v>9.564708221367171E-3</v>
      </c>
      <c r="AF58" s="183">
        <f t="array" ref="AF58">SUM(Model!tauY/(1+Model!tauY)*AF3:AG3*AF18:AG18)/AF32</f>
        <v>9.4793178665932582E-3</v>
      </c>
      <c r="AH58" s="183">
        <f t="array" ref="AH58">SUM(Model!tauY/(1+Model!tauY)*AH3:AI3*AH18:AI18)/AH32</f>
        <v>9.3993678765912567E-3</v>
      </c>
      <c r="AJ58" s="183">
        <f t="array" ref="AJ58">SUM(Model!tauY/(1+Model!tauY)*AJ3:AK3*AJ18:AK18)/AJ32</f>
        <v>9.3260457885985127E-3</v>
      </c>
      <c r="AL58" s="183">
        <f t="array" ref="AL58">SUM(Model!tauY/(1+Model!tauY)*AL3:AM3*AL18:AM18)/AL32</f>
        <v>9.2599668569183537E-3</v>
      </c>
      <c r="AN58" s="183">
        <f t="array" ref="AN58">SUM(Model!tauY/(1+Model!tauY)*AN3:AO3*AN18:AO18)/AN32</f>
        <v>9.2011668778990766E-3</v>
      </c>
      <c r="AP58" s="183">
        <f t="array" ref="AP58">SUM(Model!tauY/(1+Model!tauY)*AP3:AQ3*AP18:AQ18)/AP32</f>
        <v>9.1902507104993682E-3</v>
      </c>
      <c r="AR58" s="183">
        <f t="array" ref="AR58">SUM(Model!tauY/(1+Model!tauY)*AR3:AS3*AR18:AS18)/AR32</f>
        <v>9.1796052532059393E-3</v>
      </c>
      <c r="AT58" s="183">
        <f t="array" ref="AT58">SUM(Model!tauY/(1+Model!tauY)*AT3:AU3*AT18:AU18)/AT32</f>
        <v>9.1692252010051895E-3</v>
      </c>
      <c r="AV58" s="183">
        <f t="array" ref="AV58">SUM(Model!tauY/(1+Model!tauY)*AV3:AW3*AV18:AW18)/AV32</f>
        <v>9.1591049544685488E-3</v>
      </c>
      <c r="XFD58" s="183"/>
    </row>
    <row r="59" spans="1:48 16321:16384" x14ac:dyDescent="0.2">
      <c r="A59" t="s">
        <v>157</v>
      </c>
      <c r="B59" s="183">
        <f>(B2*C5*C20)/B32</f>
        <v>5.5174232040962052E-4</v>
      </c>
      <c r="D59" s="183">
        <f>(D2*E5*E20)/D32</f>
        <v>5.0787422747931533E-3</v>
      </c>
      <c r="F59" s="183">
        <f>(F2*G5*G20)/F32</f>
        <v>9.7480259833205678E-3</v>
      </c>
      <c r="H59" s="183">
        <f>(H2*I5*I20)/H32</f>
        <v>1.4573552684905799E-2</v>
      </c>
      <c r="J59" s="183">
        <f>(J2*K5*K20)/J32</f>
        <v>1.9570237539339723E-2</v>
      </c>
      <c r="L59" s="183">
        <f>(L2*M5*M20)/L32</f>
        <v>2.475381864446749E-2</v>
      </c>
      <c r="N59" s="183">
        <f>(N2*O5*O20)/N32</f>
        <v>3.0140602401055039E-2</v>
      </c>
      <c r="P59" s="183">
        <f>(P2*Q5*Q20)/P32</f>
        <v>3.5746983134687417E-2</v>
      </c>
      <c r="R59" s="183">
        <f>(R2*S5*S20)/R32</f>
        <v>4.1588530296555216E-2</v>
      </c>
      <c r="T59" s="183">
        <f>(T2*U5*U20)/T32</f>
        <v>4.7678507685853418E-2</v>
      </c>
      <c r="V59" s="183">
        <f>(V2*W5*W20)/V32</f>
        <v>5.402533432475725E-2</v>
      </c>
      <c r="X59" s="183">
        <f>(X2*Y5*Y20)/X32</f>
        <v>6.0628593445854799E-2</v>
      </c>
      <c r="Z59" s="183">
        <f>(Z2*AA5*AA20)/Z32</f>
        <v>6.7473336772349082E-2</v>
      </c>
      <c r="AB59" s="183">
        <f>(AB2*AC5*AC20)/AB32</f>
        <v>7.4523099808636986E-2</v>
      </c>
      <c r="AD59" s="183">
        <f>(AD2*AE5*AE20)/AD32</f>
        <v>8.1713681380350414E-2</v>
      </c>
      <c r="AF59" s="183">
        <f>(AF2*AG5*AG20)/AF32</f>
        <v>8.8951565488308862E-2</v>
      </c>
      <c r="AH59" s="183">
        <f>(AH2*AI5*AI20)/AH32</f>
        <v>9.6121155885752582E-2</v>
      </c>
      <c r="AJ59" s="183">
        <f>(AJ2*AK5*AK20)/AJ32</f>
        <v>0.10310127776857719</v>
      </c>
      <c r="AL59" s="183">
        <f>(AL2*AM5*AM20)/AL32</f>
        <v>0.10978530691975492</v>
      </c>
      <c r="AN59" s="183">
        <f>(AN2*AO5*AO20)/AN32</f>
        <v>0.11609623261443114</v>
      </c>
      <c r="AP59" s="183">
        <f>(AP2*AQ5*AQ20)/AP32</f>
        <v>0.11730937213658603</v>
      </c>
      <c r="AR59" s="183">
        <f>(AR2*AS5*AS20)/AR32</f>
        <v>0.11850561601913319</v>
      </c>
      <c r="AT59" s="183">
        <f>(AT2*AU5*AU20)/AT32</f>
        <v>0.11968481855319106</v>
      </c>
      <c r="AV59" s="183">
        <f>(AV2*AW5*AW20)/AV32</f>
        <v>0.12084688964365471</v>
      </c>
      <c r="XFD59" s="183"/>
    </row>
    <row r="60" spans="1:48 16321:16384" x14ac:dyDescent="0.2">
      <c r="A60" t="s">
        <v>158</v>
      </c>
      <c r="B60" s="183">
        <f>Model!$C$52*B5*B20/B32</f>
        <v>2.8669464423930927E-2</v>
      </c>
      <c r="D60" s="183">
        <f>Model!$C$52*D5*D20/D32</f>
        <v>2.8607079475114622E-2</v>
      </c>
      <c r="F60" s="183">
        <f>Model!$C$52*F5*F20/F32</f>
        <v>2.8542653169475355E-2</v>
      </c>
      <c r="H60" s="183">
        <f>Model!$C$52*H5*H20/H32</f>
        <v>2.8475983523650269E-2</v>
      </c>
      <c r="J60" s="183">
        <f>Model!$C$52*J5*J20/J32</f>
        <v>2.8406856614813937E-2</v>
      </c>
      <c r="L60" s="183">
        <f>Model!$C$52*L5*L20/L32</f>
        <v>2.833504854196011E-2</v>
      </c>
      <c r="N60" s="183">
        <f>Model!$C$52*N5*N20/N32</f>
        <v>2.8260333089580862E-2</v>
      </c>
      <c r="P60" s="183">
        <f>Model!$C$52*P5*P20/P32</f>
        <v>2.8182489218599938E-2</v>
      </c>
      <c r="R60" s="183">
        <f>Model!$C$52*R5*R20/R32</f>
        <v>2.8101317684412961E-2</v>
      </c>
      <c r="T60" s="183">
        <f>Model!$C$52*T5*T20/T32</f>
        <v>2.8016666880191644E-2</v>
      </c>
      <c r="V60" s="183">
        <f>Model!$C$52*V5*V20/V32</f>
        <v>2.7928473108015821E-2</v>
      </c>
      <c r="X60" s="183">
        <f>Model!$C$52*X5*X20/X32</f>
        <v>2.783682043011863E-2</v>
      </c>
      <c r="Z60" s="183">
        <f>Model!$C$52*Z5*Z20/Z32</f>
        <v>2.7742022814281432E-2</v>
      </c>
      <c r="AB60" s="183">
        <f>Model!$C$52*AB5*AB20/AB32</f>
        <v>2.7644715608576568E-2</v>
      </c>
      <c r="AD60" s="183">
        <f>Model!$C$52*AD5*AD20/AD32</f>
        <v>2.7545928089426228E-2</v>
      </c>
      <c r="AF60" s="183">
        <f>Model!$C$52*AF5*AF20/AF32</f>
        <v>2.7447079858174961E-2</v>
      </c>
      <c r="AH60" s="183">
        <f>Model!$C$52*AH5*AH20/AH32</f>
        <v>2.73498515977635E-2</v>
      </c>
      <c r="AJ60" s="183">
        <f>Model!$C$52*AJ5*AJ20/AJ32</f>
        <v>2.7255934817598259E-2</v>
      </c>
      <c r="AL60" s="183">
        <f>Model!$C$52*AL5*AL20/AL32</f>
        <v>2.7166751956179326E-2</v>
      </c>
      <c r="AN60" s="183">
        <f>Model!$C$52*AN5*AN20/AN32</f>
        <v>2.7083265581794622E-2</v>
      </c>
      <c r="AP60" s="183">
        <f>Model!$C$52*AP5*AP20/AP32</f>
        <v>2.7067301054212536E-2</v>
      </c>
      <c r="AR60" s="183">
        <f>Model!$C$52*AR5*AR20/AR32</f>
        <v>2.7051585628268787E-2</v>
      </c>
      <c r="AT60" s="183">
        <f>Model!$C$52*AT5*AT20/AT32</f>
        <v>2.7036119887442145E-2</v>
      </c>
      <c r="AV60" s="183">
        <f>Model!$C$52*AV5*AV20/AV32</f>
        <v>2.7020903908983596E-2</v>
      </c>
      <c r="XFD60" s="183"/>
    </row>
    <row r="62" spans="1:48 16321:16384" x14ac:dyDescent="0.2">
      <c r="A62" t="s">
        <v>159</v>
      </c>
      <c r="B62">
        <f>B13/B15</f>
        <v>1</v>
      </c>
      <c r="D62">
        <f>D13/D15</f>
        <v>0.99940080597574521</v>
      </c>
      <c r="F62">
        <f>F13/F15</f>
        <v>0.9987843423181002</v>
      </c>
      <c r="H62">
        <f>H13/H15</f>
        <v>0.99817745561860194</v>
      </c>
      <c r="J62">
        <f>J13/J15</f>
        <v>0.99761695148564877</v>
      </c>
      <c r="L62">
        <f>L13/L15</f>
        <v>0.99715241890112516</v>
      </c>
      <c r="N62">
        <f>N13/N15</f>
        <v>0.99684980459797323</v>
      </c>
      <c r="P62">
        <f>P13/P15</f>
        <v>0.99679521794842818</v>
      </c>
      <c r="R62">
        <f>R13/R15</f>
        <v>0.99709890311481608</v>
      </c>
      <c r="T62">
        <f>T13/T15</f>
        <v>0.99789877551089423</v>
      </c>
      <c r="V62">
        <f>V13/V15</f>
        <v>0.99936078790286909</v>
      </c>
      <c r="X62">
        <f>X13/X15</f>
        <v>1.0016745086842145</v>
      </c>
      <c r="Z62">
        <f>Z13/Z15</f>
        <v>1.0050390829417757</v>
      </c>
      <c r="AB62">
        <f>AB13/AB15</f>
        <v>1.009636265743739</v>
      </c>
      <c r="AD62">
        <f>AD13/AD15</f>
        <v>1.015590686295555</v>
      </c>
      <c r="AF62">
        <f>AF13/AF15</f>
        <v>1.0229266293920136</v>
      </c>
      <c r="AH62">
        <f>AH13/AH15</f>
        <v>1.0315405050501922</v>
      </c>
      <c r="AJ62">
        <f>AJ13/AJ15</f>
        <v>1.0412080987213661</v>
      </c>
      <c r="AL62">
        <f>AL13/AL15</f>
        <v>1.0516286032092073</v>
      </c>
      <c r="AN62">
        <f>AN13/AN15</f>
        <v>1.0624852713880508</v>
      </c>
      <c r="AP62">
        <f>AP13/AP15</f>
        <v>1.0646831330291571</v>
      </c>
      <c r="AR62">
        <f>AR13/AR15</f>
        <v>1.0668849672916121</v>
      </c>
      <c r="AT62">
        <f>AT13/AT15</f>
        <v>1.0690888954878779</v>
      </c>
      <c r="AV62">
        <f>AV13/AV15</f>
        <v>1.0712931489634332</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0.99846232966011772</v>
      </c>
      <c r="E65" s="181"/>
      <c r="F65" s="181">
        <f t="array" ref="F65">SQRT((F9:G9*$B$22:$C$22+F10:G10*$B$23:$C$23+F11:G11*$B$24:$C$24+F4:G4*($B$25:$C$25-$B$19:$C$19))/($B$9:$C$9*$B$22:$C$22+$B$10:$C$10*$B$23:$C$23+$B$11:$C$11*$B$24:$C$24+$B$4:$C$4*($B$25:$C$25-$B$19:$C$19))*(F9:G9*F22:G22+F10:G10*F23:G23+F11:G11*F24:G24+F4:G4*(F25:G25-F19:G19))/($B$9:$C$9*F22:G22+$B$10:$C$10*F23:G23+$B$11:$C$11*F24:G24+$B$4:$C$4*(F25:G25-F19:G19)))</f>
        <v>0.99687763891865433</v>
      </c>
      <c r="G65" s="181"/>
      <c r="H65" s="181">
        <f t="array" ref="H65">SQRT((H9:I9*$B$22:$C$22+H10:I10*$B$23:$C$23+H11:I11*$B$24:$C$24+H4:I4*($B$25:$C$25-$B$19:$C$19))/($B$9:$C$9*$B$22:$C$22+$B$10:$C$10*$B$23:$C$23+$B$11:$C$11*$B$24:$C$24+$B$4:$C$4*($B$25:$C$25-$B$19:$C$19))*(H9:I9*H22:I22+H10:I10*H23:I23+H11:I11*H24:I24+H4:I4*(H25:I25-H19:I19))/($B$9:$C$9*H22:I22+$B$10:$C$10*H23:I23+$B$11:$C$11*H24:I24+$B$4:$C$4*(H25:I25-H19:I19)))</f>
        <v>0.99524056403375871</v>
      </c>
      <c r="I65" s="181"/>
      <c r="J65" s="181">
        <f t="array" ref="J65">SQRT((J9:K9*$B$22:$C$22+J10:K10*$B$23:$C$23+J11:K11*$B$24:$C$24+J4:K4*($B$25:$C$25-$B$19:$C$19))/($B$9:$C$9*$B$22:$C$22+$B$10:$C$10*$B$23:$C$23+$B$11:$C$11*$B$24:$C$24+$B$4:$C$4*($B$25:$C$25-$B$19:$C$19))*(J9:K9*J22:K22+J10:K10*J23:K23+J11:K11*J24:K24+J4:K4*(J25:K25-J19:K19))/($B$9:$C$9*J22:K22+$B$10:$C$10*J23:K23+$B$11:$C$11*J24:K24+$B$4:$C$4*(J25:K25-J19:K19)))</f>
        <v>0.99354590881719751</v>
      </c>
      <c r="K65" s="181"/>
      <c r="L65" s="181">
        <f t="array" ref="L65">SQRT((L9:M9*$B$22:$C$22+L10:M10*$B$23:$C$23+L11:M11*$B$24:$C$24+L4:M4*($B$25:$C$25-$B$19:$C$19))/($B$9:$C$9*$B$22:$C$22+$B$10:$C$10*$B$23:$C$23+$B$11:$C$11*$B$24:$C$24+$B$4:$C$4*($B$25:$C$25-$B$19:$C$19))*(L9:M9*L22:M22+L10:M10*L23:M23+L11:M11*L24:M24+L4:M4*(L25:M25-L19:M19))/($B$9:$C$9*L22:M22+$B$10:$C$10*L23:M23+$B$11:$C$11*L24:M24+$B$4:$C$4*(L25:M25-L19:M19)))</f>
        <v>0.99178915000870871</v>
      </c>
      <c r="M65" s="181"/>
      <c r="N65" s="181">
        <f t="array" ref="N65">SQRT((N9:O9*$B$22:$C$22+N10:O10*$B$23:$C$23+N11:O11*$B$24:$C$24+N4:O4*($B$25:$C$25-$B$19:$C$19))/($B$9:$C$9*$B$22:$C$22+$B$10:$C$10*$B$23:$C$23+$B$11:$C$11*$B$24:$C$24+$B$4:$C$4*($B$25:$C$25-$B$19:$C$19))*(N9:O9*N22:O22+N10:O10*N23:O23+N11:O11*N24:O24+N4:O4*(N25:O25-N19:O19))/($B$9:$C$9*N22:O22+$B$10:$C$10*N23:O23+$B$11:$C$11*N24:O24+$B$4:$C$4*(N25:O25-N19:O19)))</f>
        <v>0.98996723985937074</v>
      </c>
      <c r="O65" s="181"/>
      <c r="P65" s="181">
        <f t="array" ref="P65">SQRT((P9:Q9*$B$22:$C$22+P10:Q10*$B$23:$C$23+P11:Q11*$B$24:$C$24+P4:Q4*($B$25:$C$25-$B$19:$C$19))/($B$9:$C$9*$B$22:$C$22+$B$10:$C$10*$B$23:$C$23+$B$11:$C$11*$B$24:$C$24+$B$4:$C$4*($B$25:$C$25-$B$19:$C$19))*(P9:Q9*P22:Q22+P10:Q10*P23:Q23+P11:Q11*P24:Q24+P4:Q4*(P25:Q25-P19:Q19))/($B$9:$C$9*P22:Q22+$B$10:$C$10*P23:Q23+$B$11:$C$11*P24:Q24+$B$4:$C$4*(P25:Q25-P19:Q19)))</f>
        <v>0.9880797309168643</v>
      </c>
      <c r="Q65" s="181"/>
      <c r="R65" s="181">
        <f t="array" ref="R65">SQRT((R9:S9*$B$22:$C$22+R10:S10*$B$23:$C$23+R11:S11*$B$24:$C$24+R4:S4*($B$25:$C$25-$B$19:$C$19))/($B$9:$C$9*$B$22:$C$22+$B$10:$C$10*$B$23:$C$23+$B$11:$C$11*$B$24:$C$24+$B$4:$C$4*($B$25:$C$25-$B$19:$C$19))*(R9:S9*R22:S22+R10:S10*R23:S23+R11:S11*R24:S24+R4:S4*(R25:S25-R19:S19))/($B$9:$C$9*R22:S22+$B$10:$C$10*R23:S23+$B$11:$C$11*R24:S24+$B$4:$C$4*(R25:S25-R19:S19)))</f>
        <v>0.98613035328101062</v>
      </c>
      <c r="S65" s="181"/>
      <c r="T65" s="181">
        <f t="array" ref="T65">SQRT((T9:U9*$B$22:$C$22+T10:U10*$B$23:$C$23+T11:U11*$B$24:$C$24+T4:U4*($B$25:$C$25-$B$19:$C$19))/($B$9:$C$9*$B$22:$C$22+$B$10:$C$10*$B$23:$C$23+$B$11:$C$11*$B$24:$C$24+$B$4:$C$4*($B$25:$C$25-$B$19:$C$19))*(T9:U9*T22:U22+T10:U10*T23:U23+T11:U11*T24:U24+T4:U4*(T25:U25-T19:U19))/($B$9:$C$9*T22:U22+$B$10:$C$10*T23:U23+$B$11:$C$11*T24:U24+$B$4:$C$4*(T25:U25-T19:U19)))</f>
        <v>0.98412906324311955</v>
      </c>
      <c r="U65" s="181"/>
      <c r="V65" s="181">
        <f t="array" ref="V65">SQRT((V9:W9*$B$22:$C$22+V10:W10*$B$23:$C$23+V11:W11*$B$24:$C$24+V4:W4*($B$25:$C$25-$B$19:$C$19))/($B$9:$C$9*$B$22:$C$22+$B$10:$C$10*$B$23:$C$23+$B$11:$C$11*$B$24:$C$24+$B$4:$C$4*($B$25:$C$25-$B$19:$C$19))*(V9:W9*V22:W22+V10:W10*V23:W23+V11:W11*V24:W24+V4:W4*(V25:W25-V19:W19))/($B$9:$C$9*V22:W22+$B$10:$C$10*V23:W23+$B$11:$C$11*V24:W24+$B$4:$C$4*(V25:W25-V19:W19)))</f>
        <v>0.98209436922771831</v>
      </c>
      <c r="W65" s="181"/>
      <c r="X65" s="181">
        <f t="array" ref="X65">SQRT((X9:Y9*$B$22:$C$22+X10:Y10*$B$23:$C$23+X11:Y11*$B$24:$C$24+X4:Y4*($B$25:$C$25-$B$19:$C$19))/($B$9:$C$9*$B$22:$C$22+$B$10:$C$10*$B$23:$C$23+$B$11:$C$11*$B$24:$C$24+$B$4:$C$4*($B$25:$C$25-$B$19:$C$19))*(X9:Y9*X22:Y22+X10:Y10*X23:Y23+X11:Y11*X24:Y24+X4:Y4*(X25:Y25-X19:Y19))/($B$9:$C$9*X22:Y22+$B$10:$C$10*X23:Y23+$B$11:$C$11*X24:Y24+$B$4:$C$4*(X25:Y25-X19:Y19)))</f>
        <v>0.98005559249992358</v>
      </c>
      <c r="Y65" s="181"/>
      <c r="Z65" s="181">
        <f t="array" ref="Z65">SQRT((Z9:AA9*$B$22:$C$22+Z10:AA10*$B$23:$C$23+Z11:AA11*$B$24:$C$24+Z4:AA4*($B$25:$C$25-$B$19:$C$19))/($B$9:$C$9*$B$22:$C$22+$B$10:$C$10*$B$23:$C$23+$B$11:$C$11*$B$24:$C$24+$B$4:$C$4*($B$25:$C$25-$B$19:$C$19))*(Z9:AA9*Z22:AA22+Z10:AA10*Z23:AA23+Z11:AA11*Z24:AA24+Z4:AA4*(Z25:AA25-Z19:AA19))/($B$9:$C$9*Z22:AA22+$B$10:$C$10*Z23:AA23+$B$11:$C$11*Z24:AA24+$B$4:$C$4*(Z25:AA25-Z19:AA19)))</f>
        <v>0.97805407354936869</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0.97614193732427701</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0.97437688333406758</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0.97281274261327511</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0.97148818884255128</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0.97041853590895044</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0.9695947093344468</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0.96898932386958203</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0.9688913075057014</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0.96880026191129676</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0.96871587899037215</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0.96863785358065635</v>
      </c>
    </row>
    <row r="66" spans="1:48 16384:16384" x14ac:dyDescent="0.2">
      <c r="A66" t="s">
        <v>166</v>
      </c>
      <c r="B66" s="181">
        <f t="array" ref="B66">SQRT((B9:C9*$B$22:$C$22)/($B$9:$C$9*$B$22:$C$22)*(B9:C9*B22:C22)/($B$9:$C$9*B22:C22))</f>
        <v>1</v>
      </c>
      <c r="C66" s="181"/>
      <c r="D66" s="181">
        <f t="array" ref="D66">SQRT((D9:E9*$B$22:$C$22)/($B$9:$C$9*$B$22:$C$22)*(D9:E9*D22:E22)/($B$9:$C$9*D22:E22))</f>
        <v>0.99830904160797662</v>
      </c>
      <c r="E66" s="181"/>
      <c r="F66" s="181">
        <f t="array" ref="F66">SQRT((F9:G9*$B$22:$C$22)/($B$9:$C$9*$B$22:$C$22)*(F9:G9*F22:G22)/($B$9:$C$9*F22:G22))</f>
        <v>0.99656422664360489</v>
      </c>
      <c r="G66" s="181"/>
      <c r="H66" s="181">
        <f t="array" ref="H66">SQRT((H9:I9*$B$22:$C$22)/($B$9:$C$9*$B$22:$C$22)*(H9:I9*H22:I22)/($B$9:$C$9*H22:I22))</f>
        <v>0.99475942418589924</v>
      </c>
      <c r="I66" s="181"/>
      <c r="J66" s="181">
        <f t="array" ref="J66">SQRT((J9:K9*$B$22:$C$22)/($B$9:$C$9*$B$22:$C$22)*(J9:K9*J22:K22)/($B$9:$C$9*J22:K22))</f>
        <v>0.99288864587898507</v>
      </c>
      <c r="K66" s="181"/>
      <c r="L66" s="181">
        <f t="array" ref="L66">SQRT((L9:M9*$B$22:$C$22)/($B$9:$C$9*$B$22:$C$22)*(L9:M9*L22:M22)/($B$9:$C$9*L22:M22))</f>
        <v>0.99094660264459544</v>
      </c>
      <c r="M66" s="181"/>
      <c r="N66" s="181">
        <f t="array" ref="N66">SQRT((N9:O9*$B$22:$C$22)/($B$9:$C$9*$B$22:$C$22)*(N9:O9*N22:O22)/($B$9:$C$9*N22:O22))</f>
        <v>0.98892959552390436</v>
      </c>
      <c r="O66" s="181"/>
      <c r="P66" s="181">
        <f t="array" ref="P66">SQRT((P9:Q9*$B$22:$C$22)/($B$9:$C$9*$B$22:$C$22)*(P9:Q9*P22:Q22)/($B$9:$C$9*P22:Q22))</f>
        <v>0.98683677296192607</v>
      </c>
      <c r="Q66" s="181"/>
      <c r="R66" s="181">
        <f t="array" ref="R66">SQRT((R9:S9*$B$22:$C$22)/($B$9:$C$9*$B$22:$C$22)*(R9:S9*R22:S22)/($B$9:$C$9*R22:S22))</f>
        <v>0.98467190482779043</v>
      </c>
      <c r="S66" s="181"/>
      <c r="T66" s="181">
        <f t="array" ref="T66">SQRT((T9:U9*$B$22:$C$22)/($B$9:$C$9*$B$22:$C$22)*(T9:U9*T22:U22)/($B$9:$C$9*T22:U22))</f>
        <v>0.9824457023221066</v>
      </c>
      <c r="U66" s="181"/>
      <c r="V66" s="181">
        <f t="array" ref="V66">SQRT((V9:W9*$B$22:$C$22)/($B$9:$C$9*$B$22:$C$22)*(V9:W9*V22:W22)/($B$9:$C$9*V22:W22))</f>
        <v>0.98017847548019033</v>
      </c>
      <c r="W66" s="181"/>
      <c r="X66" s="181">
        <f t="array" ref="X66">SQRT((X9:Y9*$B$22:$C$22)/($B$9:$C$9*$B$22:$C$22)*(X9:Y9*X22:Y22)/($B$9:$C$9*X22:Y22))</f>
        <v>0.97790275023623585</v>
      </c>
      <c r="Y66" s="181"/>
      <c r="Z66" s="181">
        <f t="array" ref="Z66">SQRT((Z9:AA9*$B$22:$C$22)/($B$9:$C$9*$B$22:$C$22)*(Z9:AA9*Z22:AA22)/($B$9:$C$9*Z22:AA22))</f>
        <v>0.97566473325967806</v>
      </c>
      <c r="AA66" s="181"/>
      <c r="AB66" s="181">
        <f t="array" ref="AB66">SQRT((AB9:AC9*$B$22:$C$22)/($B$9:$C$9*$B$22:$C$22)*(AB9:AC9*AB22:AC22)/($B$9:$C$9*AB22:AC22))</f>
        <v>0.97352304484172736</v>
      </c>
      <c r="AC66" s="181"/>
      <c r="AD66" s="181">
        <f t="array" ref="AD66">SQRT((AD9:AE9*$B$22:$C$22)/($B$9:$C$9*$B$22:$C$22)*(AD9:AE9*AD22:AE22)/($B$9:$C$9*AD22:AE22))</f>
        <v>0.97154294768038296</v>
      </c>
      <c r="AE66" s="181"/>
      <c r="AF66" s="181">
        <f t="array" ref="AF66">SQRT((AF9:AG9*$B$22:$C$22)/($B$9:$C$9*$B$22:$C$22)*(AF9:AG9*AF22:AG22)/($B$9:$C$9*AF22:AG22))</f>
        <v>0.96978571933505076</v>
      </c>
      <c r="AG66" s="181"/>
      <c r="AH66" s="181">
        <f t="array" ref="AH66">SQRT((AH9:AI9*$B$22:$C$22)/($B$9:$C$9*$B$22:$C$22)*(AH9:AI9*AH22:AI22)/($B$9:$C$9*AH22:AI22))</f>
        <v>0.96829582036078043</v>
      </c>
      <c r="AI66" s="181"/>
      <c r="AJ66" s="181">
        <f t="array" ref="AJ66">SQRT((AJ9:AK9*$B$22:$C$22)/($B$9:$C$9*$B$22:$C$22)*(AJ9:AK9*AJ22:AK22)/($B$9:$C$9*AJ22:AK22))</f>
        <v>0.96709144896208743</v>
      </c>
      <c r="AK66" s="181"/>
      <c r="AL66" s="181">
        <f t="array" ref="AL66">SQRT((AL9:AM9*$B$22:$C$22)/($B$9:$C$9*$B$22:$C$22)*(AL9:AM9*AL22:AM22)/($B$9:$C$9*AL22:AM22))</f>
        <v>0.96616318510402743</v>
      </c>
      <c r="AM66" s="181"/>
      <c r="AN66" s="181">
        <f t="array" ref="AN66">SQRT((AN9:AO9*$B$22:$C$22)/($B$9:$C$9*$B$22:$C$22)*(AN9:AO9*AN22:AO22)/($B$9:$C$9*AN22:AO22))</f>
        <v>0.96548073427006942</v>
      </c>
      <c r="AO66" s="181"/>
      <c r="AP66" s="181">
        <f t="array" ref="AP66">SQRT((AP9:AQ9*$B$22:$C$22)/($B$9:$C$9*$B$22:$C$22)*(AP9:AQ9*AP22:AQ22)/($B$9:$C$9*AP22:AQ22))</f>
        <v>0.96537022176732434</v>
      </c>
      <c r="AQ66" s="181"/>
      <c r="AR66" s="181">
        <f t="array" ref="AR66">SQRT((AR9:AS9*$B$22:$C$22)/($B$9:$C$9*$B$22:$C$22)*(AR9:AS9*AR22:AS22)/($B$9:$C$9*AR22:AS22))</f>
        <v>0.96526756592847363</v>
      </c>
      <c r="AS66" s="181"/>
      <c r="AT66" s="181">
        <f t="array" ref="AT66">SQRT((AT9:AU9*$B$22:$C$22)/($B$9:$C$9*$B$22:$C$22)*(AT9:AU9*AT22:AU22)/($B$9:$C$9*AT22:AU22))</f>
        <v>0.96517242091290223</v>
      </c>
      <c r="AU66" s="181"/>
      <c r="AV66" s="181">
        <f t="array" ref="AV66">SQRT((AV9:AW9*$B$22:$C$22)/($B$9:$C$9*$B$22:$C$22)*(AV9:AW9*AV22:AW22)/($B$9:$C$9*AV22:AW22))</f>
        <v>0.96508444394943949</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0.99830904160797662</v>
      </c>
      <c r="E68" s="181"/>
      <c r="F68" s="181">
        <f>F66/F67</f>
        <v>0.99656422664360489</v>
      </c>
      <c r="G68" s="181"/>
      <c r="H68" s="181">
        <f>H66/H67</f>
        <v>0.99475942418589924</v>
      </c>
      <c r="I68" s="181"/>
      <c r="J68" s="181">
        <f>J66/J67</f>
        <v>0.99288864587898507</v>
      </c>
      <c r="K68" s="181"/>
      <c r="L68" s="181">
        <f>L66/L67</f>
        <v>0.99094660264459544</v>
      </c>
      <c r="M68" s="181"/>
      <c r="N68" s="181">
        <f>N66/N67</f>
        <v>0.98892959552390436</v>
      </c>
      <c r="O68" s="181"/>
      <c r="P68" s="181">
        <f>P66/P67</f>
        <v>0.98683677296192607</v>
      </c>
      <c r="Q68" s="181"/>
      <c r="R68" s="181">
        <f>R66/R67</f>
        <v>0.98467190482779043</v>
      </c>
      <c r="S68" s="181"/>
      <c r="T68" s="181">
        <f>T66/T67</f>
        <v>0.9824457023221066</v>
      </c>
      <c r="U68" s="181"/>
      <c r="V68" s="181">
        <f>V66/V67</f>
        <v>0.98017847548019033</v>
      </c>
      <c r="W68" s="181"/>
      <c r="X68" s="181">
        <f>X66/X67</f>
        <v>0.97790275023623585</v>
      </c>
      <c r="Y68" s="181"/>
      <c r="Z68" s="181">
        <f>Z66/Z67</f>
        <v>0.97566473325967806</v>
      </c>
      <c r="AA68" s="181"/>
      <c r="AB68" s="181">
        <f>AB66/AB67</f>
        <v>0.97352304484172736</v>
      </c>
      <c r="AC68" s="181"/>
      <c r="AD68" s="181">
        <f>AD66/AD67</f>
        <v>0.97154294768038296</v>
      </c>
      <c r="AE68" s="181"/>
      <c r="AF68" s="181">
        <f>AF66/AF67</f>
        <v>0.96978571933505076</v>
      </c>
      <c r="AG68" s="181"/>
      <c r="AH68" s="181">
        <f>AH66/AH67</f>
        <v>0.96829582036078043</v>
      </c>
      <c r="AI68" s="181"/>
      <c r="AJ68" s="181">
        <f>AJ66/AJ67</f>
        <v>0.96709144896208743</v>
      </c>
      <c r="AK68" s="181"/>
      <c r="AL68" s="181">
        <f>AL66/AL67</f>
        <v>0.96616318510402743</v>
      </c>
      <c r="AM68" s="181"/>
      <c r="AN68" s="181">
        <f>AN66/AN67</f>
        <v>0.96548073427006942</v>
      </c>
      <c r="AO68" s="181"/>
      <c r="AP68" s="181">
        <f>AP66/AP67</f>
        <v>0.96537022176732434</v>
      </c>
      <c r="AQ68" s="181"/>
      <c r="AR68" s="181">
        <f>AR66/AR67</f>
        <v>0.96526756592847363</v>
      </c>
      <c r="AS68" s="181"/>
      <c r="AT68" s="181">
        <f>AT66/AT67</f>
        <v>0.96517242091290223</v>
      </c>
      <c r="AU68" s="181"/>
      <c r="AV68" s="181">
        <f>AV66/AV67</f>
        <v>0.96508444394943949</v>
      </c>
      <c r="XFD68" s="181"/>
    </row>
    <row r="69" spans="1:48 16384:16384" x14ac:dyDescent="0.2">
      <c r="A69" t="s">
        <v>161</v>
      </c>
      <c r="B69" s="181">
        <f>B32/B65/($B$32)</f>
        <v>1</v>
      </c>
      <c r="C69" s="181"/>
      <c r="D69" s="181">
        <f>D32/D65/($B$32)</f>
        <v>0.9960136137356298</v>
      </c>
      <c r="E69" s="181"/>
      <c r="F69" s="181">
        <f>F32/F65/($B$32)</f>
        <v>0.99115287092987692</v>
      </c>
      <c r="G69" s="181"/>
      <c r="H69" s="181">
        <f>H32/H65/($B$32)</f>
        <v>0.98523253058822002</v>
      </c>
      <c r="I69" s="181"/>
      <c r="J69" s="181">
        <f>J32/J65/($B$32)</f>
        <v>0.97801743344684899</v>
      </c>
      <c r="K69" s="181"/>
      <c r="L69" s="181">
        <f>L32/L65/($B$32)</f>
        <v>0.96920722457138597</v>
      </c>
      <c r="M69" s="181"/>
      <c r="N69" s="181">
        <f>N32/N65/($B$32)</f>
        <v>0.95841516054685805</v>
      </c>
      <c r="O69" s="181"/>
      <c r="P69" s="181">
        <f>P32/P65/($B$32)</f>
        <v>0.9451415692422257</v>
      </c>
      <c r="Q69" s="181"/>
      <c r="R69" s="181">
        <f>R32/R65/($B$32)</f>
        <v>0.92873922667311493</v>
      </c>
      <c r="S69" s="181"/>
      <c r="T69" s="181">
        <f>T32/T65/($B$32)</f>
        <v>0.90837018195318742</v>
      </c>
      <c r="U69" s="181"/>
      <c r="V69" s="181">
        <f>V32/V65/($B$32)</f>
        <v>0.88295881828971101</v>
      </c>
      <c r="W69" s="181"/>
      <c r="X69" s="181">
        <f>X32/X65/($B$32)</f>
        <v>0.85114687878750406</v>
      </c>
      <c r="Y69" s="181"/>
      <c r="Z69" s="181">
        <f>Z32/Z65/($B$32)</f>
        <v>0.81127071525479966</v>
      </c>
      <c r="AA69" s="181"/>
      <c r="AB69" s="181">
        <f>AB32/AB65/($B$32)</f>
        <v>0.76139241692833293</v>
      </c>
      <c r="AC69" s="181"/>
      <c r="AD69" s="181">
        <f>AD32/AD65/($B$32)</f>
        <v>0.69942299832002952</v>
      </c>
      <c r="AE69" s="181"/>
      <c r="AF69" s="181">
        <f>AF32/AF65/($B$32)</f>
        <v>0.62335811573179545</v>
      </c>
      <c r="AG69" s="181"/>
      <c r="AH69" s="181">
        <f>AH32/AH65/($B$32)</f>
        <v>0.53158854401055922</v>
      </c>
      <c r="AI69" s="181"/>
      <c r="AJ69" s="181">
        <f>AJ32/AJ65/($B$32)</f>
        <v>0.42317724722725264</v>
      </c>
      <c r="AK69" s="181"/>
      <c r="AL69" s="181">
        <f>AL32/AL65/($B$32)</f>
        <v>0.29797996058645726</v>
      </c>
      <c r="AM69" s="181"/>
      <c r="AN69" s="181">
        <f>AN32/AN65/($B$32)</f>
        <v>0.15656557292558224</v>
      </c>
      <c r="AO69" s="181"/>
      <c r="AP69" s="181">
        <f>AP32/AP65/($B$32)</f>
        <v>0.1264245027992488</v>
      </c>
      <c r="AQ69" s="181"/>
      <c r="AR69" s="181">
        <f>AR32/AR65/($B$32)</f>
        <v>9.5686797498105811E-2</v>
      </c>
      <c r="AS69" s="181"/>
      <c r="AT69" s="181">
        <f>AT32/AT65/($B$32)</f>
        <v>6.4362960506320357E-2</v>
      </c>
      <c r="AU69" s="181"/>
      <c r="AV69" s="181">
        <f>AV32/AV65/($B$32)</f>
        <v>3.2463724299182789E-2</v>
      </c>
    </row>
    <row r="70" spans="1:48 16384:16384" x14ac:dyDescent="0.2">
      <c r="A70" t="s">
        <v>162</v>
      </c>
      <c r="B70" s="129">
        <f>B18/$B$18</f>
        <v>1</v>
      </c>
      <c r="C70" s="129"/>
      <c r="D70" s="129">
        <f>D18/$B$18</f>
        <v>0.9946726080336602</v>
      </c>
      <c r="E70" s="129"/>
      <c r="F70" s="129">
        <f>F18/$B$18</f>
        <v>0.98844172396883834</v>
      </c>
      <c r="G70" s="129"/>
      <c r="H70" s="129">
        <f>H18/$B$18</f>
        <v>0.981123402219642</v>
      </c>
      <c r="I70" s="129"/>
      <c r="J70" s="129">
        <f>J18/$B$18</f>
        <v>0.97248505349750225</v>
      </c>
      <c r="K70" s="129"/>
      <c r="L70" s="129">
        <f>L18/$B$18</f>
        <v>0.96223061134165977</v>
      </c>
      <c r="M70" s="129"/>
      <c r="N70" s="129">
        <f>N18/$B$18</f>
        <v>0.9499800821352955</v>
      </c>
      <c r="O70" s="129"/>
      <c r="P70" s="129">
        <f>P18/$B$18</f>
        <v>0.93524394574476022</v>
      </c>
      <c r="Q70" s="129"/>
      <c r="R70" s="129">
        <f>R18/$B$18</f>
        <v>0.91739007695542008</v>
      </c>
      <c r="S70" s="129"/>
      <c r="T70" s="129">
        <f>T18/$B$18</f>
        <v>0.89560290387517216</v>
      </c>
      <c r="U70" s="129"/>
      <c r="V70" s="129">
        <f>V18/$B$18</f>
        <v>0.86884007711478217</v>
      </c>
      <c r="W70" s="129"/>
      <c r="X70" s="129">
        <f>X18/$B$18</f>
        <v>0.83579279572106435</v>
      </c>
      <c r="Y70" s="129"/>
      <c r="Z70" s="129">
        <f>Z18/$B$18</f>
        <v>0.79487031102834105</v>
      </c>
      <c r="AA70" s="129"/>
      <c r="AB70" s="129">
        <f>AB18/$B$18</f>
        <v>0.74423926205128044</v>
      </c>
      <c r="AC70" s="129"/>
      <c r="AD70" s="129">
        <f>AD18/$B$18</f>
        <v>0.68195319074376948</v>
      </c>
      <c r="AE70" s="129"/>
      <c r="AF70" s="129">
        <f>AF18/$B$18</f>
        <v>0.60618724908924104</v>
      </c>
      <c r="AG70" s="129"/>
      <c r="AH70" s="129">
        <f>AH18/$B$18</f>
        <v>0.51553508932115999</v>
      </c>
      <c r="AI70" s="129"/>
      <c r="AJ70" s="129">
        <f>AJ18/$B$18</f>
        <v>0.4092597862368737</v>
      </c>
      <c r="AK70" s="129"/>
      <c r="AL70" s="129">
        <f>AL18/$B$18</f>
        <v>0.2873844680326596</v>
      </c>
      <c r="AM70" s="129"/>
      <c r="AN70" s="129">
        <f>AN18/$B$18</f>
        <v>0.15059136964235773</v>
      </c>
      <c r="AO70" s="129"/>
      <c r="AP70" s="129">
        <f>AP18/$B$18</f>
        <v>0.12153619159840759</v>
      </c>
      <c r="AQ70" s="129"/>
      <c r="AR70" s="129">
        <f>AR18/$B$18</f>
        <v>9.1938816318509184E-2</v>
      </c>
      <c r="AS70" s="129"/>
      <c r="AT70" s="129">
        <f>AT18/$B$18</f>
        <v>6.1809820168459643E-2</v>
      </c>
      <c r="AU70" s="129"/>
      <c r="AV70" s="129">
        <f>AV18/$B$18</f>
        <v>3.115993460391368E-2</v>
      </c>
    </row>
    <row r="71" spans="1:48 16384:16384" x14ac:dyDescent="0.2">
      <c r="A71" t="s">
        <v>163</v>
      </c>
      <c r="B71" s="129">
        <f>C18/$C$18</f>
        <v>1</v>
      </c>
      <c r="D71" s="129">
        <f>E18/$C$18</f>
        <v>0.92940274943686041</v>
      </c>
      <c r="E71" s="129"/>
      <c r="F71" s="129">
        <f>G18/$C$18</f>
        <v>0.85913366837037997</v>
      </c>
      <c r="G71" s="129"/>
      <c r="H71" s="129">
        <f>I18/$C$18</f>
        <v>0.78928513335905226</v>
      </c>
      <c r="I71" s="129"/>
      <c r="J71" s="129">
        <f>K18/$C$18</f>
        <v>0.71998141397053472</v>
      </c>
      <c r="K71" s="129"/>
      <c r="L71" s="129">
        <f>M18/$C$18</f>
        <v>0.65138808192263586</v>
      </c>
      <c r="M71" s="129"/>
      <c r="N71" s="129">
        <f>O18/$C$18</f>
        <v>0.58372811238954603</v>
      </c>
      <c r="O71" s="129"/>
      <c r="P71" s="129">
        <f>Q18/$C$18</f>
        <v>0.51729574823229363</v>
      </c>
      <c r="Q71" s="129"/>
      <c r="R71" s="129">
        <f>S18/$C$18</f>
        <v>0.45247549305879825</v>
      </c>
      <c r="S71" s="129"/>
      <c r="T71" s="129">
        <f>U18/$C$18</f>
        <v>0.38975910055532492</v>
      </c>
      <c r="U71" s="129"/>
      <c r="V71" s="129">
        <f>W18/$C$18</f>
        <v>0.32975700971458249</v>
      </c>
      <c r="W71" s="129"/>
      <c r="X71" s="129">
        <f>Y18/$C$18</f>
        <v>0.27319291587747074</v>
      </c>
      <c r="Y71" s="129"/>
      <c r="Z71" s="129">
        <f>AA18/$C$18</f>
        <v>0.22087034057754007</v>
      </c>
      <c r="AA71" s="129"/>
      <c r="AB71" s="129">
        <f>AC18/$C$18</f>
        <v>0.17359338620040837</v>
      </c>
      <c r="AC71" s="129"/>
      <c r="AD71" s="129">
        <f>AE18/$C$18</f>
        <v>0.1320417471315562</v>
      </c>
      <c r="AE71" s="129"/>
      <c r="AF71" s="129">
        <f>AG18/$C$18</f>
        <v>9.6620952801009297E-2</v>
      </c>
      <c r="AG71" s="129"/>
      <c r="AH71" s="129">
        <f>AI18/$C$18</f>
        <v>6.7345947313756011E-2</v>
      </c>
      <c r="AI71" s="129"/>
      <c r="AJ71" s="129">
        <f>AK18/$C$18</f>
        <v>4.3820166452926308E-2</v>
      </c>
      <c r="AK71" s="129"/>
      <c r="AL71" s="129">
        <f>AM18/$C$18</f>
        <v>2.5330738847529746E-2</v>
      </c>
      <c r="AM71" s="129"/>
      <c r="AN71" s="129">
        <f>AO18/$C$18</f>
        <v>1.1011770794970833E-2</v>
      </c>
      <c r="AO71" s="129"/>
      <c r="AP71" s="129">
        <f>AQ18/$C$18</f>
        <v>8.5710859989698625E-3</v>
      </c>
      <c r="AQ71" s="129"/>
      <c r="AR71" s="129">
        <f>AS18/$C$18</f>
        <v>6.2557913191793177E-3</v>
      </c>
      <c r="AS71" s="129"/>
      <c r="AT71" s="129">
        <f>AU18/$C$18</f>
        <v>4.0595536297766948E-3</v>
      </c>
      <c r="AU71" s="129"/>
      <c r="AV71" s="129">
        <f>AW18/$C$18</f>
        <v>1.9762537986994142E-3</v>
      </c>
      <c r="XFD71" s="129"/>
    </row>
    <row r="72" spans="1:48 16384:16384" x14ac:dyDescent="0.2">
      <c r="A72" t="s">
        <v>164</v>
      </c>
      <c r="B72" s="129">
        <f>C19/$C$19</f>
        <v>1</v>
      </c>
      <c r="D72" s="129">
        <f>E19/$C$19</f>
        <v>1.0268251066262422</v>
      </c>
      <c r="E72" s="129"/>
      <c r="F72" s="129">
        <f>G19/$C$19</f>
        <v>1.056310705452201</v>
      </c>
      <c r="G72" s="129"/>
      <c r="H72" s="129">
        <f>I19/$C$19</f>
        <v>1.0884620701139451</v>
      </c>
      <c r="I72" s="129"/>
      <c r="J72" s="129">
        <f>K19/$C$19</f>
        <v>1.1231562189687048</v>
      </c>
      <c r="K72" s="129"/>
      <c r="L72" s="129">
        <f>M19/$C$19</f>
        <v>1.1600711542981414</v>
      </c>
      <c r="M72" s="129"/>
      <c r="N72" s="129">
        <f>O19/$C$19</f>
        <v>1.1985864077451251</v>
      </c>
      <c r="O72" s="129"/>
      <c r="P72" s="129">
        <f>Q19/$C$19</f>
        <v>1.2376470514403015</v>
      </c>
      <c r="Q72" s="129"/>
      <c r="R72" s="129">
        <f>S19/$C$19</f>
        <v>1.2755839113796315</v>
      </c>
      <c r="S72" s="129"/>
      <c r="T72" s="129">
        <f>U19/$C$19</f>
        <v>1.3098940448126948</v>
      </c>
      <c r="U72" s="129"/>
      <c r="V72" s="129">
        <f>W19/$C$19</f>
        <v>1.3369997716865734</v>
      </c>
      <c r="W72" s="129"/>
      <c r="X72" s="129">
        <f>Y19/$C$19</f>
        <v>1.3520415356395801</v>
      </c>
      <c r="Y72" s="129"/>
      <c r="Z72" s="129">
        <f>AA19/$C$19</f>
        <v>1.3488180167214392</v>
      </c>
      <c r="AA72" s="129"/>
      <c r="AB72" s="129">
        <f>AC19/$C$19</f>
        <v>1.3200409774268276</v>
      </c>
      <c r="AC72" s="129"/>
      <c r="AD72" s="129">
        <f>AE19/$C$19</f>
        <v>1.2580732401034123</v>
      </c>
      <c r="AE72" s="129"/>
      <c r="AF72" s="129">
        <f>AG19/$C$19</f>
        <v>1.1561597797425984</v>
      </c>
      <c r="AG72" s="129"/>
      <c r="AH72" s="129">
        <f>AI19/$C$19</f>
        <v>1.00983209193067</v>
      </c>
      <c r="AI72" s="129"/>
      <c r="AJ72" s="129">
        <f>AK19/$C$19</f>
        <v>0.81787740502284378</v>
      </c>
      <c r="AK72" s="129"/>
      <c r="AL72" s="129">
        <f>AM19/$C$19</f>
        <v>0.58237637808428644</v>
      </c>
      <c r="AM72" s="129"/>
      <c r="AN72" s="129">
        <f>AO19/$C$19</f>
        <v>0.30784576100027489</v>
      </c>
      <c r="AO72" s="129"/>
      <c r="AP72" s="129">
        <f>AQ19/$C$19</f>
        <v>0.24875130952477653</v>
      </c>
      <c r="AQ72" s="129"/>
      <c r="AR72" s="129">
        <f>AS19/$C$19</f>
        <v>0.18837199866169865</v>
      </c>
      <c r="AS72" s="129"/>
      <c r="AT72" s="129">
        <f>AU19/$C$19</f>
        <v>0.12675557570394536</v>
      </c>
      <c r="AU72" s="129"/>
      <c r="AV72" s="129">
        <f>AW19/$C$19</f>
        <v>6.3949353499475697E-2</v>
      </c>
      <c r="XFD72" s="129"/>
    </row>
    <row r="73" spans="1:48 16384:16384" x14ac:dyDescent="0.2">
      <c r="A73" t="s">
        <v>168</v>
      </c>
      <c r="B73" s="183">
        <f t="array" ref="B73">SUM(B9:C9*B22:C22)/B32</f>
        <v>0.47641153352875065</v>
      </c>
      <c r="D73" s="183">
        <f t="array" ref="D73">SUM(D9:E9*D22:E22)/D32</f>
        <v>0.47418038067931545</v>
      </c>
      <c r="E73" s="129"/>
      <c r="F73" s="183">
        <f t="array" ref="F73">SUM(F9:G9*F22:G22)/F32</f>
        <v>0.47188119151338909</v>
      </c>
      <c r="G73" s="129"/>
      <c r="H73" s="183">
        <f t="array" ref="H73">SUM(H9:I9*H22:I22)/H32</f>
        <v>0.46950645985704031</v>
      </c>
      <c r="I73" s="129"/>
      <c r="J73" s="183">
        <f t="array" ref="J73">SUM(J9:K9*J22:K22)/J32</f>
        <v>0.46704795393891763</v>
      </c>
      <c r="K73" s="129"/>
      <c r="L73" s="183">
        <f t="array" ref="L73">SUM(L9:M9*L22:M22)/L32</f>
        <v>0.46449669966384227</v>
      </c>
      <c r="M73" s="129"/>
      <c r="N73" s="183">
        <f t="array" ref="N73">SUM(N9:O9*N22:O22)/N32</f>
        <v>0.46184304121964287</v>
      </c>
      <c r="O73" s="129"/>
      <c r="P73" s="183">
        <f t="array" ref="P73">SUM(P9:Q9*P22:Q22)/P32</f>
        <v>0.45907677449759987</v>
      </c>
      <c r="Q73" s="129"/>
      <c r="R73" s="183">
        <f t="array" ref="R73">SUM(R9:S9*R22:S22)/R32</f>
        <v>0.45618745131192395</v>
      </c>
      <c r="S73" s="129"/>
      <c r="T73" s="183">
        <f t="array" ref="T73">SUM(T9:U9*T22:U22)/T32</f>
        <v>0.45316516450241473</v>
      </c>
      <c r="U73" s="129"/>
      <c r="V73" s="183">
        <f t="array" ref="V73">SUM(V9:W9*V22:W22)/V32</f>
        <v>0.45000168705213783</v>
      </c>
      <c r="W73" s="129"/>
      <c r="X73" s="183">
        <f t="array" ref="X73">SUM(X9:Y9*X22:Y22)/X32</f>
        <v>0.44669265703739575</v>
      </c>
      <c r="Y73" s="129"/>
      <c r="Z73" s="183">
        <f t="array" ref="Z73">SUM(Z9:AA9*Z22:AA22)/Z32</f>
        <v>0.44324075734056279</v>
      </c>
      <c r="AA73" s="129"/>
      <c r="AB73" s="183">
        <f t="array" ref="AB73">SUM(AB9:AC9*AB22:AC22)/AB32</f>
        <v>0.43965989397441918</v>
      </c>
      <c r="AC73" s="129"/>
      <c r="AD73" s="183">
        <f t="array" ref="AD73">SUM(AD9:AE9*AD22:AE22)/AD32</f>
        <v>0.43597925102289731</v>
      </c>
      <c r="AE73" s="129"/>
      <c r="AF73" s="183">
        <f t="array" ref="AF73">SUM(AF9:AG9*AF22:AG22)/AF32</f>
        <v>0.43224508614497847</v>
      </c>
      <c r="AG73" s="129"/>
      <c r="AH73" s="183">
        <f t="array" ref="AH73">SUM(AH9:AI9*AH22:AI22)/AH32</f>
        <v>0.42851767055020917</v>
      </c>
      <c r="AI73" s="129"/>
      <c r="AJ73" s="183">
        <f t="array" ref="AJ73">SUM(AJ9:AK9*AJ22:AK22)/AJ32</f>
        <v>0.42486279268557425</v>
      </c>
      <c r="AK73" s="129"/>
      <c r="AL73" s="183">
        <f t="array" ref="AL73">SUM(AL9:AM9*AL22:AM22)/AL32</f>
        <v>0.42134058388831658</v>
      </c>
      <c r="AM73" s="129"/>
      <c r="AN73" s="183">
        <f t="array" ref="AN73">SUM(AN9:AO9*AN22:AO22)/AN32</f>
        <v>0.41799648901788905</v>
      </c>
      <c r="AO73" s="129"/>
      <c r="AP73" s="183">
        <f t="array" ref="AP73">SUM(AP9:AQ9*AP22:AQ22)/AP32</f>
        <v>0.41735178125915906</v>
      </c>
      <c r="AQ73" s="129"/>
      <c r="AR73" s="183">
        <f t="array" ref="AR73">SUM(AR9:AS9*AR22:AS22)/AR32</f>
        <v>0.41671547261591807</v>
      </c>
      <c r="AS73" s="129"/>
      <c r="AT73" s="183">
        <f t="array" ref="AT73">SUM(AT9:AU9*AT22:AU22)/AT32</f>
        <v>0.41608765034597556</v>
      </c>
      <c r="AU73" s="129"/>
      <c r="AV73" s="183">
        <f t="array" ref="AV73">SUM(AV9:AW9*AV22:AW22)/AV32</f>
        <v>0.41546839038400096</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0.22604620456442481</v>
      </c>
      <c r="O74" s="129"/>
      <c r="P74" s="183">
        <f t="array" ref="P74">SUM(P10:Q10*P23:Q23)/P32</f>
        <v>0.22604620456442484</v>
      </c>
      <c r="Q74" s="129"/>
      <c r="R74" s="183">
        <f t="array" ref="R74">SUM(R10:S10*R23:S23)/R32</f>
        <v>0.22604620456442484</v>
      </c>
      <c r="S74" s="129"/>
      <c r="T74" s="183">
        <f t="array" ref="T74">SUM(T10:U10*T23:U23)/T32</f>
        <v>0.22604620456442481</v>
      </c>
      <c r="U74" s="129"/>
      <c r="V74" s="183">
        <f t="array" ref="V74">SUM(V10:W10*V23:W23)/V32</f>
        <v>0.22604620456442484</v>
      </c>
      <c r="W74" s="129"/>
      <c r="X74" s="183">
        <f t="array" ref="X74">SUM(X10:Y10*X23:Y23)/X32</f>
        <v>0.22604620456442487</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f t="array" ref="AN74">SUM(AN10:AO10*AN23:AO23)/AN32</f>
        <v>0.22604620456442487</v>
      </c>
      <c r="AO74" s="129"/>
      <c r="AP74" s="183">
        <f t="array" ref="AP74">SUM(AP10:AQ10*AP23:AQ23)/AP32</f>
        <v>0.22604620456442484</v>
      </c>
      <c r="AQ74" s="129"/>
      <c r="AR74" s="183">
        <f t="array" ref="AR74">SUM(AR10:AS10*AR23:AS23)/AR32</f>
        <v>0.22604620456442481</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0.22261554089638555</v>
      </c>
      <c r="E75" s="129"/>
      <c r="F75" s="183">
        <f t="array" ref="F75">SUM(F11:G11*F24:G24)/F32</f>
        <v>0.22491472992828374</v>
      </c>
      <c r="G75" s="129"/>
      <c r="H75" s="183">
        <f t="array" ref="H75">SUM(H11:I11*H24:I24)/H32</f>
        <v>0.22728946129419203</v>
      </c>
      <c r="I75" s="129"/>
      <c r="J75" s="183">
        <f t="array" ref="J75">SUM(J11:K11*J24:K24)/J32</f>
        <v>0.22974796776639916</v>
      </c>
      <c r="K75" s="129"/>
      <c r="L75" s="183">
        <f t="array" ref="L75">SUM(L11:M11*L24:M24)/L32</f>
        <v>0.23229922074271545</v>
      </c>
      <c r="M75" s="129"/>
      <c r="N75" s="183">
        <f t="array" ref="N75">SUM(N11:O11*N24:O24)/N32</f>
        <v>0.2349528780949198</v>
      </c>
      <c r="O75" s="129"/>
      <c r="P75" s="183">
        <f t="array" ref="P75">SUM(P11:Q11*P24:Q24)/P32</f>
        <v>0.23771915051661874</v>
      </c>
      <c r="Q75" s="129"/>
      <c r="R75" s="183">
        <f t="array" ref="R75">SUM(R11:S11*R24:S24)/R32</f>
        <v>0.24060847062155191</v>
      </c>
      <c r="S75" s="129"/>
      <c r="T75" s="183">
        <f t="array" ref="T75">SUM(T11:U11*T24:U24)/T32</f>
        <v>0.24363075710382717</v>
      </c>
      <c r="U75" s="129"/>
      <c r="V75" s="183">
        <f t="array" ref="V75">SUM(V11:W11*V24:W24)/V32</f>
        <v>0.24679423401046255</v>
      </c>
      <c r="W75" s="129"/>
      <c r="X75" s="183">
        <f t="array" ref="X75">SUM(X11:Y11*X24:Y24)/X32</f>
        <v>0.2501032648892465</v>
      </c>
      <c r="Y75" s="129"/>
      <c r="Z75" s="183">
        <f t="array" ref="Z75">SUM(Z11:AA11*Z24:AA24)/Z32</f>
        <v>0.25355516460734123</v>
      </c>
      <c r="AA75" s="129"/>
      <c r="AB75" s="183">
        <f t="array" ref="AB75">SUM(AB11:AC11*AB24:AC24)/AB32</f>
        <v>0.25713602756105874</v>
      </c>
      <c r="AC75" s="129"/>
      <c r="AD75" s="183">
        <f t="array" ref="AD75">SUM(AD11:AE11*AD24:AE24)/AD32</f>
        <v>0.26081666930355202</v>
      </c>
      <c r="AE75" s="129"/>
      <c r="AF75" s="183">
        <f t="array" ref="AF75">SUM(AF11:AG11*AF24:AG24)/AF32</f>
        <v>0.26455083576670591</v>
      </c>
      <c r="AG75" s="129"/>
      <c r="AH75" s="183">
        <f t="array" ref="AH75">SUM(AH11:AI11*AH24:AI24)/AH32</f>
        <v>0.26827825121849791</v>
      </c>
      <c r="AI75" s="129"/>
      <c r="AJ75" s="183">
        <f t="array" ref="AJ75">SUM(AJ11:AK11*AJ24:AK24)/AJ32</f>
        <v>0.27193312922055957</v>
      </c>
      <c r="AK75" s="129"/>
      <c r="AL75" s="183">
        <f t="array" ref="AL75">SUM(AL11:AM11*AL24:AM24)/AL32</f>
        <v>0.27545534044275505</v>
      </c>
      <c r="AM75" s="129"/>
      <c r="AN75" s="183">
        <f t="array" ref="AN75">SUM(AN11:AO11*AN24:AO24)/AN32</f>
        <v>0.2787994269884887</v>
      </c>
      <c r="AO75" s="129"/>
      <c r="AP75" s="183">
        <f t="array" ref="AP75">SUM(AP11:AQ11*AP24:AQ24)/AP32</f>
        <v>0.27944414115660765</v>
      </c>
      <c r="AQ75" s="129"/>
      <c r="AR75" s="183">
        <f t="array" ref="AR75">SUM(AR11:AS11*AR24:AS24)/AR32</f>
        <v>0.28008045520499275</v>
      </c>
      <c r="AS75" s="129"/>
      <c r="AT75" s="183">
        <f t="array" ref="AT75">SUM(AT11:AU11*AT24:AU24)/AT32</f>
        <v>0.28070827751552979</v>
      </c>
      <c r="AU75" s="129"/>
      <c r="AV75" s="183">
        <f t="array" ref="AV75">SUM(AV11:AW11*AV24:AW24)/AV32</f>
        <v>0.2813275309335404</v>
      </c>
      <c r="XFD75" s="183"/>
    </row>
    <row r="76" spans="1:48 16384:16384" x14ac:dyDescent="0.2">
      <c r="A76" t="s">
        <v>171</v>
      </c>
      <c r="B76" s="183">
        <f t="array" ref="B76">SUM(B12:C12*B25:C25)/B32</f>
        <v>0.22301874374724867</v>
      </c>
      <c r="D76" s="183">
        <f t="array" ref="D76">SUM(D12:E12*D25:E25)/D32</f>
        <v>0.22310417733910221</v>
      </c>
      <c r="E76" s="129"/>
      <c r="F76" s="183">
        <f t="array" ref="F76">SUM(F12:G12*F25:G25)/F32</f>
        <v>0.22324652256285085</v>
      </c>
      <c r="G76" s="129"/>
      <c r="H76" s="183">
        <f t="array" ref="H76">SUM(H12:I12*H25:I25)/H32</f>
        <v>0.22345124363224594</v>
      </c>
      <c r="I76" s="129"/>
      <c r="J76" s="183">
        <f t="array" ref="J76">SUM(J12:K12*J25:K25)/J32</f>
        <v>0.22372370831162564</v>
      </c>
      <c r="K76" s="129"/>
      <c r="L76" s="183">
        <f t="array" ref="L76">SUM(L12:M12*L25:M25)/L32</f>
        <v>0.22406874294642315</v>
      </c>
      <c r="M76" s="129"/>
      <c r="N76" s="183">
        <f t="array" ref="N76">SUM(N12:O12*N25:O25)/N32</f>
        <v>0.22448997724636022</v>
      </c>
      <c r="O76" s="129"/>
      <c r="P76" s="183">
        <f t="array" ref="P76">SUM(P12:Q12*P25:Q25)/P32</f>
        <v>0.22498884291461041</v>
      </c>
      <c r="Q76" s="129"/>
      <c r="R76" s="183">
        <f t="array" ref="R76">SUM(R12:S12*R25:S25)/R32</f>
        <v>0.22556321670584745</v>
      </c>
      <c r="S76" s="129"/>
      <c r="T76" s="183">
        <f t="array" ref="T76">SUM(T12:U12*T25:U25)/T32</f>
        <v>0.22620563049966155</v>
      </c>
      <c r="U76" s="129"/>
      <c r="V76" s="183">
        <f t="array" ref="V76">SUM(V12:W12*V25:W25)/V32</f>
        <v>0.22690124188495556</v>
      </c>
      <c r="W76" s="129"/>
      <c r="X76" s="183">
        <f t="array" ref="X76">SUM(X12:Y12*X25:Y25)/X32</f>
        <v>0.22762588392890817</v>
      </c>
      <c r="Y76" s="129"/>
      <c r="Z76" s="183">
        <f t="array" ref="Z76">SUM(Z12:AA12*Z25:AA25)/Z32</f>
        <v>0.22834512756865971</v>
      </c>
      <c r="AA76" s="129"/>
      <c r="AB76" s="183">
        <f t="array" ref="AB76">SUM(AB12:AC12*AB25:AC25)/AB32</f>
        <v>0.22901559144281203</v>
      </c>
      <c r="AC76" s="129"/>
      <c r="AD76" s="183">
        <f t="array" ref="AD76">SUM(AD12:AE12*AD25:AE25)/AD32</f>
        <v>0.22958988435763991</v>
      </c>
      <c r="AE76" s="129"/>
      <c r="AF76" s="183">
        <f t="array" ref="AF76">SUM(AF12:AG12*AF25:AG25)/AF32</f>
        <v>0.23002521255884514</v>
      </c>
      <c r="AG76" s="129"/>
      <c r="AH76" s="183">
        <f t="array" ref="AH76">SUM(AH12:AI12*AH25:AI25)/AH32</f>
        <v>0.23029323241770278</v>
      </c>
      <c r="AI76" s="129"/>
      <c r="AJ76" s="183">
        <f t="array" ref="AJ76">SUM(AJ12:AK12*AJ25:AK25)/AJ32</f>
        <v>0.2303865196102283</v>
      </c>
      <c r="AK76" s="129"/>
      <c r="AL76" s="183">
        <f t="array" ref="AL76">SUM(AL12:AM12*AL25:AM25)/AL32</f>
        <v>0.2303182387109152</v>
      </c>
      <c r="AM76" s="129"/>
      <c r="AN76" s="183">
        <f t="array" ref="AN76">SUM(AN12:AO12*AN25:AO25)/AN32</f>
        <v>0.2301156548749875</v>
      </c>
      <c r="AO76" s="129"/>
      <c r="AP76" s="183">
        <f t="array" ref="AP76">SUM(AP12:AQ12*AP25:AQ25)/AP32</f>
        <v>0.23006189972547822</v>
      </c>
      <c r="AQ76" s="129"/>
      <c r="AR76" s="183">
        <f t="array" ref="AR76">SUM(AR12:AS12*AR25:AS25)/AR32</f>
        <v>0.23000435377141246</v>
      </c>
      <c r="AS76" s="129"/>
      <c r="AT76" s="183">
        <f t="array" ref="AT76">SUM(AT12:AU12*AT25:AU25)/AT32</f>
        <v>0.22994327615413235</v>
      </c>
      <c r="AU76" s="129"/>
      <c r="AV76" s="183">
        <f t="array" ref="AV76">SUM(AV12:AW12*AV25:AW25)/AV32</f>
        <v>0.22987892052359582</v>
      </c>
      <c r="XFD76" s="183"/>
    </row>
    <row r="77" spans="1:48 16384:16384" x14ac:dyDescent="0.2">
      <c r="A77" t="s">
        <v>172</v>
      </c>
      <c r="B77" s="183">
        <f t="array" ref="B77">SUM(B4:C4*B19:C19)/B32</f>
        <v>0.14586087017236485</v>
      </c>
      <c r="D77" s="183">
        <f t="array" ref="D77">SUM(D4:E4*D19:E19)/D32</f>
        <v>0.14594630347922743</v>
      </c>
      <c r="E77" s="129"/>
      <c r="F77" s="183">
        <f t="array" ref="F77">SUM(F4:G4*F19:G19)/F32</f>
        <v>0.14608864856894827</v>
      </c>
      <c r="G77" s="129"/>
      <c r="H77" s="183">
        <f t="array" ref="H77">SUM(H4:I4*H19:I19)/H32</f>
        <v>0.1462933693479028</v>
      </c>
      <c r="I77" s="129"/>
      <c r="J77" s="183">
        <f t="array" ref="J77">SUM(J4:K4*J19:K19)/J32</f>
        <v>0.14656583458136668</v>
      </c>
      <c r="K77" s="129"/>
      <c r="L77" s="183">
        <f t="array" ref="L77">SUM(L4:M4*L19:M19)/L32</f>
        <v>0.14691086791740557</v>
      </c>
      <c r="M77" s="129"/>
      <c r="N77" s="183">
        <f t="array" ref="N77">SUM(N4:O4*N19:O19)/N32</f>
        <v>0.14733210112534703</v>
      </c>
      <c r="O77" s="129"/>
      <c r="P77" s="183">
        <f t="array" ref="P77">SUM(P4:Q4*P19:Q19)/P32</f>
        <v>0.14783097249325361</v>
      </c>
      <c r="Q77" s="129"/>
      <c r="R77" s="183">
        <f t="array" ref="R77">SUM(R4:S4*R19:S19)/R32</f>
        <v>0.14840534320374779</v>
      </c>
      <c r="S77" s="129"/>
      <c r="T77" s="183">
        <f t="array" ref="T77">SUM(T4:U4*T19:U19)/T32</f>
        <v>0.14904775667032777</v>
      </c>
      <c r="U77" s="129"/>
      <c r="V77" s="183">
        <f t="array" ref="V77">SUM(V4:W4*V19:W19)/V32</f>
        <v>0.14974336751198039</v>
      </c>
      <c r="W77" s="129"/>
      <c r="X77" s="183">
        <f t="array" ref="X77">SUM(X4:Y4*X19:Y19)/X32</f>
        <v>0.15046801041997496</v>
      </c>
      <c r="Y77" s="129"/>
      <c r="Z77" s="183">
        <f t="array" ref="Z77">SUM(Z4:AA4*Z19:AA19)/Z32</f>
        <v>0.15118725408098807</v>
      </c>
      <c r="AA77" s="129"/>
      <c r="AB77" s="183">
        <f t="array" ref="AB77">SUM(AB4:AC4*AB19:AC19)/AB32</f>
        <v>0.15185771754271432</v>
      </c>
      <c r="AC77" s="129"/>
      <c r="AD77" s="183">
        <f t="array" ref="AD77">SUM(AD4:AE4*AD19:AE19)/AD32</f>
        <v>0.15243200924851383</v>
      </c>
      <c r="AE77" s="129"/>
      <c r="AF77" s="183">
        <f t="array" ref="AF77">SUM(AF4:AG4*AF19:AG19)/AF32</f>
        <v>0.15286733903495414</v>
      </c>
      <c r="AG77" s="129"/>
      <c r="AH77" s="183">
        <f t="array" ref="AH77">SUM(AH4:AI4*AH19:AI19)/AH32</f>
        <v>0.15313535875083442</v>
      </c>
      <c r="AI77" s="129"/>
      <c r="AJ77" s="183">
        <f t="array" ref="AJ77">SUM(AJ4:AK4*AJ19:AK19)/AJ32</f>
        <v>0.15322864608078637</v>
      </c>
      <c r="AK77" s="129"/>
      <c r="AL77" s="183">
        <f t="array" ref="AL77">SUM(AL4:AM4*AL19:AM19)/AL32</f>
        <v>0.15316036760641139</v>
      </c>
      <c r="AM77" s="129"/>
      <c r="AN77" s="183">
        <f t="array" ref="AN77">SUM(AN4:AO4*AN19:AO19)/AN32</f>
        <v>0.15295777544578962</v>
      </c>
      <c r="AO77" s="129"/>
      <c r="AP77" s="183">
        <f t="array" ref="AP77">SUM(AP4:AQ4*AP19:AQ19)/AP32</f>
        <v>0.15290402670566933</v>
      </c>
      <c r="AQ77" s="129"/>
      <c r="AR77" s="183">
        <f t="array" ref="AR77">SUM(AR4:AS4*AR19:AS19)/AR32</f>
        <v>0.15284648615674792</v>
      </c>
      <c r="AS77" s="129"/>
      <c r="AT77" s="183">
        <f t="array" ref="AT77">SUM(AT4:AU4*AT19:AU19)/AT32</f>
        <v>0.15278540858006209</v>
      </c>
      <c r="AU77" s="129"/>
      <c r="AV77" s="183">
        <f t="array" ref="AV77">SUM(AV4:AW4*AV19:AW19)/AV32</f>
        <v>0.15272104640556147</v>
      </c>
      <c r="XFD77" s="183"/>
    </row>
    <row r="78" spans="1:48 16384:16384" x14ac:dyDescent="0.2">
      <c r="A78" t="s">
        <v>173</v>
      </c>
      <c r="B78" s="183">
        <f t="array" ref="B78">SUM(B13:C13*B26:C26)/B32</f>
        <v>0.346887593115773</v>
      </c>
      <c r="D78" s="183">
        <f t="array" ref="D78">SUM(D13:E13*D26:E26)/D32</f>
        <v>0.34549719169721871</v>
      </c>
      <c r="E78" s="129"/>
      <c r="F78" s="183">
        <f t="array" ref="F78">SUM(F13:G13*F26:G26)/F32</f>
        <v>0.34405271564470408</v>
      </c>
      <c r="G78" s="129"/>
      <c r="H78" s="183">
        <f t="array" ref="H78">SUM(H13:I13*H26:I26)/H32</f>
        <v>0.34255207719269293</v>
      </c>
      <c r="I78" s="129"/>
      <c r="J78" s="183">
        <f t="array" ref="J78">SUM(J13:K13*J26:K26)/J32</f>
        <v>0.34099382596482591</v>
      </c>
      <c r="K78" s="129"/>
      <c r="L78" s="183">
        <f t="array" ref="L78">SUM(L13:M13*L26:M26)/L32</f>
        <v>0.3393774190626872</v>
      </c>
      <c r="M78" s="129"/>
      <c r="N78" s="183">
        <f t="array" ref="N78">SUM(N13:O13*N26:O26)/N32</f>
        <v>0.33770363853425928</v>
      </c>
      <c r="O78" s="129"/>
      <c r="P78" s="183">
        <f t="array" ref="P78">SUM(P13:Q13*P26:Q26)/P32</f>
        <v>0.33597501180164219</v>
      </c>
      <c r="Q78" s="129"/>
      <c r="R78" s="183">
        <f t="array" ref="R78">SUM(R13:S13*R26:S26)/R32</f>
        <v>0.33419638157553316</v>
      </c>
      <c r="S78" s="129"/>
      <c r="T78" s="183">
        <f t="array" ref="T78">SUM(T13:U13*T26:U26)/T32</f>
        <v>0.33237558661652006</v>
      </c>
      <c r="U78" s="129"/>
      <c r="V78" s="183">
        <f t="array" ref="V78">SUM(V13:W13*V26:W26)/V32</f>
        <v>0.3305241085883231</v>
      </c>
      <c r="W78" s="129"/>
      <c r="X78" s="183">
        <f t="array" ref="X78">SUM(X13:Y13*X26:Y26)/X32</f>
        <v>0.32865771097373325</v>
      </c>
      <c r="Y78" s="129"/>
      <c r="Z78" s="183">
        <f t="array" ref="Z78">SUM(Z13:AA13*Z26:AA26)/Z32</f>
        <v>0.32679677225756437</v>
      </c>
      <c r="AA78" s="129"/>
      <c r="AB78" s="183">
        <f t="array" ref="AB78">SUM(AB13:AC13*AB26:AC26)/AB32</f>
        <v>0.32496594378078103</v>
      </c>
      <c r="AC78" s="129"/>
      <c r="AD78" s="183">
        <f t="array" ref="AD78">SUM(AD13:AE13*AD26:AE26)/AD32</f>
        <v>0.32319273504139057</v>
      </c>
      <c r="AE78" s="129"/>
      <c r="AF78" s="183">
        <f t="array" ref="AF78">SUM(AF13:AG13*AF26:AG26)/AF32</f>
        <v>0.3215047362747821</v>
      </c>
      <c r="AG78" s="129"/>
      <c r="AH78" s="183">
        <f t="array" ref="AH78">SUM(AH13:AI13*AH26:AI26)/AH32</f>
        <v>0.31992587261555538</v>
      </c>
      <c r="AI78" s="129"/>
      <c r="AJ78" s="183">
        <f t="array" ref="AJ78">SUM(AJ13:AK13*AJ26:AK26)/AJ32</f>
        <v>0.31847282302810798</v>
      </c>
      <c r="AK78" s="129"/>
      <c r="AL78" s="183">
        <f t="array" ref="AL78">SUM(AL13:AM13*AL26:AM26)/AL32</f>
        <v>0.31715310989047318</v>
      </c>
      <c r="AM78" s="129"/>
      <c r="AN78" s="183">
        <f t="array" ref="AN78">SUM(AN13:AO13*AN26:AO26)/AN32</f>
        <v>0.3159655339989722</v>
      </c>
      <c r="AO78" s="129"/>
      <c r="AP78" s="183">
        <f t="array" ref="AP78">SUM(AP13:AQ13*AP26:AQ26)/AP32</f>
        <v>0.31574327914092704</v>
      </c>
      <c r="AQ78" s="129"/>
      <c r="AR78" s="183">
        <f t="array" ref="AR78">SUM(AR13:AS13*AR26:AS26)/AR32</f>
        <v>0.31552592664606083</v>
      </c>
      <c r="AS78" s="129"/>
      <c r="AT78" s="183">
        <f t="array" ref="AT78">SUM(AT13:AU13*AT26:AU26)/AT32</f>
        <v>0.31531338736454034</v>
      </c>
      <c r="AU78" s="129"/>
      <c r="AV78" s="183">
        <f t="array" ref="AV78">SUM(AV13:AW13*AV26:AW26)/AV32</f>
        <v>0.31510556581135962</v>
      </c>
      <c r="XFD78" s="183"/>
    </row>
    <row r="79" spans="1:48 16384:16384" x14ac:dyDescent="0.2">
      <c r="A79" t="s">
        <v>174</v>
      </c>
      <c r="B79" s="183">
        <f t="array" ref="B79">SUM(B15:C15*B27:C27)/B32</f>
        <v>0.45460968782440875</v>
      </c>
      <c r="D79" s="183">
        <f t="array" ref="D79">SUM(D15:E15*D27:E27)/D32</f>
        <v>0.45224647674866159</v>
      </c>
      <c r="F79" s="183">
        <f t="array" ref="F79">SUM(F15:G15*F27:G27)/F32</f>
        <v>0.44982288078522115</v>
      </c>
      <c r="H79" s="183">
        <f t="array" ref="H79">SUM(H15:I15*H27:I27)/H32</f>
        <v>0.44732835633952056</v>
      </c>
      <c r="J79" s="183">
        <f t="array" ref="J79">SUM(J15:K15*J27:K27)/J32</f>
        <v>0.44475051556186057</v>
      </c>
      <c r="L79" s="183">
        <f t="array" ref="L79">SUM(L15:M15*L27:M27)/L32</f>
        <v>0.442074774787793</v>
      </c>
      <c r="N79" s="183">
        <f t="array" ref="N79">SUM(N15:O15*N27:O27)/N32</f>
        <v>0.43928413322478083</v>
      </c>
      <c r="P79" s="183">
        <f t="array" ref="P79">SUM(P15:Q15*P27:Q27)/P32</f>
        <v>0.43635888242702009</v>
      </c>
      <c r="R79" s="183">
        <f t="array" ref="R79">SUM(R15:S15*R27:S27)/R32</f>
        <v>0.43327664496017165</v>
      </c>
      <c r="T79" s="183">
        <f t="array" ref="T79">SUM(T15:U15*T27:U27)/T32</f>
        <v>0.43001285871754008</v>
      </c>
      <c r="V79" s="183">
        <f t="array" ref="V79">SUM(V15:W15*V27:W27)/V32</f>
        <v>0.42654222471432179</v>
      </c>
      <c r="X79" s="183">
        <f t="array" ref="X79">SUM(X15:Y15*X27:Y27)/X32</f>
        <v>0.42284161921723235</v>
      </c>
      <c r="Z79" s="183">
        <f t="array" ref="Z79">SUM(Z15:AA15*Z27:AA27)/Z32</f>
        <v>0.41889520951705661</v>
      </c>
      <c r="AB79" s="183">
        <f t="array" ref="AB79">SUM(AB15:AC15*AB27:AC27)/AB32</f>
        <v>0.41470172886259277</v>
      </c>
      <c r="AD79" s="183">
        <f t="array" ref="AD79">SUM(AD15:AE15*AD27:AE27)/AD32</f>
        <v>0.41028276615694492</v>
      </c>
      <c r="AF79" s="183">
        <f t="array" ref="AF79">SUM(AF15:AG15*AF27:AG27)/AF32</f>
        <v>0.40568853195781213</v>
      </c>
      <c r="AH79" s="183">
        <f t="array" ref="AH79">SUM(AH15:AI15*AH27:AI27)/AH32</f>
        <v>0.40099652653674445</v>
      </c>
      <c r="AJ79" s="183">
        <f t="array" ref="AJ79">SUM(AJ15:AK15*AJ27:AK27)/AJ32</f>
        <v>0.3963007494348475</v>
      </c>
      <c r="AL79" s="183">
        <f t="array" ref="AL79">SUM(AL15:AM15*AL27:AM27)/AL32</f>
        <v>0.39169481964298075</v>
      </c>
      <c r="AN79" s="183">
        <f t="array" ref="AN79">SUM(AN15:AO15*AN27:AO27)/AN32</f>
        <v>0.38725643762343726</v>
      </c>
      <c r="AP79" s="183">
        <f t="array" ref="AP79">SUM(AP15:AQ15*AP27:AQ27)/AP32</f>
        <v>0.38639403987753163</v>
      </c>
      <c r="AR79" s="183">
        <f t="array" ref="AR79">SUM(AR15:AS15*AR27:AS27)/AR32</f>
        <v>0.38554086956513495</v>
      </c>
      <c r="AT79" s="183">
        <f t="array" ref="AT79">SUM(AT15:AU15*AT27:AU27)/AT32</f>
        <v>0.38469718464375918</v>
      </c>
      <c r="AV79" s="183">
        <f t="array" ref="AV79">SUM(AV15:AW15*AV27:AW27)/AV32</f>
        <v>0.38386320977696214</v>
      </c>
      <c r="XFD79" s="183"/>
    </row>
    <row r="80" spans="1:48 16384:16384" x14ac:dyDescent="0.2">
      <c r="A80" t="s">
        <v>153</v>
      </c>
      <c r="B80" s="195">
        <f>B55</f>
        <v>0.19850271905982084</v>
      </c>
      <c r="D80" s="195">
        <f>D55</f>
        <v>0.20225632981326794</v>
      </c>
      <c r="F80" s="195">
        <f>F55</f>
        <v>0.20612440126985396</v>
      </c>
      <c r="H80" s="195">
        <f>H55</f>
        <v>0.21011956277411656</v>
      </c>
      <c r="J80" s="195">
        <f>J55</f>
        <v>0.21425566926529743</v>
      </c>
      <c r="L80" s="195">
        <f>L55</f>
        <v>0.21854779872458213</v>
      </c>
      <c r="N80" s="195">
        <f>N55</f>
        <v>0.22301221497136667</v>
      </c>
      <c r="P80" s="195">
        <f>P55</f>
        <v>0.22766610403006382</v>
      </c>
      <c r="R80" s="195">
        <f>R55</f>
        <v>0.23252697338062062</v>
      </c>
      <c r="T80" s="195">
        <f>T55</f>
        <v>0.2376115563139867</v>
      </c>
      <c r="V80" s="195">
        <f>V55</f>
        <v>0.24293367291703949</v>
      </c>
      <c r="X80" s="195">
        <f>X55</f>
        <v>0.24850066578128779</v>
      </c>
      <c r="Z80" s="195">
        <f>Z55</f>
        <v>0.25430801536904096</v>
      </c>
      <c r="AB80" s="195">
        <f>AB55</f>
        <v>0.26033232810448576</v>
      </c>
      <c r="AD80" s="195">
        <f>AD55</f>
        <v>0.26652450458720889</v>
      </c>
      <c r="AF80" s="195">
        <f>AF55</f>
        <v>0.2728067288911607</v>
      </c>
      <c r="AH80" s="195">
        <f>AH55</f>
        <v>0.27907759493808654</v>
      </c>
      <c r="AJ80" s="195">
        <f>AJ55</f>
        <v>0.28522642931438341</v>
      </c>
      <c r="AL80" s="195">
        <f>AL55</f>
        <v>0.2911520832483534</v>
      </c>
      <c r="AN80" s="195">
        <f>AN55</f>
        <v>0.29677799633958946</v>
      </c>
      <c r="AP80" s="195">
        <f>AP55</f>
        <v>0.29786268393538057</v>
      </c>
      <c r="AR80" s="195">
        <f>AR55</f>
        <v>0.29893323610007283</v>
      </c>
      <c r="AT80" s="195">
        <f>AT55</f>
        <v>0.29998946166147056</v>
      </c>
      <c r="AV80" s="195">
        <f>AV55</f>
        <v>0.30103122136531635</v>
      </c>
      <c r="XFD80" s="195"/>
    </row>
    <row r="81" spans="1:48 16384:16384" x14ac:dyDescent="0.2">
      <c r="A81" t="s">
        <v>175</v>
      </c>
      <c r="B81" s="195">
        <f>B51/B$32</f>
        <v>-2.7543485504603994E-2</v>
      </c>
      <c r="D81" s="195">
        <f>D51/D$32</f>
        <v>-2.3789874751156907E-2</v>
      </c>
      <c r="F81" s="195">
        <f>F51/F$32</f>
        <v>-1.9921803294570883E-2</v>
      </c>
      <c r="H81" s="195">
        <f>H51/H$32</f>
        <v>-1.5926641790308286E-2</v>
      </c>
      <c r="J81" s="195">
        <f>J51/J$32</f>
        <v>-1.1790535299127387E-2</v>
      </c>
      <c r="L81" s="195">
        <f>L51/L$32</f>
        <v>-7.4984058398427211E-3</v>
      </c>
      <c r="N81" s="195">
        <f>N51/N$32</f>
        <v>-3.0339895930581685E-3</v>
      </c>
      <c r="P81" s="195">
        <f>P51/P$32</f>
        <v>1.6198994656389967E-3</v>
      </c>
      <c r="R81" s="195">
        <f>R51/R$32</f>
        <v>6.4807688161957885E-3</v>
      </c>
      <c r="T81" s="195">
        <f>T51/T$32</f>
        <v>1.1565351749561864E-2</v>
      </c>
      <c r="V81" s="195">
        <f>V51/V$32</f>
        <v>1.6887468352614666E-2</v>
      </c>
      <c r="X81" s="195">
        <f>X51/X$32</f>
        <v>2.2454461216862925E-2</v>
      </c>
      <c r="Z81" s="195">
        <f>Z51/Z$32</f>
        <v>2.8261810804616091E-2</v>
      </c>
      <c r="AB81" s="195">
        <f>AB51/AB$32</f>
        <v>3.4286123540060935E-2</v>
      </c>
      <c r="AD81" s="195">
        <f>AD51/AD$32</f>
        <v>4.0478300022784047E-2</v>
      </c>
      <c r="AF81" s="195">
        <f>AF51/AF$32</f>
        <v>4.6760524326735838E-2</v>
      </c>
      <c r="AH81" s="195">
        <f>AH51/AH$32</f>
        <v>5.3031390373661676E-2</v>
      </c>
      <c r="AJ81" s="195">
        <f>AJ51/AJ$32</f>
        <v>5.9180224749958557E-2</v>
      </c>
      <c r="AL81" s="195">
        <f>AL51/AL$32</f>
        <v>6.5105878683928545E-2</v>
      </c>
      <c r="AN81" s="195">
        <f>AN51/AN$32</f>
        <v>7.0731791775164574E-2</v>
      </c>
      <c r="AP81" s="195">
        <f>AP51/AP$32</f>
        <v>7.1816479370955741E-2</v>
      </c>
      <c r="AR81" s="195">
        <f>AR51/AR$32</f>
        <v>7.2887031535648017E-2</v>
      </c>
      <c r="AT81" s="195">
        <f>AT51/AT$32</f>
        <v>7.3943257097045703E-2</v>
      </c>
      <c r="AV81" s="195">
        <f>AV51/AV$32</f>
        <v>7.4985016800891494E-2</v>
      </c>
      <c r="XFD81" s="195"/>
    </row>
    <row r="82" spans="1:48 16384:16384" x14ac:dyDescent="0.2">
      <c r="A82" t="s">
        <v>176</v>
      </c>
      <c r="B82" s="195">
        <f>B52/B$32</f>
        <v>0.14069693704202227</v>
      </c>
      <c r="D82" s="195">
        <f>D52/D$32</f>
        <v>0.14013299291507222</v>
      </c>
      <c r="F82" s="195">
        <f>F52/F$32</f>
        <v>0.1395471162211441</v>
      </c>
      <c r="H82" s="195">
        <f>H52/H$32</f>
        <v>0.13893846016657319</v>
      </c>
      <c r="J82" s="195">
        <f>J52/J$32</f>
        <v>0.1383064364815125</v>
      </c>
      <c r="L82" s="195">
        <f>L52/L$32</f>
        <v>0.13765082496741432</v>
      </c>
      <c r="N82" s="195">
        <f>N52/N$32</f>
        <v>0.13697194282142824</v>
      </c>
      <c r="P82" s="195">
        <f>P52/P$32</f>
        <v>0.13627081516107109</v>
      </c>
      <c r="R82" s="195">
        <f>R52/R$32</f>
        <v>0.13554940618043804</v>
      </c>
      <c r="T82" s="195">
        <f>T52/T$32</f>
        <v>0.13481089526566689</v>
      </c>
      <c r="V82" s="195">
        <f>V52/V$32</f>
        <v>0.1340599393573621</v>
      </c>
      <c r="X82" s="195">
        <f>X52/X$32</f>
        <v>0.13330293209366417</v>
      </c>
      <c r="Z82" s="195">
        <f>Z52/Z$32</f>
        <v>0.13254813894861073</v>
      </c>
      <c r="AB82" s="195">
        <f>AB52/AB$32</f>
        <v>0.13180555845843231</v>
      </c>
      <c r="AD82" s="195">
        <f>AD52/AD$32</f>
        <v>0.13108634842232958</v>
      </c>
      <c r="AF82" s="195">
        <f>AF52/AF$32</f>
        <v>0.13040169938642918</v>
      </c>
      <c r="AH82" s="195">
        <f>AH52/AH$32</f>
        <v>0.12976131533906424</v>
      </c>
      <c r="AJ82" s="195">
        <f>AJ52/AJ$32</f>
        <v>0.12917196123594477</v>
      </c>
      <c r="AL82" s="195">
        <f>AL52/AL$32</f>
        <v>0.1286366881390561</v>
      </c>
      <c r="AN82" s="195">
        <f>AN52/AN$32</f>
        <v>0.12815500965370488</v>
      </c>
      <c r="AP82" s="195">
        <f>AP52/AP$32</f>
        <v>0.12806486351302343</v>
      </c>
      <c r="AR82" s="195">
        <f>AR52/AR$32</f>
        <v>0.12797670576136838</v>
      </c>
      <c r="AT82" s="195">
        <f>AT52/AT$32</f>
        <v>0.12789050023973975</v>
      </c>
      <c r="AV82" s="195">
        <f>AV52/AV$32</f>
        <v>0.12780620821960373</v>
      </c>
    </row>
    <row r="83" spans="1:48 16384:16384" x14ac:dyDescent="0.2">
      <c r="A83" t="s">
        <v>177</v>
      </c>
      <c r="B83" s="195">
        <f>B53/B$32</f>
        <v>0.18438881036940691</v>
      </c>
      <c r="D83" s="195">
        <f>D53/D$32</f>
        <v>0.18343029652647896</v>
      </c>
      <c r="F83" s="195">
        <f>F53/F$32</f>
        <v>0.18244729068986013</v>
      </c>
      <c r="H83" s="195">
        <f>H53/H$32</f>
        <v>0.18143551639798056</v>
      </c>
      <c r="J83" s="195">
        <f>J53/J$32</f>
        <v>0.18038994916295481</v>
      </c>
      <c r="L83" s="195">
        <f>L53/L$32</f>
        <v>0.17930467387868107</v>
      </c>
      <c r="N83" s="195">
        <f>N53/N$32</f>
        <v>0.17817279505657821</v>
      </c>
      <c r="P83" s="195">
        <f>P53/P$32</f>
        <v>0.1769863189891355</v>
      </c>
      <c r="R83" s="195">
        <f>R53/R$32</f>
        <v>0.17573616943225295</v>
      </c>
      <c r="T83" s="195">
        <f>T53/T$32</f>
        <v>0.17441238404294707</v>
      </c>
      <c r="V83" s="195">
        <f>V53/V$32</f>
        <v>0.1730047016018984</v>
      </c>
      <c r="X83" s="195">
        <f>X53/X$32</f>
        <v>0.17150374316759778</v>
      </c>
      <c r="Z83" s="195">
        <f>Z53/Z$32</f>
        <v>0.169903087023801</v>
      </c>
      <c r="AB83" s="195">
        <f>AB53/AB$32</f>
        <v>0.16820221937866983</v>
      </c>
      <c r="AD83" s="195">
        <f>AD53/AD$32</f>
        <v>0.16640989664956007</v>
      </c>
      <c r="AF83" s="195">
        <f>AF53/AF$32</f>
        <v>0.16454648414158962</v>
      </c>
      <c r="AH83" s="195">
        <f>AH53/AH$32</f>
        <v>0.16264341581504829</v>
      </c>
      <c r="AJ83" s="195">
        <f>AJ53/AJ$32</f>
        <v>0.16073881770205534</v>
      </c>
      <c r="AL83" s="195">
        <f>AL53/AL$32</f>
        <v>0.15887066148428608</v>
      </c>
      <c r="AN83" s="195">
        <f>AN53/AN$32</f>
        <v>0.15707046231900854</v>
      </c>
      <c r="AP83" s="195">
        <f>AP53/AP$32</f>
        <v>0.15672067546076143</v>
      </c>
      <c r="AR83" s="195">
        <f>AR53/AR$32</f>
        <v>0.15637463123170378</v>
      </c>
      <c r="AT83" s="195">
        <f>AT53/AT$32</f>
        <v>0.15603243425890376</v>
      </c>
      <c r="AV83" s="195">
        <f>AV53/AV$32</f>
        <v>0.15569417566546592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dimension ref="A1:XFD83"/>
  <sheetViews>
    <sheetView showGridLines="0" workbookViewId="0">
      <pane xSplit="1" ySplit="1" topLeftCell="AO2" activePane="bottomRight" state="frozen"/>
      <selection pane="topRight" activeCell="B1" sqref="B1"/>
      <selection pane="bottomLeft" activeCell="A2" sqref="A2"/>
      <selection pane="bottomRight" activeCell="BC26" sqref="BC2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5.2524393292415442E-2</v>
      </c>
      <c r="E2" s="189"/>
      <c r="F2" s="188">
        <v>0.102764996800267</v>
      </c>
      <c r="G2" s="189"/>
      <c r="H2" s="188">
        <v>0.15676367719371637</v>
      </c>
      <c r="I2" s="189"/>
      <c r="J2" s="188">
        <v>0.21478341221898631</v>
      </c>
      <c r="K2" s="189"/>
      <c r="L2" s="188">
        <v>0.27706078714531523</v>
      </c>
      <c r="M2" s="189"/>
      <c r="N2" s="188">
        <v>0.3437781156763976</v>
      </c>
      <c r="O2" s="189"/>
      <c r="P2" s="188">
        <v>0.41503649058091979</v>
      </c>
      <c r="Q2" s="189"/>
      <c r="R2" s="188">
        <v>0.49082993201112912</v>
      </c>
      <c r="S2" s="189"/>
      <c r="T2" s="188">
        <v>0.57106366380400586</v>
      </c>
      <c r="U2" s="189"/>
      <c r="V2" s="188">
        <v>0.65568593673163289</v>
      </c>
      <c r="W2" s="189"/>
      <c r="X2" s="188">
        <v>0.74510936234555403</v>
      </c>
      <c r="Y2" s="189"/>
      <c r="Z2" s="188">
        <v>0.84127173305500091</v>
      </c>
      <c r="AA2" s="189"/>
      <c r="AB2" s="188">
        <v>0.95010127196972527</v>
      </c>
      <c r="AC2" s="189"/>
      <c r="AD2" s="188">
        <v>1.0872075172993565</v>
      </c>
      <c r="AE2" s="189"/>
      <c r="AF2" s="188">
        <v>1.2919922433655016</v>
      </c>
      <c r="AG2" s="189"/>
      <c r="AH2" s="188">
        <v>1.6692247611990292</v>
      </c>
      <c r="AI2" s="189"/>
      <c r="AJ2" s="188">
        <v>2.5463349151850623</v>
      </c>
      <c r="AK2" s="189"/>
      <c r="AL2" s="188">
        <v>5.2122277057468862</v>
      </c>
      <c r="AM2" s="189"/>
      <c r="AN2" s="188">
        <v>17.356380292305825</v>
      </c>
      <c r="AO2" s="189"/>
      <c r="AP2" s="188">
        <v>24.661187700981397</v>
      </c>
      <c r="AQ2" s="189"/>
      <c r="AR2" s="188">
        <v>37.849172014401027</v>
      </c>
      <c r="AS2" s="189"/>
      <c r="AT2" s="188">
        <v>66.438049233297647</v>
      </c>
      <c r="AU2" s="189"/>
      <c r="AV2" s="188">
        <v>158.51930164061073</v>
      </c>
      <c r="AW2" s="189"/>
    </row>
    <row r="3" spans="1:49" x14ac:dyDescent="0.2">
      <c r="A3" t="s">
        <v>12</v>
      </c>
      <c r="B3" s="81">
        <v>1000</v>
      </c>
      <c r="C3" s="82">
        <v>1000</v>
      </c>
      <c r="D3" s="81">
        <v>997.59754563409228</v>
      </c>
      <c r="E3" s="82">
        <v>1021.3479061527861</v>
      </c>
      <c r="F3" s="81">
        <v>995.45126981783847</v>
      </c>
      <c r="G3" s="82">
        <v>1045.0185991884</v>
      </c>
      <c r="H3" s="81">
        <v>993.64647665736652</v>
      </c>
      <c r="I3" s="82">
        <v>1071.3045929155335</v>
      </c>
      <c r="J3" s="81">
        <v>992.30149051227443</v>
      </c>
      <c r="K3" s="82">
        <v>1100.5346301877128</v>
      </c>
      <c r="L3" s="81">
        <v>991.58254520186642</v>
      </c>
      <c r="M3" s="82">
        <v>1133.0760359506498</v>
      </c>
      <c r="N3" s="81">
        <v>991.72618716738191</v>
      </c>
      <c r="O3" s="82">
        <v>1169.3379346562776</v>
      </c>
      <c r="P3" s="81">
        <v>993.07059847772018</v>
      </c>
      <c r="Q3" s="82">
        <v>1209.7813471780171</v>
      </c>
      <c r="R3" s="81">
        <v>996.10455290275308</v>
      </c>
      <c r="S3" s="82">
        <v>1254.9443191088367</v>
      </c>
      <c r="T3" s="81">
        <v>1001.540505713272</v>
      </c>
      <c r="U3" s="82">
        <v>1305.5123967872657</v>
      </c>
      <c r="V3" s="81">
        <v>1010.4292003122118</v>
      </c>
      <c r="W3" s="82">
        <v>1362.4879882850523</v>
      </c>
      <c r="X3" s="81">
        <v>1024.3435376198488</v>
      </c>
      <c r="Y3" s="82">
        <v>1427.5811677083798</v>
      </c>
      <c r="Z3" s="81">
        <v>1045.6893985721445</v>
      </c>
      <c r="AA3" s="82">
        <v>1504.0549826018203</v>
      </c>
      <c r="AB3" s="81">
        <v>1078.2581965252034</v>
      </c>
      <c r="AC3" s="82">
        <v>1598.5129896679164</v>
      </c>
      <c r="AD3" s="81">
        <v>1128.2782638916024</v>
      </c>
      <c r="AE3" s="82">
        <v>1724.7383866503512</v>
      </c>
      <c r="AF3" s="81">
        <v>1206.6839662787265</v>
      </c>
      <c r="AG3" s="82">
        <v>1912.6735374085731</v>
      </c>
      <c r="AH3" s="81">
        <v>1335.1163779686156</v>
      </c>
      <c r="AI3" s="82">
        <v>2233.5620827109465</v>
      </c>
      <c r="AJ3" s="81">
        <v>1564.7226915475719</v>
      </c>
      <c r="AK3" s="82">
        <v>2889.1400443466432</v>
      </c>
      <c r="AL3" s="81">
        <v>2035.7668594207371</v>
      </c>
      <c r="AM3" s="82">
        <v>4595.9128108614668</v>
      </c>
      <c r="AN3" s="81">
        <v>3256.7684725101362</v>
      </c>
      <c r="AO3" s="82">
        <v>11235.445564950696</v>
      </c>
      <c r="AP3" s="81">
        <v>3769.1670355535357</v>
      </c>
      <c r="AQ3" s="82">
        <v>14953.925123961704</v>
      </c>
      <c r="AR3" s="81">
        <v>4527.5003962107603</v>
      </c>
      <c r="AS3" s="82">
        <v>21450.931134328894</v>
      </c>
      <c r="AT3" s="81">
        <v>5806.1550163334477</v>
      </c>
      <c r="AU3" s="82">
        <v>35040.717427861979</v>
      </c>
      <c r="AV3" s="81">
        <v>8672.8212538572352</v>
      </c>
      <c r="AW3" s="82">
        <v>77013.828998587443</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997.47784836292192</v>
      </c>
      <c r="E5" s="40">
        <v>1018.5521447205612</v>
      </c>
      <c r="F5" s="39">
        <v>995.22247051396346</v>
      </c>
      <c r="G5" s="40">
        <v>1038.6764578413765</v>
      </c>
      <c r="H5" s="39">
        <v>993.32434221086544</v>
      </c>
      <c r="I5" s="40">
        <v>1060.4796284751794</v>
      </c>
      <c r="J5" s="39">
        <v>991.90884848303858</v>
      </c>
      <c r="K5" s="40">
        <v>1084.059124650375</v>
      </c>
      <c r="L5" s="39">
        <v>991.15187859207902</v>
      </c>
      <c r="M5" s="40">
        <v>1109.494979250542</v>
      </c>
      <c r="N5" s="39">
        <v>991.30313606065636</v>
      </c>
      <c r="O5" s="40">
        <v>1136.8409550658002</v>
      </c>
      <c r="P5" s="39">
        <v>992.7183741587711</v>
      </c>
      <c r="Q5" s="40">
        <v>1166.1186203262537</v>
      </c>
      <c r="R5" s="39">
        <v>995.90917801208366</v>
      </c>
      <c r="S5" s="40">
        <v>1197.3189760768926</v>
      </c>
      <c r="T5" s="39">
        <v>1001.615920279529</v>
      </c>
      <c r="U5" s="40">
        <v>1230.4265117213183</v>
      </c>
      <c r="V5" s="39">
        <v>1010.9196101392245</v>
      </c>
      <c r="W5" s="40">
        <v>1265.4848055712591</v>
      </c>
      <c r="X5" s="39">
        <v>1025.4163706720478</v>
      </c>
      <c r="Y5" s="40">
        <v>1302.7381024284432</v>
      </c>
      <c r="Z5" s="39">
        <v>1047.5033396403232</v>
      </c>
      <c r="AA5" s="40">
        <v>1342.8783509753005</v>
      </c>
      <c r="AB5" s="39">
        <v>1080.8700483056434</v>
      </c>
      <c r="AC5" s="40">
        <v>1387.4093136903377</v>
      </c>
      <c r="AD5" s="39">
        <v>1131.4021650235261</v>
      </c>
      <c r="AE5" s="40">
        <v>1439.0210964662845</v>
      </c>
      <c r="AF5" s="39">
        <v>1209.0802997834835</v>
      </c>
      <c r="AG5" s="40">
        <v>1501.5012700860032</v>
      </c>
      <c r="AH5" s="39">
        <v>1332.913568549729</v>
      </c>
      <c r="AI5" s="40">
        <v>1577.6895503176142</v>
      </c>
      <c r="AJ5" s="39">
        <v>1545.7970609198267</v>
      </c>
      <c r="AK5" s="40">
        <v>1661.7821605033403</v>
      </c>
      <c r="AL5" s="39">
        <v>1956.1347802889884</v>
      </c>
      <c r="AM5" s="40">
        <v>1726.4317788111732</v>
      </c>
      <c r="AN5" s="39">
        <v>2896.5077688352376</v>
      </c>
      <c r="AO5" s="40">
        <v>1748.4109827534003</v>
      </c>
      <c r="AP5" s="39">
        <v>3248.065462959346</v>
      </c>
      <c r="AQ5" s="40">
        <v>1749.365167946341</v>
      </c>
      <c r="AR5" s="39">
        <v>3729.2603546980508</v>
      </c>
      <c r="AS5" s="40">
        <v>1749.8305887255747</v>
      </c>
      <c r="AT5" s="39">
        <v>4450.1526706519735</v>
      </c>
      <c r="AU5" s="40">
        <v>1750.0144824016922</v>
      </c>
      <c r="AV5" s="39">
        <v>5750.147068577694</v>
      </c>
      <c r="AW5" s="40">
        <v>1750.0640859752425</v>
      </c>
    </row>
    <row r="6" spans="1:49" x14ac:dyDescent="0.2">
      <c r="A6" t="s">
        <v>77</v>
      </c>
      <c r="B6" s="39">
        <v>999.99999999999943</v>
      </c>
      <c r="C6" s="40">
        <v>999.99999999999909</v>
      </c>
      <c r="D6" s="39">
        <v>997.28545108267872</v>
      </c>
      <c r="E6" s="40">
        <v>1023.0057807912478</v>
      </c>
      <c r="F6" s="39">
        <v>994.85891580150951</v>
      </c>
      <c r="G6" s="40">
        <v>1048.4316382810134</v>
      </c>
      <c r="H6" s="39">
        <v>992.81738845598852</v>
      </c>
      <c r="I6" s="40">
        <v>1076.5740623597171</v>
      </c>
      <c r="J6" s="39">
        <v>991.29534271560942</v>
      </c>
      <c r="K6" s="40">
        <v>1107.7656464912693</v>
      </c>
      <c r="L6" s="39">
        <v>990.48152756072079</v>
      </c>
      <c r="M6" s="40">
        <v>1142.3774195699625</v>
      </c>
      <c r="N6" s="39">
        <v>990.64413664629899</v>
      </c>
      <c r="O6" s="40">
        <v>1180.8221628127146</v>
      </c>
      <c r="P6" s="39">
        <v>992.16576623452522</v>
      </c>
      <c r="Q6" s="40">
        <v>1223.5650514042843</v>
      </c>
      <c r="R6" s="39">
        <v>995.59764937271746</v>
      </c>
      <c r="S6" s="40">
        <v>1271.1500530156757</v>
      </c>
      <c r="T6" s="39">
        <v>1001.7397374167922</v>
      </c>
      <c r="U6" s="40">
        <v>1324.2735922912775</v>
      </c>
      <c r="V6" s="39">
        <v>1011.7646776590938</v>
      </c>
      <c r="W6" s="40">
        <v>1383.9606603443408</v>
      </c>
      <c r="X6" s="39">
        <v>1027.4137644011876</v>
      </c>
      <c r="Y6" s="40">
        <v>1451.9696363552546</v>
      </c>
      <c r="Z6" s="39">
        <v>1051.3233558322884</v>
      </c>
      <c r="AA6" s="40">
        <v>1531.6650270225487</v>
      </c>
      <c r="AB6" s="39">
        <v>1087.5976608577089</v>
      </c>
      <c r="AC6" s="40">
        <v>1629.8578286997722</v>
      </c>
      <c r="AD6" s="39">
        <v>1142.8892942161508</v>
      </c>
      <c r="AE6" s="40">
        <v>1760.7482736957661</v>
      </c>
      <c r="AF6" s="39">
        <v>1228.7308464271755</v>
      </c>
      <c r="AG6" s="40">
        <v>1955.1305221398977</v>
      </c>
      <c r="AH6" s="39">
        <v>1367.7425331031106</v>
      </c>
      <c r="AI6" s="40">
        <v>2286.1475739184434</v>
      </c>
      <c r="AJ6" s="39">
        <v>1613.1425734444699</v>
      </c>
      <c r="AK6" s="40">
        <v>2960.6811097399436</v>
      </c>
      <c r="AL6" s="39">
        <v>2110.4845579890493</v>
      </c>
      <c r="AM6" s="40">
        <v>4713.3257844295704</v>
      </c>
      <c r="AN6" s="39">
        <v>3387.9815782673577</v>
      </c>
      <c r="AO6" s="40">
        <v>11525.194079581517</v>
      </c>
      <c r="AP6" s="39">
        <v>3922.5690505371876</v>
      </c>
      <c r="AQ6" s="40">
        <v>15339.72149885756</v>
      </c>
      <c r="AR6" s="39">
        <v>4713.1916646712407</v>
      </c>
      <c r="AS6" s="40">
        <v>22004.45052302898</v>
      </c>
      <c r="AT6" s="39">
        <v>6045.5998240171548</v>
      </c>
      <c r="AU6" s="40">
        <v>35944.976220347235</v>
      </c>
      <c r="AV6" s="39">
        <v>9031.7220584560309</v>
      </c>
      <c r="AW6" s="40">
        <v>79001.284357276803</v>
      </c>
    </row>
    <row r="7" spans="1:49" x14ac:dyDescent="0.2">
      <c r="A7" t="s">
        <v>13</v>
      </c>
      <c r="B7" s="31">
        <v>1015.9116825427475</v>
      </c>
      <c r="C7" s="32">
        <v>1015.9116825427475</v>
      </c>
      <c r="D7" s="31">
        <v>1013.3493992294955</v>
      </c>
      <c r="E7" s="32">
        <v>1013.3493992294955</v>
      </c>
      <c r="F7" s="31">
        <v>1011.0581345241905</v>
      </c>
      <c r="G7" s="32">
        <v>1011.0581345241905</v>
      </c>
      <c r="H7" s="31">
        <v>1009.1298038061082</v>
      </c>
      <c r="I7" s="32">
        <v>1009.1298038061082</v>
      </c>
      <c r="J7" s="31">
        <v>1007.6917871914428</v>
      </c>
      <c r="K7" s="32">
        <v>1007.6917871914428</v>
      </c>
      <c r="L7" s="31">
        <v>1006.9227726358839</v>
      </c>
      <c r="M7" s="32">
        <v>1006.9227726358839</v>
      </c>
      <c r="N7" s="31">
        <v>1007.0764368652835</v>
      </c>
      <c r="O7" s="32">
        <v>1007.0764368652835</v>
      </c>
      <c r="P7" s="31">
        <v>1008.5141937827378</v>
      </c>
      <c r="Q7" s="32">
        <v>1008.5141937827378</v>
      </c>
      <c r="R7" s="31">
        <v>1011.7557686940205</v>
      </c>
      <c r="S7" s="32">
        <v>1011.7557686940205</v>
      </c>
      <c r="T7" s="31">
        <v>1017.5533148327786</v>
      </c>
      <c r="U7" s="32">
        <v>1017.5533148327786</v>
      </c>
      <c r="V7" s="31">
        <v>1027.0050420519979</v>
      </c>
      <c r="W7" s="32">
        <v>1027.0050420519979</v>
      </c>
      <c r="X7" s="31">
        <v>1041.7324704363177</v>
      </c>
      <c r="Y7" s="32">
        <v>1041.7324704363177</v>
      </c>
      <c r="Z7" s="31">
        <v>1064.1708802431478</v>
      </c>
      <c r="AA7" s="32">
        <v>1064.1708802431478</v>
      </c>
      <c r="AB7" s="31">
        <v>1098.0685093842469</v>
      </c>
      <c r="AC7" s="32">
        <v>1098.0685093842469</v>
      </c>
      <c r="AD7" s="31">
        <v>1149.4046771015576</v>
      </c>
      <c r="AE7" s="32">
        <v>1149.4046771015576</v>
      </c>
      <c r="AF7" s="31">
        <v>1228.3188016823283</v>
      </c>
      <c r="AG7" s="32">
        <v>1228.3188016823283</v>
      </c>
      <c r="AH7" s="31">
        <v>1354.1224661094129</v>
      </c>
      <c r="AI7" s="32">
        <v>1354.1224661094129</v>
      </c>
      <c r="AJ7" s="31">
        <v>1570.3932930286949</v>
      </c>
      <c r="AK7" s="32">
        <v>1570.3932930286949</v>
      </c>
      <c r="AL7" s="31">
        <v>1987.2601759237739</v>
      </c>
      <c r="AM7" s="32">
        <v>1987.2601759237739</v>
      </c>
      <c r="AN7" s="31">
        <v>2942.5960809355456</v>
      </c>
      <c r="AO7" s="32">
        <v>2942.5960809355456</v>
      </c>
      <c r="AP7" s="31">
        <v>3299.7476494840171</v>
      </c>
      <c r="AQ7" s="32">
        <v>3299.7476494840171</v>
      </c>
      <c r="AR7" s="31">
        <v>3788.59916158126</v>
      </c>
      <c r="AS7" s="32">
        <v>3788.59916158126</v>
      </c>
      <c r="AT7" s="31">
        <v>4520.9620872141477</v>
      </c>
      <c r="AU7" s="32">
        <v>4520.9620872141477</v>
      </c>
      <c r="AV7" s="31">
        <v>5841.6415833070123</v>
      </c>
      <c r="AW7" s="32">
        <v>5841.6415833070123</v>
      </c>
    </row>
    <row r="8" spans="1:49" x14ac:dyDescent="0.2">
      <c r="B8" s="33">
        <v>1005.7716594496609</v>
      </c>
      <c r="C8" s="34">
        <v>1005.7716594496609</v>
      </c>
      <c r="D8" s="33">
        <v>1072.0509781586973</v>
      </c>
      <c r="E8" s="34">
        <v>1072.0509781586973</v>
      </c>
      <c r="F8" s="33">
        <v>1145.4160407079582</v>
      </c>
      <c r="G8" s="34">
        <v>1145.4160407079582</v>
      </c>
      <c r="H8" s="33">
        <v>1226.7243146239748</v>
      </c>
      <c r="I8" s="34">
        <v>1226.7243146239748</v>
      </c>
      <c r="J8" s="33">
        <v>1316.8970424899098</v>
      </c>
      <c r="K8" s="34">
        <v>1316.8970424899098</v>
      </c>
      <c r="L8" s="33">
        <v>1416.8925315354722</v>
      </c>
      <c r="M8" s="34">
        <v>1416.8925315354722</v>
      </c>
      <c r="N8" s="33">
        <v>1527.6619964220774</v>
      </c>
      <c r="O8" s="34">
        <v>1527.6619964220774</v>
      </c>
      <c r="P8" s="33">
        <v>1650.1004001075262</v>
      </c>
      <c r="Q8" s="34">
        <v>1650.1004001075262</v>
      </c>
      <c r="R8" s="33">
        <v>1784.9989677003484</v>
      </c>
      <c r="S8" s="34">
        <v>1784.9989677003484</v>
      </c>
      <c r="T8" s="33">
        <v>1933.078383546477</v>
      </c>
      <c r="U8" s="34">
        <v>1933.078383546477</v>
      </c>
      <c r="V8" s="33">
        <v>2095.2453957318985</v>
      </c>
      <c r="W8" s="34">
        <v>2095.2453957318985</v>
      </c>
      <c r="X8" s="33">
        <v>2273.4204592321576</v>
      </c>
      <c r="Y8" s="34">
        <v>2273.4204592321576</v>
      </c>
      <c r="Z8" s="33">
        <v>2472.6039485823335</v>
      </c>
      <c r="AA8" s="34">
        <v>2472.6039485823335</v>
      </c>
      <c r="AB8" s="33">
        <v>2705.5886673701712</v>
      </c>
      <c r="AC8" s="34">
        <v>2705.5886673701712</v>
      </c>
      <c r="AD8" s="33">
        <v>3003.5356500967914</v>
      </c>
      <c r="AE8" s="34">
        <v>3003.5356500967914</v>
      </c>
      <c r="AF8" s="33">
        <v>3441.4292644405682</v>
      </c>
      <c r="AG8" s="34">
        <v>3441.4292644405682</v>
      </c>
      <c r="AH8" s="33">
        <v>4211.2080131927369</v>
      </c>
      <c r="AI8" s="34">
        <v>4211.2080131927369</v>
      </c>
      <c r="AJ8" s="33">
        <v>5893.2360972246624</v>
      </c>
      <c r="AK8" s="34">
        <v>5893.2360972246624</v>
      </c>
      <c r="AL8" s="33">
        <v>10724.98732841265</v>
      </c>
      <c r="AM8" s="34">
        <v>10724.98732841265</v>
      </c>
      <c r="AN8" s="33">
        <v>32094.496906665576</v>
      </c>
      <c r="AO8" s="34">
        <v>32094.496906665576</v>
      </c>
      <c r="AP8" s="33">
        <v>44890.787932229905</v>
      </c>
      <c r="AQ8" s="34">
        <v>44890.787932229905</v>
      </c>
      <c r="AR8" s="33">
        <v>67979.469537460463</v>
      </c>
      <c r="AS8" s="34">
        <v>67979.469537460463</v>
      </c>
      <c r="AT8" s="33">
        <v>118017.56282318922</v>
      </c>
      <c r="AU8" s="34">
        <v>118017.56282318922</v>
      </c>
      <c r="AV8" s="33">
        <v>279169.00082108442</v>
      </c>
      <c r="AW8" s="34">
        <v>279169.00082108442</v>
      </c>
    </row>
    <row r="9" spans="1:49" x14ac:dyDescent="0.2">
      <c r="A9" t="s">
        <v>14</v>
      </c>
      <c r="B9" s="39">
        <v>1015.9116825427475</v>
      </c>
      <c r="C9" s="40">
        <v>1005.7716594496609</v>
      </c>
      <c r="D9" s="39">
        <v>1013.3493992294955</v>
      </c>
      <c r="E9" s="40">
        <v>1072.0509781586973</v>
      </c>
      <c r="F9" s="39">
        <v>1011.0581345241905</v>
      </c>
      <c r="G9" s="40">
        <v>1145.4160407079582</v>
      </c>
      <c r="H9" s="39">
        <v>1009.1298038061082</v>
      </c>
      <c r="I9" s="40">
        <v>1226.7243146239748</v>
      </c>
      <c r="J9" s="39">
        <v>1007.6917871914428</v>
      </c>
      <c r="K9" s="40">
        <v>1316.8970424899098</v>
      </c>
      <c r="L9" s="39">
        <v>1006.9227726358839</v>
      </c>
      <c r="M9" s="40">
        <v>1416.8925315354722</v>
      </c>
      <c r="N9" s="39">
        <v>1007.0764368652835</v>
      </c>
      <c r="O9" s="40">
        <v>1527.6619964220774</v>
      </c>
      <c r="P9" s="39">
        <v>1008.5141937827378</v>
      </c>
      <c r="Q9" s="40">
        <v>1650.1004001075262</v>
      </c>
      <c r="R9" s="39">
        <v>1011.7557686940205</v>
      </c>
      <c r="S9" s="40">
        <v>1784.9989677003484</v>
      </c>
      <c r="T9" s="39">
        <v>1017.5533148327786</v>
      </c>
      <c r="U9" s="40">
        <v>1933.078383546477</v>
      </c>
      <c r="V9" s="39">
        <v>1027.0050420519979</v>
      </c>
      <c r="W9" s="40">
        <v>2095.2453957318985</v>
      </c>
      <c r="X9" s="39">
        <v>1041.7324704363177</v>
      </c>
      <c r="Y9" s="40">
        <v>2273.4204592321576</v>
      </c>
      <c r="Z9" s="39">
        <v>1064.1708802431478</v>
      </c>
      <c r="AA9" s="40">
        <v>2472.6039485823335</v>
      </c>
      <c r="AB9" s="39">
        <v>1098.0685093842469</v>
      </c>
      <c r="AC9" s="40">
        <v>2705.5886673701712</v>
      </c>
      <c r="AD9" s="39">
        <v>1149.4046771015576</v>
      </c>
      <c r="AE9" s="40">
        <v>3003.5356500967914</v>
      </c>
      <c r="AF9" s="39">
        <v>1228.3188016823283</v>
      </c>
      <c r="AG9" s="40">
        <v>3441.4292644405682</v>
      </c>
      <c r="AH9" s="39">
        <v>1354.1224661094129</v>
      </c>
      <c r="AI9" s="40">
        <v>4211.2080131927369</v>
      </c>
      <c r="AJ9" s="39">
        <v>1570.3932930286949</v>
      </c>
      <c r="AK9" s="40">
        <v>5893.2360972246624</v>
      </c>
      <c r="AL9" s="39">
        <v>1987.2601759237739</v>
      </c>
      <c r="AM9" s="40">
        <v>10724.98732841265</v>
      </c>
      <c r="AN9" s="39">
        <v>2942.5960809355456</v>
      </c>
      <c r="AO9" s="40">
        <v>32094.496906665576</v>
      </c>
      <c r="AP9" s="39">
        <v>3299.7476494840171</v>
      </c>
      <c r="AQ9" s="40">
        <v>44890.787932229905</v>
      </c>
      <c r="AR9" s="39">
        <v>3788.59916158126</v>
      </c>
      <c r="AS9" s="40">
        <v>67979.469537460463</v>
      </c>
      <c r="AT9" s="39">
        <v>4520.9620872141477</v>
      </c>
      <c r="AU9" s="40">
        <v>118017.56282318922</v>
      </c>
      <c r="AV9" s="39">
        <v>5841.6415833070123</v>
      </c>
      <c r="AW9" s="40">
        <v>279169.00082108442</v>
      </c>
    </row>
    <row r="10" spans="1:49" x14ac:dyDescent="0.2">
      <c r="A10" t="s">
        <v>15</v>
      </c>
      <c r="B10" s="39">
        <v>1015.9116825427475</v>
      </c>
      <c r="C10" s="40">
        <v>1005.7716594496609</v>
      </c>
      <c r="D10" s="39">
        <v>1013.3493992294955</v>
      </c>
      <c r="E10" s="40">
        <v>1072.0509781586973</v>
      </c>
      <c r="F10" s="39">
        <v>1011.0581345241905</v>
      </c>
      <c r="G10" s="40">
        <v>1145.4160407079582</v>
      </c>
      <c r="H10" s="39">
        <v>1009.1298038061082</v>
      </c>
      <c r="I10" s="40">
        <v>1226.7243146239748</v>
      </c>
      <c r="J10" s="39">
        <v>1007.6917871914428</v>
      </c>
      <c r="K10" s="40">
        <v>1316.8970424899098</v>
      </c>
      <c r="L10" s="39">
        <v>1006.9227726358839</v>
      </c>
      <c r="M10" s="40">
        <v>1416.8925315354722</v>
      </c>
      <c r="N10" s="39">
        <v>1007.0764368652835</v>
      </c>
      <c r="O10" s="40">
        <v>1527.6619964220774</v>
      </c>
      <c r="P10" s="39">
        <v>1008.5141937827378</v>
      </c>
      <c r="Q10" s="40">
        <v>1650.1004001075262</v>
      </c>
      <c r="R10" s="39">
        <v>1011.7557686940205</v>
      </c>
      <c r="S10" s="40">
        <v>1784.9989677003484</v>
      </c>
      <c r="T10" s="39">
        <v>1017.5533148327786</v>
      </c>
      <c r="U10" s="40">
        <v>1933.078383546477</v>
      </c>
      <c r="V10" s="39">
        <v>1027.0050420519979</v>
      </c>
      <c r="W10" s="40">
        <v>2095.2453957318985</v>
      </c>
      <c r="X10" s="39">
        <v>1041.7324704363177</v>
      </c>
      <c r="Y10" s="40">
        <v>2273.4204592321576</v>
      </c>
      <c r="Z10" s="39">
        <v>1064.1708802431478</v>
      </c>
      <c r="AA10" s="40">
        <v>2472.6039485823335</v>
      </c>
      <c r="AB10" s="39">
        <v>1098.0685093842469</v>
      </c>
      <c r="AC10" s="40">
        <v>2705.5886673701712</v>
      </c>
      <c r="AD10" s="39">
        <v>1149.4046771015576</v>
      </c>
      <c r="AE10" s="40">
        <v>3003.5356500967914</v>
      </c>
      <c r="AF10" s="39">
        <v>1228.3188016823283</v>
      </c>
      <c r="AG10" s="40">
        <v>3441.4292644405682</v>
      </c>
      <c r="AH10" s="39">
        <v>1354.1224661094129</v>
      </c>
      <c r="AI10" s="40">
        <v>4211.2080131927369</v>
      </c>
      <c r="AJ10" s="39">
        <v>1570.3932930286949</v>
      </c>
      <c r="AK10" s="40">
        <v>5893.2360972246624</v>
      </c>
      <c r="AL10" s="39">
        <v>1987.2601759237739</v>
      </c>
      <c r="AM10" s="40">
        <v>10724.98732841265</v>
      </c>
      <c r="AN10" s="39">
        <v>2942.5960809355456</v>
      </c>
      <c r="AO10" s="40">
        <v>32094.496906665576</v>
      </c>
      <c r="AP10" s="39">
        <v>3299.7476494840171</v>
      </c>
      <c r="AQ10" s="40">
        <v>44890.787932229905</v>
      </c>
      <c r="AR10" s="39">
        <v>3788.59916158126</v>
      </c>
      <c r="AS10" s="40">
        <v>67979.469537460463</v>
      </c>
      <c r="AT10" s="39">
        <v>4520.9620872141477</v>
      </c>
      <c r="AU10" s="40">
        <v>118017.56282318922</v>
      </c>
      <c r="AV10" s="39">
        <v>5841.6415833070123</v>
      </c>
      <c r="AW10" s="40">
        <v>279169.00082108442</v>
      </c>
    </row>
    <row r="11" spans="1:49" x14ac:dyDescent="0.2">
      <c r="A11" t="s">
        <v>29</v>
      </c>
      <c r="B11" s="39">
        <v>1015.9116825427475</v>
      </c>
      <c r="C11" s="40">
        <v>1005.7716594496609</v>
      </c>
      <c r="D11" s="39">
        <v>1013.3493992294955</v>
      </c>
      <c r="E11" s="40">
        <v>1072.0509781586973</v>
      </c>
      <c r="F11" s="39">
        <v>1011.0581345241905</v>
      </c>
      <c r="G11" s="40">
        <v>1145.4160407079582</v>
      </c>
      <c r="H11" s="39">
        <v>1009.1298038061082</v>
      </c>
      <c r="I11" s="40">
        <v>1226.7243146239748</v>
      </c>
      <c r="J11" s="39">
        <v>1007.6917871914428</v>
      </c>
      <c r="K11" s="40">
        <v>1316.8970424899098</v>
      </c>
      <c r="L11" s="39">
        <v>1006.9227726358839</v>
      </c>
      <c r="M11" s="40">
        <v>1416.8925315354722</v>
      </c>
      <c r="N11" s="39">
        <v>1007.0764368652835</v>
      </c>
      <c r="O11" s="40">
        <v>1527.6619964220774</v>
      </c>
      <c r="P11" s="39">
        <v>1008.5141937827378</v>
      </c>
      <c r="Q11" s="40">
        <v>1650.1004001075262</v>
      </c>
      <c r="R11" s="39">
        <v>1011.7557686940205</v>
      </c>
      <c r="S11" s="40">
        <v>1784.9989677003484</v>
      </c>
      <c r="T11" s="39">
        <v>1017.5533148327786</v>
      </c>
      <c r="U11" s="40">
        <v>1933.078383546477</v>
      </c>
      <c r="V11" s="39">
        <v>1027.0050420519979</v>
      </c>
      <c r="W11" s="40">
        <v>2095.2453957318985</v>
      </c>
      <c r="X11" s="39">
        <v>1041.7324704363177</v>
      </c>
      <c r="Y11" s="40">
        <v>2273.4204592321576</v>
      </c>
      <c r="Z11" s="39">
        <v>1064.1708802431478</v>
      </c>
      <c r="AA11" s="40">
        <v>2472.6039485823335</v>
      </c>
      <c r="AB11" s="39">
        <v>1098.0685093842469</v>
      </c>
      <c r="AC11" s="40">
        <v>2705.5886673701712</v>
      </c>
      <c r="AD11" s="39">
        <v>1149.4046771015576</v>
      </c>
      <c r="AE11" s="40">
        <v>3003.5356500967914</v>
      </c>
      <c r="AF11" s="39">
        <v>1228.3188016823283</v>
      </c>
      <c r="AG11" s="40">
        <v>3441.4292644405682</v>
      </c>
      <c r="AH11" s="39">
        <v>1354.1224661094129</v>
      </c>
      <c r="AI11" s="40">
        <v>4211.2080131927369</v>
      </c>
      <c r="AJ11" s="39">
        <v>1570.3932930286949</v>
      </c>
      <c r="AK11" s="40">
        <v>5893.2360972246624</v>
      </c>
      <c r="AL11" s="39">
        <v>1987.2601759237739</v>
      </c>
      <c r="AM11" s="40">
        <v>10724.98732841265</v>
      </c>
      <c r="AN11" s="39">
        <v>2942.5960809355456</v>
      </c>
      <c r="AO11" s="40">
        <v>32094.496906665576</v>
      </c>
      <c r="AP11" s="39">
        <v>3299.7476494840171</v>
      </c>
      <c r="AQ11" s="40">
        <v>44890.787932229905</v>
      </c>
      <c r="AR11" s="39">
        <v>3788.59916158126</v>
      </c>
      <c r="AS11" s="40">
        <v>67979.469537460463</v>
      </c>
      <c r="AT11" s="39">
        <v>4520.9620872141477</v>
      </c>
      <c r="AU11" s="40">
        <v>118017.56282318922</v>
      </c>
      <c r="AV11" s="39">
        <v>5841.6415833070123</v>
      </c>
      <c r="AW11" s="40">
        <v>279169.00082108442</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992.43638407525214</v>
      </c>
      <c r="E13" s="94">
        <v>992.43638407525214</v>
      </c>
      <c r="F13" s="93">
        <v>984.76754790553389</v>
      </c>
      <c r="G13" s="94">
        <v>984.76754790553389</v>
      </c>
      <c r="H13" s="93">
        <v>977.04564641368233</v>
      </c>
      <c r="I13" s="94">
        <v>977.04564641368233</v>
      </c>
      <c r="J13" s="93">
        <v>969.35381486929248</v>
      </c>
      <c r="K13" s="94">
        <v>969.35381486929248</v>
      </c>
      <c r="L13" s="93">
        <v>961.82150105833512</v>
      </c>
      <c r="M13" s="94">
        <v>961.82150105833512</v>
      </c>
      <c r="N13" s="93">
        <v>954.64740620592636</v>
      </c>
      <c r="O13" s="94">
        <v>954.64740620592636</v>
      </c>
      <c r="P13" s="93">
        <v>948.13077759411124</v>
      </c>
      <c r="Q13" s="94">
        <v>948.13077759411124</v>
      </c>
      <c r="R13" s="93">
        <v>942.71967000798156</v>
      </c>
      <c r="S13" s="94">
        <v>942.71967000798156</v>
      </c>
      <c r="T13" s="93">
        <v>939.0805642690791</v>
      </c>
      <c r="U13" s="94">
        <v>939.0805642690791</v>
      </c>
      <c r="V13" s="93">
        <v>938.20457367794643</v>
      </c>
      <c r="W13" s="94">
        <v>938.20457367794643</v>
      </c>
      <c r="X13" s="93">
        <v>941.57347468126716</v>
      </c>
      <c r="Y13" s="94">
        <v>941.57347468126716</v>
      </c>
      <c r="Z13" s="93">
        <v>951.43894393953394</v>
      </c>
      <c r="AA13" s="94">
        <v>951.43894393953394</v>
      </c>
      <c r="AB13" s="93">
        <v>971.32537010417502</v>
      </c>
      <c r="AC13" s="94">
        <v>971.32537010417502</v>
      </c>
      <c r="AD13" s="93">
        <v>1007.0103597916047</v>
      </c>
      <c r="AE13" s="94">
        <v>1007.0103597916047</v>
      </c>
      <c r="AF13" s="93">
        <v>1068.6947984270862</v>
      </c>
      <c r="AG13" s="94">
        <v>1068.6947984270862</v>
      </c>
      <c r="AH13" s="93">
        <v>1176.8859938436437</v>
      </c>
      <c r="AI13" s="94">
        <v>1176.8859938436437</v>
      </c>
      <c r="AJ13" s="93">
        <v>1381.6291240784983</v>
      </c>
      <c r="AK13" s="94">
        <v>1381.6291240784983</v>
      </c>
      <c r="AL13" s="93">
        <v>1829.9922146779959</v>
      </c>
      <c r="AM13" s="94">
        <v>1829.9922146779959</v>
      </c>
      <c r="AN13" s="93">
        <v>3137.8699587692599</v>
      </c>
      <c r="AO13" s="94">
        <v>3137.8699587692599</v>
      </c>
      <c r="AP13" s="93">
        <v>3746.9482484849577</v>
      </c>
      <c r="AQ13" s="94">
        <v>3746.9482484849577</v>
      </c>
      <c r="AR13" s="93">
        <v>4711.7579684281873</v>
      </c>
      <c r="AS13" s="94">
        <v>4711.7579684281873</v>
      </c>
      <c r="AT13" s="93">
        <v>6503.0198206092273</v>
      </c>
      <c r="AU13" s="94">
        <v>6503.0198206092273</v>
      </c>
      <c r="AV13" s="93">
        <v>11203.026184318258</v>
      </c>
      <c r="AW13" s="94">
        <v>11203.026184318258</v>
      </c>
    </row>
    <row r="14" spans="1:49" x14ac:dyDescent="0.2">
      <c r="A14" t="s">
        <v>36</v>
      </c>
      <c r="B14" s="39">
        <v>1457.0034251455234</v>
      </c>
      <c r="C14" s="40">
        <v>1457.0034251455236</v>
      </c>
      <c r="D14" s="39">
        <v>1445.9832108366804</v>
      </c>
      <c r="E14" s="40">
        <v>1445.9832108366807</v>
      </c>
      <c r="F14" s="39">
        <v>1434.8096902705211</v>
      </c>
      <c r="G14" s="40">
        <v>1434.8096902705213</v>
      </c>
      <c r="H14" s="39">
        <v>1423.5588533482571</v>
      </c>
      <c r="I14" s="40">
        <v>1423.5588533482573</v>
      </c>
      <c r="J14" s="39">
        <v>1412.3518284424385</v>
      </c>
      <c r="K14" s="40">
        <v>1412.3518284424388</v>
      </c>
      <c r="L14" s="39">
        <v>1401.3772214206028</v>
      </c>
      <c r="M14" s="40">
        <v>1401.3772214206031</v>
      </c>
      <c r="N14" s="39">
        <v>1390.9245406483244</v>
      </c>
      <c r="O14" s="40">
        <v>1390.9245406483246</v>
      </c>
      <c r="P14" s="39">
        <v>1381.4297904405084</v>
      </c>
      <c r="Q14" s="40">
        <v>1381.4297904405087</v>
      </c>
      <c r="R14" s="39">
        <v>1373.5457881536865</v>
      </c>
      <c r="S14" s="40">
        <v>1373.5457881536868</v>
      </c>
      <c r="T14" s="39">
        <v>1368.2435986276389</v>
      </c>
      <c r="U14" s="40">
        <v>1368.2435986276391</v>
      </c>
      <c r="V14" s="39">
        <v>1366.9672773359634</v>
      </c>
      <c r="W14" s="40">
        <v>1366.9672773359637</v>
      </c>
      <c r="X14" s="39">
        <v>1371.8757776367779</v>
      </c>
      <c r="Y14" s="40">
        <v>1371.8757776367781</v>
      </c>
      <c r="Z14" s="39">
        <v>1386.2498001367405</v>
      </c>
      <c r="AA14" s="40">
        <v>1386.2498001367408</v>
      </c>
      <c r="AB14" s="39">
        <v>1415.2243911725261</v>
      </c>
      <c r="AC14" s="40">
        <v>1415.2243911725263</v>
      </c>
      <c r="AD14" s="39">
        <v>1467.2175433733939</v>
      </c>
      <c r="AE14" s="40">
        <v>1467.2175433733942</v>
      </c>
      <c r="AF14" s="39">
        <v>1557.0919817434692</v>
      </c>
      <c r="AG14" s="40">
        <v>1557.0919817434694</v>
      </c>
      <c r="AH14" s="39">
        <v>1714.7269240359822</v>
      </c>
      <c r="AI14" s="40">
        <v>1714.7269240359824</v>
      </c>
      <c r="AJ14" s="39">
        <v>2013.0383660631812</v>
      </c>
      <c r="AK14" s="40">
        <v>2013.0383660631815</v>
      </c>
      <c r="AL14" s="39">
        <v>2666.3049247754816</v>
      </c>
      <c r="AM14" s="40">
        <v>2666.304924775482</v>
      </c>
      <c r="AN14" s="39">
        <v>4571.8872775880536</v>
      </c>
      <c r="AO14" s="40">
        <v>4571.8872775880545</v>
      </c>
      <c r="AP14" s="39">
        <v>5459.3164318856025</v>
      </c>
      <c r="AQ14" s="40">
        <v>5459.3164318856034</v>
      </c>
      <c r="AR14" s="39">
        <v>6865.0474984565808</v>
      </c>
      <c r="AS14" s="40">
        <v>6865.0474984565826</v>
      </c>
      <c r="AT14" s="39">
        <v>9474.9221524168697</v>
      </c>
      <c r="AU14" s="40">
        <v>9474.9221524168715</v>
      </c>
      <c r="AV14" s="39">
        <v>16322.847522546685</v>
      </c>
      <c r="AW14" s="40">
        <v>16322.847522546686</v>
      </c>
    </row>
    <row r="15" spans="1:49" x14ac:dyDescent="0.2">
      <c r="A15" t="s">
        <v>18</v>
      </c>
      <c r="B15" s="144">
        <v>1000</v>
      </c>
      <c r="C15" s="145">
        <v>1000</v>
      </c>
      <c r="D15" s="144">
        <v>997.47784836292192</v>
      </c>
      <c r="E15" s="145">
        <v>997.47784836292192</v>
      </c>
      <c r="F15" s="144">
        <v>995.22247051396346</v>
      </c>
      <c r="G15" s="145">
        <v>995.22247051396346</v>
      </c>
      <c r="H15" s="144">
        <v>993.32434221086544</v>
      </c>
      <c r="I15" s="145">
        <v>993.32434221086544</v>
      </c>
      <c r="J15" s="144">
        <v>991.90884848303858</v>
      </c>
      <c r="K15" s="145">
        <v>991.90884848303858</v>
      </c>
      <c r="L15" s="144">
        <v>991.15187859207902</v>
      </c>
      <c r="M15" s="145">
        <v>991.15187859207902</v>
      </c>
      <c r="N15" s="144">
        <v>991.30313606065636</v>
      </c>
      <c r="O15" s="145">
        <v>991.30313606065636</v>
      </c>
      <c r="P15" s="144">
        <v>992.7183741587711</v>
      </c>
      <c r="Q15" s="145">
        <v>992.7183741587711</v>
      </c>
      <c r="R15" s="144">
        <v>995.90917801208366</v>
      </c>
      <c r="S15" s="145">
        <v>995.90917801208366</v>
      </c>
      <c r="T15" s="144">
        <v>1001.615920279529</v>
      </c>
      <c r="U15" s="145">
        <v>1001.615920279529</v>
      </c>
      <c r="V15" s="144">
        <v>1010.9196101392245</v>
      </c>
      <c r="W15" s="145">
        <v>1010.9196101392245</v>
      </c>
      <c r="X15" s="144">
        <v>1025.4163706720478</v>
      </c>
      <c r="Y15" s="145">
        <v>1025.4163706720478</v>
      </c>
      <c r="Z15" s="144">
        <v>1047.5033396403232</v>
      </c>
      <c r="AA15" s="145">
        <v>1047.5033396403232</v>
      </c>
      <c r="AB15" s="144">
        <v>1080.8700483056434</v>
      </c>
      <c r="AC15" s="145">
        <v>1080.8700483056434</v>
      </c>
      <c r="AD15" s="144">
        <v>1131.4021650235261</v>
      </c>
      <c r="AE15" s="145">
        <v>1131.4021650235261</v>
      </c>
      <c r="AF15" s="144">
        <v>1209.0802997834835</v>
      </c>
      <c r="AG15" s="145">
        <v>1209.0802997834835</v>
      </c>
      <c r="AH15" s="144">
        <v>1332.913568549729</v>
      </c>
      <c r="AI15" s="145">
        <v>1332.913568549729</v>
      </c>
      <c r="AJ15" s="144">
        <v>1545.7970609198267</v>
      </c>
      <c r="AK15" s="145">
        <v>1545.7970609198267</v>
      </c>
      <c r="AL15" s="144">
        <v>1956.1347802889884</v>
      </c>
      <c r="AM15" s="145">
        <v>1956.1347802889884</v>
      </c>
      <c r="AN15" s="144">
        <v>2896.5077688352376</v>
      </c>
      <c r="AO15" s="145">
        <v>2896.5077688352376</v>
      </c>
      <c r="AP15" s="144">
        <v>3248.065462959346</v>
      </c>
      <c r="AQ15" s="145">
        <v>3248.065462959346</v>
      </c>
      <c r="AR15" s="144">
        <v>3729.2603546980508</v>
      </c>
      <c r="AS15" s="145">
        <v>3729.2603546980508</v>
      </c>
      <c r="AT15" s="144">
        <v>4450.1526706519735</v>
      </c>
      <c r="AU15" s="145">
        <v>4450.1526706519735</v>
      </c>
      <c r="AV15" s="144">
        <v>5750.147068577694</v>
      </c>
      <c r="AW15" s="145">
        <v>5750.147068577694</v>
      </c>
    </row>
    <row r="16" spans="1:49" s="27" customFormat="1" x14ac:dyDescent="0.2">
      <c r="A16" t="s">
        <v>61</v>
      </c>
      <c r="B16" s="39">
        <v>1000</v>
      </c>
      <c r="C16" s="40">
        <v>1000</v>
      </c>
      <c r="D16" s="39">
        <v>994.78899997550013</v>
      </c>
      <c r="E16" s="40">
        <v>996.03849288958656</v>
      </c>
      <c r="F16" s="39">
        <v>989.64422715336354</v>
      </c>
      <c r="G16" s="40">
        <v>992.23667599835039</v>
      </c>
      <c r="H16" s="39">
        <v>984.63518925388234</v>
      </c>
      <c r="I16" s="40">
        <v>988.67386838578409</v>
      </c>
      <c r="J16" s="39">
        <v>979.86409090086238</v>
      </c>
      <c r="K16" s="40">
        <v>985.46312934141167</v>
      </c>
      <c r="L16" s="39">
        <v>975.48126850319284</v>
      </c>
      <c r="M16" s="40">
        <v>982.76677031163365</v>
      </c>
      <c r="N16" s="39">
        <v>971.70828569083108</v>
      </c>
      <c r="O16" s="40">
        <v>980.81955250925409</v>
      </c>
      <c r="P16" s="39">
        <v>968.86964913034114</v>
      </c>
      <c r="Q16" s="40">
        <v>979.96064674477975</v>
      </c>
      <c r="R16" s="39">
        <v>967.44177555028216</v>
      </c>
      <c r="S16" s="40">
        <v>980.68297957352263</v>
      </c>
      <c r="T16" s="39">
        <v>968.12417755836645</v>
      </c>
      <c r="U16" s="40">
        <v>983.70524150608082</v>
      </c>
      <c r="V16" s="39">
        <v>971.94834704987602</v>
      </c>
      <c r="W16" s="40">
        <v>990.08214220388572</v>
      </c>
      <c r="X16" s="39">
        <v>980.44783005976103</v>
      </c>
      <c r="Y16" s="40">
        <v>1001.3765184192596</v>
      </c>
      <c r="Z16" s="39">
        <v>995.94082956830073</v>
      </c>
      <c r="AA16" s="40">
        <v>1019.9434356619919</v>
      </c>
      <c r="AB16" s="39">
        <v>1022.028359110677</v>
      </c>
      <c r="AC16" s="40">
        <v>1049.4251043152758</v>
      </c>
      <c r="AD16" s="39">
        <v>1064.5407352216923</v>
      </c>
      <c r="AE16" s="40">
        <v>1095.6772685397543</v>
      </c>
      <c r="AF16" s="39">
        <v>1133.5857267806466</v>
      </c>
      <c r="AG16" s="40">
        <v>1168.7473417224946</v>
      </c>
      <c r="AH16" s="39">
        <v>1249.0009660143469</v>
      </c>
      <c r="AI16" s="40">
        <v>1288.0840935351384</v>
      </c>
      <c r="AJ16" s="39">
        <v>1457.5814076117592</v>
      </c>
      <c r="AK16" s="40">
        <v>1498.6590003219767</v>
      </c>
      <c r="AL16" s="39">
        <v>1888.5669306188722</v>
      </c>
      <c r="AM16" s="40">
        <v>1920.0022376335771</v>
      </c>
      <c r="AN16" s="39">
        <v>3024.4709737481999</v>
      </c>
      <c r="AO16" s="40">
        <v>2965.1021701367681</v>
      </c>
      <c r="AP16" s="39">
        <v>3511.3904160248362</v>
      </c>
      <c r="AQ16" s="40">
        <v>3389.3620430248516</v>
      </c>
      <c r="AR16" s="39">
        <v>4244.529651778791</v>
      </c>
      <c r="AS16" s="40">
        <v>4006.1406819013691</v>
      </c>
      <c r="AT16" s="39">
        <v>5515.7403804367432</v>
      </c>
      <c r="AU16" s="40">
        <v>5024.0078128989699</v>
      </c>
      <c r="AV16" s="39">
        <v>8523.5872094898605</v>
      </c>
      <c r="AW16" s="40">
        <v>7249.8097464226603</v>
      </c>
    </row>
    <row r="17" spans="1:49" x14ac:dyDescent="0.2">
      <c r="A17" t="s">
        <v>62</v>
      </c>
      <c r="B17" s="33">
        <v>1000.0000000000002</v>
      </c>
      <c r="C17" s="34">
        <v>999.99999999999977</v>
      </c>
      <c r="D17" s="33">
        <v>997.70886435192278</v>
      </c>
      <c r="E17" s="34">
        <v>1033.0667277074497</v>
      </c>
      <c r="F17" s="33">
        <v>995.6640721696541</v>
      </c>
      <c r="G17" s="34">
        <v>1069.6238091938055</v>
      </c>
      <c r="H17" s="33">
        <v>993.9461073915279</v>
      </c>
      <c r="I17" s="34">
        <v>1110.0979002792305</v>
      </c>
      <c r="J17" s="33">
        <v>992.66671996707214</v>
      </c>
      <c r="K17" s="34">
        <v>1154.9576129185753</v>
      </c>
      <c r="L17" s="33">
        <v>991.98315536838777</v>
      </c>
      <c r="M17" s="34">
        <v>1204.7084638352233</v>
      </c>
      <c r="N17" s="33">
        <v>992.11971041144352</v>
      </c>
      <c r="O17" s="34">
        <v>1259.884324983376</v>
      </c>
      <c r="P17" s="33">
        <v>993.39822447296547</v>
      </c>
      <c r="Q17" s="34">
        <v>1321.0429365776283</v>
      </c>
      <c r="R17" s="33">
        <v>996.28626198553116</v>
      </c>
      <c r="S17" s="34">
        <v>1388.7735970608594</v>
      </c>
      <c r="T17" s="33">
        <v>1001.4703780304568</v>
      </c>
      <c r="U17" s="34">
        <v>1463.7592422721793</v>
      </c>
      <c r="V17" s="33">
        <v>1009.9732974554497</v>
      </c>
      <c r="W17" s="34">
        <v>1546.9698213373629</v>
      </c>
      <c r="X17" s="33">
        <v>1023.3465713187722</v>
      </c>
      <c r="Y17" s="34">
        <v>1640.1657698384449</v>
      </c>
      <c r="Z17" s="33">
        <v>1044.004514557022</v>
      </c>
      <c r="AA17" s="34">
        <v>1747.0551064855408</v>
      </c>
      <c r="AB17" s="33">
        <v>1075.8332958220842</v>
      </c>
      <c r="AC17" s="34">
        <v>1875.8258335922783</v>
      </c>
      <c r="AD17" s="33">
        <v>1125.3786424553268</v>
      </c>
      <c r="AE17" s="34">
        <v>2044.7001660161125</v>
      </c>
      <c r="AF17" s="33">
        <v>1204.458501420422</v>
      </c>
      <c r="AG17" s="34">
        <v>2295.1089735074338</v>
      </c>
      <c r="AH17" s="33">
        <v>1337.1671469659893</v>
      </c>
      <c r="AI17" s="34">
        <v>2729.0480554241735</v>
      </c>
      <c r="AJ17" s="33">
        <v>1582.4674105716549</v>
      </c>
      <c r="AK17" s="34">
        <v>3644.6515583107157</v>
      </c>
      <c r="AL17" s="33">
        <v>2111.8310915707434</v>
      </c>
      <c r="AM17" s="34">
        <v>6145.6753873875268</v>
      </c>
      <c r="AN17" s="33">
        <v>3618.9072017690387</v>
      </c>
      <c r="AO17" s="34">
        <v>16540.14115861915</v>
      </c>
      <c r="AP17" s="33">
        <v>4303.8344570652616</v>
      </c>
      <c r="AQ17" s="34">
        <v>22578.01128925637</v>
      </c>
      <c r="AR17" s="33">
        <v>5370.6222571630615</v>
      </c>
      <c r="AS17" s="34">
        <v>33320.99813249107</v>
      </c>
      <c r="AT17" s="33">
        <v>7304.9950744182497</v>
      </c>
      <c r="AU17" s="34">
        <v>56258.523804214543</v>
      </c>
      <c r="AV17" s="33">
        <v>12202.599138496198</v>
      </c>
      <c r="AW17" s="34">
        <v>128894.98849173771</v>
      </c>
    </row>
    <row r="18" spans="1:49" x14ac:dyDescent="0.2">
      <c r="A18" t="s">
        <v>19</v>
      </c>
      <c r="B18" s="31">
        <v>27857.010133999996</v>
      </c>
      <c r="C18" s="32">
        <v>1236.7674480000003</v>
      </c>
      <c r="D18" s="31">
        <v>27657.38133303884</v>
      </c>
      <c r="E18" s="32">
        <v>1150.8635796361032</v>
      </c>
      <c r="F18" s="31">
        <v>27422.825869005817</v>
      </c>
      <c r="G18" s="32">
        <v>1065.2683520043349</v>
      </c>
      <c r="H18" s="31">
        <v>27145.519317634607</v>
      </c>
      <c r="I18" s="32">
        <v>980.11881158451865</v>
      </c>
      <c r="J18" s="31">
        <v>26815.607517647644</v>
      </c>
      <c r="K18" s="32">
        <v>895.59180174829271</v>
      </c>
      <c r="L18" s="31">
        <v>26420.671647850417</v>
      </c>
      <c r="M18" s="32">
        <v>811.91591256320339</v>
      </c>
      <c r="N18" s="31">
        <v>25945.142661103811</v>
      </c>
      <c r="O18" s="32">
        <v>729.38684482571693</v>
      </c>
      <c r="P18" s="31">
        <v>25369.916497596136</v>
      </c>
      <c r="Q18" s="32">
        <v>648.37126839633311</v>
      </c>
      <c r="R18" s="31">
        <v>24672.242289827784</v>
      </c>
      <c r="S18" s="32">
        <v>569.30719001666625</v>
      </c>
      <c r="T18" s="31">
        <v>23826.480623780946</v>
      </c>
      <c r="U18" s="32">
        <v>492.68479889996104</v>
      </c>
      <c r="V18" s="31">
        <v>22806.320606420803</v>
      </c>
      <c r="W18" s="32">
        <v>418.99484035287145</v>
      </c>
      <c r="X18" s="31">
        <v>21589.186346126186</v>
      </c>
      <c r="Y18" s="32">
        <v>348.64659224009159</v>
      </c>
      <c r="Z18" s="31">
        <v>20163.098550605057</v>
      </c>
      <c r="AA18" s="32">
        <v>281.86384215190128</v>
      </c>
      <c r="AB18" s="31">
        <v>18535.050177287358</v>
      </c>
      <c r="AC18" s="32">
        <v>218.62944581327341</v>
      </c>
      <c r="AD18" s="31">
        <v>16737.4618908226</v>
      </c>
      <c r="AE18" s="32">
        <v>158.83303377630375</v>
      </c>
      <c r="AF18" s="31">
        <v>14824.969207738708</v>
      </c>
      <c r="AG18" s="32">
        <v>102.93378899142193</v>
      </c>
      <c r="AH18" s="31">
        <v>12849.526990269582</v>
      </c>
      <c r="AI18" s="32">
        <v>53.551888604864835</v>
      </c>
      <c r="AJ18" s="31">
        <v>10807.311639626787</v>
      </c>
      <c r="AK18" s="32">
        <v>17.533267155201472</v>
      </c>
      <c r="AL18" s="31">
        <v>8573.6332506378785</v>
      </c>
      <c r="AM18" s="32">
        <v>2.1167252816527276</v>
      </c>
      <c r="AN18" s="31">
        <v>5776.6801018566639</v>
      </c>
      <c r="AO18" s="32">
        <v>3.1126006342280479E-2</v>
      </c>
      <c r="AP18" s="31">
        <v>5065.4329803758565</v>
      </c>
      <c r="AQ18" s="32">
        <v>7.9519819483919556E-3</v>
      </c>
      <c r="AR18" s="31">
        <v>4259.1316996791229</v>
      </c>
      <c r="AS18" s="32">
        <v>1.4100104526918835E-3</v>
      </c>
      <c r="AT18" s="31">
        <v>3310.9279895010191</v>
      </c>
      <c r="AU18" s="32">
        <v>1.3206926516680961E-4</v>
      </c>
      <c r="AV18" s="31">
        <v>2113.3661261393722</v>
      </c>
      <c r="AW18" s="32">
        <v>2.8303265377793722E-6</v>
      </c>
    </row>
    <row r="19" spans="1:49" x14ac:dyDescent="0.2">
      <c r="A19" t="s">
        <v>3</v>
      </c>
      <c r="B19" s="39">
        <v>1886.3937399999918</v>
      </c>
      <c r="C19" s="40">
        <v>262.78711299999759</v>
      </c>
      <c r="D19" s="39">
        <v>1861.5559469157965</v>
      </c>
      <c r="E19" s="40">
        <v>268.69576547794492</v>
      </c>
      <c r="F19" s="39">
        <v>1835.7605218562114</v>
      </c>
      <c r="G19" s="40">
        <v>275.2756089271731</v>
      </c>
      <c r="H19" s="39">
        <v>1808.8797816687227</v>
      </c>
      <c r="I19" s="40">
        <v>282.50902038418116</v>
      </c>
      <c r="J19" s="39">
        <v>1780.7807792556282</v>
      </c>
      <c r="K19" s="40">
        <v>290.33936765422902</v>
      </c>
      <c r="L19" s="39">
        <v>1751.3359882527245</v>
      </c>
      <c r="M19" s="40">
        <v>298.65288154383592</v>
      </c>
      <c r="N19" s="39">
        <v>1720.445962946422</v>
      </c>
      <c r="O19" s="40">
        <v>307.25642712339942</v>
      </c>
      <c r="P19" s="39">
        <v>1688.0821770632213</v>
      </c>
      <c r="Q19" s="40">
        <v>315.85548810160168</v>
      </c>
      <c r="R19" s="39">
        <v>1654.3677771920657</v>
      </c>
      <c r="S19" s="40">
        <v>324.03717149648929</v>
      </c>
      <c r="T19" s="39">
        <v>1619.7213715518481</v>
      </c>
      <c r="U19" s="40">
        <v>331.27557868037269</v>
      </c>
      <c r="V19" s="39">
        <v>1585.1097827969788</v>
      </c>
      <c r="W19" s="40">
        <v>336.97822368323449</v>
      </c>
      <c r="X19" s="39">
        <v>1552.4741368791028</v>
      </c>
      <c r="Y19" s="40">
        <v>340.60035437012073</v>
      </c>
      <c r="Z19" s="39">
        <v>1525.4393915504436</v>
      </c>
      <c r="AA19" s="40">
        <v>341.83048648099799</v>
      </c>
      <c r="AB19" s="39">
        <v>1510.4944388007636</v>
      </c>
      <c r="AC19" s="40">
        <v>340.79290400742696</v>
      </c>
      <c r="AD19" s="39">
        <v>1519.0485603534221</v>
      </c>
      <c r="AE19" s="40">
        <v>338.06024430754627</v>
      </c>
      <c r="AF19" s="39">
        <v>1571.5622938664242</v>
      </c>
      <c r="AG19" s="40">
        <v>333.92361902388745</v>
      </c>
      <c r="AH19" s="39">
        <v>1708.3000315522791</v>
      </c>
      <c r="AI19" s="40">
        <v>325.62684632746124</v>
      </c>
      <c r="AJ19" s="39">
        <v>2024.099090050752</v>
      </c>
      <c r="AK19" s="40">
        <v>300.60195854275349</v>
      </c>
      <c r="AL19" s="39">
        <v>2779.2997060886769</v>
      </c>
      <c r="AM19" s="40">
        <v>233.45423413465747</v>
      </c>
      <c r="AN19" s="39">
        <v>4859.2198992431559</v>
      </c>
      <c r="AO19" s="40">
        <v>122.78580748338817</v>
      </c>
      <c r="AP19" s="39">
        <v>5716.1818833984489</v>
      </c>
      <c r="AQ19" s="40">
        <v>98.443252731654439</v>
      </c>
      <c r="AR19" s="39">
        <v>6943.2423386311975</v>
      </c>
      <c r="AS19" s="40">
        <v>73.911043726600639</v>
      </c>
      <c r="AT19" s="39">
        <v>8884.3960905981403</v>
      </c>
      <c r="AU19" s="40">
        <v>49.29474567437741</v>
      </c>
      <c r="AV19" s="39">
        <v>12660.010088202334</v>
      </c>
      <c r="AW19" s="40">
        <v>24.650167446079035</v>
      </c>
    </row>
    <row r="20" spans="1:49" x14ac:dyDescent="0.2">
      <c r="A20" t="s">
        <v>114</v>
      </c>
      <c r="B20" s="79">
        <v>26548.356269999993</v>
      </c>
      <c r="C20" s="80">
        <v>1408.5418709999938</v>
      </c>
      <c r="D20" s="79">
        <v>26331.455457605603</v>
      </c>
      <c r="E20" s="80">
        <v>1338.1147774499941</v>
      </c>
      <c r="F20" s="79">
        <v>26084.407153379016</v>
      </c>
      <c r="G20" s="80">
        <v>1267.6876838999945</v>
      </c>
      <c r="H20" s="79">
        <v>25800.780179461675</v>
      </c>
      <c r="I20" s="80">
        <v>1197.2605903499946</v>
      </c>
      <c r="J20" s="79">
        <v>25472.538170724201</v>
      </c>
      <c r="K20" s="80">
        <v>1126.8334967999949</v>
      </c>
      <c r="L20" s="79">
        <v>25089.635148560166</v>
      </c>
      <c r="M20" s="80">
        <v>1056.4064032499953</v>
      </c>
      <c r="N20" s="79">
        <v>24639.583752626673</v>
      </c>
      <c r="O20" s="80">
        <v>985.97930969999561</v>
      </c>
      <c r="P20" s="79">
        <v>24107.199079849957</v>
      </c>
      <c r="Q20" s="80">
        <v>915.55221614999596</v>
      </c>
      <c r="R20" s="79">
        <v>23474.582823525248</v>
      </c>
      <c r="S20" s="80">
        <v>845.12512259999642</v>
      </c>
      <c r="T20" s="79">
        <v>22721.822618109461</v>
      </c>
      <c r="U20" s="80">
        <v>774.69802904999653</v>
      </c>
      <c r="V20" s="79">
        <v>21828.877031429889</v>
      </c>
      <c r="W20" s="80">
        <v>704.27093549999688</v>
      </c>
      <c r="X20" s="79">
        <v>20779.216639750579</v>
      </c>
      <c r="Y20" s="80">
        <v>633.84384194999734</v>
      </c>
      <c r="Z20" s="79">
        <v>19565.430800016868</v>
      </c>
      <c r="AA20" s="80">
        <v>563.41674839999757</v>
      </c>
      <c r="AB20" s="79">
        <v>18196.063890821606</v>
      </c>
      <c r="AC20" s="80">
        <v>492.98965484999775</v>
      </c>
      <c r="AD20" s="79">
        <v>16701.017652708699</v>
      </c>
      <c r="AE20" s="80">
        <v>422.56256129999798</v>
      </c>
      <c r="AF20" s="79">
        <v>15129.570500408179</v>
      </c>
      <c r="AG20" s="80">
        <v>352.13546774999827</v>
      </c>
      <c r="AH20" s="79">
        <v>13532.108195104229</v>
      </c>
      <c r="AI20" s="80">
        <v>281.70837419999856</v>
      </c>
      <c r="AJ20" s="79">
        <v>11921.533004494024</v>
      </c>
      <c r="AK20" s="80">
        <v>211.28128064999879</v>
      </c>
      <c r="AL20" s="79">
        <v>10222.170538988104</v>
      </c>
      <c r="AM20" s="80">
        <v>140.85418709999902</v>
      </c>
      <c r="AN20" s="79">
        <v>8151.2168740647421</v>
      </c>
      <c r="AO20" s="80">
        <v>70.427093549999285</v>
      </c>
      <c r="AP20" s="79">
        <v>7625.3851175947848</v>
      </c>
      <c r="AQ20" s="80">
        <v>56.341674839999335</v>
      </c>
      <c r="AR20" s="79">
        <v>7026.227468615718</v>
      </c>
      <c r="AS20" s="80">
        <v>42.256256129999379</v>
      </c>
      <c r="AT20" s="79">
        <v>6313.6918485830693</v>
      </c>
      <c r="AU20" s="80">
        <v>28.170837419999433</v>
      </c>
      <c r="AV20" s="79">
        <v>5388.6681237337316</v>
      </c>
      <c r="AW20" s="80">
        <v>14.08541870999948</v>
      </c>
    </row>
    <row r="21" spans="1:49" x14ac:dyDescent="0.2">
      <c r="A21" t="s">
        <v>76</v>
      </c>
      <c r="B21" s="79">
        <v>24661.962529999968</v>
      </c>
      <c r="C21" s="80">
        <v>1145.7547579999991</v>
      </c>
      <c r="D21" s="79">
        <v>24469.912322853146</v>
      </c>
      <c r="E21" s="80">
        <v>1069.6361609149753</v>
      </c>
      <c r="F21" s="79">
        <v>24248.692171463736</v>
      </c>
      <c r="G21" s="80">
        <v>993.33300400760629</v>
      </c>
      <c r="H21" s="79">
        <v>23991.988345740669</v>
      </c>
      <c r="I21" s="80">
        <v>916.94708850348241</v>
      </c>
      <c r="J21" s="79">
        <v>23691.884946524729</v>
      </c>
      <c r="K21" s="80">
        <v>840.6243401318527</v>
      </c>
      <c r="L21" s="79">
        <v>23338.449405720243</v>
      </c>
      <c r="M21" s="80">
        <v>764.56757242259346</v>
      </c>
      <c r="N21" s="79">
        <v>22919.280338434539</v>
      </c>
      <c r="O21" s="80">
        <v>689.04978026079118</v>
      </c>
      <c r="P21" s="79">
        <v>22419.214673359093</v>
      </c>
      <c r="Q21" s="80">
        <v>614.42344343611717</v>
      </c>
      <c r="R21" s="79">
        <v>21820.245094888189</v>
      </c>
      <c r="S21" s="80">
        <v>541.12195956388484</v>
      </c>
      <c r="T21" s="79">
        <v>21102.105784802341</v>
      </c>
      <c r="U21" s="80">
        <v>469.64115988673075</v>
      </c>
      <c r="V21" s="79">
        <v>20243.966339061164</v>
      </c>
      <c r="W21" s="80">
        <v>400.49256793754745</v>
      </c>
      <c r="X21" s="79">
        <v>19227.769244009301</v>
      </c>
      <c r="Y21" s="80">
        <v>334.12006964378509</v>
      </c>
      <c r="Z21" s="79">
        <v>18043.368496788808</v>
      </c>
      <c r="AA21" s="80">
        <v>270.79660446439055</v>
      </c>
      <c r="AB21" s="79">
        <v>16694.671887640776</v>
      </c>
      <c r="AC21" s="80">
        <v>210.56164144716973</v>
      </c>
      <c r="AD21" s="79">
        <v>15204.02641048328</v>
      </c>
      <c r="AE21" s="80">
        <v>153.35312190257659</v>
      </c>
      <c r="AF21" s="79">
        <v>13608.597375929481</v>
      </c>
      <c r="AG21" s="80">
        <v>99.639541763457459</v>
      </c>
      <c r="AH21" s="79">
        <v>11938.52658619672</v>
      </c>
      <c r="AI21" s="80">
        <v>51.974553100970653</v>
      </c>
      <c r="AJ21" s="79">
        <v>10169.077343828705</v>
      </c>
      <c r="AK21" s="80">
        <v>17.057401834463249</v>
      </c>
      <c r="AL21" s="79">
        <v>8157.673341228633</v>
      </c>
      <c r="AM21" s="80">
        <v>2.06243145700134</v>
      </c>
      <c r="AN21" s="79">
        <v>5534.5174313282287</v>
      </c>
      <c r="AO21" s="80">
        <v>3.0341900963290987E-2</v>
      </c>
      <c r="AP21" s="79">
        <v>4856.9108442426341</v>
      </c>
      <c r="AQ21" s="80">
        <v>7.7518196747373581E-3</v>
      </c>
      <c r="AR21" s="79">
        <v>4086.2732885564683</v>
      </c>
      <c r="AS21" s="80">
        <v>1.374531914946893E-3</v>
      </c>
      <c r="AT21" s="79">
        <v>3177.9305811868512</v>
      </c>
      <c r="AU21" s="80">
        <v>1.2874650057901216E-4</v>
      </c>
      <c r="AV21" s="79">
        <v>2029.0287952421147</v>
      </c>
      <c r="AW21" s="80">
        <v>2.7591217961307678E-6</v>
      </c>
    </row>
    <row r="22" spans="1:49" x14ac:dyDescent="0.2">
      <c r="A22" t="s">
        <v>28</v>
      </c>
      <c r="B22" s="39">
        <v>6533.6044688320644</v>
      </c>
      <c r="C22" s="40">
        <v>379.90788307663388</v>
      </c>
      <c r="D22" s="39">
        <v>6452.6426363653054</v>
      </c>
      <c r="E22" s="40">
        <v>367.80636788157392</v>
      </c>
      <c r="F22" s="39">
        <v>6362.4148915147225</v>
      </c>
      <c r="G22" s="40">
        <v>355.29111213274911</v>
      </c>
      <c r="H22" s="39">
        <v>6261.193653946395</v>
      </c>
      <c r="I22" s="40">
        <v>342.32266277217678</v>
      </c>
      <c r="J22" s="39">
        <v>6146.8680680150892</v>
      </c>
      <c r="K22" s="40">
        <v>328.85553679449515</v>
      </c>
      <c r="L22" s="39">
        <v>6016.8593908890907</v>
      </c>
      <c r="M22" s="40">
        <v>314.83726825212727</v>
      </c>
      <c r="N22" s="39">
        <v>5868.0368904299739</v>
      </c>
      <c r="O22" s="40">
        <v>300.20773704955144</v>
      </c>
      <c r="P22" s="39">
        <v>5696.6866233079563</v>
      </c>
      <c r="Q22" s="40">
        <v>284.89991550006437</v>
      </c>
      <c r="R22" s="39">
        <v>5498.5468117883556</v>
      </c>
      <c r="S22" s="40">
        <v>268.84238541061598</v>
      </c>
      <c r="T22" s="39">
        <v>5269.0200973811889</v>
      </c>
      <c r="U22" s="40">
        <v>251.9652595150487</v>
      </c>
      <c r="V22" s="39">
        <v>5003.6651575787746</v>
      </c>
      <c r="W22" s="40">
        <v>234.21140584341612</v>
      </c>
      <c r="X22" s="39">
        <v>4699.0744582444049</v>
      </c>
      <c r="Y22" s="40">
        <v>215.55284294933088</v>
      </c>
      <c r="Z22" s="39">
        <v>4354.1551596533145</v>
      </c>
      <c r="AA22" s="40">
        <v>196.01054767469572</v>
      </c>
      <c r="AB22" s="39">
        <v>3971.5918898571831</v>
      </c>
      <c r="AC22" s="40">
        <v>175.66830559782048</v>
      </c>
      <c r="AD22" s="39">
        <v>3558.8123070695001</v>
      </c>
      <c r="AE22" s="40">
        <v>154.65915459106574</v>
      </c>
      <c r="AF22" s="39">
        <v>3126.9648660572288</v>
      </c>
      <c r="AG22" s="40">
        <v>133.08011721028544</v>
      </c>
      <c r="AH22" s="39">
        <v>2685.5706103492598</v>
      </c>
      <c r="AI22" s="40">
        <v>110.77211498635728</v>
      </c>
      <c r="AJ22" s="39">
        <v>2231.502624910941</v>
      </c>
      <c r="AK22" s="40">
        <v>86.998602602206802</v>
      </c>
      <c r="AL22" s="39">
        <v>1735.6532491955047</v>
      </c>
      <c r="AM22" s="40">
        <v>60.679060175449067</v>
      </c>
      <c r="AN22" s="39">
        <v>1121.391908390754</v>
      </c>
      <c r="AO22" s="40">
        <v>31.744313496179203</v>
      </c>
      <c r="AP22" s="39">
        <v>968.54704335251347</v>
      </c>
      <c r="AQ22" s="40">
        <v>25.658795598198829</v>
      </c>
      <c r="AR22" s="39">
        <v>797.95183508571097</v>
      </c>
      <c r="AS22" s="40">
        <v>19.454740465732083</v>
      </c>
      <c r="AT22" s="39">
        <v>601.95688518338761</v>
      </c>
      <c r="AU22" s="40">
        <v>13.115025842787906</v>
      </c>
      <c r="AV22" s="39">
        <v>364.15306478617595</v>
      </c>
      <c r="AW22" s="40">
        <v>6.6176345679306356</v>
      </c>
    </row>
    <row r="23" spans="1:49" x14ac:dyDescent="0.2">
      <c r="A23" t="s">
        <v>7</v>
      </c>
      <c r="B23" s="110">
        <v>3278.5018080150408</v>
      </c>
      <c r="C23" s="8">
        <v>0</v>
      </c>
      <c r="D23" s="110">
        <v>3259.9116385331567</v>
      </c>
      <c r="E23" s="8">
        <v>0</v>
      </c>
      <c r="F23" s="110">
        <v>3237.1806667921551</v>
      </c>
      <c r="G23" s="8">
        <v>0</v>
      </c>
      <c r="H23" s="110">
        <v>3209.3409094902372</v>
      </c>
      <c r="I23" s="8">
        <v>0</v>
      </c>
      <c r="J23" s="110">
        <v>3175.1674320335442</v>
      </c>
      <c r="K23" s="8">
        <v>0</v>
      </c>
      <c r="L23" s="110">
        <v>3133.1101590923681</v>
      </c>
      <c r="M23" s="8">
        <v>0</v>
      </c>
      <c r="N23" s="110">
        <v>3081.2187881699215</v>
      </c>
      <c r="O23" s="8">
        <v>0</v>
      </c>
      <c r="P23" s="110">
        <v>3017.0945967877215</v>
      </c>
      <c r="Q23" s="8">
        <v>0</v>
      </c>
      <c r="R23" s="110">
        <v>2937.8779644074043</v>
      </c>
      <c r="S23" s="8">
        <v>0</v>
      </c>
      <c r="T23" s="110">
        <v>2840.3514314755748</v>
      </c>
      <c r="U23" s="8">
        <v>0</v>
      </c>
      <c r="V23" s="110">
        <v>2721.2376900194008</v>
      </c>
      <c r="W23" s="8">
        <v>0</v>
      </c>
      <c r="X23" s="110">
        <v>2577.795825227463</v>
      </c>
      <c r="Y23" s="8">
        <v>0</v>
      </c>
      <c r="Z23" s="110">
        <v>2408.7645070509557</v>
      </c>
      <c r="AA23" s="8">
        <v>0</v>
      </c>
      <c r="AB23" s="110">
        <v>2215.5549662231911</v>
      </c>
      <c r="AC23" s="8">
        <v>0</v>
      </c>
      <c r="AD23" s="110">
        <v>2003.2933393377932</v>
      </c>
      <c r="AE23" s="8">
        <v>0</v>
      </c>
      <c r="AF23" s="110">
        <v>1780.8142182346633</v>
      </c>
      <c r="AG23" s="8">
        <v>0</v>
      </c>
      <c r="AH23" s="110">
        <v>1558.3435571693922</v>
      </c>
      <c r="AI23" s="8">
        <v>0</v>
      </c>
      <c r="AJ23" s="110">
        <v>1342.4917100603293</v>
      </c>
      <c r="AK23" s="8">
        <v>0</v>
      </c>
      <c r="AL23" s="110">
        <v>1128.2197596331803</v>
      </c>
      <c r="AM23" s="8">
        <v>0</v>
      </c>
      <c r="AN23" s="110">
        <v>873.91382366018615</v>
      </c>
      <c r="AO23" s="8">
        <v>0</v>
      </c>
      <c r="AP23" s="110">
        <v>807.34646616406451</v>
      </c>
      <c r="AQ23" s="8">
        <v>0</v>
      </c>
      <c r="AR23" s="110">
        <v>729.44562554359584</v>
      </c>
      <c r="AS23" s="8">
        <v>0</v>
      </c>
      <c r="AT23" s="110">
        <v>632.94817283021132</v>
      </c>
      <c r="AU23" s="8">
        <v>0</v>
      </c>
      <c r="AV23" s="110">
        <v>498.24321666718402</v>
      </c>
      <c r="AW23" s="8">
        <v>0</v>
      </c>
    </row>
    <row r="24" spans="1:49"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row>
    <row r="25" spans="1:49" x14ac:dyDescent="0.2">
      <c r="A25" t="s">
        <v>0</v>
      </c>
      <c r="B25" s="39">
        <v>3195.0476040000012</v>
      </c>
      <c r="C25" s="40">
        <v>91.012690000004397</v>
      </c>
      <c r="D25" s="39">
        <v>3187.4482666463687</v>
      </c>
      <c r="E25" s="40">
        <v>81.187720038632079</v>
      </c>
      <c r="F25" s="39">
        <v>3174.0592332413712</v>
      </c>
      <c r="G25" s="40">
        <v>71.783542914152719</v>
      </c>
      <c r="H25" s="39">
        <v>3153.3864105029088</v>
      </c>
      <c r="I25" s="40">
        <v>62.84441614852328</v>
      </c>
      <c r="J25" s="39">
        <v>3123.5120387955635</v>
      </c>
      <c r="K25" s="40">
        <v>54.414743741643221</v>
      </c>
      <c r="L25" s="39">
        <v>3081.9737700294259</v>
      </c>
      <c r="M25" s="40">
        <v>46.53790715284233</v>
      </c>
      <c r="N25" s="39">
        <v>3025.6266140496805</v>
      </c>
      <c r="O25" s="40">
        <v>39.254708166890374</v>
      </c>
      <c r="P25" s="39">
        <v>2950.5407747349627</v>
      </c>
      <c r="Q25" s="40">
        <v>32.600472749746409</v>
      </c>
      <c r="R25" s="39">
        <v>2851.9479960111953</v>
      </c>
      <c r="S25" s="40">
        <v>26.601838930723211</v>
      </c>
      <c r="T25" s="39">
        <v>2724.3675103550559</v>
      </c>
      <c r="U25" s="40">
        <v>21.272624172625456</v>
      </c>
      <c r="V25" s="39">
        <v>2562.0422042691225</v>
      </c>
      <c r="W25" s="40">
        <v>16.609525098010185</v>
      </c>
      <c r="X25" s="39">
        <v>2359.8687114721661</v>
      </c>
      <c r="Y25" s="40">
        <v>12.589187704957082</v>
      </c>
      <c r="Z25" s="39">
        <v>2114.9236500972665</v>
      </c>
      <c r="AA25" s="40">
        <v>9.1690817927304717</v>
      </c>
      <c r="AB25" s="39">
        <v>1828.4835635209515</v>
      </c>
      <c r="AC25" s="40">
        <v>6.2963696833607701</v>
      </c>
      <c r="AD25" s="39">
        <v>1507.9953036825384</v>
      </c>
      <c r="AE25" s="40">
        <v>3.9292374724718382</v>
      </c>
      <c r="AF25" s="39">
        <v>1167.7491149399286</v>
      </c>
      <c r="AG25" s="40">
        <v>2.0705711836847174</v>
      </c>
      <c r="AH25" s="39">
        <v>826.78335568543582</v>
      </c>
      <c r="AI25" s="40">
        <v>0.78993733343894412</v>
      </c>
      <c r="AJ25" s="39">
        <v>506.27413993497549</v>
      </c>
      <c r="AK25" s="40">
        <v>0.1545751111257449</v>
      </c>
      <c r="AL25" s="39">
        <v>237.27482009657066</v>
      </c>
      <c r="AM25" s="40">
        <v>7.3745383676256928E-3</v>
      </c>
      <c r="AN25" s="39">
        <v>62.466529586661636</v>
      </c>
      <c r="AO25" s="40">
        <v>1.8144988881616558E-5</v>
      </c>
      <c r="AP25" s="39">
        <v>40.894851577800317</v>
      </c>
      <c r="AQ25" s="40">
        <v>2.6168503463122155E-6</v>
      </c>
      <c r="AR25" s="39">
        <v>23.831254601704575</v>
      </c>
      <c r="AS25" s="40">
        <v>2.2549864657943135E-7</v>
      </c>
      <c r="AT25" s="39">
        <v>11.264588019129393</v>
      </c>
      <c r="AU25" s="40">
        <v>7.9153420566276481E-9</v>
      </c>
      <c r="AV25" s="39">
        <v>3.2225286097819761</v>
      </c>
      <c r="AW25" s="40">
        <v>3.5116644856498503E-11</v>
      </c>
    </row>
    <row r="26" spans="1:49" x14ac:dyDescent="0.2">
      <c r="A26" t="s">
        <v>27</v>
      </c>
      <c r="B26" s="31">
        <v>5036.2953101960647</v>
      </c>
      <c r="C26" s="32">
        <v>74.905331803938267</v>
      </c>
      <c r="D26" s="31">
        <v>5010.7038356409494</v>
      </c>
      <c r="E26" s="32">
        <v>70.099257752514532</v>
      </c>
      <c r="F26" s="31">
        <v>4979.4845523150634</v>
      </c>
      <c r="G26" s="32">
        <v>65.281847097728999</v>
      </c>
      <c r="H26" s="31">
        <v>4941.2300363716877</v>
      </c>
      <c r="I26" s="32">
        <v>60.456681249580555</v>
      </c>
      <c r="J26" s="31">
        <v>4894.1391653745177</v>
      </c>
      <c r="K26" s="32">
        <v>55.629231794263518</v>
      </c>
      <c r="L26" s="31">
        <v>4835.9049689908625</v>
      </c>
      <c r="M26" s="32">
        <v>50.807640733618847</v>
      </c>
      <c r="N26" s="31">
        <v>4763.5869520818851</v>
      </c>
      <c r="O26" s="32">
        <v>46.00375168274612</v>
      </c>
      <c r="P26" s="31">
        <v>4673.5144422453923</v>
      </c>
      <c r="Q26" s="32">
        <v>41.233772894081127</v>
      </c>
      <c r="R26" s="31">
        <v>4561.2322499597904</v>
      </c>
      <c r="S26" s="32">
        <v>36.518806197219419</v>
      </c>
      <c r="T26" s="31">
        <v>4421.6041161102585</v>
      </c>
      <c r="U26" s="32">
        <v>31.884402476350193</v>
      </c>
      <c r="V26" s="31">
        <v>4249.1900242232841</v>
      </c>
      <c r="W26" s="32">
        <v>27.358348328576962</v>
      </c>
      <c r="X26" s="31">
        <v>4039.0496526849156</v>
      </c>
      <c r="Y26" s="32">
        <v>22.966444723602329</v>
      </c>
      <c r="Z26" s="31">
        <v>3788.0385633552451</v>
      </c>
      <c r="AA26" s="32">
        <v>18.726687485139369</v>
      </c>
      <c r="AB26" s="31">
        <v>3496.4344008562553</v>
      </c>
      <c r="AC26" s="32">
        <v>14.645859888230248</v>
      </c>
      <c r="AD26" s="31">
        <v>3169.2410247809066</v>
      </c>
      <c r="AE26" s="32">
        <v>10.728335394006088</v>
      </c>
      <c r="AF26" s="31">
        <v>2815.6626083415249</v>
      </c>
      <c r="AG26" s="32">
        <v>7.0174051636162167</v>
      </c>
      <c r="AH26" s="31">
        <v>2444.3151538874995</v>
      </c>
      <c r="AI26" s="32">
        <v>3.6977970573351087</v>
      </c>
      <c r="AJ26" s="31">
        <v>2052.5302390007209</v>
      </c>
      <c r="AK26" s="32">
        <v>1.2375478319957147</v>
      </c>
      <c r="AL26" s="31">
        <v>1612.7168771201189</v>
      </c>
      <c r="AM26" s="32">
        <v>0.15601443774771706</v>
      </c>
      <c r="AN26" s="31">
        <v>1049.4698520457337</v>
      </c>
      <c r="AO26" s="32">
        <v>2.5090050808210746E-3</v>
      </c>
      <c r="AP26" s="31">
        <v>906.13891938345819</v>
      </c>
      <c r="AQ26" s="32">
        <v>6.5983050436594932E-4</v>
      </c>
      <c r="AR26" s="31">
        <v>744.85712228468037</v>
      </c>
      <c r="AS26" s="32">
        <v>1.2131969822769965E-4</v>
      </c>
      <c r="AT26" s="31">
        <v>558.30200509820475</v>
      </c>
      <c r="AU26" s="32">
        <v>1.1927126808470921E-5</v>
      </c>
      <c r="AV26" s="31">
        <v>331.6256761780844</v>
      </c>
      <c r="AW26" s="32">
        <v>2.7536180144317168E-7</v>
      </c>
    </row>
    <row r="27" spans="1:49" x14ac:dyDescent="0.2">
      <c r="A27" t="s">
        <v>2</v>
      </c>
      <c r="B27" s="33">
        <v>6425.1981590000414</v>
      </c>
      <c r="C27" s="34">
        <v>273.22915400000028</v>
      </c>
      <c r="D27" s="33">
        <v>6382.8392725264448</v>
      </c>
      <c r="E27" s="34">
        <v>255.50400713399503</v>
      </c>
      <c r="F27" s="33">
        <v>6332.6253578252863</v>
      </c>
      <c r="G27" s="34">
        <v>237.74903371197718</v>
      </c>
      <c r="H27" s="33">
        <v>6272.7437402226988</v>
      </c>
      <c r="I27" s="34">
        <v>219.97947135836307</v>
      </c>
      <c r="J27" s="33">
        <v>6200.9014451251351</v>
      </c>
      <c r="K27" s="34">
        <v>202.21762791056392</v>
      </c>
      <c r="L27" s="33">
        <v>6114.1963525224264</v>
      </c>
      <c r="M27" s="34">
        <v>184.49577638678937</v>
      </c>
      <c r="N27" s="33">
        <v>6008.974970508496</v>
      </c>
      <c r="O27" s="34">
        <v>166.86027807829157</v>
      </c>
      <c r="P27" s="33">
        <v>5880.7346816540521</v>
      </c>
      <c r="Q27" s="34">
        <v>149.37354552332241</v>
      </c>
      <c r="R27" s="33">
        <v>5724.0890033251171</v>
      </c>
      <c r="S27" s="34">
        <v>132.11594414982065</v>
      </c>
      <c r="T27" s="33">
        <v>5532.9364796262362</v>
      </c>
      <c r="U27" s="34">
        <v>115.18418891553854</v>
      </c>
      <c r="V27" s="33">
        <v>5300.9751644285852</v>
      </c>
      <c r="W27" s="34">
        <v>98.68276273670098</v>
      </c>
      <c r="X27" s="33">
        <v>5022.7402810303447</v>
      </c>
      <c r="Y27" s="34">
        <v>82.708689320772493</v>
      </c>
      <c r="Z27" s="33">
        <v>4695.2355317198471</v>
      </c>
      <c r="AA27" s="34">
        <v>67.330070607916824</v>
      </c>
      <c r="AB27" s="33">
        <v>4319.9437998755802</v>
      </c>
      <c r="AC27" s="34">
        <v>52.573621228212232</v>
      </c>
      <c r="AD27" s="33">
        <v>3904.4124445867992</v>
      </c>
      <c r="AE27" s="34">
        <v>38.455562388005774</v>
      </c>
      <c r="AF27" s="33">
        <v>3461.5891287461322</v>
      </c>
      <c r="AG27" s="34">
        <v>25.127573862548175</v>
      </c>
      <c r="AH27" s="33">
        <v>3004.0853017757677</v>
      </c>
      <c r="AI27" s="34">
        <v>13.238758540641099</v>
      </c>
      <c r="AJ27" s="33">
        <v>2531.8420182866562</v>
      </c>
      <c r="AK27" s="34">
        <v>4.4387641725353957</v>
      </c>
      <c r="AL27" s="33">
        <v>2016.7339512854855</v>
      </c>
      <c r="AM27" s="34">
        <v>0.56342570685547533</v>
      </c>
      <c r="AN27" s="33">
        <v>1371.4291584035971</v>
      </c>
      <c r="AO27" s="34">
        <v>9.2625361489556361E-3</v>
      </c>
      <c r="AP27" s="33">
        <v>1206.6630081296537</v>
      </c>
      <c r="AQ27" s="34">
        <v>2.4589778091600972E-3</v>
      </c>
      <c r="AR27" s="33">
        <v>1019.3337274100849</v>
      </c>
      <c r="AS27" s="34">
        <v>4.5833143206012994E-4</v>
      </c>
      <c r="AT27" s="33">
        <v>798.11702671317107</v>
      </c>
      <c r="AU27" s="34">
        <v>4.6053348859957511E-5</v>
      </c>
      <c r="AV27" s="33">
        <v>516.79750303272715</v>
      </c>
      <c r="AW27" s="34">
        <v>1.1101112198165541E-6</v>
      </c>
    </row>
    <row r="28" spans="1:49" x14ac:dyDescent="0.2">
      <c r="A28" t="s">
        <v>35</v>
      </c>
      <c r="B28" s="39">
        <v>13763.097676000029</v>
      </c>
      <c r="C28" s="40">
        <v>382.36647899999997</v>
      </c>
      <c r="D28" s="39">
        <v>13683.43880674779</v>
      </c>
      <c r="E28" s="40">
        <v>357.63872545725542</v>
      </c>
      <c r="F28" s="39">
        <v>13587.694822911397</v>
      </c>
      <c r="G28" s="40">
        <v>332.86434123887966</v>
      </c>
      <c r="H28" s="39">
        <v>13471.995475437465</v>
      </c>
      <c r="I28" s="40">
        <v>308.063778426439</v>
      </c>
      <c r="J28" s="39">
        <v>13331.415585467526</v>
      </c>
      <c r="K28" s="40">
        <v>283.26732212525121</v>
      </c>
      <c r="L28" s="39">
        <v>13159.68300413313</v>
      </c>
      <c r="M28" s="40">
        <v>258.51912522502442</v>
      </c>
      <c r="N28" s="39">
        <v>12948.85091757282</v>
      </c>
      <c r="O28" s="40">
        <v>233.8828416909698</v>
      </c>
      <c r="P28" s="39">
        <v>12689.060348791319</v>
      </c>
      <c r="Q28" s="40">
        <v>209.44455902295931</v>
      </c>
      <c r="R28" s="39">
        <v>12368.428181264315</v>
      </c>
      <c r="S28" s="40">
        <v>185.31547663221704</v>
      </c>
      <c r="T28" s="39">
        <v>11973.369801522012</v>
      </c>
      <c r="U28" s="40">
        <v>161.62966329705461</v>
      </c>
      <c r="V28" s="39">
        <v>11489.667633778537</v>
      </c>
      <c r="W28" s="40">
        <v>138.53225011685288</v>
      </c>
      <c r="X28" s="39">
        <v>10904.684742095613</v>
      </c>
      <c r="Y28" s="40">
        <v>116.15805953210528</v>
      </c>
      <c r="Z28" s="39">
        <v>10210.890345339409</v>
      </c>
      <c r="AA28" s="40">
        <v>94.601658513189832</v>
      </c>
      <c r="AB28" s="39">
        <v>9410.2448571672521</v>
      </c>
      <c r="AC28" s="40">
        <v>73.899919434571544</v>
      </c>
      <c r="AD28" s="39">
        <v>8517.6888246217495</v>
      </c>
      <c r="AE28" s="40">
        <v>54.075693770148114</v>
      </c>
      <c r="AF28" s="39">
        <v>7559.7148850811</v>
      </c>
      <c r="AG28" s="40">
        <v>35.343823576644063</v>
      </c>
      <c r="AH28" s="39">
        <v>6561.6595086918578</v>
      </c>
      <c r="AI28" s="40">
        <v>18.6221017585687</v>
      </c>
      <c r="AJ28" s="39">
        <v>5519.7850543168279</v>
      </c>
      <c r="AK28" s="40">
        <v>6.2406857568396967</v>
      </c>
      <c r="AL28" s="39">
        <v>4365.743274835505</v>
      </c>
      <c r="AM28" s="40">
        <v>0.79068589360787822</v>
      </c>
      <c r="AN28" s="39">
        <v>2899.8172416361817</v>
      </c>
      <c r="AO28" s="40">
        <v>1.2916889242037294E-2</v>
      </c>
      <c r="AP28" s="39">
        <v>2524.9882479129724</v>
      </c>
      <c r="AQ28" s="40">
        <v>3.419270135131062E-3</v>
      </c>
      <c r="AR28" s="39">
        <v>2100.3128999576415</v>
      </c>
      <c r="AS28" s="40">
        <v>6.3455153764582241E-4</v>
      </c>
      <c r="AT28" s="39">
        <v>1602.9780307593919</v>
      </c>
      <c r="AU28" s="40">
        <v>6.3286731088146812E-5</v>
      </c>
      <c r="AV28" s="39">
        <v>983.70988503289277</v>
      </c>
      <c r="AW28" s="40">
        <v>1.5004519918988482E-6</v>
      </c>
    </row>
    <row r="29" spans="1:49" x14ac:dyDescent="0.2">
      <c r="A29" t="s">
        <v>53</v>
      </c>
      <c r="B29" s="33">
        <v>14362.768558000025</v>
      </c>
      <c r="C29" s="34">
        <v>817.26650999999993</v>
      </c>
      <c r="D29" s="33">
        <v>14258.728389883379</v>
      </c>
      <c r="E29" s="34">
        <v>757.469876725679</v>
      </c>
      <c r="F29" s="33">
        <v>14136.792520874078</v>
      </c>
      <c r="G29" s="34">
        <v>698.22793039827889</v>
      </c>
      <c r="H29" s="33">
        <v>13992.978159608894</v>
      </c>
      <c r="I29" s="34">
        <v>639.65746438833992</v>
      </c>
      <c r="J29" s="33">
        <v>13822.271763059913</v>
      </c>
      <c r="K29" s="34">
        <v>581.9007960769876</v>
      </c>
      <c r="L29" s="33">
        <v>13618.357054108974</v>
      </c>
      <c r="M29" s="34">
        <v>525.13225429816964</v>
      </c>
      <c r="N29" s="33">
        <v>13373.316257324504</v>
      </c>
      <c r="O29" s="34">
        <v>469.56623788086932</v>
      </c>
      <c r="P29" s="33">
        <v>13077.430453433715</v>
      </c>
      <c r="Q29" s="34">
        <v>415.45682624165613</v>
      </c>
      <c r="R29" s="33">
        <v>12719.113109048161</v>
      </c>
      <c r="S29" s="34">
        <v>363.09467391099224</v>
      </c>
      <c r="T29" s="33">
        <v>12285.273951783482</v>
      </c>
      <c r="U29" s="34">
        <v>312.79067182511045</v>
      </c>
      <c r="V29" s="33">
        <v>11762.403759216051</v>
      </c>
      <c r="W29" s="34">
        <v>264.83911359446051</v>
      </c>
      <c r="X29" s="33">
        <v>11138.737265899184</v>
      </c>
      <c r="Y29" s="34">
        <v>219.46266771102199</v>
      </c>
      <c r="Z29" s="33">
        <v>10407.613667735226</v>
      </c>
      <c r="AA29" s="34">
        <v>176.74617014368087</v>
      </c>
      <c r="AB29" s="33">
        <v>9571.541288841785</v>
      </c>
      <c r="AC29" s="34">
        <v>136.60531274702674</v>
      </c>
      <c r="AD29" s="33">
        <v>8645.2100201583635</v>
      </c>
      <c r="AE29" s="34">
        <v>98.8892870160348</v>
      </c>
      <c r="AF29" s="33">
        <v>7653.474691961902</v>
      </c>
      <c r="AG29" s="34">
        <v>63.815584710472407</v>
      </c>
      <c r="AH29" s="33">
        <v>6617.9609330885833</v>
      </c>
      <c r="AI29" s="34">
        <v>32.991027731196944</v>
      </c>
      <c r="AJ29" s="33">
        <v>5528.3198128992026</v>
      </c>
      <c r="AK29" s="34">
        <v>10.681393347314335</v>
      </c>
      <c r="AL29" s="33">
        <v>4308.4074139220229</v>
      </c>
      <c r="AM29" s="34">
        <v>1.2634873874248012</v>
      </c>
      <c r="AN29" s="33">
        <v>2766.4866895655382</v>
      </c>
      <c r="AO29" s="34">
        <v>1.7964574669323555E-2</v>
      </c>
      <c r="AP29" s="33">
        <v>2380.0885329685898</v>
      </c>
      <c r="AQ29" s="34">
        <v>4.5490988378571956E-3</v>
      </c>
      <c r="AR29" s="33">
        <v>1948.5360821905483</v>
      </c>
      <c r="AS29" s="34">
        <v>7.9864327707997087E-4</v>
      </c>
      <c r="AT29" s="33">
        <v>1453.5885217939212</v>
      </c>
      <c r="AU29" s="34">
        <v>7.3945550794175403E-5</v>
      </c>
      <c r="AV29" s="33">
        <v>857.97382359466769</v>
      </c>
      <c r="AW29" s="34">
        <v>1.5618115839291454E-6</v>
      </c>
    </row>
    <row r="30" spans="1:49" x14ac:dyDescent="0.2">
      <c r="A30" t="s">
        <v>48</v>
      </c>
      <c r="B30" s="112">
        <v>2924829.9599999995</v>
      </c>
      <c r="D30" s="112">
        <v>2949982.9257358187</v>
      </c>
      <c r="F30" s="112">
        <v>2972336.138659636</v>
      </c>
      <c r="H30" s="112">
        <v>2991086.9414461679</v>
      </c>
      <c r="J30" s="112">
        <v>3005197.5580907548</v>
      </c>
      <c r="L30" s="112">
        <v>3013332.6949490844</v>
      </c>
      <c r="N30" s="112">
        <v>3013794.8309841761</v>
      </c>
      <c r="P30" s="112">
        <v>3004491.3018681277</v>
      </c>
      <c r="R30" s="112">
        <v>2982951.6781872194</v>
      </c>
      <c r="T30" s="112">
        <v>2946489.4317015358</v>
      </c>
      <c r="V30" s="112">
        <v>2892614.0636656904</v>
      </c>
      <c r="X30" s="112">
        <v>2819857.7989865332</v>
      </c>
      <c r="Z30" s="112">
        <v>2729172.855829915</v>
      </c>
      <c r="AB30" s="112">
        <v>2626014.9262587032</v>
      </c>
      <c r="AD30" s="112">
        <v>2523158.3424809068</v>
      </c>
      <c r="AF30" s="112">
        <v>2444512.4216825329</v>
      </c>
      <c r="AH30" s="112">
        <v>2432342.2693159459</v>
      </c>
      <c r="AJ30" s="112">
        <v>2568467.9337572148</v>
      </c>
      <c r="AL30" s="112">
        <v>3020968.6866274578</v>
      </c>
      <c r="AN30" s="112">
        <v>4110836.5120432801</v>
      </c>
      <c r="AP30" s="112">
        <v>4470789.8592859004</v>
      </c>
      <c r="AR30" s="112">
        <v>4914768.0853353208</v>
      </c>
      <c r="AT30" s="112">
        <v>5476677.9676525798</v>
      </c>
      <c r="AV30" s="112">
        <v>6189071.3062632009</v>
      </c>
    </row>
    <row r="31" spans="1:49" x14ac:dyDescent="0.2">
      <c r="A31" t="s">
        <v>47</v>
      </c>
      <c r="B31" s="77">
        <v>1</v>
      </c>
      <c r="D31" s="77">
        <v>0.98651522134199132</v>
      </c>
      <c r="F31" s="77">
        <v>0.97155919938692137</v>
      </c>
      <c r="H31" s="77">
        <v>0.95487192873641757</v>
      </c>
      <c r="J31" s="77">
        <v>0.93613872011872912</v>
      </c>
      <c r="L31" s="77">
        <v>0.91497894237533417</v>
      </c>
      <c r="N31" s="77">
        <v>0.89093530399624887</v>
      </c>
      <c r="P31" s="77">
        <v>0.86347134162881956</v>
      </c>
      <c r="R31" s="77">
        <v>0.83197899280681253</v>
      </c>
      <c r="T31" s="77">
        <v>0.79581173184311038</v>
      </c>
      <c r="V31" s="77">
        <v>0.75435715936546266</v>
      </c>
      <c r="X31" s="77">
        <v>0.70716245914151987</v>
      </c>
      <c r="Z31" s="77">
        <v>0.65411287863804302</v>
      </c>
      <c r="AB31" s="77">
        <v>0.59562882902088821</v>
      </c>
      <c r="AD31" s="77">
        <v>0.53278189714803714</v>
      </c>
      <c r="AF31" s="77">
        <v>0.46711176864809395</v>
      </c>
      <c r="AH31" s="77">
        <v>0.39979532202296264</v>
      </c>
      <c r="AJ31" s="77">
        <v>0.32994966645808432</v>
      </c>
      <c r="AL31" s="77">
        <v>0.25267223865338451</v>
      </c>
      <c r="AN31" s="77">
        <v>0.15665366023072377</v>
      </c>
      <c r="AP31" s="77">
        <v>0.13307574847596232</v>
      </c>
      <c r="AR31" s="77">
        <v>0.10707771869470741</v>
      </c>
      <c r="AT31" s="77">
        <v>7.7807533745911442E-2</v>
      </c>
      <c r="AV31" s="77">
        <v>4.367151230060224E-2</v>
      </c>
    </row>
    <row r="32" spans="1:49" x14ac:dyDescent="0.2">
      <c r="A32" t="s">
        <v>64</v>
      </c>
      <c r="B32" s="83">
        <v>14734457.915000005</v>
      </c>
      <c r="D32" s="83">
        <v>14613956.942184856</v>
      </c>
      <c r="F32" s="83">
        <v>14479242.650375172</v>
      </c>
      <c r="H32" s="83">
        <v>14327343.246401479</v>
      </c>
      <c r="J32" s="83">
        <v>14154584.680522867</v>
      </c>
      <c r="L32" s="83">
        <v>13956438.571689451</v>
      </c>
      <c r="N32" s="83">
        <v>13727383.055919202</v>
      </c>
      <c r="P32" s="83">
        <v>13460888.364433512</v>
      </c>
      <c r="R32" s="83">
        <v>13149590.296974339</v>
      </c>
      <c r="T32" s="83">
        <v>12785921.444499493</v>
      </c>
      <c r="V32" s="83">
        <v>12363511.405365529</v>
      </c>
      <c r="X32" s="83">
        <v>11879755.373328023</v>
      </c>
      <c r="Z32" s="83">
        <v>11339880.935874319</v>
      </c>
      <c r="AB32" s="83">
        <v>10762539.207006194</v>
      </c>
      <c r="AD32" s="83">
        <v>10186389.717439385</v>
      </c>
      <c r="AF32" s="83">
        <v>9676816.2543398347</v>
      </c>
      <c r="AH32" s="83">
        <v>9335206.5996689312</v>
      </c>
      <c r="AJ32" s="83">
        <v>9326588.7011365425</v>
      </c>
      <c r="AL32" s="83">
        <v>9918619.08201297</v>
      </c>
      <c r="AN32" s="83">
        <v>11376326.34678873</v>
      </c>
      <c r="AP32" s="83">
        <v>11785376.39761533</v>
      </c>
      <c r="AR32" s="83">
        <v>12225717.70527536</v>
      </c>
      <c r="AT32" s="83">
        <v>12659069.848356133</v>
      </c>
      <c r="AV32" s="83">
        <v>12875944.095996255</v>
      </c>
    </row>
    <row r="33" spans="1:49 16319:16384" x14ac:dyDescent="0.2">
      <c r="A33" t="s">
        <v>54</v>
      </c>
      <c r="B33" s="111">
        <v>7019665.6909999885</v>
      </c>
      <c r="D33" s="111">
        <v>6933088.7154638395</v>
      </c>
      <c r="F33" s="111">
        <v>6839727.4702416137</v>
      </c>
      <c r="H33" s="111">
        <v>6738292.6574684232</v>
      </c>
      <c r="J33" s="111">
        <v>6627217.3528992347</v>
      </c>
      <c r="L33" s="111">
        <v>6504603.314469764</v>
      </c>
      <c r="N33" s="111">
        <v>6368177.6339307195</v>
      </c>
      <c r="P33" s="111">
        <v>6215302.7816955829</v>
      </c>
      <c r="R33" s="111">
        <v>6043069.8366930243</v>
      </c>
      <c r="T33" s="111">
        <v>5848577.462583974</v>
      </c>
      <c r="V33" s="111">
        <v>5629519.7152946107</v>
      </c>
      <c r="X33" s="111">
        <v>5385220.6873578047</v>
      </c>
      <c r="Z33" s="111">
        <v>5118221.5831077406</v>
      </c>
      <c r="AB33" s="111">
        <v>4836366.1632196223</v>
      </c>
      <c r="AD33" s="111">
        <v>4555039.7951003592</v>
      </c>
      <c r="AF33" s="111">
        <v>4298895.5470608119</v>
      </c>
      <c r="AH33" s="111">
        <v>4103075.9160659518</v>
      </c>
      <c r="AJ33" s="111">
        <v>4017040.0607994962</v>
      </c>
      <c r="AL33" s="111">
        <v>4099976.7328206021</v>
      </c>
      <c r="AN33" s="111">
        <v>4318621.2061308054</v>
      </c>
      <c r="AP33" s="111">
        <v>4347804.3815123225</v>
      </c>
      <c r="AR33" s="111">
        <v>4345642.5902373791</v>
      </c>
      <c r="AT33" s="111">
        <v>4269227.6423805822</v>
      </c>
      <c r="AV33" s="111">
        <v>3974690.116071878</v>
      </c>
    </row>
    <row r="34" spans="1:49 16319:16384" x14ac:dyDescent="0.2">
      <c r="A34" t="s">
        <v>75</v>
      </c>
      <c r="B34" s="111">
        <v>1136879.4410000162</v>
      </c>
      <c r="D34" s="111">
        <v>1138384.2742912595</v>
      </c>
      <c r="F34" s="111">
        <v>1134806.6453721398</v>
      </c>
      <c r="H34" s="111">
        <v>1124842.0245985282</v>
      </c>
      <c r="J34" s="111">
        <v>1106806.6356273494</v>
      </c>
      <c r="L34" s="111">
        <v>1078522.8073857075</v>
      </c>
      <c r="N34" s="111">
        <v>1037178.9321467496</v>
      </c>
      <c r="P34" s="111">
        <v>979203.58231988619</v>
      </c>
      <c r="R34" s="111">
        <v>900144.88625336345</v>
      </c>
      <c r="T34" s="111">
        <v>794643.18429546058</v>
      </c>
      <c r="V34" s="111">
        <v>656563.72288691904</v>
      </c>
      <c r="X34" s="111">
        <v>479383.4079278998</v>
      </c>
      <c r="Z34" s="111">
        <v>256822.85385855567</v>
      </c>
      <c r="AB34" s="111">
        <v>-16507.409603878274</v>
      </c>
      <c r="AD34" s="111">
        <v>-345184.26350595808</v>
      </c>
      <c r="AF34" s="111">
        <v>-735666.2267666983</v>
      </c>
      <c r="AH34" s="111">
        <v>-1206353.5848608655</v>
      </c>
      <c r="AJ34" s="111">
        <v>-1818272.3335474043</v>
      </c>
      <c r="AL34" s="111">
        <v>-2775471.7455883962</v>
      </c>
      <c r="AN34" s="111">
        <v>-4919539.1589948935</v>
      </c>
      <c r="AP34" s="111">
        <v>-5773730.2819354525</v>
      </c>
      <c r="AR34" s="111">
        <v>-6993322.1275305953</v>
      </c>
      <c r="AT34" s="111">
        <v>-8922426.248245474</v>
      </c>
      <c r="AV34" s="111">
        <v>-12681437.727038596</v>
      </c>
    </row>
    <row r="35" spans="1:49 16319:16384" x14ac:dyDescent="0.2">
      <c r="A35" t="s">
        <v>78</v>
      </c>
      <c r="B35" s="192">
        <v>1</v>
      </c>
      <c r="D35" s="192">
        <v>1.0011674696114012</v>
      </c>
      <c r="F35" s="192">
        <v>1.0028933336544639</v>
      </c>
      <c r="H35" s="192">
        <v>1.0052966483314203</v>
      </c>
      <c r="J35" s="192">
        <v>1.008531602378866</v>
      </c>
      <c r="L35" s="192">
        <v>1.0128012371125794</v>
      </c>
      <c r="N35" s="192">
        <v>1.0183779525265078</v>
      </c>
      <c r="P35" s="192">
        <v>1.0256326963009967</v>
      </c>
      <c r="R35" s="192">
        <v>1.0350814476443464</v>
      </c>
      <c r="T35" s="192">
        <v>1.0474581244118044</v>
      </c>
      <c r="V35" s="192">
        <v>1.0638352291587256</v>
      </c>
      <c r="X35" s="192">
        <v>1.0858300299856178</v>
      </c>
      <c r="Z35" s="192">
        <v>1.115971461026158</v>
      </c>
      <c r="AB35" s="192">
        <v>1.158377943136816</v>
      </c>
      <c r="AD35" s="192">
        <v>1.2200814807792728</v>
      </c>
      <c r="AF35" s="192">
        <v>1.313936441216206</v>
      </c>
      <c r="AH35" s="192">
        <v>1.4664208465813255</v>
      </c>
      <c r="AJ35" s="192">
        <v>1.7429540813668525</v>
      </c>
      <c r="AL35" s="192">
        <v>2.336977569652031</v>
      </c>
      <c r="AN35" s="192">
        <v>4.0625611833947106</v>
      </c>
      <c r="AP35" s="192">
        <v>4.8667249171690683</v>
      </c>
      <c r="AR35" s="192">
        <v>6.1412825491657763</v>
      </c>
      <c r="AT35" s="192">
        <v>8.5090730063672808</v>
      </c>
      <c r="AV35" s="192">
        <v>14.725580563979433</v>
      </c>
    </row>
    <row r="36" spans="1:49 16319:16384" x14ac:dyDescent="0.2">
      <c r="A36" t="s">
        <v>21</v>
      </c>
      <c r="B36" s="35">
        <v>0.47195767671988198</v>
      </c>
      <c r="C36" s="36">
        <v>0.31738834428178964</v>
      </c>
      <c r="D36" s="35">
        <v>0.47199732013733747</v>
      </c>
      <c r="E36" s="36">
        <v>0.32002626793396449</v>
      </c>
      <c r="F36" s="35">
        <v>0.47203362538340227</v>
      </c>
      <c r="G36" s="36">
        <v>0.32285857126099271</v>
      </c>
      <c r="H36" s="35">
        <v>0.47206481025759911</v>
      </c>
      <c r="I36" s="36">
        <v>0.32589570389618389</v>
      </c>
      <c r="J36" s="35">
        <v>0.47208844402076894</v>
      </c>
      <c r="K36" s="36">
        <v>0.32914492063103595</v>
      </c>
      <c r="L36" s="35">
        <v>0.47210121667803606</v>
      </c>
      <c r="M36" s="36">
        <v>0.33260790862272688</v>
      </c>
      <c r="N36" s="35">
        <v>0.4720986569547847</v>
      </c>
      <c r="O36" s="36">
        <v>0.33627743147012457</v>
      </c>
      <c r="P36" s="35">
        <v>0.47207488844857681</v>
      </c>
      <c r="Q36" s="36">
        <v>0.34013338422200179</v>
      </c>
      <c r="R36" s="35">
        <v>0.47202248565984894</v>
      </c>
      <c r="S36" s="36">
        <v>0.34413799770798614</v>
      </c>
      <c r="T36" s="35">
        <v>0.47193280186842695</v>
      </c>
      <c r="U36" s="36">
        <v>0.34823217704548415</v>
      </c>
      <c r="V36" s="35">
        <v>0.47179739820097255</v>
      </c>
      <c r="W36" s="36">
        <v>0.35233565538757206</v>
      </c>
      <c r="X36" s="35">
        <v>0.47161197524659232</v>
      </c>
      <c r="Y36" s="36">
        <v>0.35635771902878899</v>
      </c>
      <c r="Z36" s="35">
        <v>0.47138543204661132</v>
      </c>
      <c r="AA36" s="36">
        <v>0.36022916970223001</v>
      </c>
      <c r="AB36" s="35">
        <v>0.47115906858966355</v>
      </c>
      <c r="AC36" s="36">
        <v>0.36397446268044686</v>
      </c>
      <c r="AD36" s="35">
        <v>0.47104511663669102</v>
      </c>
      <c r="AE36" s="36">
        <v>0.36785625985090908</v>
      </c>
      <c r="AF36" s="35">
        <v>0.47130270498788296</v>
      </c>
      <c r="AG36" s="36">
        <v>0.3726541555177193</v>
      </c>
      <c r="AH36" s="35">
        <v>0.47250352069455648</v>
      </c>
      <c r="AI36" s="36">
        <v>0.38024156450536511</v>
      </c>
      <c r="AJ36" s="35">
        <v>0.47599510531795491</v>
      </c>
      <c r="AK36" s="36">
        <v>0.39505413629657349</v>
      </c>
      <c r="AL36" s="35">
        <v>0.48532598004833521</v>
      </c>
      <c r="AM36" s="36">
        <v>0.42798793446962741</v>
      </c>
      <c r="AN36" s="35">
        <v>0.5123203250990005</v>
      </c>
      <c r="AO36" s="36">
        <v>0.51008368698872253</v>
      </c>
      <c r="AP36" s="35">
        <v>0.52376621586366601</v>
      </c>
      <c r="AQ36" s="36">
        <v>0.54160993672049351</v>
      </c>
      <c r="AR36" s="35">
        <v>0.54059012667558892</v>
      </c>
      <c r="AS36" s="36">
        <v>0.58550307364303034</v>
      </c>
      <c r="AT36" s="35">
        <v>0.56854213495266215</v>
      </c>
      <c r="AU36" s="36">
        <v>0.65352213431778028</v>
      </c>
      <c r="AV36" s="35">
        <v>0.62927440080333608</v>
      </c>
      <c r="AW36" s="36">
        <v>0.78705012289747733</v>
      </c>
    </row>
    <row r="37" spans="1:49 16319:16384" x14ac:dyDescent="0.2">
      <c r="B37" s="37">
        <v>2.1403217525954466E-2</v>
      </c>
      <c r="C37" s="38">
        <v>0.3496246130199252</v>
      </c>
      <c r="D37" s="37">
        <v>2.0705658056065789E-2</v>
      </c>
      <c r="E37" s="38">
        <v>0.34551821266640526</v>
      </c>
      <c r="F37" s="37">
        <v>2.000960742007548E-2</v>
      </c>
      <c r="G37" s="38">
        <v>0.34139435303553245</v>
      </c>
      <c r="H37" s="37">
        <v>1.9317238234120012E-2</v>
      </c>
      <c r="I37" s="38">
        <v>0.33726674001357038</v>
      </c>
      <c r="J37" s="37">
        <v>1.8631280701071642E-2</v>
      </c>
      <c r="K37" s="38">
        <v>0.33315289250466917</v>
      </c>
      <c r="L37" s="37">
        <v>1.7955175658064329E-2</v>
      </c>
      <c r="M37" s="38">
        <v>0.32907515454824371</v>
      </c>
      <c r="N37" s="37">
        <v>1.729324744561769E-2</v>
      </c>
      <c r="O37" s="38">
        <v>0.32506183079862383</v>
      </c>
      <c r="P37" s="37">
        <v>1.6650795555847295E-2</v>
      </c>
      <c r="Q37" s="38">
        <v>0.32114781310673979</v>
      </c>
      <c r="R37" s="37">
        <v>1.6034166778807687E-2</v>
      </c>
      <c r="S37" s="38">
        <v>0.31737504148819812</v>
      </c>
      <c r="T37" s="37">
        <v>1.545056520914837E-2</v>
      </c>
      <c r="U37" s="38">
        <v>0.31379127717654837</v>
      </c>
      <c r="V37" s="37">
        <v>1.4907453327644878E-2</v>
      </c>
      <c r="W37" s="38">
        <v>0.31044622108239289</v>
      </c>
      <c r="X37" s="37">
        <v>1.4411071563478694E-2</v>
      </c>
      <c r="Y37" s="38">
        <v>0.30738198778797332</v>
      </c>
      <c r="Z37" s="37">
        <v>1.3963455370095688E-2</v>
      </c>
      <c r="AA37" s="38">
        <v>0.30461399062327049</v>
      </c>
      <c r="AB37" s="37">
        <v>1.3556725991583854E-2</v>
      </c>
      <c r="AC37" s="38">
        <v>0.30209449533746274</v>
      </c>
      <c r="AD37" s="37">
        <v>1.3162669840609672E-2</v>
      </c>
      <c r="AE37" s="38">
        <v>0.29964622807765279</v>
      </c>
      <c r="AF37" s="37">
        <v>1.2715002491475986E-2</v>
      </c>
      <c r="AG37" s="38">
        <v>0.29684934821169823</v>
      </c>
      <c r="AH37" s="37">
        <v>1.2082356958454034E-2</v>
      </c>
      <c r="AI37" s="38">
        <v>0.29286897411337587</v>
      </c>
      <c r="AJ37" s="37">
        <v>1.1035475566093118E-2</v>
      </c>
      <c r="AK37" s="38">
        <v>0.2862475592218372</v>
      </c>
      <c r="AL37" s="37">
        <v>9.2834234503083052E-3</v>
      </c>
      <c r="AM37" s="38">
        <v>0.2751698276756569</v>
      </c>
      <c r="AN37" s="37">
        <v>6.6949726377632671E-3</v>
      </c>
      <c r="AO37" s="38">
        <v>0.25910266975550739</v>
      </c>
      <c r="AP37" s="37">
        <v>6.0569056062651288E-3</v>
      </c>
      <c r="AQ37" s="38">
        <v>0.25526030987713838</v>
      </c>
      <c r="AR37" s="37">
        <v>5.3534765304287177E-3</v>
      </c>
      <c r="AS37" s="38">
        <v>0.25111158895159441</v>
      </c>
      <c r="AT37" s="37">
        <v>4.5472988247279257E-3</v>
      </c>
      <c r="AU37" s="38">
        <v>0.24650282444662724</v>
      </c>
      <c r="AV37" s="37">
        <v>3.5335966480781367E-3</v>
      </c>
      <c r="AW37" s="38">
        <v>0.24101024079827726</v>
      </c>
    </row>
    <row r="38" spans="1:49 16319:16384" x14ac:dyDescent="0.2">
      <c r="A38" t="s">
        <v>22</v>
      </c>
      <c r="B38" s="35">
        <v>0.18079094942242827</v>
      </c>
      <c r="C38" s="36">
        <v>6.0565413429233668E-2</v>
      </c>
      <c r="D38" s="35">
        <v>0.18117058065997316</v>
      </c>
      <c r="E38" s="36">
        <v>6.0910136520854662E-2</v>
      </c>
      <c r="F38" s="35">
        <v>0.18158174420467152</v>
      </c>
      <c r="G38" s="36">
        <v>6.1282067541853856E-2</v>
      </c>
      <c r="H38" s="35">
        <v>0.1820274638533699</v>
      </c>
      <c r="I38" s="36">
        <v>6.1683012850087704E-2</v>
      </c>
      <c r="J38" s="35">
        <v>0.18251084418481406</v>
      </c>
      <c r="K38" s="36">
        <v>6.2114494221216857E-2</v>
      </c>
      <c r="L38" s="35">
        <v>0.1830348990913829</v>
      </c>
      <c r="M38" s="36">
        <v>6.2577466394543341E-2</v>
      </c>
      <c r="N38" s="35">
        <v>0.18360226475930361</v>
      </c>
      <c r="O38" s="36">
        <v>6.3071814372712559E-2</v>
      </c>
      <c r="P38" s="35">
        <v>0.18421481374163054</v>
      </c>
      <c r="Q38" s="36">
        <v>6.3595928604405647E-2</v>
      </c>
      <c r="R38" s="35">
        <v>0.18487303247019257</v>
      </c>
      <c r="S38" s="36">
        <v>6.4146047753499025E-2</v>
      </c>
      <c r="T38" s="35">
        <v>0.18557520877410255</v>
      </c>
      <c r="U38" s="36">
        <v>6.4715620509380234E-2</v>
      </c>
      <c r="V38" s="35">
        <v>0.18631633298301453</v>
      </c>
      <c r="W38" s="36">
        <v>6.5295191476668665E-2</v>
      </c>
      <c r="X38" s="35">
        <v>0.18708670108865194</v>
      </c>
      <c r="Y38" s="36">
        <v>6.587313696669303E-2</v>
      </c>
      <c r="Z38" s="35">
        <v>0.18786986304947526</v>
      </c>
      <c r="AA38" s="36">
        <v>6.6438771791974771E-2</v>
      </c>
      <c r="AB38" s="35">
        <v>0.188639057753442</v>
      </c>
      <c r="AC38" s="36">
        <v>6.6989420540995909E-2</v>
      </c>
      <c r="AD38" s="35">
        <v>0.18935015628138033</v>
      </c>
      <c r="AE38" s="36">
        <v>6.7544736374648556E-2</v>
      </c>
      <c r="AF38" s="35">
        <v>0.18992704597806079</v>
      </c>
      <c r="AG38" s="36">
        <v>6.817397117482013E-2</v>
      </c>
      <c r="AH38" s="35">
        <v>0.19022608036377361</v>
      </c>
      <c r="AI38" s="36">
        <v>6.9050731051139597E-2</v>
      </c>
      <c r="AJ38" s="35">
        <v>0.18992051931534767</v>
      </c>
      <c r="AK38" s="36">
        <v>7.0582842378499891E-2</v>
      </c>
      <c r="AL38" s="35">
        <v>0.18810192015154517</v>
      </c>
      <c r="AM38" s="36">
        <v>7.3705567321377591E-2</v>
      </c>
      <c r="AN38" s="35">
        <v>0.18167352762158787</v>
      </c>
      <c r="AO38" s="36">
        <v>8.0607998765743677E-2</v>
      </c>
      <c r="AP38" s="35">
        <v>0.17888676503942658</v>
      </c>
      <c r="AQ38" s="36">
        <v>8.2976861447652026E-2</v>
      </c>
      <c r="AR38" s="35">
        <v>0.17488473585843728</v>
      </c>
      <c r="AS38" s="36">
        <v>8.6041701319366407E-2</v>
      </c>
      <c r="AT38" s="35">
        <v>0.16862402530909315</v>
      </c>
      <c r="AU38" s="36">
        <v>9.0309632550816477E-2</v>
      </c>
      <c r="AV38" s="35">
        <v>0.15691823204523833</v>
      </c>
      <c r="AW38" s="36">
        <v>9.7289764190677461E-2</v>
      </c>
    </row>
    <row r="39" spans="1:49 16319:16384" x14ac:dyDescent="0.2">
      <c r="A39" t="s">
        <v>23</v>
      </c>
      <c r="B39" s="37">
        <v>0.23064923795098771</v>
      </c>
      <c r="C39" s="38">
        <v>0.22092201281804777</v>
      </c>
      <c r="D39" s="37">
        <v>0.23078248788874525</v>
      </c>
      <c r="E39" s="38">
        <v>0.22201068107028291</v>
      </c>
      <c r="F39" s="37">
        <v>0.23092533891565961</v>
      </c>
      <c r="G39" s="38">
        <v>0.22318229323592043</v>
      </c>
      <c r="H39" s="37">
        <v>0.23107842096606057</v>
      </c>
      <c r="I39" s="38">
        <v>0.22444163784871254</v>
      </c>
      <c r="J39" s="37">
        <v>0.23124225103027235</v>
      </c>
      <c r="K39" s="38">
        <v>0.22579218290722747</v>
      </c>
      <c r="L39" s="37">
        <v>0.23141714313761122</v>
      </c>
      <c r="M39" s="38">
        <v>0.22723507882034194</v>
      </c>
      <c r="N39" s="37">
        <v>0.23160308073838318</v>
      </c>
      <c r="O39" s="38">
        <v>0.22876787436187163</v>
      </c>
      <c r="P39" s="37">
        <v>0.23179952847741012</v>
      </c>
      <c r="Q39" s="38">
        <v>0.23038273409736304</v>
      </c>
      <c r="R39" s="37">
        <v>0.23200522012079641</v>
      </c>
      <c r="S39" s="38">
        <v>0.2320644222778093</v>
      </c>
      <c r="T39" s="37">
        <v>0.23221794972539392</v>
      </c>
      <c r="U39" s="38">
        <v>0.23378880203471941</v>
      </c>
      <c r="V39" s="37">
        <v>0.23243447533295525</v>
      </c>
      <c r="W39" s="38">
        <v>0.23552262040647509</v>
      </c>
      <c r="X39" s="37">
        <v>0.2326507447063465</v>
      </c>
      <c r="Y39" s="38">
        <v>0.23722787246925411</v>
      </c>
      <c r="Z39" s="37">
        <v>0.23286279734911836</v>
      </c>
      <c r="AA39" s="38">
        <v>0.23887445120268916</v>
      </c>
      <c r="AB39" s="37">
        <v>0.23306890235286176</v>
      </c>
      <c r="AC39" s="38">
        <v>0.24046907786206531</v>
      </c>
      <c r="AD39" s="37">
        <v>0.23327386613663609</v>
      </c>
      <c r="AE39" s="38">
        <v>0.24211312643039717</v>
      </c>
      <c r="AF39" s="37">
        <v>0.23349722216887744</v>
      </c>
      <c r="AG39" s="38">
        <v>0.24411395042149087</v>
      </c>
      <c r="AH39" s="37">
        <v>0.23378956315284119</v>
      </c>
      <c r="AI39" s="38">
        <v>0.24721366296385755</v>
      </c>
      <c r="AJ39" s="37">
        <v>0.23427121403654547</v>
      </c>
      <c r="AK39" s="38">
        <v>0.2531624102481424</v>
      </c>
      <c r="AL39" s="37">
        <v>0.235225124790058</v>
      </c>
      <c r="AM39" s="38">
        <v>0.26617800228452682</v>
      </c>
      <c r="AN39" s="37">
        <v>0.23740784225922609</v>
      </c>
      <c r="AO39" s="38">
        <v>0.2975819013560288</v>
      </c>
      <c r="AP39" s="37">
        <v>0.23821517584072724</v>
      </c>
      <c r="AQ39" s="38">
        <v>0.30922829366549931</v>
      </c>
      <c r="AR39" s="37">
        <v>0.23932899926219234</v>
      </c>
      <c r="AS39" s="38">
        <v>0.32505534351544618</v>
      </c>
      <c r="AT39" s="37">
        <v>0.24105538666017715</v>
      </c>
      <c r="AU39" s="38">
        <v>0.34870602786946681</v>
      </c>
      <c r="AV39" s="37">
        <v>0.24453761070581548</v>
      </c>
      <c r="AW39" s="38">
        <v>0.39222019261690177</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6.6584460509531346E-2</v>
      </c>
      <c r="E42" s="126"/>
      <c r="F42" s="167">
        <f>6.1%+(1-6.1%)*(1-SUM(F26:G26)/SUM($B$26:$C$26))</f>
        <v>7.320491194902129E-2</v>
      </c>
      <c r="G42" s="126"/>
      <c r="H42" s="167">
        <f>6.1%+(1-6.1%)*(1-SUM(H26:I26)/SUM($B$26:$C$26))</f>
        <v>8.1119260071033691E-2</v>
      </c>
      <c r="I42" s="126"/>
      <c r="J42" s="167">
        <f>6.1%+(1-6.1%)*(1-SUM(J26:K26)/SUM($B$26:$C$26))</f>
        <v>9.065739138685093E-2</v>
      </c>
      <c r="K42" s="126"/>
      <c r="L42" s="167">
        <f>6.1%+(1-6.1%)*(1-SUM(L26:M26)/SUM($B$26:$C$26))</f>
        <v>0.10224163324260194</v>
      </c>
      <c r="M42" s="126"/>
      <c r="N42" s="167">
        <f>6.1%+(1-6.1%)*(1-SUM(N26:O26)/SUM($B$26:$C$26))</f>
        <v>0.11641002043155835</v>
      </c>
      <c r="O42" s="126"/>
      <c r="P42" s="167">
        <f>6.1%+(1-6.1%)*(1-SUM(P26:Q26)/SUM($B$26:$C$26))</f>
        <v>0.13383392981347919</v>
      </c>
      <c r="Q42" s="126"/>
      <c r="R42" s="167">
        <f>6.1%+(1-6.1%)*(1-SUM(R26:S26)/SUM($B$26:$C$26))</f>
        <v>0.15532796614259209</v>
      </c>
      <c r="S42" s="126"/>
      <c r="T42" s="167">
        <f>6.1%+(1-6.1%)*(1-SUM(T26:U26)/SUM($B$26:$C$26))</f>
        <v>0.18183103895594971</v>
      </c>
      <c r="U42" s="126"/>
      <c r="V42" s="167">
        <f>6.1%+(1-6.1%)*(1-SUM(V26:W26)/SUM($B$26:$C$26))</f>
        <v>0.21433745159046053</v>
      </c>
      <c r="W42" s="126"/>
      <c r="X42" s="167">
        <f>6.1%+(1-6.1%)*(1-SUM(X26:Y26)/SUM($B$26:$C$26))</f>
        <v>0.25375007114295245</v>
      </c>
      <c r="Y42" s="152"/>
      <c r="Z42" s="167">
        <f>6.1%+(1-6.1%)*(1-SUM(Z26:AA26)/SUM($B$26:$C$26))</f>
        <v>0.30064326937860048</v>
      </c>
      <c r="AA42" s="126"/>
      <c r="AB42" s="167">
        <f>6.1%+(1-6.1%)*(1-SUM(AB26:AC26)/SUM($B$26:$C$26))</f>
        <v>0.35496479286146759</v>
      </c>
      <c r="AC42" s="126"/>
      <c r="AD42" s="167">
        <f>6.1%+(1-6.1%)*(1-SUM(AD26:AE26)/SUM($B$26:$C$26))</f>
        <v>0.41579455819683303</v>
      </c>
      <c r="AE42" s="126"/>
      <c r="AF42" s="167">
        <f>6.1%+(1-6.1%)*(1-SUM(AF26:AG26)/SUM($B$26:$C$26))</f>
        <v>0.48143367511313484</v>
      </c>
      <c r="AG42" s="126"/>
      <c r="AH42" s="167">
        <f>6.1%+(1-6.1%)*(1-SUM(AH26:AI26)/SUM($B$26:$C$26))</f>
        <v>0.55026532473635603</v>
      </c>
      <c r="AI42" s="126"/>
      <c r="AJ42" s="167">
        <f>6.1%+(1-6.1%)*(1-SUM(AJ26:AK26)/SUM($B$26:$C$26))</f>
        <v>0.62269374909897746</v>
      </c>
      <c r="AK42" s="126"/>
      <c r="AL42" s="167">
        <f>6.1%+(1-6.1%)*(1-SUM(AL26:AM26)/SUM($B$26:$C$26))</f>
        <v>0.70369239025212282</v>
      </c>
      <c r="AM42" s="126"/>
      <c r="AN42" s="167">
        <f>6.1%+(1-6.1%)*(1-SUM(AN26:AO26)/SUM($B$26:$C$26))</f>
        <v>0.80719705289418875</v>
      </c>
      <c r="AO42" s="126"/>
      <c r="AP42" s="167">
        <f>6.1%+(1-6.1%)*(1-SUM(AP26:AQ26)/SUM($B$26:$C$26))</f>
        <v>0.83352931640168038</v>
      </c>
      <c r="AQ42" s="126"/>
      <c r="AR42" s="167">
        <f>6.1%+(1-6.1%)*(1-SUM(AR26:AS26)/SUM($B$26:$C$26))</f>
        <v>0.86315916733982312</v>
      </c>
      <c r="AS42" s="126"/>
      <c r="AT42" s="167">
        <f>6.1%+(1-6.1%)*(1-SUM(AT26:AU26)/SUM($B$26:$C$26))</f>
        <v>0.89743200654677291</v>
      </c>
      <c r="AU42" s="126"/>
      <c r="AV42" s="167">
        <f>6.1%+(1-6.1%)*(1-SUM(AV26:AW26)/SUM($B$26:$C$26))</f>
        <v>0.93907566303874601</v>
      </c>
      <c r="XFD42" s="167"/>
    </row>
    <row r="43" spans="1:49 16319:16384" x14ac:dyDescent="0.2">
      <c r="A43" t="s">
        <v>95</v>
      </c>
      <c r="B43" s="152">
        <f>SUM(B15:C15*B27:C27)/SUM(B15:C15*B27:C27,B13:C13*B26:C26)</f>
        <v>0.56058995943839207</v>
      </c>
      <c r="C43" s="126"/>
      <c r="D43" s="152">
        <f t="array" ref="D43">SUM(D15:E15*D27:E27)/SUM(D15:E15*D27:E27,D13:E13*D26:E26)</f>
        <v>0.56769675974480394</v>
      </c>
      <c r="E43" s="126"/>
      <c r="F43" s="152">
        <f t="array" ref="F43">SUM(F15:G15*F27:G27)/SUM(F15:G15*F27:G27,F13:G13*F26:G26)</f>
        <v>0.56826604531780867</v>
      </c>
      <c r="G43" s="126"/>
      <c r="H43" s="152">
        <f t="array" ref="H43">SUM(H15:I15*H27:I27)/SUM(H15:I15*H27:I27,H13:I13*H26:I26)</f>
        <v>0.56891621657490565</v>
      </c>
      <c r="I43" s="126"/>
      <c r="J43" s="152">
        <f t="array" ref="J43">SUM(J15:K15*J27:K27)/SUM(J15:K15*J27:K27,J13:K13*J26:K26)</f>
        <v>0.56965555773892684</v>
      </c>
      <c r="K43" s="126"/>
      <c r="L43" s="152">
        <f t="array" ref="L43">SUM(L15:M15*L27:M27)/SUM(L15:M15*L27:M27,L13:M13*L26:M26)</f>
        <v>0.57049256891925126</v>
      </c>
      <c r="M43" s="126"/>
      <c r="N43" s="152">
        <f t="array" ref="N43">SUM(N15:O15*N27:O27)/SUM(N15:O15*N27:O27,N13:O13*N26:O26)</f>
        <v>0.57143552372267958</v>
      </c>
      <c r="O43" s="126"/>
      <c r="P43" s="152">
        <f t="array" ref="P43">SUM(P15:Q15*P27:Q27)/SUM(P15:Q15*P27:Q27,P13:Q13*P26:Q26)</f>
        <v>0.57249157264877848</v>
      </c>
      <c r="Q43" s="126"/>
      <c r="R43" s="152">
        <f t="array" ref="R43">SUM(R15:S15*R27:S27)/SUM(R15:S15*R27:S27,R13:S13*R26:S26)</f>
        <v>0.57366534574248196</v>
      </c>
      <c r="S43" s="126"/>
      <c r="T43" s="152">
        <f t="array" ref="T43">SUM(T15:U15*T27:U27)/SUM(T15:U15*T27:U27,T13:U13*T26:U26)</f>
        <v>0.57495671784907831</v>
      </c>
      <c r="U43" s="126"/>
      <c r="V43" s="152">
        <f t="array" ref="V43">SUM(V15:W15*V27:W27)/SUM(V15:W15*V27:W27,V13:W13*V26:W26)</f>
        <v>0.57635722327269379</v>
      </c>
      <c r="W43" s="126"/>
      <c r="X43" s="152">
        <f t="array" ref="X43">SUM(X15:Y15*X27:Y27)/SUM(X15:Y15*X27:Y27,X13:Y13*X26:Y26)</f>
        <v>0.57784438690835038</v>
      </c>
      <c r="Y43" s="126"/>
      <c r="Z43" s="152">
        <f t="array" ref="Z43">SUM(Z15:AA15*Z27:AA27)/SUM(Z15:AA15*Z27:AA27,Z13:AA13*Z26:AA26)</f>
        <v>0.57937202436255153</v>
      </c>
      <c r="AA43" s="126"/>
      <c r="AB43" s="152">
        <f t="array" ref="AB43">SUM(AB15:AC15*AB27:AC27)/SUM(AB15:AC15*AB27:AC27,AB13:AC13*AB26:AC26)</f>
        <v>0.58085281317190562</v>
      </c>
      <c r="AC43" s="126"/>
      <c r="AD43" s="152">
        <f t="array" ref="AD43">SUM(AD15:AE15*AD27:AE27)/SUM(AD15:AE15*AD27:AE27,AD13:AE13*AD26:AE26)</f>
        <v>0.58212640527579806</v>
      </c>
      <c r="AE43" s="126"/>
      <c r="AF43" s="152">
        <f t="array" ref="AF43">SUM(AF15:AG15*AF27:AG27)/SUM(AF15:AG15*AF27:AG27,AF13:AG13*AF26:AG26)</f>
        <v>0.58290145440349184</v>
      </c>
      <c r="AG43" s="126"/>
      <c r="AH43" s="152">
        <f t="array" ref="AH43">SUM(AH15:AI15*AH27:AI27)/SUM(AH15:AI15*AH27:AI27,AH13:AI13*AH26:AI26)</f>
        <v>0.58263236611347347</v>
      </c>
      <c r="AI43" s="126"/>
      <c r="AJ43" s="152">
        <f t="array" ref="AJ43">SUM(AJ15:AK15*AJ27:AK27)/SUM(AJ15:AK15*AJ27:AK27,AJ13:AK13*AJ26:AK26)</f>
        <v>0.58012804358327019</v>
      </c>
      <c r="AK43" s="126"/>
      <c r="AL43" s="152">
        <f t="array" ref="AL43">SUM(AL15:AM15*AL27:AM27)/SUM(AL15:AM15*AL27:AM27,AL13:AM13*AL26:AM26)</f>
        <v>0.5720941675343133</v>
      </c>
      <c r="AM43" s="126"/>
      <c r="AN43" s="152">
        <f t="array" ref="AN43">SUM(AN15:AO15*AN27:AO27)/SUM(AN15:AO15*AN27:AO27,AN13:AO13*AN26:AO26)</f>
        <v>0.54674662423694664</v>
      </c>
      <c r="AO43" s="126"/>
      <c r="AP43" s="152">
        <f t="array" ref="AP43">SUM(AP15:AQ15*AP27:AQ27)/SUM(AP15:AQ15*AP27:AQ27,AP13:AQ13*AP26:AQ26)</f>
        <v>0.53582364615528322</v>
      </c>
      <c r="AQ43" s="126"/>
      <c r="AR43" s="152">
        <f t="array" ref="AR43">SUM(AR15:AS15*AR27:AS27)/SUM(AR15:AS15*AR27:AS27,AR13:AS13*AR26:AS26)</f>
        <v>0.51995469325783172</v>
      </c>
      <c r="AS43" s="126"/>
      <c r="AT43" s="152">
        <f t="array" ref="AT43">SUM(AT15:AU15*AT27:AU27)/SUM(AT15:AU15*AT27:AU27,AT13:AU13*AT26:AU26)</f>
        <v>0.49450696503507974</v>
      </c>
      <c r="AU43" s="126"/>
      <c r="AV43" s="152">
        <f t="array" ref="AV43">SUM(AV15:AW15*AV27:AW27)/SUM(AV15:AW15*AV27:AW27,AV13:AW13*AV26:AW26)</f>
        <v>0.44440230085614718</v>
      </c>
    </row>
    <row r="44" spans="1:49 16319:16384" x14ac:dyDescent="0.2">
      <c r="A44" t="s">
        <v>129</v>
      </c>
      <c r="B44" s="183">
        <f>(SUM(B11:C11*B24:C24)+B34)/B32</f>
        <v>0.29754226190682465</v>
      </c>
      <c r="D44" s="183">
        <f>(SUM(D11:E11*D24:E24)+D34)/D32</f>
        <v>0.29953822524522605</v>
      </c>
      <c r="F44" s="183">
        <f>(SUM(F11:G11*F24:G24)+F34)/F32</f>
        <v>0.3015722188988777</v>
      </c>
      <c r="H44" s="183">
        <f>(SUM(H11:I11*H24:I24)+H34)/H32</f>
        <v>0.3036438055384012</v>
      </c>
      <c r="J44" s="183">
        <f>(SUM(J11:K11*J24:K24)+J34)/J32</f>
        <v>0.30575091259023918</v>
      </c>
      <c r="L44" s="183">
        <f>(SUM(L11:M11*L24:M24)+L34)/L32</f>
        <v>0.30788909841005235</v>
      </c>
      <c r="N44" s="183">
        <f>(SUM(N11:O11*N24:O24)+N34)/N32</f>
        <v>0.31005054395715287</v>
      </c>
      <c r="P44" s="183">
        <f>(SUM(P11:Q11*P24:Q24)+P34)/P32</f>
        <v>0.31222329047739461</v>
      </c>
      <c r="R44" s="183">
        <f>(SUM(R11:S11*R24:S24)+R34)/R32</f>
        <v>0.3143904402119902</v>
      </c>
      <c r="T44" s="183">
        <f>(SUM(T11:U11*T24:U24)+T34)/T32</f>
        <v>0.31653056724109613</v>
      </c>
      <c r="V44" s="183">
        <f>(SUM(V11:W11*V24:W24)+V34)/V32</f>
        <v>0.31862039291600402</v>
      </c>
      <c r="X44" s="183">
        <f>(SUM(X11:Y11*X24:Y24)+X34)/X32</f>
        <v>0.32064305644102492</v>
      </c>
      <c r="Z44" s="183">
        <f>(SUM(Z11:AA11*Z24:AA24)+Z34)/Z32</f>
        <v>0.32260676524622162</v>
      </c>
      <c r="AB44" s="183">
        <f>(SUM(AB11:AC11*AB24:AC24)+AB34)/AB32</f>
        <v>0.32458343123088573</v>
      </c>
      <c r="AD44" s="183">
        <f>(SUM(AD11:AE11*AD24:AE24)+AD34)/AD32</f>
        <v>0.326784590108392</v>
      </c>
      <c r="AF44" s="183">
        <f>(SUM(AF11:AG11*AF24:AG24)+AF34)/AF32</f>
        <v>0.32970690326865459</v>
      </c>
      <c r="AH44" s="183">
        <f>(SUM(AH11:AI11*AH24:AI24)+AH34)/AH32</f>
        <v>0.33442673491915703</v>
      </c>
      <c r="AJ44" s="183">
        <f>(SUM(AJ11:AK11*AJ24:AK24)+AJ34)/AJ32</f>
        <v>0.3432453993089209</v>
      </c>
      <c r="AL44" s="183">
        <f>(SUM(AL11:AM11*AL24:AM24)+AL34)/AL32</f>
        <v>0.36059214711340593</v>
      </c>
      <c r="AN44" s="183">
        <f>(SUM(AN11:AO11*AN24:AO24)+AN34)/AN32</f>
        <v>0.39433905210941789</v>
      </c>
      <c r="AP44" s="183">
        <f>(SUM(AP11:AQ11*AP24:AQ24)+AP34)/AP32</f>
        <v>0.40503860470886555</v>
      </c>
      <c r="AR44" s="183">
        <f>(SUM(AR11:AS11*AR24:AS24)+AR34)/AR32</f>
        <v>0.41850287672490938</v>
      </c>
      <c r="AT44" s="183">
        <f>(SUM(AT11:AU11*AT24:AU24)+AT34)/AT32</f>
        <v>0.43670724466036376</v>
      </c>
      <c r="AV44" s="183">
        <f>(SUM(AV11:AW11*AV24:AW24)+AV34)/AV32</f>
        <v>0.46526263566983816</v>
      </c>
    </row>
    <row r="45" spans="1:49 16319:16384" x14ac:dyDescent="0.2">
      <c r="A45" t="s">
        <v>82</v>
      </c>
      <c r="B45" s="183">
        <f>SUM(B11:C11*B24:C24)/B32</f>
        <v>0.22038438833194082</v>
      </c>
      <c r="D45" s="183">
        <f>SUM(D11:E11*D24:E24)/D32</f>
        <v>0.22164116568805825</v>
      </c>
      <c r="F45" s="183">
        <f>SUM(F11:G11*F24:G24)/F32</f>
        <v>0.22319749497347016</v>
      </c>
      <c r="H45" s="183">
        <f>SUM(H11:I11*H24:I24)/H32</f>
        <v>0.22513364456483423</v>
      </c>
      <c r="J45" s="183">
        <f>SUM(J11:K11*J24:K24)/J32</f>
        <v>0.22755669773981346</v>
      </c>
      <c r="L45" s="183">
        <f>SUM(L11:M11*L24:M24)/L32</f>
        <v>0.23061130280011186</v>
      </c>
      <c r="N45" s="183">
        <f>SUM(N11:O11*N24:O24)/N32</f>
        <v>0.23449507006079928</v>
      </c>
      <c r="P45" s="183">
        <f>SUM(P11:Q11*P24:Q24)/P32</f>
        <v>0.23947893989596145</v>
      </c>
      <c r="R45" s="183">
        <f>SUM(R11:S11*R24:S24)/R32</f>
        <v>0.24593622483917491</v>
      </c>
      <c r="T45" s="183">
        <f>SUM(T11:U11*T24:U24)/T32</f>
        <v>0.25438071063945744</v>
      </c>
      <c r="V45" s="183">
        <f>SUM(V11:W11*V24:W24)/V32</f>
        <v>0.26551543742560968</v>
      </c>
      <c r="X45" s="183">
        <f>SUM(X11:Y11*X24:Y24)/X32</f>
        <v>0.28029008679956302</v>
      </c>
      <c r="Z45" s="183">
        <f>SUM(Z11:AA11*Z24:AA24)/Z32</f>
        <v>0.29995900947957305</v>
      </c>
      <c r="AB45" s="183">
        <f>SUM(AB11:AC11*AB24:AC24)/AB32</f>
        <v>0.32611721515365483</v>
      </c>
      <c r="AD45" s="183">
        <f>SUM(AD11:AE11*AD24:AE24)/AD32</f>
        <v>0.36067140114557356</v>
      </c>
      <c r="AF45" s="183">
        <f>SUM(AF11:AG11*AF24:AG24)/AF32</f>
        <v>0.40573048452005722</v>
      </c>
      <c r="AH45" s="183">
        <f>SUM(AH11:AI11*AH24:AI24)/AH32</f>
        <v>0.46365296810221784</v>
      </c>
      <c r="AJ45" s="183">
        <f>SUM(AJ11:AK11*AJ24:AK24)/AJ32</f>
        <v>0.53820117486765529</v>
      </c>
      <c r="AL45" s="183">
        <f>SUM(AL11:AM11*AL24:AM24)/AL32</f>
        <v>0.64041655841896827</v>
      </c>
      <c r="AN45" s="183">
        <f>SUM(AN11:AO11*AN24:AO24)/AN32</f>
        <v>0.82677558821349717</v>
      </c>
      <c r="AP45" s="183">
        <f>SUM(AP11:AQ11*AP24:AQ24)/AP32</f>
        <v>0.89494491632261397</v>
      </c>
      <c r="AR45" s="183">
        <f>SUM(AR11:AS11*AR24:AS24)/AR32</f>
        <v>0.99052018451151058</v>
      </c>
      <c r="AT45" s="183">
        <f>SUM(AT11:AU11*AT24:AU24)/AT32</f>
        <v>1.1415320347221796</v>
      </c>
      <c r="AV45" s="183">
        <f>SUM(AV11:AW11*AV24:AW24)/AV32</f>
        <v>1.4501564525808528</v>
      </c>
      <c r="XCQ45" s="183"/>
    </row>
    <row r="46" spans="1:49 16319:16384" x14ac:dyDescent="0.2">
      <c r="A46" t="s">
        <v>126</v>
      </c>
      <c r="B46" s="183">
        <f>B34/B32</f>
        <v>7.7157873574883795E-2</v>
      </c>
      <c r="D46" s="183">
        <f>D34/D32</f>
        <v>7.7897059557167789E-2</v>
      </c>
      <c r="F46" s="183">
        <f>F34/F32</f>
        <v>7.8374723925407508E-2</v>
      </c>
      <c r="H46" s="183">
        <f>H34/H32</f>
        <v>7.8510160973567E-2</v>
      </c>
      <c r="J46" s="183">
        <f>J34/J32</f>
        <v>7.8194214850425714E-2</v>
      </c>
      <c r="L46" s="183">
        <f>L34/L32</f>
        <v>7.7277795609940511E-2</v>
      </c>
      <c r="N46" s="183">
        <f>N34/N32</f>
        <v>7.5555473896353573E-2</v>
      </c>
      <c r="P46" s="183">
        <f>P34/P32</f>
        <v>7.2744350581433193E-2</v>
      </c>
      <c r="R46" s="183">
        <f>R34/R32</f>
        <v>6.8454215372815277E-2</v>
      </c>
      <c r="T46" s="183">
        <f>T34/T32</f>
        <v>6.2149856601638701E-2</v>
      </c>
      <c r="V46" s="183">
        <f>V34/V32</f>
        <v>5.3104955490394332E-2</v>
      </c>
      <c r="X46" s="183">
        <f>X34/X32</f>
        <v>4.0352969641461921E-2</v>
      </c>
      <c r="Z46" s="183">
        <f>Z34/Z32</f>
        <v>2.2647755766648559E-2</v>
      </c>
      <c r="AB46" s="183">
        <f>AB34/AB32</f>
        <v>-1.5337839227691069E-3</v>
      </c>
      <c r="AD46" s="183">
        <f>AD34/AD32</f>
        <v>-3.3886811037181594E-2</v>
      </c>
      <c r="AF46" s="183">
        <f>AF34/AF32</f>
        <v>-7.6023581251402655E-2</v>
      </c>
      <c r="AH46" s="183">
        <f>AH34/AH32</f>
        <v>-0.12922623318306081</v>
      </c>
      <c r="AJ46" s="183">
        <f>AJ34/AJ32</f>
        <v>-0.19495577555873445</v>
      </c>
      <c r="AL46" s="183">
        <f>AL34/AL32</f>
        <v>-0.27982441130556229</v>
      </c>
      <c r="AN46" s="183">
        <f>AN34/AN32</f>
        <v>-0.43243653610407934</v>
      </c>
      <c r="AP46" s="183">
        <f>AP34/AP32</f>
        <v>-0.48990631161374848</v>
      </c>
      <c r="AR46" s="183">
        <f>AR34/AR32</f>
        <v>-0.5720173077866012</v>
      </c>
      <c r="AT46" s="183">
        <f>AT34/AT32</f>
        <v>-0.70482479006181575</v>
      </c>
      <c r="AV46" s="183">
        <f>AV34/AV32</f>
        <v>-0.98489381691101463</v>
      </c>
      <c r="XCS46" s="183"/>
    </row>
    <row r="48" spans="1:49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0.99127909585442475</v>
      </c>
      <c r="E49" s="181"/>
      <c r="F49" s="181">
        <f>F13/F35/$B$13*$B$35</f>
        <v>0.98192650689691896</v>
      </c>
      <c r="G49" s="181"/>
      <c r="H49" s="181">
        <f>H13/H35/$B$13*$B$35</f>
        <v>0.97189784531299428</v>
      </c>
      <c r="I49" s="181"/>
      <c r="J49" s="181">
        <f>J13/J35/$B$13*$B$35</f>
        <v>0.96115363423698053</v>
      </c>
      <c r="K49" s="181"/>
      <c r="L49" s="181">
        <f>L13/L35/$B$13*$B$35</f>
        <v>0.94966461909191213</v>
      </c>
      <c r="M49" s="181"/>
      <c r="N49" s="181">
        <f>N13/N35/$B$13*$B$35</f>
        <v>0.9374195541424758</v>
      </c>
      <c r="O49" s="181"/>
      <c r="P49" s="181">
        <f>P13/P35/$B$13*$B$35</f>
        <v>0.92443501558949848</v>
      </c>
      <c r="Q49" s="181"/>
      <c r="R49" s="181">
        <f>R13/R35/$B$13*$B$35</f>
        <v>0.91076858942205652</v>
      </c>
      <c r="S49" s="181"/>
      <c r="T49" s="181">
        <f>T13/T35/$B$13*$B$35</f>
        <v>0.89653279914785688</v>
      </c>
      <c r="U49" s="181"/>
      <c r="V49" s="181">
        <f>V13/V35/$B$13*$B$35</f>
        <v>0.8819077879380558</v>
      </c>
      <c r="W49" s="181"/>
      <c r="X49" s="181">
        <f>X13/X35/$B$13*$B$35</f>
        <v>0.86714628319290321</v>
      </c>
      <c r="Y49" s="181"/>
      <c r="Z49" s="181">
        <f>Z13/Z35/$B$13*$B$35</f>
        <v>0.85256565886072655</v>
      </c>
      <c r="AA49" s="181"/>
      <c r="AB49" s="181">
        <f>AB13/AB35/$B$13*$B$35</f>
        <v>0.83852198313953208</v>
      </c>
      <c r="AC49" s="181"/>
      <c r="AD49" s="181">
        <f>AD13/AD35/$B$13*$B$35</f>
        <v>0.82536320373326355</v>
      </c>
      <c r="AE49" s="181"/>
      <c r="AF49" s="181">
        <f>AF13/AF35/$B$13*$B$35</f>
        <v>0.8133534963364597</v>
      </c>
      <c r="AG49" s="181"/>
      <c r="AH49" s="181">
        <f>AH13/AH35/$B$13*$B$35</f>
        <v>0.80255678074089309</v>
      </c>
      <c r="AI49" s="181"/>
      <c r="AJ49" s="181">
        <f>AJ13/AJ35/$B$13*$B$35</f>
        <v>0.79269393201397631</v>
      </c>
      <c r="AK49" s="181"/>
      <c r="AL49" s="181">
        <f>AL13/AL35/$B$13*$B$35</f>
        <v>0.78305938338572778</v>
      </c>
      <c r="AM49" s="181"/>
      <c r="AN49" s="181">
        <f>AN13/AN35/$B$13*$B$35</f>
        <v>0.77238712652377317</v>
      </c>
      <c r="AO49" s="181"/>
      <c r="AP49" s="181">
        <f>AP13/AP35/$B$13*$B$35</f>
        <v>0.76991165768714231</v>
      </c>
      <c r="AQ49" s="181"/>
      <c r="AR49" s="181">
        <f>AR13/AR35/$B$13*$B$35</f>
        <v>0.76722702964842848</v>
      </c>
      <c r="AS49" s="181"/>
      <c r="AT49" s="181">
        <f>AT13/AT35/$B$13*$B$35</f>
        <v>0.76424539027260219</v>
      </c>
      <c r="AU49" s="181"/>
      <c r="AV49" s="181">
        <f>AV13/AV35/$B$13*$B$35</f>
        <v>0.7607867231885056</v>
      </c>
    </row>
    <row r="51" spans="1:48 16321:16384" x14ac:dyDescent="0.2">
      <c r="A51" t="s">
        <v>150</v>
      </c>
      <c r="B51" s="27">
        <f>B30-B10*B23</f>
        <v>-405838.32800000021</v>
      </c>
      <c r="D51" s="27">
        <f>D30-D10*D23</f>
        <v>-353446.57471299591</v>
      </c>
      <c r="F51" s="27">
        <f>F30-F10*F23</f>
        <v>-300641.70742501505</v>
      </c>
      <c r="H51" s="27">
        <f>H30-H10*H23</f>
        <v>-247554.62089463184</v>
      </c>
      <c r="J51" s="27">
        <f>J30-J10*J23</f>
        <v>-194392.58612719132</v>
      </c>
      <c r="L51" s="27">
        <f>L30-L10*L23</f>
        <v>-141467.27341785841</v>
      </c>
      <c r="N51" s="27">
        <f>N30-N10*N23</f>
        <v>-89228.007408355363</v>
      </c>
      <c r="P51" s="27">
        <f>P30-P10*P23</f>
        <v>-38291.422977495939</v>
      </c>
      <c r="R51" s="27">
        <f>R30-R10*R23</f>
        <v>10536.699978982098</v>
      </c>
      <c r="T51" s="27">
        <f>T30-T10*T23</f>
        <v>56280.417313537095</v>
      </c>
      <c r="V51" s="27">
        <f>V30-V10*V23</f>
        <v>97889.2353938343</v>
      </c>
      <c r="X51" s="27">
        <f>X30-X10*X23</f>
        <v>134484.18569190195</v>
      </c>
      <c r="Z51" s="27">
        <f>Z30-Z10*Z23</f>
        <v>165835.81006304733</v>
      </c>
      <c r="AB51" s="27">
        <f>AB30-AB10*AB23</f>
        <v>193183.78703913838</v>
      </c>
      <c r="AD51" s="27">
        <f>AD30-AD10*AD23</f>
        <v>220563.60863964958</v>
      </c>
      <c r="AF51" s="27">
        <f>AF30-AF10*AF23</f>
        <v>257104.83512167912</v>
      </c>
      <c r="AH51" s="27">
        <f>AH30-AH10*AH23</f>
        <v>322154.24863601383</v>
      </c>
      <c r="AJ51" s="27">
        <f>AJ30-AJ10*AJ23</f>
        <v>460227.9563318505</v>
      </c>
      <c r="AL51" s="27">
        <f>AL30-AL10*AL23</f>
        <v>778902.48861814616</v>
      </c>
      <c r="AN51" s="27">
        <f>AN30-AN10*AN23</f>
        <v>1539261.1194654186</v>
      </c>
      <c r="AP51" s="27">
        <f>AP30-AP10*AP23</f>
        <v>1806750.255241801</v>
      </c>
      <c r="AQ51" s="27"/>
      <c r="AR51" s="27">
        <f>AR30-AR10*AR23</f>
        <v>2151190.9999817358</v>
      </c>
      <c r="AT51" s="27">
        <f>AT30-AT10*AT23</f>
        <v>2615143.2751157265</v>
      </c>
      <c r="AV51" s="27">
        <f>AV30-AV10*AV23</f>
        <v>3278513.0131795332</v>
      </c>
      <c r="XFD51" s="27"/>
    </row>
    <row r="52" spans="1:48 16321:16384" x14ac:dyDescent="0.2">
      <c r="A52" t="s">
        <v>151</v>
      </c>
      <c r="B52" s="27">
        <f t="array" ref="B52">Calibration!sL*SUM(B13:C13*B26:C26)</f>
        <v>2073093.0976150823</v>
      </c>
      <c r="D52" s="27">
        <f t="array" ref="D52">Calibration!sL*SUM(D13:E13*D26:E26)</f>
        <v>2045177.0839436268</v>
      </c>
      <c r="F52" s="27">
        <f t="array" ref="F52">Calibration!sL*SUM(F13:G13*F26:G26)</f>
        <v>2014979.6535454087</v>
      </c>
      <c r="H52" s="27">
        <f t="array" ref="H52">Calibration!sL*SUM(H13:I13*H26:I26)</f>
        <v>1982107.5507341309</v>
      </c>
      <c r="J52" s="27">
        <f t="array" ref="J52">Calibration!sL*SUM(J13:K13*J26:K26)</f>
        <v>1946090.7045871366</v>
      </c>
      <c r="L52" s="27">
        <f t="array" ref="L52">Calibration!sL*SUM(L13:M13*L26:M26)</f>
        <v>1906369.8284699798</v>
      </c>
      <c r="N52" s="27">
        <f t="array" ref="N52">Calibration!sL*SUM(N13:O13*N26:O26)</f>
        <v>1862288.6326897584</v>
      </c>
      <c r="P52" s="27">
        <f t="array" ref="P52">Calibration!sL*SUM(P13:Q13*P26:Q26)</f>
        <v>1813103.6213770083</v>
      </c>
      <c r="R52" s="27">
        <f t="array" ref="R52">Calibration!sL*SUM(R13:S13*R26:S26)</f>
        <v>1758020.3486070922</v>
      </c>
      <c r="T52" s="27">
        <f t="array" ref="T52">Calibration!sL*SUM(T13:U13*T26:U26)</f>
        <v>1696285.9511839866</v>
      </c>
      <c r="V52" s="27">
        <f t="array" ref="V52">Calibration!sL*SUM(V13:W13*V26:W26)</f>
        <v>1627371.8916793945</v>
      </c>
      <c r="X52" s="27">
        <f t="array" ref="X52">Calibration!sL*SUM(X13:Y13*X26:Y26)</f>
        <v>1551285.4942047873</v>
      </c>
      <c r="Z52" s="27">
        <f t="array" ref="Z52">Calibration!sL*SUM(Z13:AA13*Z26:AA26)</f>
        <v>1469037.5472639033</v>
      </c>
      <c r="AB52" s="27">
        <f t="array" ref="AB52">Calibration!sL*SUM(AB13:AC13*AB26:AC26)</f>
        <v>1383252.1867685581</v>
      </c>
      <c r="AD52" s="27">
        <f t="array" ref="AD52">Calibration!sL*SUM(AD13:AE13*AD26:AE26)</f>
        <v>1298831.3117624829</v>
      </c>
      <c r="AF52" s="27">
        <f t="array" ref="AF52">Calibration!sL*SUM(AF13:AG13*AF26:AG26)</f>
        <v>1223520.4138063174</v>
      </c>
      <c r="AH52" s="27">
        <f t="array" ref="AH52">Calibration!sL*SUM(AH13:AI13*AH26:AI26)</f>
        <v>1168541.0713223971</v>
      </c>
      <c r="AJ52" s="27">
        <f t="array" ref="AJ52">Calibration!sL*SUM(AJ13:AK13*AJ26:AK26)</f>
        <v>1150902.922981926</v>
      </c>
      <c r="AL52" s="27">
        <f t="array" ref="AL52">Calibration!sL*SUM(AL13:AM13*AL26:AM26)</f>
        <v>1197140.8780314259</v>
      </c>
      <c r="AN52" s="27">
        <f t="array" ref="AN52">Calibration!sL*SUM(AN13:AO13*AN26:AO26)</f>
        <v>1335678.1539678301</v>
      </c>
      <c r="AP52" s="27">
        <f t="array" ref="AP52">Calibration!sL*SUM(AP13:AQ13*AP26:AQ26)</f>
        <v>1377110.1241857337</v>
      </c>
      <c r="AQ52" s="27"/>
      <c r="AR52" s="27">
        <f t="array" ref="AR52">Calibration!sL*SUM(AR13:AS13*AR26:AS26)</f>
        <v>1423481.7226794767</v>
      </c>
      <c r="AT52" s="27">
        <f t="array" ref="AT52">Calibration!sL*SUM(AT13:AU13*AT26:AU26)</f>
        <v>1472584.2478489038</v>
      </c>
      <c r="AV52" s="27">
        <f t="array" ref="AV52">Calibration!sL*SUM(AV13:AW13*AV26:AW26)</f>
        <v>1506882.4534859436</v>
      </c>
    </row>
    <row r="53" spans="1:48 16321:16384" x14ac:dyDescent="0.2">
      <c r="A53" t="s">
        <v>152</v>
      </c>
      <c r="B53" s="27">
        <f t="array" ref="B53">Calibration!sK*SUM(B15:C15*B27:C27)</f>
        <v>2716869.1663849424</v>
      </c>
      <c r="D53" s="27">
        <f t="array" ref="D53">Calibration!sK*SUM(D15:E15*D27:E27)</f>
        <v>2685708.3073764192</v>
      </c>
      <c r="F53" s="27">
        <f t="array" ref="F53">Calibration!sK*SUM(F15:G15*F27:G27)</f>
        <v>2652199.361894039</v>
      </c>
      <c r="H53" s="27">
        <f t="array" ref="H53">Calibration!sK*SUM(H15:I15*H27:I27)</f>
        <v>2615856.0631732908</v>
      </c>
      <c r="J53" s="27">
        <f t="array" ref="J53">Calibration!sK*SUM(J15:K15*J27:K27)</f>
        <v>2576079.2445870172</v>
      </c>
      <c r="L53" s="27">
        <f t="array" ref="L53">Calibration!sK*SUM(L15:M15*L27:M27)</f>
        <v>2532132.722401083</v>
      </c>
      <c r="N53" s="27">
        <f t="array" ref="N53">Calibration!sK*SUM(N15:O15*N27:O27)</f>
        <v>2483122.0015894277</v>
      </c>
      <c r="P53" s="27">
        <f t="array" ref="P53">Calibration!sK*SUM(P15:Q15*P27:Q27)</f>
        <v>2427990.8351948266</v>
      </c>
      <c r="R53" s="27">
        <f t="array" ref="R53">Calibration!sK*SUM(R15:S15*R27:S27)</f>
        <v>2365548.6154705938</v>
      </c>
      <c r="T53" s="27">
        <f t="array" ref="T53">Calibration!sK*SUM(T15:U15*T27:U27)</f>
        <v>2294568.680372525</v>
      </c>
      <c r="V53" s="27">
        <f t="array" ref="V53">Calibration!sK*SUM(V15:W15*V27:W27)</f>
        <v>2214005.7525968691</v>
      </c>
      <c r="X53" s="27">
        <f t="array" ref="X53">Calibration!sK*SUM(X15:Y15*X27:Y27)</f>
        <v>2123391.4403122594</v>
      </c>
      <c r="Z53" s="27">
        <f t="array" ref="Z53">Calibration!sK*SUM(Z15:AA15*Z27:AA27)</f>
        <v>2023449.0022520269</v>
      </c>
      <c r="AB53" s="27">
        <f t="array" ref="AB53">Calibration!sK*SUM(AB15:AC15*AB27:AC27)</f>
        <v>1916906.397704714</v>
      </c>
      <c r="AD53" s="27">
        <f t="array" ref="AD53">Calibration!sK*SUM(AD15:AE15*AD27:AE27)</f>
        <v>1809360.5629112837</v>
      </c>
      <c r="AF53" s="27">
        <f t="array" ref="AF53">Calibration!sK*SUM(AF15:AG15*AF27:AG27)</f>
        <v>1709888.0737646844</v>
      </c>
      <c r="AH53" s="27">
        <f t="array" ref="AH53">Calibration!sK*SUM(AH15:AI15*AH27:AI27)</f>
        <v>1631247.356067013</v>
      </c>
      <c r="AJ53" s="27">
        <f t="array" ref="AJ53">Calibration!sK*SUM(AJ15:AK15*AJ27:AK27)</f>
        <v>1590177.7931582013</v>
      </c>
      <c r="AL53" s="27">
        <f t="array" ref="AL53">Calibration!sK*SUM(AL15:AM15*AL27:AM27)</f>
        <v>1600532.7856651854</v>
      </c>
      <c r="AN53" s="27">
        <f t="array" ref="AN53">Calibration!sK*SUM(AN15:AO15*AN27:AO27)</f>
        <v>1611190.474907161</v>
      </c>
      <c r="AP53" s="27">
        <f t="array" ref="AP53">Calibration!sK*SUM(AP15:AQ15*AP27:AQ27)</f>
        <v>1589672.032594328</v>
      </c>
      <c r="AQ53" s="27"/>
      <c r="AR53" s="27">
        <f t="array" ref="AR53">Calibration!sK*SUM(AR15:AS15*AR27:AS27)</f>
        <v>1541825.3070672534</v>
      </c>
      <c r="AT53" s="27">
        <f t="array" ref="AT53">Calibration!sK*SUM(AT15:AU15*AT27:AU27)</f>
        <v>1440580.0214690643</v>
      </c>
      <c r="AV53" s="27">
        <f t="array" ref="AV53">Calibration!sK*SUM(AV15:AW15*AV27:AW27)</f>
        <v>1205300.220790734</v>
      </c>
      <c r="XFD53" s="27"/>
    </row>
    <row r="55" spans="1:48 16321:16384" x14ac:dyDescent="0.2">
      <c r="A55" t="s">
        <v>153</v>
      </c>
      <c r="B55" s="183">
        <f>B30/B32</f>
        <v>0.19850271905982084</v>
      </c>
      <c r="D55" s="183">
        <f>D30/D32</f>
        <v>0.20186065535887518</v>
      </c>
      <c r="F55" s="183">
        <f>F30/F32</f>
        <v>0.20528256970557915</v>
      </c>
      <c r="H55" s="183">
        <f>H30/H32</f>
        <v>0.20876773104444349</v>
      </c>
      <c r="J55" s="183">
        <f>J30/J32</f>
        <v>0.21231266235780105</v>
      </c>
      <c r="L55" s="183">
        <f>L30/L32</f>
        <v>0.21590985977336732</v>
      </c>
      <c r="N55" s="183">
        <f>N30/N32</f>
        <v>0.21954620328633123</v>
      </c>
      <c r="P55" s="183">
        <f>P30/P32</f>
        <v>0.22320156148138212</v>
      </c>
      <c r="R55" s="183">
        <f>R30/R32</f>
        <v>0.22684749949004748</v>
      </c>
      <c r="T55" s="183">
        <f>T30/T32</f>
        <v>0.23044795359423365</v>
      </c>
      <c r="V55" s="183">
        <f>V30/V32</f>
        <v>0.23396379627314864</v>
      </c>
      <c r="X55" s="183">
        <f>X30/X32</f>
        <v>0.23736665531998843</v>
      </c>
      <c r="Z55" s="183">
        <f>Z30/Z32</f>
        <v>0.2406703272514997</v>
      </c>
      <c r="AB55" s="183">
        <f>AB30/AB32</f>
        <v>0.24399585225661441</v>
      </c>
      <c r="AD55" s="183">
        <f>AD30/AD32</f>
        <v>0.2476989799596209</v>
      </c>
      <c r="AF55" s="183">
        <f>AF30/AF32</f>
        <v>0.25261535999365742</v>
      </c>
      <c r="AH55" s="183">
        <f>AH30/AH32</f>
        <v>0.26055580488194102</v>
      </c>
      <c r="AJ55" s="183">
        <f>AJ30/AJ32</f>
        <v>0.27539200194860314</v>
      </c>
      <c r="AL55" s="183">
        <f>AL30/AL32</f>
        <v>0.30457553230427681</v>
      </c>
      <c r="AN55" s="183">
        <f>AN30/AN32</f>
        <v>0.36135008672669383</v>
      </c>
      <c r="AP55" s="183">
        <f>AP30/AP32</f>
        <v>0.3793506213505855</v>
      </c>
      <c r="AR55" s="183">
        <f>AR30/AR32</f>
        <v>0.40200241849315832</v>
      </c>
      <c r="AT55" s="183">
        <f>AT30/AT32</f>
        <v>0.43262878183453296</v>
      </c>
      <c r="AV55" s="183">
        <f>AV30/AV32</f>
        <v>0.48066932103158777</v>
      </c>
      <c r="XCS55" s="183"/>
      <c r="XFD55" s="183"/>
    </row>
    <row r="56" spans="1:48 16321:16384" x14ac:dyDescent="0.2">
      <c r="A56" t="s">
        <v>154</v>
      </c>
      <c r="B56" s="183">
        <f>(Model!$C$52*B5*B20+B2*C5*C20)/B32</f>
        <v>2.9221206744340551E-2</v>
      </c>
      <c r="D56" s="183">
        <f>(Model!$C$52*D5*D20+D2*E5*E20)/D32</f>
        <v>3.3495966644953544E-2</v>
      </c>
      <c r="F56" s="183">
        <f>(Model!$C$52*F5*F20+F2*G5*G20)/F32</f>
        <v>3.7873276621775052E-2</v>
      </c>
      <c r="H56" s="183">
        <f>(Model!$C$52*H5*H20+H2*I5*I20)/H32</f>
        <v>4.2354778614468756E-2</v>
      </c>
      <c r="J56" s="183">
        <f>(Model!$C$52*J5*J20+J2*K5*K20)/J32</f>
        <v>4.6938931013427686E-2</v>
      </c>
      <c r="L56" s="183">
        <f>(Model!$C$52*L5*L20+L2*M5*M20)/L32</f>
        <v>5.1619381004851493E-2</v>
      </c>
      <c r="N56" s="183">
        <f>(Model!$C$52*N5*N20+N2*O5*O20)/N32</f>
        <v>5.6382853428857987E-2</v>
      </c>
      <c r="P56" s="183">
        <f>(Model!$C$52*P5*P20+P2*Q5*Q20)/P32</f>
        <v>6.1207220285420201E-2</v>
      </c>
      <c r="R56" s="183">
        <f>(Model!$C$52*R5*R20+R2*S5*S20)/R32</f>
        <v>6.6059490127524545E-2</v>
      </c>
      <c r="T56" s="183">
        <f>(Model!$C$52*T5*T20+T2*U5*U20)/T32</f>
        <v>7.089592065615026E-2</v>
      </c>
      <c r="V56" s="183">
        <f>(Model!$C$52*V5*V20+V2*W5*W20)/V32</f>
        <v>7.5666463322777489E-2</v>
      </c>
      <c r="X56" s="183">
        <f>(Model!$C$52*X5*X20+X2*Y5*Y20)/X32</f>
        <v>8.0329668084718614E-2</v>
      </c>
      <c r="Z56" s="183">
        <f>(Model!$C$52*Z5*Z20+Z2*AA5*AA20)/Z32</f>
        <v>8.4887481667797304E-2</v>
      </c>
      <c r="AB56" s="183">
        <f>(Model!$C$52*AB5*AB20+AB2*AC5*AC20)/AB32</f>
        <v>8.9457800124373488E-2</v>
      </c>
      <c r="AD56" s="183">
        <f>(Model!$C$52*AD5*AD20+AD2*AE5*AE20)/AD32</f>
        <v>9.4416724242836231E-2</v>
      </c>
      <c r="AF56" s="183">
        <f>(Model!$C$52*AF5*AF20+AF2*AG5*AG20)/AF32</f>
        <v>0.10067233859661932</v>
      </c>
      <c r="AH56" s="183">
        <f>(Model!$C$52*AH5*AH20+AH2*AI5*AI20)/AH32</f>
        <v>0.11021558977765369</v>
      </c>
      <c r="AJ56" s="183">
        <f>(Model!$C$52*AJ5*AJ20+AJ2*AK5*AK20)/AJ32</f>
        <v>0.12729754014877392</v>
      </c>
      <c r="AL56" s="183">
        <f>(Model!$C$52*AL5*AL20+AL2*AM5*AM20)/AL32</f>
        <v>0.1598663398780053</v>
      </c>
      <c r="AN56" s="183">
        <f>(Model!$C$52*AN5*AN20+AN2*AO5*AO20)/AN32</f>
        <v>0.22088522981218764</v>
      </c>
      <c r="AP56" s="183">
        <f>(Model!$C$52*AP5*AP20+AP2*AQ5*AQ20)/AP32</f>
        <v>0.23968318823162585</v>
      </c>
      <c r="AR56" s="183">
        <f>(Model!$C$52*AR5*AR20+AR2*AS5*AS20)/AR32</f>
        <v>0.26301478728772837</v>
      </c>
      <c r="AT56" s="183">
        <f>(Model!$C$52*AT5*AT20+AT2*AU5*AU20)/AT32</f>
        <v>0.29405186022930069</v>
      </c>
      <c r="AV56" s="183">
        <f>(Model!$C$52*AV5*AV20+AV2*AW5*AW20)/AV32</f>
        <v>0.34176876073759821</v>
      </c>
      <c r="XFD56" s="183"/>
    </row>
    <row r="57" spans="1:48 16321:16384" x14ac:dyDescent="0.2">
      <c r="A57" t="s">
        <v>155</v>
      </c>
      <c r="B57" s="183">
        <f t="array" ref="B57">SUM(Model!tauL*B13:C13*B26:C26)/B32</f>
        <v>0.15852881819439493</v>
      </c>
      <c r="D57" s="183">
        <f t="array" ref="D57">SUM(Model!tauL*D13:E13*D26:E26)/D32</f>
        <v>0.15768365334075896</v>
      </c>
      <c r="F57" s="183">
        <f t="array" ref="F57">SUM(Model!tauL*F13:G13*F26:G26)/F32</f>
        <v>0.15680084469499572</v>
      </c>
      <c r="H57" s="183">
        <f t="array" ref="H57">SUM(Model!tauL*H13:I13*H26:I26)/H32</f>
        <v>0.15587810928785209</v>
      </c>
      <c r="J57" s="183">
        <f t="array" ref="J57">SUM(Model!tauL*J13:K13*J26:K26)/J32</f>
        <v>0.1549135928099804</v>
      </c>
      <c r="L57" s="183">
        <f t="array" ref="L57">SUM(Model!tauL*L13:M13*L26:M26)/L32</f>
        <v>0.15390620396008411</v>
      </c>
      <c r="N57" s="183">
        <f t="array" ref="N57">SUM(Model!tauL*N13:O13*N26:O26)/N32</f>
        <v>0.15285611551244965</v>
      </c>
      <c r="P57" s="183">
        <f t="array" ref="P57">SUM(Model!tauL*P13:Q13*P26:Q26)/P32</f>
        <v>0.15176529900039926</v>
      </c>
      <c r="R57" s="183">
        <f t="array" ref="R57">SUM(Model!tauL*R13:S13*R26:S26)/R32</f>
        <v>0.15063824765553496</v>
      </c>
      <c r="T57" s="183">
        <f t="array" ref="T57">SUM(Model!tauL*T13:U13*T26:U26)/T32</f>
        <v>0.14948258945700521</v>
      </c>
      <c r="V57" s="183">
        <f t="array" ref="V57">SUM(Model!tauL*V13:W13*V26:W26)/V32</f>
        <v>0.14830935827372396</v>
      </c>
      <c r="X57" s="183">
        <f t="array" ref="X57">SUM(Model!tauL*X13:Y13*X26:Y26)/X32</f>
        <v>0.14713222843641624</v>
      </c>
      <c r="Y57" s="183"/>
      <c r="Z57" s="183">
        <f t="array" ref="Z57">SUM(Model!tauL*Z13:AA13*Z26:AA26)/Z32</f>
        <v>0.14596474755068156</v>
      </c>
      <c r="AB57" s="183">
        <f t="array" ref="AB57">SUM(Model!tauL*AB13:AC13*AB26:AC26)/AB32</f>
        <v>0.14481388273338822</v>
      </c>
      <c r="AD57" s="183">
        <f t="array" ref="AD57">SUM(Model!tauL*AD13:AE13*AD26:AE26)/AD32</f>
        <v>0.14366667521241822</v>
      </c>
      <c r="AF57" s="183">
        <f t="array" ref="AF57">SUM(Model!tauL*AF13:AG13*AF26:AG26)/AF32</f>
        <v>0.14246307171339487</v>
      </c>
      <c r="AH57" s="183">
        <f t="array" ref="AH57">SUM(Model!tauL*AH13:AI13*AH26:AI26)/AH32</f>
        <v>0.14104043103938971</v>
      </c>
      <c r="AJ57" s="183">
        <f t="array" ref="AJ57">SUM(Model!tauL*AJ13:AK13*AJ26:AK26)/AJ32</f>
        <v>0.13903990012324449</v>
      </c>
      <c r="AL57" s="183">
        <f t="array" ref="AL57">SUM(Model!tauL*AL13:AM13*AL26:AM26)/AL32</f>
        <v>0.13599333615176776</v>
      </c>
      <c r="AN57" s="183">
        <f t="array" ref="AN57">SUM(Model!tauL*AN13:AO13*AN26:AO26)/AN32</f>
        <v>0.13228888619157217</v>
      </c>
      <c r="AP57" s="183">
        <f t="array" ref="AP57">SUM(Model!tauL*AP13:AQ13*AP26:AQ26)/AP32</f>
        <v>0.13165846662988209</v>
      </c>
      <c r="AR57" s="183">
        <f t="array" ref="AR57">SUM(Model!tauL*AR13:AS13*AR26:AS26)/AR32</f>
        <v>0.13119011437071232</v>
      </c>
      <c r="AT57" s="183">
        <f t="array" ref="AT57">SUM(Model!tauL*AT13:AU13*AT26:AU26)/AT32</f>
        <v>0.1310695877443124</v>
      </c>
      <c r="AV57" s="183">
        <f t="array" ref="AV57">SUM(Model!tauL*AV13:AW13*AV26:AW26)/AV32</f>
        <v>0.1318632794576001</v>
      </c>
      <c r="XFD57" s="183"/>
    </row>
    <row r="58" spans="1:48 16321:16384" x14ac:dyDescent="0.2">
      <c r="A58" t="s">
        <v>156</v>
      </c>
      <c r="B58" s="183">
        <f t="array" ref="B58">SUM(Model!tauY/(1+Model!tauY)*B3:C3*B18:C18)/B32</f>
        <v>1.075269412108535E-2</v>
      </c>
      <c r="D58" s="183">
        <f t="array" ref="D58">SUM(Model!tauY/(1+Model!tauY)*D3:E3*D18:E18)/D32</f>
        <v>1.0681035373162687E-2</v>
      </c>
      <c r="F58" s="183">
        <f t="array" ref="F58">SUM(Model!tauY/(1+Model!tauY)*F3:G3*F18:G18)/F32</f>
        <v>1.06084483888084E-2</v>
      </c>
      <c r="H58" s="183">
        <f t="array" ref="H58">SUM(Model!tauY/(1+Model!tauY)*H3:I3*H18:I18)/H32</f>
        <v>1.0534843142122668E-2</v>
      </c>
      <c r="J58" s="183">
        <f t="array" ref="J58">SUM(Model!tauY/(1+Model!tauY)*J3:K3*J18:K18)/J32</f>
        <v>1.0460138534392982E-2</v>
      </c>
      <c r="L58" s="183">
        <f t="array" ref="L58">SUM(Model!tauY/(1+Model!tauY)*L3:M3*L18:M18)/L32</f>
        <v>1.0384274808431702E-2</v>
      </c>
      <c r="N58" s="183">
        <f t="array" ref="N58">SUM(Model!tauY/(1+Model!tauY)*N3:O3*N18:O18)/N32</f>
        <v>1.030723434502359E-2</v>
      </c>
      <c r="P58" s="183">
        <f t="array" ref="P58">SUM(Model!tauY/(1+Model!tauY)*P3:Q3*P18:Q18)/P32</f>
        <v>1.0229042195562683E-2</v>
      </c>
      <c r="R58" s="183">
        <f t="array" ref="R58">SUM(Model!tauY/(1+Model!tauY)*R3:S3*R18:S18)/R32</f>
        <v>1.0149761706987949E-2</v>
      </c>
      <c r="T58" s="183">
        <f t="array" ref="T58">SUM(Model!tauY/(1+Model!tauY)*T3:U3*T18:U18)/T32</f>
        <v>1.0069443481078194E-2</v>
      </c>
      <c r="V58" s="183">
        <f t="array" ref="V58">SUM(Model!tauY/(1+Model!tauY)*V3:W3*V18:W18)/V32</f>
        <v>9.9879746766472211E-3</v>
      </c>
      <c r="X58" s="183">
        <f t="array" ref="X58">SUM(Model!tauY/(1+Model!tauY)*X3:Y3*X18:Y18)/X32</f>
        <v>9.904758798853568E-3</v>
      </c>
      <c r="Y58" s="183"/>
      <c r="Z58" s="183">
        <f t="array" ref="Z58">SUM(Model!tauY/(1+Model!tauY)*Z3:AA3*Z18:AA18)/Z32</f>
        <v>9.8180980330208698E-3</v>
      </c>
      <c r="AB58" s="183">
        <f t="array" ref="AB58">SUM(Model!tauY/(1+Model!tauY)*AB3:AC3*AB18:AC18)/AB32</f>
        <v>9.7241693988527004E-3</v>
      </c>
      <c r="AD58" s="183">
        <f t="array" ref="AD58">SUM(Model!tauY/(1+Model!tauY)*AD3:AE3*AD18:AE18)/AD32</f>
        <v>9.6155805043664899E-3</v>
      </c>
      <c r="AF58" s="183">
        <f t="array" ref="AF58">SUM(Model!tauY/(1+Model!tauY)*AF3:AG3*AF18:AG18)/AF32</f>
        <v>9.4799496836432146E-3</v>
      </c>
      <c r="AH58" s="183">
        <f t="array" ref="AH58">SUM(Model!tauY/(1+Model!tauY)*AH3:AI3*AH18:AI18)/AH32</f>
        <v>9.2997840648975788E-3</v>
      </c>
      <c r="AJ58" s="183">
        <f t="array" ref="AJ58">SUM(Model!tauY/(1+Model!tauY)*AJ3:AK3*AJ18:AK18)/AJ32</f>
        <v>9.0545616765847301E-3</v>
      </c>
      <c r="AL58" s="183">
        <f t="array" ref="AL58">SUM(Model!tauY/(1+Model!tauY)*AL3:AM3*AL18:AM18)/AL32</f>
        <v>8.7158562745037367E-3</v>
      </c>
      <c r="AN58" s="183">
        <f t="array" ref="AN58">SUM(Model!tauY/(1+Model!tauY)*AN3:AO3*AN18:AO18)/AN32</f>
        <v>8.1759707229340436E-3</v>
      </c>
      <c r="AP58" s="183">
        <f t="array" ref="AP58">SUM(Model!tauY/(1+Model!tauY)*AP3:AQ3*AP18:AQ18)/AP32</f>
        <v>8.0089664890774914E-3</v>
      </c>
      <c r="AR58" s="183">
        <f t="array" ref="AR58">SUM(Model!tauY/(1+Model!tauY)*AR3:AS3*AR18:AS18)/AR32</f>
        <v>7.7975168347176119E-3</v>
      </c>
      <c r="AT58" s="183">
        <f t="array" ref="AT58">SUM(Model!tauY/(1+Model!tauY)*AT3:AU3*AT18:AU18)/AT32</f>
        <v>7.5073338609198065E-3</v>
      </c>
      <c r="AV58" s="183">
        <f t="array" ref="AV58">SUM(Model!tauY/(1+Model!tauY)*AV3:AW3*AV18:AW18)/AV32</f>
        <v>7.0372808363895574E-3</v>
      </c>
      <c r="XFD58" s="183"/>
    </row>
    <row r="59" spans="1:48 16321:16384" x14ac:dyDescent="0.2">
      <c r="A59" t="s">
        <v>157</v>
      </c>
      <c r="B59" s="183">
        <f>(B2*C5*C20)/B32</f>
        <v>5.5174232040962052E-4</v>
      </c>
      <c r="D59" s="183">
        <f>(D2*E5*E20)/D32</f>
        <v>4.8985760587031656E-3</v>
      </c>
      <c r="F59" s="183">
        <f>(F2*G5*G20)/F32</f>
        <v>9.3452715623273605E-3</v>
      </c>
      <c r="H59" s="183">
        <f>(H2*I5*I20)/H32</f>
        <v>1.3892192548053007E-2</v>
      </c>
      <c r="J59" s="183">
        <f>(J2*K5*K20)/J32</f>
        <v>1.8536012964603724E-2</v>
      </c>
      <c r="L59" s="183">
        <f>(L2*M5*M20)/L32</f>
        <v>2.3267880334163622E-2</v>
      </c>
      <c r="N59" s="183">
        <f>(N2*O5*O20)/N32</f>
        <v>2.8071006615243938E-2</v>
      </c>
      <c r="P59" s="183">
        <f>(P2*Q5*Q20)/P32</f>
        <v>3.2918376488861929E-2</v>
      </c>
      <c r="R59" s="183">
        <f>(R2*S5*S20)/R32</f>
        <v>3.7770235707238572E-2</v>
      </c>
      <c r="T59" s="183">
        <f>(T2*U5*U20)/T32</f>
        <v>4.2573624636605113E-2</v>
      </c>
      <c r="V59" s="183">
        <f>(V2*W5*W20)/V32</f>
        <v>4.7266205199588747E-2</v>
      </c>
      <c r="X59" s="183">
        <f>(X2*Y5*Y20)/X32</f>
        <v>5.1790715803029519E-2</v>
      </c>
      <c r="Z59" s="183">
        <f>(Z2*AA5*AA20)/Z32</f>
        <v>5.6129894695311724E-2</v>
      </c>
      <c r="AB59" s="183">
        <f>(AB2*AC5*AC20)/AB32</f>
        <v>6.0380619489681014E-2</v>
      </c>
      <c r="AD59" s="183">
        <f>(AD2*AE5*AE20)/AD32</f>
        <v>6.4900842723639302E-2</v>
      </c>
      <c r="AF59" s="183">
        <f>(AF2*AG5*AG20)/AF32</f>
        <v>7.0593202737212049E-2</v>
      </c>
      <c r="AH59" s="183">
        <f>(AH2*AI5*AI20)/AH32</f>
        <v>7.9471642826688046E-2</v>
      </c>
      <c r="AJ59" s="183">
        <f>(AJ2*AK5*AK20)/AJ32</f>
        <v>9.585787852454708E-2</v>
      </c>
      <c r="AL59" s="183">
        <f>(AL2*AM5*AM20)/AL32</f>
        <v>0.12778837623796183</v>
      </c>
      <c r="AN59" s="183">
        <f>(AN2*AO5*AO20)/AN32</f>
        <v>0.18786263395502512</v>
      </c>
      <c r="AP59" s="183">
        <f>(AP2*AQ5*AQ20)/AP32</f>
        <v>0.20624373219102554</v>
      </c>
      <c r="AR59" s="183">
        <f>(AR2*AS5*AS20)/AR32</f>
        <v>0.22891225319291722</v>
      </c>
      <c r="AT59" s="183">
        <f>(AT2*AU5*AU20)/AT32</f>
        <v>0.25873577132964293</v>
      </c>
      <c r="AV59" s="183">
        <f>(AV2*AW5*AW20)/AV32</f>
        <v>0.3034776986343018</v>
      </c>
      <c r="XFD59" s="183"/>
    </row>
    <row r="60" spans="1:48 16321:16384" x14ac:dyDescent="0.2">
      <c r="A60" t="s">
        <v>158</v>
      </c>
      <c r="B60" s="183">
        <f>Model!$C$52*B5*B20/B32</f>
        <v>2.8669464423930927E-2</v>
      </c>
      <c r="D60" s="183">
        <f>Model!$C$52*D5*D20/D32</f>
        <v>2.8597390586250378E-2</v>
      </c>
      <c r="F60" s="183">
        <f>Model!$C$52*F5*F20/F32</f>
        <v>2.8528005059447692E-2</v>
      </c>
      <c r="H60" s="183">
        <f>Model!$C$52*H5*H20/H32</f>
        <v>2.8462586066415746E-2</v>
      </c>
      <c r="J60" s="183">
        <f>Model!$C$52*J5*J20/J32</f>
        <v>2.8402918048823965E-2</v>
      </c>
      <c r="L60" s="183">
        <f>Model!$C$52*L5*L20/L32</f>
        <v>2.8351500670687868E-2</v>
      </c>
      <c r="N60" s="183">
        <f>Model!$C$52*N5*N20/N32</f>
        <v>2.8311846813614049E-2</v>
      </c>
      <c r="P60" s="183">
        <f>Model!$C$52*P5*P20/P32</f>
        <v>2.8288843796558272E-2</v>
      </c>
      <c r="R60" s="183">
        <f>Model!$C$52*R5*R20/R32</f>
        <v>2.8289254420285976E-2</v>
      </c>
      <c r="T60" s="183">
        <f>Model!$C$52*T5*T20/T32</f>
        <v>2.832229601954514E-2</v>
      </c>
      <c r="V60" s="183">
        <f>Model!$C$52*V5*V20/V32</f>
        <v>2.8400258123188728E-2</v>
      </c>
      <c r="X60" s="183">
        <f>Model!$C$52*X5*X20/X32</f>
        <v>2.8538952281689102E-2</v>
      </c>
      <c r="Z60" s="183">
        <f>Model!$C$52*Z5*Z20/Z32</f>
        <v>2.8757586972485587E-2</v>
      </c>
      <c r="AB60" s="183">
        <f>Model!$C$52*AB5*AB20/AB32</f>
        <v>2.9077180634692477E-2</v>
      </c>
      <c r="AD60" s="183">
        <f>Model!$C$52*AD5*AD20/AD32</f>
        <v>2.9515881519196926E-2</v>
      </c>
      <c r="AF60" s="183">
        <f>Model!$C$52*AF5*AF20/AF32</f>
        <v>3.0079135859407281E-2</v>
      </c>
      <c r="AH60" s="183">
        <f>Model!$C$52*AH5*AH20/AH32</f>
        <v>3.0743946950965637E-2</v>
      </c>
      <c r="AJ60" s="183">
        <f>Model!$C$52*AJ5*AJ20/AJ32</f>
        <v>3.1439661624226851E-2</v>
      </c>
      <c r="AL60" s="183">
        <f>Model!$C$52*AL5*AL20/AL32</f>
        <v>3.2077963640043478E-2</v>
      </c>
      <c r="AN60" s="183">
        <f>Model!$C$52*AN5*AN20/AN32</f>
        <v>3.3022595857162509E-2</v>
      </c>
      <c r="AP60" s="183">
        <f>Model!$C$52*AP5*AP20/AP32</f>
        <v>3.3439456040600314E-2</v>
      </c>
      <c r="AR60" s="183">
        <f>Model!$C$52*AR5*AR20/AR32</f>
        <v>3.4102534094811114E-2</v>
      </c>
      <c r="AT60" s="183">
        <f>Model!$C$52*AT5*AT20/AT32</f>
        <v>3.5316088899657753E-2</v>
      </c>
      <c r="AV60" s="183">
        <f>Model!$C$52*AV5*AV20/AV32</f>
        <v>3.8291062103296351E-2</v>
      </c>
      <c r="XFD60" s="183"/>
    </row>
    <row r="62" spans="1:48 16321:16384" x14ac:dyDescent="0.2">
      <c r="A62" t="s">
        <v>159</v>
      </c>
      <c r="B62">
        <f>B13/B15</f>
        <v>1</v>
      </c>
      <c r="D62">
        <f>D13/D15</f>
        <v>0.99494578822382485</v>
      </c>
      <c r="F62">
        <f>F13/F15</f>
        <v>0.98949488891360105</v>
      </c>
      <c r="H62">
        <f>H13/H15</f>
        <v>0.98361190287459255</v>
      </c>
      <c r="J62">
        <f>J13/J15</f>
        <v>0.9772609815425678</v>
      </c>
      <c r="L62">
        <f>L13/L15</f>
        <v>0.97040778697266117</v>
      </c>
      <c r="N62">
        <f>N13/N15</f>
        <v>0.96302268345443109</v>
      </c>
      <c r="P62">
        <f>P13/P15</f>
        <v>0.95508535177215459</v>
      </c>
      <c r="R62">
        <f>R13/R15</f>
        <v>0.94659200941367694</v>
      </c>
      <c r="T62">
        <f>T13/T15</f>
        <v>0.93756553311073809</v>
      </c>
      <c r="V62">
        <f>V13/V15</f>
        <v>0.92807040665551666</v>
      </c>
      <c r="X62">
        <f>X13/X15</f>
        <v>0.91823526677672318</v>
      </c>
      <c r="Z62">
        <f>Z13/Z15</f>
        <v>0.90829203873108932</v>
      </c>
      <c r="AB62">
        <f>AB13/AB15</f>
        <v>0.89865138887585139</v>
      </c>
      <c r="AD62">
        <f>AD13/AD15</f>
        <v>0.89005518189959021</v>
      </c>
      <c r="AF62">
        <f>AF13/AF15</f>
        <v>0.88389067179281899</v>
      </c>
      <c r="AH62">
        <f>AH13/AH15</f>
        <v>0.88294246649777119</v>
      </c>
      <c r="AJ62">
        <f>AJ13/AJ15</f>
        <v>0.89379722539798323</v>
      </c>
      <c r="AL62">
        <f>AL13/AL15</f>
        <v>0.93551437923292946</v>
      </c>
      <c r="AN62">
        <f>AN13/AN15</f>
        <v>1.0833286872318939</v>
      </c>
      <c r="AP62">
        <f>AP13/AP15</f>
        <v>1.1535938210651318</v>
      </c>
      <c r="AR62">
        <f>AR13/AR15</f>
        <v>1.2634564284288718</v>
      </c>
      <c r="AT62">
        <f>AT13/AT15</f>
        <v>1.4613026342883866</v>
      </c>
      <c r="AV62">
        <f>AV13/AV15</f>
        <v>1.9483025478667175</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0.99770726497119699</v>
      </c>
      <c r="E65" s="181"/>
      <c r="F65" s="181">
        <f t="array" ref="F65">SQRT((F9:G9*$B$22:$C$22+F10:G10*$B$23:$C$23+F11:G11*$B$24:$C$24+F4:G4*($B$25:$C$25-$B$19:$C$19))/($B$9:$C$9*$B$22:$C$22+$B$10:$C$10*$B$23:$C$23+$B$11:$C$11*$B$24:$C$24+$B$4:$C$4*($B$25:$C$25-$B$19:$C$19))*(F9:G9*F22:G22+F10:G10*F23:G23+F11:G11*F24:G24+F4:G4*(F25:G25-F19:G19))/($B$9:$C$9*F22:G22+$B$10:$C$10*F23:G23+$B$11:$C$11*F24:G24+$B$4:$C$4*(F25:G25-F19:G19)))</f>
        <v>0.99566067045107221</v>
      </c>
      <c r="G65" s="181"/>
      <c r="H65" s="181">
        <f t="array" ref="H65">SQRT((H9:I9*$B$22:$C$22+H10:I10*$B$23:$C$23+H11:I11*$B$24:$C$24+H4:I4*($B$25:$C$25-$B$19:$C$19))/($B$9:$C$9*$B$22:$C$22+$B$10:$C$10*$B$23:$C$23+$B$11:$C$11*$B$24:$C$24+$B$4:$C$4*($B$25:$C$25-$B$19:$C$19))*(H9:I9*H22:I22+H10:I10*H23:I23+H11:I11*H24:I24+H4:I4*(H25:I25-H19:I19))/($B$9:$C$9*H22:I22+$B$10:$C$10*H23:I23+$B$11:$C$11*H24:I24+$B$4:$C$4*(H25:I25-H19:I19)))</f>
        <v>0.99394083624937202</v>
      </c>
      <c r="I65" s="181"/>
      <c r="J65" s="181">
        <f t="array" ref="J65">SQRT((J9:K9*$B$22:$C$22+J10:K10*$B$23:$C$23+J11:K11*$B$24:$C$24+J4:K4*($B$25:$C$25-$B$19:$C$19))/($B$9:$C$9*$B$22:$C$22+$B$10:$C$10*$B$23:$C$23+$B$11:$C$11*$B$24:$C$24+$B$4:$C$4*($B$25:$C$25-$B$19:$C$19))*(J9:K9*J22:K22+J10:K10*J23:K23+J11:K11*J24:K24+J4:K4*(J25:K25-J19:K19))/($B$9:$C$9*J22:K22+$B$10:$C$10*J23:K23+$B$11:$C$11*J24:K24+$B$4:$C$4*(J25:K25-J19:K19)))</f>
        <v>0.99265970635205003</v>
      </c>
      <c r="K65" s="181"/>
      <c r="L65" s="181">
        <f t="array" ref="L65">SQRT((L9:M9*$B$22:$C$22+L10:M10*$B$23:$C$23+L11:M11*$B$24:$C$24+L4:M4*($B$25:$C$25-$B$19:$C$19))/($B$9:$C$9*$B$22:$C$22+$B$10:$C$10*$B$23:$C$23+$B$11:$C$11*$B$24:$C$24+$B$4:$C$4*($B$25:$C$25-$B$19:$C$19))*(L9:M9*L22:M22+L10:M10*L23:M23+L11:M11*L24:M24+L4:M4*(L25:M25-L19:M19))/($B$9:$C$9*L22:M22+$B$10:$C$10*L23:M23+$B$11:$C$11*L24:M24+$B$4:$C$4*(L25:M25-L19:M19)))</f>
        <v>0.99197481823371447</v>
      </c>
      <c r="M65" s="181"/>
      <c r="N65" s="181">
        <f t="array" ref="N65">SQRT((N9:O9*$B$22:$C$22+N10:O10*$B$23:$C$23+N11:O11*$B$24:$C$24+N4:O4*($B$25:$C$25-$B$19:$C$19))/($B$9:$C$9*$B$22:$C$22+$B$10:$C$10*$B$23:$C$23+$B$11:$C$11*$B$24:$C$24+$B$4:$C$4*($B$25:$C$25-$B$19:$C$19))*(N9:O9*N22:O22+N10:O10*N23:O23+N11:O11*N24:O24+N4:O4*(N25:O25-N19:O19))/($B$9:$C$9*N22:O22+$B$10:$C$10*N23:O23+$B$11:$C$11*N24:O24+$B$4:$C$4*(N25:O25-N19:O19)))</f>
        <v>0.99211090555571058</v>
      </c>
      <c r="O65" s="181"/>
      <c r="P65" s="181">
        <f t="array" ref="P65">SQRT((P9:Q9*$B$22:$C$22+P10:Q10*$B$23:$C$23+P11:Q11*$B$24:$C$24+P4:Q4*($B$25:$C$25-$B$19:$C$19))/($B$9:$C$9*$B$22:$C$22+$B$10:$C$10*$B$23:$C$23+$B$11:$C$11*$B$24:$C$24+$B$4:$C$4*($B$25:$C$25-$B$19:$C$19))*(P9:Q9*P22:Q22+P10:Q10*P23:Q23+P11:Q11*P24:Q24+P4:Q4*(P25:Q25-P19:Q19))/($B$9:$C$9*P22:Q22+$B$10:$C$10*P23:Q23+$B$11:$C$11*P24:Q24+$B$4:$C$4*(P25:Q25-P19:Q19)))</f>
        <v>0.99339040380435062</v>
      </c>
      <c r="Q65" s="181"/>
      <c r="R65" s="181">
        <f t="array" ref="R65">SQRT((R9:S9*$B$22:$C$22+R10:S10*$B$23:$C$23+R11:S11*$B$24:$C$24+R4:S4*($B$25:$C$25-$B$19:$C$19))/($B$9:$C$9*$B$22:$C$22+$B$10:$C$10*$B$23:$C$23+$B$11:$C$11*$B$24:$C$24+$B$4:$C$4*($B$25:$C$25-$B$19:$C$19))*(R9:S9*R22:S22+R10:S10*R23:S23+R11:S11*R24:S24+R4:S4*(R25:S25-R19:S19))/($B$9:$C$9*R22:S22+$B$10:$C$10*R23:S23+$B$11:$C$11*R24:S24+$B$4:$C$4*(R25:S25-R19:S19)))</f>
        <v>0.99628167593476114</v>
      </c>
      <c r="S65" s="181"/>
      <c r="T65" s="181">
        <f t="array" ref="T65">SQRT((T9:U9*$B$22:$C$22+T10:U10*$B$23:$C$23+T11:U11*$B$24:$C$24+T4:U4*($B$25:$C$25-$B$19:$C$19))/($B$9:$C$9*$B$22:$C$22+$B$10:$C$10*$B$23:$C$23+$B$11:$C$11*$B$24:$C$24+$B$4:$C$4*($B$25:$C$25-$B$19:$C$19))*(T9:U9*T22:U22+T10:U10*T23:U23+T11:U11*T24:U24+T4:U4*(T25:U25-T19:U19))/($B$9:$C$9*T22:U22+$B$10:$C$10*T23:U23+$B$11:$C$11*T24:U24+$B$4:$C$4*(T25:U25-T19:U19)))</f>
        <v>1.0014722326959649</v>
      </c>
      <c r="U65" s="181"/>
      <c r="V65" s="181">
        <f t="array" ref="V65">SQRT((V9:W9*$B$22:$C$22+V10:W10*$B$23:$C$23+V11:W11*$B$24:$C$24+V4:W4*($B$25:$C$25-$B$19:$C$19))/($B$9:$C$9*$B$22:$C$22+$B$10:$C$10*$B$23:$C$23+$B$11:$C$11*$B$24:$C$24+$B$4:$C$4*($B$25:$C$25-$B$19:$C$19))*(V9:W9*V22:W22+V10:W10*V23:W23+V11:W11*V24:W24+V4:W4*(V25:W25-V19:W19))/($B$9:$C$9*V22:W22+$B$10:$C$10*V23:W23+$B$11:$C$11*V24:W24+$B$4:$C$4*(V25:W25-V19:W19)))</f>
        <v>1.0099858318296646</v>
      </c>
      <c r="W65" s="181"/>
      <c r="X65" s="181">
        <f t="array" ref="X65">SQRT((X9:Y9*$B$22:$C$22+X10:Y10*$B$23:$C$23+X11:Y11*$B$24:$C$24+X4:Y4*($B$25:$C$25-$B$19:$C$19))/($B$9:$C$9*$B$22:$C$22+$B$10:$C$10*$B$23:$C$23+$B$11:$C$11*$B$24:$C$24+$B$4:$C$4*($B$25:$C$25-$B$19:$C$19))*(X9:Y9*X22:Y22+X10:Y10*X23:Y23+X11:Y11*X24:Y24+X4:Y4*(X25:Y25-X19:Y19))/($B$9:$C$9*X22:Y22+$B$10:$C$10*X23:Y23+$B$11:$C$11*X24:Y24+$B$4:$C$4*(X25:Y25-X19:Y19)))</f>
        <v>1.0233749801580432</v>
      </c>
      <c r="Y65" s="181"/>
      <c r="Z65" s="181">
        <f t="array" ref="Z65">SQRT((Z9:AA9*$B$22:$C$22+Z10:AA10*$B$23:$C$23+Z11:AA11*$B$24:$C$24+Z4:AA4*($B$25:$C$25-$B$19:$C$19))/($B$9:$C$9*$B$22:$C$22+$B$10:$C$10*$B$23:$C$23+$B$11:$C$11*$B$24:$C$24+$B$4:$C$4*($B$25:$C$25-$B$19:$C$19))*(Z9:AA9*Z22:AA22+Z10:AA10*Z23:AA23+Z11:AA11*Z24:AA24+Z4:AA4*(Z25:AA25-Z19:AA19))/($B$9:$C$9*Z22:AA22+$B$10:$C$10*Z23:AA23+$B$11:$C$11*Z24:AA24+$B$4:$C$4*(Z25:AA25-Z19:AA19)))</f>
        <v>1.0440552942396601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1.0759189693652986</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1.1255480813677199</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1.2049618793475798</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1.3393807840961183</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1.5952337705783621</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2.2170546098201567</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7.7341516635357115</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#NUM!</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0.99747784836292197</v>
      </c>
      <c r="E66" s="181"/>
      <c r="F66" s="181">
        <f t="array" ref="F66">SQRT((F9:G9*$B$22:$C$22)/($B$9:$C$9*$B$22:$C$22)*(F9:G9*F22:G22)/($B$9:$C$9*F22:G22))</f>
        <v>0.9952224705139634</v>
      </c>
      <c r="G66" s="181"/>
      <c r="H66" s="181">
        <f t="array" ref="H66">SQRT((H9:I9*$B$22:$C$22)/($B$9:$C$9*$B$22:$C$22)*(H9:I9*H22:I22)/($B$9:$C$9*H22:I22))</f>
        <v>0.99332434221086541</v>
      </c>
      <c r="I66" s="181"/>
      <c r="J66" s="181">
        <f t="array" ref="J66">SQRT((J9:K9*$B$22:$C$22)/($B$9:$C$9*$B$22:$C$22)*(J9:K9*J22:K22)/($B$9:$C$9*J22:K22))</f>
        <v>0.9919088484830384</v>
      </c>
      <c r="K66" s="181"/>
      <c r="L66" s="181">
        <f t="array" ref="L66">SQRT((L9:M9*$B$22:$C$22)/($B$9:$C$9*$B$22:$C$22)*(L9:M9*L22:M22)/($B$9:$C$9*L22:M22))</f>
        <v>0.99115187859207898</v>
      </c>
      <c r="M66" s="181"/>
      <c r="N66" s="181">
        <f t="array" ref="N66">SQRT((N9:O9*$B$22:$C$22)/($B$9:$C$9*$B$22:$C$22)*(N9:O9*N22:O22)/($B$9:$C$9*N22:O22))</f>
        <v>0.99130313606065634</v>
      </c>
      <c r="O66" s="181"/>
      <c r="P66" s="181">
        <f t="array" ref="P66">SQRT((P9:Q9*$B$22:$C$22)/($B$9:$C$9*$B$22:$C$22)*(P9:Q9*P22:Q22)/($B$9:$C$9*P22:Q22))</f>
        <v>0.99271837415877118</v>
      </c>
      <c r="Q66" s="181"/>
      <c r="R66" s="181">
        <f t="array" ref="R66">SQRT((R9:S9*$B$22:$C$22)/($B$9:$C$9*$B$22:$C$22)*(R9:S9*R22:S22)/($B$9:$C$9*R22:S22))</f>
        <v>0.99590917801208367</v>
      </c>
      <c r="S66" s="181"/>
      <c r="T66" s="181">
        <f t="array" ref="T66">SQRT((T9:U9*$B$22:$C$22)/($B$9:$C$9*$B$22:$C$22)*(T9:U9*T22:U22)/($B$9:$C$9*T22:U22))</f>
        <v>1.0016159202795289</v>
      </c>
      <c r="U66" s="181"/>
      <c r="V66" s="181">
        <f t="array" ref="V66">SQRT((V9:W9*$B$22:$C$22)/($B$9:$C$9*$B$22:$C$22)*(V9:W9*V22:W22)/($B$9:$C$9*V22:W22))</f>
        <v>1.0109196101392244</v>
      </c>
      <c r="W66" s="181"/>
      <c r="X66" s="181">
        <f t="array" ref="X66">SQRT((X9:Y9*$B$22:$C$22)/($B$9:$C$9*$B$22:$C$22)*(X9:Y9*X22:Y22)/($B$9:$C$9*X22:Y22))</f>
        <v>1.0254163706720478</v>
      </c>
      <c r="Y66" s="181"/>
      <c r="Z66" s="181">
        <f t="array" ref="Z66">SQRT((Z9:AA9*$B$22:$C$22)/($B$9:$C$9*$B$22:$C$22)*(Z9:AA9*Z22:AA22)/($B$9:$C$9*Z22:AA22))</f>
        <v>1.0475033396403233</v>
      </c>
      <c r="AA66" s="181"/>
      <c r="AB66" s="181">
        <f t="array" ref="AB66">SQRT((AB9:AC9*$B$22:$C$22)/($B$9:$C$9*$B$22:$C$22)*(AB9:AC9*AB22:AC22)/($B$9:$C$9*AB22:AC22))</f>
        <v>1.0808700483056435</v>
      </c>
      <c r="AC66" s="181"/>
      <c r="AD66" s="181">
        <f t="array" ref="AD66">SQRT((AD9:AE9*$B$22:$C$22)/($B$9:$C$9*$B$22:$C$22)*(AD9:AE9*AD22:AE22)/($B$9:$C$9*AD22:AE22))</f>
        <v>1.131402165023526</v>
      </c>
      <c r="AE66" s="181"/>
      <c r="AF66" s="181">
        <f t="array" ref="AF66">SQRT((AF9:AG9*$B$22:$C$22)/($B$9:$C$9*$B$22:$C$22)*(AF9:AG9*AF22:AG22)/($B$9:$C$9*AF22:AG22))</f>
        <v>1.2090802997834835</v>
      </c>
      <c r="AG66" s="181"/>
      <c r="AH66" s="181">
        <f t="array" ref="AH66">SQRT((AH9:AI9*$B$22:$C$22)/($B$9:$C$9*$B$22:$C$22)*(AH9:AI9*AH22:AI22)/($B$9:$C$9*AH22:AI22))</f>
        <v>1.3329135685497289</v>
      </c>
      <c r="AI66" s="181"/>
      <c r="AJ66" s="181">
        <f t="array" ref="AJ66">SQRT((AJ9:AK9*$B$22:$C$22)/($B$9:$C$9*$B$22:$C$22)*(AJ9:AK9*AJ22:AK22)/($B$9:$C$9*AJ22:AK22))</f>
        <v>1.5457970609198266</v>
      </c>
      <c r="AK66" s="181"/>
      <c r="AL66" s="181">
        <f t="array" ref="AL66">SQRT((AL9:AM9*$B$22:$C$22)/($B$9:$C$9*$B$22:$C$22)*(AL9:AM9*AL22:AM22)/($B$9:$C$9*AL22:AM22))</f>
        <v>1.9561347802889884</v>
      </c>
      <c r="AM66" s="181"/>
      <c r="AN66" s="181">
        <f t="array" ref="AN66">SQRT((AN9:AO9*$B$22:$C$22)/($B$9:$C$9*$B$22:$C$22)*(AN9:AO9*AN22:AO22)/($B$9:$C$9*AN22:AO22))</f>
        <v>2.8965077688352379</v>
      </c>
      <c r="AO66" s="181"/>
      <c r="AP66" s="181">
        <f t="array" ref="AP66">SQRT((AP9:AQ9*$B$22:$C$22)/($B$9:$C$9*$B$22:$C$22)*(AP9:AQ9*AP22:AQ22)/($B$9:$C$9*AP22:AQ22))</f>
        <v>3.248065462959346</v>
      </c>
      <c r="AQ66" s="181"/>
      <c r="AR66" s="181">
        <f t="array" ref="AR66">SQRT((AR9:AS9*$B$22:$C$22)/($B$9:$C$9*$B$22:$C$22)*(AR9:AS9*AR22:AS22)/($B$9:$C$9*AR22:AS22))</f>
        <v>3.7292603546980505</v>
      </c>
      <c r="AS66" s="181"/>
      <c r="AT66" s="181">
        <f t="array" ref="AT66">SQRT((AT9:AU9*$B$22:$C$22)/($B$9:$C$9*$B$22:$C$22)*(AT9:AU9*AT22:AU22)/($B$9:$C$9*AT22:AU22))</f>
        <v>4.4501526706519732</v>
      </c>
      <c r="AU66" s="181"/>
      <c r="AV66" s="181">
        <f t="array" ref="AV66">SQRT((AV9:AW9*$B$22:$C$22)/($B$9:$C$9*$B$22:$C$22)*(AV9:AW9*AV22:AW22)/($B$9:$C$9*AV22:AW22))</f>
        <v>5.7501470685776948</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0.99747784836292197</v>
      </c>
      <c r="E68" s="181"/>
      <c r="F68" s="181">
        <f>F66/F67</f>
        <v>0.9952224705139634</v>
      </c>
      <c r="G68" s="181"/>
      <c r="H68" s="181">
        <f>H66/H67</f>
        <v>0.99332434221086541</v>
      </c>
      <c r="I68" s="181"/>
      <c r="J68" s="181">
        <f>J66/J67</f>
        <v>0.9919088484830384</v>
      </c>
      <c r="K68" s="181"/>
      <c r="L68" s="181">
        <f>L66/L67</f>
        <v>0.99115187859207898</v>
      </c>
      <c r="M68" s="181"/>
      <c r="N68" s="181">
        <f>N66/N67</f>
        <v>0.99130313606065634</v>
      </c>
      <c r="O68" s="181"/>
      <c r="P68" s="181">
        <f>P66/P67</f>
        <v>0.99271837415877118</v>
      </c>
      <c r="Q68" s="181"/>
      <c r="R68" s="181">
        <f>R66/R67</f>
        <v>0.99590917801208367</v>
      </c>
      <c r="S68" s="181"/>
      <c r="T68" s="181">
        <f>T66/T67</f>
        <v>1.0016159202795289</v>
      </c>
      <c r="U68" s="181"/>
      <c r="V68" s="181">
        <f>V66/V67</f>
        <v>1.0109196101392244</v>
      </c>
      <c r="W68" s="181"/>
      <c r="X68" s="181">
        <f>X66/X67</f>
        <v>1.0254163706720478</v>
      </c>
      <c r="Y68" s="181"/>
      <c r="Z68" s="181">
        <f>Z66/Z67</f>
        <v>1.0475033396403233</v>
      </c>
      <c r="AA68" s="181"/>
      <c r="AB68" s="181">
        <f>AB66/AB67</f>
        <v>1.0808700483056435</v>
      </c>
      <c r="AC68" s="181"/>
      <c r="AD68" s="181">
        <f>AD66/AD67</f>
        <v>1.131402165023526</v>
      </c>
      <c r="AE68" s="181"/>
      <c r="AF68" s="181">
        <f>AF66/AF67</f>
        <v>1.2090802997834835</v>
      </c>
      <c r="AG68" s="181"/>
      <c r="AH68" s="181">
        <f>AH66/AH67</f>
        <v>1.3329135685497289</v>
      </c>
      <c r="AI68" s="181"/>
      <c r="AJ68" s="181">
        <f>AJ66/AJ67</f>
        <v>1.5457970609198266</v>
      </c>
      <c r="AK68" s="181"/>
      <c r="AL68" s="181">
        <f>AL66/AL67</f>
        <v>1.9561347802889884</v>
      </c>
      <c r="AM68" s="181"/>
      <c r="AN68" s="181">
        <f>AN66/AN67</f>
        <v>2.8965077688352379</v>
      </c>
      <c r="AO68" s="181"/>
      <c r="AP68" s="181">
        <f>AP66/AP67</f>
        <v>3.248065462959346</v>
      </c>
      <c r="AQ68" s="181"/>
      <c r="AR68" s="181">
        <f>AR66/AR67</f>
        <v>3.7292603546980505</v>
      </c>
      <c r="AS68" s="181"/>
      <c r="AT68" s="181">
        <f>AT66/AT67</f>
        <v>4.4501526706519732</v>
      </c>
      <c r="AU68" s="181"/>
      <c r="AV68" s="181">
        <f>AV66/AV67</f>
        <v>5.7501470685776948</v>
      </c>
      <c r="XFD68" s="181"/>
    </row>
    <row r="69" spans="1:48 16384:16384" x14ac:dyDescent="0.2">
      <c r="A69" t="s">
        <v>161</v>
      </c>
      <c r="B69" s="181">
        <f>B32/B65/($B$32)</f>
        <v>1</v>
      </c>
      <c r="C69" s="181"/>
      <c r="D69" s="181">
        <f>D32/D65/($B$32)</f>
        <v>0.9941010354387666</v>
      </c>
      <c r="E69" s="181"/>
      <c r="F69" s="181">
        <f>F32/F65/($B$32)</f>
        <v>0.98696177144406239</v>
      </c>
      <c r="G69" s="181"/>
      <c r="H69" s="181">
        <f>H32/H65/($B$32)</f>
        <v>0.9782975567480241</v>
      </c>
      <c r="I69" s="181"/>
      <c r="J69" s="181">
        <f>J32/J65/($B$32)</f>
        <v>0.96774865135966359</v>
      </c>
      <c r="K69" s="181"/>
      <c r="L69" s="181">
        <f>L32/L65/($B$32)</f>
        <v>0.95486021440541891</v>
      </c>
      <c r="M69" s="181"/>
      <c r="N69" s="181">
        <f>N32/N65/($B$32)</f>
        <v>0.93906005318660213</v>
      </c>
      <c r="O69" s="181"/>
      <c r="P69" s="181">
        <f>P32/P65/($B$32)</f>
        <v>0.91964369876851559</v>
      </c>
      <c r="Q69" s="181"/>
      <c r="R69" s="181">
        <f>R32/R65/($B$32)</f>
        <v>0.89576876835672425</v>
      </c>
      <c r="S69" s="181"/>
      <c r="T69" s="181">
        <f>T32/T65/($B$32)</f>
        <v>0.86648082602708409</v>
      </c>
      <c r="U69" s="181"/>
      <c r="V69" s="181">
        <f>V32/V65/($B$32)</f>
        <v>0.83079216020063318</v>
      </c>
      <c r="W69" s="181"/>
      <c r="X69" s="181">
        <f>X32/X65/($B$32)</f>
        <v>0.78784093105184705</v>
      </c>
      <c r="Y69" s="181"/>
      <c r="Z69" s="181">
        <f>Z32/Z65/($B$32)</f>
        <v>0.73714144909837687</v>
      </c>
      <c r="AA69" s="181"/>
      <c r="AB69" s="181">
        <f>AB32/AB65/($B$32)</f>
        <v>0.67889251323499755</v>
      </c>
      <c r="AC69" s="181"/>
      <c r="AD69" s="181">
        <f>AD32/AD65/($B$32)</f>
        <v>0.61421734020271745</v>
      </c>
      <c r="AE69" s="181"/>
      <c r="AF69" s="181">
        <f>AF32/AF65/($B$32)</f>
        <v>0.54503579380076594</v>
      </c>
      <c r="AG69" s="181"/>
      <c r="AH69" s="181">
        <f>AH32/AH65/($B$32)</f>
        <v>0.47302675678241862</v>
      </c>
      <c r="AI69" s="181"/>
      <c r="AJ69" s="181">
        <f>AJ32/AJ65/($B$32)</f>
        <v>0.39679329730577856</v>
      </c>
      <c r="AK69" s="181"/>
      <c r="AL69" s="181">
        <f>AL32/AL65/($B$32)</f>
        <v>0.30362718872317701</v>
      </c>
      <c r="AM69" s="181"/>
      <c r="AN69" s="181">
        <f>AN32/AN65/($B$32)</f>
        <v>9.9828649313968468E-2</v>
      </c>
      <c r="AO69" s="181"/>
      <c r="AP69" s="181" t="e">
        <f>AP32/AP65/($B$32)</f>
        <v>#NUM!</v>
      </c>
      <c r="AQ69" s="181"/>
      <c r="AR69" s="181" t="e">
        <f>AR32/AR65/($B$32)</f>
        <v>#NUM!</v>
      </c>
      <c r="AS69" s="181"/>
      <c r="AT69" s="181" t="e">
        <f>AT32/AT65/($B$32)</f>
        <v>#NUM!</v>
      </c>
      <c r="AU69" s="181"/>
      <c r="AV69" s="181" t="e">
        <f>AV32/AV65/($B$32)</f>
        <v>#NUM!</v>
      </c>
    </row>
    <row r="70" spans="1:48 16384:16384" x14ac:dyDescent="0.2">
      <c r="A70" t="s">
        <v>162</v>
      </c>
      <c r="B70" s="129">
        <f>B18/$B$18</f>
        <v>1</v>
      </c>
      <c r="C70" s="129"/>
      <c r="D70" s="129">
        <f>D18/$B$18</f>
        <v>0.99283380377144259</v>
      </c>
      <c r="E70" s="129"/>
      <c r="F70" s="129">
        <f>F18/$B$18</f>
        <v>0.98441382392059906</v>
      </c>
      <c r="G70" s="129"/>
      <c r="H70" s="129">
        <f>H18/$B$18</f>
        <v>0.97445918234071349</v>
      </c>
      <c r="I70" s="129"/>
      <c r="J70" s="129">
        <f>J18/$B$18</f>
        <v>0.96261613822363146</v>
      </c>
      <c r="K70" s="129"/>
      <c r="L70" s="129">
        <f>L18/$B$18</f>
        <v>0.94843888560759426</v>
      </c>
      <c r="M70" s="129"/>
      <c r="N70" s="129">
        <f>N18/$B$18</f>
        <v>0.93136853295814703</v>
      </c>
      <c r="O70" s="129"/>
      <c r="P70" s="129">
        <f>P18/$B$18</f>
        <v>0.91071929024542675</v>
      </c>
      <c r="Q70" s="129"/>
      <c r="R70" s="129">
        <f>R18/$B$18</f>
        <v>0.88567445577064474</v>
      </c>
      <c r="S70" s="129"/>
      <c r="T70" s="129">
        <f>T18/$B$18</f>
        <v>0.85531363592750698</v>
      </c>
      <c r="U70" s="129"/>
      <c r="V70" s="129">
        <f>V18/$B$18</f>
        <v>0.81869233261990548</v>
      </c>
      <c r="W70" s="129"/>
      <c r="X70" s="129">
        <f>X18/$B$18</f>
        <v>0.77500012536435792</v>
      </c>
      <c r="Y70" s="129"/>
      <c r="Z70" s="129">
        <f>Z18/$B$18</f>
        <v>0.72380698623488027</v>
      </c>
      <c r="AA70" s="129"/>
      <c r="AB70" s="129">
        <f>AB18/$B$18</f>
        <v>0.66536394566856205</v>
      </c>
      <c r="AC70" s="129"/>
      <c r="AD70" s="129">
        <f>AD18/$B$18</f>
        <v>0.60083482794135967</v>
      </c>
      <c r="AE70" s="129"/>
      <c r="AF70" s="129">
        <f>AF18/$B$18</f>
        <v>0.53218091734994055</v>
      </c>
      <c r="AG70" s="129"/>
      <c r="AH70" s="129">
        <f>AH18/$B$18</f>
        <v>0.46126726911681365</v>
      </c>
      <c r="AI70" s="129"/>
      <c r="AJ70" s="129">
        <f>AJ18/$B$18</f>
        <v>0.38795662519561863</v>
      </c>
      <c r="AK70" s="129"/>
      <c r="AL70" s="129">
        <f>AL18/$B$18</f>
        <v>0.30777291638249432</v>
      </c>
      <c r="AM70" s="129"/>
      <c r="AN70" s="129">
        <f>AN18/$B$18</f>
        <v>0.20736899164947062</v>
      </c>
      <c r="AO70" s="129"/>
      <c r="AP70" s="129">
        <f>AP18/$B$18</f>
        <v>0.18183692205336141</v>
      </c>
      <c r="AQ70" s="129"/>
      <c r="AR70" s="129">
        <f>AR18/$B$18</f>
        <v>0.15289263561277791</v>
      </c>
      <c r="AS70" s="129"/>
      <c r="AT70" s="129">
        <f>AT18/$B$18</f>
        <v>0.11885439153644023</v>
      </c>
      <c r="AU70" s="129"/>
      <c r="AV70" s="129">
        <f>AV18/$B$18</f>
        <v>7.5864786492645511E-2</v>
      </c>
    </row>
    <row r="71" spans="1:48 16384:16384" x14ac:dyDescent="0.2">
      <c r="A71" t="s">
        <v>163</v>
      </c>
      <c r="B71" s="129">
        <f>C18/$C$18</f>
        <v>1</v>
      </c>
      <c r="D71" s="129">
        <f>E18/$C$18</f>
        <v>0.93054161596602991</v>
      </c>
      <c r="E71" s="129"/>
      <c r="F71" s="129">
        <f>G18/$C$18</f>
        <v>0.86133278631079779</v>
      </c>
      <c r="G71" s="129"/>
      <c r="H71" s="129">
        <f>I18/$C$18</f>
        <v>0.79248432125981894</v>
      </c>
      <c r="I71" s="129"/>
      <c r="J71" s="129">
        <f>K18/$C$18</f>
        <v>0.72413920919132446</v>
      </c>
      <c r="K71" s="129"/>
      <c r="L71" s="129">
        <f>M18/$C$18</f>
        <v>0.65648227876321275</v>
      </c>
      <c r="M71" s="129"/>
      <c r="N71" s="129">
        <f>O18/$C$18</f>
        <v>0.58975262164703801</v>
      </c>
      <c r="O71" s="129"/>
      <c r="P71" s="129">
        <f>Q18/$C$18</f>
        <v>0.52424671222130437</v>
      </c>
      <c r="Q71" s="129"/>
      <c r="R71" s="129">
        <f>S18/$C$18</f>
        <v>0.46031870497343985</v>
      </c>
      <c r="S71" s="129"/>
      <c r="T71" s="129">
        <f>U18/$C$18</f>
        <v>0.39836494702111608</v>
      </c>
      <c r="U71" s="129"/>
      <c r="V71" s="129">
        <f>W18/$C$18</f>
        <v>0.33878223511658218</v>
      </c>
      <c r="W71" s="129"/>
      <c r="X71" s="129">
        <f>Y18/$C$18</f>
        <v>0.28190149474251969</v>
      </c>
      <c r="Y71" s="129"/>
      <c r="Z71" s="129">
        <f>AA18/$C$18</f>
        <v>0.22790367146847904</v>
      </c>
      <c r="AA71" s="129"/>
      <c r="AB71" s="129">
        <f>AC18/$C$18</f>
        <v>0.17677490312897801</v>
      </c>
      <c r="AC71" s="129"/>
      <c r="AD71" s="129">
        <f>AE18/$C$18</f>
        <v>0.12842594946459468</v>
      </c>
      <c r="AE71" s="129"/>
      <c r="AF71" s="129">
        <f>AG18/$C$18</f>
        <v>8.3228087186380986E-2</v>
      </c>
      <c r="AG71" s="129"/>
      <c r="AH71" s="129">
        <f>AI18/$C$18</f>
        <v>4.3299885270642102E-2</v>
      </c>
      <c r="AI71" s="129"/>
      <c r="AJ71" s="129">
        <f>AK18/$C$18</f>
        <v>1.4176688740922835E-2</v>
      </c>
      <c r="AK71" s="129"/>
      <c r="AL71" s="129">
        <f>AM18/$C$18</f>
        <v>1.7114982166418784E-3</v>
      </c>
      <c r="AM71" s="129"/>
      <c r="AN71" s="129">
        <f>AO18/$C$18</f>
        <v>2.5167226379231541E-5</v>
      </c>
      <c r="AO71" s="129"/>
      <c r="AP71" s="129">
        <f>AQ18/$C$18</f>
        <v>6.4296501021685639E-6</v>
      </c>
      <c r="AQ71" s="129"/>
      <c r="AR71" s="129">
        <f>AS18/$C$18</f>
        <v>1.1400772675348447E-6</v>
      </c>
      <c r="AS71" s="129"/>
      <c r="AT71" s="129">
        <f>AU18/$C$18</f>
        <v>1.06785851600785E-7</v>
      </c>
      <c r="AU71" s="129"/>
      <c r="AV71" s="129">
        <f>AW18/$C$18</f>
        <v>2.2884872514686135E-9</v>
      </c>
      <c r="XFD71" s="129"/>
    </row>
    <row r="72" spans="1:48 16384:16384" x14ac:dyDescent="0.2">
      <c r="A72" t="s">
        <v>164</v>
      </c>
      <c r="B72" s="129">
        <f>C19/$C$19</f>
        <v>1</v>
      </c>
      <c r="D72" s="129">
        <f>E19/$C$19</f>
        <v>1.0224845594994887</v>
      </c>
      <c r="E72" s="129"/>
      <c r="F72" s="129">
        <f>G19/$C$19</f>
        <v>1.0475232433760009</v>
      </c>
      <c r="G72" s="129"/>
      <c r="H72" s="129">
        <f>I19/$C$19</f>
        <v>1.0750489898801991</v>
      </c>
      <c r="I72" s="129"/>
      <c r="J72" s="129">
        <f>K19/$C$19</f>
        <v>1.1048462930304794</v>
      </c>
      <c r="K72" s="129"/>
      <c r="L72" s="129">
        <f>M19/$C$19</f>
        <v>1.1364822199018514</v>
      </c>
      <c r="M72" s="129"/>
      <c r="N72" s="129">
        <f>O19/$C$19</f>
        <v>1.1692218222413451</v>
      </c>
      <c r="O72" s="129"/>
      <c r="P72" s="129">
        <f>Q19/$C$19</f>
        <v>1.2019443590508359</v>
      </c>
      <c r="Q72" s="129"/>
      <c r="R72" s="129">
        <f>S19/$C$19</f>
        <v>1.2330786232142681</v>
      </c>
      <c r="S72" s="129"/>
      <c r="T72" s="129">
        <f>U19/$C$19</f>
        <v>1.260623380265895</v>
      </c>
      <c r="U72" s="129"/>
      <c r="V72" s="129">
        <f>W19/$C$19</f>
        <v>1.2823240068215886</v>
      </c>
      <c r="W72" s="129"/>
      <c r="X72" s="129">
        <f>Y19/$C$19</f>
        <v>1.2961075240022286</v>
      </c>
      <c r="Y72" s="129"/>
      <c r="Z72" s="129">
        <f>AA19/$C$19</f>
        <v>1.3007886215523861</v>
      </c>
      <c r="AA72" s="129"/>
      <c r="AB72" s="129">
        <f>AC19/$C$19</f>
        <v>1.296840245006345</v>
      </c>
      <c r="AC72" s="129"/>
      <c r="AD72" s="129">
        <f>AE19/$C$19</f>
        <v>1.28644148660193</v>
      </c>
      <c r="AE72" s="129"/>
      <c r="AF72" s="129">
        <f>AG19/$C$19</f>
        <v>1.2707001314173672</v>
      </c>
      <c r="AG72" s="129"/>
      <c r="AH72" s="129">
        <f>AI19/$C$19</f>
        <v>1.2391279108403777</v>
      </c>
      <c r="AI72" s="129"/>
      <c r="AJ72" s="129">
        <f>AK19/$C$19</f>
        <v>1.1438991627521562</v>
      </c>
      <c r="AK72" s="129"/>
      <c r="AL72" s="129">
        <f>AM19/$C$19</f>
        <v>0.88837778789654576</v>
      </c>
      <c r="AM72" s="129"/>
      <c r="AN72" s="129">
        <f>AO19/$C$19</f>
        <v>0.46724440206239981</v>
      </c>
      <c r="AO72" s="129"/>
      <c r="AP72" s="129">
        <f>AQ19/$C$19</f>
        <v>0.37461217792538914</v>
      </c>
      <c r="AQ72" s="129"/>
      <c r="AR72" s="129">
        <f>AS19/$C$19</f>
        <v>0.28125825076742372</v>
      </c>
      <c r="AS72" s="129"/>
      <c r="AT72" s="129">
        <f>AU19/$C$19</f>
        <v>0.18758433437479052</v>
      </c>
      <c r="AU72" s="129"/>
      <c r="AV72" s="129">
        <f>AW19/$C$19</f>
        <v>9.3802801684872802E-2</v>
      </c>
      <c r="XFD72" s="129"/>
    </row>
    <row r="73" spans="1:48 16384:16384" x14ac:dyDescent="0.2">
      <c r="A73" t="s">
        <v>168</v>
      </c>
      <c r="B73" s="183">
        <f t="array" ref="B73">SUM(B9:C9*B22:C22)/B32</f>
        <v>0.47641153352875065</v>
      </c>
      <c r="D73" s="183">
        <f t="array" ref="D73">SUM(D9:E9*D22:E22)/D32</f>
        <v>0.4744155701903498</v>
      </c>
      <c r="E73" s="129"/>
      <c r="F73" s="183">
        <f t="array" ref="F73">SUM(F9:G9*F22:G22)/F32</f>
        <v>0.47238157653669827</v>
      </c>
      <c r="G73" s="129"/>
      <c r="H73" s="183">
        <f t="array" ref="H73">SUM(H9:I9*H22:I22)/H32</f>
        <v>0.47030998989717426</v>
      </c>
      <c r="I73" s="129"/>
      <c r="J73" s="183">
        <f t="array" ref="J73">SUM(J9:K9*J22:K22)/J32</f>
        <v>0.46820288284533623</v>
      </c>
      <c r="K73" s="129"/>
      <c r="L73" s="183">
        <f t="array" ref="L73">SUM(L9:M9*L22:M22)/L32</f>
        <v>0.46606469702552311</v>
      </c>
      <c r="M73" s="129"/>
      <c r="N73" s="183">
        <f t="array" ref="N73">SUM(N9:O9*N22:O22)/N32</f>
        <v>0.46390325147842298</v>
      </c>
      <c r="O73" s="129"/>
      <c r="P73" s="183">
        <f t="array" ref="P73">SUM(P9:Q9*P22:Q22)/P32</f>
        <v>0.46173050495818091</v>
      </c>
      <c r="Q73" s="129"/>
      <c r="R73" s="183">
        <f t="array" ref="R73">SUM(R9:S9*R22:S22)/R32</f>
        <v>0.4595633552235856</v>
      </c>
      <c r="S73" s="129"/>
      <c r="T73" s="183">
        <f t="array" ref="T73">SUM(T9:U9*T22:U22)/T32</f>
        <v>0.45742322819447928</v>
      </c>
      <c r="U73" s="129"/>
      <c r="V73" s="183">
        <f t="array" ref="V73">SUM(V9:W9*V22:W22)/V32</f>
        <v>0.45533340251957183</v>
      </c>
      <c r="W73" s="129"/>
      <c r="X73" s="183">
        <f t="array" ref="X73">SUM(X9:Y9*X22:Y22)/X32</f>
        <v>0.45331073899455071</v>
      </c>
      <c r="Y73" s="129"/>
      <c r="Z73" s="183">
        <f t="array" ref="Z73">SUM(Z9:AA9*Z22:AA22)/Z32</f>
        <v>0.45134703018935435</v>
      </c>
      <c r="AA73" s="129"/>
      <c r="AB73" s="183">
        <f t="array" ref="AB73">SUM(AB9:AC9*AB22:AC22)/AB32</f>
        <v>0.44937036420468957</v>
      </c>
      <c r="AC73" s="129"/>
      <c r="AD73" s="183">
        <f t="array" ref="AD73">SUM(AD9:AE9*AD22:AE22)/AD32</f>
        <v>0.44716920532718368</v>
      </c>
      <c r="AE73" s="129"/>
      <c r="AF73" s="183">
        <f t="array" ref="AF73">SUM(AF9:AG9*AF22:AG22)/AF32</f>
        <v>0.44424689216692076</v>
      </c>
      <c r="AG73" s="129"/>
      <c r="AH73" s="183">
        <f t="array" ref="AH73">SUM(AH9:AI9*AH22:AI22)/AH32</f>
        <v>0.43952706051641854</v>
      </c>
      <c r="AI73" s="129"/>
      <c r="AJ73" s="183">
        <f t="array" ref="AJ73">SUM(AJ9:AK9*AJ22:AK22)/AJ32</f>
        <v>0.43070839612665446</v>
      </c>
      <c r="AK73" s="129"/>
      <c r="AL73" s="183">
        <f t="array" ref="AL73">SUM(AL9:AM9*AL22:AM22)/AL32</f>
        <v>0.41336164832216987</v>
      </c>
      <c r="AM73" s="129"/>
      <c r="AN73" s="183">
        <f t="array" ref="AN73">SUM(AN9:AO9*AN22:AO22)/AN32</f>
        <v>0.37961474332615786</v>
      </c>
      <c r="AO73" s="129"/>
      <c r="AP73" s="183">
        <f t="array" ref="AP73">SUM(AP9:AQ9*AP22:AQ22)/AP32</f>
        <v>0.36891519072671025</v>
      </c>
      <c r="AQ73" s="129"/>
      <c r="AR73" s="183">
        <f t="array" ref="AR73">SUM(AR9:AS9*AR22:AS22)/AR32</f>
        <v>0.35545091871066636</v>
      </c>
      <c r="AS73" s="129"/>
      <c r="AT73" s="183">
        <f t="array" ref="AT73">SUM(AT9:AU9*AT22:AU22)/AT32</f>
        <v>0.3372465507752116</v>
      </c>
      <c r="AU73" s="129"/>
      <c r="AV73" s="183">
        <f t="array" ref="AV73">SUM(AV9:AW9*AV22:AW22)/AV32</f>
        <v>0.3086911597657373</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0.22604620456442481</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0.22604620456442487</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0.22604620456442487</v>
      </c>
      <c r="AM74" s="129"/>
      <c r="AN74" s="183">
        <f t="array" ref="AN74">SUM(AN10:AO10*AN23:AO23)/AN32</f>
        <v>0.22604620456442484</v>
      </c>
      <c r="AO74" s="129"/>
      <c r="AP74" s="183">
        <f t="array" ref="AP74">SUM(AP10:AQ10*AP23:AQ23)/AP32</f>
        <v>0.22604620456442484</v>
      </c>
      <c r="AQ74" s="129"/>
      <c r="AR74" s="183">
        <f t="array" ref="AR74">SUM(AR10:AS10*AR23:AS23)/AR32</f>
        <v>0.22604620456442487</v>
      </c>
      <c r="AS74" s="129"/>
      <c r="AT74" s="183">
        <f t="array" ref="AT74">SUM(AT10:AU10*AT23:AU23)/AT32</f>
        <v>0.22604620456442487</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0.22164116568805825</v>
      </c>
      <c r="E75" s="129"/>
      <c r="F75" s="183">
        <f t="array" ref="F75">SUM(F11:G11*F24:G24)/F32</f>
        <v>0.22319749497347016</v>
      </c>
      <c r="G75" s="129"/>
      <c r="H75" s="183">
        <f t="array" ref="H75">SUM(H11:I11*H24:I24)/H32</f>
        <v>0.22513364456483423</v>
      </c>
      <c r="I75" s="129"/>
      <c r="J75" s="183">
        <f t="array" ref="J75">SUM(J11:K11*J24:K24)/J32</f>
        <v>0.22755669773981346</v>
      </c>
      <c r="K75" s="129"/>
      <c r="L75" s="183">
        <f t="array" ref="L75">SUM(L11:M11*L24:M24)/L32</f>
        <v>0.23061130280011186</v>
      </c>
      <c r="M75" s="129"/>
      <c r="N75" s="183">
        <f t="array" ref="N75">SUM(N11:O11*N24:O24)/N32</f>
        <v>0.23449507006079928</v>
      </c>
      <c r="O75" s="129"/>
      <c r="P75" s="183">
        <f t="array" ref="P75">SUM(P11:Q11*P24:Q24)/P32</f>
        <v>0.23947893989596145</v>
      </c>
      <c r="Q75" s="129"/>
      <c r="R75" s="183">
        <f t="array" ref="R75">SUM(R11:S11*R24:S24)/R32</f>
        <v>0.24593622483917491</v>
      </c>
      <c r="S75" s="129"/>
      <c r="T75" s="183">
        <f t="array" ref="T75">SUM(T11:U11*T24:U24)/T32</f>
        <v>0.25438071063945744</v>
      </c>
      <c r="U75" s="129"/>
      <c r="V75" s="183">
        <f t="array" ref="V75">SUM(V11:W11*V24:W24)/V32</f>
        <v>0.26551543742560968</v>
      </c>
      <c r="W75" s="129"/>
      <c r="X75" s="183">
        <f t="array" ref="X75">SUM(X11:Y11*X24:Y24)/X32</f>
        <v>0.28029008679956302</v>
      </c>
      <c r="Y75" s="129"/>
      <c r="Z75" s="183">
        <f t="array" ref="Z75">SUM(Z11:AA11*Z24:AA24)/Z32</f>
        <v>0.29995900947957305</v>
      </c>
      <c r="AA75" s="129"/>
      <c r="AB75" s="183">
        <f t="array" ref="AB75">SUM(AB11:AC11*AB24:AC24)/AB32</f>
        <v>0.32611721515365483</v>
      </c>
      <c r="AC75" s="129"/>
      <c r="AD75" s="183">
        <f t="array" ref="AD75">SUM(AD11:AE11*AD24:AE24)/AD32</f>
        <v>0.36067140114557356</v>
      </c>
      <c r="AE75" s="129"/>
      <c r="AF75" s="183">
        <f t="array" ref="AF75">SUM(AF11:AG11*AF24:AG24)/AF32</f>
        <v>0.40573048452005722</v>
      </c>
      <c r="AG75" s="129"/>
      <c r="AH75" s="183">
        <f t="array" ref="AH75">SUM(AH11:AI11*AH24:AI24)/AH32</f>
        <v>0.46365296810221784</v>
      </c>
      <c r="AI75" s="129"/>
      <c r="AJ75" s="183">
        <f t="array" ref="AJ75">SUM(AJ11:AK11*AJ24:AK24)/AJ32</f>
        <v>0.53820117486765529</v>
      </c>
      <c r="AK75" s="129"/>
      <c r="AL75" s="183">
        <f t="array" ref="AL75">SUM(AL11:AM11*AL24:AM24)/AL32</f>
        <v>0.64041655841896827</v>
      </c>
      <c r="AM75" s="129"/>
      <c r="AN75" s="183">
        <f t="array" ref="AN75">SUM(AN11:AO11*AN24:AO24)/AN32</f>
        <v>0.82677558821349717</v>
      </c>
      <c r="AO75" s="129"/>
      <c r="AP75" s="183">
        <f t="array" ref="AP75">SUM(AP11:AQ11*AP24:AQ24)/AP32</f>
        <v>0.89494491632261397</v>
      </c>
      <c r="AQ75" s="129"/>
      <c r="AR75" s="183">
        <f t="array" ref="AR75">SUM(AR11:AS11*AR24:AS24)/AR32</f>
        <v>0.99052018451151058</v>
      </c>
      <c r="AS75" s="129"/>
      <c r="AT75" s="183">
        <f t="array" ref="AT75">SUM(AT11:AU11*AT24:AU24)/AT32</f>
        <v>1.1415320347221796</v>
      </c>
      <c r="AU75" s="129"/>
      <c r="AV75" s="183">
        <f t="array" ref="AV75">SUM(AV11:AW11*AV24:AW24)/AV32</f>
        <v>1.4501564525808528</v>
      </c>
      <c r="XFD75" s="183"/>
    </row>
    <row r="76" spans="1:48 16384:16384" x14ac:dyDescent="0.2">
      <c r="A76" t="s">
        <v>171</v>
      </c>
      <c r="B76" s="183">
        <f t="array" ref="B76">SUM(B12:C12*B25:C25)/B32</f>
        <v>0.22301874374724867</v>
      </c>
      <c r="D76" s="183">
        <f t="array" ref="D76">SUM(D12:E12*D25:E25)/D32</f>
        <v>0.22366536316045313</v>
      </c>
      <c r="E76" s="129"/>
      <c r="F76" s="183">
        <f t="array" ref="F76">SUM(F12:G12*F25:G25)/F32</f>
        <v>0.22417213762706165</v>
      </c>
      <c r="G76" s="129"/>
      <c r="H76" s="183">
        <f t="array" ref="H76">SUM(H12:I12*H25:I25)/H32</f>
        <v>0.2244820111683466</v>
      </c>
      <c r="I76" s="129"/>
      <c r="J76" s="183">
        <f t="array" ref="J76">SUM(J12:K12*J25:K25)/J32</f>
        <v>0.22451572082578511</v>
      </c>
      <c r="K76" s="129"/>
      <c r="L76" s="183">
        <f t="array" ref="L76">SUM(L12:M12*L25:M25)/L32</f>
        <v>0.2241626086133775</v>
      </c>
      <c r="M76" s="129"/>
      <c r="N76" s="183">
        <f t="array" ref="N76">SUM(N12:O12*N25:O25)/N32</f>
        <v>0.22326770584980538</v>
      </c>
      <c r="O76" s="129"/>
      <c r="P76" s="183">
        <f t="array" ref="P76">SUM(P12:Q12*P25:Q25)/P32</f>
        <v>0.22161548084499336</v>
      </c>
      <c r="Q76" s="129"/>
      <c r="R76" s="183">
        <f t="array" ref="R76">SUM(R12:S12*R25:S25)/R32</f>
        <v>0.21890794845556974</v>
      </c>
      <c r="S76" s="129"/>
      <c r="T76" s="183">
        <f t="array" ref="T76">SUM(T12:U12*T25:U25)/T32</f>
        <v>0.21473932453330194</v>
      </c>
      <c r="U76" s="129"/>
      <c r="V76" s="183">
        <f t="array" ref="V76">SUM(V12:W12*V25:W25)/V32</f>
        <v>0.2085695272823582</v>
      </c>
      <c r="W76" s="129"/>
      <c r="X76" s="183">
        <f t="array" ref="X76">SUM(X12:Y12*X25:Y25)/X32</f>
        <v>0.19970595560441221</v>
      </c>
      <c r="Y76" s="129"/>
      <c r="Z76" s="183">
        <f t="array" ref="Z76">SUM(Z12:AA12*Z25:AA25)/Z32</f>
        <v>0.18731173139307983</v>
      </c>
      <c r="AA76" s="129"/>
      <c r="AB76" s="183">
        <f t="array" ref="AB76">SUM(AB12:AC12*AB25:AC25)/AB32</f>
        <v>0.17047835068604514</v>
      </c>
      <c r="AC76" s="129"/>
      <c r="AD76" s="183">
        <f t="array" ref="AD76">SUM(AD12:AE12*AD25:AE25)/AD32</f>
        <v>0.14842594708177648</v>
      </c>
      <c r="AE76" s="129"/>
      <c r="AF76" s="183">
        <f t="array" ref="AF76">SUM(AF12:AG12*AF25:AG25)/AF32</f>
        <v>0.12088890140897068</v>
      </c>
      <c r="AG76" s="129"/>
      <c r="AH76" s="183">
        <f t="array" ref="AH76">SUM(AH12:AI12*AH25:AI25)/AH32</f>
        <v>8.8650774268694194E-2</v>
      </c>
      <c r="AI76" s="129"/>
      <c r="AJ76" s="183">
        <f t="array" ref="AJ76">SUM(AJ12:AK12*AJ25:AK25)/AJ32</f>
        <v>5.4299458384434555E-2</v>
      </c>
      <c r="AK76" s="129"/>
      <c r="AL76" s="183">
        <f t="array" ref="AL76">SUM(AL12:AM12*AL25:AM25)/AL32</f>
        <v>2.3922906270817512E-2</v>
      </c>
      <c r="AM76" s="129"/>
      <c r="AN76" s="183">
        <f t="array" ref="AN76">SUM(AN12:AO12*AN25:AO25)/AN32</f>
        <v>5.4909243834485606E-3</v>
      </c>
      <c r="AO76" s="129"/>
      <c r="AP76" s="183">
        <f t="array" ref="AP76">SUM(AP12:AQ12*AP25:AQ25)/AP32</f>
        <v>3.4699658979856925E-3</v>
      </c>
      <c r="AQ76" s="129"/>
      <c r="AR76" s="183">
        <f t="array" ref="AR76">SUM(AR12:AS12*AR25:AS25)/AR32</f>
        <v>1.9492724600470783E-3</v>
      </c>
      <c r="AS76" s="129"/>
      <c r="AT76" s="183">
        <f t="array" ref="AT76">SUM(AT12:AU12*AT25:AU25)/AT32</f>
        <v>8.8984326352441428E-4</v>
      </c>
      <c r="AU76" s="129"/>
      <c r="AV76" s="183">
        <f t="array" ref="AV76">SUM(AV12:AW12*AV25:AW25)/AV32</f>
        <v>2.5027513212170051E-4</v>
      </c>
      <c r="XFD76" s="183"/>
    </row>
    <row r="77" spans="1:48 16384:16384" x14ac:dyDescent="0.2">
      <c r="A77" t="s">
        <v>172</v>
      </c>
      <c r="B77" s="183">
        <f t="array" ref="B77">SUM(B4:C4*B19:C19)/B32</f>
        <v>0.14586087017236485</v>
      </c>
      <c r="D77" s="183">
        <f t="array" ref="D77">SUM(D4:E4*D19:E19)/D32</f>
        <v>0.14576830360328535</v>
      </c>
      <c r="E77" s="129"/>
      <c r="F77" s="183">
        <f t="array" ref="F77">SUM(F4:G4*F19:G19)/F32</f>
        <v>0.14579741370165417</v>
      </c>
      <c r="G77" s="129"/>
      <c r="H77" s="183">
        <f t="array" ref="H77">SUM(H4:I4*H19:I19)/H32</f>
        <v>0.1459718501947796</v>
      </c>
      <c r="I77" s="129"/>
      <c r="J77" s="183">
        <f t="array" ref="J77">SUM(J4:K4*J19:K19)/J32</f>
        <v>0.14632150597535939</v>
      </c>
      <c r="K77" s="129"/>
      <c r="L77" s="183">
        <f t="array" ref="L77">SUM(L4:M4*L19:M19)/L32</f>
        <v>0.146884813003437</v>
      </c>
      <c r="M77" s="129"/>
      <c r="N77" s="183">
        <f t="array" ref="N77">SUM(N4:O4*N19:O19)/N32</f>
        <v>0.14771223195345182</v>
      </c>
      <c r="O77" s="129"/>
      <c r="P77" s="183">
        <f t="array" ref="P77">SUM(P4:Q4*P19:Q19)/P32</f>
        <v>0.14887113026356019</v>
      </c>
      <c r="Q77" s="129"/>
      <c r="R77" s="183">
        <f t="array" ref="R77">SUM(R4:S4*R19:S19)/R32</f>
        <v>0.15045373308275445</v>
      </c>
      <c r="S77" s="129"/>
      <c r="T77" s="183">
        <f t="array" ref="T77">SUM(T4:U4*T19:U19)/T32</f>
        <v>0.15258946793166325</v>
      </c>
      <c r="U77" s="129"/>
      <c r="V77" s="183">
        <f t="array" ref="V77">SUM(V4:W4*V19:W19)/V32</f>
        <v>0.15546457179196388</v>
      </c>
      <c r="W77" s="129"/>
      <c r="X77" s="183">
        <f t="array" ref="X77">SUM(X4:Y4*X19:Y19)/X32</f>
        <v>0.15935298596295028</v>
      </c>
      <c r="Y77" s="129"/>
      <c r="Z77" s="183">
        <f t="array" ref="Z77">SUM(Z4:AA4*Z19:AA19)/Z32</f>
        <v>0.16466397562643129</v>
      </c>
      <c r="AA77" s="129"/>
      <c r="AB77" s="183">
        <f t="array" ref="AB77">SUM(AB4:AC4*AB19:AC19)/AB32</f>
        <v>0.17201213460881426</v>
      </c>
      <c r="AC77" s="129"/>
      <c r="AD77" s="183">
        <f t="array" ref="AD77">SUM(AD4:AE4*AD19:AE19)/AD32</f>
        <v>0.18231275811895808</v>
      </c>
      <c r="AE77" s="129"/>
      <c r="AF77" s="183">
        <f t="array" ref="AF77">SUM(AF4:AG4*AF19:AG19)/AF32</f>
        <v>0.19691248266037334</v>
      </c>
      <c r="AG77" s="129"/>
      <c r="AH77" s="183">
        <f t="array" ref="AH77">SUM(AH4:AI4*AH19:AI19)/AH32</f>
        <v>0.21787700745175503</v>
      </c>
      <c r="AI77" s="129"/>
      <c r="AJ77" s="183">
        <f t="array" ref="AJ77">SUM(AJ4:AK4*AJ19:AK19)/AJ32</f>
        <v>0.24925523394316898</v>
      </c>
      <c r="AK77" s="129"/>
      <c r="AL77" s="183">
        <f t="array" ref="AL77">SUM(AL4:AM4*AL19:AM19)/AL32</f>
        <v>0.30374731757637979</v>
      </c>
      <c r="AM77" s="129"/>
      <c r="AN77" s="183">
        <f t="array" ref="AN77">SUM(AN4:AO4*AN19:AO19)/AN32</f>
        <v>0.43792746048752784</v>
      </c>
      <c r="AO77" s="129"/>
      <c r="AP77" s="183">
        <f t="array" ref="AP77">SUM(AP4:AQ4*AP19:AQ19)/AP32</f>
        <v>0.49337627751173424</v>
      </c>
      <c r="AQ77" s="129"/>
      <c r="AR77" s="183">
        <f t="array" ref="AR77">SUM(AR4:AS4*AR19:AS19)/AR32</f>
        <v>0.57396658024664826</v>
      </c>
      <c r="AS77" s="129"/>
      <c r="AT77" s="183">
        <f t="array" ref="AT77">SUM(AT4:AU4*AT19:AU19)/AT32</f>
        <v>0.70571463332534012</v>
      </c>
      <c r="AU77" s="129"/>
      <c r="AV77" s="183">
        <f t="array" ref="AV77">SUM(AV4:AW4*AV19:AW19)/AV32</f>
        <v>0.98514409204313647</v>
      </c>
      <c r="XFD77" s="183"/>
    </row>
    <row r="78" spans="1:48 16384:16384" x14ac:dyDescent="0.2">
      <c r="A78" t="s">
        <v>173</v>
      </c>
      <c r="B78" s="183">
        <f t="array" ref="B78">SUM(B13:C13*B26:C26)/B32</f>
        <v>0.346887593115773</v>
      </c>
      <c r="D78" s="183">
        <f t="array" ref="D78">SUM(D13:E13*D26:E26)/D32</f>
        <v>0.34503823092911795</v>
      </c>
      <c r="E78" s="129"/>
      <c r="F78" s="183">
        <f t="array" ref="F78">SUM(F13:G13*F26:G26)/F32</f>
        <v>0.343106497823437</v>
      </c>
      <c r="G78" s="129"/>
      <c r="H78" s="183">
        <f t="array" ref="H78">SUM(H13:I13*H26:I26)/H32</f>
        <v>0.34108739827981793</v>
      </c>
      <c r="I78" s="129"/>
      <c r="J78" s="183">
        <f t="array" ref="J78">SUM(J13:K13*J26:K26)/J32</f>
        <v>0.33897687475898314</v>
      </c>
      <c r="K78" s="129"/>
      <c r="L78" s="183">
        <f t="array" ref="L78">SUM(L13:M13*L26:M26)/L32</f>
        <v>0.33677253931100376</v>
      </c>
      <c r="M78" s="129"/>
      <c r="N78" s="183">
        <f t="array" ref="N78">SUM(N13:O13*N26:O26)/N32</f>
        <v>0.33447476999494219</v>
      </c>
      <c r="O78" s="129"/>
      <c r="P78" s="183">
        <f t="array" ref="P78">SUM(P13:Q13*P26:Q26)/P32</f>
        <v>0.33208788085575663</v>
      </c>
      <c r="Q78" s="129"/>
      <c r="R78" s="183">
        <f t="array" ref="R78">SUM(R13:S13*R26:S26)/R32</f>
        <v>0.32962170383639322</v>
      </c>
      <c r="S78" s="129"/>
      <c r="T78" s="183">
        <f t="array" ref="T78">SUM(T13:U13*T26:U26)/T32</f>
        <v>0.32709293023220903</v>
      </c>
      <c r="U78" s="129"/>
      <c r="V78" s="183">
        <f t="array" ref="V78">SUM(V13:W13*V26:W26)/V32</f>
        <v>0.32452570399553982</v>
      </c>
      <c r="W78" s="129"/>
      <c r="X78" s="183">
        <f t="array" ref="X78">SUM(X13:Y13*X26:Y26)/X32</f>
        <v>0.32194994685119699</v>
      </c>
      <c r="Y78" s="129"/>
      <c r="Z78" s="183">
        <f t="array" ref="Z78">SUM(Z13:AA13*Z26:AA26)/Z32</f>
        <v>0.31939530322820248</v>
      </c>
      <c r="AA78" s="129"/>
      <c r="AB78" s="183">
        <f t="array" ref="AB78">SUM(AB13:AC13*AB26:AC26)/AB32</f>
        <v>0.31687701834461141</v>
      </c>
      <c r="AC78" s="129"/>
      <c r="AD78" s="183">
        <f t="array" ref="AD78">SUM(AD13:AE13*AD26:AE26)/AD32</f>
        <v>0.31436673623763439</v>
      </c>
      <c r="AE78" s="129"/>
      <c r="AF78" s="183">
        <f t="array" ref="AF78">SUM(AF13:AG13*AF26:AG26)/AF32</f>
        <v>0.31173305028956932</v>
      </c>
      <c r="AG78" s="129"/>
      <c r="AH78" s="183">
        <f t="array" ref="AH78">SUM(AH13:AI13*AH26:AI26)/AH32</f>
        <v>0.30862007433418742</v>
      </c>
      <c r="AI78" s="129"/>
      <c r="AJ78" s="183">
        <f t="array" ref="AJ78">SUM(AJ13:AK13*AJ26:AK26)/AJ32</f>
        <v>0.30424257778586694</v>
      </c>
      <c r="AK78" s="129"/>
      <c r="AL78" s="183">
        <f t="array" ref="AL78">SUM(AL13:AM13*AL26:AM26)/AL32</f>
        <v>0.29757618579874645</v>
      </c>
      <c r="AM78" s="129"/>
      <c r="AN78" s="183">
        <f t="array" ref="AN78">SUM(AN13:AO13*AN26:AO26)/AN32</f>
        <v>0.28947022913328818</v>
      </c>
      <c r="AO78" s="129"/>
      <c r="AP78" s="183">
        <f t="array" ref="AP78">SUM(AP13:AQ13*AP26:AQ26)/AP32</f>
        <v>0.28809076559537417</v>
      </c>
      <c r="AQ78" s="129"/>
      <c r="AR78" s="183">
        <f t="array" ref="AR78">SUM(AR13:AS13*AR26:AS26)/AR32</f>
        <v>0.28706593244664974</v>
      </c>
      <c r="AS78" s="129"/>
      <c r="AT78" s="183">
        <f t="array" ref="AT78">SUM(AT13:AU13*AT26:AU26)/AT32</f>
        <v>0.28680220001103046</v>
      </c>
      <c r="AU78" s="129"/>
      <c r="AV78" s="183">
        <f t="array" ref="AV78">SUM(AV13:AW13*AV26:AW26)/AV32</f>
        <v>0.28853893034961597</v>
      </c>
      <c r="XFD78" s="183"/>
    </row>
    <row r="79" spans="1:48 16384:16384" x14ac:dyDescent="0.2">
      <c r="A79" t="s">
        <v>174</v>
      </c>
      <c r="B79" s="183">
        <f t="array" ref="B79">SUM(B15:C15*B27:C27)/B32</f>
        <v>0.45460968782440875</v>
      </c>
      <c r="D79" s="183">
        <f t="array" ref="D79">SUM(D15:E15*D27:E27)/D32</f>
        <v>0.45310112774290112</v>
      </c>
      <c r="F79" s="183">
        <f t="array" ref="F79">SUM(F15:G15*F27:G27)/F32</f>
        <v>0.45161092966267558</v>
      </c>
      <c r="H79" s="183">
        <f t="array" ref="H79">SUM(H15:I15*H27:I27)/H32</f>
        <v>0.45014486652442226</v>
      </c>
      <c r="J79" s="183">
        <f t="array" ref="J79">SUM(J15:K15*J27:K27)/J32</f>
        <v>0.4487104786037428</v>
      </c>
      <c r="L79" s="183">
        <f t="array" ref="L79">SUM(L15:M15*L27:M27)/L32</f>
        <v>0.44731759497049034</v>
      </c>
      <c r="N79" s="183">
        <f t="array" ref="N79">SUM(N15:O15*N27:O27)/N32</f>
        <v>0.44597902052993166</v>
      </c>
      <c r="P79" s="183">
        <f t="array" ref="P79">SUM(P15:Q15*P27:Q27)/P32</f>
        <v>0.44471056242482071</v>
      </c>
      <c r="R79" s="183">
        <f t="array" ref="R79">SUM(R15:S15*R27:S27)/R32</f>
        <v>0.44353079630564884</v>
      </c>
      <c r="T79" s="183">
        <f t="array" ref="T79">SUM(T15:U15*T27:U27)/T32</f>
        <v>0.4424591223892626</v>
      </c>
      <c r="V79" s="183">
        <f t="array" ref="V79">SUM(V15:W15*V27:W27)/V32</f>
        <v>0.44151049872823078</v>
      </c>
      <c r="X79" s="183">
        <f t="array" ref="X79">SUM(X15:Y15*X27:Y27)/X32</f>
        <v>0.44068339703212106</v>
      </c>
      <c r="Z79" s="183">
        <f t="array" ref="Z79">SUM(Z15:AA15*Z27:AA27)/Z32</f>
        <v>0.43993436984969703</v>
      </c>
      <c r="AB79" s="183">
        <f t="array" ref="AB79">SUM(AB15:AC15*AB27:AC27)/AB32</f>
        <v>0.43912714511544948</v>
      </c>
      <c r="AD79" s="183">
        <f t="array" ref="AD79">SUM(AD15:AE15*AD27:AE27)/AD32</f>
        <v>0.43793429499913844</v>
      </c>
      <c r="AF79" s="183">
        <f t="array" ref="AF79">SUM(AF15:AG15*AF27:AG27)/AF32</f>
        <v>0.43565159916718749</v>
      </c>
      <c r="AH79" s="183">
        <f t="array" ref="AH79">SUM(AH15:AI15*AH27:AI27)/AH32</f>
        <v>0.43082412132688469</v>
      </c>
      <c r="AJ79" s="183">
        <f t="array" ref="AJ79">SUM(AJ15:AK15*AJ27:AK27)/AJ32</f>
        <v>0.42036542028652912</v>
      </c>
      <c r="AL79" s="183">
        <f t="array" ref="AL79">SUM(AL15:AM15*AL27:AM27)/AL32</f>
        <v>0.39784828197269662</v>
      </c>
      <c r="AN79" s="183">
        <f t="array" ref="AN79">SUM(AN15:AO15*AN27:AO27)/AN32</f>
        <v>0.34917968416512729</v>
      </c>
      <c r="AP79" s="183">
        <f t="array" ref="AP79">SUM(AP15:AQ15*AP27:AQ27)/AP32</f>
        <v>0.33255861304951612</v>
      </c>
      <c r="AR79" s="183">
        <f t="array" ref="AR79">SUM(AR15:AS15*AR27:AS27)/AR32</f>
        <v>0.31093164906253168</v>
      </c>
      <c r="AT79" s="183">
        <f t="array" ref="AT79">SUM(AT15:AU15*AT27:AU27)/AT32</f>
        <v>0.28056902011059548</v>
      </c>
      <c r="AV79" s="183">
        <f t="array" ref="AV79">SUM(AV15:AW15*AV27:AW27)/AV32</f>
        <v>0.23079174865470578</v>
      </c>
      <c r="XFD79" s="183"/>
    </row>
    <row r="80" spans="1:48 16384:16384" x14ac:dyDescent="0.2">
      <c r="A80" t="s">
        <v>153</v>
      </c>
      <c r="B80" s="195">
        <f>B55</f>
        <v>0.19850271905982084</v>
      </c>
      <c r="D80" s="195">
        <f>D55</f>
        <v>0.20186065535887518</v>
      </c>
      <c r="F80" s="195">
        <f>F55</f>
        <v>0.20528256970557915</v>
      </c>
      <c r="H80" s="195">
        <f>H55</f>
        <v>0.20876773104444349</v>
      </c>
      <c r="J80" s="195">
        <f>J55</f>
        <v>0.21231266235780105</v>
      </c>
      <c r="L80" s="195">
        <f>L55</f>
        <v>0.21590985977336732</v>
      </c>
      <c r="N80" s="195">
        <f>N55</f>
        <v>0.21954620328633123</v>
      </c>
      <c r="P80" s="195">
        <f>P55</f>
        <v>0.22320156148138212</v>
      </c>
      <c r="R80" s="195">
        <f>R55</f>
        <v>0.22684749949004748</v>
      </c>
      <c r="T80" s="195">
        <f>T55</f>
        <v>0.23044795359423365</v>
      </c>
      <c r="V80" s="195">
        <f>V55</f>
        <v>0.23396379627314864</v>
      </c>
      <c r="X80" s="195">
        <f>X55</f>
        <v>0.23736665531998843</v>
      </c>
      <c r="Z80" s="195">
        <f>Z55</f>
        <v>0.2406703272514997</v>
      </c>
      <c r="AB80" s="195">
        <f>AB55</f>
        <v>0.24399585225661441</v>
      </c>
      <c r="AD80" s="195">
        <f>AD55</f>
        <v>0.2476989799596209</v>
      </c>
      <c r="AF80" s="195">
        <f>AF55</f>
        <v>0.25261535999365742</v>
      </c>
      <c r="AH80" s="195">
        <f>AH55</f>
        <v>0.26055580488194102</v>
      </c>
      <c r="AJ80" s="195">
        <f>AJ55</f>
        <v>0.27539200194860314</v>
      </c>
      <c r="AL80" s="195">
        <f>AL55</f>
        <v>0.30457553230427681</v>
      </c>
      <c r="AN80" s="195">
        <f>AN55</f>
        <v>0.36135008672669383</v>
      </c>
      <c r="AP80" s="195">
        <f>AP55</f>
        <v>0.3793506213505855</v>
      </c>
      <c r="AR80" s="195">
        <f>AR55</f>
        <v>0.40200241849315832</v>
      </c>
      <c r="AT80" s="195">
        <f>AT55</f>
        <v>0.43262878183453296</v>
      </c>
      <c r="AV80" s="195">
        <f>AV55</f>
        <v>0.48066932103158777</v>
      </c>
      <c r="XFD80" s="195"/>
    </row>
    <row r="81" spans="1:48 16384:16384" x14ac:dyDescent="0.2">
      <c r="A81" t="s">
        <v>175</v>
      </c>
      <c r="B81" s="195">
        <f>B51/B$32</f>
        <v>-2.7543485504603994E-2</v>
      </c>
      <c r="D81" s="195">
        <f>D51/D$32</f>
        <v>-2.4185549205549661E-2</v>
      </c>
      <c r="F81" s="195">
        <f>F51/F$32</f>
        <v>-2.0763634858845682E-2</v>
      </c>
      <c r="H81" s="195">
        <f>H51/H$32</f>
        <v>-1.7278473519981366E-2</v>
      </c>
      <c r="J81" s="195">
        <f>J51/J$32</f>
        <v>-1.3733542206623791E-2</v>
      </c>
      <c r="L81" s="195">
        <f>L51/L$32</f>
        <v>-1.0136344791057504E-2</v>
      </c>
      <c r="N81" s="195">
        <f>N51/N$32</f>
        <v>-6.5000012780936089E-3</v>
      </c>
      <c r="P81" s="195">
        <f>P51/P$32</f>
        <v>-2.8446430830427138E-3</v>
      </c>
      <c r="R81" s="195">
        <f>R51/R$32</f>
        <v>8.0129492562262914E-4</v>
      </c>
      <c r="T81" s="195">
        <f>T51/T$32</f>
        <v>4.4017490298087943E-3</v>
      </c>
      <c r="V81" s="195">
        <f>V51/V$32</f>
        <v>7.9175917087238052E-3</v>
      </c>
      <c r="X81" s="195">
        <f>X51/X$32</f>
        <v>1.1320450755563601E-2</v>
      </c>
      <c r="Z81" s="195">
        <f>Z51/Z$32</f>
        <v>1.4624122687074862E-2</v>
      </c>
      <c r="AB81" s="195">
        <f>AB51/AB$32</f>
        <v>1.7949647692189558E-2</v>
      </c>
      <c r="AD81" s="195">
        <f>AD51/AD$32</f>
        <v>2.1652775395196052E-2</v>
      </c>
      <c r="AF81" s="195">
        <f>AF51/AF$32</f>
        <v>2.6569155429232563E-2</v>
      </c>
      <c r="AH81" s="195">
        <f>AH51/AH$32</f>
        <v>3.4509600317516154E-2</v>
      </c>
      <c r="AJ81" s="195">
        <f>AJ51/AJ$32</f>
        <v>4.9345797384178304E-2</v>
      </c>
      <c r="AL81" s="195">
        <f>AL51/AL$32</f>
        <v>7.8529327739851967E-2</v>
      </c>
      <c r="AN81" s="195">
        <f>AN51/AN$32</f>
        <v>0.13530388216226902</v>
      </c>
      <c r="AP81" s="195">
        <f>AP51/AP$32</f>
        <v>0.15330441678616064</v>
      </c>
      <c r="AR81" s="195">
        <f>AR51/AR$32</f>
        <v>0.17595621392873348</v>
      </c>
      <c r="AT81" s="195">
        <f>AT51/AT$32</f>
        <v>0.20658257727010809</v>
      </c>
      <c r="AV81" s="195">
        <f>AV51/AV$32</f>
        <v>0.2546231164671629</v>
      </c>
      <c r="XFD81" s="195"/>
    </row>
    <row r="82" spans="1:48 16384:16384" x14ac:dyDescent="0.2">
      <c r="A82" t="s">
        <v>176</v>
      </c>
      <c r="B82" s="195">
        <f>B52/B$32</f>
        <v>0.14069693704202227</v>
      </c>
      <c r="D82" s="195">
        <f>D52/D$32</f>
        <v>0.1399468393149558</v>
      </c>
      <c r="F82" s="195">
        <f>F52/F$32</f>
        <v>0.13916333210240098</v>
      </c>
      <c r="H82" s="195">
        <f>H52/H$32</f>
        <v>0.13834438923154618</v>
      </c>
      <c r="J82" s="195">
        <f>J52/J$32</f>
        <v>0.13748836497230582</v>
      </c>
      <c r="L82" s="195">
        <f>L52/L$32</f>
        <v>0.13659429077680599</v>
      </c>
      <c r="N82" s="195">
        <f>N52/N$32</f>
        <v>0.13566231998507142</v>
      </c>
      <c r="P82" s="195">
        <f>P52/P$32</f>
        <v>0.13469420236539573</v>
      </c>
      <c r="R82" s="195">
        <f>R52/R$32</f>
        <v>0.13369392573482725</v>
      </c>
      <c r="T82" s="195">
        <f>T52/T$32</f>
        <v>0.13266826005048932</v>
      </c>
      <c r="V82" s="195">
        <f>V52/V$32</f>
        <v>0.13162699805276568</v>
      </c>
      <c r="X82" s="195">
        <f>X52/X$32</f>
        <v>0.13058227593538457</v>
      </c>
      <c r="Z82" s="195">
        <f>Z52/Z$32</f>
        <v>0.12954611742143823</v>
      </c>
      <c r="AB82" s="195">
        <f>AB52/AB$32</f>
        <v>0.12852470594189233</v>
      </c>
      <c r="AD82" s="195">
        <f>AD52/AD$32</f>
        <v>0.12750654037306733</v>
      </c>
      <c r="AF82" s="195">
        <f>AF52/AF$32</f>
        <v>0.12643832244490494</v>
      </c>
      <c r="AH82" s="195">
        <f>AH52/AH$32</f>
        <v>0.12517570541650774</v>
      </c>
      <c r="AJ82" s="195">
        <f>AJ52/AJ$32</f>
        <v>0.12340020128063291</v>
      </c>
      <c r="AL82" s="195">
        <f>AL52/AL$32</f>
        <v>0.1206963255804827</v>
      </c>
      <c r="AN82" s="195">
        <f>AN52/AN$32</f>
        <v>0.11740856523027407</v>
      </c>
      <c r="AP82" s="195">
        <f>AP52/AP$32</f>
        <v>0.11684905748656277</v>
      </c>
      <c r="AR82" s="195">
        <f>AR52/AR$32</f>
        <v>0.11643338714300991</v>
      </c>
      <c r="AT82" s="195">
        <f>AT52/AT$32</f>
        <v>0.11632641777706353</v>
      </c>
      <c r="AV82" s="195">
        <f>AV52/AV$32</f>
        <v>0.11703083224433268</v>
      </c>
    </row>
    <row r="83" spans="1:48 16384:16384" x14ac:dyDescent="0.2">
      <c r="A83" t="s">
        <v>177</v>
      </c>
      <c r="B83" s="195">
        <f>B53/B$32</f>
        <v>0.18438881036940691</v>
      </c>
      <c r="D83" s="195">
        <f>D53/D$32</f>
        <v>0.1837769413172291</v>
      </c>
      <c r="F83" s="195">
        <f>F53/F$32</f>
        <v>0.18317251985726737</v>
      </c>
      <c r="H83" s="195">
        <f>H53/H$32</f>
        <v>0.18257788748310341</v>
      </c>
      <c r="J83" s="195">
        <f>J53/J$32</f>
        <v>0.18199610251594167</v>
      </c>
      <c r="L83" s="195">
        <f>L53/L$32</f>
        <v>0.18143115160750956</v>
      </c>
      <c r="N83" s="195">
        <f>N53/N$32</f>
        <v>0.18088822840262433</v>
      </c>
      <c r="P83" s="195">
        <f>P53/P$32</f>
        <v>0.18037374424782299</v>
      </c>
      <c r="R83" s="195">
        <f>R53/R$32</f>
        <v>0.17989523339102784</v>
      </c>
      <c r="T83" s="195">
        <f>T53/T$32</f>
        <v>0.17946056452268047</v>
      </c>
      <c r="V83" s="195">
        <f>V53/V$32</f>
        <v>0.17907580459998063</v>
      </c>
      <c r="X83" s="195">
        <f>X53/X$32</f>
        <v>0.17874033375128393</v>
      </c>
      <c r="Z83" s="195">
        <f>Z53/Z$32</f>
        <v>0.17843652977437691</v>
      </c>
      <c r="AB83" s="195">
        <f>AB53/AB$32</f>
        <v>0.17810912098297835</v>
      </c>
      <c r="AD83" s="195">
        <f>AD53/AD$32</f>
        <v>0.17762530328224216</v>
      </c>
      <c r="AF83" s="195">
        <f>AF53/AF$32</f>
        <v>0.17669944626651746</v>
      </c>
      <c r="AH83" s="195">
        <f>AH53/AH$32</f>
        <v>0.17474143058867753</v>
      </c>
      <c r="AJ83" s="195">
        <f>AJ53/AJ$32</f>
        <v>0.1704994016691678</v>
      </c>
      <c r="AL83" s="195">
        <f>AL53/AL$32</f>
        <v>0.16136649390716995</v>
      </c>
      <c r="AN83" s="195">
        <f>AN53/AN$32</f>
        <v>0.1416266047397596</v>
      </c>
      <c r="AP83" s="195">
        <f>AP53/AP$32</f>
        <v>0.13488513043299868</v>
      </c>
      <c r="AR83" s="195">
        <f>AR53/AR$32</f>
        <v>0.12611327565677069</v>
      </c>
      <c r="AT83" s="195">
        <f>AT53/AT$32</f>
        <v>0.11379825206163417</v>
      </c>
      <c r="AV83" s="195">
        <f>AV53/AV$32</f>
        <v>9.3608687006144997E-2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6"/>
  <dimension ref="A1:Z78"/>
  <sheetViews>
    <sheetView topLeftCell="I9" workbookViewId="0">
      <selection activeCell="V9" sqref="V9"/>
    </sheetView>
  </sheetViews>
  <sheetFormatPr baseColWidth="10" defaultRowHeight="10" x14ac:dyDescent="0.2"/>
  <cols>
    <col min="1" max="1" width="19.6640625" customWidth="1"/>
    <col min="26" max="26" width="12"/>
  </cols>
  <sheetData>
    <row r="1" spans="1:26" ht="10.5" x14ac:dyDescent="0.25">
      <c r="A1" s="92" t="s">
        <v>182</v>
      </c>
    </row>
    <row r="2" spans="1:26" x14ac:dyDescent="0.2">
      <c r="A2" t="s">
        <v>181</v>
      </c>
      <c r="B2" s="202">
        <v>0</v>
      </c>
      <c r="C2" s="202">
        <v>0.05</v>
      </c>
      <c r="D2" s="202">
        <v>0.1</v>
      </c>
      <c r="E2" s="202">
        <v>0.15000000000000002</v>
      </c>
      <c r="F2" s="202">
        <v>0.2</v>
      </c>
      <c r="G2" s="202">
        <v>0.25</v>
      </c>
      <c r="H2" s="202">
        <v>0.3</v>
      </c>
      <c r="I2" s="202">
        <v>0.35</v>
      </c>
      <c r="J2" s="202">
        <v>0.39999999999999997</v>
      </c>
      <c r="K2" s="202">
        <v>0.44999999999999996</v>
      </c>
      <c r="L2" s="202">
        <v>0.49999999999999994</v>
      </c>
      <c r="M2" s="202">
        <v>0.54999999999999993</v>
      </c>
      <c r="N2" s="202">
        <v>0.6</v>
      </c>
      <c r="O2" s="202">
        <v>0.65</v>
      </c>
      <c r="P2" s="202">
        <v>0.70000000000000007</v>
      </c>
      <c r="Q2" s="202">
        <v>0.75000000000000011</v>
      </c>
      <c r="R2" s="202">
        <v>0.80000000000000016</v>
      </c>
      <c r="S2" s="202">
        <v>0.8500000000000002</v>
      </c>
      <c r="T2" s="202">
        <v>0.90000000000000024</v>
      </c>
      <c r="U2" s="202">
        <v>0.95000000000000029</v>
      </c>
      <c r="V2" s="202">
        <v>0.9600000000000003</v>
      </c>
      <c r="W2" s="202">
        <v>0.97000000000000031</v>
      </c>
      <c r="X2" s="202">
        <v>0.98000000000000032</v>
      </c>
      <c r="Y2" s="202">
        <v>0.99000000000000032</v>
      </c>
    </row>
    <row r="3" spans="1:26" x14ac:dyDescent="0.2">
      <c r="A3" t="s">
        <v>89</v>
      </c>
      <c r="B3" s="129">
        <f>NeoClassical!B$31</f>
        <v>1</v>
      </c>
      <c r="C3" s="129">
        <f>NeoClassical!D$31</f>
        <v>0.99190801582956367</v>
      </c>
      <c r="D3" s="129">
        <f>NeoClassical!F$31</f>
        <v>0.98310327976471679</v>
      </c>
      <c r="E3" s="129">
        <f>NeoClassical!H$31</f>
        <v>0.97348207889665117</v>
      </c>
      <c r="F3" s="129">
        <f>NeoClassical!J$31</f>
        <v>0.96291924132935047</v>
      </c>
      <c r="G3" s="129">
        <f>NeoClassical!L$31</f>
        <v>0.95126147339577427</v>
      </c>
      <c r="H3" s="129">
        <f>NeoClassical!N$31</f>
        <v>0.93831785113151878</v>
      </c>
      <c r="I3" s="129">
        <f>NeoClassical!P$31</f>
        <v>0.92384551380225488</v>
      </c>
      <c r="J3" s="129">
        <f>NeoClassical!R$31</f>
        <v>0.90752724774037274</v>
      </c>
      <c r="K3" s="129">
        <f>NeoClassical!T$31</f>
        <v>0.8889367427581808</v>
      </c>
      <c r="L3" s="129">
        <f>NeoClassical!V$31</f>
        <v>0.86748080847293274</v>
      </c>
      <c r="M3" s="129">
        <f>NeoClassical!X$31</f>
        <v>0.84230296819433892</v>
      </c>
      <c r="N3" s="129">
        <f>NeoClassical!Z$31</f>
        <v>0.81212019877795139</v>
      </c>
      <c r="O3" s="129">
        <f>NeoClassical!AB$31</f>
        <v>0.77495155511477942</v>
      </c>
      <c r="P3" s="129">
        <f>NeoClassical!AD$31</f>
        <v>0.7277189342040995</v>
      </c>
      <c r="Q3" s="129">
        <f>NeoClassical!AF$31</f>
        <v>0.66586984540464578</v>
      </c>
      <c r="R3" s="129">
        <f>NeoClassical!AH$31</f>
        <v>0.58358636742952541</v>
      </c>
      <c r="S3" s="129">
        <f>NeoClassical!AJ$31</f>
        <v>0.47488525240136831</v>
      </c>
      <c r="T3" s="129">
        <f>NeoClassical!AL$31</f>
        <v>0.33432498439874764</v>
      </c>
      <c r="U3" s="129">
        <f>NeoClassical!AN$31</f>
        <v>0.15940789256407581</v>
      </c>
      <c r="V3" s="129">
        <f>NeoClassical!AP$31</f>
        <v>0.12139709984921597</v>
      </c>
      <c r="W3" s="129">
        <f>NeoClassical!AR$31</f>
        <v>8.3533823886445591E-2</v>
      </c>
      <c r="X3" s="129">
        <f>NeoClassical!AT$31</f>
        <v>4.7332992273538696E-2</v>
      </c>
      <c r="Y3" s="129">
        <f>NeoClassical!AV$31</f>
        <v>1.6178038331674794E-2</v>
      </c>
    </row>
    <row r="4" spans="1:26" x14ac:dyDescent="0.2">
      <c r="A4" t="s">
        <v>147</v>
      </c>
      <c r="B4" s="129">
        <f>Kaldorian!B$31</f>
        <v>1</v>
      </c>
      <c r="C4" s="129">
        <f>Kaldorian!D$31</f>
        <v>0.99748996449048355</v>
      </c>
      <c r="D4" s="129">
        <f>Kaldorian!F$31</f>
        <v>0.99441428748415184</v>
      </c>
      <c r="E4" s="129">
        <f>Kaldorian!H$31</f>
        <v>0.99068410691584996</v>
      </c>
      <c r="F4" s="129">
        <f>Kaldorian!J$31</f>
        <v>0.98619089939320714</v>
      </c>
      <c r="G4" s="129">
        <f>Kaldorian!L$31</f>
        <v>0.98080051683576053</v>
      </c>
      <c r="H4" s="129">
        <f>Kaldorian!N$31</f>
        <v>0.97434469618531472</v>
      </c>
      <c r="I4" s="129">
        <f>Kaldorian!P$31</f>
        <v>0.96660793791024102</v>
      </c>
      <c r="J4" s="129">
        <f>Kaldorian!R$31</f>
        <v>0.95730831274057671</v>
      </c>
      <c r="K4" s="129">
        <f>Kaldorian!T$31</f>
        <v>0.94606578664855967</v>
      </c>
      <c r="L4" s="129">
        <f>Kaldorian!V$31</f>
        <v>0.93235102219004717</v>
      </c>
      <c r="M4" s="129">
        <f>Kaldorian!X$31</f>
        <v>0.91539631728132509</v>
      </c>
      <c r="N4" s="129">
        <f>Kaldorian!Z$31</f>
        <v>0.89403813165687118</v>
      </c>
      <c r="O4" s="129">
        <f>Kaldorian!AB$31</f>
        <v>0.86643243616338539</v>
      </c>
      <c r="P4" s="129">
        <f>Kaldorian!AD$31</f>
        <v>0.82956769923577567</v>
      </c>
      <c r="Q4" s="129">
        <f>Kaldorian!AF$31</f>
        <v>0.77858639933746221</v>
      </c>
      <c r="R4" s="129">
        <f>Kaldorian!AH$31</f>
        <v>0.70627974814952499</v>
      </c>
      <c r="S4" s="129">
        <f>Kaldorian!AJ$31</f>
        <v>0</v>
      </c>
      <c r="T4" s="129">
        <f>Kaldorian!AL$31</f>
        <v>0</v>
      </c>
      <c r="U4" s="129">
        <f>Kaldorian!AN$31</f>
        <v>0</v>
      </c>
      <c r="V4" s="129">
        <f>Kaldorian!AP$31</f>
        <v>0</v>
      </c>
      <c r="W4" s="129">
        <f>Kaldorian!AR$31</f>
        <v>0</v>
      </c>
      <c r="X4" s="129">
        <f>Kaldorian!AT$31</f>
        <v>0</v>
      </c>
      <c r="Y4" s="129">
        <f>Kaldorian!AV$31</f>
        <v>0</v>
      </c>
    </row>
    <row r="5" spans="1:26" x14ac:dyDescent="0.2">
      <c r="A5" t="s">
        <v>90</v>
      </c>
      <c r="B5" s="129">
        <f>Johansen!B$31</f>
        <v>1</v>
      </c>
      <c r="C5" s="129">
        <f>Johansen!D$31</f>
        <v>0.99752005101011076</v>
      </c>
      <c r="D5" s="129">
        <f>Johansen!F$31</f>
        <v>0.99447705105798068</v>
      </c>
      <c r="E5" s="129">
        <f>Johansen!H$31</f>
        <v>0.99078256436660439</v>
      </c>
      <c r="F5" s="129">
        <f>Johansen!J$31</f>
        <v>0.98632857005279218</v>
      </c>
      <c r="G5" s="129">
        <f>Johansen!L$31</f>
        <v>0.98098143596255238</v>
      </c>
      <c r="H5" s="129">
        <f>Johansen!N$31</f>
        <v>0.97457303586553778</v>
      </c>
      <c r="I5" s="129">
        <f>Johansen!P$31</f>
        <v>0.96688803209173546</v>
      </c>
      <c r="J5" s="129">
        <f>Johansen!R$31</f>
        <v>0.95764356713891308</v>
      </c>
      <c r="K5" s="129">
        <f>Johansen!T$31</f>
        <v>0.94645803382309968</v>
      </c>
      <c r="L5" s="129">
        <f>Johansen!V$31</f>
        <v>0.93279832795312589</v>
      </c>
      <c r="M5" s="129">
        <f>Johansen!X$31</f>
        <v>0.91588993902686</v>
      </c>
      <c r="N5" s="129">
        <f>Johansen!Z$31</f>
        <v>0.8945568478865995</v>
      </c>
      <c r="O5" s="129">
        <f>Johansen!AB$31</f>
        <v>0.8669351932006083</v>
      </c>
      <c r="P5" s="129">
        <f>Johansen!AD$31</f>
        <v>0.82998884124997097</v>
      </c>
      <c r="Q5" s="129">
        <f>Johansen!AF$31</f>
        <v>0.77885697022606259</v>
      </c>
      <c r="R5" s="129">
        <f>Johansen!AH$31</f>
        <v>0.70639227004512661</v>
      </c>
      <c r="S5" s="129">
        <f>Johansen!AJ$31</f>
        <v>0.60308130832149043</v>
      </c>
      <c r="T5" s="129">
        <f>Johansen!AL$31</f>
        <v>0.45668851198303351</v>
      </c>
      <c r="U5" s="129">
        <f>Johansen!AN$31</f>
        <v>0.25361617975907741</v>
      </c>
      <c r="V5" s="129">
        <f>Johansen!AP$31</f>
        <v>0.20554820028685442</v>
      </c>
      <c r="W5" s="129">
        <f>Johansen!AR$31</f>
        <v>0.15527485717238443</v>
      </c>
      <c r="X5" s="129">
        <f>Johansen!AT$31</f>
        <v>0.10330767980110152</v>
      </c>
      <c r="Y5" s="129">
        <f>Johansen!AV$31</f>
        <v>0</v>
      </c>
    </row>
    <row r="6" spans="1:26" x14ac:dyDescent="0.2">
      <c r="A6" t="s">
        <v>130</v>
      </c>
      <c r="B6" s="129">
        <f>'Keynes-M'!B$31</f>
        <v>1</v>
      </c>
      <c r="C6" s="129">
        <f>'Keynes-M'!D$31</f>
        <v>1.0133508661588635</v>
      </c>
      <c r="D6" s="129">
        <f>'Keynes-M'!F$31</f>
        <v>1.0264070927676603</v>
      </c>
      <c r="E6" s="129">
        <f>'Keynes-M'!H$31</f>
        <v>1.039120592520838</v>
      </c>
      <c r="F6" s="129">
        <f>'Keynes-M'!J$31</f>
        <v>1.0514300257731448</v>
      </c>
      <c r="G6" s="129">
        <f>'Keynes-M'!L$31</f>
        <v>1.0632608629997518</v>
      </c>
      <c r="H6" s="129">
        <f>'Keynes-M'!N$31</f>
        <v>1.0745263622748487</v>
      </c>
      <c r="I6" s="129">
        <f>'Keynes-M'!P$31</f>
        <v>1.0851307249218838</v>
      </c>
      <c r="J6" s="129">
        <f>'Keynes-M'!R$31</f>
        <v>1.094973322009013</v>
      </c>
      <c r="K6" s="129">
        <f>'Keynes-M'!T$31</f>
        <v>1.1039512871255159</v>
      </c>
      <c r="L6" s="129">
        <f>'Keynes-M'!V$31</f>
        <v>1.111938788793619</v>
      </c>
      <c r="M6" s="129">
        <f>'Keynes-M'!X$31</f>
        <v>1.1186311756031626</v>
      </c>
      <c r="N6" s="129">
        <f>'Keynes-M'!Z$31</f>
        <v>1.1227665662693069</v>
      </c>
      <c r="O6" s="129">
        <f>'Keynes-M'!AB$31</f>
        <v>0</v>
      </c>
      <c r="P6" s="129">
        <f>'Keynes-M'!AD$31</f>
        <v>0</v>
      </c>
      <c r="Q6" s="129">
        <f>'Keynes-M'!AF$31</f>
        <v>0</v>
      </c>
      <c r="R6" s="129">
        <f>'Keynes-M'!AH$31</f>
        <v>0</v>
      </c>
      <c r="S6" s="129">
        <f>'Keynes-M'!AJ$31</f>
        <v>0</v>
      </c>
      <c r="T6" s="129">
        <f>'Keynes-M'!AL$31</f>
        <v>0</v>
      </c>
      <c r="U6" s="129"/>
      <c r="V6" s="129"/>
      <c r="W6" s="129"/>
      <c r="X6" s="129"/>
      <c r="Y6" s="129"/>
    </row>
    <row r="7" spans="1:26" x14ac:dyDescent="0.2">
      <c r="A7" t="s">
        <v>146</v>
      </c>
      <c r="B7" s="129">
        <f>Keynesian!B$31</f>
        <v>1</v>
      </c>
      <c r="C7" s="129">
        <f>Keynesian!D$31</f>
        <v>0.97569282743154317</v>
      </c>
      <c r="D7" s="129">
        <f>Keynesian!F$31</f>
        <v>0.94882107657602888</v>
      </c>
      <c r="E7" s="129">
        <f>Keynesian!H$31</f>
        <v>0.91918351253790387</v>
      </c>
      <c r="F7" s="129">
        <f>Keynesian!J$31</f>
        <v>0.8865968488506123</v>
      </c>
      <c r="G7" s="129">
        <f>Keynesian!L$31</f>
        <v>0.85091135658576678</v>
      </c>
      <c r="H7" s="129">
        <f>Keynesian!N$31</f>
        <v>0.81203437767107756</v>
      </c>
      <c r="I7" s="129">
        <f>Keynesian!P$31</f>
        <v>0.76995969733066394</v>
      </c>
      <c r="J7" s="129">
        <f>Keynesian!R$31</f>
        <v>0.72481716848708144</v>
      </c>
      <c r="K7" s="129">
        <f>Keynesian!T$31</f>
        <v>0.67695898586905734</v>
      </c>
      <c r="L7" s="129">
        <f>Keynesian!V$31</f>
        <v>0.62719015504452391</v>
      </c>
      <c r="M7" s="129">
        <f>Keynesian!X$31</f>
        <v>0.57758638678236818</v>
      </c>
      <c r="N7" s="129">
        <f>Keynesian!Z$31</f>
        <v>0</v>
      </c>
      <c r="O7" s="129">
        <f>Keynesian!AB$31</f>
        <v>0</v>
      </c>
      <c r="P7" s="129"/>
      <c r="Q7" s="129"/>
      <c r="R7" s="129"/>
      <c r="S7" s="129"/>
      <c r="T7" s="129"/>
      <c r="U7" s="129"/>
      <c r="V7" s="129"/>
      <c r="W7" s="129"/>
      <c r="X7" s="129"/>
      <c r="Y7" s="129"/>
    </row>
    <row r="8" spans="1:26" x14ac:dyDescent="0.2">
      <c r="A8" t="s">
        <v>131</v>
      </c>
      <c r="B8" s="129">
        <f>'Keynes-K'!B$31</f>
        <v>1</v>
      </c>
      <c r="C8" s="129">
        <f>'Keynes-K'!D$31</f>
        <v>1.0031814870091846</v>
      </c>
      <c r="D8" s="129">
        <f>'Keynes-K'!F$31</f>
        <v>1.00512633845918</v>
      </c>
      <c r="E8" s="129">
        <f>'Keynes-K'!H$31</f>
        <v>1.0057206856650183</v>
      </c>
      <c r="F8" s="129">
        <f>'Keynes-K'!J$31</f>
        <v>1.0048155137614352</v>
      </c>
      <c r="G8" s="129">
        <f>'Keynes-K'!L$31</f>
        <v>1.0022175382199094</v>
      </c>
      <c r="H8" s="129">
        <f>'Keynes-K'!N$31</f>
        <v>0.99767916771418907</v>
      </c>
      <c r="I8" s="129">
        <f>'Keynes-K'!P$31</f>
        <v>0.99087941157553427</v>
      </c>
      <c r="J8" s="129">
        <f>'Keynes-K'!R$31</f>
        <v>0.98139933103355403</v>
      </c>
      <c r="K8" s="129">
        <f>'Keynes-K'!T$31</f>
        <v>0.96868199048757908</v>
      </c>
      <c r="L8" s="129">
        <f>'Keynes-K'!V$31</f>
        <v>0.95197093485511963</v>
      </c>
      <c r="M8" s="129">
        <f>'Keynes-K'!X$31</f>
        <v>0.93021062366032925</v>
      </c>
      <c r="N8" s="129">
        <f>'Keynes-K'!Z$31</f>
        <v>0.90188412956932873</v>
      </c>
      <c r="O8" s="129">
        <f>'Keynes-K'!AB$31</f>
        <v>0.86475159528404721</v>
      </c>
      <c r="P8" s="129">
        <f>'Keynes-K'!AD$31</f>
        <v>0.81546819366492074</v>
      </c>
      <c r="Q8" s="129">
        <f>'Keynes-K'!AF$31</f>
        <v>0.74918600666516622</v>
      </c>
      <c r="R8" s="129">
        <f>'Keynes-K'!AH$31</f>
        <v>0.65960335915434065</v>
      </c>
      <c r="S8" s="129">
        <f>'Keynes-K'!AJ$31</f>
        <v>0.5401773311546354</v>
      </c>
      <c r="T8" s="129">
        <f>'Keynes-K'!AL$31</f>
        <v>0</v>
      </c>
      <c r="U8" s="129"/>
      <c r="V8" s="129"/>
      <c r="W8" s="129"/>
      <c r="X8" s="129"/>
      <c r="Y8" s="129"/>
    </row>
    <row r="9" spans="1:26" x14ac:dyDescent="0.2">
      <c r="A9" t="s">
        <v>142</v>
      </c>
      <c r="B9" s="129">
        <f>'Neo-K1'!B$31</f>
        <v>1</v>
      </c>
      <c r="C9" s="129">
        <f>'Neo-K1'!D$31</f>
        <v>0.9877271880802434</v>
      </c>
      <c r="D9" s="129">
        <f>'Neo-K1'!F$31</f>
        <v>0.97423402325172825</v>
      </c>
      <c r="E9" s="129">
        <f>'Neo-K1'!H$31</f>
        <v>0.95932502634062766</v>
      </c>
      <c r="F9" s="129">
        <f>'Neo-K1'!J$31</f>
        <v>0.9427633180224031</v>
      </c>
      <c r="G9" s="129">
        <f>'Neo-K1'!L$31</f>
        <v>0.92426045548480329</v>
      </c>
      <c r="H9" s="129">
        <f>'Neo-K1'!N$31</f>
        <v>0.90346291077953633</v>
      </c>
      <c r="I9" s="129">
        <f>'Neo-K1'!P$31</f>
        <v>0.87993672474920093</v>
      </c>
      <c r="J9" s="129">
        <f>'Neo-K1'!R$31</f>
        <v>0.85314918508847593</v>
      </c>
      <c r="K9" s="129">
        <f>'Neo-K1'!T$31</f>
        <v>0.82244936175813388</v>
      </c>
      <c r="L9" s="129">
        <f>'Neo-K1'!V$31</f>
        <v>0.78705289829211189</v>
      </c>
      <c r="M9" s="129">
        <f>'Neo-K1'!X$31</f>
        <v>0.7460382369389813</v>
      </c>
      <c r="N9" s="129">
        <f>'Neo-K1'!Z$31</f>
        <v>0.69836935518448184</v>
      </c>
      <c r="O9" s="129">
        <f>'Neo-K1'!AB$31</f>
        <v>0.64296396569281566</v>
      </c>
      <c r="P9" s="129">
        <f>'Neo-K1'!AD$31</f>
        <v>0.57882012385238135</v>
      </c>
      <c r="Q9" s="129">
        <f>'Neo-K1'!AF$31</f>
        <v>0.50519111780540082</v>
      </c>
      <c r="R9" s="129">
        <f>'Neo-K1'!AH$31</f>
        <v>0.42175671460151942</v>
      </c>
      <c r="S9" s="129">
        <f>'Neo-K1'!AJ$31</f>
        <v>0.32871271995637508</v>
      </c>
      <c r="T9" s="129">
        <f>'Neo-K1'!AL$31</f>
        <v>0.2267271680377192</v>
      </c>
      <c r="U9" s="129">
        <f>'Neo-K1'!AN$31</f>
        <v>0.11678530576525649</v>
      </c>
      <c r="V9" s="129">
        <f>'Neo-K1'!AP$31</f>
        <v>9.3939773807691099E-2</v>
      </c>
      <c r="W9" s="129">
        <f>'Neo-K1'!AR$31</f>
        <v>7.0829634318496065E-2</v>
      </c>
      <c r="X9" s="129">
        <f>'Neo-K1'!AT$31</f>
        <v>4.7463801385568723E-2</v>
      </c>
      <c r="Y9" s="129">
        <f>'Neo-K1'!AV$31</f>
        <v>2.3851051081447892E-2</v>
      </c>
    </row>
    <row r="10" spans="1:26" x14ac:dyDescent="0.2">
      <c r="A10" t="s">
        <v>141</v>
      </c>
      <c r="B10" s="129">
        <f>'Neo-K2'!B$31</f>
        <v>1</v>
      </c>
      <c r="C10" s="129">
        <f>'Neo-K2'!D$31</f>
        <v>0.98651522134199132</v>
      </c>
      <c r="D10" s="129">
        <f>'Neo-K2'!F$31</f>
        <v>0.97155919938692137</v>
      </c>
      <c r="E10" s="129">
        <f>'Neo-K2'!H$31</f>
        <v>0.95487192873641757</v>
      </c>
      <c r="F10" s="129">
        <f>'Neo-K2'!J$31</f>
        <v>0.93613872011872912</v>
      </c>
      <c r="G10" s="129">
        <f>'Neo-K2'!L$31</f>
        <v>0.91497894237533417</v>
      </c>
      <c r="H10" s="129">
        <f>'Neo-K2'!N$31</f>
        <v>0.89093530399624887</v>
      </c>
      <c r="I10" s="129">
        <f>'Neo-K2'!P$31</f>
        <v>0.86347134162881956</v>
      </c>
      <c r="J10" s="129">
        <f>'Neo-K2'!R$31</f>
        <v>0.83197899280681253</v>
      </c>
      <c r="K10" s="129">
        <f>'Neo-K2'!T$31</f>
        <v>0.79581173184311038</v>
      </c>
      <c r="L10" s="129">
        <f>'Neo-K2'!V$31</f>
        <v>0.75435715936546266</v>
      </c>
      <c r="M10" s="129">
        <f>'Neo-K2'!X$31</f>
        <v>0.70716245914151987</v>
      </c>
      <c r="N10" s="129">
        <f>'Neo-K2'!Z$31</f>
        <v>0.65411287863804302</v>
      </c>
      <c r="O10" s="129">
        <f>'Neo-K2'!AB$31</f>
        <v>0.59562882902088821</v>
      </c>
      <c r="P10" s="129">
        <f>'Neo-K2'!AD$31</f>
        <v>0.53278189714803714</v>
      </c>
      <c r="Q10" s="129">
        <f>'Neo-K2'!AF$31</f>
        <v>0.46711176864809395</v>
      </c>
      <c r="R10" s="129">
        <f>'Neo-K2'!AH$31</f>
        <v>0.39979532202296264</v>
      </c>
      <c r="S10" s="129">
        <f>'Neo-K2'!AJ$31</f>
        <v>0.32994966645808432</v>
      </c>
      <c r="T10" s="129">
        <f>'Neo-K2'!AL$31</f>
        <v>0.25267223865338451</v>
      </c>
      <c r="U10" s="129">
        <f>'Neo-K2'!AN$31</f>
        <v>0.15665366023072377</v>
      </c>
      <c r="V10" s="129">
        <f>'Neo-K2'!AP$31</f>
        <v>0.13307574847596232</v>
      </c>
      <c r="W10" s="129">
        <f>'Neo-K2'!AR$31</f>
        <v>0.10707771869470741</v>
      </c>
      <c r="X10" s="129">
        <f>'Neo-K2'!AT$31</f>
        <v>7.7807533745911442E-2</v>
      </c>
      <c r="Y10" s="129">
        <f>'Neo-K2'!AV$31</f>
        <v>4.367151230060224E-2</v>
      </c>
    </row>
    <row r="12" spans="1:26" ht="10.5" x14ac:dyDescent="0.25">
      <c r="A12" s="92" t="s">
        <v>183</v>
      </c>
    </row>
    <row r="13" spans="1:26" x14ac:dyDescent="0.2">
      <c r="A13" t="s">
        <v>181</v>
      </c>
      <c r="B13" s="202">
        <v>0</v>
      </c>
      <c r="C13" s="202">
        <v>0.05</v>
      </c>
      <c r="D13" s="202">
        <v>0.1</v>
      </c>
      <c r="E13" s="202">
        <v>0.15000000000000002</v>
      </c>
      <c r="F13" s="202">
        <v>0.2</v>
      </c>
      <c r="G13" s="202">
        <v>0.25</v>
      </c>
      <c r="H13" s="202">
        <v>0.3</v>
      </c>
      <c r="I13" s="202">
        <v>0.35</v>
      </c>
      <c r="J13" s="202">
        <v>0.39999999999999997</v>
      </c>
      <c r="K13" s="202">
        <v>0.44999999999999996</v>
      </c>
      <c r="L13" s="202">
        <v>0.49999999999999994</v>
      </c>
      <c r="M13" s="202">
        <v>0.54999999999999993</v>
      </c>
      <c r="N13" s="202">
        <v>0.6</v>
      </c>
      <c r="O13" s="202">
        <v>0.65</v>
      </c>
      <c r="P13" s="202">
        <v>0.70000000000000007</v>
      </c>
      <c r="Q13" s="202">
        <v>0.75000000000000011</v>
      </c>
      <c r="R13" s="202">
        <v>0.80000000000000016</v>
      </c>
      <c r="S13" s="202">
        <v>0.8500000000000002</v>
      </c>
      <c r="T13" s="202">
        <v>0.90000000000000024</v>
      </c>
      <c r="U13" s="202">
        <v>0.95000000000000029</v>
      </c>
      <c r="V13" s="202">
        <v>0.9600000000000003</v>
      </c>
      <c r="W13" s="202">
        <v>0.97000000000000031</v>
      </c>
      <c r="X13" s="202">
        <v>0.98000000000000032</v>
      </c>
      <c r="Y13" s="202">
        <v>0.99000000000000032</v>
      </c>
      <c r="Z13" s="130"/>
    </row>
    <row r="14" spans="1:26" x14ac:dyDescent="0.2">
      <c r="A14" t="s">
        <v>89</v>
      </c>
      <c r="B14" s="129">
        <f>NeoClassical!B2</f>
        <v>5.7716594496607888E-3</v>
      </c>
      <c r="C14" s="129">
        <f>NeoClassical!D2</f>
        <v>6.1015866890627976E-2</v>
      </c>
      <c r="D14" s="129">
        <f>NeoClassical!F2</f>
        <v>0.12198497928437815</v>
      </c>
      <c r="E14" s="129">
        <f>NeoClassical!H2</f>
        <v>0.18963510920292664</v>
      </c>
      <c r="F14" s="129">
        <f>NeoClassical!J2</f>
        <v>0.26517535441886136</v>
      </c>
      <c r="G14" s="129">
        <f>NeoClassical!L2</f>
        <v>0.35016772527441492</v>
      </c>
      <c r="H14" s="129">
        <f>NeoClassical!N2</f>
        <v>0.44668755084603656</v>
      </c>
      <c r="I14" s="129">
        <f>NeoClassical!P2</f>
        <v>0.55757345360611799</v>
      </c>
      <c r="J14" s="129">
        <f>NeoClassical!R2</f>
        <v>0.68684489297702445</v>
      </c>
      <c r="K14" s="129">
        <f>NeoClassical!T2</f>
        <v>0.8404305250000732</v>
      </c>
      <c r="L14" s="129">
        <f>NeoClassical!V2</f>
        <v>1.0274749154759568</v>
      </c>
      <c r="M14" s="129">
        <f>NeoClassical!X2</f>
        <v>1.2628304581272447</v>
      </c>
      <c r="N14" s="129">
        <f>NeoClassical!Z2</f>
        <v>1.5720676078366289</v>
      </c>
      <c r="O14" s="129">
        <f>NeoClassical!AB2</f>
        <v>2.0020856516899768</v>
      </c>
      <c r="P14" s="129">
        <f>NeoClassical!AD2</f>
        <v>2.6445256356636144</v>
      </c>
      <c r="Q14" s="129">
        <f>NeoClassical!AF2</f>
        <v>3.6879318233561791</v>
      </c>
      <c r="R14" s="129">
        <f>NeoClassical!AH2</f>
        <v>5.5342245781970307</v>
      </c>
      <c r="S14" s="129">
        <f>NeoClassical!AJ2</f>
        <v>9.1022936606657172</v>
      </c>
      <c r="T14" s="129">
        <f>NeoClassical!AL2</f>
        <v>16.991712208378882</v>
      </c>
      <c r="U14" s="129">
        <f>NeoClassical!AN2</f>
        <v>40.75685361434163</v>
      </c>
      <c r="V14" s="129">
        <f>NeoClassical!AP2</f>
        <v>51.753906387831655</v>
      </c>
      <c r="W14" s="129">
        <f>NeoClassical!AR2</f>
        <v>68.544519127417658</v>
      </c>
      <c r="X14" s="129">
        <f>NeoClassical!AT2</f>
        <v>96.993101923413434</v>
      </c>
      <c r="Y14" s="129">
        <f>NeoClassical!AV2</f>
        <v>154.78735298122035</v>
      </c>
      <c r="Z14" s="129"/>
    </row>
    <row r="15" spans="1:26" x14ac:dyDescent="0.2">
      <c r="A15" t="s">
        <v>147</v>
      </c>
      <c r="B15" s="129">
        <f>Kaldorian!B2</f>
        <v>5.7716594496607888E-3</v>
      </c>
      <c r="C15" s="129">
        <f>Kaldorian!D2</f>
        <v>6.5616498240300747E-2</v>
      </c>
      <c r="D15" s="129">
        <f>Kaldorian!F2</f>
        <v>0.13181342203824289</v>
      </c>
      <c r="E15" s="129">
        <f>Kaldorian!H2</f>
        <v>0.20543450485205758</v>
      </c>
      <c r="F15" s="129">
        <f>Kaldorian!J2</f>
        <v>0.28784197562625469</v>
      </c>
      <c r="G15" s="129">
        <f>Kaldorian!L2</f>
        <v>0.38079873710260864</v>
      </c>
      <c r="H15" s="129">
        <f>Kaldorian!N2</f>
        <v>0.48666362384898798</v>
      </c>
      <c r="I15" s="129">
        <f>Kaldorian!P2</f>
        <v>0.60868864076198759</v>
      </c>
      <c r="J15" s="129">
        <f>Kaldorian!R2</f>
        <v>0.75153893966106733</v>
      </c>
      <c r="K15" s="129">
        <f>Kaldorian!T2</f>
        <v>0.92219948215090064</v>
      </c>
      <c r="L15" s="129">
        <f>Kaldorian!V2</f>
        <v>1.1316700094855048</v>
      </c>
      <c r="M15" s="129">
        <f>Kaldorian!X2</f>
        <v>1.3982773759548766</v>
      </c>
      <c r="N15" s="129">
        <f>Kaldorian!Z2</f>
        <v>1.7545896179924685</v>
      </c>
      <c r="O15" s="129">
        <f>Kaldorian!AB2</f>
        <v>2.2626611176836349</v>
      </c>
      <c r="P15" s="129">
        <f>Kaldorian!AD2</f>
        <v>3.0490216087508868</v>
      </c>
      <c r="Q15" s="129">
        <f>Kaldorian!AF2</f>
        <v>4.3841612739186493</v>
      </c>
      <c r="R15" s="129">
        <f>Kaldorian!AH2</f>
        <v>6.8569939480158482</v>
      </c>
      <c r="S15" s="129">
        <f>Kaldorian!AJ2</f>
        <v>0</v>
      </c>
      <c r="T15" s="129">
        <f>Kaldorian!AL2</f>
        <v>0</v>
      </c>
      <c r="U15" s="129"/>
      <c r="V15" s="129"/>
      <c r="W15" s="129"/>
      <c r="X15" s="129"/>
      <c r="Y15" s="129"/>
      <c r="Z15" s="129"/>
    </row>
    <row r="16" spans="1:26" x14ac:dyDescent="0.2">
      <c r="A16" t="s">
        <v>90</v>
      </c>
      <c r="B16" s="129">
        <f>Johansen!B2</f>
        <v>5.7716594496607888E-3</v>
      </c>
      <c r="C16" s="129">
        <f>Johansen!D2</f>
        <v>6.3570557080961945E-2</v>
      </c>
      <c r="D16" s="129">
        <f>Johansen!F2</f>
        <v>0.12752169200043201</v>
      </c>
      <c r="E16" s="129">
        <f>Johansen!H2</f>
        <v>0.19867808427650266</v>
      </c>
      <c r="F16" s="129">
        <f>Johansen!J2</f>
        <v>0.27837974034613988</v>
      </c>
      <c r="G16" s="129">
        <f>Johansen!L2</f>
        <v>0.36837398374423502</v>
      </c>
      <c r="H16" s="129">
        <f>Johansen!N2</f>
        <v>0.4710037302082426</v>
      </c>
      <c r="I16" s="129">
        <f>Johansen!P2</f>
        <v>0.58951764808144558</v>
      </c>
      <c r="J16" s="129">
        <f>Johansen!R2</f>
        <v>0.7285886076766942</v>
      </c>
      <c r="K16" s="129">
        <f>Johansen!T2</f>
        <v>0.89524369025735462</v>
      </c>
      <c r="L16" s="129">
        <f>Johansen!V2</f>
        <v>1.100577609469805</v>
      </c>
      <c r="M16" s="129">
        <f>Johansen!X2</f>
        <v>1.3631319479489692</v>
      </c>
      <c r="N16" s="129">
        <f>Johansen!Z2</f>
        <v>1.7159304317259225</v>
      </c>
      <c r="O16" s="129">
        <f>Johansen!AB2</f>
        <v>2.2219986047873674</v>
      </c>
      <c r="P16" s="129">
        <f>Johansen!AD2</f>
        <v>3.009701040227573</v>
      </c>
      <c r="Q16" s="129">
        <f>Johansen!AF2</f>
        <v>4.3517756950618693</v>
      </c>
      <c r="R16" s="129">
        <f>Johansen!AH2</f>
        <v>6.8365284922198164</v>
      </c>
      <c r="S16" s="129">
        <f>Johansen!AJ2</f>
        <v>11.814526797711222</v>
      </c>
      <c r="T16" s="129">
        <f>Johansen!AL2</f>
        <v>23.11201737303378</v>
      </c>
      <c r="U16" s="129">
        <f>Johansen!AN2</f>
        <v>56.779125705066136</v>
      </c>
      <c r="V16" s="129">
        <f>Johansen!AP2</f>
        <v>71.662641807164746</v>
      </c>
      <c r="W16" s="129">
        <f>Johansen!AR2</f>
        <v>93.365723131417766</v>
      </c>
      <c r="X16" s="129">
        <f>Johansen!AT2</f>
        <v>127.35246628649108</v>
      </c>
      <c r="Y16" s="129">
        <f>Johansen!AV2</f>
        <v>0</v>
      </c>
      <c r="Z16" s="129"/>
    </row>
    <row r="17" spans="1:26" x14ac:dyDescent="0.2">
      <c r="A17" t="s">
        <v>130</v>
      </c>
      <c r="B17" s="129">
        <f>'Keynes-M'!B2</f>
        <v>5.7716594496607888E-3</v>
      </c>
      <c r="C17" s="129">
        <f>'Keynes-M'!D2</f>
        <v>7.2681397206910456E-2</v>
      </c>
      <c r="D17" s="129">
        <f>'Keynes-M'!F2</f>
        <v>0.14766286749873231</v>
      </c>
      <c r="E17" s="129">
        <f>'Keynes-M'!H2</f>
        <v>0.23238677480783063</v>
      </c>
      <c r="F17" s="129">
        <f>'Keynes-M'!J2</f>
        <v>0.32913361239132438</v>
      </c>
      <c r="G17" s="129">
        <f>'Keynes-M'!L2</f>
        <v>0.44113431106437978</v>
      </c>
      <c r="H17" s="129">
        <f>'Keynes-M'!N2</f>
        <v>0.5731621036328991</v>
      </c>
      <c r="I17" s="129">
        <f>'Keynes-M'!P2</f>
        <v>0.73260868955249348</v>
      </c>
      <c r="J17" s="129">
        <f>'Keynes-M'!R2</f>
        <v>0.93156730320078884</v>
      </c>
      <c r="K17" s="129">
        <f>'Keynes-M'!T2</f>
        <v>1.1911533075014467</v>
      </c>
      <c r="L17" s="129">
        <f>'Keynes-M'!V2</f>
        <v>1.5511788419522727</v>
      </c>
      <c r="M17" s="129">
        <f>'Keynes-M'!X2</f>
        <v>2.0932885769231948</v>
      </c>
      <c r="N17" s="129">
        <f>'Keynes-M'!Z2</f>
        <v>2.996209926315863</v>
      </c>
      <c r="O17" s="129">
        <f>'Keynes-M'!AB2</f>
        <v>0</v>
      </c>
      <c r="P17" s="129">
        <f>'Keynes-M'!AD2</f>
        <v>0</v>
      </c>
      <c r="Q17" s="129">
        <f>'Keynes-M'!AF2</f>
        <v>0</v>
      </c>
      <c r="R17" s="129"/>
      <c r="S17" s="129"/>
      <c r="T17" s="129"/>
      <c r="U17" s="129"/>
      <c r="V17" s="129"/>
      <c r="W17" s="129"/>
      <c r="X17" s="129"/>
      <c r="Y17" s="129"/>
      <c r="Z17" s="129"/>
    </row>
    <row r="18" spans="1:26" x14ac:dyDescent="0.2">
      <c r="A18" t="s">
        <v>146</v>
      </c>
      <c r="B18" s="129">
        <f>Keynesian!B2</f>
        <v>5.7716594496607888E-3</v>
      </c>
      <c r="C18" s="129">
        <f>Keynesian!D2</f>
        <v>3.7740216052907651E-2</v>
      </c>
      <c r="D18" s="129">
        <f>Keynesian!F2</f>
        <v>7.0511087316791468E-2</v>
      </c>
      <c r="E18" s="129">
        <f>Keynesian!H2</f>
        <v>0.10388641743423921</v>
      </c>
      <c r="F18" s="129">
        <f>Keynesian!J2</f>
        <v>0.13760956007424172</v>
      </c>
      <c r="G18" s="129">
        <f>Keynesian!L2</f>
        <v>0.17135864228999073</v>
      </c>
      <c r="H18" s="129">
        <f>Keynesian!N2</f>
        <v>0.20474301930677835</v>
      </c>
      <c r="I18" s="129">
        <f>Keynesian!P2</f>
        <v>0.23729603576993941</v>
      </c>
      <c r="J18" s="129">
        <f>Keynesian!R2</f>
        <v>0.26846396329865885</v>
      </c>
      <c r="K18" s="129">
        <f>Keynesian!T2</f>
        <v>0.29755269018213487</v>
      </c>
      <c r="L18" s="129">
        <f>Keynesian!V2</f>
        <v>0.32355379504571558</v>
      </c>
      <c r="M18" s="129">
        <f>Keynesian!X2</f>
        <v>0.3444059684448158</v>
      </c>
      <c r="N18" s="129">
        <f>Keynesian!Z2</f>
        <v>0</v>
      </c>
      <c r="O18" s="129">
        <f>Keynesian!AB2</f>
        <v>0</v>
      </c>
      <c r="P18" s="129"/>
      <c r="Q18" s="129"/>
      <c r="R18" s="129"/>
      <c r="S18" s="129"/>
      <c r="T18" s="129"/>
      <c r="U18" s="129"/>
      <c r="V18" s="129"/>
      <c r="W18" s="129"/>
      <c r="X18" s="129"/>
      <c r="Y18" s="129"/>
      <c r="Z18" s="129"/>
    </row>
    <row r="19" spans="1:26" x14ac:dyDescent="0.2">
      <c r="A19" t="s">
        <v>131</v>
      </c>
      <c r="B19" s="129">
        <f>'Keynes-K'!B2</f>
        <v>5.7716594496607888E-3</v>
      </c>
      <c r="C19" s="129">
        <f>'Keynes-K'!D2</f>
        <v>7.1685127548964001E-2</v>
      </c>
      <c r="D19" s="129">
        <f>'Keynes-K'!F2</f>
        <v>0.14406874316294255</v>
      </c>
      <c r="E19" s="129">
        <f>'Keynes-K'!H2</f>
        <v>0.22398213324643282</v>
      </c>
      <c r="F19" s="129">
        <f>'Keynes-K'!J2</f>
        <v>0.3127559149744476</v>
      </c>
      <c r="G19" s="129">
        <f>'Keynes-K'!L2</f>
        <v>0.41209882127270586</v>
      </c>
      <c r="H19" s="129">
        <f>'Keynes-K'!N2</f>
        <v>0.52428057152073437</v>
      </c>
      <c r="I19" s="129">
        <f>'Keynes-K'!P2</f>
        <v>0.65239237726823585</v>
      </c>
      <c r="J19" s="129">
        <f>'Keynes-K'!R2</f>
        <v>0.80079995722560537</v>
      </c>
      <c r="K19" s="129">
        <f>'Keynes-K'!T2</f>
        <v>0.97588939521188223</v>
      </c>
      <c r="L19" s="129">
        <f>'Keynes-K'!V2</f>
        <v>1.187372206489528</v>
      </c>
      <c r="M19" s="129">
        <f>'Keynes-K'!X2</f>
        <v>1.4506283465316019</v>
      </c>
      <c r="N19" s="129">
        <f>'Keynes-K'!Z2</f>
        <v>1.7910035601021692</v>
      </c>
      <c r="O19" s="129">
        <f>'Keynes-K'!AB2</f>
        <v>2.2516629908035348</v>
      </c>
      <c r="P19" s="129">
        <f>'Keynes-K'!AD2</f>
        <v>2.9067886401775991</v>
      </c>
      <c r="Q19" s="129">
        <f>'Keynes-K'!AF2</f>
        <v>3.8776913154004955</v>
      </c>
      <c r="R19" s="129">
        <f>'Keynes-K'!AH2</f>
        <v>5.3309322771872099</v>
      </c>
      <c r="S19" s="129">
        <f>'Keynes-K'!AJ2</f>
        <v>7.4014164892913641</v>
      </c>
      <c r="T19" s="129">
        <f>'Keynes-K'!AL2</f>
        <v>0</v>
      </c>
      <c r="U19" s="129"/>
      <c r="V19" s="129"/>
      <c r="W19" s="129"/>
      <c r="X19" s="129"/>
      <c r="Y19" s="129"/>
      <c r="Z19" s="129"/>
    </row>
    <row r="20" spans="1:26" x14ac:dyDescent="0.2">
      <c r="A20" t="s">
        <v>141</v>
      </c>
      <c r="B20" s="129">
        <f>'Neo-K2'!B$2</f>
        <v>5.7716594496607888E-3</v>
      </c>
      <c r="C20" s="129">
        <f>'Neo-K2'!D$2</f>
        <v>5.2524393292415442E-2</v>
      </c>
      <c r="D20" s="129">
        <f>'Neo-K2'!F$2</f>
        <v>0.102764996800267</v>
      </c>
      <c r="E20" s="129">
        <f>'Neo-K2'!H$2</f>
        <v>0.15676367719371637</v>
      </c>
      <c r="F20" s="129">
        <f>'Neo-K2'!J$2</f>
        <v>0.21478341221898631</v>
      </c>
      <c r="G20" s="129">
        <f>'Neo-K2'!L$2</f>
        <v>0.27706078714531523</v>
      </c>
      <c r="H20" s="129">
        <f>'Neo-K2'!N$2</f>
        <v>0.3437781156763976</v>
      </c>
      <c r="I20" s="129">
        <f>'Neo-K2'!P$2</f>
        <v>0.41503649058091979</v>
      </c>
      <c r="J20" s="129">
        <f>'Neo-K2'!R$2</f>
        <v>0.49082993201112912</v>
      </c>
      <c r="K20" s="129">
        <f>'Neo-K2'!T$2</f>
        <v>0.57106366380400586</v>
      </c>
      <c r="L20" s="129">
        <f>'Neo-K2'!V$2</f>
        <v>0.65568593673163289</v>
      </c>
      <c r="M20" s="129">
        <f>'Neo-K2'!X$2</f>
        <v>0.74510936234555403</v>
      </c>
      <c r="N20" s="129">
        <f>'Neo-K2'!Z$2</f>
        <v>0.84127173305500091</v>
      </c>
      <c r="O20" s="129">
        <f>'Neo-K2'!AB$2</f>
        <v>0.95010127196972527</v>
      </c>
      <c r="P20" s="129">
        <f>'Neo-K2'!AD$2</f>
        <v>1.0872075172993565</v>
      </c>
      <c r="Q20" s="129">
        <f>'Neo-K2'!AF$2</f>
        <v>1.2919922433655016</v>
      </c>
      <c r="R20" s="129">
        <f>'Neo-K2'!AH$2</f>
        <v>1.6692247611990292</v>
      </c>
      <c r="S20" s="129">
        <f>'Neo-K2'!AJ$2</f>
        <v>2.5463349151850623</v>
      </c>
      <c r="T20" s="129">
        <f>'Neo-K2'!AL$2</f>
        <v>5.2122277057468862</v>
      </c>
      <c r="U20" s="129">
        <f>'Neo-K2'!AN$2</f>
        <v>17.356380292305825</v>
      </c>
      <c r="V20" s="129">
        <f>'Neo-K2'!AP$2</f>
        <v>24.661187700981397</v>
      </c>
      <c r="W20" s="129">
        <f>'Neo-K2'!AR$2</f>
        <v>37.849172014401027</v>
      </c>
      <c r="X20" s="129">
        <f>'Neo-K2'!AT$2</f>
        <v>66.438049233297647</v>
      </c>
      <c r="Y20" s="129">
        <f>'Neo-K2'!AV$2</f>
        <v>158.51930164061073</v>
      </c>
      <c r="Z20" s="129"/>
    </row>
    <row r="21" spans="1:26" x14ac:dyDescent="0.2">
      <c r="A21" t="s">
        <v>142</v>
      </c>
      <c r="B21" s="129">
        <f>'Neo-K1'!B$2</f>
        <v>5.7716594496607888E-3</v>
      </c>
      <c r="C21" s="129">
        <f>'Neo-K1'!D$2</f>
        <v>5.4544468439656636E-2</v>
      </c>
      <c r="D21" s="129">
        <f>'Neo-K1'!F$2</f>
        <v>0.10755578589722956</v>
      </c>
      <c r="E21" s="129">
        <f>'Neo-K1'!H$2</f>
        <v>0.1653214227814728</v>
      </c>
      <c r="F21" s="129">
        <f>'Neo-K1'!J$2</f>
        <v>0.22843755579161698</v>
      </c>
      <c r="G21" s="129">
        <f>'Neo-K1'!L$2</f>
        <v>0.29759491547496619</v>
      </c>
      <c r="H21" s="129">
        <f>'Neo-K1'!N$2</f>
        <v>0.37359407254672217</v>
      </c>
      <c r="I21" s="129">
        <f>'Neo-K1'!P$2</f>
        <v>0.45736035672148312</v>
      </c>
      <c r="J21" s="129">
        <f>'Neo-K1'!R$2</f>
        <v>0.54995277311290469</v>
      </c>
      <c r="K21" s="129">
        <f>'Neo-K1'!T$2</f>
        <v>0.65256070077741857</v>
      </c>
      <c r="L21" s="129">
        <f>'Neo-K1'!V$2</f>
        <v>0.76647001509177748</v>
      </c>
      <c r="M21" s="129">
        <f>'Neo-K1'!X$2</f>
        <v>0.89297691960556425</v>
      </c>
      <c r="N21" s="129">
        <f>'Neo-K1'!Z$2</f>
        <v>1.0332179217960653</v>
      </c>
      <c r="O21" s="129">
        <f>'Neo-K1'!AB$2</f>
        <v>1.1878974203904171</v>
      </c>
      <c r="P21" s="129">
        <f>'Neo-K1'!AD$2</f>
        <v>1.3569336149436648</v>
      </c>
      <c r="Q21" s="129">
        <f>'Neo-K1'!AF$2</f>
        <v>1.5391303572761192</v>
      </c>
      <c r="R21" s="129">
        <f>'Neo-K1'!AH$2</f>
        <v>1.7320552960049402</v>
      </c>
      <c r="S21" s="129">
        <f>'Neo-K1'!AJ$2</f>
        <v>1.9322768007073918</v>
      </c>
      <c r="T21" s="129">
        <f>'Neo-K1'!AL$2</f>
        <v>2.1359199271964227</v>
      </c>
      <c r="U21" s="129">
        <f>'Neo-K1'!AN$2</f>
        <v>2.3393058401168192</v>
      </c>
      <c r="V21" s="129">
        <f>'Neo-K1'!AP$2</f>
        <v>2.3796719273890279</v>
      </c>
      <c r="W21" s="129">
        <f>'Neo-K1'!AR$2</f>
        <v>2.4198841118604686</v>
      </c>
      <c r="X21" s="129">
        <f>'Neo-K1'!AT$2</f>
        <v>2.4599236581828867</v>
      </c>
      <c r="Y21" s="129">
        <f>'Neo-K1'!AV$2</f>
        <v>2.4997732536235224</v>
      </c>
    </row>
    <row r="23" spans="1:26" ht="10.5" x14ac:dyDescent="0.25">
      <c r="A23" s="92" t="s">
        <v>161</v>
      </c>
    </row>
    <row r="24" spans="1:26" x14ac:dyDescent="0.2">
      <c r="A24" t="s">
        <v>181</v>
      </c>
      <c r="B24" s="202">
        <v>0</v>
      </c>
      <c r="C24" s="202">
        <v>0.05</v>
      </c>
      <c r="D24" s="202">
        <v>0.1</v>
      </c>
      <c r="E24" s="202">
        <v>0.15000000000000002</v>
      </c>
      <c r="F24" s="202">
        <v>0.2</v>
      </c>
      <c r="G24" s="202">
        <v>0.25</v>
      </c>
      <c r="H24" s="202">
        <v>0.3</v>
      </c>
      <c r="I24" s="202">
        <v>0.35</v>
      </c>
      <c r="J24" s="202">
        <v>0.39999999999999997</v>
      </c>
      <c r="K24" s="202">
        <v>0.44999999999999996</v>
      </c>
      <c r="L24" s="202">
        <v>0.49999999999999994</v>
      </c>
      <c r="M24" s="202">
        <v>0.54999999999999993</v>
      </c>
      <c r="N24" s="202">
        <v>0.6</v>
      </c>
      <c r="O24" s="202">
        <v>0.65</v>
      </c>
      <c r="P24" s="202">
        <v>0.70000000000000007</v>
      </c>
      <c r="Q24" s="202">
        <v>0.75000000000000011</v>
      </c>
      <c r="R24" s="202">
        <v>0.80000000000000016</v>
      </c>
      <c r="S24" s="202">
        <v>0.8500000000000002</v>
      </c>
      <c r="T24" s="202">
        <v>0.90000000000000024</v>
      </c>
      <c r="U24" s="202">
        <v>0.95000000000000029</v>
      </c>
      <c r="V24" s="202">
        <v>0.9600000000000003</v>
      </c>
      <c r="W24" s="202">
        <v>0.97000000000000031</v>
      </c>
      <c r="X24" s="202">
        <v>0.98000000000000032</v>
      </c>
      <c r="Y24" s="202">
        <v>0.99000000000000032</v>
      </c>
    </row>
    <row r="25" spans="1:26" x14ac:dyDescent="0.2">
      <c r="A25" t="s">
        <v>89</v>
      </c>
      <c r="B25" s="129">
        <f>NeoClassical!B$69</f>
        <v>1</v>
      </c>
      <c r="C25" s="129">
        <f>NeoClassical!D$69</f>
        <v>1.0017346264030258</v>
      </c>
      <c r="D25" s="129">
        <f>NeoClassical!F$69</f>
        <v>1.0033780041238411</v>
      </c>
      <c r="E25" s="129">
        <f>NeoClassical!H$69</f>
        <v>1.0049151179346265</v>
      </c>
      <c r="F25" s="129">
        <f>NeoClassical!J$69</f>
        <v>1.0063274741353652</v>
      </c>
      <c r="G25" s="129">
        <f>NeoClassical!L$69</f>
        <v>1.0075921495615963</v>
      </c>
      <c r="H25" s="129">
        <f>NeoClassical!N$69</f>
        <v>1.0086807267719267</v>
      </c>
      <c r="I25" s="129">
        <f>NeoClassical!P$69</f>
        <v>1.0095578752369292</v>
      </c>
      <c r="J25" s="129">
        <f>NeoClassical!R$69</f>
        <v>1.0101795118422199</v>
      </c>
      <c r="K25" s="129">
        <f>NeoClassical!T$69</f>
        <v>1.0104909649424427</v>
      </c>
      <c r="L25" s="129">
        <f>NeoClassical!V$69</f>
        <v>1.0104244196812695</v>
      </c>
      <c r="M25" s="129">
        <f>NeoClassical!X$69</f>
        <v>1.0098958018066242</v>
      </c>
      <c r="N25" s="129">
        <f>NeoClassical!Z$69</f>
        <v>1.0087992421351379</v>
      </c>
      <c r="O25" s="129">
        <f>NeoClassical!AB$69</f>
        <v>1.0069896484587442</v>
      </c>
      <c r="P25" s="129">
        <f>NeoClassical!AD$69</f>
        <v>1.0042130789468484</v>
      </c>
      <c r="Q25" s="129">
        <f>NeoClassical!AF$69</f>
        <v>0.99982601445610431</v>
      </c>
      <c r="R25" s="129">
        <f>NeoClassical!AH$69</f>
        <v>0.99184505624145081</v>
      </c>
      <c r="S25" s="129">
        <f>NeoClassical!AJ$69</f>
        <v>0.9744288210031129</v>
      </c>
      <c r="T25" s="129">
        <f>NeoClassical!AL$69</f>
        <v>0.93103170158209447</v>
      </c>
      <c r="U25" s="129">
        <f>NeoClassical!AN$69</f>
        <v>0.80209926701968337</v>
      </c>
      <c r="V25" s="129">
        <f>NeoClassical!AP$69</f>
        <v>0.74810008528929395</v>
      </c>
      <c r="W25" s="129">
        <f>NeoClassical!AR$69</f>
        <v>0.67240845864641552</v>
      </c>
      <c r="X25" s="129">
        <f>NeoClassical!AT$69</f>
        <v>0.55966470127044787</v>
      </c>
      <c r="Y25" s="129">
        <f>NeoClassical!AV$69</f>
        <v>0.37387125251963865</v>
      </c>
    </row>
    <row r="26" spans="1:26" x14ac:dyDescent="0.2">
      <c r="A26" t="s">
        <v>147</v>
      </c>
      <c r="B26" s="129">
        <f>Kaldorian!B$69</f>
        <v>1</v>
      </c>
      <c r="C26" s="129">
        <f>Kaldorian!D$69</f>
        <v>1.0018436672821041</v>
      </c>
      <c r="D26" s="129">
        <f>Kaldorian!F$69</f>
        <v>1.0036141090632356</v>
      </c>
      <c r="E26" s="129">
        <f>Kaldorian!H$69</f>
        <v>1.0053001652101416</v>
      </c>
      <c r="F26" s="129">
        <f>Kaldorian!J$69</f>
        <v>1.0068880993602398</v>
      </c>
      <c r="G26" s="129">
        <f>Kaldorian!L$69</f>
        <v>1.0083611917705322</v>
      </c>
      <c r="H26" s="129">
        <f>Kaldorian!N$69</f>
        <v>1.0096992467305241</v>
      </c>
      <c r="I26" s="129">
        <f>Kaldorian!P$69</f>
        <v>1.010878009500157</v>
      </c>
      <c r="J26" s="129">
        <f>Kaldorian!R$69</f>
        <v>1.0118695379667371</v>
      </c>
      <c r="K26" s="129">
        <f>Kaldorian!T$69</f>
        <v>1.0126431977688586</v>
      </c>
      <c r="L26" s="129">
        <f>Kaldorian!V$69</f>
        <v>1.0131699613748479</v>
      </c>
      <c r="M26" s="129">
        <f>Kaldorian!X$69</f>
        <v>1.0134321148132115</v>
      </c>
      <c r="N26" s="129">
        <f>Kaldorian!Z$69</f>
        <v>1.0134446733539135</v>
      </c>
      <c r="O26" s="129">
        <f>Kaldorian!AB$69</f>
        <v>1.0132933450172679</v>
      </c>
      <c r="P26" s="129">
        <f>Kaldorian!AD$69</f>
        <v>1.0131684955467415</v>
      </c>
      <c r="Q26" s="129">
        <f>Kaldorian!AF$69</f>
        <v>1.0132126826099239</v>
      </c>
      <c r="R26" s="129">
        <f>Kaldorian!AH$69</f>
        <v>1.0125415513845375</v>
      </c>
      <c r="S26" s="129" t="e">
        <f>Kaldorian!AJ$69</f>
        <v>#DIV/0!</v>
      </c>
      <c r="T26" s="129" t="e">
        <f>Kaldorian!AL$69</f>
        <v>#DIV/0!</v>
      </c>
      <c r="U26" s="129"/>
      <c r="V26" s="129"/>
      <c r="W26" s="129"/>
      <c r="X26" s="129"/>
      <c r="Y26" s="129"/>
    </row>
    <row r="27" spans="1:26" x14ac:dyDescent="0.2">
      <c r="A27" t="s">
        <v>90</v>
      </c>
      <c r="B27" s="129">
        <f>Johansen!B$69</f>
        <v>1</v>
      </c>
      <c r="C27" s="129">
        <f>Johansen!D$69</f>
        <v>1.0018231123529553</v>
      </c>
      <c r="D27" s="129">
        <f>Johansen!F$69</f>
        <v>1.0035703887907443</v>
      </c>
      <c r="E27" s="129">
        <f>Johansen!H$69</f>
        <v>1.0052300875282978</v>
      </c>
      <c r="F27" s="129">
        <f>Johansen!J$69</f>
        <v>1.0067879080950144</v>
      </c>
      <c r="G27" s="129">
        <f>Johansen!L$69</f>
        <v>1.0082265339248448</v>
      </c>
      <c r="H27" s="129">
        <f>Johansen!N$69</f>
        <v>1.0095250695447804</v>
      </c>
      <c r="I27" s="129">
        <f>Johansen!P$69</f>
        <v>1.0106589605066714</v>
      </c>
      <c r="J27" s="129">
        <f>Johansen!R$69</f>
        <v>1.01160007872573</v>
      </c>
      <c r="K27" s="129">
        <f>Johansen!T$69</f>
        <v>1.0123187301568197</v>
      </c>
      <c r="L27" s="129">
        <f>Johansen!V$69</f>
        <v>1.0127883001773201</v>
      </c>
      <c r="M27" s="129">
        <f>Johansen!X$69</f>
        <v>1.0129966517948568</v>
      </c>
      <c r="N27" s="129">
        <f>Johansen!Z$69</f>
        <v>1.0129697294682432</v>
      </c>
      <c r="O27" s="129">
        <f>Johansen!AB$69</f>
        <v>1.0128131203411062</v>
      </c>
      <c r="P27" s="129">
        <f>Johansen!AD$69</f>
        <v>1.0127453391447525</v>
      </c>
      <c r="Q27" s="129">
        <f>Johansen!AF$69</f>
        <v>1.0129228507731158</v>
      </c>
      <c r="R27" s="129">
        <f>Johansen!AH$69</f>
        <v>1.0124101932506053</v>
      </c>
      <c r="S27" s="129">
        <f>Johansen!AJ$69</f>
        <v>1.0063389395665916</v>
      </c>
      <c r="T27" s="129">
        <f>Johansen!AL$69</f>
        <v>0.97813980284455304</v>
      </c>
      <c r="U27" s="129">
        <f>Johansen!AN$69</f>
        <v>0.8594298155014144</v>
      </c>
      <c r="V27" s="129">
        <f>Johansen!AP$69</f>
        <v>0.80315346307717206</v>
      </c>
      <c r="W27" s="129">
        <f>Johansen!AR$69</f>
        <v>0.72130622255543664</v>
      </c>
      <c r="X27" s="129">
        <f>Johansen!AT$69</f>
        <v>0.59634579109577979</v>
      </c>
      <c r="Y27" s="129" t="e">
        <f>Johansen!AV$69</f>
        <v>#DIV/0!</v>
      </c>
    </row>
    <row r="28" spans="1:26" x14ac:dyDescent="0.2">
      <c r="A28" t="s">
        <v>130</v>
      </c>
      <c r="B28" s="129">
        <f>'Keynes-M'!B$69</f>
        <v>1</v>
      </c>
      <c r="C28" s="129">
        <f>'Keynes-M'!D$69</f>
        <v>1.0189258430585824</v>
      </c>
      <c r="D28" s="129">
        <f>'Keynes-M'!F$69</f>
        <v>1.0384558941658433</v>
      </c>
      <c r="E28" s="129">
        <f>'Keynes-M'!H$69</f>
        <v>1.0587129116956961</v>
      </c>
      <c r="F28" s="129">
        <f>'Keynes-M'!J$69</f>
        <v>1.079856861699654</v>
      </c>
      <c r="G28" s="129">
        <f>'Keynes-M'!L$69</f>
        <v>1.1021094995091467</v>
      </c>
      <c r="H28" s="129">
        <f>'Keynes-M'!N$69</f>
        <v>1.1257967717646569</v>
      </c>
      <c r="I28" s="129">
        <f>'Keynes-M'!P$69</f>
        <v>1.1514258846439291</v>
      </c>
      <c r="J28" s="129">
        <f>'Keynes-M'!R$69</f>
        <v>1.1798272408784847</v>
      </c>
      <c r="K28" s="129">
        <f>'Keynes-M'!T$69</f>
        <v>1.2124298141510996</v>
      </c>
      <c r="L28" s="129">
        <f>'Keynes-M'!V$69</f>
        <v>1.2518114352029988</v>
      </c>
      <c r="M28" s="129">
        <f>'Keynes-M'!X$69</f>
        <v>1.3027717899064006</v>
      </c>
      <c r="N28" s="129">
        <f>'Keynes-M'!Z$69</f>
        <v>1.3739532343560403</v>
      </c>
      <c r="O28" s="129" t="e">
        <f>'Keynes-M'!AB$69</f>
        <v>#DIV/0!</v>
      </c>
      <c r="P28" s="129" t="e">
        <f>'Keynes-M'!AD$69</f>
        <v>#DIV/0!</v>
      </c>
      <c r="Q28" s="129" t="e">
        <f>'Keynes-M'!AF$69</f>
        <v>#DIV/0!</v>
      </c>
      <c r="R28" s="129"/>
      <c r="S28" s="129"/>
      <c r="T28" s="129"/>
      <c r="U28" s="129"/>
      <c r="V28" s="129"/>
      <c r="W28" s="129"/>
      <c r="X28" s="129"/>
      <c r="Y28" s="129"/>
    </row>
    <row r="29" spans="1:26" x14ac:dyDescent="0.2">
      <c r="A29" t="s">
        <v>146</v>
      </c>
      <c r="B29" s="129">
        <f>Keynesian!B$69</f>
        <v>1</v>
      </c>
      <c r="C29" s="129">
        <f>Keynesian!D$69</f>
        <v>0.97797796238580559</v>
      </c>
      <c r="D29" s="129">
        <f>Keynesian!F$69</f>
        <v>0.95331315465463884</v>
      </c>
      <c r="E29" s="129">
        <f>Keynesian!H$69</f>
        <v>0.92576469147398022</v>
      </c>
      <c r="F29" s="129">
        <f>Keynesian!J$69</f>
        <v>0.89510585464496295</v>
      </c>
      <c r="G29" s="129">
        <f>Keynesian!L$69</f>
        <v>0.86114156407128495</v>
      </c>
      <c r="H29" s="129">
        <f>Keynesian!N$69</f>
        <v>0.82373511938183408</v>
      </c>
      <c r="I29" s="129">
        <f>Keynesian!P$69</f>
        <v>0.78284212385587915</v>
      </c>
      <c r="J29" s="129">
        <f>Keynesian!R$69</f>
        <v>0.73856730772533696</v>
      </c>
      <c r="K29" s="129">
        <f>Keynesian!T$69</f>
        <v>0.69126210450380743</v>
      </c>
      <c r="L29" s="129">
        <f>Keynesian!V$69</f>
        <v>0.64178074812065733</v>
      </c>
      <c r="M29" s="129">
        <f>Keynesian!X$69</f>
        <v>0.59238149561023268</v>
      </c>
      <c r="N29" s="129" t="e">
        <f>Keynesian!Z$69</f>
        <v>#DIV/0!</v>
      </c>
      <c r="O29" s="129" t="e">
        <f>Keynesian!AB$69</f>
        <v>#DIV/0!</v>
      </c>
      <c r="P29" s="129"/>
      <c r="Q29" s="129"/>
      <c r="R29" s="129"/>
      <c r="S29" s="129"/>
      <c r="T29" s="129"/>
      <c r="U29" s="129"/>
      <c r="V29" s="129"/>
      <c r="W29" s="129"/>
      <c r="X29" s="129"/>
      <c r="Y29" s="129"/>
    </row>
    <row r="30" spans="1:26" x14ac:dyDescent="0.2">
      <c r="A30" t="s">
        <v>131</v>
      </c>
      <c r="B30" s="129">
        <f>'Keynes-K'!B$69</f>
        <v>1</v>
      </c>
      <c r="C30" s="129">
        <f>'Keynes-K'!D$69</f>
        <v>1.0080610037246513</v>
      </c>
      <c r="D30" s="129">
        <f>'Keynes-K'!F$69</f>
        <v>1.0154459382395102</v>
      </c>
      <c r="E30" s="129">
        <f>'Keynes-K'!H$69</f>
        <v>1.0221136003828457</v>
      </c>
      <c r="F30" s="129">
        <f>'Keynes-K'!J$69</f>
        <v>1.0280007844748</v>
      </c>
      <c r="G30" s="129">
        <f>'Keynes-K'!L$69</f>
        <v>1.0330165605464963</v>
      </c>
      <c r="H30" s="129">
        <f>'Keynes-K'!N$69</f>
        <v>1.0370370851081419</v>
      </c>
      <c r="I30" s="129">
        <f>'Keynes-K'!P$69</f>
        <v>1.0398936739003304</v>
      </c>
      <c r="J30" s="129">
        <f>'Keynes-K'!R$69</f>
        <v>1.0413586341095773</v>
      </c>
      <c r="K30" s="129">
        <f>'Keynes-K'!T$69</f>
        <v>1.0411210302733112</v>
      </c>
      <c r="L30" s="129">
        <f>'Keynes-K'!V$69</f>
        <v>1.0387477538749781</v>
      </c>
      <c r="M30" s="129">
        <f>'Keynes-K'!X$69</f>
        <v>1.0336142843838874</v>
      </c>
      <c r="N30" s="129">
        <f>'Keynes-K'!Z$69</f>
        <v>1.0247716158891782</v>
      </c>
      <c r="O30" s="129">
        <f>'Keynes-K'!AB$69</f>
        <v>1.0106661592816202</v>
      </c>
      <c r="P30" s="129">
        <f>'Keynes-K'!AD$69</f>
        <v>0.98851075781898023</v>
      </c>
      <c r="Q30" s="129">
        <f>'Keynes-K'!AF$69</f>
        <v>0.95287764266950281</v>
      </c>
      <c r="R30" s="129">
        <f>'Keynes-K'!AH$69</f>
        <v>0.89298987337891644</v>
      </c>
      <c r="S30" s="129">
        <f>'Keynes-K'!AJ$69</f>
        <v>0.7891607592068427</v>
      </c>
      <c r="T30" s="129" t="e">
        <f>'Keynes-K'!AL$69</f>
        <v>#DIV/0!</v>
      </c>
      <c r="U30" s="129"/>
      <c r="V30" s="129"/>
      <c r="W30" s="129"/>
      <c r="X30" s="129"/>
      <c r="Y30" s="129"/>
    </row>
    <row r="31" spans="1:26" x14ac:dyDescent="0.2">
      <c r="A31" t="s">
        <v>142</v>
      </c>
      <c r="B31" s="129">
        <f>'Neo-K1'!B$69</f>
        <v>1</v>
      </c>
      <c r="C31" s="129">
        <f>'Neo-K1'!D$69</f>
        <v>0.9960136137356298</v>
      </c>
      <c r="D31" s="129">
        <f>'Neo-K1'!F$69</f>
        <v>0.99115287092987692</v>
      </c>
      <c r="E31" s="129">
        <f>'Neo-K1'!H$69</f>
        <v>0.98523253058822002</v>
      </c>
      <c r="F31" s="129">
        <f>'Neo-K1'!J$69</f>
        <v>0.97801743344684899</v>
      </c>
      <c r="G31" s="129">
        <f>'Neo-K1'!L$69</f>
        <v>0.96920722457138597</v>
      </c>
      <c r="H31" s="129">
        <f>'Neo-K1'!N$69</f>
        <v>0.95841516054685805</v>
      </c>
      <c r="I31" s="129">
        <f>'Neo-K1'!P$69</f>
        <v>0.9451415692422257</v>
      </c>
      <c r="J31" s="129">
        <f>'Neo-K1'!R$69</f>
        <v>0.92873922667311493</v>
      </c>
      <c r="K31" s="129">
        <f>'Neo-K1'!T$69</f>
        <v>0.90837018195318742</v>
      </c>
      <c r="L31" s="129">
        <f>'Neo-K1'!V$69</f>
        <v>0.88295881828971101</v>
      </c>
      <c r="M31" s="129">
        <f>'Neo-K1'!X$69</f>
        <v>0.85114687878750406</v>
      </c>
      <c r="N31" s="129">
        <f>'Neo-K1'!Z$69</f>
        <v>0.81127071525479966</v>
      </c>
      <c r="O31" s="129">
        <f>'Neo-K1'!AB$69</f>
        <v>0.76139241692833293</v>
      </c>
      <c r="P31" s="129">
        <f>'Neo-K1'!AD$69</f>
        <v>0.69942299832002952</v>
      </c>
      <c r="Q31" s="129">
        <f>'Neo-K1'!AF$69</f>
        <v>0.62335811573179545</v>
      </c>
      <c r="R31" s="129">
        <f>'Neo-K1'!AH$69</f>
        <v>0.53158854401055922</v>
      </c>
      <c r="S31" s="129">
        <f>'Neo-K1'!AJ$69</f>
        <v>0.42317724722725264</v>
      </c>
      <c r="T31" s="129">
        <f>'Neo-K1'!AL$69</f>
        <v>0.29797996058645726</v>
      </c>
      <c r="U31" s="129">
        <f>'Neo-K1'!AN$69</f>
        <v>0.15656557292558224</v>
      </c>
      <c r="V31" s="129">
        <f>'Neo-K1'!AP$69</f>
        <v>0.1264245027992488</v>
      </c>
      <c r="W31" s="129">
        <f>'Neo-K1'!AR$69</f>
        <v>9.5686797498105811E-2</v>
      </c>
      <c r="X31" s="129">
        <f>'Neo-K1'!AT$69</f>
        <v>6.4362960506320357E-2</v>
      </c>
      <c r="Y31" s="129">
        <f>'Neo-K1'!AV$69</f>
        <v>3.2463724299182789E-2</v>
      </c>
    </row>
    <row r="32" spans="1:26" x14ac:dyDescent="0.2">
      <c r="A32" t="s">
        <v>141</v>
      </c>
      <c r="B32" s="129">
        <f>'Neo-K2'!B$69</f>
        <v>1</v>
      </c>
      <c r="C32" s="129">
        <f>'Neo-K2'!D$69</f>
        <v>0.9941010354387666</v>
      </c>
      <c r="D32" s="129">
        <f>'Neo-K2'!F$69</f>
        <v>0.98696177144406239</v>
      </c>
      <c r="E32" s="129">
        <f>'Neo-K2'!H$69</f>
        <v>0.9782975567480241</v>
      </c>
      <c r="F32" s="129">
        <f>'Neo-K2'!J$69</f>
        <v>0.96774865135966359</v>
      </c>
      <c r="G32" s="129">
        <f>'Neo-K2'!L$69</f>
        <v>0.95486021440541891</v>
      </c>
      <c r="H32" s="129">
        <f>'Neo-K2'!N$69</f>
        <v>0.93906005318660213</v>
      </c>
      <c r="I32" s="129">
        <f>'Neo-K2'!P$69</f>
        <v>0.91964369876851559</v>
      </c>
      <c r="J32" s="129">
        <f>'Neo-K2'!R$69</f>
        <v>0.89576876835672425</v>
      </c>
      <c r="K32" s="129">
        <f>'Neo-K2'!T$69</f>
        <v>0.86648082602708409</v>
      </c>
      <c r="L32" s="129">
        <f>'Neo-K2'!V$69</f>
        <v>0.83079216020063318</v>
      </c>
      <c r="M32" s="129">
        <f>'Neo-K2'!X$69</f>
        <v>0.78784093105184705</v>
      </c>
      <c r="N32" s="129">
        <f>'Neo-K2'!Z$69</f>
        <v>0.73714144909837687</v>
      </c>
      <c r="O32" s="129">
        <f>'Neo-K2'!AB$69</f>
        <v>0.67889251323499755</v>
      </c>
      <c r="P32" s="129">
        <f>'Neo-K2'!AD$69</f>
        <v>0.61421734020271745</v>
      </c>
      <c r="Q32" s="129">
        <f>'Neo-K2'!AF$69</f>
        <v>0.54503579380076594</v>
      </c>
      <c r="R32" s="129">
        <f>'Neo-K2'!AH$69</f>
        <v>0.47302675678241862</v>
      </c>
      <c r="S32" s="129">
        <f>'Neo-K2'!AJ$69</f>
        <v>0.39679329730577856</v>
      </c>
      <c r="T32" s="129">
        <f>'Neo-K2'!AL$69</f>
        <v>0.30362718872317701</v>
      </c>
      <c r="U32" s="129">
        <f>'Neo-K2'!AN$69</f>
        <v>9.9828649313968468E-2</v>
      </c>
      <c r="V32" s="129" t="e">
        <f>'Neo-K2'!AP$69</f>
        <v>#NUM!</v>
      </c>
      <c r="W32" s="129"/>
      <c r="X32" s="129"/>
      <c r="Y32" s="129"/>
    </row>
    <row r="34" spans="1:26" ht="10.5" x14ac:dyDescent="0.25">
      <c r="A34" s="92" t="s">
        <v>184</v>
      </c>
    </row>
    <row r="35" spans="1:26" x14ac:dyDescent="0.2">
      <c r="A35" t="s">
        <v>181</v>
      </c>
      <c r="B35" s="202">
        <v>0</v>
      </c>
      <c r="C35" s="202">
        <v>0.05</v>
      </c>
      <c r="D35" s="202">
        <v>0.1</v>
      </c>
      <c r="E35" s="202">
        <v>0.15000000000000002</v>
      </c>
      <c r="F35" s="202">
        <v>0.2</v>
      </c>
      <c r="G35" s="202">
        <v>0.25</v>
      </c>
      <c r="H35" s="202">
        <v>0.3</v>
      </c>
      <c r="I35" s="202">
        <v>0.35</v>
      </c>
      <c r="J35" s="202">
        <v>0.39999999999999997</v>
      </c>
      <c r="K35" s="202">
        <v>0.44999999999999996</v>
      </c>
      <c r="L35" s="202">
        <v>0.49999999999999994</v>
      </c>
      <c r="M35" s="202">
        <v>0.54999999999999993</v>
      </c>
      <c r="N35" s="202">
        <v>0.6</v>
      </c>
      <c r="O35" s="202">
        <v>0.65</v>
      </c>
      <c r="P35" s="202">
        <v>0.70000000000000007</v>
      </c>
      <c r="Q35" s="202">
        <v>0.75000000000000011</v>
      </c>
      <c r="R35" s="202">
        <v>0.80000000000000016</v>
      </c>
      <c r="S35" s="202">
        <v>0.8500000000000002</v>
      </c>
      <c r="T35" s="202">
        <v>0.90000000000000024</v>
      </c>
      <c r="U35" s="202">
        <v>0.95000000000000029</v>
      </c>
      <c r="V35" s="202">
        <v>0.9600000000000003</v>
      </c>
      <c r="W35" s="202">
        <v>0.97000000000000031</v>
      </c>
      <c r="X35" s="202">
        <v>0.98000000000000032</v>
      </c>
      <c r="Y35" s="202">
        <v>0.99000000000000032</v>
      </c>
      <c r="Z35" s="130"/>
    </row>
    <row r="36" spans="1:26" x14ac:dyDescent="0.2">
      <c r="A36" t="s">
        <v>89</v>
      </c>
      <c r="B36" s="167">
        <f>NeoClassical!B$43</f>
        <v>0.56058995943839207</v>
      </c>
      <c r="C36" s="167">
        <f>NeoClassical!D$43</f>
        <v>0.56571093350371204</v>
      </c>
      <c r="D36" s="167">
        <f>NeoClassical!F$43</f>
        <v>0.56421335914861881</v>
      </c>
      <c r="E36" s="167">
        <f>NeoClassical!H$43</f>
        <v>0.5627067895819412</v>
      </c>
      <c r="F36" s="167">
        <f>NeoClassical!J$43</f>
        <v>0.56119028933641757</v>
      </c>
      <c r="G36" s="167">
        <f>NeoClassical!L$43</f>
        <v>0.55966323070422752</v>
      </c>
      <c r="H36" s="167">
        <f>NeoClassical!N$43</f>
        <v>0.55812557952087005</v>
      </c>
      <c r="I36" s="167">
        <f>NeoClassical!P$43</f>
        <v>0.556578445072202</v>
      </c>
      <c r="J36" s="167">
        <f>NeoClassical!R$43</f>
        <v>0.55502500851092407</v>
      </c>
      <c r="K36" s="167">
        <f>NeoClassical!T$43</f>
        <v>0.55347182184867239</v>
      </c>
      <c r="L36" s="167">
        <f>NeoClassical!V$43</f>
        <v>0.55193109250273387</v>
      </c>
      <c r="M36" s="167">
        <f>NeoClassical!X$43</f>
        <v>0.55042415778240383</v>
      </c>
      <c r="N36" s="167">
        <f>NeoClassical!Z$43</f>
        <v>0.54898666105244243</v>
      </c>
      <c r="O36" s="167">
        <f>NeoClassical!AB$43</f>
        <v>0.54767531163097871</v>
      </c>
      <c r="P36" s="167">
        <f>NeoClassical!AD$43</f>
        <v>0.54657193197598197</v>
      </c>
      <c r="Q36" s="167">
        <f>NeoClassical!AF$43</f>
        <v>0.54576929157645437</v>
      </c>
      <c r="R36" s="167">
        <f>NeoClassical!AH$43</f>
        <v>0.54531315114393375</v>
      </c>
      <c r="S36" s="167">
        <f>NeoClassical!AJ$43</f>
        <v>0.54513392169528263</v>
      </c>
      <c r="T36" s="167">
        <f>NeoClassical!AL$43</f>
        <v>0.5450907893059288</v>
      </c>
      <c r="U36" s="167">
        <f>NeoClassical!AN$43</f>
        <v>0.54508555740877906</v>
      </c>
      <c r="V36" s="167">
        <f>NeoClassical!AP$43</f>
        <v>0.5450854488381921</v>
      </c>
      <c r="W36" s="167">
        <f>NeoClassical!AR$43</f>
        <v>0.54508540477294232</v>
      </c>
      <c r="X36" s="167">
        <f>NeoClassical!AT$43</f>
        <v>0.54508539010303547</v>
      </c>
      <c r="Y36" s="167">
        <f>NeoClassical!AV$43</f>
        <v>0.54508538658055894</v>
      </c>
      <c r="Z36" s="129"/>
    </row>
    <row r="37" spans="1:26" x14ac:dyDescent="0.2">
      <c r="A37" t="s">
        <v>147</v>
      </c>
      <c r="B37" s="167">
        <f>Kaldorian!B$43</f>
        <v>0.56058995943839207</v>
      </c>
      <c r="C37" s="167">
        <f>Kaldorian!D$43</f>
        <v>0.56033509267063331</v>
      </c>
      <c r="D37" s="167">
        <f>Kaldorian!F$43</f>
        <v>0.55305892604786189</v>
      </c>
      <c r="E37" s="167">
        <f>Kaldorian!H$43</f>
        <v>0.54530258218495253</v>
      </c>
      <c r="F37" s="167">
        <f>Kaldorian!J$43</f>
        <v>0.53697927292490732</v>
      </c>
      <c r="G37" s="167">
        <f>Kaldorian!L$43</f>
        <v>0.52797899283135297</v>
      </c>
      <c r="H37" s="167">
        <f>Kaldorian!N$43</f>
        <v>0.51815765356226495</v>
      </c>
      <c r="I37" s="167">
        <f>Kaldorian!P$43</f>
        <v>0.50732106485459938</v>
      </c>
      <c r="J37" s="167">
        <f>Kaldorian!R$43</f>
        <v>0.49519681518341802</v>
      </c>
      <c r="K37" s="167">
        <f>Kaldorian!T$43</f>
        <v>0.48138478142579966</v>
      </c>
      <c r="L37" s="167">
        <f>Kaldorian!V$43</f>
        <v>0.46526571657330495</v>
      </c>
      <c r="M37" s="167">
        <f>Kaldorian!X$43</f>
        <v>0.44582431161294545</v>
      </c>
      <c r="N37" s="167">
        <f>Kaldorian!Z$43</f>
        <v>0.42128912776009675</v>
      </c>
      <c r="O37" s="167">
        <f>Kaldorian!AB$43</f>
        <v>0.3883704967917222</v>
      </c>
      <c r="P37" s="167">
        <f>Kaldorian!AD$43</f>
        <v>0.34062176509876813</v>
      </c>
      <c r="Q37" s="167">
        <f>Kaldorian!AF$43</f>
        <v>0.26502224078011266</v>
      </c>
      <c r="R37" s="167">
        <f>Kaldorian!AH$43</f>
        <v>0.1346880669700522</v>
      </c>
      <c r="S37" s="167" t="e">
        <f>Kaldorian!AJ$43</f>
        <v>#DIV/0!</v>
      </c>
      <c r="T37" s="167" t="e">
        <f>Kaldorian!AL$43</f>
        <v>#DIV/0!</v>
      </c>
      <c r="U37" s="167"/>
      <c r="V37" s="167"/>
      <c r="W37" s="167"/>
      <c r="X37" s="167"/>
      <c r="Y37" s="167"/>
      <c r="Z37" s="129"/>
    </row>
    <row r="38" spans="1:26" x14ac:dyDescent="0.2">
      <c r="A38" t="s">
        <v>90</v>
      </c>
      <c r="B38" s="167">
        <f>Johansen!B$43</f>
        <v>0.56058995943839207</v>
      </c>
      <c r="C38" s="167">
        <f>Johansen!D$43</f>
        <v>0.56569368399537212</v>
      </c>
      <c r="D38" s="167">
        <f>Johansen!F$43</f>
        <v>0.56417701913493545</v>
      </c>
      <c r="E38" s="167">
        <f>Johansen!H$43</f>
        <v>0.56264919038558137</v>
      </c>
      <c r="F38" s="167">
        <f>Johansen!J$43</f>
        <v>0.56110892910941634</v>
      </c>
      <c r="G38" s="167">
        <f>Johansen!L$43</f>
        <v>0.55955525774911563</v>
      </c>
      <c r="H38" s="167">
        <f>Johansen!N$43</f>
        <v>0.55798793342161446</v>
      </c>
      <c r="I38" s="167">
        <f>Johansen!P$43</f>
        <v>0.55640800700360238</v>
      </c>
      <c r="J38" s="167">
        <f>Johansen!R$43</f>
        <v>0.55481899862002826</v>
      </c>
      <c r="K38" s="167">
        <f>Johansen!T$43</f>
        <v>0.55322847761227656</v>
      </c>
      <c r="L38" s="167">
        <f>Johansen!V$43</f>
        <v>0.55165087361049758</v>
      </c>
      <c r="M38" s="167">
        <f>Johansen!X$43</f>
        <v>0.55011176217936719</v>
      </c>
      <c r="N38" s="167">
        <f>Johansen!Z$43</f>
        <v>0.54865438943491784</v>
      </c>
      <c r="O38" s="167">
        <f>Johansen!AB$43</f>
        <v>0.54734771927983361</v>
      </c>
      <c r="P38" s="167">
        <f>Johansen!AD$43</f>
        <v>0.5462890311621631</v>
      </c>
      <c r="Q38" s="167">
        <f>Johansen!AF$43</f>
        <v>0.54557604736579401</v>
      </c>
      <c r="R38" s="167">
        <f>Johansen!AH$43</f>
        <v>0.5452228807826669</v>
      </c>
      <c r="S38" s="167">
        <f>Johansen!AJ$43</f>
        <v>0.54510913391521298</v>
      </c>
      <c r="T38" s="167">
        <f>Johansen!AL$43</f>
        <v>0.54508750939826056</v>
      </c>
      <c r="U38" s="167">
        <f>Johansen!AN$43</f>
        <v>0.5450854448213901</v>
      </c>
      <c r="V38" s="167">
        <f>Johansen!AP$43</f>
        <v>0.54508540797954363</v>
      </c>
      <c r="W38" s="167">
        <f>Johansen!AR$43</f>
        <v>0.54508539302560199</v>
      </c>
      <c r="X38" s="167">
        <f>Johansen!AT$43</f>
        <v>0.54508538782739202</v>
      </c>
      <c r="Y38" s="167" t="e">
        <f>Johansen!AV$43</f>
        <v>#DIV/0!</v>
      </c>
      <c r="Z38" s="129"/>
    </row>
    <row r="39" spans="1:26" x14ac:dyDescent="0.2">
      <c r="A39" t="s">
        <v>130</v>
      </c>
      <c r="B39" s="167">
        <f>'Keynes-M'!B$43</f>
        <v>0.56058995943839207</v>
      </c>
      <c r="C39" s="167">
        <f>'Keynes-M'!D$43</f>
        <v>0.58351071339228588</v>
      </c>
      <c r="D39" s="167">
        <f>'Keynes-M'!F$43</f>
        <v>0.60066512155958252</v>
      </c>
      <c r="E39" s="167">
        <f>'Keynes-M'!H$43</f>
        <v>0.6188279517131372</v>
      </c>
      <c r="F39" s="167">
        <f>'Keynes-M'!J$43</f>
        <v>0.63821321069440773</v>
      </c>
      <c r="G39" s="167">
        <f>'Keynes-M'!L$43</f>
        <v>0.6591134782604573</v>
      </c>
      <c r="H39" s="167">
        <f>'Keynes-M'!N$43</f>
        <v>0.68194835352893601</v>
      </c>
      <c r="I39" s="167">
        <f>'Keynes-M'!P$43</f>
        <v>0.70735026141654356</v>
      </c>
      <c r="J39" s="167">
        <f>'Keynes-M'!R$43</f>
        <v>0.73632004621042479</v>
      </c>
      <c r="K39" s="167">
        <f>'Keynes-M'!T$43</f>
        <v>0.77052355913188531</v>
      </c>
      <c r="L39" s="167">
        <f>'Keynes-M'!V$43</f>
        <v>0.81287432161574036</v>
      </c>
      <c r="M39" s="167">
        <f>'Keynes-M'!X$43</f>
        <v>0.86865107547417031</v>
      </c>
      <c r="N39" s="167">
        <f>'Keynes-M'!Z$43</f>
        <v>0.94715380492780477</v>
      </c>
      <c r="O39" s="167" t="e">
        <f>'Keynes-M'!AB$43</f>
        <v>#DIV/0!</v>
      </c>
      <c r="P39" s="167" t="e">
        <f>'Keynes-M'!AD$43</f>
        <v>#DIV/0!</v>
      </c>
      <c r="Q39" s="167" t="e">
        <f>'Keynes-M'!AF$43</f>
        <v>#DIV/0!</v>
      </c>
      <c r="R39" s="167"/>
      <c r="S39" s="167"/>
      <c r="T39" s="167"/>
      <c r="U39" s="167"/>
      <c r="V39" s="167"/>
      <c r="W39" s="167"/>
      <c r="X39" s="167"/>
      <c r="Y39" s="167"/>
    </row>
    <row r="40" spans="1:26" x14ac:dyDescent="0.2">
      <c r="A40" t="s">
        <v>146</v>
      </c>
      <c r="B40" s="167">
        <f>Keynesian!B$43</f>
        <v>0.56058995943839207</v>
      </c>
      <c r="C40" s="167">
        <f>Keynesian!D$43</f>
        <v>0.57513926423902684</v>
      </c>
      <c r="D40" s="167">
        <f>Keynesian!F$43</f>
        <v>0.5830228529803102</v>
      </c>
      <c r="E40" s="167">
        <f>Keynesian!H$43</f>
        <v>0.59080589055574961</v>
      </c>
      <c r="F40" s="167">
        <f>Keynesian!J$43</f>
        <v>0.59843579705375904</v>
      </c>
      <c r="G40" s="167">
        <f>Keynesian!L$43</f>
        <v>0.60585155063432217</v>
      </c>
      <c r="H40" s="167">
        <f>Keynesian!N$43</f>
        <v>0.61298535135596821</v>
      </c>
      <c r="I40" s="167">
        <f>Keynesian!P$43</f>
        <v>0.61975971314396472</v>
      </c>
      <c r="J40" s="167">
        <f>Keynesian!R$43</f>
        <v>0.62609018425887131</v>
      </c>
      <c r="K40" s="167">
        <f>Keynesian!T$43</f>
        <v>0.63187113348558177</v>
      </c>
      <c r="L40" s="167">
        <f>Keynesian!V$43</f>
        <v>0.63695253707700594</v>
      </c>
      <c r="M40" s="167">
        <f>Keynesian!X$43</f>
        <v>0.64100776981615759</v>
      </c>
      <c r="N40" s="167" t="e">
        <f>Keynesian!Z$43</f>
        <v>#DIV/0!</v>
      </c>
      <c r="O40" s="167" t="e">
        <f>Keynesian!AB$43</f>
        <v>#DIV/0!</v>
      </c>
      <c r="P40" s="167"/>
      <c r="Q40" s="167"/>
      <c r="R40" s="167"/>
      <c r="S40" s="167"/>
      <c r="T40" s="167"/>
      <c r="U40" s="167"/>
      <c r="V40" s="167"/>
      <c r="W40" s="167"/>
      <c r="X40" s="167"/>
      <c r="Y40" s="167"/>
    </row>
    <row r="41" spans="1:26" x14ac:dyDescent="0.2">
      <c r="A41" t="s">
        <v>131</v>
      </c>
      <c r="B41" s="167">
        <f>'Keynes-K'!B$43</f>
        <v>0.56058995943839207</v>
      </c>
      <c r="C41" s="167">
        <f>'Keynes-K'!D$43</f>
        <v>0.55965594750369596</v>
      </c>
      <c r="D41" s="167">
        <f>'Keynes-K'!F$43</f>
        <v>0.55174465818129259</v>
      </c>
      <c r="E41" s="167">
        <f>'Keynes-K'!H$43</f>
        <v>0.54339571904346917</v>
      </c>
      <c r="F41" s="167">
        <f>'Keynes-K'!J$43</f>
        <v>0.53452346021458474</v>
      </c>
      <c r="G41" s="167">
        <f>'Keynes-K'!L$43</f>
        <v>0.52502179055659992</v>
      </c>
      <c r="H41" s="167">
        <f>'Keynes-K'!N$43</f>
        <v>0.51475411142739935</v>
      </c>
      <c r="I41" s="167">
        <f>'Keynes-K'!P$43</f>
        <v>0.50353952029543103</v>
      </c>
      <c r="J41" s="167">
        <f>'Keynes-K'!R$43</f>
        <v>0.49112856208316935</v>
      </c>
      <c r="K41" s="167">
        <f>'Keynes-K'!T$43</f>
        <v>0.47716295678698328</v>
      </c>
      <c r="L41" s="167">
        <f>'Keynes-K'!V$43</f>
        <v>0.46110634772127473</v>
      </c>
      <c r="M41" s="167">
        <f>'Keynes-K'!X$43</f>
        <v>0.44212203559599456</v>
      </c>
      <c r="N41" s="167">
        <f>'Keynes-K'!Z$43</f>
        <v>0.41885609894973058</v>
      </c>
      <c r="O41" s="167">
        <f>'Keynes-K'!AB$43</f>
        <v>0.38906314469785025</v>
      </c>
      <c r="P41" s="167">
        <f>'Keynes-K'!AD$43</f>
        <v>0.34903925209742015</v>
      </c>
      <c r="Q41" s="167">
        <f>'Keynes-K'!AF$43</f>
        <v>0.29309169942507779</v>
      </c>
      <c r="R41" s="167">
        <f>'Keynes-K'!AH$43</f>
        <v>0.21406255848944059</v>
      </c>
      <c r="S41" s="167">
        <f>'Keynes-K'!AJ$43</f>
        <v>0.10694431899887205</v>
      </c>
      <c r="T41" s="167" t="e">
        <f>'Keynes-K'!AL$43</f>
        <v>#DIV/0!</v>
      </c>
      <c r="U41" s="167"/>
      <c r="V41" s="167"/>
      <c r="W41" s="167"/>
      <c r="X41" s="167"/>
      <c r="Y41" s="167"/>
    </row>
    <row r="42" spans="1:26" x14ac:dyDescent="0.2">
      <c r="A42" t="s">
        <v>142</v>
      </c>
      <c r="B42" s="167">
        <f>'Neo-K1'!B$43</f>
        <v>0.56058995943839207</v>
      </c>
      <c r="C42" s="167">
        <f>'Neo-K1'!D$43</f>
        <v>0.56690700865066457</v>
      </c>
      <c r="D42" s="167">
        <f>'Neo-K1'!F$43</f>
        <v>0.56661633486163809</v>
      </c>
      <c r="E42" s="167">
        <f>'Neo-K1'!H$43</f>
        <v>0.56632413888155553</v>
      </c>
      <c r="F42" s="167">
        <f>'Neo-K1'!J$43</f>
        <v>0.56602445866516671</v>
      </c>
      <c r="G42" s="167">
        <f>'Neo-K1'!L$43</f>
        <v>0.56570930156269772</v>
      </c>
      <c r="H42" s="167">
        <f>'Neo-K1'!N$43</f>
        <v>0.56536814244872302</v>
      </c>
      <c r="I42" s="167">
        <f>'Neo-K1'!P$43</f>
        <v>0.56498735286351276</v>
      </c>
      <c r="J42" s="167">
        <f>'Neo-K1'!R$43</f>
        <v>0.5645496714274616</v>
      </c>
      <c r="K42" s="167">
        <f>'Neo-K1'!T$43</f>
        <v>0.56403380894514854</v>
      </c>
      <c r="L42" s="167">
        <f>'Neo-K1'!V$43</f>
        <v>0.56341459915878644</v>
      </c>
      <c r="M42" s="167">
        <f>'Neo-K1'!X$43</f>
        <v>0.5626640001259654</v>
      </c>
      <c r="N42" s="167">
        <f>'Neo-K1'!Z$43</f>
        <v>0.5617536727700313</v>
      </c>
      <c r="O42" s="167">
        <f>'Neo-K1'!AB$43</f>
        <v>0.56065952886728176</v>
      </c>
      <c r="P42" s="167">
        <f>'Neo-K1'!AD$43</f>
        <v>0.55936805726521788</v>
      </c>
      <c r="Q42" s="167">
        <f>'Neo-K1'!AF$43</f>
        <v>0.55788268357298909</v>
      </c>
      <c r="R42" s="167">
        <f>'Neo-K1'!AH$43</f>
        <v>0.55622703221353398</v>
      </c>
      <c r="S42" s="167">
        <f>'Neo-K1'!AJ$43</f>
        <v>0.55444236427108051</v>
      </c>
      <c r="T42" s="167">
        <f>'Neo-K1'!AL$43</f>
        <v>0.55257947907216798</v>
      </c>
      <c r="U42" s="167">
        <f>'Neo-K1'!AN$43</f>
        <v>0.55068876293781688</v>
      </c>
      <c r="V42" s="167">
        <f>'Neo-K1'!AP$43</f>
        <v>0.55031121322205878</v>
      </c>
      <c r="W42" s="167">
        <f>'Neo-K1'!AR$43</f>
        <v>0.54993457349389441</v>
      </c>
      <c r="X42" s="167">
        <f>'Neo-K1'!AT$43</f>
        <v>0.5495591067147455</v>
      </c>
      <c r="Y42" s="167">
        <f>'Neo-K1'!AV$43</f>
        <v>0.54918506116938437</v>
      </c>
    </row>
    <row r="43" spans="1:26" x14ac:dyDescent="0.2">
      <c r="A43" t="s">
        <v>141</v>
      </c>
      <c r="B43" s="167">
        <f>'Neo-K2'!B$43</f>
        <v>0.56058995943839207</v>
      </c>
      <c r="C43" s="167">
        <f>'Neo-K2'!D$43</f>
        <v>0.56769675974480394</v>
      </c>
      <c r="D43" s="167">
        <f>'Neo-K2'!F$43</f>
        <v>0.56826604531780867</v>
      </c>
      <c r="E43" s="167">
        <f>'Neo-K2'!H$43</f>
        <v>0.56891621657490565</v>
      </c>
      <c r="F43" s="167">
        <f>'Neo-K2'!J$43</f>
        <v>0.56965555773892684</v>
      </c>
      <c r="G43" s="167">
        <f>'Neo-K2'!L$43</f>
        <v>0.57049256891925126</v>
      </c>
      <c r="H43" s="167">
        <f>'Neo-K2'!N$43</f>
        <v>0.57143552372267958</v>
      </c>
      <c r="I43" s="167">
        <f>'Neo-K2'!P$43</f>
        <v>0.57249157264877848</v>
      </c>
      <c r="J43" s="167">
        <f>'Neo-K2'!R$43</f>
        <v>0.57366534574248196</v>
      </c>
      <c r="K43" s="167">
        <f>'Neo-K2'!T$43</f>
        <v>0.57495671784907831</v>
      </c>
      <c r="L43" s="167">
        <f>'Neo-K2'!V$43</f>
        <v>0.57635722327269379</v>
      </c>
      <c r="M43" s="167">
        <f>'Neo-K2'!X$43</f>
        <v>0.57784438690835038</v>
      </c>
      <c r="N43" s="167">
        <f>'Neo-K2'!Z$43</f>
        <v>0.57937202436255153</v>
      </c>
      <c r="O43" s="167">
        <f>'Neo-K2'!AB$43</f>
        <v>0.58085281317190562</v>
      </c>
      <c r="P43" s="167">
        <f>'Neo-K2'!AD$43</f>
        <v>0.58212640527579806</v>
      </c>
      <c r="Q43" s="167">
        <f>'Neo-K2'!AF$43</f>
        <v>0.58290145440349184</v>
      </c>
      <c r="R43" s="167">
        <f>'Neo-K2'!AH$43</f>
        <v>0.58263236611347347</v>
      </c>
      <c r="S43" s="167">
        <f>'Neo-K2'!AJ$43</f>
        <v>0.58012804358327019</v>
      </c>
      <c r="T43" s="167">
        <f>'Neo-K2'!AL$43</f>
        <v>0.5720941675343133</v>
      </c>
      <c r="U43" s="167">
        <f>'Neo-K2'!AN$43</f>
        <v>0.54674662423694664</v>
      </c>
      <c r="V43" s="167">
        <f>'Neo-K2'!AP$43</f>
        <v>0.53582364615528322</v>
      </c>
      <c r="W43" s="167">
        <f>'Neo-K2'!AR$43</f>
        <v>0.51995469325783172</v>
      </c>
      <c r="X43" s="167">
        <f>'Neo-K2'!AT$43</f>
        <v>0.49450696503507974</v>
      </c>
      <c r="Y43" s="167">
        <f>'Neo-K2'!AV$43</f>
        <v>0.44440230085614718</v>
      </c>
    </row>
    <row r="44" spans="1:26" x14ac:dyDescent="0.2">
      <c r="B44" s="203"/>
      <c r="C44" s="203"/>
      <c r="D44" s="203"/>
      <c r="E44" s="203"/>
      <c r="F44" s="203"/>
      <c r="G44" s="203"/>
      <c r="H44" s="203"/>
      <c r="I44" s="203"/>
      <c r="J44" s="203"/>
      <c r="K44" s="203"/>
      <c r="L44" s="203"/>
      <c r="M44" s="203"/>
      <c r="N44" s="203"/>
      <c r="O44" s="203"/>
      <c r="P44" s="203"/>
      <c r="Q44" s="203"/>
      <c r="R44" s="203"/>
      <c r="S44" s="203"/>
      <c r="T44" s="203"/>
      <c r="U44" s="203"/>
      <c r="V44" s="203"/>
    </row>
    <row r="45" spans="1:26" ht="10.5" x14ac:dyDescent="0.25">
      <c r="A45" s="92" t="s">
        <v>149</v>
      </c>
    </row>
    <row r="46" spans="1:26" x14ac:dyDescent="0.2">
      <c r="A46" t="s">
        <v>132</v>
      </c>
      <c r="B46" s="202">
        <v>0</v>
      </c>
      <c r="C46" s="202">
        <v>0.05</v>
      </c>
      <c r="D46" s="202">
        <v>0.1</v>
      </c>
      <c r="E46" s="202">
        <v>0.15000000000000002</v>
      </c>
      <c r="F46" s="202">
        <v>0.2</v>
      </c>
      <c r="G46" s="202">
        <v>0.25</v>
      </c>
      <c r="H46" s="202">
        <v>0.3</v>
      </c>
      <c r="I46" s="202">
        <v>0.35</v>
      </c>
      <c r="J46" s="202">
        <v>0.39999999999999997</v>
      </c>
      <c r="K46" s="202">
        <v>0.44999999999999996</v>
      </c>
      <c r="L46" s="202">
        <v>0.49999999999999994</v>
      </c>
      <c r="M46" s="202">
        <v>0.54999999999999993</v>
      </c>
      <c r="N46" s="202">
        <v>0.6</v>
      </c>
      <c r="O46" s="202">
        <v>0.65</v>
      </c>
      <c r="P46" s="202">
        <v>0.70000000000000007</v>
      </c>
      <c r="Q46" s="202">
        <v>0.75000000000000011</v>
      </c>
      <c r="R46" s="202">
        <v>0.80000000000000016</v>
      </c>
      <c r="S46" s="202">
        <v>0.8500000000000002</v>
      </c>
      <c r="T46" s="202">
        <v>0.90000000000000024</v>
      </c>
      <c r="U46" s="202">
        <v>0.95000000000000029</v>
      </c>
      <c r="V46" s="202">
        <v>0.9600000000000003</v>
      </c>
      <c r="W46" s="202">
        <v>0.97000000000000031</v>
      </c>
      <c r="X46" s="202">
        <v>0.98000000000000032</v>
      </c>
      <c r="Y46" s="202">
        <v>0.99000000000000032</v>
      </c>
    </row>
    <row r="47" spans="1:26" x14ac:dyDescent="0.2">
      <c r="A47" t="s">
        <v>89</v>
      </c>
      <c r="B47" s="129">
        <f>NeoClassical!B$48</f>
        <v>1</v>
      </c>
      <c r="C47" s="129">
        <f>NeoClassical!D$48</f>
        <v>1.0143037991792878</v>
      </c>
      <c r="D47" s="129">
        <f>NeoClassical!F$48</f>
        <v>1.0290118349798683</v>
      </c>
      <c r="E47" s="129">
        <f>NeoClassical!H$48</f>
        <v>1.044179887179276</v>
      </c>
      <c r="F47" s="129">
        <f>NeoClassical!J$48</f>
        <v>1.0598748383549954</v>
      </c>
      <c r="G47" s="129">
        <f>NeoClassical!L$48</f>
        <v>1.0761786048193347</v>
      </c>
      <c r="H47" s="129">
        <f>NeoClassical!N$48</f>
        <v>1.0931948758804118</v>
      </c>
      <c r="I47" s="129">
        <f>NeoClassical!P$48</f>
        <v>1.1110595143791235</v>
      </c>
      <c r="J47" s="129">
        <f>NeoClassical!R$48</f>
        <v>1.1299586846318554</v>
      </c>
      <c r="K47" s="129">
        <f>NeoClassical!T$48</f>
        <v>1.1501601344844727</v>
      </c>
      <c r="L47" s="129">
        <f>NeoClassical!V$48</f>
        <v>1.1720681541978966</v>
      </c>
      <c r="M47" s="129">
        <f>NeoClassical!X$48</f>
        <v>1.1963220147651048</v>
      </c>
      <c r="N47" s="129">
        <f>NeoClassical!Z$48</f>
        <v>1.2239714577311775</v>
      </c>
      <c r="O47" s="129">
        <f>NeoClassical!AB$48</f>
        <v>1.2567728559122018</v>
      </c>
      <c r="P47" s="129">
        <f>NeoClassical!AD$48</f>
        <v>1.2975948278586236</v>
      </c>
      <c r="Q47" s="129">
        <f>NeoClassical!AF$48</f>
        <v>1.3505526280059783</v>
      </c>
      <c r="R47" s="129">
        <f>NeoClassical!AH$48</f>
        <v>1.4195023749702362</v>
      </c>
      <c r="S47" s="129">
        <f>NeoClassical!AJ$48</f>
        <v>1.5031605250895517</v>
      </c>
      <c r="T47" s="129">
        <f>NeoClassical!AL$48</f>
        <v>1.5847099092943264</v>
      </c>
      <c r="U47" s="129">
        <f>NeoClassical!AN$48</f>
        <v>1.5781363552151562</v>
      </c>
      <c r="V47" s="129">
        <f>NeoClassical!AP$48</f>
        <v>1.5346039177913162</v>
      </c>
      <c r="W47" s="129">
        <f>NeoClassical!AR$48</f>
        <v>1.451624903970155</v>
      </c>
      <c r="X47" s="129">
        <f>NeoClassical!AT$48</f>
        <v>1.292386399825568</v>
      </c>
      <c r="Y47" s="129">
        <f>NeoClassical!AV$48</f>
        <v>0.95574864018806871</v>
      </c>
    </row>
    <row r="48" spans="1:26" x14ac:dyDescent="0.2">
      <c r="A48" t="s">
        <v>147</v>
      </c>
      <c r="B48" s="129">
        <f>Kaldorian!B$48</f>
        <v>1</v>
      </c>
      <c r="C48" s="129">
        <f>Kaldorian!D$48</f>
        <v>1.0020126335794131</v>
      </c>
      <c r="D48" s="129">
        <f>Kaldorian!F$48</f>
        <v>1.0039650470929595</v>
      </c>
      <c r="E48" s="129">
        <f>Kaldorian!H$48</f>
        <v>1.0058482282508561</v>
      </c>
      <c r="F48" s="129">
        <f>Kaldorian!J$48</f>
        <v>1.0076510243652421</v>
      </c>
      <c r="G48" s="129">
        <f>Kaldorian!L$48</f>
        <v>1.0093597592400871</v>
      </c>
      <c r="H48" s="129">
        <f>Kaldorian!N$48</f>
        <v>1.0109577619319416</v>
      </c>
      <c r="I48" s="129">
        <f>Kaldorian!P$48</f>
        <v>1.0124246871111786</v>
      </c>
      <c r="J48" s="129">
        <f>Kaldorian!R$48</f>
        <v>1.0137366074675267</v>
      </c>
      <c r="K48" s="129">
        <f>Kaldorian!T$48</f>
        <v>1.0148663441674972</v>
      </c>
      <c r="L48" s="129">
        <f>Kaldorian!V$48</f>
        <v>1.0157863084744891</v>
      </c>
      <c r="M48" s="129">
        <f>Kaldorian!X$48</f>
        <v>1.0164752124388163</v>
      </c>
      <c r="N48" s="129">
        <f>Kaldorian!Z$48</f>
        <v>1.0169335288070547</v>
      </c>
      <c r="O48" s="129">
        <f>Kaldorian!AB$48</f>
        <v>1.0172106572187893</v>
      </c>
      <c r="P48" s="129">
        <f>Kaldorian!AD$48</f>
        <v>1.0174242109622837</v>
      </c>
      <c r="Q48" s="129">
        <f>Kaldorian!AF$48</f>
        <v>1.017608907220418</v>
      </c>
      <c r="R48" s="129">
        <f>Kaldorian!AH$48</f>
        <v>1.0168111137736862</v>
      </c>
      <c r="S48" s="129">
        <f>Kaldorian!AJ$48</f>
        <v>0</v>
      </c>
      <c r="T48" s="129">
        <f>Kaldorian!AL$48</f>
        <v>0</v>
      </c>
      <c r="U48" s="129"/>
      <c r="V48" s="129"/>
      <c r="W48" s="129"/>
      <c r="X48" s="129"/>
      <c r="Y48" s="129"/>
    </row>
    <row r="49" spans="1:25" x14ac:dyDescent="0.2">
      <c r="A49" t="s">
        <v>90</v>
      </c>
      <c r="B49" s="129">
        <f>Johansen!B$48</f>
        <v>1</v>
      </c>
      <c r="C49" s="129">
        <f>Johansen!D$48</f>
        <v>1.0020030131166136</v>
      </c>
      <c r="D49" s="129">
        <f>Johansen!F$48</f>
        <v>1.0039433268219482</v>
      </c>
      <c r="E49" s="129">
        <f>Johansen!H$48</f>
        <v>1.005811394054569</v>
      </c>
      <c r="F49" s="129">
        <f>Johansen!J$48</f>
        <v>1.0075955236297702</v>
      </c>
      <c r="G49" s="129">
        <f>Johansen!L$48</f>
        <v>1.0092814513077331</v>
      </c>
      <c r="H49" s="129">
        <f>Johansen!N$48</f>
        <v>1.0108517599479458</v>
      </c>
      <c r="I49" s="129">
        <f>Johansen!P$48</f>
        <v>1.0122856752431451</v>
      </c>
      <c r="J49" s="129">
        <f>Johansen!R$48</f>
        <v>1.013558821677351</v>
      </c>
      <c r="K49" s="129">
        <f>Johansen!T$48</f>
        <v>1.014644475093101</v>
      </c>
      <c r="L49" s="129">
        <f>Johansen!V$48</f>
        <v>1.0155166220797209</v>
      </c>
      <c r="M49" s="129">
        <f>Johansen!X$48</f>
        <v>1.0161581374659183</v>
      </c>
      <c r="N49" s="129">
        <f>Johansen!Z$48</f>
        <v>1.0165781158673315</v>
      </c>
      <c r="O49" s="129">
        <f>Johansen!AB$48</f>
        <v>1.0168423294562416</v>
      </c>
      <c r="P49" s="129">
        <f>Johansen!AD$48</f>
        <v>1.0170925896400724</v>
      </c>
      <c r="Q49" s="129">
        <f>Johansen!AF$48</f>
        <v>1.017377841557749</v>
      </c>
      <c r="R49" s="129">
        <f>Johansen!AH$48</f>
        <v>1.0167053711277105</v>
      </c>
      <c r="S49" s="129">
        <f>Johansen!AJ$48</f>
        <v>1.010317543180999</v>
      </c>
      <c r="T49" s="129">
        <f>Johansen!AL$48</f>
        <v>0.98186750238839338</v>
      </c>
      <c r="U49" s="129">
        <f>Johansen!AN$48</f>
        <v>0.8630243500226058</v>
      </c>
      <c r="V49" s="129">
        <f>Johansen!AP$48</f>
        <v>0.80666379245066377</v>
      </c>
      <c r="W49" s="129">
        <f>Johansen!AR$48</f>
        <v>0.72463739926350479</v>
      </c>
      <c r="X49" s="129">
        <f>Johansen!AT$48</f>
        <v>0.59929319898294064</v>
      </c>
      <c r="Y49" s="129">
        <f>Johansen!AV$48</f>
        <v>0</v>
      </c>
    </row>
    <row r="50" spans="1:25" x14ac:dyDescent="0.2">
      <c r="A50" t="s">
        <v>130</v>
      </c>
      <c r="B50" s="129">
        <f>'Keynes-M'!B$48</f>
        <v>1</v>
      </c>
      <c r="C50" s="129">
        <f>'Keynes-M'!D$48</f>
        <v>1.0192228539492754</v>
      </c>
      <c r="D50" s="129">
        <f>'Keynes-M'!F$48</f>
        <v>1.0390785975488857</v>
      </c>
      <c r="E50" s="129">
        <f>'Keynes-M'!H$48</f>
        <v>1.0596955649911675</v>
      </c>
      <c r="F50" s="129">
        <f>'Keynes-M'!J$48</f>
        <v>1.0812401447361377</v>
      </c>
      <c r="G50" s="129">
        <f>'Keynes-M'!L$48</f>
        <v>1.1039412196554457</v>
      </c>
      <c r="H50" s="129">
        <f>'Keynes-M'!N$48</f>
        <v>1.1281322136127558</v>
      </c>
      <c r="I50" s="129">
        <f>'Keynes-M'!P$48</f>
        <v>1.1543273210686564</v>
      </c>
      <c r="J50" s="129">
        <f>'Keynes-M'!R$48</f>
        <v>1.1833616272218359</v>
      </c>
      <c r="K50" s="129">
        <f>'Keynes-M'!T$48</f>
        <v>1.2166625134202453</v>
      </c>
      <c r="L50" s="129">
        <f>'Keynes-M'!V$48</f>
        <v>1.2567912623420012</v>
      </c>
      <c r="M50" s="129">
        <f>'Keynes-M'!X$48</f>
        <v>1.308497990265177</v>
      </c>
      <c r="N50" s="129">
        <f>'Keynes-M'!Z$48</f>
        <v>1.3803158450815483</v>
      </c>
      <c r="O50" s="129">
        <f>'Keynes-M'!AB$48</f>
        <v>0</v>
      </c>
      <c r="P50" s="129">
        <f>'Keynes-M'!AD$48</f>
        <v>0</v>
      </c>
      <c r="Q50" s="129">
        <f>'Keynes-M'!AF$48</f>
        <v>0</v>
      </c>
      <c r="R50" s="129"/>
      <c r="S50" s="129"/>
      <c r="T50" s="129"/>
      <c r="U50" s="129"/>
      <c r="V50" s="129"/>
      <c r="W50" s="129"/>
      <c r="X50" s="129"/>
      <c r="Y50" s="129"/>
    </row>
    <row r="51" spans="1:25" x14ac:dyDescent="0.2">
      <c r="A51" t="s">
        <v>146</v>
      </c>
      <c r="B51" s="129">
        <f>Keynesian!B$48</f>
        <v>1</v>
      </c>
      <c r="C51" s="129">
        <f>Keynesian!D$48</f>
        <v>0.97806954931411916</v>
      </c>
      <c r="D51" s="129">
        <f>Keynesian!F$48</f>
        <v>0.9534885258725575</v>
      </c>
      <c r="E51" s="129">
        <f>Keynesian!H$48</f>
        <v>0.92601489887169752</v>
      </c>
      <c r="F51" s="129">
        <f>Keynesian!J$48</f>
        <v>0.89542087652105318</v>
      </c>
      <c r="G51" s="129">
        <f>Keynesian!L$48</f>
        <v>0.86151052186227894</v>
      </c>
      <c r="H51" s="129">
        <f>Keynesian!N$48</f>
        <v>0.82414670300742821</v>
      </c>
      <c r="I51" s="129">
        <f>Keynesian!P$48</f>
        <v>0.78328534507216829</v>
      </c>
      <c r="J51" s="129">
        <f>Keynesian!R$48</f>
        <v>0.73903281009255961</v>
      </c>
      <c r="K51" s="129">
        <f>Keynesian!T$48</f>
        <v>0.6917446550368509</v>
      </c>
      <c r="L51" s="129">
        <f>Keynesian!V$48</f>
        <v>0.64228497622667147</v>
      </c>
      <c r="M51" s="129">
        <f>Keynesian!X$48</f>
        <v>0.59294017627429985</v>
      </c>
      <c r="N51" s="129">
        <f>Keynesian!Z$48</f>
        <v>0</v>
      </c>
      <c r="O51" s="129">
        <f>Keynesian!AB$48</f>
        <v>0</v>
      </c>
      <c r="P51" s="129"/>
      <c r="Q51" s="129"/>
      <c r="R51" s="129"/>
      <c r="S51" s="129"/>
      <c r="T51" s="129"/>
      <c r="U51" s="129"/>
      <c r="V51" s="129"/>
      <c r="W51" s="129"/>
      <c r="X51" s="129"/>
      <c r="Y51" s="129"/>
    </row>
    <row r="52" spans="1:25" x14ac:dyDescent="0.2">
      <c r="A52" t="s">
        <v>131</v>
      </c>
      <c r="B52" s="129">
        <f>'Keynes-K'!B$48</f>
        <v>1</v>
      </c>
      <c r="C52" s="129">
        <f>'Keynes-K'!D$48</f>
        <v>1.0082570066837764</v>
      </c>
      <c r="D52" s="129">
        <f>'Keynes-K'!F$48</f>
        <v>1.0158510590080365</v>
      </c>
      <c r="E52" s="129">
        <f>'Keynes-K'!H$48</f>
        <v>1.0227429986332619</v>
      </c>
      <c r="F52" s="129">
        <f>'Keynes-K'!J$48</f>
        <v>1.0288718819126546</v>
      </c>
      <c r="G52" s="129">
        <f>'Keynes-K'!L$48</f>
        <v>1.0341492191074169</v>
      </c>
      <c r="H52" s="129">
        <f>'Keynes-K'!N$48</f>
        <v>1.0384536261330439</v>
      </c>
      <c r="I52" s="129">
        <f>'Keynes-K'!P$48</f>
        <v>1.0416186087792549</v>
      </c>
      <c r="J52" s="129">
        <f>'Keynes-K'!R$48</f>
        <v>1.0434178254582318</v>
      </c>
      <c r="K52" s="129">
        <f>'Keynes-K'!T$48</f>
        <v>1.0435398680169292</v>
      </c>
      <c r="L52" s="129">
        <f>'Keynes-K'!V$48</f>
        <v>1.0415475658830675</v>
      </c>
      <c r="M52" s="129">
        <f>'Keynes-K'!X$48</f>
        <v>1.0368057310540502</v>
      </c>
      <c r="N52" s="129">
        <f>'Keynes-K'!Z$48</f>
        <v>1.0283431483494267</v>
      </c>
      <c r="O52" s="129">
        <f>'Keynes-K'!AB$48</f>
        <v>1.0145654059530944</v>
      </c>
      <c r="P52" s="129">
        <f>'Keynes-K'!AD$48</f>
        <v>0.99261947482596757</v>
      </c>
      <c r="Q52" s="129">
        <f>'Keynes-K'!AF$48</f>
        <v>0.95699260627565574</v>
      </c>
      <c r="R52" s="129">
        <f>'Keynes-K'!AH$48</f>
        <v>0.89683908729143214</v>
      </c>
      <c r="S52" s="129">
        <f>'Keynes-K'!AJ$48</f>
        <v>0.79245827874377317</v>
      </c>
      <c r="T52" s="129">
        <f>'Keynes-K'!AL$48</f>
        <v>0</v>
      </c>
      <c r="U52" s="129"/>
      <c r="V52" s="129"/>
      <c r="W52" s="129"/>
      <c r="X52" s="129"/>
      <c r="Y52" s="129"/>
    </row>
    <row r="53" spans="1:25" x14ac:dyDescent="0.2">
      <c r="A53" t="s">
        <v>142</v>
      </c>
      <c r="B53" s="129">
        <f>'Neo-K1'!B$48</f>
        <v>1</v>
      </c>
      <c r="C53" s="129">
        <f>'Neo-K1'!D$48</f>
        <v>1.0062516536697368</v>
      </c>
      <c r="D53" s="129">
        <f>'Neo-K1'!F$48</f>
        <v>1.01184566765675</v>
      </c>
      <c r="E53" s="129">
        <f>'Neo-K1'!H$48</f>
        <v>1.0165932510404576</v>
      </c>
      <c r="F53" s="129">
        <f>'Neo-K1'!J$48</f>
        <v>1.020245864927475</v>
      </c>
      <c r="G53" s="129">
        <f>'Neo-K1'!L$48</f>
        <v>1.0224749313515775</v>
      </c>
      <c r="H53" s="129">
        <f>'Neo-K1'!N$48</f>
        <v>1.0228432103896925</v>
      </c>
      <c r="I53" s="129">
        <f>'Neo-K1'!P$48</f>
        <v>1.0207675931627431</v>
      </c>
      <c r="J53" s="129">
        <f>'Neo-K1'!R$48</f>
        <v>1.0154689655005458</v>
      </c>
      <c r="K53" s="129">
        <f>'Neo-K1'!T$48</f>
        <v>1.0059066014997027</v>
      </c>
      <c r="L53" s="129">
        <f>'Neo-K1'!V$48</f>
        <v>0.99070120299219755</v>
      </c>
      <c r="M53" s="129">
        <f>'Neo-K1'!X$48</f>
        <v>0.96805066840071619</v>
      </c>
      <c r="N53" s="129">
        <f>'Neo-K1'!Z$48</f>
        <v>0.93566351049094054</v>
      </c>
      <c r="O53" s="129">
        <f>'Neo-K1'!AB$48</f>
        <v>0.89075318918853763</v>
      </c>
      <c r="P53" s="129">
        <f>'Neo-K1'!AD$48</f>
        <v>0.83015539559455953</v>
      </c>
      <c r="Q53" s="129">
        <f>'Neo-K1'!AF$48</f>
        <v>0.75061872732967738</v>
      </c>
      <c r="R53" s="129">
        <f>'Neo-K1'!AH$48</f>
        <v>0.64924665526011893</v>
      </c>
      <c r="S53" s="129">
        <f>'Neo-K1'!AJ$48</f>
        <v>0.52395639208867584</v>
      </c>
      <c r="T53" s="129">
        <f>'Neo-K1'!AL$48</f>
        <v>0.37376375189180411</v>
      </c>
      <c r="U53" s="129">
        <f>'Neo-K1'!AN$48</f>
        <v>0.19878458428175921</v>
      </c>
      <c r="V53" s="129">
        <f>'Neo-K1'!AP$48</f>
        <v>0.16088909090066719</v>
      </c>
      <c r="W53" s="129">
        <f>'Neo-K1'!AR$48</f>
        <v>0.12205077193134581</v>
      </c>
      <c r="X53" s="129">
        <f>'Neo-K1'!AT$48</f>
        <v>8.2281446844294809E-2</v>
      </c>
      <c r="Y53" s="129">
        <f>'Neo-K1'!AV$48</f>
        <v>4.1593538717207459E-2</v>
      </c>
    </row>
    <row r="54" spans="1:25" x14ac:dyDescent="0.2">
      <c r="A54" t="s">
        <v>141</v>
      </c>
      <c r="B54" s="129">
        <f>'Neo-K2'!B$48</f>
        <v>1</v>
      </c>
      <c r="C54" s="129">
        <f>'Neo-K2'!D$48</f>
        <v>1</v>
      </c>
      <c r="D54" s="129">
        <f>'Neo-K2'!F$48</f>
        <v>1</v>
      </c>
      <c r="E54" s="129">
        <f>'Neo-K2'!H$48</f>
        <v>1</v>
      </c>
      <c r="F54" s="129">
        <f>'Neo-K2'!J$48</f>
        <v>1</v>
      </c>
      <c r="G54" s="129">
        <f>'Neo-K2'!L$48</f>
        <v>1</v>
      </c>
      <c r="H54" s="129">
        <f>'Neo-K2'!N$48</f>
        <v>1</v>
      </c>
      <c r="I54" s="129">
        <f>'Neo-K2'!P$48</f>
        <v>1</v>
      </c>
      <c r="J54" s="129">
        <f>'Neo-K2'!R$48</f>
        <v>1</v>
      </c>
      <c r="K54" s="129">
        <f>'Neo-K2'!T$48</f>
        <v>1</v>
      </c>
      <c r="L54" s="129">
        <f>'Neo-K2'!V$48</f>
        <v>1</v>
      </c>
      <c r="M54" s="129">
        <f>'Neo-K2'!X$48</f>
        <v>1</v>
      </c>
      <c r="N54" s="129">
        <f>'Neo-K2'!Z$48</f>
        <v>1</v>
      </c>
      <c r="O54" s="129">
        <f>'Neo-K2'!AB$48</f>
        <v>1</v>
      </c>
      <c r="P54" s="129">
        <f>'Neo-K2'!AD$48</f>
        <v>1</v>
      </c>
      <c r="Q54" s="129">
        <f>'Neo-K2'!AF$48</f>
        <v>1</v>
      </c>
      <c r="R54" s="129">
        <f>'Neo-K2'!AH$48</f>
        <v>1</v>
      </c>
      <c r="S54" s="129">
        <f>'Neo-K2'!AJ$48</f>
        <v>1</v>
      </c>
      <c r="T54" s="129">
        <f>'Neo-K2'!AL$48</f>
        <v>1</v>
      </c>
      <c r="U54" s="129">
        <f>'Neo-K2'!AN$48</f>
        <v>1</v>
      </c>
      <c r="V54" s="129">
        <f>'Neo-K2'!AP$48</f>
        <v>1</v>
      </c>
      <c r="W54" s="129">
        <f>'Neo-K2'!AR$48</f>
        <v>1</v>
      </c>
      <c r="X54" s="129">
        <f>'Neo-K2'!AT$48</f>
        <v>1</v>
      </c>
      <c r="Y54" s="129">
        <f>'Neo-K2'!AV$48</f>
        <v>1</v>
      </c>
    </row>
    <row r="56" spans="1:25" ht="10.5" x14ac:dyDescent="0.25">
      <c r="A56" s="92" t="s">
        <v>94</v>
      </c>
    </row>
    <row r="57" spans="1:25" x14ac:dyDescent="0.2">
      <c r="A57" t="s">
        <v>132</v>
      </c>
      <c r="B57" s="202">
        <v>0</v>
      </c>
      <c r="C57" s="202">
        <v>0.05</v>
      </c>
      <c r="D57" s="202">
        <v>0.1</v>
      </c>
      <c r="E57" s="202">
        <v>0.15000000000000002</v>
      </c>
      <c r="F57" s="202">
        <v>0.2</v>
      </c>
      <c r="G57" s="202">
        <v>0.25</v>
      </c>
      <c r="H57" s="202">
        <v>0.3</v>
      </c>
      <c r="I57" s="202">
        <v>0.35</v>
      </c>
      <c r="J57" s="202">
        <v>0.39999999999999997</v>
      </c>
      <c r="K57" s="202">
        <v>0.44999999999999996</v>
      </c>
      <c r="L57" s="202">
        <v>0.49999999999999994</v>
      </c>
      <c r="M57" s="202">
        <v>0.54999999999999993</v>
      </c>
      <c r="N57" s="202">
        <v>0.6</v>
      </c>
      <c r="O57" s="202">
        <v>0.65</v>
      </c>
      <c r="P57" s="202">
        <v>0.70000000000000007</v>
      </c>
      <c r="Q57" s="202">
        <v>0.75000000000000011</v>
      </c>
      <c r="R57" s="202">
        <v>0.80000000000000016</v>
      </c>
      <c r="S57" s="202">
        <v>0.8500000000000002</v>
      </c>
      <c r="T57" s="202">
        <v>0.90000000000000024</v>
      </c>
      <c r="U57" s="202">
        <v>0.95000000000000029</v>
      </c>
      <c r="V57" s="202">
        <v>0.9600000000000003</v>
      </c>
      <c r="W57" s="202">
        <v>0.97000000000000031</v>
      </c>
      <c r="X57" s="202">
        <v>0.98000000000000032</v>
      </c>
      <c r="Y57" s="202">
        <v>0.99000000000000032</v>
      </c>
    </row>
    <row r="58" spans="1:25" x14ac:dyDescent="0.2">
      <c r="A58" t="s">
        <v>89</v>
      </c>
      <c r="B58" s="129">
        <f>NeoClassical!B$42</f>
        <v>6.0999999999999999E-2</v>
      </c>
      <c r="C58" s="129">
        <f>NeoClassical!D$42</f>
        <v>6.1000000000000623E-2</v>
      </c>
      <c r="D58" s="129">
        <f>NeoClassical!F$42</f>
        <v>6.0999999999999999E-2</v>
      </c>
      <c r="E58" s="129">
        <f>NeoClassical!H$42</f>
        <v>6.0999999999999999E-2</v>
      </c>
      <c r="F58" s="129">
        <f>NeoClassical!J$42</f>
        <v>6.1000000000000311E-2</v>
      </c>
      <c r="G58" s="129">
        <f>NeoClassical!L$42</f>
        <v>6.1000000000000519E-2</v>
      </c>
      <c r="H58" s="129">
        <f>NeoClassical!N$42</f>
        <v>6.1000000000000623E-2</v>
      </c>
      <c r="I58" s="129">
        <f>NeoClassical!P$42</f>
        <v>6.0999999999999582E-2</v>
      </c>
      <c r="J58" s="129">
        <f>NeoClassical!R$42</f>
        <v>6.1000000000000519E-2</v>
      </c>
      <c r="K58" s="129">
        <f>NeoClassical!T$42</f>
        <v>6.0999999999999999E-2</v>
      </c>
      <c r="L58" s="129">
        <f>NeoClassical!V$42</f>
        <v>6.1000000000000207E-2</v>
      </c>
      <c r="M58" s="129">
        <f>NeoClassical!X$42</f>
        <v>6.1000000000001456E-2</v>
      </c>
      <c r="N58" s="129">
        <f>NeoClassical!Z$42</f>
        <v>6.0999999999999582E-2</v>
      </c>
      <c r="O58" s="129">
        <f>NeoClassical!AB$42</f>
        <v>6.0999999999999791E-2</v>
      </c>
      <c r="P58" s="129">
        <f>NeoClassical!AD$42</f>
        <v>6.099999999999875E-2</v>
      </c>
      <c r="Q58" s="129">
        <f>NeoClassical!AF$42</f>
        <v>6.1000000000000311E-2</v>
      </c>
      <c r="R58" s="129">
        <f>NeoClassical!AH$42</f>
        <v>6.1000000000000311E-2</v>
      </c>
      <c r="S58" s="129">
        <f>NeoClassical!AJ$42</f>
        <v>6.0999999999999374E-2</v>
      </c>
      <c r="T58" s="129">
        <f>NeoClassical!AL$42</f>
        <v>6.1000000000000519E-2</v>
      </c>
      <c r="U58" s="129">
        <f>NeoClassical!AN$42</f>
        <v>6.0999999999999999E-2</v>
      </c>
      <c r="V58" s="129">
        <f>NeoClassical!AP$42</f>
        <v>6.0999999999999166E-2</v>
      </c>
      <c r="W58" s="129">
        <f>NeoClassical!AR$42</f>
        <v>6.1000000000000623E-2</v>
      </c>
      <c r="X58" s="129">
        <f>NeoClassical!AT$42</f>
        <v>6.099999999999875E-2</v>
      </c>
      <c r="Y58" s="129">
        <f>NeoClassical!AV$42</f>
        <v>6.0999999999999582E-2</v>
      </c>
    </row>
    <row r="59" spans="1:25" x14ac:dyDescent="0.2">
      <c r="A59" t="s">
        <v>147</v>
      </c>
      <c r="B59" s="129">
        <f>Kaldorian!B$42</f>
        <v>6.0999999999999999E-2</v>
      </c>
      <c r="C59" s="129">
        <f>Kaldorian!D$42</f>
        <v>6.100000000000104E-2</v>
      </c>
      <c r="D59" s="129">
        <f>Kaldorian!F$42</f>
        <v>6.0999999999996661E-2</v>
      </c>
      <c r="E59" s="129">
        <f>Kaldorian!H$42</f>
        <v>6.1000000000000207E-2</v>
      </c>
      <c r="F59" s="129">
        <f>Kaldorian!J$42</f>
        <v>6.0999999999999999E-2</v>
      </c>
      <c r="G59" s="129">
        <f>Kaldorian!L$42</f>
        <v>6.0999999999999166E-2</v>
      </c>
      <c r="H59" s="129">
        <f>Kaldorian!N$42</f>
        <v>6.0999999999999582E-2</v>
      </c>
      <c r="I59" s="129">
        <f>Kaldorian!P$42</f>
        <v>6.1000000000000311E-2</v>
      </c>
      <c r="J59" s="129">
        <f>Kaldorian!R$42</f>
        <v>6.0999999999999999E-2</v>
      </c>
      <c r="K59" s="129">
        <f>Kaldorian!T$42</f>
        <v>6.1000000000000207E-2</v>
      </c>
      <c r="L59" s="129">
        <f>Kaldorian!V$42</f>
        <v>6.1000000000000311E-2</v>
      </c>
      <c r="M59" s="129">
        <f>Kaldorian!X$42</f>
        <v>6.0999999999998958E-2</v>
      </c>
      <c r="N59" s="129">
        <f>Kaldorian!Z$42</f>
        <v>6.1000000000000207E-2</v>
      </c>
      <c r="O59" s="129">
        <f>Kaldorian!AB$42</f>
        <v>6.1000000000000623E-2</v>
      </c>
      <c r="P59" s="129">
        <f>Kaldorian!AD$42</f>
        <v>6.1000000000000207E-2</v>
      </c>
      <c r="Q59" s="129">
        <f>Kaldorian!AF$42</f>
        <v>6.1000000000000311E-2</v>
      </c>
      <c r="R59" s="129">
        <f>Kaldorian!AH$42</f>
        <v>6.0999999999999374E-2</v>
      </c>
      <c r="S59" s="129">
        <f>Kaldorian!AJ$42</f>
        <v>1</v>
      </c>
      <c r="T59" s="129">
        <f>Kaldorian!AL$42</f>
        <v>1</v>
      </c>
      <c r="U59" s="129"/>
      <c r="V59" s="129"/>
      <c r="W59" s="129"/>
      <c r="X59" s="129"/>
      <c r="Y59" s="129"/>
    </row>
    <row r="60" spans="1:25" x14ac:dyDescent="0.2">
      <c r="A60" t="s">
        <v>90</v>
      </c>
      <c r="B60" s="129">
        <f>Johansen!B$42</f>
        <v>6.0999999999999999E-2</v>
      </c>
      <c r="C60" s="129">
        <f>Johansen!D$42</f>
        <v>6.1000000000000519E-2</v>
      </c>
      <c r="D60" s="129">
        <f>Johansen!F$42</f>
        <v>6.099999999999875E-2</v>
      </c>
      <c r="E60" s="129">
        <f>Johansen!H$42</f>
        <v>6.1000000000000207E-2</v>
      </c>
      <c r="F60" s="129">
        <f>Johansen!J$42</f>
        <v>6.099999999999875E-2</v>
      </c>
      <c r="G60" s="129">
        <f>Johansen!L$42</f>
        <v>6.1000000000000519E-2</v>
      </c>
      <c r="H60" s="129">
        <f>Johansen!N$42</f>
        <v>6.099999999999875E-2</v>
      </c>
      <c r="I60" s="129">
        <f>Johansen!P$42</f>
        <v>6.1000000000000207E-2</v>
      </c>
      <c r="J60" s="129">
        <f>Johansen!R$42</f>
        <v>6.0999999999999582E-2</v>
      </c>
      <c r="K60" s="129">
        <f>Johansen!T$42</f>
        <v>6.0999999999999582E-2</v>
      </c>
      <c r="L60" s="129">
        <f>Johansen!V$42</f>
        <v>6.0999999999999999E-2</v>
      </c>
      <c r="M60" s="129">
        <f>Johansen!X$42</f>
        <v>6.0999999999999791E-2</v>
      </c>
      <c r="N60" s="129">
        <f>Johansen!Z$42</f>
        <v>6.099999999999875E-2</v>
      </c>
      <c r="O60" s="129">
        <f>Johansen!AB$42</f>
        <v>6.0999999999999374E-2</v>
      </c>
      <c r="P60" s="129">
        <f>Johansen!AD$42</f>
        <v>6.0999999999999999E-2</v>
      </c>
      <c r="Q60" s="129">
        <f>Johansen!AF$42</f>
        <v>6.1000000000000623E-2</v>
      </c>
      <c r="R60" s="129">
        <f>Johansen!AH$42</f>
        <v>6.0999999999999374E-2</v>
      </c>
      <c r="S60" s="129">
        <f>Johansen!AJ$42</f>
        <v>6.0999999999998958E-2</v>
      </c>
      <c r="T60" s="129">
        <f>Johansen!AL$42</f>
        <v>6.0999999999999582E-2</v>
      </c>
      <c r="U60" s="129">
        <f>Johansen!AN$42</f>
        <v>6.0999999999999582E-2</v>
      </c>
      <c r="V60" s="129">
        <f>Johansen!AP$42</f>
        <v>6.1000000000000519E-2</v>
      </c>
      <c r="W60" s="129">
        <f>Johansen!AR$42</f>
        <v>6.0999999999999582E-2</v>
      </c>
      <c r="X60" s="129">
        <f>Johansen!AT$42</f>
        <v>6.0999999999999791E-2</v>
      </c>
      <c r="Y60" s="129">
        <f>Johansen!AV$42</f>
        <v>1</v>
      </c>
    </row>
    <row r="61" spans="1:25" x14ac:dyDescent="0.2">
      <c r="A61" t="s">
        <v>130</v>
      </c>
      <c r="B61" s="129">
        <f>'Keynes-M'!B$42</f>
        <v>6.0999999999999999E-2</v>
      </c>
      <c r="C61" s="129">
        <f>'Keynes-M'!D$42</f>
        <v>3.0711699400957682E-2</v>
      </c>
      <c r="D61" s="129">
        <f>'Keynes-M'!F$42</f>
        <v>-2.4047936345412135E-3</v>
      </c>
      <c r="E61" s="129">
        <f>'Keynes-M'!H$42</f>
        <v>-3.9036118786639692E-2</v>
      </c>
      <c r="F61" s="129">
        <f>'Keynes-M'!J$42</f>
        <v>-8.0132788706387653E-2</v>
      </c>
      <c r="G61" s="129">
        <f>'Keynes-M'!L$42</f>
        <v>-0.12707342773418415</v>
      </c>
      <c r="H61" s="129">
        <f>'Keynes-M'!N$42</f>
        <v>-0.18197270151700812</v>
      </c>
      <c r="I61" s="129">
        <f>'Keynes-M'!P$42</f>
        <v>-0.24830357989652058</v>
      </c>
      <c r="J61" s="129">
        <f>'Keynes-M'!R$42</f>
        <v>-0.33227857956629409</v>
      </c>
      <c r="K61" s="129">
        <f>'Keynes-M'!T$42</f>
        <v>-0.44634775367850538</v>
      </c>
      <c r="L61" s="129">
        <f>'Keynes-M'!V$42</f>
        <v>-0.61992635828238485</v>
      </c>
      <c r="M61" s="129">
        <f>'Keynes-M'!X$42</f>
        <v>-0.94475380633667472</v>
      </c>
      <c r="N61" s="129">
        <f>'Keynes-M'!Z$42</f>
        <v>-1.9875607714190022</v>
      </c>
      <c r="O61" s="129">
        <f>'Keynes-M'!AB$42</f>
        <v>1</v>
      </c>
      <c r="P61" s="129">
        <f>'Keynes-M'!AD$42</f>
        <v>1</v>
      </c>
      <c r="Q61" s="129">
        <f>'Keynes-M'!AF$42</f>
        <v>1</v>
      </c>
      <c r="R61" s="129"/>
      <c r="S61" s="129"/>
      <c r="T61" s="129"/>
      <c r="U61" s="129"/>
      <c r="V61" s="129"/>
      <c r="W61" s="129"/>
      <c r="X61" s="129"/>
      <c r="Y61" s="129"/>
    </row>
    <row r="62" spans="1:25" x14ac:dyDescent="0.2">
      <c r="A62" t="s">
        <v>146</v>
      </c>
      <c r="B62" s="129">
        <f>Keynesian!B$42</f>
        <v>6.0999999999999999E-2</v>
      </c>
      <c r="C62" s="129">
        <f>Keynesian!D$42</f>
        <v>0.10063001816195999</v>
      </c>
      <c r="D62" s="129">
        <f>Keynesian!F$42</f>
        <v>0.14162900769245654</v>
      </c>
      <c r="E62" s="129">
        <f>Keynesian!H$42</f>
        <v>0.18396446563259186</v>
      </c>
      <c r="F62" s="129">
        <f>Keynesian!J$42</f>
        <v>0.22757425260819678</v>
      </c>
      <c r="G62" s="129">
        <f>Keynesian!L$42</f>
        <v>0.27236020207929901</v>
      </c>
      <c r="H62" s="129">
        <f>Keynesian!N$42</f>
        <v>0.31817968763056304</v>
      </c>
      <c r="I62" s="129">
        <f>Keynesian!P$42</f>
        <v>0.36483246382149204</v>
      </c>
      <c r="J62" s="129">
        <f>Keynesian!R$42</f>
        <v>0.41203535016861731</v>
      </c>
      <c r="K62" s="129">
        <f>Keynesian!T$42</f>
        <v>0.45935792150263943</v>
      </c>
      <c r="L62" s="129">
        <f>Keynesian!V$42</f>
        <v>0.5060296187311184</v>
      </c>
      <c r="M62" s="129">
        <f>Keynesian!X$42</f>
        <v>0.55019140031063429</v>
      </c>
      <c r="N62" s="129">
        <f>Keynesian!Z$42</f>
        <v>1</v>
      </c>
      <c r="O62" s="129">
        <f>Keynesian!AB$42</f>
        <v>1</v>
      </c>
      <c r="P62" s="129"/>
      <c r="Q62" s="129"/>
      <c r="R62" s="129"/>
      <c r="S62" s="129"/>
      <c r="T62" s="129"/>
      <c r="U62" s="129"/>
      <c r="V62" s="129"/>
      <c r="W62" s="129"/>
      <c r="X62" s="129"/>
      <c r="Y62" s="129"/>
    </row>
    <row r="63" spans="1:25" x14ac:dyDescent="0.2">
      <c r="A63" t="s">
        <v>131</v>
      </c>
      <c r="B63" s="129">
        <f>'Keynes-K'!B$42</f>
        <v>6.0999999999999999E-2</v>
      </c>
      <c r="C63" s="129">
        <f>'Keynes-K'!D$42</f>
        <v>5.0213538710312089E-2</v>
      </c>
      <c r="D63" s="129">
        <f>'Keynes-K'!F$42</f>
        <v>4.0334920311660694E-2</v>
      </c>
      <c r="E63" s="129">
        <f>'Keynes-K'!H$42</f>
        <v>3.1458590397197145E-2</v>
      </c>
      <c r="F63" s="129">
        <f>'Keynes-K'!J$42</f>
        <v>2.3713971446449468E-2</v>
      </c>
      <c r="G63" s="129">
        <f>'Keynes-K'!L$42</f>
        <v>1.7274735662366474E-2</v>
      </c>
      <c r="H63" s="129">
        <f>'Keynes-K'!N$42</f>
        <v>1.2368202349978825E-2</v>
      </c>
      <c r="I63" s="129">
        <f>'Keynes-K'!P$42</f>
        <v>9.2937826532572959E-3</v>
      </c>
      <c r="J63" s="129">
        <f>'Keynes-K'!R$42</f>
        <v>8.4460689008354559E-3</v>
      </c>
      <c r="K63" s="129">
        <f>'Keynes-K'!T$42</f>
        <v>1.0351648472775379E-2</v>
      </c>
      <c r="L63" s="129">
        <f>'Keynes-K'!V$42</f>
        <v>1.5728043623839123E-2</v>
      </c>
      <c r="M63" s="129">
        <f>'Keynes-K'!X$42</f>
        <v>2.5583578382540828E-2</v>
      </c>
      <c r="N63" s="129">
        <f>'Keynes-K'!Z$42</f>
        <v>4.1396538126951536E-2</v>
      </c>
      <c r="O63" s="129">
        <f>'Keynes-K'!AB$42</f>
        <v>6.5450748381382554E-2</v>
      </c>
      <c r="P63" s="129">
        <f>'Keynes-K'!AD$42</f>
        <v>0.10145903798632064</v>
      </c>
      <c r="Q63" s="129">
        <f>'Keynes-K'!AF$42</f>
        <v>0.15557271412367901</v>
      </c>
      <c r="R63" s="129">
        <f>'Keynes-K'!AH$42</f>
        <v>0.23732273746397345</v>
      </c>
      <c r="S63" s="129">
        <f>'Keynes-K'!AJ$42</f>
        <v>0.35877366402071237</v>
      </c>
      <c r="T63" s="129">
        <f>'Keynes-K'!AL$42</f>
        <v>1</v>
      </c>
      <c r="U63" s="129"/>
      <c r="V63" s="129"/>
      <c r="W63" s="129"/>
      <c r="X63" s="129"/>
      <c r="Y63" s="129"/>
    </row>
    <row r="64" spans="1:25" x14ac:dyDescent="0.2">
      <c r="A64" t="s">
        <v>142</v>
      </c>
      <c r="B64" s="129">
        <f>'Neo-K1'!B$42</f>
        <v>6.0999999999999999E-2</v>
      </c>
      <c r="C64" s="129">
        <f>'Neo-K1'!D$42</f>
        <v>6.540368803740583E-2</v>
      </c>
      <c r="D64" s="129">
        <f>'Neo-K1'!F$42</f>
        <v>7.0546725894759743E-2</v>
      </c>
      <c r="E64" s="129">
        <f>'Neo-K1'!H$42</f>
        <v>7.6596955987283943E-2</v>
      </c>
      <c r="F64" s="129">
        <f>'Neo-K1'!J$42</f>
        <v>8.3769296949686864E-2</v>
      </c>
      <c r="G64" s="129">
        <f>'Neo-K1'!L$42</f>
        <v>9.2340581718831832E-2</v>
      </c>
      <c r="H64" s="129">
        <f>'Neo-K1'!N$42</f>
        <v>0.10267007773292525</v>
      </c>
      <c r="I64" s="129">
        <f>'Neo-K1'!P$42</f>
        <v>0.11522542222128765</v>
      </c>
      <c r="J64" s="129">
        <f>'Neo-K1'!R$42</f>
        <v>0.13061633938448619</v>
      </c>
      <c r="K64" s="129">
        <f>'Neo-K1'!T$42</f>
        <v>0.14963681790312955</v>
      </c>
      <c r="L64" s="129">
        <f>'Neo-K1'!V$42</f>
        <v>0.17331058703330654</v>
      </c>
      <c r="M64" s="129">
        <f>'Neo-K1'!X$42</f>
        <v>0.20293444741576805</v>
      </c>
      <c r="N64" s="129">
        <f>'Neo-K1'!Z$42</f>
        <v>0.2400990306561388</v>
      </c>
      <c r="O64" s="129">
        <f>'Neo-K1'!AB$42</f>
        <v>0.28665626953644707</v>
      </c>
      <c r="P64" s="129">
        <f>'Neo-K1'!AD$42</f>
        <v>0.34459667047760567</v>
      </c>
      <c r="Q64" s="129">
        <f>'Neo-K1'!AF$42</f>
        <v>0.41581837911876351</v>
      </c>
      <c r="R64" s="129">
        <f>'Neo-K1'!AH$42</f>
        <v>0.50182729526763903</v>
      </c>
      <c r="S64" s="129">
        <f>'Neo-K1'!AJ$42</f>
        <v>0.60347505727006001</v>
      </c>
      <c r="T64" s="129">
        <f>'Neo-K1'!AL$42</f>
        <v>0.72085239020938063</v>
      </c>
      <c r="U64" s="129">
        <f>'Neo-K1'!AN$42</f>
        <v>0.85337553722547921</v>
      </c>
      <c r="V64" s="129">
        <f>'Neo-K1'!AP$42</f>
        <v>0.88161113494699972</v>
      </c>
      <c r="W64" s="129">
        <f>'Neo-K1'!AR$42</f>
        <v>0.91040161032544087</v>
      </c>
      <c r="X64" s="129">
        <f>'Neo-K1'!AT$42</f>
        <v>0.93973682479547982</v>
      </c>
      <c r="Y64" s="129">
        <f>'Neo-K1'!AV$42</f>
        <v>0.96960644712534627</v>
      </c>
    </row>
    <row r="65" spans="1:25" x14ac:dyDescent="0.2">
      <c r="A65" t="s">
        <v>141</v>
      </c>
      <c r="B65" s="129">
        <f>'Neo-K2'!B$42</f>
        <v>6.0999999999999999E-2</v>
      </c>
      <c r="C65" s="129">
        <f>'Neo-K2'!D$42</f>
        <v>6.6584460509531346E-2</v>
      </c>
      <c r="D65" s="129">
        <f>'Neo-K2'!F$42</f>
        <v>7.320491194902129E-2</v>
      </c>
      <c r="E65" s="129">
        <f>'Neo-K2'!H$42</f>
        <v>8.1119260071033691E-2</v>
      </c>
      <c r="F65" s="129">
        <f>'Neo-K2'!J$42</f>
        <v>9.065739138685093E-2</v>
      </c>
      <c r="G65" s="129">
        <f>'Neo-K2'!L$42</f>
        <v>0.10224163324260194</v>
      </c>
      <c r="H65" s="129">
        <f>'Neo-K2'!N$42</f>
        <v>0.11641002043155835</v>
      </c>
      <c r="I65" s="129">
        <f>'Neo-K2'!P$42</f>
        <v>0.13383392981347919</v>
      </c>
      <c r="J65" s="129">
        <f>'Neo-K2'!R$42</f>
        <v>0.15532796614259209</v>
      </c>
      <c r="K65" s="129">
        <f>'Neo-K2'!T$42</f>
        <v>0.18183103895594971</v>
      </c>
      <c r="L65" s="129">
        <f>'Neo-K2'!V$42</f>
        <v>0.21433745159046053</v>
      </c>
      <c r="M65" s="129">
        <f>'Neo-K2'!X$42</f>
        <v>0.25375007114295245</v>
      </c>
      <c r="N65" s="129">
        <f>'Neo-K2'!Z$42</f>
        <v>0.30064326937860048</v>
      </c>
      <c r="O65" s="129">
        <f>'Neo-K2'!AB$42</f>
        <v>0.35496479286146759</v>
      </c>
      <c r="P65" s="129">
        <f>'Neo-K2'!AD$42</f>
        <v>0.41579455819683303</v>
      </c>
      <c r="Q65" s="129">
        <f>'Neo-K2'!AF$42</f>
        <v>0.48143367511313484</v>
      </c>
      <c r="R65" s="129">
        <f>'Neo-K2'!AH$42</f>
        <v>0.55026532473635603</v>
      </c>
      <c r="S65" s="129">
        <f>'Neo-K2'!AJ$42</f>
        <v>0.62269374909897746</v>
      </c>
      <c r="T65" s="129">
        <f>'Neo-K2'!AL$42</f>
        <v>0.70369239025212282</v>
      </c>
      <c r="U65" s="129">
        <f>'Neo-K2'!AN$42</f>
        <v>0.80719705289418875</v>
      </c>
      <c r="V65" s="129">
        <f>'Neo-K2'!AP$42</f>
        <v>0.83352931640168038</v>
      </c>
      <c r="W65" s="129">
        <f>'Neo-K2'!AR$42</f>
        <v>0.86315916733982312</v>
      </c>
      <c r="X65" s="129">
        <f>'Neo-K2'!AT$42</f>
        <v>0.89743200654677291</v>
      </c>
      <c r="Y65" s="129">
        <f>'Neo-K2'!AV$42</f>
        <v>0.93907566303874601</v>
      </c>
    </row>
    <row r="68" spans="1:25" ht="10.5" x14ac:dyDescent="0.25">
      <c r="A68" s="92" t="s">
        <v>185</v>
      </c>
      <c r="B68" s="202">
        <v>0</v>
      </c>
      <c r="C68" s="202">
        <v>0.05</v>
      </c>
      <c r="D68" s="202">
        <v>0.1</v>
      </c>
      <c r="E68" s="202">
        <v>0.15000000000000002</v>
      </c>
      <c r="F68" s="202">
        <v>0.2</v>
      </c>
      <c r="G68" s="202">
        <v>0.25</v>
      </c>
      <c r="H68" s="202">
        <v>0.3</v>
      </c>
      <c r="I68" s="202">
        <v>0.35</v>
      </c>
      <c r="J68" s="202">
        <v>0.39999999999999997</v>
      </c>
      <c r="K68" s="202">
        <v>0.44999999999999996</v>
      </c>
      <c r="L68" s="202">
        <v>0.49999999999999994</v>
      </c>
      <c r="M68" s="202">
        <v>0.54999999999999993</v>
      </c>
      <c r="N68" s="202">
        <v>0.6</v>
      </c>
      <c r="O68" s="202">
        <v>0.65</v>
      </c>
      <c r="P68" s="204"/>
    </row>
    <row r="69" spans="1:25" x14ac:dyDescent="0.2">
      <c r="A69" t="s">
        <v>12</v>
      </c>
      <c r="B69" s="27">
        <f>HLOOKUP(B$68,Results!$A$1:$AW$39,MATCH('Diagnosis Indicators'!$A69,Results!$A$1:$A$39,0),FALSE)</f>
        <v>1000</v>
      </c>
      <c r="C69" s="27">
        <f>HLOOKUP(C$68,Results!$A$1:$AW$39,MATCH('Diagnosis Indicators'!$A69,Results!$A$1:$A$39,0),FALSE)</f>
        <v>997.59754563409228</v>
      </c>
      <c r="D69" s="27">
        <f>HLOOKUP(D$68,Results!$A$1:$AW$39,MATCH('Diagnosis Indicators'!$A69,Results!$A$1:$A$39,0),FALSE)</f>
        <v>995.45126981783847</v>
      </c>
      <c r="E69" s="27">
        <f>HLOOKUP(E$68,Results!$A$1:$AW$39,MATCH('Diagnosis Indicators'!$A69,Results!$A$1:$A$39,0),FALSE)</f>
        <v>993.64647665736652</v>
      </c>
      <c r="F69" s="27">
        <f>HLOOKUP(F$68,Results!$A$1:$AW$39,MATCH('Diagnosis Indicators'!$A69,Results!$A$1:$A$39,0),FALSE)</f>
        <v>992.30149051227443</v>
      </c>
      <c r="G69" s="27">
        <f>HLOOKUP(G$68,Results!$A$1:$AW$39,MATCH('Diagnosis Indicators'!$A69,Results!$A$1:$A$39,0),FALSE)</f>
        <v>991.58254520186642</v>
      </c>
      <c r="H69" s="27">
        <f>HLOOKUP(H$68,Results!$A$1:$AW$39,MATCH('Diagnosis Indicators'!$A69,Results!$A$1:$A$39,0),FALSE)</f>
        <v>991.72618716738191</v>
      </c>
      <c r="I69" s="27">
        <f>HLOOKUP(I$68,Results!$A$1:$AW$39,MATCH('Diagnosis Indicators'!$A69,Results!$A$1:$A$39,0),FALSE)</f>
        <v>993.07059847772018</v>
      </c>
      <c r="J69" s="27">
        <f>HLOOKUP(J$68,Results!$A$1:$AW$39,MATCH('Diagnosis Indicators'!$A69,Results!$A$1:$A$39,0),FALSE)</f>
        <v>996.10455290275308</v>
      </c>
      <c r="K69" s="27">
        <f>HLOOKUP(K$68,Results!$A$1:$AW$39,MATCH('Diagnosis Indicators'!$A69,Results!$A$1:$A$39,0),FALSE)</f>
        <v>1001.540505713272</v>
      </c>
      <c r="L69" s="27">
        <f>HLOOKUP(L$68,Results!$A$1:$AW$39,MATCH('Diagnosis Indicators'!$A69,Results!$A$1:$A$39,0),FALSE)</f>
        <v>1010.4292003122118</v>
      </c>
      <c r="M69" s="27">
        <f>HLOOKUP(M$68,Results!$A$1:$AW$39,MATCH('Diagnosis Indicators'!$A69,Results!$A$1:$A$39,0),FALSE)</f>
        <v>1024.3435376198488</v>
      </c>
      <c r="N69" s="27">
        <f>HLOOKUP(N$68,Results!$A$1:$AW$39,MATCH('Diagnosis Indicators'!$A69,Results!$A$1:$A$39,0),FALSE)</f>
        <v>1045.6893985721445</v>
      </c>
      <c r="O69" s="27">
        <f>HLOOKUP(O$68,Results!$A$1:$AW$39,MATCH('Diagnosis Indicators'!$A69,Results!$A$1:$A$39,0),FALSE)</f>
        <v>1078.2581965252034</v>
      </c>
    </row>
    <row r="70" spans="1:25" x14ac:dyDescent="0.2">
      <c r="A70" t="s">
        <v>115</v>
      </c>
      <c r="B70" s="27">
        <f>HLOOKUP(B$68,Results!$A$1:$AW$39,MATCH('Diagnosis Indicators'!$A70,Results!$A$1:$A$39,0),FALSE)</f>
        <v>1000</v>
      </c>
      <c r="C70" s="27">
        <f>HLOOKUP(C$68,Results!$A$1:$AW$39,MATCH('Diagnosis Indicators'!$A70,Results!$A$1:$A$39,0),FALSE)</f>
        <v>997.47784836292192</v>
      </c>
      <c r="D70" s="27">
        <f>HLOOKUP(D$68,Results!$A$1:$AW$39,MATCH('Diagnosis Indicators'!$A70,Results!$A$1:$A$39,0),FALSE)</f>
        <v>995.22247051396346</v>
      </c>
      <c r="E70" s="27">
        <f>HLOOKUP(E$68,Results!$A$1:$AW$39,MATCH('Diagnosis Indicators'!$A70,Results!$A$1:$A$39,0),FALSE)</f>
        <v>993.32434221086544</v>
      </c>
      <c r="F70" s="27">
        <f>HLOOKUP(F$68,Results!$A$1:$AW$39,MATCH('Diagnosis Indicators'!$A70,Results!$A$1:$A$39,0),FALSE)</f>
        <v>991.90884848303858</v>
      </c>
      <c r="G70" s="27">
        <f>HLOOKUP(G$68,Results!$A$1:$AW$39,MATCH('Diagnosis Indicators'!$A70,Results!$A$1:$A$39,0),FALSE)</f>
        <v>991.15187859207902</v>
      </c>
      <c r="H70" s="27">
        <f>HLOOKUP(H$68,Results!$A$1:$AW$39,MATCH('Diagnosis Indicators'!$A70,Results!$A$1:$A$39,0),FALSE)</f>
        <v>991.30313606065636</v>
      </c>
      <c r="I70" s="27">
        <f>HLOOKUP(I$68,Results!$A$1:$AW$39,MATCH('Diagnosis Indicators'!$A70,Results!$A$1:$A$39,0),FALSE)</f>
        <v>992.7183741587711</v>
      </c>
      <c r="J70" s="27">
        <f>HLOOKUP(J$68,Results!$A$1:$AW$39,MATCH('Diagnosis Indicators'!$A70,Results!$A$1:$A$39,0),FALSE)</f>
        <v>995.90917801208366</v>
      </c>
      <c r="K70" s="27">
        <f>HLOOKUP(K$68,Results!$A$1:$AW$39,MATCH('Diagnosis Indicators'!$A70,Results!$A$1:$A$39,0),FALSE)</f>
        <v>1001.615920279529</v>
      </c>
      <c r="L70" s="27">
        <f>HLOOKUP(L$68,Results!$A$1:$AW$39,MATCH('Diagnosis Indicators'!$A70,Results!$A$1:$A$39,0),FALSE)</f>
        <v>1010.9196101392245</v>
      </c>
      <c r="M70" s="27">
        <f>HLOOKUP(M$68,Results!$A$1:$AW$39,MATCH('Diagnosis Indicators'!$A70,Results!$A$1:$A$39,0),FALSE)</f>
        <v>1025.4163706720478</v>
      </c>
      <c r="N70" s="27">
        <f>HLOOKUP(N$68,Results!$A$1:$AW$39,MATCH('Diagnosis Indicators'!$A70,Results!$A$1:$A$39,0),FALSE)</f>
        <v>1047.5033396403232</v>
      </c>
      <c r="O70" s="27">
        <f>HLOOKUP(O$68,Results!$A$1:$AW$39,MATCH('Diagnosis Indicators'!$A70,Results!$A$1:$A$39,0),FALSE)</f>
        <v>1080.8700483056434</v>
      </c>
    </row>
    <row r="71" spans="1:25" x14ac:dyDescent="0.2">
      <c r="A71" t="s">
        <v>17</v>
      </c>
      <c r="B71" s="27">
        <f>HLOOKUP(B$68,Results!$A$1:$AW$39,MATCH('Diagnosis Indicators'!$A71,Results!$A$1:$A$39,0),FALSE)</f>
        <v>1000</v>
      </c>
      <c r="C71" s="27">
        <f>HLOOKUP(C$68,Results!$A$1:$AW$39,MATCH('Diagnosis Indicators'!$A71,Results!$A$1:$A$39,0),FALSE)</f>
        <v>992.43638407525214</v>
      </c>
      <c r="D71" s="27">
        <f>HLOOKUP(D$68,Results!$A$1:$AW$39,MATCH('Diagnosis Indicators'!$A71,Results!$A$1:$A$39,0),FALSE)</f>
        <v>984.76754790553389</v>
      </c>
      <c r="E71" s="27">
        <f>HLOOKUP(E$68,Results!$A$1:$AW$39,MATCH('Diagnosis Indicators'!$A71,Results!$A$1:$A$39,0),FALSE)</f>
        <v>977.04564641368233</v>
      </c>
      <c r="F71" s="27">
        <f>HLOOKUP(F$68,Results!$A$1:$AW$39,MATCH('Diagnosis Indicators'!$A71,Results!$A$1:$A$39,0),FALSE)</f>
        <v>969.35381486929248</v>
      </c>
      <c r="G71" s="27">
        <f>HLOOKUP(G$68,Results!$A$1:$AW$39,MATCH('Diagnosis Indicators'!$A71,Results!$A$1:$A$39,0),FALSE)</f>
        <v>961.82150105833512</v>
      </c>
      <c r="H71" s="27">
        <f>HLOOKUP(H$68,Results!$A$1:$AW$39,MATCH('Diagnosis Indicators'!$A71,Results!$A$1:$A$39,0),FALSE)</f>
        <v>954.64740620592636</v>
      </c>
      <c r="I71" s="27">
        <f>HLOOKUP(I$68,Results!$A$1:$AW$39,MATCH('Diagnosis Indicators'!$A71,Results!$A$1:$A$39,0),FALSE)</f>
        <v>948.13077759411124</v>
      </c>
      <c r="J71" s="27">
        <f>HLOOKUP(J$68,Results!$A$1:$AW$39,MATCH('Diagnosis Indicators'!$A71,Results!$A$1:$A$39,0),FALSE)</f>
        <v>942.71967000798156</v>
      </c>
      <c r="K71" s="27">
        <f>HLOOKUP(K$68,Results!$A$1:$AW$39,MATCH('Diagnosis Indicators'!$A71,Results!$A$1:$A$39,0),FALSE)</f>
        <v>939.0805642690791</v>
      </c>
      <c r="L71" s="27">
        <f>HLOOKUP(L$68,Results!$A$1:$AW$39,MATCH('Diagnosis Indicators'!$A71,Results!$A$1:$A$39,0),FALSE)</f>
        <v>938.20457367794643</v>
      </c>
      <c r="M71" s="27">
        <f>HLOOKUP(M$68,Results!$A$1:$AW$39,MATCH('Diagnosis Indicators'!$A71,Results!$A$1:$A$39,0),FALSE)</f>
        <v>941.57347468126716</v>
      </c>
      <c r="N71" s="27">
        <f>HLOOKUP(N$68,Results!$A$1:$AW$39,MATCH('Diagnosis Indicators'!$A71,Results!$A$1:$A$39,0),FALSE)</f>
        <v>951.43894393953394</v>
      </c>
      <c r="O71" s="27">
        <f>HLOOKUP(O$68,Results!$A$1:$AW$39,MATCH('Diagnosis Indicators'!$A71,Results!$A$1:$A$39,0),FALSE)</f>
        <v>971.32537010417502</v>
      </c>
    </row>
    <row r="72" spans="1:25" x14ac:dyDescent="0.2">
      <c r="A72" t="s">
        <v>18</v>
      </c>
      <c r="B72" s="27">
        <f>HLOOKUP(B$68,Results!$A$1:$AW$39,MATCH('Diagnosis Indicators'!$A72,Results!$A$1:$A$39,0),FALSE)</f>
        <v>1000</v>
      </c>
      <c r="C72" s="27">
        <f>HLOOKUP(C$68,Results!$A$1:$AW$39,MATCH('Diagnosis Indicators'!$A72,Results!$A$1:$A$39,0),FALSE)</f>
        <v>997.47784836292192</v>
      </c>
      <c r="D72" s="27">
        <f>HLOOKUP(D$68,Results!$A$1:$AW$39,MATCH('Diagnosis Indicators'!$A72,Results!$A$1:$A$39,0),FALSE)</f>
        <v>995.22247051396346</v>
      </c>
      <c r="E72" s="27">
        <f>HLOOKUP(E$68,Results!$A$1:$AW$39,MATCH('Diagnosis Indicators'!$A72,Results!$A$1:$A$39,0),FALSE)</f>
        <v>993.32434221086544</v>
      </c>
      <c r="F72" s="27">
        <f>HLOOKUP(F$68,Results!$A$1:$AW$39,MATCH('Diagnosis Indicators'!$A72,Results!$A$1:$A$39,0),FALSE)</f>
        <v>991.90884848303858</v>
      </c>
      <c r="G72" s="27">
        <f>HLOOKUP(G$68,Results!$A$1:$AW$39,MATCH('Diagnosis Indicators'!$A72,Results!$A$1:$A$39,0),FALSE)</f>
        <v>991.15187859207902</v>
      </c>
      <c r="H72" s="27">
        <f>HLOOKUP(H$68,Results!$A$1:$AW$39,MATCH('Diagnosis Indicators'!$A72,Results!$A$1:$A$39,0),FALSE)</f>
        <v>991.30313606065636</v>
      </c>
      <c r="I72" s="27">
        <f>HLOOKUP(I$68,Results!$A$1:$AW$39,MATCH('Diagnosis Indicators'!$A72,Results!$A$1:$A$39,0),FALSE)</f>
        <v>992.7183741587711</v>
      </c>
      <c r="J72" s="27">
        <f>HLOOKUP(J$68,Results!$A$1:$AW$39,MATCH('Diagnosis Indicators'!$A72,Results!$A$1:$A$39,0),FALSE)</f>
        <v>995.90917801208366</v>
      </c>
      <c r="K72" s="27">
        <f>HLOOKUP(K$68,Results!$A$1:$AW$39,MATCH('Diagnosis Indicators'!$A72,Results!$A$1:$A$39,0),FALSE)</f>
        <v>1001.615920279529</v>
      </c>
      <c r="L72" s="27">
        <f>HLOOKUP(L$68,Results!$A$1:$AW$39,MATCH('Diagnosis Indicators'!$A72,Results!$A$1:$A$39,0),FALSE)</f>
        <v>1010.9196101392245</v>
      </c>
      <c r="M72" s="27">
        <f>HLOOKUP(M$68,Results!$A$1:$AW$39,MATCH('Diagnosis Indicators'!$A72,Results!$A$1:$A$39,0),FALSE)</f>
        <v>1025.4163706720478</v>
      </c>
      <c r="N72" s="27">
        <f>HLOOKUP(N$68,Results!$A$1:$AW$39,MATCH('Diagnosis Indicators'!$A72,Results!$A$1:$A$39,0),FALSE)</f>
        <v>1047.5033396403232</v>
      </c>
      <c r="O72" s="27">
        <f>HLOOKUP(O$68,Results!$A$1:$AW$39,MATCH('Diagnosis Indicators'!$A72,Results!$A$1:$A$39,0),FALSE)</f>
        <v>1080.8700483056434</v>
      </c>
    </row>
    <row r="73" spans="1:25" x14ac:dyDescent="0.2">
      <c r="A73" t="s">
        <v>61</v>
      </c>
      <c r="B73" s="27">
        <f>HLOOKUP(B$68,Results!$A$1:$AW$39,MATCH('Diagnosis Indicators'!$A73,Results!$A$1:$A$39,0),FALSE)</f>
        <v>1000</v>
      </c>
      <c r="C73" s="27">
        <f>HLOOKUP(C$68,Results!$A$1:$AW$39,MATCH('Diagnosis Indicators'!$A73,Results!$A$1:$A$39,0),FALSE)</f>
        <v>994.78899997550013</v>
      </c>
      <c r="D73" s="27">
        <f>HLOOKUP(D$68,Results!$A$1:$AW$39,MATCH('Diagnosis Indicators'!$A73,Results!$A$1:$A$39,0),FALSE)</f>
        <v>989.64422715336354</v>
      </c>
      <c r="E73" s="27">
        <f>HLOOKUP(E$68,Results!$A$1:$AW$39,MATCH('Diagnosis Indicators'!$A73,Results!$A$1:$A$39,0),FALSE)</f>
        <v>984.63518925388234</v>
      </c>
      <c r="F73" s="27">
        <f>HLOOKUP(F$68,Results!$A$1:$AW$39,MATCH('Diagnosis Indicators'!$A73,Results!$A$1:$A$39,0),FALSE)</f>
        <v>979.86409090086238</v>
      </c>
      <c r="G73" s="27">
        <f>HLOOKUP(G$68,Results!$A$1:$AW$39,MATCH('Diagnosis Indicators'!$A73,Results!$A$1:$A$39,0),FALSE)</f>
        <v>975.48126850319284</v>
      </c>
      <c r="H73" s="27">
        <f>HLOOKUP(H$68,Results!$A$1:$AW$39,MATCH('Diagnosis Indicators'!$A73,Results!$A$1:$A$39,0),FALSE)</f>
        <v>971.70828569083108</v>
      </c>
      <c r="I73" s="27">
        <f>HLOOKUP(I$68,Results!$A$1:$AW$39,MATCH('Diagnosis Indicators'!$A73,Results!$A$1:$A$39,0),FALSE)</f>
        <v>968.86964913034114</v>
      </c>
      <c r="J73" s="27">
        <f>HLOOKUP(J$68,Results!$A$1:$AW$39,MATCH('Diagnosis Indicators'!$A73,Results!$A$1:$A$39,0),FALSE)</f>
        <v>967.44177555028216</v>
      </c>
      <c r="K73" s="27">
        <f>HLOOKUP(K$68,Results!$A$1:$AW$39,MATCH('Diagnosis Indicators'!$A73,Results!$A$1:$A$39,0),FALSE)</f>
        <v>968.12417755836645</v>
      </c>
      <c r="L73" s="27">
        <f>HLOOKUP(L$68,Results!$A$1:$AW$39,MATCH('Diagnosis Indicators'!$A73,Results!$A$1:$A$39,0),FALSE)</f>
        <v>971.94834704987602</v>
      </c>
      <c r="M73" s="27">
        <f>HLOOKUP(M$68,Results!$A$1:$AW$39,MATCH('Diagnosis Indicators'!$A73,Results!$A$1:$A$39,0),FALSE)</f>
        <v>980.44783005976103</v>
      </c>
      <c r="N73" s="27">
        <f>HLOOKUP(N$68,Results!$A$1:$AW$39,MATCH('Diagnosis Indicators'!$A73,Results!$A$1:$A$39,0),FALSE)</f>
        <v>995.94082956830073</v>
      </c>
      <c r="O73" s="27">
        <f>HLOOKUP(O$68,Results!$A$1:$AW$39,MATCH('Diagnosis Indicators'!$A73,Results!$A$1:$A$39,0),FALSE)</f>
        <v>1022.028359110677</v>
      </c>
    </row>
    <row r="74" spans="1:25" x14ac:dyDescent="0.2">
      <c r="A74" t="s">
        <v>114</v>
      </c>
      <c r="B74" s="27">
        <f>HLOOKUP(B$68,Results!$A$1:$AW$39,MATCH('Diagnosis Indicators'!$A74,Results!$A$1:$A$39,0),FALSE)</f>
        <v>26548.356269999993</v>
      </c>
      <c r="C74" s="27">
        <f>HLOOKUP(C$68,Results!$A$1:$AW$39,MATCH('Diagnosis Indicators'!$A74,Results!$A$1:$A$39,0),FALSE)</f>
        <v>26331.455457605603</v>
      </c>
      <c r="D74" s="27">
        <f>HLOOKUP(D$68,Results!$A$1:$AW$39,MATCH('Diagnosis Indicators'!$A74,Results!$A$1:$A$39,0),FALSE)</f>
        <v>26084.407153379016</v>
      </c>
      <c r="E74" s="27">
        <f>HLOOKUP(E$68,Results!$A$1:$AW$39,MATCH('Diagnosis Indicators'!$A74,Results!$A$1:$A$39,0),FALSE)</f>
        <v>25800.780179461675</v>
      </c>
      <c r="F74" s="27">
        <f>HLOOKUP(F$68,Results!$A$1:$AW$39,MATCH('Diagnosis Indicators'!$A74,Results!$A$1:$A$39,0),FALSE)</f>
        <v>25472.538170724201</v>
      </c>
      <c r="G74" s="27">
        <f>HLOOKUP(G$68,Results!$A$1:$AW$39,MATCH('Diagnosis Indicators'!$A74,Results!$A$1:$A$39,0),FALSE)</f>
        <v>25089.635148560166</v>
      </c>
      <c r="H74" s="27">
        <f>HLOOKUP(H$68,Results!$A$1:$AW$39,MATCH('Diagnosis Indicators'!$A74,Results!$A$1:$A$39,0),FALSE)</f>
        <v>24639.583752626673</v>
      </c>
      <c r="I74" s="27">
        <f>HLOOKUP(I$68,Results!$A$1:$AW$39,MATCH('Diagnosis Indicators'!$A74,Results!$A$1:$A$39,0),FALSE)</f>
        <v>24107.199079849957</v>
      </c>
      <c r="J74" s="27">
        <f>HLOOKUP(J$68,Results!$A$1:$AW$39,MATCH('Diagnosis Indicators'!$A74,Results!$A$1:$A$39,0),FALSE)</f>
        <v>23474.582823525248</v>
      </c>
      <c r="K74" s="27">
        <f>HLOOKUP(K$68,Results!$A$1:$AW$39,MATCH('Diagnosis Indicators'!$A74,Results!$A$1:$A$39,0),FALSE)</f>
        <v>22721.822618109461</v>
      </c>
      <c r="L74" s="27">
        <f>HLOOKUP(L$68,Results!$A$1:$AW$39,MATCH('Diagnosis Indicators'!$A74,Results!$A$1:$A$39,0),FALSE)</f>
        <v>21828.877031429889</v>
      </c>
      <c r="M74" s="27">
        <f>HLOOKUP(M$68,Results!$A$1:$AW$39,MATCH('Diagnosis Indicators'!$A74,Results!$A$1:$A$39,0),FALSE)</f>
        <v>20779.216639750579</v>
      </c>
      <c r="N74" s="27">
        <f>HLOOKUP(N$68,Results!$A$1:$AW$39,MATCH('Diagnosis Indicators'!$A74,Results!$A$1:$A$39,0),FALSE)</f>
        <v>19565.430800016868</v>
      </c>
      <c r="O74" s="27">
        <f>HLOOKUP(O$68,Results!$A$1:$AW$39,MATCH('Diagnosis Indicators'!$A74,Results!$A$1:$A$39,0),FALSE)</f>
        <v>18196.063890821606</v>
      </c>
    </row>
    <row r="75" spans="1:25" x14ac:dyDescent="0.2">
      <c r="A75" t="s">
        <v>8</v>
      </c>
      <c r="B75" s="27">
        <f>HLOOKUP(B$68,Results!$A$1:$AW$39,MATCH('Diagnosis Indicators'!$A75,Results!$A$1:$A$39,0),FALSE)</f>
        <v>3196.3846373657216</v>
      </c>
      <c r="C75" s="27">
        <f>HLOOKUP(C$68,Results!$A$1:$AW$39,MATCH('Diagnosis Indicators'!$A75,Results!$A$1:$A$39,0),FALSE)</f>
        <v>3196.3846373657216</v>
      </c>
      <c r="D75" s="27">
        <f>HLOOKUP(D$68,Results!$A$1:$AW$39,MATCH('Diagnosis Indicators'!$A75,Results!$A$1:$A$39,0),FALSE)</f>
        <v>3196.3846373657216</v>
      </c>
      <c r="E75" s="27">
        <f>HLOOKUP(E$68,Results!$A$1:$AW$39,MATCH('Diagnosis Indicators'!$A75,Results!$A$1:$A$39,0),FALSE)</f>
        <v>3196.3846373657216</v>
      </c>
      <c r="F75" s="27">
        <f>HLOOKUP(F$68,Results!$A$1:$AW$39,MATCH('Diagnosis Indicators'!$A75,Results!$A$1:$A$39,0),FALSE)</f>
        <v>3196.3846373657216</v>
      </c>
      <c r="G75" s="27">
        <f>HLOOKUP(G$68,Results!$A$1:$AW$39,MATCH('Diagnosis Indicators'!$A75,Results!$A$1:$A$39,0),FALSE)</f>
        <v>3196.3846373657216</v>
      </c>
      <c r="H75" s="27">
        <f>HLOOKUP(H$68,Results!$A$1:$AW$39,MATCH('Diagnosis Indicators'!$A75,Results!$A$1:$A$39,0),FALSE)</f>
        <v>3196.3846373657216</v>
      </c>
      <c r="I75" s="27">
        <f>HLOOKUP(I$68,Results!$A$1:$AW$39,MATCH('Diagnosis Indicators'!$A75,Results!$A$1:$A$39,0),FALSE)</f>
        <v>3196.3846373657216</v>
      </c>
      <c r="J75" s="27">
        <f>HLOOKUP(J$68,Results!$A$1:$AW$39,MATCH('Diagnosis Indicators'!$A75,Results!$A$1:$A$39,0),FALSE)</f>
        <v>3196.3846373657216</v>
      </c>
      <c r="K75" s="27">
        <f>HLOOKUP(K$68,Results!$A$1:$AW$39,MATCH('Diagnosis Indicators'!$A75,Results!$A$1:$A$39,0),FALSE)</f>
        <v>3196.3846373657216</v>
      </c>
      <c r="L75" s="27">
        <f>HLOOKUP(L$68,Results!$A$1:$AW$39,MATCH('Diagnosis Indicators'!$A75,Results!$A$1:$A$39,0),FALSE)</f>
        <v>3196.3846373657216</v>
      </c>
      <c r="M75" s="27">
        <f>HLOOKUP(M$68,Results!$A$1:$AW$39,MATCH('Diagnosis Indicators'!$A75,Results!$A$1:$A$39,0),FALSE)</f>
        <v>3196.3846373657216</v>
      </c>
      <c r="N75" s="27">
        <f>HLOOKUP(N$68,Results!$A$1:$AW$39,MATCH('Diagnosis Indicators'!$A75,Results!$A$1:$A$39,0),FALSE)</f>
        <v>3196.3846373657216</v>
      </c>
      <c r="O75" s="27">
        <f>HLOOKUP(O$68,Results!$A$1:$AW$39,MATCH('Diagnosis Indicators'!$A75,Results!$A$1:$A$39,0),FALSE)</f>
        <v>3196.3846373657216</v>
      </c>
    </row>
    <row r="76" spans="1:25" x14ac:dyDescent="0.2">
      <c r="A76" t="s">
        <v>64</v>
      </c>
      <c r="B76" s="27">
        <f>HLOOKUP(B$68,Results!$A$1:$AW$39,MATCH('Diagnosis Indicators'!$A76,Results!$A$1:$A$39,0),FALSE)</f>
        <v>14734457.915000005</v>
      </c>
      <c r="C76" s="27">
        <f>HLOOKUP(C$68,Results!$A$1:$AW$39,MATCH('Diagnosis Indicators'!$A76,Results!$A$1:$A$39,0),FALSE)</f>
        <v>14613956.942184856</v>
      </c>
      <c r="D76" s="27">
        <f>HLOOKUP(D$68,Results!$A$1:$AW$39,MATCH('Diagnosis Indicators'!$A76,Results!$A$1:$A$39,0),FALSE)</f>
        <v>14479242.650375172</v>
      </c>
      <c r="E76" s="27">
        <f>HLOOKUP(E$68,Results!$A$1:$AW$39,MATCH('Diagnosis Indicators'!$A76,Results!$A$1:$A$39,0),FALSE)</f>
        <v>14327343.246401479</v>
      </c>
      <c r="F76" s="27">
        <f>HLOOKUP(F$68,Results!$A$1:$AW$39,MATCH('Diagnosis Indicators'!$A76,Results!$A$1:$A$39,0),FALSE)</f>
        <v>14154584.680522867</v>
      </c>
      <c r="G76" s="27">
        <f>HLOOKUP(G$68,Results!$A$1:$AW$39,MATCH('Diagnosis Indicators'!$A76,Results!$A$1:$A$39,0),FALSE)</f>
        <v>13956438.571689451</v>
      </c>
      <c r="H76" s="27">
        <f>HLOOKUP(H$68,Results!$A$1:$AW$39,MATCH('Diagnosis Indicators'!$A76,Results!$A$1:$A$39,0),FALSE)</f>
        <v>13727383.055919202</v>
      </c>
      <c r="I76" s="27">
        <f>HLOOKUP(I$68,Results!$A$1:$AW$39,MATCH('Diagnosis Indicators'!$A76,Results!$A$1:$A$39,0),FALSE)</f>
        <v>13460888.364433512</v>
      </c>
      <c r="J76" s="27">
        <f>HLOOKUP(J$68,Results!$A$1:$AW$39,MATCH('Diagnosis Indicators'!$A76,Results!$A$1:$A$39,0),FALSE)</f>
        <v>13149590.296974339</v>
      </c>
      <c r="K76" s="27">
        <f>HLOOKUP(K$68,Results!$A$1:$AW$39,MATCH('Diagnosis Indicators'!$A76,Results!$A$1:$A$39,0),FALSE)</f>
        <v>12785921.444499493</v>
      </c>
      <c r="L76" s="27">
        <f>HLOOKUP(L$68,Results!$A$1:$AW$39,MATCH('Diagnosis Indicators'!$A76,Results!$A$1:$A$39,0),FALSE)</f>
        <v>12363511.405365529</v>
      </c>
      <c r="M76" s="27">
        <f>HLOOKUP(M$68,Results!$A$1:$AW$39,MATCH('Diagnosis Indicators'!$A76,Results!$A$1:$A$39,0),FALSE)</f>
        <v>11879755.373328023</v>
      </c>
      <c r="N76" s="27">
        <f>HLOOKUP(N$68,Results!$A$1:$AW$39,MATCH('Diagnosis Indicators'!$A76,Results!$A$1:$A$39,0),FALSE)</f>
        <v>11339880.935874319</v>
      </c>
      <c r="O76" s="27">
        <f>HLOOKUP(O$68,Results!$A$1:$AW$39,MATCH('Diagnosis Indicators'!$A76,Results!$A$1:$A$39,0),FALSE)</f>
        <v>10762539.207006194</v>
      </c>
    </row>
    <row r="77" spans="1:25" x14ac:dyDescent="0.2">
      <c r="A77" t="s">
        <v>27</v>
      </c>
      <c r="B77" s="27">
        <f>HLOOKUP(B$68,Results!$A$1:$AW$39,MATCH('Diagnosis Indicators'!$A77,Results!$A$1:$A$39,0),FALSE)</f>
        <v>5036.2953101960647</v>
      </c>
      <c r="C77" s="27">
        <f>HLOOKUP(C$68,Results!$A$1:$AW$39,MATCH('Diagnosis Indicators'!$A77,Results!$A$1:$A$39,0),FALSE)</f>
        <v>5010.7038356409494</v>
      </c>
      <c r="D77" s="27">
        <f>HLOOKUP(D$68,Results!$A$1:$AW$39,MATCH('Diagnosis Indicators'!$A77,Results!$A$1:$A$39,0),FALSE)</f>
        <v>4979.4845523150634</v>
      </c>
      <c r="E77" s="27">
        <f>HLOOKUP(E$68,Results!$A$1:$AW$39,MATCH('Diagnosis Indicators'!$A77,Results!$A$1:$A$39,0),FALSE)</f>
        <v>4941.2300363716877</v>
      </c>
      <c r="F77" s="27">
        <f>HLOOKUP(F$68,Results!$A$1:$AW$39,MATCH('Diagnosis Indicators'!$A77,Results!$A$1:$A$39,0),FALSE)</f>
        <v>4894.1391653745177</v>
      </c>
      <c r="G77" s="27">
        <f>HLOOKUP(G$68,Results!$A$1:$AW$39,MATCH('Diagnosis Indicators'!$A77,Results!$A$1:$A$39,0),FALSE)</f>
        <v>4835.9049689908625</v>
      </c>
      <c r="H77" s="27">
        <f>HLOOKUP(H$68,Results!$A$1:$AW$39,MATCH('Diagnosis Indicators'!$A77,Results!$A$1:$A$39,0),FALSE)</f>
        <v>4763.5869520818851</v>
      </c>
      <c r="I77" s="27">
        <f>HLOOKUP(I$68,Results!$A$1:$AW$39,MATCH('Diagnosis Indicators'!$A77,Results!$A$1:$A$39,0),FALSE)</f>
        <v>4673.5144422453923</v>
      </c>
      <c r="J77" s="27">
        <f>HLOOKUP(J$68,Results!$A$1:$AW$39,MATCH('Diagnosis Indicators'!$A77,Results!$A$1:$A$39,0),FALSE)</f>
        <v>4561.2322499597904</v>
      </c>
      <c r="K77" s="27">
        <f>HLOOKUP(K$68,Results!$A$1:$AW$39,MATCH('Diagnosis Indicators'!$A77,Results!$A$1:$A$39,0),FALSE)</f>
        <v>4421.6041161102585</v>
      </c>
      <c r="L77" s="27">
        <f>HLOOKUP(L$68,Results!$A$1:$AW$39,MATCH('Diagnosis Indicators'!$A77,Results!$A$1:$A$39,0),FALSE)</f>
        <v>4249.1900242232841</v>
      </c>
      <c r="M77" s="27">
        <f>HLOOKUP(M$68,Results!$A$1:$AW$39,MATCH('Diagnosis Indicators'!$A77,Results!$A$1:$A$39,0),FALSE)</f>
        <v>4039.0496526849156</v>
      </c>
      <c r="N77" s="27">
        <f>HLOOKUP(N$68,Results!$A$1:$AW$39,MATCH('Diagnosis Indicators'!$A77,Results!$A$1:$A$39,0),FALSE)</f>
        <v>3788.0385633552451</v>
      </c>
      <c r="O77" s="27">
        <f>HLOOKUP(O$68,Results!$A$1:$AW$39,MATCH('Diagnosis Indicators'!$A77,Results!$A$1:$A$39,0),FALSE)</f>
        <v>3496.4344008562553</v>
      </c>
    </row>
    <row r="78" spans="1:25" x14ac:dyDescent="0.2">
      <c r="A78" t="s">
        <v>19</v>
      </c>
      <c r="B78" s="27">
        <f>HLOOKUP(B$68,Results!$A$1:$AW$39,MATCH('Diagnosis Indicators'!$A78,Results!$A$1:$A$39,0),FALSE)</f>
        <v>27857.010133999996</v>
      </c>
      <c r="C78" s="27">
        <f>HLOOKUP(C$68,Results!$A$1:$AW$39,MATCH('Diagnosis Indicators'!$A78,Results!$A$1:$A$39,0),FALSE)</f>
        <v>27657.38133303884</v>
      </c>
      <c r="D78" s="27">
        <f>HLOOKUP(D$68,Results!$A$1:$AW$39,MATCH('Diagnosis Indicators'!$A78,Results!$A$1:$A$39,0),FALSE)</f>
        <v>27422.825869005817</v>
      </c>
      <c r="E78" s="27">
        <f>HLOOKUP(E$68,Results!$A$1:$AW$39,MATCH('Diagnosis Indicators'!$A78,Results!$A$1:$A$39,0),FALSE)</f>
        <v>27145.519317634607</v>
      </c>
      <c r="F78" s="27">
        <f>HLOOKUP(F$68,Results!$A$1:$AW$39,MATCH('Diagnosis Indicators'!$A78,Results!$A$1:$A$39,0),FALSE)</f>
        <v>26815.607517647644</v>
      </c>
      <c r="G78" s="27">
        <f>HLOOKUP(G$68,Results!$A$1:$AW$39,MATCH('Diagnosis Indicators'!$A78,Results!$A$1:$A$39,0),FALSE)</f>
        <v>26420.671647850417</v>
      </c>
      <c r="H78" s="27">
        <f>HLOOKUP(H$68,Results!$A$1:$AW$39,MATCH('Diagnosis Indicators'!$A78,Results!$A$1:$A$39,0),FALSE)</f>
        <v>25945.142661103811</v>
      </c>
      <c r="I78" s="27">
        <f>HLOOKUP(I$68,Results!$A$1:$AW$39,MATCH('Diagnosis Indicators'!$A78,Results!$A$1:$A$39,0),FALSE)</f>
        <v>25369.916497596136</v>
      </c>
      <c r="J78" s="27">
        <f>HLOOKUP(J$68,Results!$A$1:$AW$39,MATCH('Diagnosis Indicators'!$A78,Results!$A$1:$A$39,0),FALSE)</f>
        <v>24672.242289827784</v>
      </c>
      <c r="K78" s="27">
        <f>HLOOKUP(K$68,Results!$A$1:$AW$39,MATCH('Diagnosis Indicators'!$A78,Results!$A$1:$A$39,0),FALSE)</f>
        <v>23826.480623780946</v>
      </c>
      <c r="L78" s="27">
        <f>HLOOKUP(L$68,Results!$A$1:$AW$39,MATCH('Diagnosis Indicators'!$A78,Results!$A$1:$A$39,0),FALSE)</f>
        <v>22806.320606420803</v>
      </c>
      <c r="M78" s="27">
        <f>HLOOKUP(M$68,Results!$A$1:$AW$39,MATCH('Diagnosis Indicators'!$A78,Results!$A$1:$A$39,0),FALSE)</f>
        <v>21589.186346126186</v>
      </c>
      <c r="N78" s="27">
        <f>HLOOKUP(N$68,Results!$A$1:$AW$39,MATCH('Diagnosis Indicators'!$A78,Results!$A$1:$A$39,0),FALSE)</f>
        <v>20163.098550605057</v>
      </c>
      <c r="O78" s="27">
        <f>HLOOKUP(O$68,Results!$A$1:$AW$39,MATCH('Diagnosis Indicators'!$A78,Results!$A$1:$A$39,0),FALSE)</f>
        <v>18535.050177287358</v>
      </c>
    </row>
  </sheetData>
  <conditionalFormatting sqref="B3:Y3 B25:Y30 B48:Y54 B6:Y10">
    <cfRule type="cellIs" dxfId="8" priority="18" operator="equal">
      <formula>0</formula>
    </cfRule>
  </conditionalFormatting>
  <conditionalFormatting sqref="B36:Y43">
    <cfRule type="containsErrors" dxfId="7" priority="14">
      <formula>ISERROR(B36)</formula>
    </cfRule>
    <cfRule type="containsErrors" priority="16">
      <formula>ISERROR(B36)</formula>
    </cfRule>
  </conditionalFormatting>
  <conditionalFormatting sqref="B47:Y47">
    <cfRule type="cellIs" dxfId="6" priority="10" operator="equal">
      <formula>0</formula>
    </cfRule>
  </conditionalFormatting>
  <conditionalFormatting sqref="B5:Y5 U4:Y4">
    <cfRule type="cellIs" dxfId="5" priority="8" operator="equal">
      <formula>0</formula>
    </cfRule>
  </conditionalFormatting>
  <conditionalFormatting sqref="B4:T4">
    <cfRule type="cellIs" dxfId="4" priority="7" operator="equal">
      <formula>0</formula>
    </cfRule>
  </conditionalFormatting>
  <conditionalFormatting sqref="B31:Y32">
    <cfRule type="cellIs" dxfId="3" priority="4" operator="equal">
      <formula>0</formula>
    </cfRule>
  </conditionalFormatting>
  <conditionalFormatting sqref="B20:Y21">
    <cfRule type="cellIs" dxfId="2" priority="3" operator="equal">
      <formula>0</formula>
    </cfRule>
  </conditionalFormatting>
  <conditionalFormatting sqref="B59:Y65">
    <cfRule type="cellIs" dxfId="1" priority="2" operator="equal">
      <formula>0</formula>
    </cfRule>
  </conditionalFormatting>
  <conditionalFormatting sqref="B58:Y58">
    <cfRule type="cellIs" dxfId="0" priority="1" operator="equal">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DB49C-5D02-42BE-A5A5-97F565950C87}">
  <dimension ref="A1:Y9"/>
  <sheetViews>
    <sheetView tabSelected="1" zoomScale="70" workbookViewId="0">
      <selection activeCell="P27" sqref="P27"/>
    </sheetView>
  </sheetViews>
  <sheetFormatPr baseColWidth="10" defaultRowHeight="10" x14ac:dyDescent="0.2"/>
  <sheetData>
    <row r="1" spans="1:25" x14ac:dyDescent="0.2">
      <c r="A1" t="s">
        <v>186</v>
      </c>
      <c r="B1" s="204">
        <f>'Diagnosis Indicators'!B2</f>
        <v>0</v>
      </c>
      <c r="C1" s="204">
        <f>'Diagnosis Indicators'!C2</f>
        <v>0.05</v>
      </c>
      <c r="D1" s="204">
        <f>'Diagnosis Indicators'!D2</f>
        <v>0.1</v>
      </c>
      <c r="E1" s="204">
        <f>'Diagnosis Indicators'!E2</f>
        <v>0.15000000000000002</v>
      </c>
      <c r="F1" s="204">
        <f>'Diagnosis Indicators'!F2</f>
        <v>0.2</v>
      </c>
      <c r="G1" s="204">
        <f>'Diagnosis Indicators'!G2</f>
        <v>0.25</v>
      </c>
      <c r="H1" s="204">
        <f>'Diagnosis Indicators'!H2</f>
        <v>0.3</v>
      </c>
      <c r="I1" s="204">
        <f>'Diagnosis Indicators'!I2</f>
        <v>0.35</v>
      </c>
      <c r="J1" s="204">
        <f>'Diagnosis Indicators'!J2</f>
        <v>0.39999999999999997</v>
      </c>
      <c r="K1" s="204">
        <f>'Diagnosis Indicators'!K2</f>
        <v>0.44999999999999996</v>
      </c>
      <c r="L1" s="204">
        <f>'Diagnosis Indicators'!L2</f>
        <v>0.49999999999999994</v>
      </c>
      <c r="M1" s="204">
        <f>'Diagnosis Indicators'!M2</f>
        <v>0.54999999999999993</v>
      </c>
      <c r="N1" s="204">
        <f>'Diagnosis Indicators'!N2</f>
        <v>0.6</v>
      </c>
      <c r="O1" s="204">
        <f>'Diagnosis Indicators'!O2</f>
        <v>0.65</v>
      </c>
      <c r="P1" s="204">
        <f>'Diagnosis Indicators'!P2</f>
        <v>0.70000000000000007</v>
      </c>
      <c r="Q1" s="204">
        <f>'Diagnosis Indicators'!Q2</f>
        <v>0.75000000000000011</v>
      </c>
      <c r="R1" s="204">
        <f>'Diagnosis Indicators'!R2</f>
        <v>0.80000000000000016</v>
      </c>
      <c r="S1" s="204">
        <f>'Diagnosis Indicators'!S2</f>
        <v>0.8500000000000002</v>
      </c>
      <c r="T1" s="204">
        <f>'Diagnosis Indicators'!T2</f>
        <v>0.90000000000000024</v>
      </c>
      <c r="U1" s="204">
        <f>'Diagnosis Indicators'!U2</f>
        <v>0.95000000000000029</v>
      </c>
      <c r="V1" s="204">
        <f>'Diagnosis Indicators'!V2</f>
        <v>0.9600000000000003</v>
      </c>
      <c r="W1" s="204">
        <f>'Diagnosis Indicators'!W2</f>
        <v>0.97000000000000031</v>
      </c>
      <c r="X1" s="204">
        <f>'Diagnosis Indicators'!X2</f>
        <v>0.98000000000000032</v>
      </c>
      <c r="Y1" s="204">
        <f>'Diagnosis Indicators'!Y2</f>
        <v>0.99000000000000032</v>
      </c>
    </row>
    <row r="2" spans="1:25" x14ac:dyDescent="0.2">
      <c r="A2" t="str">
        <f>'Diagnosis Indicators'!A3</f>
        <v>Neoclassical</v>
      </c>
      <c r="B2">
        <f>'Diagnosis Indicators'!B3</f>
        <v>1</v>
      </c>
      <c r="C2">
        <f>'Diagnosis Indicators'!C3</f>
        <v>0.99190801582956367</v>
      </c>
      <c r="D2">
        <f>'Diagnosis Indicators'!D3</f>
        <v>0.98310327976471679</v>
      </c>
      <c r="E2">
        <f>'Diagnosis Indicators'!E3</f>
        <v>0.97348207889665117</v>
      </c>
      <c r="F2">
        <f>'Diagnosis Indicators'!F3</f>
        <v>0.96291924132935047</v>
      </c>
      <c r="G2">
        <f>'Diagnosis Indicators'!G3</f>
        <v>0.95126147339577427</v>
      </c>
      <c r="H2">
        <f>'Diagnosis Indicators'!H3</f>
        <v>0.93831785113151878</v>
      </c>
      <c r="I2">
        <f>'Diagnosis Indicators'!I3</f>
        <v>0.92384551380225488</v>
      </c>
      <c r="J2">
        <f>'Diagnosis Indicators'!J3</f>
        <v>0.90752724774037274</v>
      </c>
      <c r="K2">
        <f>'Diagnosis Indicators'!K3</f>
        <v>0.8889367427581808</v>
      </c>
      <c r="L2">
        <f>'Diagnosis Indicators'!L3</f>
        <v>0.86748080847293274</v>
      </c>
      <c r="M2">
        <f>'Diagnosis Indicators'!M3</f>
        <v>0.84230296819433892</v>
      </c>
      <c r="N2">
        <f>'Diagnosis Indicators'!N3</f>
        <v>0.81212019877795139</v>
      </c>
      <c r="O2">
        <f>'Diagnosis Indicators'!O3</f>
        <v>0.77495155511477942</v>
      </c>
      <c r="P2">
        <f>'Diagnosis Indicators'!P3</f>
        <v>0.7277189342040995</v>
      </c>
      <c r="Q2">
        <f>'Diagnosis Indicators'!Q3</f>
        <v>0.66586984540464578</v>
      </c>
      <c r="R2">
        <f>'Diagnosis Indicators'!R3</f>
        <v>0.58358636742952541</v>
      </c>
      <c r="S2">
        <f>'Diagnosis Indicators'!S3</f>
        <v>0.47488525240136831</v>
      </c>
      <c r="T2">
        <f>'Diagnosis Indicators'!T3</f>
        <v>0.33432498439874764</v>
      </c>
      <c r="U2">
        <f>'Diagnosis Indicators'!U3</f>
        <v>0.15940789256407581</v>
      </c>
      <c r="V2">
        <f>'Diagnosis Indicators'!V3</f>
        <v>0.12139709984921597</v>
      </c>
      <c r="W2">
        <f>'Diagnosis Indicators'!W3</f>
        <v>8.3533823886445591E-2</v>
      </c>
      <c r="X2">
        <f>'Diagnosis Indicators'!X3</f>
        <v>4.7332992273538696E-2</v>
      </c>
      <c r="Y2">
        <f>'Diagnosis Indicators'!Y3</f>
        <v>1.6178038331674794E-2</v>
      </c>
    </row>
    <row r="3" spans="1:25" x14ac:dyDescent="0.2">
      <c r="A3" t="str">
        <f>'Diagnosis Indicators'!A4</f>
        <v>Kaldorian</v>
      </c>
      <c r="B3">
        <f>'Diagnosis Indicators'!B4</f>
        <v>1</v>
      </c>
      <c r="C3">
        <f>'Diagnosis Indicators'!C4</f>
        <v>0.99748996449048355</v>
      </c>
      <c r="D3">
        <f>'Diagnosis Indicators'!D4</f>
        <v>0.99441428748415184</v>
      </c>
      <c r="E3">
        <f>'Diagnosis Indicators'!E4</f>
        <v>0.99068410691584996</v>
      </c>
      <c r="F3">
        <f>'Diagnosis Indicators'!F4</f>
        <v>0.98619089939320714</v>
      </c>
      <c r="G3">
        <f>'Diagnosis Indicators'!G4</f>
        <v>0.98080051683576053</v>
      </c>
      <c r="H3">
        <f>'Diagnosis Indicators'!H4</f>
        <v>0.97434469618531472</v>
      </c>
      <c r="I3">
        <f>'Diagnosis Indicators'!I4</f>
        <v>0.96660793791024102</v>
      </c>
      <c r="J3">
        <f>'Diagnosis Indicators'!J4</f>
        <v>0.95730831274057671</v>
      </c>
      <c r="K3">
        <f>'Diagnosis Indicators'!K4</f>
        <v>0.94606578664855967</v>
      </c>
      <c r="L3">
        <f>'Diagnosis Indicators'!L4</f>
        <v>0.93235102219004717</v>
      </c>
      <c r="M3">
        <f>'Diagnosis Indicators'!M4</f>
        <v>0.91539631728132509</v>
      </c>
      <c r="N3">
        <f>'Diagnosis Indicators'!N4</f>
        <v>0.89403813165687118</v>
      </c>
      <c r="O3">
        <f>'Diagnosis Indicators'!O4</f>
        <v>0.86643243616338539</v>
      </c>
      <c r="P3">
        <f>'Diagnosis Indicators'!P4</f>
        <v>0.82956769923577567</v>
      </c>
      <c r="Q3">
        <f>'Diagnosis Indicators'!Q4</f>
        <v>0.77858639933746221</v>
      </c>
      <c r="R3">
        <f>'Diagnosis Indicators'!R4</f>
        <v>0.70627974814952499</v>
      </c>
    </row>
    <row r="4" spans="1:25" x14ac:dyDescent="0.2">
      <c r="A4" t="str">
        <f>'Diagnosis Indicators'!A5</f>
        <v>Johansen</v>
      </c>
      <c r="B4">
        <f>'Diagnosis Indicators'!B5</f>
        <v>1</v>
      </c>
      <c r="C4">
        <f>'Diagnosis Indicators'!C5</f>
        <v>0.99752005101011076</v>
      </c>
      <c r="D4">
        <f>'Diagnosis Indicators'!D5</f>
        <v>0.99447705105798068</v>
      </c>
      <c r="E4">
        <f>'Diagnosis Indicators'!E5</f>
        <v>0.99078256436660439</v>
      </c>
      <c r="F4">
        <f>'Diagnosis Indicators'!F5</f>
        <v>0.98632857005279218</v>
      </c>
      <c r="G4">
        <f>'Diagnosis Indicators'!G5</f>
        <v>0.98098143596255238</v>
      </c>
      <c r="H4">
        <f>'Diagnosis Indicators'!H5</f>
        <v>0.97457303586553778</v>
      </c>
      <c r="I4">
        <f>'Diagnosis Indicators'!I5</f>
        <v>0.96688803209173546</v>
      </c>
      <c r="J4">
        <f>'Diagnosis Indicators'!J5</f>
        <v>0.95764356713891308</v>
      </c>
      <c r="K4">
        <f>'Diagnosis Indicators'!K5</f>
        <v>0.94645803382309968</v>
      </c>
      <c r="L4">
        <f>'Diagnosis Indicators'!L5</f>
        <v>0.93279832795312589</v>
      </c>
      <c r="M4">
        <f>'Diagnosis Indicators'!M5</f>
        <v>0.91588993902686</v>
      </c>
      <c r="N4">
        <f>'Diagnosis Indicators'!N5</f>
        <v>0.8945568478865995</v>
      </c>
      <c r="O4">
        <f>'Diagnosis Indicators'!O5</f>
        <v>0.8669351932006083</v>
      </c>
      <c r="P4">
        <f>'Diagnosis Indicators'!P5</f>
        <v>0.82998884124997097</v>
      </c>
      <c r="Q4">
        <f>'Diagnosis Indicators'!Q5</f>
        <v>0.77885697022606259</v>
      </c>
      <c r="R4">
        <f>'Diagnosis Indicators'!R5</f>
        <v>0.70639227004512661</v>
      </c>
      <c r="S4">
        <f>'Diagnosis Indicators'!S5</f>
        <v>0.60308130832149043</v>
      </c>
      <c r="T4">
        <f>'Diagnosis Indicators'!T5</f>
        <v>0.45668851198303351</v>
      </c>
      <c r="U4">
        <f>'Diagnosis Indicators'!U5</f>
        <v>0.25361617975907741</v>
      </c>
      <c r="V4">
        <f>'Diagnosis Indicators'!V5</f>
        <v>0.20554820028685442</v>
      </c>
      <c r="W4">
        <f>'Diagnosis Indicators'!W5</f>
        <v>0.15527485717238443</v>
      </c>
      <c r="X4">
        <f>'Diagnosis Indicators'!X5</f>
        <v>0.10330767980110152</v>
      </c>
    </row>
    <row r="5" spans="1:25" x14ac:dyDescent="0.2">
      <c r="A5" t="str">
        <f>'Diagnosis Indicators'!A6</f>
        <v>Keynes-Marshall</v>
      </c>
      <c r="B5">
        <f>'Diagnosis Indicators'!B6</f>
        <v>1</v>
      </c>
      <c r="C5">
        <f>'Diagnosis Indicators'!C6</f>
        <v>1.0133508661588635</v>
      </c>
      <c r="D5">
        <f>'Diagnosis Indicators'!D6</f>
        <v>1.0264070927676603</v>
      </c>
      <c r="E5">
        <f>'Diagnosis Indicators'!E6</f>
        <v>1.039120592520838</v>
      </c>
      <c r="F5">
        <f>'Diagnosis Indicators'!F6</f>
        <v>1.0514300257731448</v>
      </c>
      <c r="G5">
        <f>'Diagnosis Indicators'!G6</f>
        <v>1.0632608629997518</v>
      </c>
      <c r="H5">
        <f>'Diagnosis Indicators'!H6</f>
        <v>1.0745263622748487</v>
      </c>
      <c r="I5">
        <f>'Diagnosis Indicators'!I6</f>
        <v>1.0851307249218838</v>
      </c>
      <c r="J5">
        <f>'Diagnosis Indicators'!J6</f>
        <v>1.094973322009013</v>
      </c>
      <c r="K5">
        <f>'Diagnosis Indicators'!K6</f>
        <v>1.1039512871255159</v>
      </c>
      <c r="L5">
        <f>'Diagnosis Indicators'!L6</f>
        <v>1.111938788793619</v>
      </c>
      <c r="M5">
        <f>'Diagnosis Indicators'!M6</f>
        <v>1.1186311756031626</v>
      </c>
      <c r="N5">
        <f>'Diagnosis Indicators'!N6</f>
        <v>1.1227665662693069</v>
      </c>
    </row>
    <row r="6" spans="1:25" x14ac:dyDescent="0.2">
      <c r="A6" t="str">
        <f>'Diagnosis Indicators'!A7</f>
        <v>Keynesian</v>
      </c>
      <c r="B6">
        <f>'Diagnosis Indicators'!B7</f>
        <v>1</v>
      </c>
      <c r="C6">
        <f>'Diagnosis Indicators'!C7</f>
        <v>0.97569282743154317</v>
      </c>
      <c r="D6">
        <f>'Diagnosis Indicators'!D7</f>
        <v>0.94882107657602888</v>
      </c>
      <c r="E6">
        <f>'Diagnosis Indicators'!E7</f>
        <v>0.91918351253790387</v>
      </c>
      <c r="F6">
        <f>'Diagnosis Indicators'!F7</f>
        <v>0.8865968488506123</v>
      </c>
      <c r="G6">
        <f>'Diagnosis Indicators'!G7</f>
        <v>0.85091135658576678</v>
      </c>
      <c r="H6">
        <f>'Diagnosis Indicators'!H7</f>
        <v>0.81203437767107756</v>
      </c>
      <c r="I6">
        <f>'Diagnosis Indicators'!I7</f>
        <v>0.76995969733066394</v>
      </c>
      <c r="J6">
        <f>'Diagnosis Indicators'!J7</f>
        <v>0.72481716848708144</v>
      </c>
      <c r="K6">
        <f>'Diagnosis Indicators'!K7</f>
        <v>0.67695898586905734</v>
      </c>
      <c r="L6">
        <f>'Diagnosis Indicators'!L7</f>
        <v>0.62719015504452391</v>
      </c>
      <c r="M6">
        <f>'Diagnosis Indicators'!M7</f>
        <v>0.57758638678236818</v>
      </c>
    </row>
    <row r="7" spans="1:25" x14ac:dyDescent="0.2">
      <c r="A7" t="str">
        <f>'Diagnosis Indicators'!A8</f>
        <v>Keynes-Kaldor</v>
      </c>
      <c r="B7">
        <f>'Diagnosis Indicators'!B8</f>
        <v>1</v>
      </c>
      <c r="C7">
        <f>'Diagnosis Indicators'!C8</f>
        <v>1.0031814870091846</v>
      </c>
      <c r="D7">
        <f>'Diagnosis Indicators'!D8</f>
        <v>1.00512633845918</v>
      </c>
      <c r="E7">
        <f>'Diagnosis Indicators'!E8</f>
        <v>1.0057206856650183</v>
      </c>
      <c r="F7">
        <f>'Diagnosis Indicators'!F8</f>
        <v>1.0048155137614352</v>
      </c>
      <c r="G7">
        <f>'Diagnosis Indicators'!G8</f>
        <v>1.0022175382199094</v>
      </c>
      <c r="H7">
        <f>'Diagnosis Indicators'!H8</f>
        <v>0.99767916771418907</v>
      </c>
      <c r="I7">
        <f>'Diagnosis Indicators'!I8</f>
        <v>0.99087941157553427</v>
      </c>
      <c r="J7">
        <f>'Diagnosis Indicators'!J8</f>
        <v>0.98139933103355403</v>
      </c>
      <c r="K7">
        <f>'Diagnosis Indicators'!K8</f>
        <v>0.96868199048757908</v>
      </c>
      <c r="L7">
        <f>'Diagnosis Indicators'!L8</f>
        <v>0.95197093485511963</v>
      </c>
      <c r="M7">
        <f>'Diagnosis Indicators'!M8</f>
        <v>0.93021062366032925</v>
      </c>
      <c r="N7">
        <f>'Diagnosis Indicators'!N8</f>
        <v>0.90188412956932873</v>
      </c>
      <c r="O7">
        <f>'Diagnosis Indicators'!O8</f>
        <v>0.86475159528404721</v>
      </c>
      <c r="P7">
        <f>'Diagnosis Indicators'!P8</f>
        <v>0.81546819366492074</v>
      </c>
      <c r="Q7">
        <f>'Diagnosis Indicators'!Q8</f>
        <v>0.74918600666516622</v>
      </c>
      <c r="R7">
        <f>'Diagnosis Indicators'!R8</f>
        <v>0.65960335915434065</v>
      </c>
      <c r="S7">
        <f>'Diagnosis Indicators'!S8</f>
        <v>0.5401773311546354</v>
      </c>
    </row>
    <row r="8" spans="1:25" x14ac:dyDescent="0.2">
      <c r="A8" t="str">
        <f>'Diagnosis Indicators'!A9</f>
        <v>Neo-K1</v>
      </c>
      <c r="B8">
        <f>'Diagnosis Indicators'!B9</f>
        <v>1</v>
      </c>
      <c r="C8">
        <f>'Diagnosis Indicators'!C9</f>
        <v>0.9877271880802434</v>
      </c>
      <c r="D8">
        <f>'Diagnosis Indicators'!D9</f>
        <v>0.97423402325172825</v>
      </c>
      <c r="E8">
        <f>'Diagnosis Indicators'!E9</f>
        <v>0.95932502634062766</v>
      </c>
      <c r="F8">
        <f>'Diagnosis Indicators'!F9</f>
        <v>0.9427633180224031</v>
      </c>
      <c r="G8">
        <f>'Diagnosis Indicators'!G9</f>
        <v>0.92426045548480329</v>
      </c>
      <c r="H8">
        <f>'Diagnosis Indicators'!H9</f>
        <v>0.90346291077953633</v>
      </c>
      <c r="I8">
        <f>'Diagnosis Indicators'!I9</f>
        <v>0.87993672474920093</v>
      </c>
      <c r="J8">
        <f>'Diagnosis Indicators'!J9</f>
        <v>0.85314918508847593</v>
      </c>
      <c r="K8">
        <f>'Diagnosis Indicators'!K9</f>
        <v>0.82244936175813388</v>
      </c>
      <c r="L8">
        <f>'Diagnosis Indicators'!L9</f>
        <v>0.78705289829211189</v>
      </c>
      <c r="M8">
        <f>'Diagnosis Indicators'!M9</f>
        <v>0.7460382369389813</v>
      </c>
      <c r="N8">
        <f>'Diagnosis Indicators'!N9</f>
        <v>0.69836935518448184</v>
      </c>
      <c r="O8">
        <f>'Diagnosis Indicators'!O9</f>
        <v>0.64296396569281566</v>
      </c>
      <c r="P8">
        <f>'Diagnosis Indicators'!P9</f>
        <v>0.57882012385238135</v>
      </c>
      <c r="Q8">
        <f>'Diagnosis Indicators'!Q9</f>
        <v>0.50519111780540082</v>
      </c>
      <c r="R8">
        <f>'Diagnosis Indicators'!R9</f>
        <v>0.42175671460151942</v>
      </c>
      <c r="S8">
        <f>'Diagnosis Indicators'!S9</f>
        <v>0.32871271995637508</v>
      </c>
      <c r="T8">
        <f>'Diagnosis Indicators'!T9</f>
        <v>0.2267271680377192</v>
      </c>
      <c r="U8">
        <f>'Diagnosis Indicators'!U9</f>
        <v>0.11678530576525649</v>
      </c>
      <c r="V8">
        <f>'Diagnosis Indicators'!V9</f>
        <v>9.3939773807691099E-2</v>
      </c>
      <c r="W8">
        <f>'Diagnosis Indicators'!W9</f>
        <v>7.0829634318496065E-2</v>
      </c>
      <c r="X8">
        <f>'Diagnosis Indicators'!X9</f>
        <v>4.7463801385568723E-2</v>
      </c>
      <c r="Y8">
        <f>'Diagnosis Indicators'!Y9</f>
        <v>2.3851051081447892E-2</v>
      </c>
    </row>
    <row r="9" spans="1:25" x14ac:dyDescent="0.2">
      <c r="A9" t="str">
        <f>'Diagnosis Indicators'!A10</f>
        <v>Neo-K2</v>
      </c>
      <c r="B9">
        <f>'Diagnosis Indicators'!B10</f>
        <v>1</v>
      </c>
      <c r="C9">
        <f>'Diagnosis Indicators'!C10</f>
        <v>0.98651522134199132</v>
      </c>
      <c r="D9">
        <f>'Diagnosis Indicators'!D10</f>
        <v>0.97155919938692137</v>
      </c>
      <c r="E9">
        <f>'Diagnosis Indicators'!E10</f>
        <v>0.95487192873641757</v>
      </c>
      <c r="F9">
        <f>'Diagnosis Indicators'!F10</f>
        <v>0.93613872011872912</v>
      </c>
      <c r="G9">
        <f>'Diagnosis Indicators'!G10</f>
        <v>0.91497894237533417</v>
      </c>
      <c r="H9">
        <f>'Diagnosis Indicators'!H10</f>
        <v>0.89093530399624887</v>
      </c>
      <c r="I9">
        <f>'Diagnosis Indicators'!I10</f>
        <v>0.86347134162881956</v>
      </c>
      <c r="J9">
        <f>'Diagnosis Indicators'!J10</f>
        <v>0.83197899280681253</v>
      </c>
      <c r="K9">
        <f>'Diagnosis Indicators'!K10</f>
        <v>0.79581173184311038</v>
      </c>
      <c r="L9">
        <f>'Diagnosis Indicators'!L10</f>
        <v>0.75435715936546266</v>
      </c>
      <c r="M9">
        <f>'Diagnosis Indicators'!M10</f>
        <v>0.70716245914151987</v>
      </c>
      <c r="N9">
        <f>'Diagnosis Indicators'!N10</f>
        <v>0.65411287863804302</v>
      </c>
      <c r="O9">
        <f>'Diagnosis Indicators'!O10</f>
        <v>0.59562882902088821</v>
      </c>
      <c r="P9">
        <f>'Diagnosis Indicators'!P10</f>
        <v>0.53278189714803714</v>
      </c>
      <c r="Q9">
        <f>'Diagnosis Indicators'!Q10</f>
        <v>0.46711176864809395</v>
      </c>
      <c r="R9">
        <f>'Diagnosis Indicators'!R10</f>
        <v>0.39979532202296264</v>
      </c>
      <c r="S9">
        <f>'Diagnosis Indicators'!S10</f>
        <v>0.32994966645808432</v>
      </c>
      <c r="T9">
        <f>'Diagnosis Indicators'!T10</f>
        <v>0.25267223865338451</v>
      </c>
      <c r="U9">
        <f>'Diagnosis Indicators'!U10</f>
        <v>0.15665366023072377</v>
      </c>
      <c r="V9">
        <f>'Diagnosis Indicators'!V10</f>
        <v>0.13307574847596232</v>
      </c>
      <c r="W9">
        <f>'Diagnosis Indicators'!W10</f>
        <v>0.10707771869470741</v>
      </c>
      <c r="X9">
        <f>'Diagnosis Indicators'!X10</f>
        <v>7.7807533745911442E-2</v>
      </c>
      <c r="Y9">
        <f>'Diagnosis Indicators'!Y10</f>
        <v>4.367151230060224E-2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F37E2-FC50-4039-8CBF-F012DB030771}">
  <dimension ref="A1:Y9"/>
  <sheetViews>
    <sheetView workbookViewId="0">
      <selection activeCell="X24" sqref="X24"/>
    </sheetView>
  </sheetViews>
  <sheetFormatPr baseColWidth="10" defaultRowHeight="10" x14ac:dyDescent="0.2"/>
  <sheetData>
    <row r="1" spans="1:25" x14ac:dyDescent="0.2">
      <c r="A1" t="s">
        <v>186</v>
      </c>
      <c r="B1">
        <f>'[1]Diagnosis Indicators'!B62</f>
        <v>0</v>
      </c>
      <c r="C1">
        <f>'[1]Diagnosis Indicators'!C62</f>
        <v>0.05</v>
      </c>
      <c r="D1">
        <f>'[1]Diagnosis Indicators'!D62</f>
        <v>0.1</v>
      </c>
      <c r="E1">
        <f>'[1]Diagnosis Indicators'!E62</f>
        <v>0.15000000000000002</v>
      </c>
      <c r="F1">
        <f>'[1]Diagnosis Indicators'!F62</f>
        <v>0.2</v>
      </c>
      <c r="G1">
        <f>'[1]Diagnosis Indicators'!G62</f>
        <v>0.25</v>
      </c>
      <c r="H1">
        <f>'[1]Diagnosis Indicators'!H62</f>
        <v>0.3</v>
      </c>
      <c r="I1">
        <f>'[1]Diagnosis Indicators'!I62</f>
        <v>0.35</v>
      </c>
      <c r="J1">
        <f>'[1]Diagnosis Indicators'!J62</f>
        <v>0.39999999999999997</v>
      </c>
      <c r="K1">
        <f>'[1]Diagnosis Indicators'!K62</f>
        <v>0.44999999999999996</v>
      </c>
      <c r="L1">
        <f>'[1]Diagnosis Indicators'!L62</f>
        <v>0.49999999999999994</v>
      </c>
      <c r="M1">
        <f>'[1]Diagnosis Indicators'!M62</f>
        <v>0.54999999999999993</v>
      </c>
      <c r="N1">
        <f>'[1]Diagnosis Indicators'!N62</f>
        <v>0.6</v>
      </c>
      <c r="O1">
        <f>'[1]Diagnosis Indicators'!O62</f>
        <v>0.65</v>
      </c>
      <c r="P1">
        <f>'[1]Diagnosis Indicators'!P62</f>
        <v>0.70000000000000007</v>
      </c>
      <c r="Q1">
        <f>'[1]Diagnosis Indicators'!Q62</f>
        <v>0.75000000000000011</v>
      </c>
      <c r="R1">
        <f>'[1]Diagnosis Indicators'!R62</f>
        <v>0.80000000000000016</v>
      </c>
      <c r="S1">
        <f>'[1]Diagnosis Indicators'!S62</f>
        <v>0.8500000000000002</v>
      </c>
      <c r="T1">
        <f>'[1]Diagnosis Indicators'!T62</f>
        <v>0.90000000000000024</v>
      </c>
      <c r="U1">
        <f>'[1]Diagnosis Indicators'!U62</f>
        <v>0.95000000000000029</v>
      </c>
      <c r="V1">
        <f>'[1]Diagnosis Indicators'!V62</f>
        <v>0.9600000000000003</v>
      </c>
      <c r="W1">
        <f>'[1]Diagnosis Indicators'!W62</f>
        <v>0.97000000000000031</v>
      </c>
      <c r="X1">
        <f>'[1]Diagnosis Indicators'!X62</f>
        <v>0.98000000000000032</v>
      </c>
      <c r="Y1">
        <f>'[1]Diagnosis Indicators'!Y62</f>
        <v>0.99000000000000032</v>
      </c>
    </row>
    <row r="2" spans="1:25" x14ac:dyDescent="0.2">
      <c r="A2" t="str">
        <f>'[1]Diagnosis Indicators'!A63</f>
        <v>Neoclassical</v>
      </c>
      <c r="B2">
        <f>'Diagnosis Indicators'!B36</f>
        <v>0.56058995943839207</v>
      </c>
      <c r="C2">
        <f>'Diagnosis Indicators'!C36</f>
        <v>0.56571093350371204</v>
      </c>
      <c r="D2">
        <f>'Diagnosis Indicators'!D36</f>
        <v>0.56421335914861881</v>
      </c>
      <c r="E2">
        <f>'Diagnosis Indicators'!E36</f>
        <v>0.5627067895819412</v>
      </c>
      <c r="F2">
        <f>'Diagnosis Indicators'!F36</f>
        <v>0.56119028933641757</v>
      </c>
      <c r="G2">
        <f>'Diagnosis Indicators'!G36</f>
        <v>0.55966323070422752</v>
      </c>
      <c r="H2">
        <f>'Diagnosis Indicators'!H36</f>
        <v>0.55812557952087005</v>
      </c>
      <c r="I2">
        <f>'Diagnosis Indicators'!I36</f>
        <v>0.556578445072202</v>
      </c>
      <c r="J2">
        <f>'Diagnosis Indicators'!J36</f>
        <v>0.55502500851092407</v>
      </c>
      <c r="K2">
        <f>'Diagnosis Indicators'!K36</f>
        <v>0.55347182184867239</v>
      </c>
      <c r="L2">
        <f>'Diagnosis Indicators'!L36</f>
        <v>0.55193109250273387</v>
      </c>
      <c r="M2">
        <f>'Diagnosis Indicators'!M36</f>
        <v>0.55042415778240383</v>
      </c>
      <c r="N2">
        <f>'Diagnosis Indicators'!N36</f>
        <v>0.54898666105244243</v>
      </c>
      <c r="O2">
        <f>'Diagnosis Indicators'!O36</f>
        <v>0.54767531163097871</v>
      </c>
      <c r="P2">
        <f>'Diagnosis Indicators'!P36</f>
        <v>0.54657193197598197</v>
      </c>
      <c r="Q2">
        <f>'Diagnosis Indicators'!Q36</f>
        <v>0.54576929157645437</v>
      </c>
      <c r="R2">
        <f>'Diagnosis Indicators'!R36</f>
        <v>0.54531315114393375</v>
      </c>
      <c r="S2">
        <f>'Diagnosis Indicators'!S36</f>
        <v>0.54513392169528263</v>
      </c>
      <c r="T2">
        <f>'Diagnosis Indicators'!T36</f>
        <v>0.5450907893059288</v>
      </c>
      <c r="U2">
        <f>'Diagnosis Indicators'!U36</f>
        <v>0.54508555740877906</v>
      </c>
      <c r="V2">
        <f>'Diagnosis Indicators'!V36</f>
        <v>0.5450854488381921</v>
      </c>
      <c r="W2">
        <f>'Diagnosis Indicators'!W36</f>
        <v>0.54508540477294232</v>
      </c>
      <c r="X2">
        <f>'Diagnosis Indicators'!X36</f>
        <v>0.54508539010303547</v>
      </c>
      <c r="Y2">
        <f>'Diagnosis Indicators'!Y36</f>
        <v>0.54508538658055894</v>
      </c>
    </row>
    <row r="3" spans="1:25" x14ac:dyDescent="0.2">
      <c r="A3" t="str">
        <f>'[1]Diagnosis Indicators'!A64</f>
        <v>Kaldorian</v>
      </c>
      <c r="B3">
        <f>'Diagnosis Indicators'!B37</f>
        <v>0.56058995943839207</v>
      </c>
      <c r="C3">
        <f>'Diagnosis Indicators'!C37</f>
        <v>0.56033509267063331</v>
      </c>
      <c r="D3">
        <f>'Diagnosis Indicators'!D37</f>
        <v>0.55305892604786189</v>
      </c>
      <c r="E3">
        <f>'Diagnosis Indicators'!E37</f>
        <v>0.54530258218495253</v>
      </c>
      <c r="F3">
        <f>'Diagnosis Indicators'!F37</f>
        <v>0.53697927292490732</v>
      </c>
      <c r="G3">
        <f>'Diagnosis Indicators'!G37</f>
        <v>0.52797899283135297</v>
      </c>
      <c r="H3">
        <f>'Diagnosis Indicators'!H37</f>
        <v>0.51815765356226495</v>
      </c>
      <c r="I3">
        <f>'Diagnosis Indicators'!I37</f>
        <v>0.50732106485459938</v>
      </c>
      <c r="J3">
        <f>'Diagnosis Indicators'!J37</f>
        <v>0.49519681518341802</v>
      </c>
      <c r="K3">
        <f>'Diagnosis Indicators'!K37</f>
        <v>0.48138478142579966</v>
      </c>
      <c r="L3">
        <f>'Diagnosis Indicators'!L37</f>
        <v>0.46526571657330495</v>
      </c>
      <c r="M3">
        <f>'Diagnosis Indicators'!M37</f>
        <v>0.44582431161294545</v>
      </c>
      <c r="N3">
        <f>'Diagnosis Indicators'!N37</f>
        <v>0.42128912776009675</v>
      </c>
      <c r="O3">
        <f>'Diagnosis Indicators'!O37</f>
        <v>0.3883704967917222</v>
      </c>
      <c r="P3">
        <f>'Diagnosis Indicators'!P37</f>
        <v>0.34062176509876813</v>
      </c>
      <c r="Q3">
        <f>'Diagnosis Indicators'!Q37</f>
        <v>0.26502224078011266</v>
      </c>
      <c r="R3">
        <f>'Diagnosis Indicators'!R37</f>
        <v>0.1346880669700522</v>
      </c>
      <c r="S3" t="e">
        <f>'Diagnosis Indicators'!S37</f>
        <v>#DIV/0!</v>
      </c>
      <c r="T3" t="e">
        <f>'Diagnosis Indicators'!T37</f>
        <v>#DIV/0!</v>
      </c>
    </row>
    <row r="4" spans="1:25" x14ac:dyDescent="0.2">
      <c r="A4" t="str">
        <f>'[1]Diagnosis Indicators'!A65</f>
        <v>Johansen</v>
      </c>
      <c r="B4">
        <f>'Diagnosis Indicators'!B38</f>
        <v>0.56058995943839207</v>
      </c>
      <c r="C4">
        <f>'Diagnosis Indicators'!C38</f>
        <v>0.56569368399537212</v>
      </c>
      <c r="D4">
        <f>'Diagnosis Indicators'!D38</f>
        <v>0.56417701913493545</v>
      </c>
      <c r="E4">
        <f>'Diagnosis Indicators'!E38</f>
        <v>0.56264919038558137</v>
      </c>
      <c r="F4">
        <f>'Diagnosis Indicators'!F38</f>
        <v>0.56110892910941634</v>
      </c>
      <c r="G4">
        <f>'Diagnosis Indicators'!G38</f>
        <v>0.55955525774911563</v>
      </c>
      <c r="H4">
        <f>'Diagnosis Indicators'!H38</f>
        <v>0.55798793342161446</v>
      </c>
      <c r="I4">
        <f>'Diagnosis Indicators'!I38</f>
        <v>0.55640800700360238</v>
      </c>
      <c r="J4">
        <f>'Diagnosis Indicators'!J38</f>
        <v>0.55481899862002826</v>
      </c>
      <c r="K4">
        <f>'Diagnosis Indicators'!K38</f>
        <v>0.55322847761227656</v>
      </c>
      <c r="L4">
        <f>'Diagnosis Indicators'!L38</f>
        <v>0.55165087361049758</v>
      </c>
      <c r="M4">
        <f>'Diagnosis Indicators'!M38</f>
        <v>0.55011176217936719</v>
      </c>
      <c r="N4">
        <f>'Diagnosis Indicators'!N38</f>
        <v>0.54865438943491784</v>
      </c>
      <c r="O4">
        <f>'Diagnosis Indicators'!O38</f>
        <v>0.54734771927983361</v>
      </c>
      <c r="P4">
        <f>'Diagnosis Indicators'!P38</f>
        <v>0.5462890311621631</v>
      </c>
      <c r="Q4">
        <f>'Diagnosis Indicators'!Q38</f>
        <v>0.54557604736579401</v>
      </c>
      <c r="R4">
        <f>'Diagnosis Indicators'!R38</f>
        <v>0.5452228807826669</v>
      </c>
      <c r="S4">
        <f>'Diagnosis Indicators'!S38</f>
        <v>0.54510913391521298</v>
      </c>
      <c r="T4">
        <f>'Diagnosis Indicators'!T38</f>
        <v>0.54508750939826056</v>
      </c>
      <c r="U4">
        <f>'Diagnosis Indicators'!U38</f>
        <v>0.5450854448213901</v>
      </c>
      <c r="V4">
        <f>'Diagnosis Indicators'!V38</f>
        <v>0.54508540797954363</v>
      </c>
      <c r="W4">
        <f>'Diagnosis Indicators'!W38</f>
        <v>0.54508539302560199</v>
      </c>
      <c r="X4">
        <f>'Diagnosis Indicators'!X38</f>
        <v>0.54508538782739202</v>
      </c>
      <c r="Y4" t="e">
        <f>'Diagnosis Indicators'!Y38</f>
        <v>#DIV/0!</v>
      </c>
    </row>
    <row r="5" spans="1:25" x14ac:dyDescent="0.2">
      <c r="A5" t="str">
        <f>'[1]Diagnosis Indicators'!A66</f>
        <v>Keynes-Kaldor</v>
      </c>
      <c r="B5">
        <f>'Diagnosis Indicators'!B39</f>
        <v>0.56058995943839207</v>
      </c>
      <c r="C5">
        <f>'Diagnosis Indicators'!C39</f>
        <v>0.58351071339228588</v>
      </c>
      <c r="D5">
        <f>'Diagnosis Indicators'!D39</f>
        <v>0.60066512155958252</v>
      </c>
      <c r="E5">
        <f>'Diagnosis Indicators'!E39</f>
        <v>0.6188279517131372</v>
      </c>
      <c r="F5">
        <f>'Diagnosis Indicators'!F39</f>
        <v>0.63821321069440773</v>
      </c>
      <c r="G5">
        <f>'Diagnosis Indicators'!G39</f>
        <v>0.6591134782604573</v>
      </c>
      <c r="H5">
        <f>'Diagnosis Indicators'!H39</f>
        <v>0.68194835352893601</v>
      </c>
      <c r="I5">
        <f>'Diagnosis Indicators'!I39</f>
        <v>0.70735026141654356</v>
      </c>
      <c r="J5">
        <f>'Diagnosis Indicators'!J39</f>
        <v>0.73632004621042479</v>
      </c>
      <c r="K5">
        <f>'Diagnosis Indicators'!K39</f>
        <v>0.77052355913188531</v>
      </c>
      <c r="L5">
        <f>'Diagnosis Indicators'!L39</f>
        <v>0.81287432161574036</v>
      </c>
      <c r="M5">
        <f>'Diagnosis Indicators'!M39</f>
        <v>0.86865107547417031</v>
      </c>
      <c r="N5">
        <f>'Diagnosis Indicators'!N39</f>
        <v>0.94715380492780477</v>
      </c>
      <c r="O5" t="e">
        <f>'Diagnosis Indicators'!O39</f>
        <v>#DIV/0!</v>
      </c>
      <c r="P5" t="e">
        <f>'Diagnosis Indicators'!P39</f>
        <v>#DIV/0!</v>
      </c>
      <c r="Q5" t="e">
        <f>'Diagnosis Indicators'!Q39</f>
        <v>#DIV/0!</v>
      </c>
    </row>
    <row r="6" spans="1:25" x14ac:dyDescent="0.2">
      <c r="A6" t="str">
        <f>'[1]Diagnosis Indicators'!A67</f>
        <v>Keynes-Marshall</v>
      </c>
      <c r="B6">
        <f>'Diagnosis Indicators'!B40</f>
        <v>0.56058995943839207</v>
      </c>
      <c r="C6">
        <f>'Diagnosis Indicators'!C40</f>
        <v>0.57513926423902684</v>
      </c>
      <c r="D6">
        <f>'Diagnosis Indicators'!D40</f>
        <v>0.5830228529803102</v>
      </c>
      <c r="E6">
        <f>'Diagnosis Indicators'!E40</f>
        <v>0.59080589055574961</v>
      </c>
      <c r="F6">
        <f>'Diagnosis Indicators'!F40</f>
        <v>0.59843579705375904</v>
      </c>
      <c r="G6">
        <f>'Diagnosis Indicators'!G40</f>
        <v>0.60585155063432217</v>
      </c>
      <c r="H6">
        <f>'Diagnosis Indicators'!H40</f>
        <v>0.61298535135596821</v>
      </c>
      <c r="I6">
        <f>'Diagnosis Indicators'!I40</f>
        <v>0.61975971314396472</v>
      </c>
      <c r="J6">
        <f>'Diagnosis Indicators'!J40</f>
        <v>0.62609018425887131</v>
      </c>
      <c r="K6">
        <f>'Diagnosis Indicators'!K40</f>
        <v>0.63187113348558177</v>
      </c>
      <c r="L6">
        <f>'Diagnosis Indicators'!L40</f>
        <v>0.63695253707700594</v>
      </c>
      <c r="M6">
        <f>'Diagnosis Indicators'!M40</f>
        <v>0.64100776981615759</v>
      </c>
      <c r="N6" t="e">
        <f>'Diagnosis Indicators'!N40</f>
        <v>#DIV/0!</v>
      </c>
      <c r="O6" t="e">
        <f>'Diagnosis Indicators'!O40</f>
        <v>#DIV/0!</v>
      </c>
    </row>
    <row r="7" spans="1:25" x14ac:dyDescent="0.2">
      <c r="A7" t="str">
        <f>'[1]Diagnosis Indicators'!A68</f>
        <v>Keynesian</v>
      </c>
      <c r="B7">
        <f>'Diagnosis Indicators'!B41</f>
        <v>0.56058995943839207</v>
      </c>
      <c r="C7">
        <f>'Diagnosis Indicators'!C41</f>
        <v>0.55965594750369596</v>
      </c>
      <c r="D7">
        <f>'Diagnosis Indicators'!D41</f>
        <v>0.55174465818129259</v>
      </c>
      <c r="E7">
        <f>'Diagnosis Indicators'!E41</f>
        <v>0.54339571904346917</v>
      </c>
      <c r="F7">
        <f>'Diagnosis Indicators'!F41</f>
        <v>0.53452346021458474</v>
      </c>
      <c r="G7">
        <f>'Diagnosis Indicators'!G41</f>
        <v>0.52502179055659992</v>
      </c>
      <c r="H7">
        <f>'Diagnosis Indicators'!H41</f>
        <v>0.51475411142739935</v>
      </c>
      <c r="I7">
        <f>'Diagnosis Indicators'!I41</f>
        <v>0.50353952029543103</v>
      </c>
      <c r="J7">
        <f>'Diagnosis Indicators'!J41</f>
        <v>0.49112856208316935</v>
      </c>
      <c r="K7">
        <f>'Diagnosis Indicators'!K41</f>
        <v>0.47716295678698328</v>
      </c>
      <c r="L7">
        <f>'Diagnosis Indicators'!L41</f>
        <v>0.46110634772127473</v>
      </c>
      <c r="M7">
        <f>'Diagnosis Indicators'!M41</f>
        <v>0.44212203559599456</v>
      </c>
      <c r="N7">
        <f>'Diagnosis Indicators'!N41</f>
        <v>0.41885609894973058</v>
      </c>
      <c r="O7">
        <f>'Diagnosis Indicators'!O41</f>
        <v>0.38906314469785025</v>
      </c>
      <c r="P7">
        <f>'Diagnosis Indicators'!P41</f>
        <v>0.34903925209742015</v>
      </c>
      <c r="Q7">
        <f>'Diagnosis Indicators'!Q41</f>
        <v>0.29309169942507779</v>
      </c>
      <c r="R7">
        <f>'Diagnosis Indicators'!R41</f>
        <v>0.21406255848944059</v>
      </c>
      <c r="S7">
        <f>'Diagnosis Indicators'!S41</f>
        <v>0.10694431899887205</v>
      </c>
      <c r="T7" t="e">
        <f>'Diagnosis Indicators'!T41</f>
        <v>#DIV/0!</v>
      </c>
    </row>
    <row r="8" spans="1:25" x14ac:dyDescent="0.2">
      <c r="A8" t="str">
        <f>'[1]Diagnosis Indicators'!A69</f>
        <v>Neo-K1</v>
      </c>
      <c r="B8">
        <f>'Diagnosis Indicators'!B42</f>
        <v>0.56058995943839207</v>
      </c>
      <c r="C8">
        <f>'Diagnosis Indicators'!C42</f>
        <v>0.56690700865066457</v>
      </c>
      <c r="D8">
        <f>'Diagnosis Indicators'!D42</f>
        <v>0.56661633486163809</v>
      </c>
      <c r="E8">
        <f>'Diagnosis Indicators'!E42</f>
        <v>0.56632413888155553</v>
      </c>
      <c r="F8">
        <f>'Diagnosis Indicators'!F42</f>
        <v>0.56602445866516671</v>
      </c>
      <c r="G8">
        <f>'Diagnosis Indicators'!G42</f>
        <v>0.56570930156269772</v>
      </c>
      <c r="H8">
        <f>'Diagnosis Indicators'!H42</f>
        <v>0.56536814244872302</v>
      </c>
      <c r="I8">
        <f>'Diagnosis Indicators'!I42</f>
        <v>0.56498735286351276</v>
      </c>
      <c r="J8">
        <f>'Diagnosis Indicators'!J42</f>
        <v>0.5645496714274616</v>
      </c>
      <c r="K8">
        <f>'Diagnosis Indicators'!K42</f>
        <v>0.56403380894514854</v>
      </c>
      <c r="L8">
        <f>'Diagnosis Indicators'!L42</f>
        <v>0.56341459915878644</v>
      </c>
      <c r="M8">
        <f>'Diagnosis Indicators'!M42</f>
        <v>0.5626640001259654</v>
      </c>
      <c r="N8">
        <f>'Diagnosis Indicators'!N42</f>
        <v>0.5617536727700313</v>
      </c>
      <c r="O8">
        <f>'Diagnosis Indicators'!O42</f>
        <v>0.56065952886728176</v>
      </c>
      <c r="P8">
        <f>'Diagnosis Indicators'!P42</f>
        <v>0.55936805726521788</v>
      </c>
      <c r="Q8">
        <f>'Diagnosis Indicators'!Q42</f>
        <v>0.55788268357298909</v>
      </c>
      <c r="R8">
        <f>'Diagnosis Indicators'!R42</f>
        <v>0.55622703221353398</v>
      </c>
      <c r="S8">
        <f>'Diagnosis Indicators'!S42</f>
        <v>0.55444236427108051</v>
      </c>
      <c r="T8">
        <f>'Diagnosis Indicators'!T42</f>
        <v>0.55257947907216798</v>
      </c>
      <c r="U8">
        <f>'Diagnosis Indicators'!U42</f>
        <v>0.55068876293781688</v>
      </c>
      <c r="V8">
        <f>'Diagnosis Indicators'!V42</f>
        <v>0.55031121322205878</v>
      </c>
      <c r="W8">
        <f>'Diagnosis Indicators'!W42</f>
        <v>0.54993457349389441</v>
      </c>
      <c r="X8">
        <f>'Diagnosis Indicators'!X42</f>
        <v>0.5495591067147455</v>
      </c>
      <c r="Y8">
        <f>'Diagnosis Indicators'!Y42</f>
        <v>0.54918506116938437</v>
      </c>
    </row>
    <row r="9" spans="1:25" x14ac:dyDescent="0.2">
      <c r="A9" t="str">
        <f>'[1]Diagnosis Indicators'!A70</f>
        <v>Neo-K2</v>
      </c>
      <c r="B9">
        <f>'Diagnosis Indicators'!B43</f>
        <v>0.56058995943839207</v>
      </c>
      <c r="C9">
        <f>'Diagnosis Indicators'!C43</f>
        <v>0.56769675974480394</v>
      </c>
      <c r="D9">
        <f>'Diagnosis Indicators'!D43</f>
        <v>0.56826604531780867</v>
      </c>
      <c r="E9">
        <f>'Diagnosis Indicators'!E43</f>
        <v>0.56891621657490565</v>
      </c>
      <c r="F9">
        <f>'Diagnosis Indicators'!F43</f>
        <v>0.56965555773892684</v>
      </c>
      <c r="G9">
        <f>'Diagnosis Indicators'!G43</f>
        <v>0.57049256891925126</v>
      </c>
      <c r="H9">
        <f>'Diagnosis Indicators'!H43</f>
        <v>0.57143552372267958</v>
      </c>
      <c r="I9">
        <f>'Diagnosis Indicators'!I43</f>
        <v>0.57249157264877848</v>
      </c>
      <c r="J9">
        <f>'Diagnosis Indicators'!J43</f>
        <v>0.57366534574248196</v>
      </c>
      <c r="K9">
        <f>'Diagnosis Indicators'!K43</f>
        <v>0.57495671784907831</v>
      </c>
      <c r="L9">
        <f>'Diagnosis Indicators'!L43</f>
        <v>0.57635722327269379</v>
      </c>
      <c r="M9">
        <f>'Diagnosis Indicators'!M43</f>
        <v>0.57784438690835038</v>
      </c>
      <c r="N9">
        <f>'Diagnosis Indicators'!N43</f>
        <v>0.57937202436255153</v>
      </c>
      <c r="O9">
        <f>'Diagnosis Indicators'!O43</f>
        <v>0.58085281317190562</v>
      </c>
      <c r="P9">
        <f>'Diagnosis Indicators'!P43</f>
        <v>0.58212640527579806</v>
      </c>
      <c r="Q9">
        <f>'Diagnosis Indicators'!Q43</f>
        <v>0.58290145440349184</v>
      </c>
      <c r="R9">
        <f>'Diagnosis Indicators'!R43</f>
        <v>0.58263236611347347</v>
      </c>
      <c r="S9">
        <f>'Diagnosis Indicators'!S43</f>
        <v>0.58012804358327019</v>
      </c>
      <c r="T9">
        <f>'Diagnosis Indicators'!T43</f>
        <v>0.5720941675343133</v>
      </c>
      <c r="U9">
        <f>'Diagnosis Indicators'!U43</f>
        <v>0.54674662423694664</v>
      </c>
      <c r="V9">
        <f>'Diagnosis Indicators'!V43</f>
        <v>0.53582364615528322</v>
      </c>
      <c r="W9">
        <f>'Diagnosis Indicators'!W43</f>
        <v>0.51995469325783172</v>
      </c>
      <c r="X9">
        <f>'Diagnosis Indicators'!X43</f>
        <v>0.49450696503507974</v>
      </c>
      <c r="Y9">
        <f>'Diagnosis Indicators'!Y43</f>
        <v>0.44440230085614718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727BB-B6E9-4435-A22C-11B601715EDA}">
  <dimension ref="A1:Y9"/>
  <sheetViews>
    <sheetView workbookViewId="0">
      <selection activeCell="D27" sqref="D27"/>
    </sheetView>
  </sheetViews>
  <sheetFormatPr baseColWidth="10" defaultRowHeight="10" x14ac:dyDescent="0.2"/>
  <sheetData>
    <row r="1" spans="1:25" x14ac:dyDescent="0.2">
      <c r="A1" t="s">
        <v>186</v>
      </c>
      <c r="B1" s="91">
        <v>0</v>
      </c>
      <c r="C1" s="91">
        <v>0.05</v>
      </c>
      <c r="D1" s="91">
        <v>0.1</v>
      </c>
      <c r="E1" s="91">
        <v>0.15000000000000002</v>
      </c>
      <c r="F1" s="91">
        <v>0.2</v>
      </c>
      <c r="G1" s="91">
        <v>0.25</v>
      </c>
      <c r="H1" s="91">
        <v>0.3</v>
      </c>
      <c r="I1" s="91">
        <v>0.35</v>
      </c>
      <c r="J1" s="91">
        <v>0.39999999999999997</v>
      </c>
      <c r="K1" s="91">
        <v>0.44999999999999996</v>
      </c>
      <c r="L1" s="91">
        <v>0.49999999999999994</v>
      </c>
      <c r="M1" s="91">
        <v>0.54999999999999993</v>
      </c>
      <c r="N1" s="91">
        <v>0.6</v>
      </c>
      <c r="O1" s="91">
        <v>0.65</v>
      </c>
      <c r="P1" s="91">
        <v>0.70000000000000007</v>
      </c>
      <c r="Q1" s="91">
        <v>0.75000000000000011</v>
      </c>
      <c r="R1" s="91">
        <v>0.80000000000000016</v>
      </c>
      <c r="S1" s="91">
        <v>0.8500000000000002</v>
      </c>
      <c r="T1" s="91">
        <v>0.90000000000000024</v>
      </c>
      <c r="U1" s="91">
        <v>0.95000000000000029</v>
      </c>
      <c r="V1" s="91">
        <v>0.9600000000000003</v>
      </c>
      <c r="W1" s="91">
        <v>0.97000000000000031</v>
      </c>
      <c r="X1" s="91">
        <v>0.98000000000000032</v>
      </c>
      <c r="Y1" s="91">
        <v>0.99000000000000032</v>
      </c>
    </row>
    <row r="2" spans="1:25" x14ac:dyDescent="0.2">
      <c r="A2" t="s">
        <v>89</v>
      </c>
      <c r="B2">
        <f>'Diagnosis Indicators'!B14</f>
        <v>5.7716594496607888E-3</v>
      </c>
      <c r="C2">
        <f>'Diagnosis Indicators'!C14</f>
        <v>6.1015866890627976E-2</v>
      </c>
      <c r="D2">
        <f>'Diagnosis Indicators'!D14</f>
        <v>0.12198497928437815</v>
      </c>
      <c r="E2">
        <f>'Diagnosis Indicators'!E14</f>
        <v>0.18963510920292664</v>
      </c>
      <c r="F2">
        <f>'Diagnosis Indicators'!F14</f>
        <v>0.26517535441886136</v>
      </c>
      <c r="G2">
        <f>'Diagnosis Indicators'!G14</f>
        <v>0.35016772527441492</v>
      </c>
      <c r="H2">
        <f>'Diagnosis Indicators'!H14</f>
        <v>0.44668755084603656</v>
      </c>
      <c r="I2">
        <f>'Diagnosis Indicators'!I14</f>
        <v>0.55757345360611799</v>
      </c>
      <c r="J2">
        <f>'Diagnosis Indicators'!J14</f>
        <v>0.68684489297702445</v>
      </c>
      <c r="K2">
        <f>'Diagnosis Indicators'!K14</f>
        <v>0.8404305250000732</v>
      </c>
      <c r="L2">
        <f>'Diagnosis Indicators'!L14</f>
        <v>1.0274749154759568</v>
      </c>
      <c r="M2">
        <f>'Diagnosis Indicators'!M14</f>
        <v>1.2628304581272447</v>
      </c>
      <c r="N2">
        <f>'Diagnosis Indicators'!N14</f>
        <v>1.5720676078366289</v>
      </c>
      <c r="O2">
        <f>'Diagnosis Indicators'!O14</f>
        <v>2.0020856516899768</v>
      </c>
      <c r="P2">
        <f>'Diagnosis Indicators'!P14</f>
        <v>2.6445256356636144</v>
      </c>
      <c r="Q2">
        <f>'Diagnosis Indicators'!Q14</f>
        <v>3.6879318233561791</v>
      </c>
      <c r="R2">
        <f>'Diagnosis Indicators'!R14</f>
        <v>5.5342245781970307</v>
      </c>
      <c r="S2">
        <f>'Diagnosis Indicators'!S14</f>
        <v>9.1022936606657172</v>
      </c>
      <c r="T2">
        <f>'Diagnosis Indicators'!T14</f>
        <v>16.991712208378882</v>
      </c>
      <c r="U2">
        <f>'Diagnosis Indicators'!U14</f>
        <v>40.75685361434163</v>
      </c>
      <c r="V2">
        <f>'Diagnosis Indicators'!V14</f>
        <v>51.753906387831655</v>
      </c>
      <c r="W2">
        <f>'Diagnosis Indicators'!W14</f>
        <v>68.544519127417658</v>
      </c>
      <c r="X2">
        <f>'Diagnosis Indicators'!X14</f>
        <v>96.993101923413434</v>
      </c>
      <c r="Y2">
        <f>'Diagnosis Indicators'!Y14</f>
        <v>154.78735298122035</v>
      </c>
    </row>
    <row r="3" spans="1:25" x14ac:dyDescent="0.2">
      <c r="A3" t="s">
        <v>90</v>
      </c>
      <c r="B3">
        <f>'Diagnosis Indicators'!B16</f>
        <v>5.7716594496607888E-3</v>
      </c>
      <c r="C3">
        <f>'Diagnosis Indicators'!C16</f>
        <v>6.3570557080961945E-2</v>
      </c>
      <c r="D3">
        <f>'Diagnosis Indicators'!D16</f>
        <v>0.12752169200043201</v>
      </c>
      <c r="E3">
        <f>'Diagnosis Indicators'!E16</f>
        <v>0.19867808427650266</v>
      </c>
      <c r="F3">
        <f>'Diagnosis Indicators'!F16</f>
        <v>0.27837974034613988</v>
      </c>
      <c r="G3">
        <f>'Diagnosis Indicators'!G16</f>
        <v>0.36837398374423502</v>
      </c>
      <c r="H3">
        <f>'Diagnosis Indicators'!H16</f>
        <v>0.4710037302082426</v>
      </c>
      <c r="I3">
        <f>'Diagnosis Indicators'!I16</f>
        <v>0.58951764808144558</v>
      </c>
      <c r="J3">
        <f>'Diagnosis Indicators'!J16</f>
        <v>0.7285886076766942</v>
      </c>
      <c r="K3">
        <f>'Diagnosis Indicators'!K16</f>
        <v>0.89524369025735462</v>
      </c>
      <c r="L3">
        <f>'Diagnosis Indicators'!L16</f>
        <v>1.100577609469805</v>
      </c>
      <c r="M3">
        <f>'Diagnosis Indicators'!M16</f>
        <v>1.3631319479489692</v>
      </c>
      <c r="N3">
        <f>'Diagnosis Indicators'!N16</f>
        <v>1.7159304317259225</v>
      </c>
      <c r="O3">
        <f>'Diagnosis Indicators'!O16</f>
        <v>2.2219986047873674</v>
      </c>
      <c r="P3">
        <f>'Diagnosis Indicators'!P16</f>
        <v>3.009701040227573</v>
      </c>
      <c r="Q3">
        <f>'Diagnosis Indicators'!Q16</f>
        <v>4.3517756950618693</v>
      </c>
      <c r="R3">
        <f>'Diagnosis Indicators'!R16</f>
        <v>6.8365284922198164</v>
      </c>
      <c r="S3">
        <f>'Diagnosis Indicators'!S16</f>
        <v>11.814526797711222</v>
      </c>
      <c r="T3">
        <f>'Diagnosis Indicators'!T16</f>
        <v>23.11201737303378</v>
      </c>
      <c r="U3">
        <f>'Diagnosis Indicators'!U16</f>
        <v>56.779125705066136</v>
      </c>
      <c r="V3">
        <f>'Diagnosis Indicators'!V16</f>
        <v>71.662641807164746</v>
      </c>
      <c r="W3">
        <f>'Diagnosis Indicators'!W16</f>
        <v>93.365723131417766</v>
      </c>
      <c r="X3">
        <f>'Diagnosis Indicators'!X16</f>
        <v>127.35246628649108</v>
      </c>
      <c r="Y3">
        <f>'Diagnosis Indicators'!Y16</f>
        <v>0</v>
      </c>
    </row>
    <row r="4" spans="1:25" x14ac:dyDescent="0.2">
      <c r="A4" t="s">
        <v>131</v>
      </c>
      <c r="B4">
        <f>'Diagnosis Indicators'!B17</f>
        <v>5.7716594496607888E-3</v>
      </c>
      <c r="C4">
        <f>'Diagnosis Indicators'!C17</f>
        <v>7.2681397206910456E-2</v>
      </c>
      <c r="D4">
        <f>'Diagnosis Indicators'!D17</f>
        <v>0.14766286749873231</v>
      </c>
      <c r="E4">
        <f>'Diagnosis Indicators'!E17</f>
        <v>0.23238677480783063</v>
      </c>
      <c r="F4">
        <f>'Diagnosis Indicators'!F17</f>
        <v>0.32913361239132438</v>
      </c>
      <c r="G4">
        <f>'Diagnosis Indicators'!G17</f>
        <v>0.44113431106437978</v>
      </c>
      <c r="H4">
        <f>'Diagnosis Indicators'!H17</f>
        <v>0.5731621036328991</v>
      </c>
      <c r="I4">
        <f>'Diagnosis Indicators'!I17</f>
        <v>0.73260868955249348</v>
      </c>
      <c r="J4">
        <f>'Diagnosis Indicators'!J17</f>
        <v>0.93156730320078884</v>
      </c>
      <c r="K4">
        <f>'Diagnosis Indicators'!K17</f>
        <v>1.1911533075014467</v>
      </c>
      <c r="L4">
        <f>'Diagnosis Indicators'!L17</f>
        <v>1.5511788419522727</v>
      </c>
      <c r="M4">
        <f>'Diagnosis Indicators'!M17</f>
        <v>2.0932885769231948</v>
      </c>
      <c r="N4">
        <f>'Diagnosis Indicators'!N17</f>
        <v>2.996209926315863</v>
      </c>
      <c r="O4">
        <f>'Diagnosis Indicators'!O17</f>
        <v>0</v>
      </c>
      <c r="P4">
        <f>'Diagnosis Indicators'!P17</f>
        <v>0</v>
      </c>
      <c r="Q4">
        <f>'Diagnosis Indicators'!Q17</f>
        <v>0</v>
      </c>
    </row>
    <row r="5" spans="1:25" x14ac:dyDescent="0.2">
      <c r="A5" t="s">
        <v>130</v>
      </c>
      <c r="B5">
        <f>'Diagnosis Indicators'!B18</f>
        <v>5.7716594496607888E-3</v>
      </c>
      <c r="C5">
        <f>'Diagnosis Indicators'!C18</f>
        <v>3.7740216052907651E-2</v>
      </c>
      <c r="D5">
        <f>'Diagnosis Indicators'!D18</f>
        <v>7.0511087316791468E-2</v>
      </c>
      <c r="E5">
        <f>'Diagnosis Indicators'!E18</f>
        <v>0.10388641743423921</v>
      </c>
      <c r="F5">
        <f>'Diagnosis Indicators'!F18</f>
        <v>0.13760956007424172</v>
      </c>
      <c r="G5">
        <f>'Diagnosis Indicators'!G18</f>
        <v>0.17135864228999073</v>
      </c>
      <c r="H5">
        <f>'Diagnosis Indicators'!H18</f>
        <v>0.20474301930677835</v>
      </c>
      <c r="I5">
        <f>'Diagnosis Indicators'!I18</f>
        <v>0.23729603576993941</v>
      </c>
      <c r="J5">
        <f>'Diagnosis Indicators'!J18</f>
        <v>0.26846396329865885</v>
      </c>
      <c r="K5">
        <f>'Diagnosis Indicators'!K18</f>
        <v>0.29755269018213487</v>
      </c>
      <c r="L5">
        <f>'Diagnosis Indicators'!L18</f>
        <v>0.32355379504571558</v>
      </c>
      <c r="M5">
        <f>'Diagnosis Indicators'!M18</f>
        <v>0.3444059684448158</v>
      </c>
      <c r="N5">
        <f>'Diagnosis Indicators'!N18</f>
        <v>0</v>
      </c>
      <c r="O5">
        <f>'Diagnosis Indicators'!O18</f>
        <v>0</v>
      </c>
    </row>
    <row r="6" spans="1:25" x14ac:dyDescent="0.2">
      <c r="A6" t="s">
        <v>146</v>
      </c>
      <c r="B6">
        <f>'Diagnosis Indicators'!B19</f>
        <v>5.7716594496607888E-3</v>
      </c>
      <c r="C6">
        <f>'Diagnosis Indicators'!C19</f>
        <v>7.1685127548964001E-2</v>
      </c>
      <c r="D6">
        <f>'Diagnosis Indicators'!D19</f>
        <v>0.14406874316294255</v>
      </c>
      <c r="E6">
        <f>'Diagnosis Indicators'!E19</f>
        <v>0.22398213324643282</v>
      </c>
      <c r="F6">
        <f>'Diagnosis Indicators'!F19</f>
        <v>0.3127559149744476</v>
      </c>
      <c r="G6">
        <f>'Diagnosis Indicators'!G19</f>
        <v>0.41209882127270586</v>
      </c>
      <c r="H6">
        <f>'Diagnosis Indicators'!H19</f>
        <v>0.52428057152073437</v>
      </c>
      <c r="I6">
        <f>'Diagnosis Indicators'!I19</f>
        <v>0.65239237726823585</v>
      </c>
      <c r="J6">
        <f>'Diagnosis Indicators'!J19</f>
        <v>0.80079995722560537</v>
      </c>
      <c r="K6">
        <f>'Diagnosis Indicators'!K19</f>
        <v>0.97588939521188223</v>
      </c>
      <c r="L6">
        <f>'Diagnosis Indicators'!L19</f>
        <v>1.187372206489528</v>
      </c>
      <c r="M6">
        <f>'Diagnosis Indicators'!M19</f>
        <v>1.4506283465316019</v>
      </c>
      <c r="N6">
        <f>'Diagnosis Indicators'!N19</f>
        <v>1.7910035601021692</v>
      </c>
      <c r="O6">
        <f>'Diagnosis Indicators'!O19</f>
        <v>2.2516629908035348</v>
      </c>
      <c r="P6">
        <f>'Diagnosis Indicators'!P19</f>
        <v>2.9067886401775991</v>
      </c>
      <c r="Q6">
        <f>'Diagnosis Indicators'!Q19</f>
        <v>3.8776913154004955</v>
      </c>
      <c r="R6">
        <f>'Diagnosis Indicators'!R19</f>
        <v>5.3309322771872099</v>
      </c>
      <c r="S6">
        <f>'Diagnosis Indicators'!S19</f>
        <v>7.4014164892913641</v>
      </c>
      <c r="T6">
        <f>'Diagnosis Indicators'!T19</f>
        <v>0</v>
      </c>
    </row>
    <row r="7" spans="1:25" x14ac:dyDescent="0.2">
      <c r="A7" t="s">
        <v>141</v>
      </c>
      <c r="B7">
        <f>'Diagnosis Indicators'!B20</f>
        <v>5.7716594496607888E-3</v>
      </c>
      <c r="C7">
        <f>'Diagnosis Indicators'!C20</f>
        <v>5.2524393292415442E-2</v>
      </c>
      <c r="D7">
        <f>'Diagnosis Indicators'!D20</f>
        <v>0.102764996800267</v>
      </c>
      <c r="E7">
        <f>'Diagnosis Indicators'!E20</f>
        <v>0.15676367719371637</v>
      </c>
      <c r="F7">
        <f>'Diagnosis Indicators'!F20</f>
        <v>0.21478341221898631</v>
      </c>
      <c r="G7">
        <f>'Diagnosis Indicators'!G20</f>
        <v>0.27706078714531523</v>
      </c>
      <c r="H7">
        <f>'Diagnosis Indicators'!H20</f>
        <v>0.3437781156763976</v>
      </c>
      <c r="I7">
        <f>'Diagnosis Indicators'!I20</f>
        <v>0.41503649058091979</v>
      </c>
      <c r="J7">
        <f>'Diagnosis Indicators'!J20</f>
        <v>0.49082993201112912</v>
      </c>
      <c r="K7">
        <f>'Diagnosis Indicators'!K20</f>
        <v>0.57106366380400586</v>
      </c>
      <c r="L7">
        <f>'Diagnosis Indicators'!L20</f>
        <v>0.65568593673163289</v>
      </c>
      <c r="M7">
        <f>'Diagnosis Indicators'!M20</f>
        <v>0.74510936234555403</v>
      </c>
      <c r="N7">
        <f>'Diagnosis Indicators'!N20</f>
        <v>0.84127173305500091</v>
      </c>
      <c r="O7">
        <f>'Diagnosis Indicators'!O20</f>
        <v>0.95010127196972527</v>
      </c>
      <c r="P7">
        <f>'Diagnosis Indicators'!P20</f>
        <v>1.0872075172993565</v>
      </c>
      <c r="Q7">
        <f>'Diagnosis Indicators'!Q20</f>
        <v>1.2919922433655016</v>
      </c>
      <c r="R7">
        <f>'Diagnosis Indicators'!R20</f>
        <v>1.6692247611990292</v>
      </c>
      <c r="S7">
        <f>'Diagnosis Indicators'!S20</f>
        <v>2.5463349151850623</v>
      </c>
      <c r="T7">
        <f>'Diagnosis Indicators'!T20</f>
        <v>5.2122277057468862</v>
      </c>
      <c r="U7">
        <f>'Diagnosis Indicators'!U20</f>
        <v>17.356380292305825</v>
      </c>
      <c r="V7">
        <f>'Diagnosis Indicators'!V20</f>
        <v>24.661187700981397</v>
      </c>
      <c r="W7">
        <f>'Diagnosis Indicators'!W20</f>
        <v>37.849172014401027</v>
      </c>
      <c r="X7">
        <f>'Diagnosis Indicators'!X20</f>
        <v>66.438049233297647</v>
      </c>
      <c r="Y7">
        <f>'Diagnosis Indicators'!Y20</f>
        <v>158.51930164061073</v>
      </c>
    </row>
    <row r="8" spans="1:25" x14ac:dyDescent="0.2">
      <c r="A8" t="s">
        <v>142</v>
      </c>
      <c r="B8">
        <f>'Diagnosis Indicators'!B21</f>
        <v>5.7716594496607888E-3</v>
      </c>
      <c r="C8">
        <f>'Diagnosis Indicators'!C21</f>
        <v>5.4544468439656636E-2</v>
      </c>
      <c r="D8">
        <f>'Diagnosis Indicators'!D21</f>
        <v>0.10755578589722956</v>
      </c>
      <c r="E8">
        <f>'Diagnosis Indicators'!E21</f>
        <v>0.1653214227814728</v>
      </c>
      <c r="F8">
        <f>'Diagnosis Indicators'!F21</f>
        <v>0.22843755579161698</v>
      </c>
      <c r="G8">
        <f>'Diagnosis Indicators'!G21</f>
        <v>0.29759491547496619</v>
      </c>
      <c r="H8">
        <f>'Diagnosis Indicators'!H21</f>
        <v>0.37359407254672217</v>
      </c>
      <c r="I8">
        <f>'Diagnosis Indicators'!I21</f>
        <v>0.45736035672148312</v>
      </c>
      <c r="J8">
        <f>'Diagnosis Indicators'!J21</f>
        <v>0.54995277311290469</v>
      </c>
      <c r="K8">
        <f>'Diagnosis Indicators'!K21</f>
        <v>0.65256070077741857</v>
      </c>
      <c r="L8">
        <f>'Diagnosis Indicators'!L21</f>
        <v>0.76647001509177748</v>
      </c>
      <c r="M8">
        <f>'Diagnosis Indicators'!M21</f>
        <v>0.89297691960556425</v>
      </c>
      <c r="N8">
        <f>'Diagnosis Indicators'!N21</f>
        <v>1.0332179217960653</v>
      </c>
      <c r="O8">
        <f>'Diagnosis Indicators'!O21</f>
        <v>1.1878974203904171</v>
      </c>
      <c r="P8">
        <f>'Diagnosis Indicators'!P21</f>
        <v>1.3569336149436648</v>
      </c>
      <c r="Q8">
        <f>'Diagnosis Indicators'!Q21</f>
        <v>1.5391303572761192</v>
      </c>
      <c r="R8">
        <f>'Diagnosis Indicators'!R21</f>
        <v>1.7320552960049402</v>
      </c>
      <c r="S8">
        <f>'Diagnosis Indicators'!S21</f>
        <v>1.9322768007073918</v>
      </c>
      <c r="T8">
        <f>'Diagnosis Indicators'!T21</f>
        <v>2.1359199271964227</v>
      </c>
      <c r="U8">
        <f>'Diagnosis Indicators'!U21</f>
        <v>2.3393058401168192</v>
      </c>
      <c r="V8">
        <f>'Diagnosis Indicators'!V21</f>
        <v>2.3796719273890279</v>
      </c>
      <c r="W8">
        <f>'Diagnosis Indicators'!W21</f>
        <v>2.4198841118604686</v>
      </c>
      <c r="X8">
        <f>'Diagnosis Indicators'!X21</f>
        <v>2.4599236581828867</v>
      </c>
      <c r="Y8">
        <f>'Diagnosis Indicators'!Y21</f>
        <v>2.4997732536235224</v>
      </c>
    </row>
    <row r="9" spans="1:25" x14ac:dyDescent="0.2">
      <c r="A9" t="s">
        <v>147</v>
      </c>
      <c r="B9">
        <f>'Diagnosis Indicators'!B15</f>
        <v>5.7716594496607888E-3</v>
      </c>
      <c r="C9">
        <f>'Diagnosis Indicators'!C15</f>
        <v>6.5616498240300747E-2</v>
      </c>
      <c r="D9">
        <f>'Diagnosis Indicators'!D15</f>
        <v>0.13181342203824289</v>
      </c>
      <c r="E9">
        <f>'Diagnosis Indicators'!E15</f>
        <v>0.20543450485205758</v>
      </c>
      <c r="F9">
        <f>'Diagnosis Indicators'!F15</f>
        <v>0.28784197562625469</v>
      </c>
      <c r="G9">
        <f>'Diagnosis Indicators'!G15</f>
        <v>0.38079873710260864</v>
      </c>
      <c r="H9">
        <f>'Diagnosis Indicators'!H15</f>
        <v>0.48666362384898798</v>
      </c>
      <c r="I9">
        <f>'Diagnosis Indicators'!I15</f>
        <v>0.60868864076198759</v>
      </c>
      <c r="J9">
        <f>'Diagnosis Indicators'!J15</f>
        <v>0.75153893966106733</v>
      </c>
      <c r="K9">
        <f>'Diagnosis Indicators'!K15</f>
        <v>0.92219948215090064</v>
      </c>
      <c r="L9">
        <f>'Diagnosis Indicators'!L15</f>
        <v>1.1316700094855048</v>
      </c>
      <c r="M9">
        <f>'Diagnosis Indicators'!M15</f>
        <v>1.3982773759548766</v>
      </c>
      <c r="N9">
        <f>'Diagnosis Indicators'!N15</f>
        <v>1.7545896179924685</v>
      </c>
      <c r="O9">
        <f>'Diagnosis Indicators'!O15</f>
        <v>2.2626611176836349</v>
      </c>
      <c r="P9">
        <f>'Diagnosis Indicators'!P15</f>
        <v>3.0490216087508868</v>
      </c>
      <c r="Q9">
        <f>'Diagnosis Indicators'!Q15</f>
        <v>4.3841612739186493</v>
      </c>
      <c r="R9">
        <f>'Diagnosis Indicators'!R15</f>
        <v>6.8569939480158482</v>
      </c>
      <c r="S9">
        <f>'Diagnosis Indicators'!S15</f>
        <v>0</v>
      </c>
      <c r="T9">
        <f>'Diagnosis Indicators'!T15</f>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6</vt:i4>
      </vt:variant>
      <vt:variant>
        <vt:lpstr>Plages nommées</vt:lpstr>
      </vt:variant>
      <vt:variant>
        <vt:i4>182</vt:i4>
      </vt:variant>
    </vt:vector>
  </HeadingPairs>
  <TitlesOfParts>
    <vt:vector size="203" baseType="lpstr">
      <vt:lpstr>Calibration</vt:lpstr>
      <vt:lpstr>Model</vt:lpstr>
      <vt:lpstr>Results</vt:lpstr>
      <vt:lpstr>NeoClassical</vt:lpstr>
      <vt:lpstr>Johansen</vt:lpstr>
      <vt:lpstr>Kaldorian</vt:lpstr>
      <vt:lpstr>Keynes-M</vt:lpstr>
      <vt:lpstr>Keynesian</vt:lpstr>
      <vt:lpstr>Keynes-K</vt:lpstr>
      <vt:lpstr>Neo-K1</vt:lpstr>
      <vt:lpstr>Neo-K2</vt:lpstr>
      <vt:lpstr>Diagnosis Indicators</vt:lpstr>
      <vt:lpstr>Utility_Export</vt:lpstr>
      <vt:lpstr>PShare_export</vt:lpstr>
      <vt:lpstr>Tax_export</vt:lpstr>
      <vt:lpstr>Welfare</vt:lpstr>
      <vt:lpstr>Tax</vt:lpstr>
      <vt:lpstr>GDP</vt:lpstr>
      <vt:lpstr>Inv</vt:lpstr>
      <vt:lpstr>Kshare</vt:lpstr>
      <vt:lpstr>U</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2025-07-03T15:34:33Z</dcterms:modified>
</cp:coreProperties>
</file>