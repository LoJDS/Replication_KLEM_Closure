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1.xml" ContentType="application/vnd.openxmlformats-officedocument.spreadsheetml.chart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louis\OneDrive\Documents\GitHub\Replication_KLEM_Closure\Sensitivity_Analysis\"/>
    </mc:Choice>
  </mc:AlternateContent>
  <xr:revisionPtr revIDLastSave="0" documentId="13_ncr:1_{B9877A77-DD4B-4C7B-9404-6456F084CE72}" xr6:coauthVersionLast="47" xr6:coauthVersionMax="47" xr10:uidLastSave="{00000000-0000-0000-0000-000000000000}"/>
  <bookViews>
    <workbookView xWindow="-110" yWindow="-110" windowWidth="19420" windowHeight="11500" tabRatio="887" firstSheet="10" activeTab="17" xr2:uid="{00000000-000D-0000-FFFF-FFFF00000000}"/>
  </bookViews>
  <sheets>
    <sheet name="Calibration" sheetId="1" r:id="rId1"/>
    <sheet name="Model" sheetId="2" r:id="rId2"/>
    <sheet name="Results" sheetId="3" r:id="rId3"/>
    <sheet name="NeoClassical" sheetId="11" r:id="rId4"/>
    <sheet name="Johansen" sheetId="12" r:id="rId5"/>
    <sheet name="Kaldorian" sheetId="22" r:id="rId6"/>
    <sheet name="Keynes-M" sheetId="18" r:id="rId7"/>
    <sheet name="Keynesian" sheetId="24" r:id="rId8"/>
    <sheet name="Keynes-K" sheetId="21" r:id="rId9"/>
    <sheet name="Neo-K1" sheetId="38" r:id="rId10"/>
    <sheet name="Neo-K2" sheetId="35" r:id="rId11"/>
    <sheet name="NC heteroS" sheetId="32" r:id="rId12"/>
    <sheet name="Keynes-I" sheetId="36" r:id="rId13"/>
    <sheet name="GraphU" sheetId="34" r:id="rId14"/>
    <sheet name="Diagnosis Indicators" sheetId="23" r:id="rId15"/>
    <sheet name="Tax_export" sheetId="40" r:id="rId16"/>
    <sheet name="PShare_export" sheetId="41" r:id="rId17"/>
    <sheet name="Utility_Export" sheetId="42" r:id="rId18"/>
    <sheet name="Utility-Export" sheetId="39" r:id="rId19"/>
    <sheet name="GraphPi" sheetId="37" r:id="rId20"/>
    <sheet name="G Tax" sheetId="7" r:id="rId21"/>
  </sheets>
  <functionGroups builtInGroupCount="19"/>
  <definedNames>
    <definedName name="AGGREGATES" localSheetId="0">Calibration!$C$55:$C$59</definedName>
    <definedName name="AGGREGATES" localSheetId="1">Model!$C$55:$C$60</definedName>
    <definedName name="aKL">Calibration!$C$82:$D$82</definedName>
    <definedName name="aKLE">Calibration!$C$87:$D$87</definedName>
    <definedName name="alpha" localSheetId="0">Calibration!$C$70:$D$71</definedName>
    <definedName name="alpha" localSheetId="1">Model!$C$70:$D$71</definedName>
    <definedName name="alphaEY" localSheetId="0">Calibration!$C$71:$D$71</definedName>
    <definedName name="alphaEY" localSheetId="1">Model!$C$71:$D$71</definedName>
    <definedName name="alphaMY" localSheetId="0">Calibration!$C$70:$D$70</definedName>
    <definedName name="alphaMY" localSheetId="1">Model!$C$70:$D$70</definedName>
    <definedName name="aS">Calibration!$C$77:$D$77</definedName>
    <definedName name="aU">Calibration!$C$104</definedName>
    <definedName name="aX">Calibration!$C$97:$D$97</definedName>
    <definedName name="aY">Calibration!$C$92:$D$92</definedName>
    <definedName name="B" localSheetId="0">Calibration!$C$59</definedName>
    <definedName name="B" localSheetId="1">Model!$C$59</definedName>
    <definedName name="bKL">Calibration!$C$83:$D$83</definedName>
    <definedName name="bKLE">Calibration!$C$88:$D$88</definedName>
    <definedName name="bS">Calibration!$C$78:$D$78</definedName>
    <definedName name="bU">Calibration!$C$105</definedName>
    <definedName name="bX">Calibration!$C$98:$D$98</definedName>
    <definedName name="bY">Calibration!$C$93:$D$93</definedName>
    <definedName name="CE" localSheetId="0">Calibration!$D$41</definedName>
    <definedName name="CE" localSheetId="1">Model!$D$41</definedName>
    <definedName name="Consumption" localSheetId="0">Calibration!$C$41:$D$41</definedName>
    <definedName name="Consumption" localSheetId="1">Model!$C$41:$D$41</definedName>
    <definedName name="CPI" localSheetId="1">Model!$C$60</definedName>
    <definedName name="CQ" localSheetId="0">Calibration!$C$41</definedName>
    <definedName name="CQ" localSheetId="1">Model!$C$41</definedName>
    <definedName name="D" localSheetId="0">Calibration!$C$40:$D$40</definedName>
    <definedName name="D" localSheetId="1">Model!$C$40:$D$40</definedName>
    <definedName name="DE" localSheetId="0">Calibration!$D$40</definedName>
    <definedName name="DE" localSheetId="1">Model!$D$40</definedName>
    <definedName name="epsilonE">Calibration!$D$109</definedName>
    <definedName name="ERROR1">Model!$K$21:$L$21</definedName>
    <definedName name="ERROR10">Model!$K$37:$L$37</definedName>
    <definedName name="ERROR11">Model!$K$23:$L$23</definedName>
    <definedName name="ERROR12">Model!$K$34:$L$34</definedName>
    <definedName name="ERROR2">Model!$K$59</definedName>
    <definedName name="ERROR3">Model!$K$55</definedName>
    <definedName name="ERROR4">Model!$K$39:$L$39</definedName>
    <definedName name="ERROR5">Model!$K$41</definedName>
    <definedName name="ERROR6">Model!$K$56</definedName>
    <definedName name="ERROR7">Model!$K$57</definedName>
    <definedName name="ERROR8">Model!$K$58</definedName>
    <definedName name="ERROR9">Model!$L$58</definedName>
    <definedName name="FACTORS" localSheetId="0">Calibration!$C$70:$D$73</definedName>
    <definedName name="FACTORS" localSheetId="1">Model!$C$70:$D$73</definedName>
    <definedName name="G" localSheetId="0">Calibration!$C$42:$D$42</definedName>
    <definedName name="G" localSheetId="1">Model!$C$42:$D$42</definedName>
    <definedName name="GDP" localSheetId="0">Calibration!$C$57</definedName>
    <definedName name="GDP" localSheetId="1">Model!$C$57</definedName>
    <definedName name="I" localSheetId="0">Calibration!$C$43:$D$43</definedName>
    <definedName name="I" localSheetId="1">Model!$C$43:$D$43</definedName>
    <definedName name="K" localSheetId="0">Calibration!$C$46:$D$46</definedName>
    <definedName name="K" localSheetId="1">Model!$C$46:$D$46</definedName>
    <definedName name="kappa" localSheetId="0">Calibration!$C$73:$D$73</definedName>
    <definedName name="kappa" localSheetId="1">Model!$C$73:$D$73</definedName>
    <definedName name="KL" localSheetId="0">Calibration!$C$47:$D$47</definedName>
    <definedName name="KL" localSheetId="1">Model!$C$47:$D$47</definedName>
    <definedName name="KL_E" localSheetId="0">Calibration!$D$47</definedName>
    <definedName name="KL_E" localSheetId="1">Model!$D$47</definedName>
    <definedName name="KL_Q" localSheetId="0">Calibration!$C$47</definedName>
    <definedName name="KL_Q" localSheetId="1">Model!$C$47</definedName>
    <definedName name="KLE" localSheetId="0">Calibration!$C$48:$D$48</definedName>
    <definedName name="KLE" localSheetId="1">Model!$C$48:$D$48</definedName>
    <definedName name="KLQ" localSheetId="1">Model!$C$47</definedName>
    <definedName name="Labour" localSheetId="0">Calibration!$C$45:$D$45</definedName>
    <definedName name="Labour" localSheetId="1">Model!$C$45:$D$45</definedName>
    <definedName name="Labour_E" localSheetId="0">Calibration!$D$45</definedName>
    <definedName name="Labour_E" localSheetId="1">Model!$D$45</definedName>
    <definedName name="Labour_Q" localSheetId="0">Calibration!$C$45</definedName>
    <definedName name="Labour_Q" localSheetId="1">Model!$C$45</definedName>
    <definedName name="LabourQ" localSheetId="1">Model!$C$45</definedName>
    <definedName name="lambda" localSheetId="0">Calibration!$C$72:$D$72</definedName>
    <definedName name="lambda" localSheetId="1">Model!$C$72:$D$72</definedName>
    <definedName name="M" localSheetId="0">Calibration!$C$38:$D$38</definedName>
    <definedName name="M" localSheetId="1">Model!$C$38:$D$38</definedName>
    <definedName name="MAXERROR">Model!$L$17</definedName>
    <definedName name="omegaG" localSheetId="0">Calibration!$C$62</definedName>
    <definedName name="omegaG" localSheetId="1">Model!$C$62</definedName>
    <definedName name="omegaI" localSheetId="0">Calibration!$C$63</definedName>
    <definedName name="omegaI" localSheetId="1">Model!$C$63</definedName>
    <definedName name="pC" localSheetId="0">Calibration!$C$27:$D$27</definedName>
    <definedName name="pC" localSheetId="1">Model!$C$27:$D$27</definedName>
    <definedName name="pCE" localSheetId="0">Calibration!$D$27</definedName>
    <definedName name="pCE" localSheetId="1">Model!$D$27</definedName>
    <definedName name="pCQ" localSheetId="0">Calibration!$C$27</definedName>
    <definedName name="pCQ" localSheetId="1">Model!$C$27</definedName>
    <definedName name="pD" localSheetId="0">Calibration!$C$24:$D$24</definedName>
    <definedName name="pD" localSheetId="1">Model!$C$24:$D$24</definedName>
    <definedName name="pEY" localSheetId="0">Calibration!$C$26:$D$26</definedName>
    <definedName name="pEY" localSheetId="1">Model!$C$26:$D$26</definedName>
    <definedName name="pG" localSheetId="0">Calibration!$C$28:$D$28</definedName>
    <definedName name="pG" localSheetId="1">Model!$C$28:$D$28</definedName>
    <definedName name="pI" localSheetId="0">Calibration!$C$29:$D$29</definedName>
    <definedName name="pI" localSheetId="1">Model!$C$29:$D$29</definedName>
    <definedName name="pIC" localSheetId="0">Calibration!$C$25:$D$26</definedName>
    <definedName name="pIC" localSheetId="1">Model!$C$25:$D$26</definedName>
    <definedName name="pK" localSheetId="0">Calibration!$C$33:$D$33</definedName>
    <definedName name="pK" localSheetId="1">Model!$C$33:$D$33</definedName>
    <definedName name="pKL" localSheetId="0">Calibration!$C$34:$D$34</definedName>
    <definedName name="pKL" localSheetId="1">Model!$C$34:$D$34</definedName>
    <definedName name="pKLE" localSheetId="0">Calibration!$C$35:$D$35</definedName>
    <definedName name="pKLE" localSheetId="1">Model!$C$35:$D$35</definedName>
    <definedName name="pL" localSheetId="0">Calibration!$C$32:$D$32</definedName>
    <definedName name="pL" localSheetId="1">Model!$C$32:$D$32</definedName>
    <definedName name="pMY" localSheetId="0">Calibration!$C$25:$D$25</definedName>
    <definedName name="pMY" localSheetId="1">Model!$C$25:$D$25</definedName>
    <definedName name="pQ" localSheetId="0">Calibration!$C$23:$D$23</definedName>
    <definedName name="pQ" localSheetId="1">Model!$C$23:$D$23</definedName>
    <definedName name="PRICES" localSheetId="0">Calibration!$C$21:$D$35</definedName>
    <definedName name="PRICES" localSheetId="1">Model!$C$21:$D$35</definedName>
    <definedName name="pS" localSheetId="0">Calibration!$C$23:$D$23</definedName>
    <definedName name="pS" localSheetId="1">Model!$C$23:$D$23</definedName>
    <definedName name="pW" localSheetId="0">Calibration!$C$22:$D$22</definedName>
    <definedName name="pW" localSheetId="1">Model!$C$22:$D$22</definedName>
    <definedName name="pX" localSheetId="0">Calibration!$C$30:$D$30</definedName>
    <definedName name="pX" localSheetId="1">Model!$C$30:$D$30</definedName>
    <definedName name="pY" localSheetId="0">Calibration!$C$21:$D$21</definedName>
    <definedName name="pY" localSheetId="1">Model!$C$21:$D$21</definedName>
    <definedName name="Revenue" localSheetId="0">Calibration!$C$58</definedName>
    <definedName name="Revenue" localSheetId="1">Model!$C$58</definedName>
    <definedName name="rhoKL">Calibration!$C$85:$D$85</definedName>
    <definedName name="rhoKLE">Calibration!$C$90:$D$90</definedName>
    <definedName name="rhoS">Calibration!$C$80:$D$80</definedName>
    <definedName name="rhoU">Calibration!$C$107</definedName>
    <definedName name="rhoX">Calibration!$C$100:$D$100</definedName>
    <definedName name="rhoY">Calibration!$C$95:$D$95</definedName>
    <definedName name="S" localSheetId="0">Calibration!$C$39:$D$39</definedName>
    <definedName name="S" localSheetId="1">Model!$C$39:$D$39</definedName>
    <definedName name="sD" localSheetId="0">Calibration!$C$64</definedName>
    <definedName name="sD" localSheetId="1">Model!$C$64</definedName>
    <definedName name="SE" localSheetId="0">Calibration!$D$39</definedName>
    <definedName name="SE" localSheetId="1">Model!$D$39</definedName>
    <definedName name="sG" localSheetId="0">Calibration!$C$67</definedName>
    <definedName name="sG" localSheetId="1">Model!$C$67</definedName>
    <definedName name="sigmaKL">Calibration!$C$84:$D$84</definedName>
    <definedName name="sigmaKLE">Calibration!$C$89:$D$89</definedName>
    <definedName name="sigmaS">Calibration!$C$79:$D$79</definedName>
    <definedName name="sigmaU">Calibration!$C$106</definedName>
    <definedName name="sigmaw">Calibration!$C$102</definedName>
    <definedName name="sigmaX">Calibration!$C$99:$D$99</definedName>
    <definedName name="sigmaY">Calibration!$C$94:$D$94</definedName>
    <definedName name="sK" localSheetId="0">Calibration!$C$65</definedName>
    <definedName name="sK" localSheetId="1">Model!$C$65</definedName>
    <definedName name="sL" localSheetId="0">Calibration!$C$66</definedName>
    <definedName name="sL" localSheetId="1">Model!$C$66</definedName>
    <definedName name="solver_adj" localSheetId="0" hidden="1">Calibration!$C$66</definedName>
    <definedName name="solver_adj" localSheetId="1" hidden="1">Model!$C$80:$D$89</definedName>
    <definedName name="solver_cvg" localSheetId="0" hidden="1">0.0001</definedName>
    <definedName name="solver_cvg" localSheetId="1" hidden="1">1E-99</definedName>
    <definedName name="solver_drv" localSheetId="0" hidden="1">1</definedName>
    <definedName name="solver_drv" localSheetId="1" hidden="1">2</definedName>
    <definedName name="solver_eng" localSheetId="0" hidden="1">1</definedName>
    <definedName name="solver_eng" localSheetId="1" hidden="1">1</definedName>
    <definedName name="solver_est" localSheetId="0" hidden="1">1</definedName>
    <definedName name="solver_est" localSheetId="1" hidden="1">2</definedName>
    <definedName name="solver_itr" localSheetId="0" hidden="1">2147483647</definedName>
    <definedName name="solver_itr" localSheetId="1" hidden="1">1000</definedName>
    <definedName name="solver_lhs1" localSheetId="0" hidden="1">Calibration!$K$53:$L$53</definedName>
    <definedName name="solver_lhs1" localSheetId="1" hidden="1">Model!$K$21:$L$21</definedName>
    <definedName name="solver_lhs10" localSheetId="1" hidden="1">Model!$K$37:$L$37</definedName>
    <definedName name="solver_lhs11" localSheetId="1" hidden="1">Model!$K$23:$L$23</definedName>
    <definedName name="solver_lhs12" localSheetId="1" hidden="1">Model!$K$34:$L$34</definedName>
    <definedName name="solver_lhs2" localSheetId="0" hidden="1">Calibration!$K$53:$L$53</definedName>
    <definedName name="solver_lhs2" localSheetId="1" hidden="1">Model!$K$59</definedName>
    <definedName name="solver_lhs3" localSheetId="0" hidden="1">Calibration!$K$53:$L$53</definedName>
    <definedName name="solver_lhs3" localSheetId="1" hidden="1">Model!$K$55</definedName>
    <definedName name="solver_lhs4" localSheetId="0" hidden="1">Calibration!$K$53:$L$53</definedName>
    <definedName name="solver_lhs4" localSheetId="1" hidden="1">Model!$K$39:$L$39</definedName>
    <definedName name="solver_lhs5" localSheetId="0" hidden="1">Calibration!$K$53:$L$53</definedName>
    <definedName name="solver_lhs5" localSheetId="1" hidden="1">Model!$K$41</definedName>
    <definedName name="solver_lhs6" localSheetId="1" hidden="1">Model!$K$56</definedName>
    <definedName name="solver_lhs7" localSheetId="1" hidden="1">Model!$K$57</definedName>
    <definedName name="solver_lhs8" localSheetId="1" hidden="1">Model!$K$58</definedName>
    <definedName name="solver_lhs9" localSheetId="1" hidden="1">Model!$L$58</definedName>
    <definedName name="solver_lin" localSheetId="1" hidden="1">2</definedName>
    <definedName name="solver_mip" localSheetId="0" hidden="1">2147483647</definedName>
    <definedName name="solver_mip" localSheetId="1" hidden="1">2147483647</definedName>
    <definedName name="solver_mni" localSheetId="0" hidden="1">30</definedName>
    <definedName name="solver_mni" localSheetId="1" hidden="1">30</definedName>
    <definedName name="solver_mrt" localSheetId="0" hidden="1">0.075</definedName>
    <definedName name="solver_mrt" localSheetId="1" hidden="1">0.075</definedName>
    <definedName name="solver_msl" localSheetId="0" hidden="1">2</definedName>
    <definedName name="solver_msl" localSheetId="1" hidden="1">2</definedName>
    <definedName name="solver_neg" localSheetId="0" hidden="1">2</definedName>
    <definedName name="solver_neg" localSheetId="1" hidden="1">1</definedName>
    <definedName name="solver_nod" localSheetId="0" hidden="1">2147483647</definedName>
    <definedName name="solver_nod" localSheetId="1" hidden="1">2147483647</definedName>
    <definedName name="solver_num" localSheetId="0" hidden="1">0</definedName>
    <definedName name="solver_num" localSheetId="1" hidden="1">12</definedName>
    <definedName name="solver_nwt" localSheetId="0" hidden="1">1</definedName>
    <definedName name="solver_nwt" localSheetId="1" hidden="1">1</definedName>
    <definedName name="solver_opt" localSheetId="0" hidden="1">Calibration!$K$65</definedName>
    <definedName name="solver_opt" localSheetId="1" hidden="1">Model!$K$41</definedName>
    <definedName name="solver_pre" localSheetId="0" hidden="1">0.000000000001</definedName>
    <definedName name="solver_pre" localSheetId="1" hidden="1">0.000001</definedName>
    <definedName name="solver_rbv" localSheetId="0" hidden="1">1</definedName>
    <definedName name="solver_rbv" localSheetId="1" hidden="1">1</definedName>
    <definedName name="solver_rel1" localSheetId="0" hidden="1">2</definedName>
    <definedName name="solver_rel1" localSheetId="1" hidden="1">2</definedName>
    <definedName name="solver_rel10" localSheetId="1" hidden="1">2</definedName>
    <definedName name="solver_rel11" localSheetId="1" hidden="1">2</definedName>
    <definedName name="solver_rel12" localSheetId="1" hidden="1">2</definedName>
    <definedName name="solver_rel2" localSheetId="0" hidden="1">2</definedName>
    <definedName name="solver_rel2" localSheetId="1" hidden="1">2</definedName>
    <definedName name="solver_rel3" localSheetId="0" hidden="1">2</definedName>
    <definedName name="solver_rel3" localSheetId="1" hidden="1">2</definedName>
    <definedName name="solver_rel4" localSheetId="0" hidden="1">2</definedName>
    <definedName name="solver_rel4" localSheetId="1" hidden="1">2</definedName>
    <definedName name="solver_rel5" localSheetId="0" hidden="1">2</definedName>
    <definedName name="solver_rel5" localSheetId="1" hidden="1">2</definedName>
    <definedName name="solver_rel6" localSheetId="1" hidden="1">2</definedName>
    <definedName name="solver_rel7" localSheetId="1" hidden="1">2</definedName>
    <definedName name="solver_rel8" localSheetId="1" hidden="1">2</definedName>
    <definedName name="solver_rel9" localSheetId="1" hidden="1">2</definedName>
    <definedName name="solver_rhs1" localSheetId="0" hidden="1">0</definedName>
    <definedName name="solver_rhs1" localSheetId="1" hidden="1">0</definedName>
    <definedName name="solver_rhs10" localSheetId="1" hidden="1">0</definedName>
    <definedName name="solver_rhs11" localSheetId="1" hidden="1">0</definedName>
    <definedName name="solver_rhs12" localSheetId="1" hidden="1">0</definedName>
    <definedName name="solver_rhs2" localSheetId="0" hidden="1">0</definedName>
    <definedName name="solver_rhs2" localSheetId="1" hidden="1">0</definedName>
    <definedName name="solver_rhs3" localSheetId="0" hidden="1">0</definedName>
    <definedName name="solver_rhs3" localSheetId="1" hidden="1">0</definedName>
    <definedName name="solver_rhs4" localSheetId="0" hidden="1">0</definedName>
    <definedName name="solver_rhs4" localSheetId="1" hidden="1">0</definedName>
    <definedName name="solver_rhs5" localSheetId="0" hidden="1">0</definedName>
    <definedName name="solver_rhs5" localSheetId="1" hidden="1">0</definedName>
    <definedName name="solver_rhs6" localSheetId="1" hidden="1">0</definedName>
    <definedName name="solver_rhs7" localSheetId="1" hidden="1">0</definedName>
    <definedName name="solver_rhs8" localSheetId="1" hidden="1">0</definedName>
    <definedName name="solver_rhs9" localSheetId="1" hidden="1">0</definedName>
    <definedName name="solver_rlx" localSheetId="0" hidden="1">2</definedName>
    <definedName name="solver_rlx" localSheetId="1" hidden="1">2</definedName>
    <definedName name="solver_rsd" localSheetId="0" hidden="1">0</definedName>
    <definedName name="solver_rsd" localSheetId="1" hidden="1">0</definedName>
    <definedName name="solver_scl" localSheetId="0" hidden="1">1</definedName>
    <definedName name="solver_scl" localSheetId="1" hidden="1">1</definedName>
    <definedName name="solver_sho" localSheetId="0" hidden="1">2</definedName>
    <definedName name="solver_sho" localSheetId="1" hidden="1">2</definedName>
    <definedName name="solver_ssz" localSheetId="0" hidden="1">100</definedName>
    <definedName name="solver_ssz" localSheetId="1" hidden="1">100</definedName>
    <definedName name="solver_tim" localSheetId="0" hidden="1">2147483647</definedName>
    <definedName name="solver_tim" localSheetId="1" hidden="1">1000</definedName>
    <definedName name="solver_tol" localSheetId="0" hidden="1">0.01</definedName>
    <definedName name="solver_tol" localSheetId="1" hidden="1">0.01</definedName>
    <definedName name="solver_typ" localSheetId="0" hidden="1">3</definedName>
    <definedName name="solver_typ" localSheetId="1" hidden="1">3</definedName>
    <definedName name="solver_val" localSheetId="0" hidden="1">0</definedName>
    <definedName name="solver_val" localSheetId="1" hidden="1">0</definedName>
    <definedName name="solver_ver" localSheetId="0" hidden="1">3</definedName>
    <definedName name="solver_ver" localSheetId="1" hidden="1">3</definedName>
    <definedName name="T" localSheetId="0">Calibration!$C$55</definedName>
    <definedName name="T">Model!$C$55</definedName>
    <definedName name="Target">Model!$I$41</definedName>
    <definedName name="tauL" localSheetId="0">Calibration!$C$50:$D$50</definedName>
    <definedName name="tauL" localSheetId="1">Model!$C$50:$D$50</definedName>
    <definedName name="tauTS" localSheetId="0">Calibration!$C$52:$D$52</definedName>
    <definedName name="tauTS" localSheetId="1">Model!$C$52:$D$52</definedName>
    <definedName name="tauTS2" localSheetId="1">Model!$D$52</definedName>
    <definedName name="tauTVA" localSheetId="0">Calibration!$C$52:$D$52</definedName>
    <definedName name="tauTVA" localSheetId="1">Model!$C$52:$D$52</definedName>
    <definedName name="tauY" localSheetId="0">Calibration!$C$51:$D$51</definedName>
    <definedName name="tauY" localSheetId="1">Model!$C$51:$D$51</definedName>
    <definedName name="tEXC" localSheetId="0">Calibration!$C$53:$D$53</definedName>
    <definedName name="tEXC" localSheetId="1">Model!$C$53:$D$53</definedName>
    <definedName name="tEXC1" localSheetId="0">Calibration!$C$53</definedName>
    <definedName name="tEXC1" localSheetId="1">Model!$C$53</definedName>
    <definedName name="tEXC2" localSheetId="0">Calibration!$D$53</definedName>
    <definedName name="tEXC2" localSheetId="1">Model!$D$53</definedName>
    <definedName name="U" localSheetId="0">Calibration!$C$56</definedName>
    <definedName name="U" localSheetId="1">Model!$C$56</definedName>
    <definedName name="VARIABLES" localSheetId="0">Calibration!$C$114:$D$123</definedName>
    <definedName name="VARIABLES" localSheetId="1">Model!$C$80:$D$89</definedName>
    <definedName name="VOLUMES" localSheetId="0">Calibration!$C$37:$D$48</definedName>
    <definedName name="VOLUMES" localSheetId="1">Model!$C$37:$D$48</definedName>
    <definedName name="w" localSheetId="0">Calibration!$C$31:$D$31</definedName>
    <definedName name="w" localSheetId="1">Model!$C$31:$D$31</definedName>
    <definedName name="wE" localSheetId="1">Model!$D$31</definedName>
    <definedName name="wQ" localSheetId="1">Model!$C$31</definedName>
    <definedName name="X" localSheetId="0">Calibration!$C$44:$D$44</definedName>
    <definedName name="X" localSheetId="1">Model!$C$44:$D$44</definedName>
    <definedName name="XE" localSheetId="0">Calibration!$D$44</definedName>
    <definedName name="XE" localSheetId="1">Model!$D$44</definedName>
    <definedName name="Y" localSheetId="0">Calibration!$C$37:$D$37</definedName>
    <definedName name="Y" localSheetId="1">Model!$C$37:$D$37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3" i="42" l="1"/>
  <c r="Q3" i="39"/>
  <c r="R3" i="39"/>
  <c r="S3" i="39"/>
  <c r="T3" i="39"/>
  <c r="U3" i="39"/>
  <c r="V3" i="39"/>
  <c r="W3" i="39"/>
  <c r="X3" i="39"/>
  <c r="Y3" i="39"/>
  <c r="X4" i="23"/>
  <c r="Q3" i="42"/>
  <c r="R3" i="42"/>
  <c r="S3" i="42"/>
  <c r="T3" i="42"/>
  <c r="U3" i="42"/>
  <c r="V3" i="42"/>
  <c r="W3" i="42"/>
  <c r="W7" i="23"/>
  <c r="V7" i="23"/>
  <c r="U7" i="23"/>
  <c r="T7" i="23"/>
  <c r="S7" i="23"/>
  <c r="R7" i="23"/>
  <c r="Q7" i="23"/>
  <c r="Q22" i="23" s="1"/>
  <c r="P7" i="23"/>
  <c r="O7" i="23"/>
  <c r="O22" i="23" s="1"/>
  <c r="N7" i="23"/>
  <c r="L7" i="23"/>
  <c r="M7" i="23"/>
  <c r="M6" i="42" s="1"/>
  <c r="N22" i="23"/>
  <c r="Q6" i="42"/>
  <c r="R6" i="42"/>
  <c r="S6" i="42"/>
  <c r="T6" i="42"/>
  <c r="U22" i="23"/>
  <c r="X7" i="23"/>
  <c r="Y7" i="23"/>
  <c r="Y6" i="23"/>
  <c r="X6" i="23"/>
  <c r="W6" i="23"/>
  <c r="W21" i="23" s="1"/>
  <c r="U6" i="23"/>
  <c r="V6" i="23"/>
  <c r="Y21" i="23"/>
  <c r="Y8" i="23"/>
  <c r="Y4" i="23"/>
  <c r="X5" i="23"/>
  <c r="V4" i="23"/>
  <c r="U4" i="23"/>
  <c r="T4" i="23"/>
  <c r="S4" i="23"/>
  <c r="R4" i="23"/>
  <c r="T6" i="23"/>
  <c r="T5" i="42" s="1"/>
  <c r="S6" i="23"/>
  <c r="S5" i="42" s="1"/>
  <c r="K7" i="23"/>
  <c r="P22" i="23"/>
  <c r="W4" i="23"/>
  <c r="T21" i="23"/>
  <c r="U21" i="23"/>
  <c r="V21" i="23"/>
  <c r="X21" i="23"/>
  <c r="L22" i="23"/>
  <c r="M22" i="23"/>
  <c r="Q5" i="42"/>
  <c r="R5" i="42"/>
  <c r="U5" i="42"/>
  <c r="V5" i="42"/>
  <c r="W5" i="42"/>
  <c r="L6" i="42"/>
  <c r="N6" i="42"/>
  <c r="P6" i="42"/>
  <c r="W8" i="42"/>
  <c r="J7" i="42"/>
  <c r="K7" i="42"/>
  <c r="L7" i="42"/>
  <c r="M7" i="42"/>
  <c r="N7" i="42"/>
  <c r="O7" i="42"/>
  <c r="P7" i="42"/>
  <c r="Q7" i="42"/>
  <c r="R7" i="42"/>
  <c r="S7" i="42"/>
  <c r="T7" i="42"/>
  <c r="Q3" i="41"/>
  <c r="R3" i="41"/>
  <c r="S3" i="41"/>
  <c r="T3" i="41"/>
  <c r="U3" i="41"/>
  <c r="V3" i="41"/>
  <c r="W3" i="41"/>
  <c r="Q5" i="41"/>
  <c r="R5" i="41"/>
  <c r="S5" i="41"/>
  <c r="T5" i="41"/>
  <c r="U5" i="41"/>
  <c r="V5" i="41"/>
  <c r="W5" i="41"/>
  <c r="M6" i="41"/>
  <c r="N6" i="41"/>
  <c r="O6" i="41"/>
  <c r="P6" i="41"/>
  <c r="Q6" i="41"/>
  <c r="R6" i="41"/>
  <c r="S6" i="41"/>
  <c r="T6" i="41"/>
  <c r="U6" i="41"/>
  <c r="J7" i="41"/>
  <c r="K7" i="41"/>
  <c r="L7" i="41"/>
  <c r="M7" i="41"/>
  <c r="N7" i="41"/>
  <c r="O7" i="41"/>
  <c r="P7" i="41"/>
  <c r="Q7" i="41"/>
  <c r="R7" i="41"/>
  <c r="S7" i="41"/>
  <c r="T7" i="41"/>
  <c r="M6" i="40"/>
  <c r="N6" i="40"/>
  <c r="O6" i="40"/>
  <c r="P6" i="40"/>
  <c r="Q6" i="40"/>
  <c r="R6" i="40"/>
  <c r="S6" i="40"/>
  <c r="T6" i="40"/>
  <c r="U6" i="40"/>
  <c r="Q5" i="40"/>
  <c r="R5" i="40"/>
  <c r="S5" i="40"/>
  <c r="T5" i="40"/>
  <c r="U5" i="40"/>
  <c r="V5" i="40"/>
  <c r="W5" i="40"/>
  <c r="Q3" i="40"/>
  <c r="R3" i="40"/>
  <c r="S3" i="40"/>
  <c r="T3" i="40"/>
  <c r="U3" i="40"/>
  <c r="V3" i="40"/>
  <c r="W3" i="40"/>
  <c r="W8" i="40"/>
  <c r="S7" i="40"/>
  <c r="T7" i="40"/>
  <c r="P7" i="40"/>
  <c r="Q7" i="40"/>
  <c r="R7" i="40"/>
  <c r="J7" i="40"/>
  <c r="K7" i="40"/>
  <c r="L7" i="40"/>
  <c r="M7" i="40"/>
  <c r="N7" i="40"/>
  <c r="O7" i="40"/>
  <c r="AR83" i="35"/>
  <c r="AV82" i="35"/>
  <c r="AR81" i="35"/>
  <c r="AP81" i="35"/>
  <c r="AJ81" i="35"/>
  <c r="AH81" i="35"/>
  <c r="AF81" i="35"/>
  <c r="AB81" i="35"/>
  <c r="Z81" i="35"/>
  <c r="T81" i="35"/>
  <c r="R81" i="35"/>
  <c r="L81" i="35"/>
  <c r="J81" i="35"/>
  <c r="D81" i="35"/>
  <c r="B81" i="35"/>
  <c r="AV80" i="35"/>
  <c r="AR80" i="35"/>
  <c r="AP80" i="35"/>
  <c r="AJ80" i="35"/>
  <c r="AH80" i="35"/>
  <c r="AB80" i="35"/>
  <c r="Z80" i="35"/>
  <c r="V80" i="35"/>
  <c r="T80" i="35"/>
  <c r="R80" i="35"/>
  <c r="P80" i="35"/>
  <c r="L80" i="35"/>
  <c r="J80" i="35"/>
  <c r="D80" i="35"/>
  <c r="B80" i="35"/>
  <c r="AV79" i="35"/>
  <c r="AV79" i="35" a="1"/>
  <c r="AT79" i="35" a="1"/>
  <c r="AT79" i="35" s="1"/>
  <c r="AR79" i="35" a="1"/>
  <c r="AR79" i="35" s="1"/>
  <c r="AP79" i="35" a="1"/>
  <c r="AP79" i="35" s="1"/>
  <c r="AN79" i="35"/>
  <c r="AN79" i="35" a="1"/>
  <c r="AL79" i="35" a="1"/>
  <c r="AL79" i="35" s="1"/>
  <c r="AJ79" i="35" a="1"/>
  <c r="AJ79" i="35" s="1"/>
  <c r="AH79" i="35" a="1"/>
  <c r="AH79" i="35" s="1"/>
  <c r="AF79" i="35"/>
  <c r="AF79" i="35" a="1"/>
  <c r="AD79" i="35" a="1"/>
  <c r="AD79" i="35" s="1"/>
  <c r="AB79" i="35" a="1"/>
  <c r="AB79" i="35" s="1"/>
  <c r="Z79" i="35" a="1"/>
  <c r="Z79" i="35" s="1"/>
  <c r="X79" i="35"/>
  <c r="X79" i="35" a="1"/>
  <c r="V79" i="35" a="1"/>
  <c r="V79" i="35" s="1"/>
  <c r="T79" i="35" a="1"/>
  <c r="T79" i="35" s="1"/>
  <c r="R79" i="35" a="1"/>
  <c r="R79" i="35" s="1"/>
  <c r="P79" i="35"/>
  <c r="P79" i="35" a="1"/>
  <c r="N79" i="35" a="1"/>
  <c r="N79" i="35" s="1"/>
  <c r="L79" i="35" a="1"/>
  <c r="L79" i="35" s="1"/>
  <c r="J79" i="35" a="1"/>
  <c r="J79" i="35" s="1"/>
  <c r="H79" i="35"/>
  <c r="H79" i="35" a="1"/>
  <c r="F79" i="35" a="1"/>
  <c r="F79" i="35" s="1"/>
  <c r="D79" i="35" a="1"/>
  <c r="D79" i="35" s="1"/>
  <c r="B79" i="35" a="1"/>
  <c r="B79" i="35" s="1"/>
  <c r="AV78" i="35"/>
  <c r="AV78" i="35" a="1"/>
  <c r="AT78" i="35" a="1"/>
  <c r="AT78" i="35" s="1"/>
  <c r="AR78" i="35" a="1"/>
  <c r="AR78" i="35" s="1"/>
  <c r="AP78" i="35" a="1"/>
  <c r="AP78" i="35" s="1"/>
  <c r="AN78" i="35"/>
  <c r="AN78" i="35" a="1"/>
  <c r="AL78" i="35" a="1"/>
  <c r="AL78" i="35" s="1"/>
  <c r="AJ78" i="35" a="1"/>
  <c r="AJ78" i="35" s="1"/>
  <c r="AH78" i="35" a="1"/>
  <c r="AH78" i="35" s="1"/>
  <c r="AF78" i="35"/>
  <c r="AF78" i="35" a="1"/>
  <c r="AD78" i="35" a="1"/>
  <c r="AD78" i="35" s="1"/>
  <c r="AB78" i="35" a="1"/>
  <c r="AB78" i="35" s="1"/>
  <c r="Z78" i="35" a="1"/>
  <c r="Z78" i="35" s="1"/>
  <c r="X78" i="35"/>
  <c r="X78" i="35" a="1"/>
  <c r="V78" i="35" a="1"/>
  <c r="V78" i="35" s="1"/>
  <c r="T78" i="35" a="1"/>
  <c r="T78" i="35" s="1"/>
  <c r="R78" i="35" a="1"/>
  <c r="R78" i="35" s="1"/>
  <c r="P78" i="35"/>
  <c r="P78" i="35" a="1"/>
  <c r="N78" i="35" a="1"/>
  <c r="N78" i="35" s="1"/>
  <c r="L78" i="35" a="1"/>
  <c r="L78" i="35" s="1"/>
  <c r="J78" i="35" a="1"/>
  <c r="J78" i="35" s="1"/>
  <c r="H78" i="35"/>
  <c r="H78" i="35" a="1"/>
  <c r="F78" i="35" a="1"/>
  <c r="F78" i="35" s="1"/>
  <c r="D78" i="35" a="1"/>
  <c r="D78" i="35" s="1"/>
  <c r="B78" i="35" a="1"/>
  <c r="B78" i="35" s="1"/>
  <c r="AV77" i="35"/>
  <c r="AV77" i="35" a="1"/>
  <c r="AT77" i="35" a="1"/>
  <c r="AT77" i="35" s="1"/>
  <c r="AR77" i="35" a="1"/>
  <c r="AR77" i="35" s="1"/>
  <c r="AP77" i="35" a="1"/>
  <c r="AP77" i="35" s="1"/>
  <c r="AN77" i="35"/>
  <c r="AN77" i="35" a="1"/>
  <c r="AL77" i="35" a="1"/>
  <c r="AL77" i="35" s="1"/>
  <c r="AJ77" i="35" a="1"/>
  <c r="AJ77" i="35" s="1"/>
  <c r="AH77" i="35" a="1"/>
  <c r="AH77" i="35" s="1"/>
  <c r="AF77" i="35"/>
  <c r="AF77" i="35" a="1"/>
  <c r="AD77" i="35" a="1"/>
  <c r="AD77" i="35" s="1"/>
  <c r="AB77" i="35" a="1"/>
  <c r="AB77" i="35" s="1"/>
  <c r="Z77" i="35" a="1"/>
  <c r="Z77" i="35" s="1"/>
  <c r="X77" i="35"/>
  <c r="X77" i="35" a="1"/>
  <c r="V77" i="35" a="1"/>
  <c r="V77" i="35" s="1"/>
  <c r="T77" i="35" a="1"/>
  <c r="T77" i="35" s="1"/>
  <c r="R77" i="35" a="1"/>
  <c r="R77" i="35" s="1"/>
  <c r="P77" i="35"/>
  <c r="P77" i="35" a="1"/>
  <c r="N77" i="35" a="1"/>
  <c r="N77" i="35" s="1"/>
  <c r="L77" i="35" a="1"/>
  <c r="L77" i="35" s="1"/>
  <c r="J77" i="35" a="1"/>
  <c r="J77" i="35" s="1"/>
  <c r="H77" i="35"/>
  <c r="H77" i="35" a="1"/>
  <c r="F77" i="35" a="1"/>
  <c r="F77" i="35" s="1"/>
  <c r="D77" i="35" a="1"/>
  <c r="D77" i="35" s="1"/>
  <c r="B77" i="35" a="1"/>
  <c r="B77" i="35" s="1"/>
  <c r="AV76" i="35"/>
  <c r="AV76" i="35" a="1"/>
  <c r="AT76" i="35" a="1"/>
  <c r="AT76" i="35" s="1"/>
  <c r="AR76" i="35" a="1"/>
  <c r="AR76" i="35" s="1"/>
  <c r="AP76" i="35" a="1"/>
  <c r="AP76" i="35" s="1"/>
  <c r="AN76" i="35"/>
  <c r="AN76" i="35" a="1"/>
  <c r="AL76" i="35" a="1"/>
  <c r="AL76" i="35" s="1"/>
  <c r="AJ76" i="35" a="1"/>
  <c r="AJ76" i="35" s="1"/>
  <c r="AH76" i="35" a="1"/>
  <c r="AH76" i="35" s="1"/>
  <c r="AF76" i="35"/>
  <c r="AF76" i="35" a="1"/>
  <c r="AD76" i="35" a="1"/>
  <c r="AD76" i="35" s="1"/>
  <c r="AB76" i="35" a="1"/>
  <c r="AB76" i="35" s="1"/>
  <c r="Z76" i="35" a="1"/>
  <c r="Z76" i="35" s="1"/>
  <c r="X76" i="35"/>
  <c r="X76" i="35" a="1"/>
  <c r="V76" i="35" a="1"/>
  <c r="V76" i="35" s="1"/>
  <c r="T76" i="35" a="1"/>
  <c r="T76" i="35" s="1"/>
  <c r="R76" i="35" a="1"/>
  <c r="R76" i="35" s="1"/>
  <c r="P76" i="35"/>
  <c r="P76" i="35" a="1"/>
  <c r="N76" i="35" a="1"/>
  <c r="N76" i="35" s="1"/>
  <c r="L76" i="35" a="1"/>
  <c r="L76" i="35" s="1"/>
  <c r="J76" i="35" a="1"/>
  <c r="J76" i="35" s="1"/>
  <c r="H76" i="35"/>
  <c r="H76" i="35" a="1"/>
  <c r="F76" i="35" a="1"/>
  <c r="F76" i="35" s="1"/>
  <c r="D76" i="35" a="1"/>
  <c r="D76" i="35" s="1"/>
  <c r="B76" i="35" a="1"/>
  <c r="B76" i="35" s="1"/>
  <c r="AV75" i="35"/>
  <c r="AV75" i="35" a="1"/>
  <c r="AT75" i="35" a="1"/>
  <c r="AT75" i="35" s="1"/>
  <c r="AR75" i="35" a="1"/>
  <c r="AR75" i="35" s="1"/>
  <c r="AP75" i="35" a="1"/>
  <c r="AP75" i="35" s="1"/>
  <c r="AN75" i="35"/>
  <c r="AN75" i="35" a="1"/>
  <c r="AL75" i="35" a="1"/>
  <c r="AL75" i="35" s="1"/>
  <c r="AJ75" i="35" a="1"/>
  <c r="AJ75" i="35" s="1"/>
  <c r="AH75" i="35" a="1"/>
  <c r="AH75" i="35" s="1"/>
  <c r="AF75" i="35"/>
  <c r="AF75" i="35" a="1"/>
  <c r="AD75" i="35" a="1"/>
  <c r="AD75" i="35" s="1"/>
  <c r="AB75" i="35" a="1"/>
  <c r="AB75" i="35" s="1"/>
  <c r="Z75" i="35" a="1"/>
  <c r="Z75" i="35" s="1"/>
  <c r="X75" i="35"/>
  <c r="X75" i="35" a="1"/>
  <c r="V75" i="35" a="1"/>
  <c r="V75" i="35" s="1"/>
  <c r="T75" i="35" a="1"/>
  <c r="T75" i="35" s="1"/>
  <c r="R75" i="35" a="1"/>
  <c r="R75" i="35" s="1"/>
  <c r="P75" i="35"/>
  <c r="P75" i="35" a="1"/>
  <c r="N75" i="35" a="1"/>
  <c r="N75" i="35" s="1"/>
  <c r="L75" i="35" a="1"/>
  <c r="L75" i="35" s="1"/>
  <c r="J75" i="35" a="1"/>
  <c r="J75" i="35" s="1"/>
  <c r="H75" i="35"/>
  <c r="H75" i="35" a="1"/>
  <c r="F75" i="35" a="1"/>
  <c r="F75" i="35" s="1"/>
  <c r="D75" i="35" a="1"/>
  <c r="D75" i="35" s="1"/>
  <c r="B75" i="35" a="1"/>
  <c r="B75" i="35" s="1"/>
  <c r="AV74" i="35"/>
  <c r="AV74" i="35" a="1"/>
  <c r="AT74" i="35" a="1"/>
  <c r="AT74" i="35" s="1"/>
  <c r="AR74" i="35" a="1"/>
  <c r="AR74" i="35" s="1"/>
  <c r="AP74" i="35" a="1"/>
  <c r="AP74" i="35" s="1"/>
  <c r="AN74" i="35"/>
  <c r="AN74" i="35" a="1"/>
  <c r="AL74" i="35" a="1"/>
  <c r="AL74" i="35" s="1"/>
  <c r="AJ74" i="35" a="1"/>
  <c r="AJ74" i="35" s="1"/>
  <c r="AH74" i="35" a="1"/>
  <c r="AH74" i="35" s="1"/>
  <c r="AF74" i="35" a="1"/>
  <c r="AF74" i="35" s="1"/>
  <c r="AD74" i="35" a="1"/>
  <c r="AD74" i="35" s="1"/>
  <c r="AB74" i="35" a="1"/>
  <c r="AB74" i="35" s="1"/>
  <c r="Z74" i="35" a="1"/>
  <c r="Z74" i="35" s="1"/>
  <c r="X74" i="35"/>
  <c r="X74" i="35" a="1"/>
  <c r="V74" i="35" a="1"/>
  <c r="V74" i="35" s="1"/>
  <c r="T74" i="35" a="1"/>
  <c r="T74" i="35" s="1"/>
  <c r="R74" i="35" a="1"/>
  <c r="R74" i="35" s="1"/>
  <c r="P74" i="35" a="1"/>
  <c r="P74" i="35" s="1"/>
  <c r="N74" i="35" a="1"/>
  <c r="N74" i="35" s="1"/>
  <c r="L74" i="35" a="1"/>
  <c r="L74" i="35" s="1"/>
  <c r="J74" i="35" a="1"/>
  <c r="J74" i="35" s="1"/>
  <c r="H74" i="35"/>
  <c r="H74" i="35" a="1"/>
  <c r="F74" i="35" a="1"/>
  <c r="F74" i="35" s="1"/>
  <c r="D74" i="35" a="1"/>
  <c r="D74" i="35" s="1"/>
  <c r="B74" i="35" a="1"/>
  <c r="B74" i="35" s="1"/>
  <c r="AV73" i="35" a="1"/>
  <c r="AV73" i="35" s="1"/>
  <c r="AT73" i="35" a="1"/>
  <c r="AT73" i="35" s="1"/>
  <c r="AR73" i="35" a="1"/>
  <c r="AR73" i="35" s="1"/>
  <c r="AP73" i="35" a="1"/>
  <c r="AP73" i="35" s="1"/>
  <c r="AN73" i="35"/>
  <c r="AN73" i="35" a="1"/>
  <c r="AL73" i="35" a="1"/>
  <c r="AL73" i="35" s="1"/>
  <c r="AJ73" i="35" a="1"/>
  <c r="AJ73" i="35" s="1"/>
  <c r="AH73" i="35" a="1"/>
  <c r="AH73" i="35" s="1"/>
  <c r="AF73" i="35" a="1"/>
  <c r="AF73" i="35" s="1"/>
  <c r="AD73" i="35" a="1"/>
  <c r="AD73" i="35" s="1"/>
  <c r="AB73" i="35" a="1"/>
  <c r="AB73" i="35" s="1"/>
  <c r="Z73" i="35" a="1"/>
  <c r="Z73" i="35" s="1"/>
  <c r="X73" i="35"/>
  <c r="X73" i="35" a="1"/>
  <c r="V73" i="35" a="1"/>
  <c r="V73" i="35" s="1"/>
  <c r="T73" i="35" a="1"/>
  <c r="T73" i="35" s="1"/>
  <c r="R73" i="35" a="1"/>
  <c r="R73" i="35" s="1"/>
  <c r="P73" i="35" a="1"/>
  <c r="P73" i="35" s="1"/>
  <c r="N73" i="35" a="1"/>
  <c r="N73" i="35" s="1"/>
  <c r="L73" i="35" a="1"/>
  <c r="L73" i="35" s="1"/>
  <c r="J73" i="35" a="1"/>
  <c r="J73" i="35" s="1"/>
  <c r="H73" i="35"/>
  <c r="H73" i="35" a="1"/>
  <c r="F73" i="35" a="1"/>
  <c r="F73" i="35" s="1"/>
  <c r="D73" i="35" a="1"/>
  <c r="D73" i="35" s="1"/>
  <c r="B73" i="35" a="1"/>
  <c r="B73" i="35" s="1"/>
  <c r="AV72" i="35"/>
  <c r="AT72" i="35"/>
  <c r="AR72" i="35"/>
  <c r="AP72" i="35"/>
  <c r="AN72" i="35"/>
  <c r="AL72" i="35"/>
  <c r="AJ72" i="35"/>
  <c r="AH72" i="35"/>
  <c r="AF72" i="35"/>
  <c r="AD72" i="35"/>
  <c r="AB72" i="35"/>
  <c r="Z72" i="35"/>
  <c r="X72" i="35"/>
  <c r="V72" i="35"/>
  <c r="T72" i="35"/>
  <c r="R72" i="35"/>
  <c r="P72" i="35"/>
  <c r="N72" i="35"/>
  <c r="L72" i="35"/>
  <c r="J72" i="35"/>
  <c r="H72" i="35"/>
  <c r="F72" i="35"/>
  <c r="D72" i="35"/>
  <c r="B72" i="35"/>
  <c r="AV71" i="35"/>
  <c r="AT71" i="35"/>
  <c r="AR71" i="35"/>
  <c r="AP71" i="35"/>
  <c r="AN71" i="35"/>
  <c r="AL71" i="35"/>
  <c r="AJ71" i="35"/>
  <c r="AH71" i="35"/>
  <c r="AF71" i="35"/>
  <c r="AD71" i="35"/>
  <c r="AB71" i="35"/>
  <c r="Z71" i="35"/>
  <c r="X71" i="35"/>
  <c r="V71" i="35"/>
  <c r="T71" i="35"/>
  <c r="R71" i="35"/>
  <c r="P71" i="35"/>
  <c r="N71" i="35"/>
  <c r="L71" i="35"/>
  <c r="J71" i="35"/>
  <c r="H71" i="35"/>
  <c r="F71" i="35"/>
  <c r="D71" i="35"/>
  <c r="B71" i="35"/>
  <c r="AV70" i="35"/>
  <c r="AT70" i="35"/>
  <c r="AR70" i="35"/>
  <c r="AP70" i="35"/>
  <c r="AN70" i="35"/>
  <c r="AL70" i="35"/>
  <c r="AJ70" i="35"/>
  <c r="AH70" i="35"/>
  <c r="AF70" i="35"/>
  <c r="AD70" i="35"/>
  <c r="AB70" i="35"/>
  <c r="Z70" i="35"/>
  <c r="X70" i="35"/>
  <c r="V70" i="35"/>
  <c r="T70" i="35"/>
  <c r="R70" i="35"/>
  <c r="P70" i="35"/>
  <c r="N70" i="35"/>
  <c r="L70" i="35"/>
  <c r="J70" i="35"/>
  <c r="H70" i="35"/>
  <c r="F70" i="35"/>
  <c r="D70" i="35"/>
  <c r="B70" i="35"/>
  <c r="AV69" i="35"/>
  <c r="AH69" i="35"/>
  <c r="P69" i="35"/>
  <c r="B69" i="35"/>
  <c r="AV67" i="35"/>
  <c r="AV67" i="35" a="1"/>
  <c r="AT67" i="35" a="1"/>
  <c r="AT67" i="35" s="1"/>
  <c r="AR67" i="35" a="1"/>
  <c r="AR67" i="35" s="1"/>
  <c r="AP67" i="35" a="1"/>
  <c r="AP67" i="35" s="1"/>
  <c r="AN67" i="35" a="1"/>
  <c r="AN67" i="35" s="1"/>
  <c r="AL67" i="35" a="1"/>
  <c r="AL67" i="35" s="1"/>
  <c r="AJ67" i="35" a="1"/>
  <c r="AJ67" i="35" s="1"/>
  <c r="AH67" i="35" a="1"/>
  <c r="AH67" i="35" s="1"/>
  <c r="AF67" i="35"/>
  <c r="AF68" i="35" s="1"/>
  <c r="AF67" i="35" a="1"/>
  <c r="AD67" i="35" a="1"/>
  <c r="AD67" i="35" s="1"/>
  <c r="AB67" i="35" a="1"/>
  <c r="AB67" i="35" s="1"/>
  <c r="Z67" i="35" a="1"/>
  <c r="Z67" i="35" s="1"/>
  <c r="X67" i="35" a="1"/>
  <c r="X67" i="35" s="1"/>
  <c r="V67" i="35" a="1"/>
  <c r="V67" i="35" s="1"/>
  <c r="T67" i="35" a="1"/>
  <c r="T67" i="35" s="1"/>
  <c r="R67" i="35" a="1"/>
  <c r="R67" i="35" s="1"/>
  <c r="P67" i="35"/>
  <c r="P67" i="35" a="1"/>
  <c r="N67" i="35" a="1"/>
  <c r="N67" i="35" s="1"/>
  <c r="L67" i="35" a="1"/>
  <c r="L67" i="35" s="1"/>
  <c r="J67" i="35" a="1"/>
  <c r="J67" i="35" s="1"/>
  <c r="H67" i="35" a="1"/>
  <c r="H67" i="35" s="1"/>
  <c r="F67" i="35" a="1"/>
  <c r="F67" i="35" s="1"/>
  <c r="D67" i="35" a="1"/>
  <c r="D67" i="35" s="1"/>
  <c r="B67" i="35" a="1"/>
  <c r="B67" i="35" s="1"/>
  <c r="AV66" i="35"/>
  <c r="AV68" i="35" s="1"/>
  <c r="AV66" i="35" a="1"/>
  <c r="AT66" i="35" a="1"/>
  <c r="AT66" i="35" s="1"/>
  <c r="AT68" i="35" s="1"/>
  <c r="AR66" i="35" a="1"/>
  <c r="AR66" i="35" s="1"/>
  <c r="AR68" i="35" s="1"/>
  <c r="AP66" i="35" a="1"/>
  <c r="AP66" i="35" s="1"/>
  <c r="AP68" i="35" s="1"/>
  <c r="AN66" i="35" a="1"/>
  <c r="AN66" i="35" s="1"/>
  <c r="AN68" i="35" s="1"/>
  <c r="AL66" i="35" a="1"/>
  <c r="AL66" i="35" s="1"/>
  <c r="AL68" i="35" s="1"/>
  <c r="AJ66" i="35" a="1"/>
  <c r="AJ66" i="35" s="1"/>
  <c r="AH66" i="35" a="1"/>
  <c r="AH66" i="35" s="1"/>
  <c r="AF66" i="35"/>
  <c r="AF66" i="35" a="1"/>
  <c r="AD66" i="35" a="1"/>
  <c r="AD66" i="35" s="1"/>
  <c r="AB66" i="35" a="1"/>
  <c r="AB66" i="35" s="1"/>
  <c r="Z66" i="35" a="1"/>
  <c r="Z66" i="35" s="1"/>
  <c r="X66" i="35" a="1"/>
  <c r="X66" i="35" s="1"/>
  <c r="X68" i="35" s="1"/>
  <c r="V66" i="35" a="1"/>
  <c r="V66" i="35" s="1"/>
  <c r="V68" i="35" s="1"/>
  <c r="T66" i="35" a="1"/>
  <c r="T66" i="35" s="1"/>
  <c r="T68" i="35" s="1"/>
  <c r="R66" i="35" a="1"/>
  <c r="R66" i="35" s="1"/>
  <c r="R68" i="35" s="1"/>
  <c r="P66" i="35"/>
  <c r="P68" i="35" s="1"/>
  <c r="P66" i="35" a="1"/>
  <c r="N66" i="35" a="1"/>
  <c r="N66" i="35" s="1"/>
  <c r="N68" i="35" s="1"/>
  <c r="L66" i="35" a="1"/>
  <c r="L66" i="35" s="1"/>
  <c r="L68" i="35" s="1"/>
  <c r="J66" i="35" a="1"/>
  <c r="J66" i="35" s="1"/>
  <c r="J68" i="35" s="1"/>
  <c r="H66" i="35" a="1"/>
  <c r="H66" i="35" s="1"/>
  <c r="F66" i="35" a="1"/>
  <c r="F66" i="35" s="1"/>
  <c r="D66" i="35" a="1"/>
  <c r="D66" i="35" s="1"/>
  <c r="B66" i="35" a="1"/>
  <c r="B66" i="35" s="1"/>
  <c r="AV65" i="35"/>
  <c r="AV65" i="35" a="1"/>
  <c r="AT65" i="35" a="1"/>
  <c r="AT65" i="35" s="1"/>
  <c r="AT69" i="35" s="1"/>
  <c r="AR65" i="35" a="1"/>
  <c r="AR65" i="35" s="1"/>
  <c r="AR69" i="35" s="1"/>
  <c r="AP65" i="35" a="1"/>
  <c r="AP65" i="35" s="1"/>
  <c r="AP69" i="35" s="1"/>
  <c r="AN65" i="35" a="1"/>
  <c r="AN65" i="35" s="1"/>
  <c r="AN69" i="35" s="1"/>
  <c r="AL65" i="35" a="1"/>
  <c r="AL65" i="35" s="1"/>
  <c r="AL69" i="35" s="1"/>
  <c r="AJ65" i="35" a="1"/>
  <c r="AJ65" i="35" s="1"/>
  <c r="AJ69" i="35" s="1"/>
  <c r="AH65" i="35" a="1"/>
  <c r="AH65" i="35" s="1"/>
  <c r="AF65" i="35"/>
  <c r="AF69" i="35" s="1"/>
  <c r="AF65" i="35" a="1"/>
  <c r="AD65" i="35" a="1"/>
  <c r="AD65" i="35" s="1"/>
  <c r="AD69" i="35" s="1"/>
  <c r="AB65" i="35" a="1"/>
  <c r="AB65" i="35" s="1"/>
  <c r="AB69" i="35" s="1"/>
  <c r="Z65" i="35" a="1"/>
  <c r="Z65" i="35" s="1"/>
  <c r="Z69" i="35" s="1"/>
  <c r="X65" i="35" a="1"/>
  <c r="X65" i="35" s="1"/>
  <c r="X69" i="35" s="1"/>
  <c r="V65" i="35" a="1"/>
  <c r="V65" i="35" s="1"/>
  <c r="V69" i="35" s="1"/>
  <c r="T65" i="35" a="1"/>
  <c r="T65" i="35" s="1"/>
  <c r="T69" i="35" s="1"/>
  <c r="R65" i="35" a="1"/>
  <c r="R65" i="35" s="1"/>
  <c r="R69" i="35" s="1"/>
  <c r="P65" i="35"/>
  <c r="P65" i="35" a="1"/>
  <c r="N65" i="35" a="1"/>
  <c r="N65" i="35" s="1"/>
  <c r="N69" i="35" s="1"/>
  <c r="L65" i="35" a="1"/>
  <c r="L65" i="35" s="1"/>
  <c r="L69" i="35" s="1"/>
  <c r="J65" i="35" a="1"/>
  <c r="J65" i="35" s="1"/>
  <c r="J69" i="35" s="1"/>
  <c r="H65" i="35" a="1"/>
  <c r="H65" i="35" s="1"/>
  <c r="H69" i="35" s="1"/>
  <c r="F65" i="35" a="1"/>
  <c r="F65" i="35" s="1"/>
  <c r="F69" i="35" s="1"/>
  <c r="D65" i="35" a="1"/>
  <c r="D65" i="35" s="1"/>
  <c r="D69" i="35" s="1"/>
  <c r="B65" i="35"/>
  <c r="AV62" i="35"/>
  <c r="AT62" i="35"/>
  <c r="AR62" i="35"/>
  <c r="AP62" i="35"/>
  <c r="AN62" i="35"/>
  <c r="AL62" i="35"/>
  <c r="AJ62" i="35"/>
  <c r="AH62" i="35"/>
  <c r="AF62" i="35"/>
  <c r="AD62" i="35"/>
  <c r="AB62" i="35"/>
  <c r="Z62" i="35"/>
  <c r="X62" i="35"/>
  <c r="V62" i="35"/>
  <c r="T62" i="35"/>
  <c r="R62" i="35"/>
  <c r="P62" i="35"/>
  <c r="N62" i="35"/>
  <c r="L62" i="35"/>
  <c r="J62" i="35"/>
  <c r="H62" i="35"/>
  <c r="F62" i="35"/>
  <c r="D62" i="35"/>
  <c r="B62" i="35"/>
  <c r="AV60" i="35"/>
  <c r="AT60" i="35"/>
  <c r="AR60" i="35"/>
  <c r="AP60" i="35"/>
  <c r="AN60" i="35"/>
  <c r="AL60" i="35"/>
  <c r="AJ60" i="35"/>
  <c r="AH60" i="35"/>
  <c r="AF60" i="35"/>
  <c r="AD60" i="35"/>
  <c r="AB60" i="35"/>
  <c r="Z60" i="35"/>
  <c r="X60" i="35"/>
  <c r="V60" i="35"/>
  <c r="T60" i="35"/>
  <c r="R60" i="35"/>
  <c r="P60" i="35"/>
  <c r="N60" i="35"/>
  <c r="L60" i="35"/>
  <c r="J60" i="35"/>
  <c r="H60" i="35"/>
  <c r="F60" i="35"/>
  <c r="D60" i="35"/>
  <c r="B60" i="35"/>
  <c r="AV59" i="35"/>
  <c r="AT59" i="35"/>
  <c r="AR59" i="35"/>
  <c r="AP59" i="35"/>
  <c r="AN59" i="35"/>
  <c r="AL59" i="35"/>
  <c r="AJ59" i="35"/>
  <c r="AH59" i="35"/>
  <c r="AF59" i="35"/>
  <c r="AD59" i="35"/>
  <c r="AB59" i="35"/>
  <c r="Z59" i="35"/>
  <c r="X59" i="35"/>
  <c r="V59" i="35"/>
  <c r="T59" i="35"/>
  <c r="R59" i="35"/>
  <c r="P59" i="35"/>
  <c r="N59" i="35"/>
  <c r="L59" i="35"/>
  <c r="J59" i="35"/>
  <c r="H59" i="35"/>
  <c r="F59" i="35"/>
  <c r="D59" i="35"/>
  <c r="B59" i="35"/>
  <c r="AV58" i="35"/>
  <c r="AV58" i="35" a="1"/>
  <c r="AT58" i="35" a="1"/>
  <c r="AT58" i="35" s="1"/>
  <c r="AR58" i="35"/>
  <c r="AR58" i="35" a="1"/>
  <c r="AP58" i="35" a="1"/>
  <c r="AP58" i="35" s="1"/>
  <c r="AN58" i="35" a="1"/>
  <c r="AN58" i="35" s="1"/>
  <c r="AL58" i="35" a="1"/>
  <c r="AL58" i="35" s="1"/>
  <c r="AJ58" i="35"/>
  <c r="AJ58" i="35" a="1"/>
  <c r="AH58" i="35" a="1"/>
  <c r="AH58" i="35" s="1"/>
  <c r="AF58" i="35"/>
  <c r="AF58" i="35" a="1"/>
  <c r="AD58" i="35" a="1"/>
  <c r="AD58" i="35" s="1"/>
  <c r="AB58" i="35"/>
  <c r="AB58" i="35" a="1"/>
  <c r="Z58" i="35" a="1"/>
  <c r="Z58" i="35" s="1"/>
  <c r="X58" i="35" a="1"/>
  <c r="X58" i="35" s="1"/>
  <c r="V58" i="35" a="1"/>
  <c r="V58" i="35" s="1"/>
  <c r="T58" i="35"/>
  <c r="T58" i="35" a="1"/>
  <c r="R58" i="35" a="1"/>
  <c r="R58" i="35" s="1"/>
  <c r="P58" i="35"/>
  <c r="P58" i="35" a="1"/>
  <c r="N58" i="35" a="1"/>
  <c r="N58" i="35" s="1"/>
  <c r="L58" i="35"/>
  <c r="L58" i="35" a="1"/>
  <c r="J58" i="35" a="1"/>
  <c r="J58" i="35" s="1"/>
  <c r="H58" i="35" a="1"/>
  <c r="H58" i="35" s="1"/>
  <c r="F58" i="35" a="1"/>
  <c r="F58" i="35" s="1"/>
  <c r="D58" i="35"/>
  <c r="D58" i="35" a="1"/>
  <c r="B58" i="35" a="1"/>
  <c r="B58" i="35" s="1"/>
  <c r="AV57" i="35"/>
  <c r="AV57" i="35" a="1"/>
  <c r="AT57" i="35" a="1"/>
  <c r="AT57" i="35" s="1"/>
  <c r="AR57" i="35"/>
  <c r="AR57" i="35" a="1"/>
  <c r="AP57" i="35" a="1"/>
  <c r="AP57" i="35" s="1"/>
  <c r="AN57" i="35" a="1"/>
  <c r="AN57" i="35" s="1"/>
  <c r="AL57" i="35" a="1"/>
  <c r="AL57" i="35" s="1"/>
  <c r="AJ57" i="35"/>
  <c r="AJ57" i="35" a="1"/>
  <c r="AH57" i="35" a="1"/>
  <c r="AH57" i="35" s="1"/>
  <c r="AF57" i="35"/>
  <c r="AF57" i="35" a="1"/>
  <c r="AD57" i="35" a="1"/>
  <c r="AD57" i="35" s="1"/>
  <c r="AB57" i="35"/>
  <c r="AB57" i="35" a="1"/>
  <c r="Z57" i="35" a="1"/>
  <c r="Z57" i="35" s="1"/>
  <c r="X57" i="35" a="1"/>
  <c r="X57" i="35" s="1"/>
  <c r="V57" i="35" a="1"/>
  <c r="V57" i="35" s="1"/>
  <c r="T57" i="35"/>
  <c r="T57" i="35" a="1"/>
  <c r="R57" i="35" a="1"/>
  <c r="R57" i="35" s="1"/>
  <c r="P57" i="35"/>
  <c r="P57" i="35" a="1"/>
  <c r="N57" i="35" a="1"/>
  <c r="N57" i="35" s="1"/>
  <c r="L57" i="35"/>
  <c r="L57" i="35" a="1"/>
  <c r="J57" i="35" a="1"/>
  <c r="J57" i="35" s="1"/>
  <c r="H57" i="35" a="1"/>
  <c r="H57" i="35" s="1"/>
  <c r="F57" i="35" a="1"/>
  <c r="F57" i="35" s="1"/>
  <c r="D57" i="35"/>
  <c r="D57" i="35" a="1"/>
  <c r="B57" i="35" a="1"/>
  <c r="B57" i="35" s="1"/>
  <c r="AV56" i="35"/>
  <c r="AT56" i="35"/>
  <c r="AR56" i="35"/>
  <c r="AP56" i="35"/>
  <c r="AN56" i="35"/>
  <c r="AL56" i="35"/>
  <c r="AJ56" i="35"/>
  <c r="AH56" i="35"/>
  <c r="AF56" i="35"/>
  <c r="AD56" i="35"/>
  <c r="AB56" i="35"/>
  <c r="Z56" i="35"/>
  <c r="X56" i="35"/>
  <c r="V56" i="35"/>
  <c r="T56" i="35"/>
  <c r="R56" i="35"/>
  <c r="P56" i="35"/>
  <c r="N56" i="35"/>
  <c r="L56" i="35"/>
  <c r="J56" i="35"/>
  <c r="H56" i="35"/>
  <c r="F56" i="35"/>
  <c r="D56" i="35"/>
  <c r="B56" i="35"/>
  <c r="AV55" i="35"/>
  <c r="AT55" i="35"/>
  <c r="AT80" i="35" s="1"/>
  <c r="AR55" i="35"/>
  <c r="AP55" i="35"/>
  <c r="AN55" i="35"/>
  <c r="AN80" i="35" s="1"/>
  <c r="AL55" i="35"/>
  <c r="AL80" i="35" s="1"/>
  <c r="AJ55" i="35"/>
  <c r="AH55" i="35"/>
  <c r="AF55" i="35"/>
  <c r="AF80" i="35" s="1"/>
  <c r="AD55" i="35"/>
  <c r="AD80" i="35" s="1"/>
  <c r="AB55" i="35"/>
  <c r="Z55" i="35"/>
  <c r="X55" i="35"/>
  <c r="X80" i="35" s="1"/>
  <c r="V55" i="35"/>
  <c r="T55" i="35"/>
  <c r="R55" i="35"/>
  <c r="P55" i="35"/>
  <c r="N55" i="35"/>
  <c r="N80" i="35" s="1"/>
  <c r="L55" i="35"/>
  <c r="J55" i="35"/>
  <c r="H55" i="35"/>
  <c r="H80" i="35" s="1"/>
  <c r="F55" i="35"/>
  <c r="F80" i="35" s="1"/>
  <c r="D55" i="35"/>
  <c r="B55" i="35"/>
  <c r="AV53" i="35"/>
  <c r="AV83" i="35" s="1"/>
  <c r="AV53" i="35" a="1"/>
  <c r="AT53" i="35" a="1"/>
  <c r="AT53" i="35" s="1"/>
  <c r="AT83" i="35" s="1"/>
  <c r="AR53" i="35"/>
  <c r="AR53" i="35" a="1"/>
  <c r="AP53" i="35" a="1"/>
  <c r="AP53" i="35" s="1"/>
  <c r="AP83" i="35" s="1"/>
  <c r="AN53" i="35"/>
  <c r="AN83" i="35" s="1"/>
  <c r="AN53" i="35" a="1"/>
  <c r="AL53" i="35" a="1"/>
  <c r="AL53" i="35" s="1"/>
  <c r="AL83" i="35" s="1"/>
  <c r="AJ53" i="35"/>
  <c r="AJ83" i="35" s="1"/>
  <c r="AJ53" i="35" a="1"/>
  <c r="AH53" i="35" a="1"/>
  <c r="AH53" i="35" s="1"/>
  <c r="AH83" i="35" s="1"/>
  <c r="AF53" i="35"/>
  <c r="AF83" i="35" s="1"/>
  <c r="AF53" i="35" a="1"/>
  <c r="AD53" i="35" a="1"/>
  <c r="AD53" i="35" s="1"/>
  <c r="AD83" i="35" s="1"/>
  <c r="AB53" i="35"/>
  <c r="AB83" i="35" s="1"/>
  <c r="AB53" i="35" a="1"/>
  <c r="Z53" i="35" a="1"/>
  <c r="Z53" i="35" s="1"/>
  <c r="Z83" i="35" s="1"/>
  <c r="X53" i="35"/>
  <c r="X83" i="35" s="1"/>
  <c r="X53" i="35" a="1"/>
  <c r="V53" i="35" a="1"/>
  <c r="V53" i="35" s="1"/>
  <c r="V83" i="35" s="1"/>
  <c r="T53" i="35"/>
  <c r="T83" i="35" s="1"/>
  <c r="T53" i="35" a="1"/>
  <c r="R53" i="35" a="1"/>
  <c r="R53" i="35" s="1"/>
  <c r="R83" i="35" s="1"/>
  <c r="P53" i="35"/>
  <c r="P83" i="35" s="1"/>
  <c r="P53" i="35" a="1"/>
  <c r="N53" i="35" a="1"/>
  <c r="N53" i="35" s="1"/>
  <c r="N83" i="35" s="1"/>
  <c r="L53" i="35"/>
  <c r="L83" i="35" s="1"/>
  <c r="L53" i="35" a="1"/>
  <c r="J53" i="35" a="1"/>
  <c r="J53" i="35" s="1"/>
  <c r="J83" i="35" s="1"/>
  <c r="H53" i="35" a="1"/>
  <c r="H53" i="35" s="1"/>
  <c r="H83" i="35" s="1"/>
  <c r="F53" i="35" a="1"/>
  <c r="F53" i="35" s="1"/>
  <c r="F83" i="35" s="1"/>
  <c r="D53" i="35"/>
  <c r="D83" i="35" s="1"/>
  <c r="D53" i="35" a="1"/>
  <c r="B53" i="35" a="1"/>
  <c r="B53" i="35" s="1"/>
  <c r="B83" i="35" s="1"/>
  <c r="AV52" i="35"/>
  <c r="AV52" i="35" a="1"/>
  <c r="AT52" i="35" a="1"/>
  <c r="AT52" i="35" s="1"/>
  <c r="AT82" i="35" s="1"/>
  <c r="AR52" i="35"/>
  <c r="AR82" i="35" s="1"/>
  <c r="AR52" i="35" a="1"/>
  <c r="AP52" i="35" a="1"/>
  <c r="AP52" i="35" s="1"/>
  <c r="AP82" i="35" s="1"/>
  <c r="AN52" i="35" a="1"/>
  <c r="AN52" i="35" s="1"/>
  <c r="AN82" i="35" s="1"/>
  <c r="AL52" i="35" a="1"/>
  <c r="AL52" i="35" s="1"/>
  <c r="AL82" i="35" s="1"/>
  <c r="AJ52" i="35"/>
  <c r="AJ82" i="35" s="1"/>
  <c r="AJ52" i="35" a="1"/>
  <c r="AH52" i="35" a="1"/>
  <c r="AH52" i="35" s="1"/>
  <c r="AH82" i="35" s="1"/>
  <c r="AF52" i="35"/>
  <c r="AF82" i="35" s="1"/>
  <c r="AF52" i="35" a="1"/>
  <c r="AD52" i="35" a="1"/>
  <c r="AD52" i="35" s="1"/>
  <c r="AD82" i="35" s="1"/>
  <c r="AB52" i="35"/>
  <c r="AB82" i="35" s="1"/>
  <c r="AB52" i="35" a="1"/>
  <c r="Z52" i="35" a="1"/>
  <c r="Z52" i="35" s="1"/>
  <c r="Z82" i="35" s="1"/>
  <c r="X52" i="35"/>
  <c r="X82" i="35" s="1"/>
  <c r="X52" i="35" a="1"/>
  <c r="V52" i="35" a="1"/>
  <c r="V52" i="35" s="1"/>
  <c r="V82" i="35" s="1"/>
  <c r="T52" i="35"/>
  <c r="T82" i="35" s="1"/>
  <c r="T52" i="35" a="1"/>
  <c r="R52" i="35" a="1"/>
  <c r="R52" i="35" s="1"/>
  <c r="R82" i="35" s="1"/>
  <c r="P52" i="35"/>
  <c r="P82" i="35" s="1"/>
  <c r="P52" i="35" a="1"/>
  <c r="N52" i="35" a="1"/>
  <c r="N52" i="35" s="1"/>
  <c r="N82" i="35" s="1"/>
  <c r="L52" i="35"/>
  <c r="L82" i="35" s="1"/>
  <c r="L52" i="35" a="1"/>
  <c r="J52" i="35" a="1"/>
  <c r="J52" i="35" s="1"/>
  <c r="J82" i="35" s="1"/>
  <c r="H52" i="35"/>
  <c r="H82" i="35" s="1"/>
  <c r="H52" i="35" a="1"/>
  <c r="F52" i="35" a="1"/>
  <c r="F52" i="35" s="1"/>
  <c r="F82" i="35" s="1"/>
  <c r="D52" i="35"/>
  <c r="D82" i="35" s="1"/>
  <c r="D52" i="35" a="1"/>
  <c r="B52" i="35" a="1"/>
  <c r="B52" i="35" s="1"/>
  <c r="B82" i="35" s="1"/>
  <c r="AV51" i="35"/>
  <c r="AV81" i="35" s="1"/>
  <c r="AT51" i="35"/>
  <c r="AT81" i="35" s="1"/>
  <c r="AR51" i="35"/>
  <c r="AP51" i="35"/>
  <c r="AN51" i="35"/>
  <c r="AN81" i="35" s="1"/>
  <c r="AL51" i="35"/>
  <c r="AL81" i="35" s="1"/>
  <c r="AJ51" i="35"/>
  <c r="AH51" i="35"/>
  <c r="AF51" i="35"/>
  <c r="AD51" i="35"/>
  <c r="AD81" i="35" s="1"/>
  <c r="AB51" i="35"/>
  <c r="Z51" i="35"/>
  <c r="X51" i="35"/>
  <c r="X81" i="35" s="1"/>
  <c r="V51" i="35"/>
  <c r="V81" i="35" s="1"/>
  <c r="T51" i="35"/>
  <c r="R51" i="35"/>
  <c r="P51" i="35"/>
  <c r="P81" i="35" s="1"/>
  <c r="N51" i="35"/>
  <c r="N81" i="35" s="1"/>
  <c r="L51" i="35"/>
  <c r="J51" i="35"/>
  <c r="H51" i="35"/>
  <c r="H81" i="35" s="1"/>
  <c r="F51" i="35"/>
  <c r="F81" i="35" s="1"/>
  <c r="D51" i="35"/>
  <c r="B51" i="35"/>
  <c r="AV49" i="35"/>
  <c r="AT49" i="35"/>
  <c r="AR49" i="35"/>
  <c r="AP49" i="35"/>
  <c r="AN49" i="35"/>
  <c r="AL49" i="35"/>
  <c r="AJ49" i="35"/>
  <c r="AH49" i="35"/>
  <c r="AF49" i="35"/>
  <c r="AD49" i="35"/>
  <c r="AB49" i="35"/>
  <c r="Z49" i="35"/>
  <c r="X49" i="35"/>
  <c r="V49" i="35"/>
  <c r="T49" i="35"/>
  <c r="R49" i="35"/>
  <c r="P49" i="35"/>
  <c r="N49" i="35"/>
  <c r="L49" i="35"/>
  <c r="J49" i="35"/>
  <c r="H49" i="35"/>
  <c r="F49" i="35"/>
  <c r="D49" i="35"/>
  <c r="B49" i="35"/>
  <c r="AV48" i="35"/>
  <c r="AT48" i="35"/>
  <c r="AR48" i="35"/>
  <c r="AP48" i="35"/>
  <c r="AN48" i="35"/>
  <c r="AL48" i="35"/>
  <c r="AJ48" i="35"/>
  <c r="AH48" i="35"/>
  <c r="AF48" i="35"/>
  <c r="AD48" i="35"/>
  <c r="AB48" i="35"/>
  <c r="Z48" i="35"/>
  <c r="X48" i="35"/>
  <c r="V48" i="35"/>
  <c r="T48" i="35"/>
  <c r="R48" i="35"/>
  <c r="P48" i="35"/>
  <c r="N48" i="35"/>
  <c r="L48" i="35"/>
  <c r="J48" i="35"/>
  <c r="H48" i="35"/>
  <c r="F48" i="35"/>
  <c r="D48" i="35"/>
  <c r="B48" i="35"/>
  <c r="AV46" i="35"/>
  <c r="AT46" i="35"/>
  <c r="AR46" i="35"/>
  <c r="AP46" i="35"/>
  <c r="AN46" i="35"/>
  <c r="AL46" i="35"/>
  <c r="AJ46" i="35"/>
  <c r="AH46" i="35"/>
  <c r="AF46" i="35"/>
  <c r="AD46" i="35"/>
  <c r="AB46" i="35"/>
  <c r="Z46" i="35"/>
  <c r="X46" i="35"/>
  <c r="V46" i="35"/>
  <c r="T46" i="35"/>
  <c r="R46" i="35"/>
  <c r="P46" i="35"/>
  <c r="N46" i="35"/>
  <c r="L46" i="35"/>
  <c r="J46" i="35"/>
  <c r="H46" i="35"/>
  <c r="F46" i="35"/>
  <c r="D46" i="35"/>
  <c r="B46" i="35"/>
  <c r="AV45" i="35"/>
  <c r="AT45" i="35"/>
  <c r="AR45" i="35"/>
  <c r="AP45" i="35"/>
  <c r="AN45" i="35"/>
  <c r="AL45" i="35"/>
  <c r="AJ45" i="35"/>
  <c r="AH45" i="35"/>
  <c r="AF45" i="35"/>
  <c r="AD45" i="35"/>
  <c r="AB45" i="35"/>
  <c r="Z45" i="35"/>
  <c r="X45" i="35"/>
  <c r="V45" i="35"/>
  <c r="T45" i="35"/>
  <c r="R45" i="35"/>
  <c r="P45" i="35"/>
  <c r="N45" i="35"/>
  <c r="L45" i="35"/>
  <c r="J45" i="35"/>
  <c r="H45" i="35"/>
  <c r="F45" i="35"/>
  <c r="D45" i="35"/>
  <c r="B45" i="35"/>
  <c r="AV44" i="35"/>
  <c r="AT44" i="35"/>
  <c r="AR44" i="35"/>
  <c r="AP44" i="35"/>
  <c r="AN44" i="35"/>
  <c r="AL44" i="35"/>
  <c r="AJ44" i="35"/>
  <c r="AH44" i="35"/>
  <c r="AF44" i="35"/>
  <c r="AD44" i="35"/>
  <c r="AB44" i="35"/>
  <c r="Z44" i="35"/>
  <c r="X44" i="35"/>
  <c r="V44" i="35"/>
  <c r="T44" i="35"/>
  <c r="R44" i="35"/>
  <c r="P44" i="35"/>
  <c r="N44" i="35"/>
  <c r="L44" i="35"/>
  <c r="J44" i="35"/>
  <c r="H44" i="35"/>
  <c r="F44" i="35"/>
  <c r="D44" i="35"/>
  <c r="B44" i="35"/>
  <c r="AV43" i="35"/>
  <c r="AV43" i="35" a="1"/>
  <c r="AT43" i="35" a="1"/>
  <c r="AT43" i="35" s="1"/>
  <c r="AR43" i="35"/>
  <c r="AR43" i="35" a="1"/>
  <c r="AP43" i="35" a="1"/>
  <c r="AP43" i="35" s="1"/>
  <c r="AN43" i="35" a="1"/>
  <c r="AN43" i="35" s="1"/>
  <c r="AL43" i="35" a="1"/>
  <c r="AL43" i="35" s="1"/>
  <c r="AJ43" i="35"/>
  <c r="AJ43" i="35" a="1"/>
  <c r="AH43" i="35" a="1"/>
  <c r="AH43" i="35" s="1"/>
  <c r="AF43" i="35"/>
  <c r="AF43" i="35" a="1"/>
  <c r="AD43" i="35" a="1"/>
  <c r="AD43" i="35" s="1"/>
  <c r="AB43" i="35"/>
  <c r="AB43" i="35" a="1"/>
  <c r="Z43" i="35" a="1"/>
  <c r="Z43" i="35" s="1"/>
  <c r="X43" i="35" a="1"/>
  <c r="X43" i="35" s="1"/>
  <c r="V43" i="35" a="1"/>
  <c r="V43" i="35" s="1"/>
  <c r="T43" i="35"/>
  <c r="T43" i="35" a="1"/>
  <c r="R43" i="35" a="1"/>
  <c r="R43" i="35" s="1"/>
  <c r="P43" i="35"/>
  <c r="P43" i="35" a="1"/>
  <c r="N43" i="35" a="1"/>
  <c r="N43" i="35" s="1"/>
  <c r="L43" i="35"/>
  <c r="L43" i="35" a="1"/>
  <c r="J43" i="35" a="1"/>
  <c r="J43" i="35" s="1"/>
  <c r="H43" i="35"/>
  <c r="H43" i="35" a="1"/>
  <c r="F43" i="35" a="1"/>
  <c r="F43" i="35" s="1"/>
  <c r="D43" i="35"/>
  <c r="D43" i="35" a="1"/>
  <c r="B43" i="35"/>
  <c r="AV42" i="35"/>
  <c r="AT42" i="35"/>
  <c r="AR42" i="35"/>
  <c r="AP42" i="35"/>
  <c r="AN42" i="35"/>
  <c r="AL42" i="35"/>
  <c r="AJ42" i="35"/>
  <c r="AH42" i="35"/>
  <c r="AF42" i="35"/>
  <c r="AD42" i="35"/>
  <c r="AB42" i="35"/>
  <c r="Z42" i="35"/>
  <c r="X42" i="35"/>
  <c r="V42" i="35"/>
  <c r="T42" i="35"/>
  <c r="R42" i="35"/>
  <c r="P42" i="35"/>
  <c r="N42" i="35"/>
  <c r="L42" i="35"/>
  <c r="J42" i="35"/>
  <c r="H42" i="35"/>
  <c r="F42" i="35"/>
  <c r="D42" i="35"/>
  <c r="B42" i="35"/>
  <c r="K58" i="2" a="1"/>
  <c r="K57" i="2" a="1"/>
  <c r="K56" i="2" a="1"/>
  <c r="K55" i="2" a="1"/>
  <c r="AH81" i="38"/>
  <c r="AF81" i="38"/>
  <c r="AD81" i="38"/>
  <c r="AB81" i="38"/>
  <c r="Z81" i="38"/>
  <c r="T81" i="38"/>
  <c r="R81" i="38"/>
  <c r="B81" i="38"/>
  <c r="AV80" i="38"/>
  <c r="AT80" i="38"/>
  <c r="AR80" i="38"/>
  <c r="AJ80" i="38"/>
  <c r="AH80" i="38"/>
  <c r="R80" i="38"/>
  <c r="P80" i="38"/>
  <c r="N80" i="38"/>
  <c r="L80" i="38"/>
  <c r="D80" i="38"/>
  <c r="B80" i="38"/>
  <c r="AV79" i="38" a="1"/>
  <c r="AV79" i="38" s="1"/>
  <c r="AT79" i="38" a="1"/>
  <c r="AT79" i="38" s="1"/>
  <c r="AR79" i="38"/>
  <c r="AR79" i="38" a="1"/>
  <c r="AP79" i="38" a="1"/>
  <c r="AP79" i="38" s="1"/>
  <c r="AN79" i="38" a="1"/>
  <c r="AN79" i="38" s="1"/>
  <c r="AL79" i="38" a="1"/>
  <c r="AL79" i="38" s="1"/>
  <c r="AJ79" i="38" a="1"/>
  <c r="AJ79" i="38" s="1"/>
  <c r="AH79" i="38" a="1"/>
  <c r="AH79" i="38" s="1"/>
  <c r="AF79" i="38" a="1"/>
  <c r="AF79" i="38" s="1"/>
  <c r="AD79" i="38" a="1"/>
  <c r="AD79" i="38" s="1"/>
  <c r="AB79" i="38"/>
  <c r="AB79" i="38" a="1"/>
  <c r="Z79" i="38" a="1"/>
  <c r="Z79" i="38" s="1"/>
  <c r="X79" i="38" a="1"/>
  <c r="X79" i="38" s="1"/>
  <c r="V79" i="38" a="1"/>
  <c r="V79" i="38" s="1"/>
  <c r="T79" i="38" a="1"/>
  <c r="T79" i="38" s="1"/>
  <c r="R79" i="38" a="1"/>
  <c r="R79" i="38" s="1"/>
  <c r="P79" i="38" a="1"/>
  <c r="P79" i="38" s="1"/>
  <c r="N79" i="38" a="1"/>
  <c r="N79" i="38" s="1"/>
  <c r="L79" i="38" a="1"/>
  <c r="L79" i="38" s="1"/>
  <c r="J79" i="38" a="1"/>
  <c r="J79" i="38" s="1"/>
  <c r="H79" i="38" a="1"/>
  <c r="H79" i="38" s="1"/>
  <c r="F79" i="38" a="1"/>
  <c r="F79" i="38" s="1"/>
  <c r="D79" i="38" a="1"/>
  <c r="D79" i="38" s="1"/>
  <c r="B79" i="38" a="1"/>
  <c r="B79" i="38" s="1"/>
  <c r="AV78" i="38" a="1"/>
  <c r="AV78" i="38" s="1"/>
  <c r="AT78" i="38" a="1"/>
  <c r="AT78" i="38" s="1"/>
  <c r="AR78" i="38" a="1"/>
  <c r="AR78" i="38" s="1"/>
  <c r="AP78" i="38" a="1"/>
  <c r="AP78" i="38" s="1"/>
  <c r="AN78" i="38" a="1"/>
  <c r="AN78" i="38" s="1"/>
  <c r="AL78" i="38" a="1"/>
  <c r="AL78" i="38" s="1"/>
  <c r="AJ78" i="38" a="1"/>
  <c r="AJ78" i="38" s="1"/>
  <c r="AH78" i="38" a="1"/>
  <c r="AH78" i="38" s="1"/>
  <c r="AF78" i="38" a="1"/>
  <c r="AF78" i="38" s="1"/>
  <c r="AD78" i="38" a="1"/>
  <c r="AD78" i="38" s="1"/>
  <c r="AB78" i="38" a="1"/>
  <c r="AB78" i="38" s="1"/>
  <c r="Z78" i="38" a="1"/>
  <c r="Z78" i="38" s="1"/>
  <c r="X78" i="38" a="1"/>
  <c r="X78" i="38" s="1"/>
  <c r="V78" i="38" a="1"/>
  <c r="V78" i="38" s="1"/>
  <c r="T78" i="38" a="1"/>
  <c r="T78" i="38" s="1"/>
  <c r="R78" i="38" a="1"/>
  <c r="R78" i="38" s="1"/>
  <c r="P78" i="38" a="1"/>
  <c r="P78" i="38" s="1"/>
  <c r="N78" i="38" a="1"/>
  <c r="N78" i="38" s="1"/>
  <c r="L78" i="38" a="1"/>
  <c r="L78" i="38" s="1"/>
  <c r="J78" i="38" a="1"/>
  <c r="J78" i="38" s="1"/>
  <c r="H78" i="38" a="1"/>
  <c r="H78" i="38" s="1"/>
  <c r="F78" i="38" a="1"/>
  <c r="F78" i="38" s="1"/>
  <c r="D78" i="38" a="1"/>
  <c r="D78" i="38" s="1"/>
  <c r="B78" i="38" a="1"/>
  <c r="B78" i="38" s="1"/>
  <c r="AV77" i="38" a="1"/>
  <c r="AV77" i="38" s="1"/>
  <c r="AT77" i="38" a="1"/>
  <c r="AT77" i="38" s="1"/>
  <c r="AR77" i="38" a="1"/>
  <c r="AR77" i="38" s="1"/>
  <c r="AP77" i="38" a="1"/>
  <c r="AP77" i="38" s="1"/>
  <c r="AN77" i="38" a="1"/>
  <c r="AN77" i="38" s="1"/>
  <c r="AL77" i="38" a="1"/>
  <c r="AL77" i="38" s="1"/>
  <c r="AJ77" i="38" a="1"/>
  <c r="AJ77" i="38" s="1"/>
  <c r="AH77" i="38" a="1"/>
  <c r="AH77" i="38" s="1"/>
  <c r="AF77" i="38" a="1"/>
  <c r="AF77" i="38" s="1"/>
  <c r="AD77" i="38" a="1"/>
  <c r="AD77" i="38" s="1"/>
  <c r="AB77" i="38" a="1"/>
  <c r="AB77" i="38" s="1"/>
  <c r="Z77" i="38" a="1"/>
  <c r="Z77" i="38" s="1"/>
  <c r="X77" i="38" a="1"/>
  <c r="X77" i="38" s="1"/>
  <c r="V77" i="38" a="1"/>
  <c r="V77" i="38" s="1"/>
  <c r="T77" i="38" a="1"/>
  <c r="T77" i="38" s="1"/>
  <c r="R77" i="38" a="1"/>
  <c r="R77" i="38" s="1"/>
  <c r="P77" i="38" a="1"/>
  <c r="P77" i="38" s="1"/>
  <c r="N77" i="38" a="1"/>
  <c r="N77" i="38" s="1"/>
  <c r="L77" i="38" a="1"/>
  <c r="L77" i="38" s="1"/>
  <c r="J77" i="38" a="1"/>
  <c r="J77" i="38" s="1"/>
  <c r="H77" i="38" a="1"/>
  <c r="H77" i="38" s="1"/>
  <c r="F77" i="38" a="1"/>
  <c r="F77" i="38" s="1"/>
  <c r="D77" i="38" a="1"/>
  <c r="D77" i="38" s="1"/>
  <c r="B77" i="38" a="1"/>
  <c r="B77" i="38" s="1"/>
  <c r="AV76" i="38" a="1"/>
  <c r="AV76" i="38" s="1"/>
  <c r="AT76" i="38" a="1"/>
  <c r="AT76" i="38" s="1"/>
  <c r="AR76" i="38" a="1"/>
  <c r="AR76" i="38" s="1"/>
  <c r="AP76" i="38" a="1"/>
  <c r="AP76" i="38" s="1"/>
  <c r="AN76" i="38" a="1"/>
  <c r="AN76" i="38" s="1"/>
  <c r="AL76" i="38" a="1"/>
  <c r="AL76" i="38" s="1"/>
  <c r="AJ76" i="38" a="1"/>
  <c r="AJ76" i="38" s="1"/>
  <c r="AH76" i="38" a="1"/>
  <c r="AH76" i="38" s="1"/>
  <c r="AF76" i="38" a="1"/>
  <c r="AF76" i="38" s="1"/>
  <c r="AD76" i="38" a="1"/>
  <c r="AD76" i="38" s="1"/>
  <c r="AB76" i="38" a="1"/>
  <c r="AB76" i="38" s="1"/>
  <c r="Z76" i="38" a="1"/>
  <c r="Z76" i="38" s="1"/>
  <c r="X76" i="38" a="1"/>
  <c r="X76" i="38" s="1"/>
  <c r="V76" i="38" a="1"/>
  <c r="V76" i="38" s="1"/>
  <c r="T76" i="38" a="1"/>
  <c r="T76" i="38" s="1"/>
  <c r="R76" i="38" a="1"/>
  <c r="R76" i="38" s="1"/>
  <c r="P76" i="38" a="1"/>
  <c r="P76" i="38" s="1"/>
  <c r="N76" i="38" a="1"/>
  <c r="N76" i="38" s="1"/>
  <c r="L76" i="38" a="1"/>
  <c r="L76" i="38" s="1"/>
  <c r="J76" i="38" a="1"/>
  <c r="J76" i="38" s="1"/>
  <c r="H76" i="38" a="1"/>
  <c r="H76" i="38" s="1"/>
  <c r="F76" i="38" a="1"/>
  <c r="F76" i="38" s="1"/>
  <c r="D76" i="38" a="1"/>
  <c r="D76" i="38" s="1"/>
  <c r="B76" i="38" a="1"/>
  <c r="B76" i="38" s="1"/>
  <c r="AV75" i="38" a="1"/>
  <c r="AV75" i="38" s="1"/>
  <c r="AT75" i="38" a="1"/>
  <c r="AT75" i="38" s="1"/>
  <c r="AR75" i="38" a="1"/>
  <c r="AR75" i="38" s="1"/>
  <c r="AP75" i="38" a="1"/>
  <c r="AP75" i="38" s="1"/>
  <c r="AN75" i="38" a="1"/>
  <c r="AN75" i="38" s="1"/>
  <c r="AL75" i="38" a="1"/>
  <c r="AL75" i="38" s="1"/>
  <c r="AJ75" i="38" a="1"/>
  <c r="AJ75" i="38" s="1"/>
  <c r="AH75" i="38" a="1"/>
  <c r="AH75" i="38" s="1"/>
  <c r="AF75" i="38" a="1"/>
  <c r="AF75" i="38" s="1"/>
  <c r="AD75" i="38" a="1"/>
  <c r="AD75" i="38" s="1"/>
  <c r="AB75" i="38" a="1"/>
  <c r="AB75" i="38" s="1"/>
  <c r="Z75" i="38" a="1"/>
  <c r="Z75" i="38" s="1"/>
  <c r="X75" i="38" a="1"/>
  <c r="X75" i="38" s="1"/>
  <c r="V75" i="38" a="1"/>
  <c r="V75" i="38" s="1"/>
  <c r="T75" i="38" a="1"/>
  <c r="T75" i="38" s="1"/>
  <c r="R75" i="38" a="1"/>
  <c r="R75" i="38" s="1"/>
  <c r="P75" i="38" a="1"/>
  <c r="P75" i="38" s="1"/>
  <c r="N75" i="38" a="1"/>
  <c r="N75" i="38" s="1"/>
  <c r="L75" i="38" a="1"/>
  <c r="L75" i="38" s="1"/>
  <c r="J75" i="38" a="1"/>
  <c r="J75" i="38" s="1"/>
  <c r="H75" i="38" a="1"/>
  <c r="H75" i="38" s="1"/>
  <c r="F75" i="38" a="1"/>
  <c r="F75" i="38" s="1"/>
  <c r="D75" i="38" a="1"/>
  <c r="D75" i="38" s="1"/>
  <c r="B75" i="38" a="1"/>
  <c r="B75" i="38" s="1"/>
  <c r="AV74" i="38" a="1"/>
  <c r="AV74" i="38" s="1"/>
  <c r="AT74" i="38" a="1"/>
  <c r="AT74" i="38" s="1"/>
  <c r="AR74" i="38" a="1"/>
  <c r="AR74" i="38" s="1"/>
  <c r="AP74" i="38" a="1"/>
  <c r="AP74" i="38" s="1"/>
  <c r="AN74" i="38" a="1"/>
  <c r="AN74" i="38" s="1"/>
  <c r="AL74" i="38" a="1"/>
  <c r="AL74" i="38" s="1"/>
  <c r="AJ74" i="38" a="1"/>
  <c r="AJ74" i="38" s="1"/>
  <c r="AH74" i="38" a="1"/>
  <c r="AH74" i="38" s="1"/>
  <c r="AF74" i="38" a="1"/>
  <c r="AF74" i="38" s="1"/>
  <c r="AD74" i="38" a="1"/>
  <c r="AD74" i="38" s="1"/>
  <c r="AB74" i="38" a="1"/>
  <c r="AB74" i="38" s="1"/>
  <c r="Z74" i="38" a="1"/>
  <c r="Z74" i="38" s="1"/>
  <c r="X74" i="38" a="1"/>
  <c r="X74" i="38" s="1"/>
  <c r="V74" i="38" a="1"/>
  <c r="V74" i="38" s="1"/>
  <c r="T74" i="38" a="1"/>
  <c r="T74" i="38" s="1"/>
  <c r="R74" i="38" a="1"/>
  <c r="R74" i="38" s="1"/>
  <c r="P74" i="38" a="1"/>
  <c r="P74" i="38" s="1"/>
  <c r="N74" i="38" a="1"/>
  <c r="N74" i="38" s="1"/>
  <c r="L74" i="38" a="1"/>
  <c r="L74" i="38" s="1"/>
  <c r="J74" i="38" a="1"/>
  <c r="J74" i="38" s="1"/>
  <c r="H74" i="38" a="1"/>
  <c r="H74" i="38" s="1"/>
  <c r="F74" i="38" a="1"/>
  <c r="F74" i="38" s="1"/>
  <c r="D74" i="38" a="1"/>
  <c r="D74" i="38" s="1"/>
  <c r="B74" i="38" a="1"/>
  <c r="B74" i="38" s="1"/>
  <c r="AV73" i="38" a="1"/>
  <c r="AV73" i="38" s="1"/>
  <c r="AT73" i="38" a="1"/>
  <c r="AT73" i="38" s="1"/>
  <c r="AR73" i="38" a="1"/>
  <c r="AR73" i="38" s="1"/>
  <c r="AP73" i="38" a="1"/>
  <c r="AP73" i="38" s="1"/>
  <c r="AN73" i="38" a="1"/>
  <c r="AN73" i="38" s="1"/>
  <c r="AL73" i="38" a="1"/>
  <c r="AL73" i="38" s="1"/>
  <c r="AJ73" i="38" a="1"/>
  <c r="AJ73" i="38" s="1"/>
  <c r="AH73" i="38" a="1"/>
  <c r="AH73" i="38" s="1"/>
  <c r="AF73" i="38" a="1"/>
  <c r="AF73" i="38" s="1"/>
  <c r="AD73" i="38" a="1"/>
  <c r="AD73" i="38" s="1"/>
  <c r="AB73" i="38" a="1"/>
  <c r="AB73" i="38" s="1"/>
  <c r="Z73" i="38" a="1"/>
  <c r="Z73" i="38" s="1"/>
  <c r="X73" i="38" a="1"/>
  <c r="X73" i="38" s="1"/>
  <c r="V73" i="38" a="1"/>
  <c r="V73" i="38" s="1"/>
  <c r="T73" i="38" a="1"/>
  <c r="T73" i="38" s="1"/>
  <c r="R73" i="38" a="1"/>
  <c r="R73" i="38" s="1"/>
  <c r="P73" i="38" a="1"/>
  <c r="P73" i="38" s="1"/>
  <c r="N73" i="38" a="1"/>
  <c r="N73" i="38" s="1"/>
  <c r="L73" i="38" a="1"/>
  <c r="L73" i="38" s="1"/>
  <c r="J73" i="38" a="1"/>
  <c r="J73" i="38" s="1"/>
  <c r="H73" i="38" a="1"/>
  <c r="H73" i="38" s="1"/>
  <c r="F73" i="38" a="1"/>
  <c r="F73" i="38" s="1"/>
  <c r="D73" i="38" a="1"/>
  <c r="D73" i="38" s="1"/>
  <c r="B73" i="38" a="1"/>
  <c r="B73" i="38" s="1"/>
  <c r="AV72" i="38"/>
  <c r="AT72" i="38"/>
  <c r="AR72" i="38"/>
  <c r="AP72" i="38"/>
  <c r="AN72" i="38"/>
  <c r="AL72" i="38"/>
  <c r="AJ72" i="38"/>
  <c r="AH72" i="38"/>
  <c r="AF72" i="38"/>
  <c r="AD72" i="38"/>
  <c r="AB72" i="38"/>
  <c r="Z72" i="38"/>
  <c r="X72" i="38"/>
  <c r="V72" i="38"/>
  <c r="T72" i="38"/>
  <c r="R72" i="38"/>
  <c r="P72" i="38"/>
  <c r="N72" i="38"/>
  <c r="L72" i="38"/>
  <c r="J72" i="38"/>
  <c r="H72" i="38"/>
  <c r="F72" i="38"/>
  <c r="D72" i="38"/>
  <c r="B72" i="38"/>
  <c r="AV71" i="38"/>
  <c r="AT71" i="38"/>
  <c r="AR71" i="38"/>
  <c r="AP71" i="38"/>
  <c r="AN71" i="38"/>
  <c r="AL71" i="38"/>
  <c r="AJ71" i="38"/>
  <c r="AH71" i="38"/>
  <c r="AF71" i="38"/>
  <c r="AD71" i="38"/>
  <c r="AB71" i="38"/>
  <c r="Z71" i="38"/>
  <c r="X71" i="38"/>
  <c r="V71" i="38"/>
  <c r="T71" i="38"/>
  <c r="R71" i="38"/>
  <c r="P71" i="38"/>
  <c r="N71" i="38"/>
  <c r="L71" i="38"/>
  <c r="J71" i="38"/>
  <c r="H71" i="38"/>
  <c r="F71" i="38"/>
  <c r="D71" i="38"/>
  <c r="B71" i="38"/>
  <c r="AV70" i="38"/>
  <c r="AT70" i="38"/>
  <c r="AR70" i="38"/>
  <c r="AP70" i="38"/>
  <c r="AN70" i="38"/>
  <c r="AL70" i="38"/>
  <c r="AJ70" i="38"/>
  <c r="AH70" i="38"/>
  <c r="AF70" i="38"/>
  <c r="AD70" i="38"/>
  <c r="AB70" i="38"/>
  <c r="Z70" i="38"/>
  <c r="X70" i="38"/>
  <c r="V70" i="38"/>
  <c r="T70" i="38"/>
  <c r="R70" i="38"/>
  <c r="P70" i="38"/>
  <c r="N70" i="38"/>
  <c r="L70" i="38"/>
  <c r="J70" i="38"/>
  <c r="H70" i="38"/>
  <c r="F70" i="38"/>
  <c r="D70" i="38"/>
  <c r="B70" i="38"/>
  <c r="B69" i="38"/>
  <c r="AV67" i="38" a="1"/>
  <c r="AV67" i="38" s="1"/>
  <c r="AT67" i="38" a="1"/>
  <c r="AT67" i="38" s="1"/>
  <c r="AR67" i="38" a="1"/>
  <c r="AR67" i="38" s="1"/>
  <c r="AP67" i="38" a="1"/>
  <c r="AP67" i="38" s="1"/>
  <c r="AN67" i="38" a="1"/>
  <c r="AN67" i="38" s="1"/>
  <c r="AL67" i="38" a="1"/>
  <c r="AL67" i="38" s="1"/>
  <c r="AJ67" i="38" a="1"/>
  <c r="AJ67" i="38" s="1"/>
  <c r="AH67" i="38" a="1"/>
  <c r="AH67" i="38" s="1"/>
  <c r="AF67" i="38" a="1"/>
  <c r="AF67" i="38" s="1"/>
  <c r="AD67" i="38" a="1"/>
  <c r="AD67" i="38" s="1"/>
  <c r="AB67" i="38" a="1"/>
  <c r="AB67" i="38" s="1"/>
  <c r="Z67" i="38" a="1"/>
  <c r="Z67" i="38" s="1"/>
  <c r="Z68" i="38" s="1"/>
  <c r="X67" i="38" a="1"/>
  <c r="X67" i="38" s="1"/>
  <c r="V67" i="38" a="1"/>
  <c r="V67" i="38" s="1"/>
  <c r="T67" i="38" a="1"/>
  <c r="T67" i="38" s="1"/>
  <c r="R67" i="38" a="1"/>
  <c r="R67" i="38" s="1"/>
  <c r="P67" i="38" a="1"/>
  <c r="P67" i="38" s="1"/>
  <c r="N67" i="38"/>
  <c r="N67" i="38" a="1"/>
  <c r="L67" i="38" a="1"/>
  <c r="L67" i="38" s="1"/>
  <c r="J67" i="38" a="1"/>
  <c r="J67" i="38" s="1"/>
  <c r="H67" i="38" a="1"/>
  <c r="H67" i="38" s="1"/>
  <c r="F67" i="38" a="1"/>
  <c r="F67" i="38" s="1"/>
  <c r="D67" i="38" a="1"/>
  <c r="D67" i="38" s="1"/>
  <c r="B67" i="38" a="1"/>
  <c r="B67" i="38" s="1"/>
  <c r="AV66" i="38" a="1"/>
  <c r="AV66" i="38" s="1"/>
  <c r="AV68" i="38" s="1"/>
  <c r="AT66" i="38" a="1"/>
  <c r="AT66" i="38" s="1"/>
  <c r="AT68" i="38" s="1"/>
  <c r="AR66" i="38" a="1"/>
  <c r="AR66" i="38" s="1"/>
  <c r="AP66" i="38" a="1"/>
  <c r="AP66" i="38" s="1"/>
  <c r="AN66" i="38" a="1"/>
  <c r="AN66" i="38" s="1"/>
  <c r="AN68" i="38" s="1"/>
  <c r="AL66" i="38" a="1"/>
  <c r="AL66" i="38" s="1"/>
  <c r="AL68" i="38" s="1"/>
  <c r="AJ66" i="38" a="1"/>
  <c r="AJ66" i="38" s="1"/>
  <c r="AJ68" i="38" s="1"/>
  <c r="AH66" i="38" a="1"/>
  <c r="AH66" i="38" s="1"/>
  <c r="AF66" i="38" a="1"/>
  <c r="AF66" i="38" s="1"/>
  <c r="AD66" i="38" a="1"/>
  <c r="AD66" i="38" s="1"/>
  <c r="AD68" i="38" s="1"/>
  <c r="AB66" i="38" a="1"/>
  <c r="AB66" i="38" s="1"/>
  <c r="Z66" i="38" a="1"/>
  <c r="Z66" i="38" s="1"/>
  <c r="X66" i="38" a="1"/>
  <c r="X66" i="38" s="1"/>
  <c r="X68" i="38" s="1"/>
  <c r="V66" i="38" a="1"/>
  <c r="V66" i="38" s="1"/>
  <c r="V68" i="38" s="1"/>
  <c r="T66" i="38" a="1"/>
  <c r="T66" i="38" s="1"/>
  <c r="T68" i="38" s="1"/>
  <c r="R66" i="38" a="1"/>
  <c r="R66" i="38" s="1"/>
  <c r="R68" i="38" s="1"/>
  <c r="P66" i="38" a="1"/>
  <c r="P66" i="38" s="1"/>
  <c r="P68" i="38" s="1"/>
  <c r="N66" i="38"/>
  <c r="N66" i="38" a="1"/>
  <c r="L66" i="38" a="1"/>
  <c r="L66" i="38" s="1"/>
  <c r="L68" i="38" s="1"/>
  <c r="J66" i="38" a="1"/>
  <c r="J66" i="38" s="1"/>
  <c r="J68" i="38" s="1"/>
  <c r="H66" i="38" a="1"/>
  <c r="H66" i="38" s="1"/>
  <c r="H68" i="38" s="1"/>
  <c r="F66" i="38" a="1"/>
  <c r="F66" i="38" s="1"/>
  <c r="F68" i="38" s="1"/>
  <c r="D66" i="38" a="1"/>
  <c r="D66" i="38" s="1"/>
  <c r="B66" i="38" a="1"/>
  <c r="B66" i="38" s="1"/>
  <c r="AV65" i="38" a="1"/>
  <c r="AV65" i="38" s="1"/>
  <c r="AV69" i="38" s="1"/>
  <c r="AT65" i="38" a="1"/>
  <c r="AT65" i="38" s="1"/>
  <c r="AT69" i="38" s="1"/>
  <c r="AR65" i="38" a="1"/>
  <c r="AR65" i="38" s="1"/>
  <c r="AR69" i="38" s="1"/>
  <c r="AP65" i="38" a="1"/>
  <c r="AP65" i="38" s="1"/>
  <c r="AP69" i="38" s="1"/>
  <c r="AN65" i="38" a="1"/>
  <c r="AN65" i="38" s="1"/>
  <c r="AN69" i="38" s="1"/>
  <c r="AL65" i="38" a="1"/>
  <c r="AL65" i="38" s="1"/>
  <c r="AL69" i="38" s="1"/>
  <c r="AJ65" i="38" a="1"/>
  <c r="AJ65" i="38" s="1"/>
  <c r="AJ69" i="38" s="1"/>
  <c r="AH65" i="38" a="1"/>
  <c r="AH65" i="38" s="1"/>
  <c r="AH69" i="38" s="1"/>
  <c r="AF65" i="38" a="1"/>
  <c r="AF65" i="38" s="1"/>
  <c r="AF69" i="38" s="1"/>
  <c r="AD65" i="38" a="1"/>
  <c r="AD65" i="38" s="1"/>
  <c r="AD69" i="38" s="1"/>
  <c r="AB65" i="38" a="1"/>
  <c r="AB65" i="38" s="1"/>
  <c r="AB69" i="38" s="1"/>
  <c r="Z65" i="38" a="1"/>
  <c r="Z65" i="38" s="1"/>
  <c r="Z69" i="38" s="1"/>
  <c r="X65" i="38" a="1"/>
  <c r="X65" i="38" s="1"/>
  <c r="X69" i="38" s="1"/>
  <c r="V65" i="38" a="1"/>
  <c r="V65" i="38" s="1"/>
  <c r="V69" i="38" s="1"/>
  <c r="T65" i="38" a="1"/>
  <c r="T65" i="38" s="1"/>
  <c r="T69" i="38" s="1"/>
  <c r="R65" i="38" a="1"/>
  <c r="R65" i="38" s="1"/>
  <c r="R69" i="38" s="1"/>
  <c r="P65" i="38" a="1"/>
  <c r="P65" i="38" s="1"/>
  <c r="P69" i="38" s="1"/>
  <c r="N65" i="38" a="1"/>
  <c r="N65" i="38" s="1"/>
  <c r="N69" i="38" s="1"/>
  <c r="L65" i="38" a="1"/>
  <c r="L65" i="38" s="1"/>
  <c r="L69" i="38" s="1"/>
  <c r="J65" i="38" a="1"/>
  <c r="J65" i="38" s="1"/>
  <c r="J69" i="38" s="1"/>
  <c r="H65" i="38" a="1"/>
  <c r="H65" i="38" s="1"/>
  <c r="H69" i="38" s="1"/>
  <c r="F65" i="38" a="1"/>
  <c r="F65" i="38" s="1"/>
  <c r="F69" i="38" s="1"/>
  <c r="D65" i="38" a="1"/>
  <c r="D65" i="38" s="1"/>
  <c r="D69" i="38" s="1"/>
  <c r="B65" i="38"/>
  <c r="AV62" i="38"/>
  <c r="AT62" i="38"/>
  <c r="AR62" i="38"/>
  <c r="AP62" i="38"/>
  <c r="AN62" i="38"/>
  <c r="AL62" i="38"/>
  <c r="AJ62" i="38"/>
  <c r="AH62" i="38"/>
  <c r="AF62" i="38"/>
  <c r="AD62" i="38"/>
  <c r="AB62" i="38"/>
  <c r="Z62" i="38"/>
  <c r="X62" i="38"/>
  <c r="V62" i="38"/>
  <c r="T62" i="38"/>
  <c r="R62" i="38"/>
  <c r="P62" i="38"/>
  <c r="N62" i="38"/>
  <c r="L62" i="38"/>
  <c r="J62" i="38"/>
  <c r="H62" i="38"/>
  <c r="F62" i="38"/>
  <c r="D62" i="38"/>
  <c r="B62" i="38"/>
  <c r="AV60" i="38"/>
  <c r="AT60" i="38"/>
  <c r="AR60" i="38"/>
  <c r="AP60" i="38"/>
  <c r="AN60" i="38"/>
  <c r="AL60" i="38"/>
  <c r="AJ60" i="38"/>
  <c r="AH60" i="38"/>
  <c r="AF60" i="38"/>
  <c r="AD60" i="38"/>
  <c r="AB60" i="38"/>
  <c r="Z60" i="38"/>
  <c r="X60" i="38"/>
  <c r="V60" i="38"/>
  <c r="T60" i="38"/>
  <c r="R60" i="38"/>
  <c r="P60" i="38"/>
  <c r="N60" i="38"/>
  <c r="L60" i="38"/>
  <c r="J60" i="38"/>
  <c r="H60" i="38"/>
  <c r="F60" i="38"/>
  <c r="D60" i="38"/>
  <c r="B60" i="38"/>
  <c r="AV59" i="38"/>
  <c r="AT59" i="38"/>
  <c r="AR59" i="38"/>
  <c r="AP59" i="38"/>
  <c r="AN59" i="38"/>
  <c r="AL59" i="38"/>
  <c r="AJ59" i="38"/>
  <c r="AH59" i="38"/>
  <c r="AF59" i="38"/>
  <c r="AD59" i="38"/>
  <c r="AB59" i="38"/>
  <c r="Z59" i="38"/>
  <c r="X59" i="38"/>
  <c r="V59" i="38"/>
  <c r="T59" i="38"/>
  <c r="R59" i="38"/>
  <c r="P59" i="38"/>
  <c r="N59" i="38"/>
  <c r="L59" i="38"/>
  <c r="J59" i="38"/>
  <c r="H59" i="38"/>
  <c r="F59" i="38"/>
  <c r="D59" i="38"/>
  <c r="B59" i="38"/>
  <c r="AV58" i="38"/>
  <c r="AV58" i="38" a="1"/>
  <c r="AT58" i="38"/>
  <c r="AT58" i="38" a="1"/>
  <c r="AR58" i="38"/>
  <c r="AR58" i="38" a="1"/>
  <c r="AP58" i="38"/>
  <c r="AP58" i="38" a="1"/>
  <c r="AN58" i="38" a="1"/>
  <c r="AN58" i="38" s="1"/>
  <c r="AL58" i="38" a="1"/>
  <c r="AL58" i="38" s="1"/>
  <c r="AJ58" i="38"/>
  <c r="AJ58" i="38" a="1"/>
  <c r="AH58" i="38" a="1"/>
  <c r="AH58" i="38" s="1"/>
  <c r="AF58" i="38"/>
  <c r="AF58" i="38" a="1"/>
  <c r="AD58" i="38"/>
  <c r="AD58" i="38" a="1"/>
  <c r="AB58" i="38" a="1"/>
  <c r="AB58" i="38" s="1"/>
  <c r="Z58" i="38"/>
  <c r="Z58" i="38" a="1"/>
  <c r="X58" i="38" a="1"/>
  <c r="X58" i="38" s="1"/>
  <c r="V58" i="38" a="1"/>
  <c r="V58" i="38" s="1"/>
  <c r="T58" i="38"/>
  <c r="T58" i="38" a="1"/>
  <c r="R58" i="38" a="1"/>
  <c r="R58" i="38" s="1"/>
  <c r="P58" i="38"/>
  <c r="P58" i="38" a="1"/>
  <c r="N58" i="38"/>
  <c r="N58" i="38" a="1"/>
  <c r="L58" i="38" a="1"/>
  <c r="L58" i="38" s="1"/>
  <c r="J58" i="38"/>
  <c r="J58" i="38" a="1"/>
  <c r="H58" i="38" a="1"/>
  <c r="H58" i="38" s="1"/>
  <c r="F58" i="38" a="1"/>
  <c r="F58" i="38" s="1"/>
  <c r="D58" i="38"/>
  <c r="D58" i="38" a="1"/>
  <c r="B58" i="38" a="1"/>
  <c r="B58" i="38" s="1"/>
  <c r="AV57" i="38"/>
  <c r="AV57" i="38" a="1"/>
  <c r="AT57" i="38"/>
  <c r="AT57" i="38" a="1"/>
  <c r="AR57" i="38" a="1"/>
  <c r="AR57" i="38" s="1"/>
  <c r="AP57" i="38"/>
  <c r="AP57" i="38" a="1"/>
  <c r="AN57" i="38" a="1"/>
  <c r="AN57" i="38" s="1"/>
  <c r="AL57" i="38" a="1"/>
  <c r="AL57" i="38" s="1"/>
  <c r="AJ57" i="38"/>
  <c r="AJ57" i="38" a="1"/>
  <c r="AH57" i="38" a="1"/>
  <c r="AH57" i="38" s="1"/>
  <c r="AF57" i="38"/>
  <c r="AF57" i="38" a="1"/>
  <c r="AD57" i="38"/>
  <c r="AD57" i="38" a="1"/>
  <c r="AB57" i="38" a="1"/>
  <c r="AB57" i="38" s="1"/>
  <c r="Z57" i="38" a="1"/>
  <c r="Z57" i="38" s="1"/>
  <c r="X57" i="38" a="1"/>
  <c r="X57" i="38" s="1"/>
  <c r="V57" i="38" a="1"/>
  <c r="V57" i="38" s="1"/>
  <c r="T57" i="38"/>
  <c r="T57" i="38" a="1"/>
  <c r="R57" i="38" a="1"/>
  <c r="R57" i="38" s="1"/>
  <c r="P57" i="38"/>
  <c r="P57" i="38" a="1"/>
  <c r="N57" i="38"/>
  <c r="N57" i="38" a="1"/>
  <c r="L57" i="38" a="1"/>
  <c r="L57" i="38" s="1"/>
  <c r="J57" i="38" a="1"/>
  <c r="J57" i="38" s="1"/>
  <c r="H57" i="38" a="1"/>
  <c r="H57" i="38" s="1"/>
  <c r="F57" i="38" a="1"/>
  <c r="F57" i="38" s="1"/>
  <c r="D57" i="38"/>
  <c r="D57" i="38" a="1"/>
  <c r="B57" i="38" a="1"/>
  <c r="B57" i="38" s="1"/>
  <c r="AV56" i="38"/>
  <c r="AT56" i="38"/>
  <c r="AR56" i="38"/>
  <c r="AP56" i="38"/>
  <c r="AN56" i="38"/>
  <c r="AL56" i="38"/>
  <c r="AJ56" i="38"/>
  <c r="AH56" i="38"/>
  <c r="AF56" i="38"/>
  <c r="AD56" i="38"/>
  <c r="AB56" i="38"/>
  <c r="Z56" i="38"/>
  <c r="X56" i="38"/>
  <c r="V56" i="38"/>
  <c r="T56" i="38"/>
  <c r="R56" i="38"/>
  <c r="P56" i="38"/>
  <c r="N56" i="38"/>
  <c r="L56" i="38"/>
  <c r="J56" i="38"/>
  <c r="H56" i="38"/>
  <c r="F56" i="38"/>
  <c r="D56" i="38"/>
  <c r="B56" i="38"/>
  <c r="AV55" i="38"/>
  <c r="AT55" i="38"/>
  <c r="AR55" i="38"/>
  <c r="AP55" i="38"/>
  <c r="AP80" i="38" s="1"/>
  <c r="AN55" i="38"/>
  <c r="AN80" i="38" s="1"/>
  <c r="AL55" i="38"/>
  <c r="AL80" i="38" s="1"/>
  <c r="AJ55" i="38"/>
  <c r="AH55" i="38"/>
  <c r="AF55" i="38"/>
  <c r="AF80" i="38" s="1"/>
  <c r="AD55" i="38"/>
  <c r="AD80" i="38" s="1"/>
  <c r="AB55" i="38"/>
  <c r="AB80" i="38" s="1"/>
  <c r="Z55" i="38"/>
  <c r="Z80" i="38" s="1"/>
  <c r="X55" i="38"/>
  <c r="X80" i="38" s="1"/>
  <c r="V55" i="38"/>
  <c r="V80" i="38" s="1"/>
  <c r="T55" i="38"/>
  <c r="T80" i="38" s="1"/>
  <c r="R55" i="38"/>
  <c r="P55" i="38"/>
  <c r="N55" i="38"/>
  <c r="L55" i="38"/>
  <c r="J55" i="38"/>
  <c r="J80" i="38" s="1"/>
  <c r="H55" i="38"/>
  <c r="H80" i="38" s="1"/>
  <c r="F55" i="38"/>
  <c r="F80" i="38" s="1"/>
  <c r="D55" i="38"/>
  <c r="B55" i="38"/>
  <c r="AV53" i="38" a="1"/>
  <c r="AT53" i="38" a="1"/>
  <c r="AR53" i="38" a="1"/>
  <c r="AP53" i="38" a="1"/>
  <c r="AN53" i="38" a="1"/>
  <c r="AL53" i="38" a="1"/>
  <c r="AJ53" i="38" a="1"/>
  <c r="AH53" i="38" a="1"/>
  <c r="AF53" i="38" a="1"/>
  <c r="AD53" i="38" a="1"/>
  <c r="AB53" i="38" a="1"/>
  <c r="Z53" i="38" a="1"/>
  <c r="X53" i="38" a="1"/>
  <c r="V53" i="38" a="1"/>
  <c r="T53" i="38" a="1"/>
  <c r="R53" i="38" a="1"/>
  <c r="P53" i="38" a="1"/>
  <c r="N53" i="38" a="1"/>
  <c r="L53" i="38" a="1"/>
  <c r="J53" i="38" a="1"/>
  <c r="H53" i="38" a="1"/>
  <c r="F53" i="38" a="1"/>
  <c r="D53" i="38" a="1"/>
  <c r="B53" i="38" a="1"/>
  <c r="AV52" i="38" a="1"/>
  <c r="AT52" i="38" a="1"/>
  <c r="AR52" i="38" a="1"/>
  <c r="AP52" i="38" a="1"/>
  <c r="AN52" i="38" a="1"/>
  <c r="AL52" i="38" a="1"/>
  <c r="AJ52" i="38" a="1"/>
  <c r="AH52" i="38" a="1"/>
  <c r="AF52" i="38" a="1"/>
  <c r="AD52" i="38" a="1"/>
  <c r="AB52" i="38" a="1"/>
  <c r="Z52" i="38" a="1"/>
  <c r="X52" i="38" a="1"/>
  <c r="V52" i="38" a="1"/>
  <c r="T52" i="38" a="1"/>
  <c r="R52" i="38" a="1"/>
  <c r="P52" i="38" a="1"/>
  <c r="N52" i="38" a="1"/>
  <c r="L52" i="38" a="1"/>
  <c r="J52" i="38" a="1"/>
  <c r="H52" i="38" a="1"/>
  <c r="F52" i="38" a="1"/>
  <c r="D52" i="38" a="1"/>
  <c r="B52" i="38" a="1"/>
  <c r="AV51" i="38"/>
  <c r="AV81" i="38" s="1"/>
  <c r="AT51" i="38"/>
  <c r="AT81" i="38" s="1"/>
  <c r="AR51" i="38"/>
  <c r="AR81" i="38" s="1"/>
  <c r="AP51" i="38"/>
  <c r="AP81" i="38" s="1"/>
  <c r="AN51" i="38"/>
  <c r="AN81" i="38" s="1"/>
  <c r="AL51" i="38"/>
  <c r="AL81" i="38" s="1"/>
  <c r="AJ51" i="38"/>
  <c r="AJ81" i="38" s="1"/>
  <c r="AH51" i="38"/>
  <c r="AF51" i="38"/>
  <c r="AD51" i="38"/>
  <c r="AB51" i="38"/>
  <c r="Z51" i="38"/>
  <c r="X51" i="38"/>
  <c r="X81" i="38" s="1"/>
  <c r="V51" i="38"/>
  <c r="V81" i="38" s="1"/>
  <c r="T51" i="38"/>
  <c r="R51" i="38"/>
  <c r="P51" i="38"/>
  <c r="P81" i="38" s="1"/>
  <c r="N51" i="38"/>
  <c r="N81" i="38" s="1"/>
  <c r="L51" i="38"/>
  <c r="L81" i="38" s="1"/>
  <c r="J51" i="38"/>
  <c r="J81" i="38" s="1"/>
  <c r="H51" i="38"/>
  <c r="H81" i="38" s="1"/>
  <c r="F51" i="38"/>
  <c r="F81" i="38" s="1"/>
  <c r="D51" i="38"/>
  <c r="D81" i="38" s="1"/>
  <c r="B51" i="38"/>
  <c r="AV49" i="38"/>
  <c r="AT49" i="38"/>
  <c r="AR49" i="38"/>
  <c r="AP49" i="38"/>
  <c r="AN49" i="38"/>
  <c r="AL49" i="38"/>
  <c r="AJ49" i="38"/>
  <c r="AH49" i="38"/>
  <c r="AF49" i="38"/>
  <c r="AD49" i="38"/>
  <c r="AB49" i="38"/>
  <c r="Z49" i="38"/>
  <c r="X49" i="38"/>
  <c r="V49" i="38"/>
  <c r="T49" i="38"/>
  <c r="R49" i="38"/>
  <c r="P49" i="38"/>
  <c r="N49" i="38"/>
  <c r="L49" i="38"/>
  <c r="J49" i="38"/>
  <c r="H49" i="38"/>
  <c r="F49" i="38"/>
  <c r="D49" i="38"/>
  <c r="B49" i="38"/>
  <c r="AV48" i="38"/>
  <c r="AT48" i="38"/>
  <c r="AR48" i="38"/>
  <c r="AP48" i="38"/>
  <c r="AN48" i="38"/>
  <c r="AL48" i="38"/>
  <c r="AJ48" i="38"/>
  <c r="AH48" i="38"/>
  <c r="AF48" i="38"/>
  <c r="AD48" i="38"/>
  <c r="AB48" i="38"/>
  <c r="Z48" i="38"/>
  <c r="X48" i="38"/>
  <c r="V48" i="38"/>
  <c r="T48" i="38"/>
  <c r="R48" i="38"/>
  <c r="P48" i="38"/>
  <c r="N48" i="38"/>
  <c r="L48" i="38"/>
  <c r="J48" i="38"/>
  <c r="H48" i="38"/>
  <c r="F48" i="38"/>
  <c r="D48" i="38"/>
  <c r="B48" i="38"/>
  <c r="AV46" i="38"/>
  <c r="AT46" i="38"/>
  <c r="AR46" i="38"/>
  <c r="AP46" i="38"/>
  <c r="AN46" i="38"/>
  <c r="AL46" i="38"/>
  <c r="AJ46" i="38"/>
  <c r="AH46" i="38"/>
  <c r="AF46" i="38"/>
  <c r="AD46" i="38"/>
  <c r="AB46" i="38"/>
  <c r="Z46" i="38"/>
  <c r="X46" i="38"/>
  <c r="V46" i="38"/>
  <c r="T46" i="38"/>
  <c r="R46" i="38"/>
  <c r="P46" i="38"/>
  <c r="N46" i="38"/>
  <c r="L46" i="38"/>
  <c r="J46" i="38"/>
  <c r="H46" i="38"/>
  <c r="F46" i="38"/>
  <c r="D46" i="38"/>
  <c r="B46" i="38"/>
  <c r="AV45" i="38"/>
  <c r="AT45" i="38"/>
  <c r="AR45" i="38"/>
  <c r="AP45" i="38"/>
  <c r="AN45" i="38"/>
  <c r="AL45" i="38"/>
  <c r="AJ45" i="38"/>
  <c r="AH45" i="38"/>
  <c r="AF45" i="38"/>
  <c r="AD45" i="38"/>
  <c r="AB45" i="38"/>
  <c r="Z45" i="38"/>
  <c r="X45" i="38"/>
  <c r="V45" i="38"/>
  <c r="T45" i="38"/>
  <c r="R45" i="38"/>
  <c r="P45" i="38"/>
  <c r="N45" i="38"/>
  <c r="L45" i="38"/>
  <c r="J45" i="38"/>
  <c r="H45" i="38"/>
  <c r="F45" i="38"/>
  <c r="D45" i="38"/>
  <c r="B45" i="38"/>
  <c r="AV44" i="38"/>
  <c r="AT44" i="38"/>
  <c r="AR44" i="38"/>
  <c r="AP44" i="38"/>
  <c r="AN44" i="38"/>
  <c r="AL44" i="38"/>
  <c r="AJ44" i="38"/>
  <c r="AH44" i="38"/>
  <c r="AF44" i="38"/>
  <c r="AD44" i="38"/>
  <c r="AB44" i="38"/>
  <c r="Z44" i="38"/>
  <c r="X44" i="38"/>
  <c r="V44" i="38"/>
  <c r="T44" i="38"/>
  <c r="R44" i="38"/>
  <c r="P44" i="38"/>
  <c r="N44" i="38"/>
  <c r="L44" i="38"/>
  <c r="J44" i="38"/>
  <c r="H44" i="38"/>
  <c r="F44" i="38"/>
  <c r="D44" i="38"/>
  <c r="B44" i="38"/>
  <c r="AV43" i="38"/>
  <c r="AV43" i="38" a="1"/>
  <c r="AT43" i="38" a="1"/>
  <c r="AT43" i="38" s="1"/>
  <c r="AR43" i="38" a="1"/>
  <c r="AR43" i="38" s="1"/>
  <c r="AP43" i="38" a="1"/>
  <c r="AP43" i="38" s="1"/>
  <c r="AN43" i="38" a="1"/>
  <c r="AN43" i="38" s="1"/>
  <c r="AL43" i="38" a="1"/>
  <c r="AL43" i="38" s="1"/>
  <c r="AJ43" i="38"/>
  <c r="AJ43" i="38" a="1"/>
  <c r="AH43" i="38" a="1"/>
  <c r="AH43" i="38" s="1"/>
  <c r="AF43" i="38"/>
  <c r="AF43" i="38" a="1"/>
  <c r="AD43" i="38" a="1"/>
  <c r="AD43" i="38" s="1"/>
  <c r="AB43" i="38" a="1"/>
  <c r="AB43" i="38" s="1"/>
  <c r="Z43" i="38" a="1"/>
  <c r="Z43" i="38" s="1"/>
  <c r="X43" i="38" a="1"/>
  <c r="X43" i="38" s="1"/>
  <c r="V43" i="38" a="1"/>
  <c r="V43" i="38" s="1"/>
  <c r="T43" i="38"/>
  <c r="T43" i="38" a="1"/>
  <c r="R43" i="38" a="1"/>
  <c r="R43" i="38" s="1"/>
  <c r="P43" i="38"/>
  <c r="P43" i="38" a="1"/>
  <c r="N43" i="38" a="1"/>
  <c r="N43" i="38" s="1"/>
  <c r="L43" i="38" a="1"/>
  <c r="L43" i="38" s="1"/>
  <c r="J43" i="38" a="1"/>
  <c r="J43" i="38" s="1"/>
  <c r="H43" i="38" a="1"/>
  <c r="H43" i="38" s="1"/>
  <c r="F43" i="38" a="1"/>
  <c r="F43" i="38" s="1"/>
  <c r="D43" i="38"/>
  <c r="D43" i="38" a="1"/>
  <c r="B43" i="38"/>
  <c r="AV42" i="38"/>
  <c r="AT42" i="38"/>
  <c r="AR42" i="38"/>
  <c r="AP42" i="38"/>
  <c r="AN42" i="38"/>
  <c r="AL42" i="38"/>
  <c r="AJ42" i="38"/>
  <c r="AH42" i="38"/>
  <c r="AF42" i="38"/>
  <c r="AD42" i="38"/>
  <c r="AB42" i="38"/>
  <c r="Z42" i="38"/>
  <c r="X42" i="38"/>
  <c r="V42" i="38"/>
  <c r="T42" i="38"/>
  <c r="R42" i="38"/>
  <c r="P42" i="38"/>
  <c r="N42" i="38"/>
  <c r="L42" i="38"/>
  <c r="J42" i="38"/>
  <c r="H42" i="38"/>
  <c r="F42" i="38"/>
  <c r="D42" i="38"/>
  <c r="B42" i="38"/>
  <c r="AT81" i="21"/>
  <c r="AN81" i="21"/>
  <c r="AH81" i="21"/>
  <c r="AF81" i="21"/>
  <c r="AD81" i="21"/>
  <c r="AB81" i="21"/>
  <c r="Z81" i="21"/>
  <c r="T81" i="21"/>
  <c r="R81" i="21"/>
  <c r="N81" i="21"/>
  <c r="H81" i="21"/>
  <c r="B81" i="21"/>
  <c r="AV80" i="21"/>
  <c r="AT80" i="21"/>
  <c r="AR80" i="21"/>
  <c r="AJ80" i="21"/>
  <c r="AH80" i="21"/>
  <c r="AD80" i="21"/>
  <c r="X80" i="21"/>
  <c r="R80" i="21"/>
  <c r="P80" i="21"/>
  <c r="N80" i="21"/>
  <c r="L80" i="21"/>
  <c r="D80" i="21"/>
  <c r="B80" i="21"/>
  <c r="AV79" i="21" a="1"/>
  <c r="AV79" i="21" s="1"/>
  <c r="AT79" i="21"/>
  <c r="AT79" i="21" a="1"/>
  <c r="AR79" i="21"/>
  <c r="AR79" i="21" a="1"/>
  <c r="AP79" i="21" a="1"/>
  <c r="AP79" i="21" s="1"/>
  <c r="AN79" i="21" a="1"/>
  <c r="AN79" i="21" s="1"/>
  <c r="AL79" i="21"/>
  <c r="AL79" i="21" a="1"/>
  <c r="AJ79" i="21" a="1"/>
  <c r="AJ79" i="21" s="1"/>
  <c r="AH79" i="21" a="1"/>
  <c r="AH79" i="21" s="1"/>
  <c r="AF79" i="21" a="1"/>
  <c r="AF79" i="21" s="1"/>
  <c r="AD79" i="21"/>
  <c r="AD79" i="21" a="1"/>
  <c r="AB79" i="21"/>
  <c r="AB79" i="21" a="1"/>
  <c r="Z79" i="21" a="1"/>
  <c r="Z79" i="21" s="1"/>
  <c r="X79" i="21" a="1"/>
  <c r="X79" i="21" s="1"/>
  <c r="V79" i="21" a="1"/>
  <c r="V79" i="21" s="1"/>
  <c r="T79" i="21" a="1"/>
  <c r="T79" i="21" s="1"/>
  <c r="R79" i="21" a="1"/>
  <c r="R79" i="21" s="1"/>
  <c r="P79" i="21" a="1"/>
  <c r="P79" i="21" s="1"/>
  <c r="N79" i="21"/>
  <c r="N79" i="21" a="1"/>
  <c r="L79" i="21"/>
  <c r="L79" i="21" a="1"/>
  <c r="J79" i="21" a="1"/>
  <c r="J79" i="21" s="1"/>
  <c r="H79" i="21" a="1"/>
  <c r="H79" i="21" s="1"/>
  <c r="F79" i="21" a="1"/>
  <c r="F79" i="21" s="1"/>
  <c r="D79" i="21" a="1"/>
  <c r="D79" i="21" s="1"/>
  <c r="B79" i="21" a="1"/>
  <c r="B79" i="21" s="1"/>
  <c r="AV78" i="21" a="1"/>
  <c r="AV78" i="21" s="1"/>
  <c r="AT78" i="21"/>
  <c r="AT78" i="21" a="1"/>
  <c r="AR78" i="21"/>
  <c r="AR78" i="21" a="1"/>
  <c r="AP78" i="21" a="1"/>
  <c r="AP78" i="21" s="1"/>
  <c r="AN78" i="21" a="1"/>
  <c r="AN78" i="21" s="1"/>
  <c r="AL78" i="21" a="1"/>
  <c r="AL78" i="21" s="1"/>
  <c r="AJ78" i="21" a="1"/>
  <c r="AJ78" i="21" s="1"/>
  <c r="AH78" i="21" a="1"/>
  <c r="AH78" i="21" s="1"/>
  <c r="AF78" i="21" a="1"/>
  <c r="AF78" i="21" s="1"/>
  <c r="AD78" i="21"/>
  <c r="AD78" i="21" a="1"/>
  <c r="AB78" i="21"/>
  <c r="AB78" i="21" a="1"/>
  <c r="Z78" i="21" a="1"/>
  <c r="Z78" i="21" s="1"/>
  <c r="X78" i="21" a="1"/>
  <c r="X78" i="21" s="1"/>
  <c r="V78" i="21" a="1"/>
  <c r="V78" i="21" s="1"/>
  <c r="T78" i="21" a="1"/>
  <c r="T78" i="21" s="1"/>
  <c r="R78" i="21" a="1"/>
  <c r="R78" i="21" s="1"/>
  <c r="P78" i="21" a="1"/>
  <c r="P78" i="21" s="1"/>
  <c r="N78" i="21"/>
  <c r="N78" i="21" a="1"/>
  <c r="L78" i="21"/>
  <c r="L78" i="21" a="1"/>
  <c r="J78" i="21" a="1"/>
  <c r="J78" i="21" s="1"/>
  <c r="H78" i="21" a="1"/>
  <c r="H78" i="21" s="1"/>
  <c r="F78" i="21"/>
  <c r="F78" i="21" a="1"/>
  <c r="D78" i="21" a="1"/>
  <c r="D78" i="21" s="1"/>
  <c r="B78" i="21" a="1"/>
  <c r="B78" i="21" s="1"/>
  <c r="AV77" i="21" a="1"/>
  <c r="AV77" i="21" s="1"/>
  <c r="AT77" i="21"/>
  <c r="AT77" i="21" a="1"/>
  <c r="AR77" i="21"/>
  <c r="AR77" i="21" a="1"/>
  <c r="AP77" i="21" a="1"/>
  <c r="AP77" i="21" s="1"/>
  <c r="AN77" i="21" a="1"/>
  <c r="AN77" i="21" s="1"/>
  <c r="AL77" i="21" a="1"/>
  <c r="AL77" i="21" s="1"/>
  <c r="AJ77" i="21" a="1"/>
  <c r="AJ77" i="21" s="1"/>
  <c r="AH77" i="21" a="1"/>
  <c r="AH77" i="21" s="1"/>
  <c r="AF77" i="21" a="1"/>
  <c r="AF77" i="21" s="1"/>
  <c r="AD77" i="21"/>
  <c r="AD77" i="21" a="1"/>
  <c r="AB77" i="21"/>
  <c r="AB77" i="21" a="1"/>
  <c r="Z77" i="21" a="1"/>
  <c r="Z77" i="21" s="1"/>
  <c r="X77" i="21" a="1"/>
  <c r="X77" i="21" s="1"/>
  <c r="V77" i="21" a="1"/>
  <c r="V77" i="21" s="1"/>
  <c r="T77" i="21" a="1"/>
  <c r="T77" i="21" s="1"/>
  <c r="R77" i="21" a="1"/>
  <c r="R77" i="21" s="1"/>
  <c r="P77" i="21" a="1"/>
  <c r="P77" i="21" s="1"/>
  <c r="N77" i="21"/>
  <c r="N77" i="21" a="1"/>
  <c r="L77" i="21"/>
  <c r="L77" i="21" a="1"/>
  <c r="J77" i="21" a="1"/>
  <c r="J77" i="21" s="1"/>
  <c r="H77" i="21" a="1"/>
  <c r="H77" i="21" s="1"/>
  <c r="F77" i="21" a="1"/>
  <c r="F77" i="21" s="1"/>
  <c r="D77" i="21" a="1"/>
  <c r="D77" i="21" s="1"/>
  <c r="B77" i="21" a="1"/>
  <c r="B77" i="21" s="1"/>
  <c r="AV76" i="21" a="1"/>
  <c r="AV76" i="21" s="1"/>
  <c r="AT76" i="21"/>
  <c r="AT76" i="21" a="1"/>
  <c r="AR76" i="21"/>
  <c r="AR76" i="21" a="1"/>
  <c r="AP76" i="21" a="1"/>
  <c r="AP76" i="21" s="1"/>
  <c r="AN76" i="21" a="1"/>
  <c r="AN76" i="21" s="1"/>
  <c r="AL76" i="21" a="1"/>
  <c r="AL76" i="21" s="1"/>
  <c r="AJ76" i="21" a="1"/>
  <c r="AJ76" i="21" s="1"/>
  <c r="AH76" i="21" a="1"/>
  <c r="AH76" i="21" s="1"/>
  <c r="AF76" i="21" a="1"/>
  <c r="AF76" i="21" s="1"/>
  <c r="AD76" i="21"/>
  <c r="AD76" i="21" a="1"/>
  <c r="AB76" i="21"/>
  <c r="AB76" i="21" a="1"/>
  <c r="Z76" i="21" a="1"/>
  <c r="Z76" i="21" s="1"/>
  <c r="X76" i="21" a="1"/>
  <c r="X76" i="21" s="1"/>
  <c r="V76" i="21" a="1"/>
  <c r="V76" i="21" s="1"/>
  <c r="T76" i="21" a="1"/>
  <c r="T76" i="21" s="1"/>
  <c r="R76" i="21" a="1"/>
  <c r="R76" i="21" s="1"/>
  <c r="P76" i="21" a="1"/>
  <c r="P76" i="21" s="1"/>
  <c r="N76" i="21"/>
  <c r="N76" i="21" a="1"/>
  <c r="L76" i="21"/>
  <c r="L76" i="21" a="1"/>
  <c r="J76" i="21" a="1"/>
  <c r="J76" i="21" s="1"/>
  <c r="H76" i="21" a="1"/>
  <c r="H76" i="21" s="1"/>
  <c r="F76" i="21"/>
  <c r="F76" i="21" a="1"/>
  <c r="D76" i="21" a="1"/>
  <c r="D76" i="21" s="1"/>
  <c r="B76" i="21" a="1"/>
  <c r="B76" i="21" s="1"/>
  <c r="AV75" i="21" a="1"/>
  <c r="AV75" i="21" s="1"/>
  <c r="AT75" i="21"/>
  <c r="AT75" i="21" a="1"/>
  <c r="AR75" i="21"/>
  <c r="AR75" i="21" a="1"/>
  <c r="AP75" i="21" a="1"/>
  <c r="AP75" i="21" s="1"/>
  <c r="AN75" i="21" a="1"/>
  <c r="AN75" i="21" s="1"/>
  <c r="AL75" i="21"/>
  <c r="AL75" i="21" a="1"/>
  <c r="AJ75" i="21" a="1"/>
  <c r="AJ75" i="21" s="1"/>
  <c r="AH75" i="21" a="1"/>
  <c r="AH75" i="21" s="1"/>
  <c r="AF75" i="21" a="1"/>
  <c r="AF75" i="21" s="1"/>
  <c r="AD75" i="21"/>
  <c r="AD75" i="21" a="1"/>
  <c r="AB75" i="21"/>
  <c r="AB75" i="21" a="1"/>
  <c r="Z75" i="21" a="1"/>
  <c r="Z75" i="21" s="1"/>
  <c r="X75" i="21" a="1"/>
  <c r="X75" i="21" s="1"/>
  <c r="V75" i="21" a="1"/>
  <c r="V75" i="21" s="1"/>
  <c r="T75" i="21" a="1"/>
  <c r="T75" i="21" s="1"/>
  <c r="R75" i="21" a="1"/>
  <c r="R75" i="21" s="1"/>
  <c r="P75" i="21" a="1"/>
  <c r="P75" i="21" s="1"/>
  <c r="N75" i="21"/>
  <c r="N75" i="21" a="1"/>
  <c r="L75" i="21"/>
  <c r="L75" i="21" a="1"/>
  <c r="J75" i="21" a="1"/>
  <c r="J75" i="21" s="1"/>
  <c r="H75" i="21" a="1"/>
  <c r="H75" i="21" s="1"/>
  <c r="F75" i="21"/>
  <c r="F75" i="21" a="1"/>
  <c r="D75" i="21" a="1"/>
  <c r="D75" i="21" s="1"/>
  <c r="B75" i="21" a="1"/>
  <c r="B75" i="21" s="1"/>
  <c r="AV74" i="21" a="1"/>
  <c r="AV74" i="21" s="1"/>
  <c r="AT74" i="21"/>
  <c r="AT74" i="21" a="1"/>
  <c r="AR74" i="21"/>
  <c r="AR74" i="21" a="1"/>
  <c r="AP74" i="21" a="1"/>
  <c r="AP74" i="21" s="1"/>
  <c r="AN74" i="21" a="1"/>
  <c r="AN74" i="21" s="1"/>
  <c r="AL74" i="21" a="1"/>
  <c r="AL74" i="21" s="1"/>
  <c r="AJ74" i="21" a="1"/>
  <c r="AJ74" i="21" s="1"/>
  <c r="AH74" i="21" a="1"/>
  <c r="AH74" i="21" s="1"/>
  <c r="AF74" i="21" a="1"/>
  <c r="AF74" i="21" s="1"/>
  <c r="AD74" i="21"/>
  <c r="AD74" i="21" a="1"/>
  <c r="AB74" i="21"/>
  <c r="AB74" i="21" a="1"/>
  <c r="Z74" i="21" a="1"/>
  <c r="Z74" i="21" s="1"/>
  <c r="X74" i="21" a="1"/>
  <c r="X74" i="21" s="1"/>
  <c r="V74" i="21"/>
  <c r="V74" i="21" a="1"/>
  <c r="T74" i="21" a="1"/>
  <c r="T74" i="21" s="1"/>
  <c r="R74" i="21" a="1"/>
  <c r="R74" i="21" s="1"/>
  <c r="P74" i="21" a="1"/>
  <c r="P74" i="21" s="1"/>
  <c r="N74" i="21"/>
  <c r="N74" i="21" a="1"/>
  <c r="L74" i="21"/>
  <c r="L74" i="21" a="1"/>
  <c r="J74" i="21" a="1"/>
  <c r="J74" i="21" s="1"/>
  <c r="H74" i="21" a="1"/>
  <c r="H74" i="21" s="1"/>
  <c r="F74" i="21" a="1"/>
  <c r="F74" i="21" s="1"/>
  <c r="D74" i="21" a="1"/>
  <c r="D74" i="21" s="1"/>
  <c r="B74" i="21" a="1"/>
  <c r="B74" i="21" s="1"/>
  <c r="AV73" i="21" a="1"/>
  <c r="AV73" i="21" s="1"/>
  <c r="AT73" i="21"/>
  <c r="AT73" i="21" a="1"/>
  <c r="AR73" i="21"/>
  <c r="AR73" i="21" a="1"/>
  <c r="AP73" i="21" a="1"/>
  <c r="AP73" i="21" s="1"/>
  <c r="AN73" i="21" a="1"/>
  <c r="AN73" i="21" s="1"/>
  <c r="AL73" i="21" a="1"/>
  <c r="AL73" i="21" s="1"/>
  <c r="AJ73" i="21" a="1"/>
  <c r="AJ73" i="21" s="1"/>
  <c r="AH73" i="21" a="1"/>
  <c r="AH73" i="21" s="1"/>
  <c r="AF73" i="21" a="1"/>
  <c r="AF73" i="21" s="1"/>
  <c r="AD73" i="21"/>
  <c r="AD73" i="21" a="1"/>
  <c r="AB73" i="21"/>
  <c r="AB73" i="21" a="1"/>
  <c r="Z73" i="21" a="1"/>
  <c r="Z73" i="21" s="1"/>
  <c r="X73" i="21" a="1"/>
  <c r="X73" i="21" s="1"/>
  <c r="V73" i="21"/>
  <c r="V73" i="21" a="1"/>
  <c r="T73" i="21" a="1"/>
  <c r="T73" i="21" s="1"/>
  <c r="R73" i="21" a="1"/>
  <c r="R73" i="21" s="1"/>
  <c r="P73" i="21" a="1"/>
  <c r="P73" i="21" s="1"/>
  <c r="N73" i="21"/>
  <c r="N73" i="21" a="1"/>
  <c r="L73" i="21"/>
  <c r="L73" i="21" a="1"/>
  <c r="J73" i="21" a="1"/>
  <c r="J73" i="21" s="1"/>
  <c r="H73" i="21" a="1"/>
  <c r="H73" i="21" s="1"/>
  <c r="F73" i="21" a="1"/>
  <c r="F73" i="21" s="1"/>
  <c r="D73" i="21" a="1"/>
  <c r="D73" i="21" s="1"/>
  <c r="B73" i="21" a="1"/>
  <c r="B73" i="21" s="1"/>
  <c r="AV72" i="21"/>
  <c r="AT72" i="21"/>
  <c r="AR72" i="21"/>
  <c r="AP72" i="21"/>
  <c r="AN72" i="21"/>
  <c r="AL72" i="21"/>
  <c r="AJ72" i="21"/>
  <c r="AH72" i="21"/>
  <c r="AF72" i="21"/>
  <c r="AD72" i="21"/>
  <c r="AB72" i="21"/>
  <c r="Z72" i="21"/>
  <c r="X72" i="21"/>
  <c r="V72" i="21"/>
  <c r="T72" i="21"/>
  <c r="R72" i="21"/>
  <c r="P72" i="21"/>
  <c r="N72" i="21"/>
  <c r="L72" i="21"/>
  <c r="J72" i="21"/>
  <c r="H72" i="21"/>
  <c r="F72" i="21"/>
  <c r="D72" i="21"/>
  <c r="B72" i="21"/>
  <c r="AV71" i="21"/>
  <c r="AT71" i="21"/>
  <c r="AR71" i="21"/>
  <c r="AP71" i="21"/>
  <c r="AN71" i="21"/>
  <c r="AL71" i="21"/>
  <c r="AJ71" i="21"/>
  <c r="AH71" i="21"/>
  <c r="AF71" i="21"/>
  <c r="AD71" i="21"/>
  <c r="AB71" i="21"/>
  <c r="Z71" i="21"/>
  <c r="X71" i="21"/>
  <c r="V71" i="21"/>
  <c r="T71" i="21"/>
  <c r="R71" i="21"/>
  <c r="P71" i="21"/>
  <c r="N71" i="21"/>
  <c r="L71" i="21"/>
  <c r="J71" i="21"/>
  <c r="H71" i="21"/>
  <c r="F71" i="21"/>
  <c r="D71" i="21"/>
  <c r="B71" i="21"/>
  <c r="AV70" i="21"/>
  <c r="AT70" i="21"/>
  <c r="AR70" i="21"/>
  <c r="AP70" i="21"/>
  <c r="AN70" i="21"/>
  <c r="AL70" i="21"/>
  <c r="AJ70" i="21"/>
  <c r="AH70" i="21"/>
  <c r="AF70" i="21"/>
  <c r="AD70" i="21"/>
  <c r="AB70" i="21"/>
  <c r="Z70" i="21"/>
  <c r="X70" i="21"/>
  <c r="V70" i="21"/>
  <c r="T70" i="21"/>
  <c r="R70" i="21"/>
  <c r="P70" i="21"/>
  <c r="N70" i="21"/>
  <c r="L70" i="21"/>
  <c r="J70" i="21"/>
  <c r="H70" i="21"/>
  <c r="F70" i="21"/>
  <c r="D70" i="21"/>
  <c r="B70" i="21"/>
  <c r="B69" i="21"/>
  <c r="R68" i="21"/>
  <c r="AV67" i="21" a="1"/>
  <c r="AV67" i="21" s="1"/>
  <c r="AT67" i="21" a="1"/>
  <c r="AT67" i="21" s="1"/>
  <c r="AR67" i="21" a="1"/>
  <c r="AR67" i="21" s="1"/>
  <c r="AP67" i="21" a="1"/>
  <c r="AP67" i="21" s="1"/>
  <c r="AN67" i="21" a="1"/>
  <c r="AN67" i="21" s="1"/>
  <c r="AL67" i="21"/>
  <c r="AL67" i="21" a="1"/>
  <c r="AJ67" i="21"/>
  <c r="AJ67" i="21" a="1"/>
  <c r="AH67" i="21" a="1"/>
  <c r="AH67" i="21" s="1"/>
  <c r="AF67" i="21" a="1"/>
  <c r="AF67" i="21" s="1"/>
  <c r="AD67" i="21" a="1"/>
  <c r="AD67" i="21" s="1"/>
  <c r="AB67" i="21" a="1"/>
  <c r="AB67" i="21" s="1"/>
  <c r="Z67" i="21" a="1"/>
  <c r="Z67" i="21" s="1"/>
  <c r="Z68" i="21" s="1"/>
  <c r="X67" i="21" a="1"/>
  <c r="X67" i="21" s="1"/>
  <c r="V67" i="21"/>
  <c r="V67" i="21" a="1"/>
  <c r="T67" i="21"/>
  <c r="T67" i="21" a="1"/>
  <c r="R67" i="21" a="1"/>
  <c r="R67" i="21" s="1"/>
  <c r="P67" i="21" a="1"/>
  <c r="P67" i="21" s="1"/>
  <c r="N67" i="21" a="1"/>
  <c r="N67" i="21" s="1"/>
  <c r="L67" i="21" a="1"/>
  <c r="L67" i="21" s="1"/>
  <c r="J67" i="21" a="1"/>
  <c r="J67" i="21" s="1"/>
  <c r="H67" i="21" a="1"/>
  <c r="H67" i="21" s="1"/>
  <c r="F67" i="21"/>
  <c r="F67" i="21" a="1"/>
  <c r="D67" i="21"/>
  <c r="D67" i="21" a="1"/>
  <c r="B67" i="21" a="1"/>
  <c r="B67" i="21" s="1"/>
  <c r="AV66" i="21" a="1"/>
  <c r="AV66" i="21" s="1"/>
  <c r="AT66" i="21" a="1"/>
  <c r="AT66" i="21" s="1"/>
  <c r="AT68" i="21" s="1"/>
  <c r="AR66" i="21" a="1"/>
  <c r="AR66" i="21" s="1"/>
  <c r="AP66" i="21" a="1"/>
  <c r="AP66" i="21" s="1"/>
  <c r="AP68" i="21" s="1"/>
  <c r="AN66" i="21" a="1"/>
  <c r="AN66" i="21" s="1"/>
  <c r="AN68" i="21" s="1"/>
  <c r="AL66" i="21"/>
  <c r="AL68" i="21" s="1"/>
  <c r="AL66" i="21" a="1"/>
  <c r="AJ66" i="21"/>
  <c r="AJ68" i="21" s="1"/>
  <c r="AJ66" i="21" a="1"/>
  <c r="AH66" i="21" a="1"/>
  <c r="AH66" i="21" s="1"/>
  <c r="AH68" i="21" s="1"/>
  <c r="AF66" i="21" a="1"/>
  <c r="AF66" i="21" s="1"/>
  <c r="AF68" i="21" s="1"/>
  <c r="AD66" i="21" a="1"/>
  <c r="AD66" i="21" s="1"/>
  <c r="AB66" i="21" a="1"/>
  <c r="AB66" i="21" s="1"/>
  <c r="AB68" i="21" s="1"/>
  <c r="Z66" i="21" a="1"/>
  <c r="Z66" i="21" s="1"/>
  <c r="X66" i="21" a="1"/>
  <c r="X66" i="21" s="1"/>
  <c r="V66" i="21"/>
  <c r="V68" i="21" s="1"/>
  <c r="V66" i="21" a="1"/>
  <c r="T66" i="21"/>
  <c r="T68" i="21" s="1"/>
  <c r="T66" i="21" a="1"/>
  <c r="R66" i="21" a="1"/>
  <c r="R66" i="21" s="1"/>
  <c r="P66" i="21" a="1"/>
  <c r="P66" i="21" s="1"/>
  <c r="N66" i="21" a="1"/>
  <c r="N66" i="21" s="1"/>
  <c r="L66" i="21" a="1"/>
  <c r="L66" i="21" s="1"/>
  <c r="J66" i="21" a="1"/>
  <c r="J66" i="21" s="1"/>
  <c r="J68" i="21" s="1"/>
  <c r="H66" i="21" a="1"/>
  <c r="H66" i="21" s="1"/>
  <c r="H68" i="21" s="1"/>
  <c r="F66" i="21"/>
  <c r="F68" i="21" s="1"/>
  <c r="F66" i="21" a="1"/>
  <c r="D66" i="21"/>
  <c r="D68" i="21" s="1"/>
  <c r="D66" i="21" a="1"/>
  <c r="B66" i="21" a="1"/>
  <c r="B66" i="21" s="1"/>
  <c r="AV65" i="21" a="1"/>
  <c r="AV65" i="21" s="1"/>
  <c r="AV69" i="21" s="1"/>
  <c r="AT65" i="21"/>
  <c r="AT69" i="21" s="1"/>
  <c r="AT65" i="21" a="1"/>
  <c r="AR65" i="21" a="1"/>
  <c r="AR65" i="21" s="1"/>
  <c r="AR69" i="21" s="1"/>
  <c r="AP65" i="21" a="1"/>
  <c r="AP65" i="21" s="1"/>
  <c r="AP69" i="21" s="1"/>
  <c r="AN65" i="21" a="1"/>
  <c r="AN65" i="21" s="1"/>
  <c r="AN69" i="21" s="1"/>
  <c r="AL65" i="21"/>
  <c r="AL69" i="21" s="1"/>
  <c r="AL65" i="21" a="1"/>
  <c r="AJ65" i="21"/>
  <c r="AJ69" i="21" s="1"/>
  <c r="AJ65" i="21" a="1"/>
  <c r="AH65" i="21" a="1"/>
  <c r="AH65" i="21" s="1"/>
  <c r="AH69" i="21" s="1"/>
  <c r="AF65" i="21" a="1"/>
  <c r="AF65" i="21" s="1"/>
  <c r="AF69" i="21" s="1"/>
  <c r="AD65" i="21" a="1"/>
  <c r="AD65" i="21" s="1"/>
  <c r="AD69" i="21" s="1"/>
  <c r="AB65" i="21" a="1"/>
  <c r="AB65" i="21" s="1"/>
  <c r="AB69" i="21" s="1"/>
  <c r="Z65" i="21" a="1"/>
  <c r="Z65" i="21" s="1"/>
  <c r="Z69" i="21" s="1"/>
  <c r="X65" i="21" a="1"/>
  <c r="X65" i="21" s="1"/>
  <c r="X69" i="21" s="1"/>
  <c r="V65" i="21"/>
  <c r="V69" i="21" s="1"/>
  <c r="V65" i="21" a="1"/>
  <c r="T65" i="21"/>
  <c r="T69" i="21" s="1"/>
  <c r="T65" i="21" a="1"/>
  <c r="R65" i="21" a="1"/>
  <c r="R65" i="21" s="1"/>
  <c r="R69" i="21" s="1"/>
  <c r="P65" i="21" a="1"/>
  <c r="P65" i="21" s="1"/>
  <c r="P69" i="21" s="1"/>
  <c r="N65" i="21"/>
  <c r="N69" i="21" s="1"/>
  <c r="N65" i="21" a="1"/>
  <c r="L65" i="21" a="1"/>
  <c r="L65" i="21" s="1"/>
  <c r="L69" i="21" s="1"/>
  <c r="J65" i="21" a="1"/>
  <c r="J65" i="21" s="1"/>
  <c r="J69" i="21" s="1"/>
  <c r="H65" i="21" a="1"/>
  <c r="H65" i="21" s="1"/>
  <c r="H69" i="21" s="1"/>
  <c r="F65" i="21"/>
  <c r="F69" i="21" s="1"/>
  <c r="F65" i="21" a="1"/>
  <c r="D65" i="21"/>
  <c r="D69" i="21" s="1"/>
  <c r="D65" i="21" a="1"/>
  <c r="B65" i="21"/>
  <c r="AV62" i="21"/>
  <c r="AT62" i="21"/>
  <c r="AR62" i="21"/>
  <c r="AP62" i="21"/>
  <c r="AN62" i="21"/>
  <c r="AL62" i="21"/>
  <c r="AJ62" i="21"/>
  <c r="AH62" i="21"/>
  <c r="AF62" i="21"/>
  <c r="AD62" i="21"/>
  <c r="AB62" i="21"/>
  <c r="Z62" i="21"/>
  <c r="X62" i="21"/>
  <c r="V62" i="21"/>
  <c r="T62" i="21"/>
  <c r="R62" i="21"/>
  <c r="P62" i="21"/>
  <c r="N62" i="21"/>
  <c r="L62" i="21"/>
  <c r="J62" i="21"/>
  <c r="H62" i="21"/>
  <c r="F62" i="21"/>
  <c r="D62" i="21"/>
  <c r="B62" i="21"/>
  <c r="AV60" i="21"/>
  <c r="AT60" i="21"/>
  <c r="AR60" i="21"/>
  <c r="AP60" i="21"/>
  <c r="AN60" i="21"/>
  <c r="AL60" i="21"/>
  <c r="AJ60" i="21"/>
  <c r="AH60" i="21"/>
  <c r="AF60" i="21"/>
  <c r="AD60" i="21"/>
  <c r="AB60" i="21"/>
  <c r="Z60" i="21"/>
  <c r="X60" i="21"/>
  <c r="V60" i="21"/>
  <c r="T60" i="21"/>
  <c r="R60" i="21"/>
  <c r="P60" i="21"/>
  <c r="N60" i="21"/>
  <c r="L60" i="21"/>
  <c r="J60" i="21"/>
  <c r="H60" i="21"/>
  <c r="F60" i="21"/>
  <c r="D60" i="21"/>
  <c r="B60" i="21"/>
  <c r="AV59" i="21"/>
  <c r="AT59" i="21"/>
  <c r="AR59" i="21"/>
  <c r="AP59" i="21"/>
  <c r="AN59" i="21"/>
  <c r="AL59" i="21"/>
  <c r="AJ59" i="21"/>
  <c r="AH59" i="21"/>
  <c r="AF59" i="21"/>
  <c r="AD59" i="21"/>
  <c r="AB59" i="21"/>
  <c r="Z59" i="21"/>
  <c r="X59" i="21"/>
  <c r="V59" i="21"/>
  <c r="T59" i="21"/>
  <c r="R59" i="21"/>
  <c r="P59" i="21"/>
  <c r="N59" i="21"/>
  <c r="L59" i="21"/>
  <c r="J59" i="21"/>
  <c r="H59" i="21"/>
  <c r="F59" i="21"/>
  <c r="D59" i="21"/>
  <c r="B59" i="21"/>
  <c r="AV58" i="21"/>
  <c r="AV58" i="21" a="1"/>
  <c r="AT58" i="21" a="1"/>
  <c r="AT58" i="21" s="1"/>
  <c r="AR58" i="21" a="1"/>
  <c r="AR58" i="21" s="1"/>
  <c r="AP58" i="21"/>
  <c r="AP58" i="21" a="1"/>
  <c r="AN58" i="21" a="1"/>
  <c r="AN58" i="21" s="1"/>
  <c r="AL58" i="21" a="1"/>
  <c r="AL58" i="21" s="1"/>
  <c r="AJ58" i="21"/>
  <c r="AJ58" i="21" a="1"/>
  <c r="AH58" i="21" a="1"/>
  <c r="AH58" i="21" s="1"/>
  <c r="AF58" i="21"/>
  <c r="AF58" i="21" a="1"/>
  <c r="AD58" i="21" a="1"/>
  <c r="AD58" i="21" s="1"/>
  <c r="AB58" i="21" a="1"/>
  <c r="AB58" i="21" s="1"/>
  <c r="Z58" i="21"/>
  <c r="Z58" i="21" a="1"/>
  <c r="X58" i="21" a="1"/>
  <c r="X58" i="21" s="1"/>
  <c r="V58" i="21" a="1"/>
  <c r="V58" i="21" s="1"/>
  <c r="T58" i="21"/>
  <c r="T58" i="21" a="1"/>
  <c r="R58" i="21" a="1"/>
  <c r="R58" i="21" s="1"/>
  <c r="P58" i="21"/>
  <c r="P58" i="21" a="1"/>
  <c r="N58" i="21" a="1"/>
  <c r="N58" i="21" s="1"/>
  <c r="L58" i="21" a="1"/>
  <c r="L58" i="21" s="1"/>
  <c r="J58" i="21"/>
  <c r="J58" i="21" a="1"/>
  <c r="H58" i="21" a="1"/>
  <c r="H58" i="21" s="1"/>
  <c r="F58" i="21" a="1"/>
  <c r="F58" i="21" s="1"/>
  <c r="D58" i="21"/>
  <c r="D58" i="21" a="1"/>
  <c r="B58" i="21" a="1"/>
  <c r="B58" i="21" s="1"/>
  <c r="AV57" i="21"/>
  <c r="AV57" i="21" a="1"/>
  <c r="AT57" i="21" a="1"/>
  <c r="AT57" i="21" s="1"/>
  <c r="AR57" i="21" a="1"/>
  <c r="AR57" i="21" s="1"/>
  <c r="AP57" i="21"/>
  <c r="AP57" i="21" a="1"/>
  <c r="AN57" i="21" a="1"/>
  <c r="AN57" i="21" s="1"/>
  <c r="AL57" i="21" a="1"/>
  <c r="AL57" i="21" s="1"/>
  <c r="AJ57" i="21"/>
  <c r="AJ57" i="21" a="1"/>
  <c r="AH57" i="21" a="1"/>
  <c r="AH57" i="21" s="1"/>
  <c r="AF57" i="21"/>
  <c r="AF57" i="21" a="1"/>
  <c r="AD57" i="21" a="1"/>
  <c r="AD57" i="21" s="1"/>
  <c r="AB57" i="21" a="1"/>
  <c r="AB57" i="21" s="1"/>
  <c r="Z57" i="21"/>
  <c r="Z57" i="21" a="1"/>
  <c r="X57" i="21" a="1"/>
  <c r="X57" i="21" s="1"/>
  <c r="V57" i="21" a="1"/>
  <c r="V57" i="21" s="1"/>
  <c r="T57" i="21"/>
  <c r="T57" i="21" a="1"/>
  <c r="R57" i="21" a="1"/>
  <c r="R57" i="21" s="1"/>
  <c r="P57" i="21"/>
  <c r="P57" i="21" a="1"/>
  <c r="N57" i="21" a="1"/>
  <c r="N57" i="21" s="1"/>
  <c r="L57" i="21" a="1"/>
  <c r="L57" i="21" s="1"/>
  <c r="J57" i="21"/>
  <c r="J57" i="21" a="1"/>
  <c r="H57" i="21" a="1"/>
  <c r="H57" i="21" s="1"/>
  <c r="F57" i="21" a="1"/>
  <c r="F57" i="21" s="1"/>
  <c r="D57" i="21"/>
  <c r="D57" i="21" a="1"/>
  <c r="B57" i="21" a="1"/>
  <c r="B57" i="21" s="1"/>
  <c r="AV56" i="21"/>
  <c r="AT56" i="21"/>
  <c r="AR56" i="21"/>
  <c r="AP56" i="21"/>
  <c r="AN56" i="21"/>
  <c r="AL56" i="21"/>
  <c r="AJ56" i="21"/>
  <c r="AH56" i="21"/>
  <c r="AF56" i="21"/>
  <c r="AD56" i="21"/>
  <c r="AB56" i="21"/>
  <c r="Z56" i="21"/>
  <c r="X56" i="21"/>
  <c r="V56" i="21"/>
  <c r="T56" i="21"/>
  <c r="R56" i="21"/>
  <c r="P56" i="21"/>
  <c r="N56" i="21"/>
  <c r="L56" i="21"/>
  <c r="J56" i="21"/>
  <c r="H56" i="21"/>
  <c r="F56" i="21"/>
  <c r="D56" i="21"/>
  <c r="B56" i="21"/>
  <c r="AV55" i="21"/>
  <c r="AT55" i="21"/>
  <c r="AR55" i="21"/>
  <c r="AP55" i="21"/>
  <c r="AP80" i="21" s="1"/>
  <c r="AN55" i="21"/>
  <c r="AN80" i="21" s="1"/>
  <c r="AL55" i="21"/>
  <c r="AL80" i="21" s="1"/>
  <c r="AJ55" i="21"/>
  <c r="AH55" i="21"/>
  <c r="AF55" i="21"/>
  <c r="AF80" i="21" s="1"/>
  <c r="AD55" i="21"/>
  <c r="AB55" i="21"/>
  <c r="AB80" i="21" s="1"/>
  <c r="Z55" i="21"/>
  <c r="Z80" i="21" s="1"/>
  <c r="X55" i="21"/>
  <c r="V55" i="21"/>
  <c r="V80" i="21" s="1"/>
  <c r="T55" i="21"/>
  <c r="T80" i="21" s="1"/>
  <c r="R55" i="21"/>
  <c r="P55" i="21"/>
  <c r="N55" i="21"/>
  <c r="L55" i="21"/>
  <c r="J55" i="21"/>
  <c r="J80" i="21" s="1"/>
  <c r="H55" i="21"/>
  <c r="H80" i="21" s="1"/>
  <c r="F55" i="21"/>
  <c r="F80" i="21" s="1"/>
  <c r="D55" i="21"/>
  <c r="B55" i="21"/>
  <c r="AV53" i="21" a="1"/>
  <c r="AT53" i="21" a="1"/>
  <c r="AR53" i="21" a="1"/>
  <c r="AP53" i="21" a="1"/>
  <c r="AN53" i="21" a="1"/>
  <c r="AL53" i="21" a="1"/>
  <c r="AJ53" i="21" a="1"/>
  <c r="AH53" i="21" a="1"/>
  <c r="AF53" i="21" a="1"/>
  <c r="AD53" i="21" a="1"/>
  <c r="AB53" i="21" a="1"/>
  <c r="Z53" i="21" a="1"/>
  <c r="X53" i="21" a="1"/>
  <c r="V53" i="21" a="1"/>
  <c r="T53" i="21" a="1"/>
  <c r="R53" i="21" a="1"/>
  <c r="P53" i="21" a="1"/>
  <c r="N53" i="21" a="1"/>
  <c r="L53" i="21" a="1"/>
  <c r="J53" i="21" a="1"/>
  <c r="H53" i="21" a="1"/>
  <c r="F53" i="21" a="1"/>
  <c r="D53" i="21" a="1"/>
  <c r="B53" i="21" a="1"/>
  <c r="AV52" i="21" a="1"/>
  <c r="AT52" i="21" a="1"/>
  <c r="AR52" i="21" a="1"/>
  <c r="AP52" i="21" a="1"/>
  <c r="AN52" i="21" a="1"/>
  <c r="AL52" i="21" a="1"/>
  <c r="AJ52" i="21" a="1"/>
  <c r="AH52" i="21" a="1"/>
  <c r="AF52" i="21" a="1"/>
  <c r="AD52" i="21" a="1"/>
  <c r="AB52" i="21" a="1"/>
  <c r="Z52" i="21" a="1"/>
  <c r="X52" i="21" a="1"/>
  <c r="V52" i="21" a="1"/>
  <c r="T52" i="21" a="1"/>
  <c r="R52" i="21" a="1"/>
  <c r="P52" i="21" a="1"/>
  <c r="N52" i="21" a="1"/>
  <c r="L52" i="21" a="1"/>
  <c r="J52" i="21" a="1"/>
  <c r="H52" i="21" a="1"/>
  <c r="F52" i="21" a="1"/>
  <c r="D52" i="21" a="1"/>
  <c r="B52" i="21" a="1"/>
  <c r="AV51" i="21"/>
  <c r="AV81" i="21" s="1"/>
  <c r="AT51" i="21"/>
  <c r="AR51" i="21"/>
  <c r="AR81" i="21" s="1"/>
  <c r="AP51" i="21"/>
  <c r="AP81" i="21" s="1"/>
  <c r="AN51" i="21"/>
  <c r="AL51" i="21"/>
  <c r="AL81" i="21" s="1"/>
  <c r="AJ51" i="21"/>
  <c r="AJ81" i="21" s="1"/>
  <c r="AH51" i="21"/>
  <c r="AF51" i="21"/>
  <c r="AD51" i="21"/>
  <c r="AB51" i="21"/>
  <c r="Z51" i="21"/>
  <c r="X51" i="21"/>
  <c r="X81" i="21" s="1"/>
  <c r="V51" i="21"/>
  <c r="V81" i="21" s="1"/>
  <c r="T51" i="21"/>
  <c r="R51" i="21"/>
  <c r="P51" i="21"/>
  <c r="P81" i="21" s="1"/>
  <c r="N51" i="21"/>
  <c r="L51" i="21"/>
  <c r="L81" i="21" s="1"/>
  <c r="J51" i="21"/>
  <c r="J81" i="21" s="1"/>
  <c r="H51" i="21"/>
  <c r="F51" i="21"/>
  <c r="F81" i="21" s="1"/>
  <c r="D51" i="21"/>
  <c r="D81" i="21" s="1"/>
  <c r="B51" i="21"/>
  <c r="AV49" i="21"/>
  <c r="AT49" i="21"/>
  <c r="AR49" i="21"/>
  <c r="AP49" i="21"/>
  <c r="AN49" i="21"/>
  <c r="AL49" i="21"/>
  <c r="AJ49" i="21"/>
  <c r="AH49" i="21"/>
  <c r="AF49" i="21"/>
  <c r="AD49" i="21"/>
  <c r="AB49" i="21"/>
  <c r="Z49" i="21"/>
  <c r="X49" i="21"/>
  <c r="V49" i="21"/>
  <c r="T49" i="21"/>
  <c r="R49" i="21"/>
  <c r="P49" i="21"/>
  <c r="N49" i="21"/>
  <c r="L49" i="21"/>
  <c r="J49" i="21"/>
  <c r="H49" i="21"/>
  <c r="F49" i="21"/>
  <c r="D49" i="21"/>
  <c r="B49" i="21"/>
  <c r="AV48" i="21"/>
  <c r="AT48" i="21"/>
  <c r="AR48" i="21"/>
  <c r="AP48" i="21"/>
  <c r="AN48" i="21"/>
  <c r="AL48" i="21"/>
  <c r="AJ48" i="21"/>
  <c r="AH48" i="21"/>
  <c r="AF48" i="21"/>
  <c r="AD48" i="21"/>
  <c r="AB48" i="21"/>
  <c r="Z48" i="21"/>
  <c r="X48" i="21"/>
  <c r="V48" i="21"/>
  <c r="T48" i="21"/>
  <c r="R48" i="21"/>
  <c r="P48" i="21"/>
  <c r="N48" i="21"/>
  <c r="L48" i="21"/>
  <c r="J48" i="21"/>
  <c r="H48" i="21"/>
  <c r="F48" i="21"/>
  <c r="D48" i="21"/>
  <c r="B48" i="21"/>
  <c r="AV46" i="21"/>
  <c r="AT46" i="21"/>
  <c r="AR46" i="21"/>
  <c r="AP46" i="21"/>
  <c r="AN46" i="21"/>
  <c r="AL46" i="21"/>
  <c r="AJ46" i="21"/>
  <c r="AH46" i="21"/>
  <c r="AF46" i="21"/>
  <c r="AD46" i="21"/>
  <c r="AB46" i="21"/>
  <c r="Z46" i="21"/>
  <c r="X46" i="21"/>
  <c r="V46" i="21"/>
  <c r="T46" i="21"/>
  <c r="R46" i="21"/>
  <c r="P46" i="21"/>
  <c r="N46" i="21"/>
  <c r="L46" i="21"/>
  <c r="J46" i="21"/>
  <c r="H46" i="21"/>
  <c r="F46" i="21"/>
  <c r="D46" i="21"/>
  <c r="B46" i="21"/>
  <c r="AV45" i="21"/>
  <c r="AT45" i="21"/>
  <c r="AR45" i="21"/>
  <c r="AP45" i="21"/>
  <c r="AN45" i="21"/>
  <c r="AL45" i="21"/>
  <c r="AJ45" i="21"/>
  <c r="AH45" i="21"/>
  <c r="AF45" i="21"/>
  <c r="AD45" i="21"/>
  <c r="AB45" i="21"/>
  <c r="Z45" i="21"/>
  <c r="X45" i="21"/>
  <c r="V45" i="21"/>
  <c r="T45" i="21"/>
  <c r="R45" i="21"/>
  <c r="P45" i="21"/>
  <c r="N45" i="21"/>
  <c r="L45" i="21"/>
  <c r="J45" i="21"/>
  <c r="H45" i="21"/>
  <c r="F45" i="21"/>
  <c r="D45" i="21"/>
  <c r="B45" i="21"/>
  <c r="AV44" i="21"/>
  <c r="AT44" i="21"/>
  <c r="AR44" i="21"/>
  <c r="AP44" i="21"/>
  <c r="AN44" i="21"/>
  <c r="AL44" i="21"/>
  <c r="AJ44" i="21"/>
  <c r="AH44" i="21"/>
  <c r="AF44" i="21"/>
  <c r="AD44" i="21"/>
  <c r="AB44" i="21"/>
  <c r="Z44" i="21"/>
  <c r="X44" i="21"/>
  <c r="V44" i="21"/>
  <c r="T44" i="21"/>
  <c r="R44" i="21"/>
  <c r="P44" i="21"/>
  <c r="N44" i="21"/>
  <c r="L44" i="21"/>
  <c r="J44" i="21"/>
  <c r="H44" i="21"/>
  <c r="F44" i="21"/>
  <c r="D44" i="21"/>
  <c r="B44" i="21"/>
  <c r="AV43" i="21"/>
  <c r="AV43" i="21" a="1"/>
  <c r="AT43" i="21" a="1"/>
  <c r="AT43" i="21" s="1"/>
  <c r="AR43" i="21" a="1"/>
  <c r="AR43" i="21" s="1"/>
  <c r="AP43" i="21"/>
  <c r="AP43" i="21" a="1"/>
  <c r="AN43" i="21" a="1"/>
  <c r="AN43" i="21" s="1"/>
  <c r="AL43" i="21"/>
  <c r="AL43" i="21" a="1"/>
  <c r="AJ43" i="21"/>
  <c r="AJ43" i="21" a="1"/>
  <c r="AH43" i="21" a="1"/>
  <c r="AH43" i="21" s="1"/>
  <c r="AF43" i="21"/>
  <c r="AF43" i="21" a="1"/>
  <c r="AD43" i="21" a="1"/>
  <c r="AD43" i="21" s="1"/>
  <c r="AB43" i="21" a="1"/>
  <c r="AB43" i="21" s="1"/>
  <c r="Z43" i="21"/>
  <c r="Z43" i="21" a="1"/>
  <c r="X43" i="21" a="1"/>
  <c r="X43" i="21" s="1"/>
  <c r="V43" i="21" a="1"/>
  <c r="V43" i="21" s="1"/>
  <c r="T43" i="21"/>
  <c r="T43" i="21" a="1"/>
  <c r="R43" i="21" a="1"/>
  <c r="R43" i="21" s="1"/>
  <c r="P43" i="21"/>
  <c r="P43" i="21" a="1"/>
  <c r="N43" i="21" a="1"/>
  <c r="N43" i="21" s="1"/>
  <c r="L43" i="21" a="1"/>
  <c r="L43" i="21" s="1"/>
  <c r="J43" i="21"/>
  <c r="J43" i="21" a="1"/>
  <c r="H43" i="21" a="1"/>
  <c r="H43" i="21" s="1"/>
  <c r="F43" i="21" a="1"/>
  <c r="F43" i="21" s="1"/>
  <c r="D43" i="21"/>
  <c r="D43" i="21" a="1"/>
  <c r="B43" i="21"/>
  <c r="AV42" i="21"/>
  <c r="AT42" i="21"/>
  <c r="AR42" i="21"/>
  <c r="AP42" i="21"/>
  <c r="AN42" i="21"/>
  <c r="AL42" i="21"/>
  <c r="AJ42" i="21"/>
  <c r="AH42" i="21"/>
  <c r="AF42" i="21"/>
  <c r="AD42" i="21"/>
  <c r="AB42" i="21"/>
  <c r="Z42" i="21"/>
  <c r="X42" i="21"/>
  <c r="V42" i="21"/>
  <c r="T42" i="21"/>
  <c r="R42" i="21"/>
  <c r="P42" i="21"/>
  <c r="N42" i="21"/>
  <c r="L42" i="21"/>
  <c r="J42" i="21"/>
  <c r="H42" i="21"/>
  <c r="F42" i="21"/>
  <c r="D42" i="21"/>
  <c r="B42" i="21"/>
  <c r="AN81" i="24"/>
  <c r="AH81" i="24"/>
  <c r="AF81" i="24"/>
  <c r="AD81" i="24"/>
  <c r="AB81" i="24"/>
  <c r="Z81" i="24"/>
  <c r="R81" i="24"/>
  <c r="H81" i="24"/>
  <c r="B81" i="24"/>
  <c r="AV80" i="24"/>
  <c r="AT80" i="24"/>
  <c r="AR80" i="24"/>
  <c r="AP80" i="24"/>
  <c r="AH80" i="24"/>
  <c r="X80" i="24"/>
  <c r="R80" i="24"/>
  <c r="P80" i="24"/>
  <c r="N80" i="24"/>
  <c r="L80" i="24"/>
  <c r="J80" i="24"/>
  <c r="B80" i="24"/>
  <c r="AV79" i="24" a="1"/>
  <c r="AV79" i="24" s="1"/>
  <c r="AT79" i="24" a="1"/>
  <c r="AT79" i="24" s="1"/>
  <c r="AR79" i="24"/>
  <c r="AR79" i="24" a="1"/>
  <c r="AP79" i="24" a="1"/>
  <c r="AP79" i="24" s="1"/>
  <c r="AN79" i="24" a="1"/>
  <c r="AN79" i="24" s="1"/>
  <c r="AL79" i="24" a="1"/>
  <c r="AL79" i="24" s="1"/>
  <c r="AJ79" i="24" a="1"/>
  <c r="AJ79" i="24" s="1"/>
  <c r="AH79" i="24" a="1"/>
  <c r="AH79" i="24" s="1"/>
  <c r="AF79" i="24" a="1"/>
  <c r="AF79" i="24" s="1"/>
  <c r="AD79" i="24" a="1"/>
  <c r="AD79" i="24" s="1"/>
  <c r="AB79" i="24"/>
  <c r="AB79" i="24" a="1"/>
  <c r="Z79" i="24" a="1"/>
  <c r="Z79" i="24" s="1"/>
  <c r="X79" i="24" a="1"/>
  <c r="X79" i="24" s="1"/>
  <c r="V79" i="24" a="1"/>
  <c r="V79" i="24" s="1"/>
  <c r="T79" i="24" a="1"/>
  <c r="T79" i="24" s="1"/>
  <c r="R79" i="24" a="1"/>
  <c r="R79" i="24" s="1"/>
  <c r="P79" i="24" a="1"/>
  <c r="P79" i="24" s="1"/>
  <c r="N79" i="24" a="1"/>
  <c r="N79" i="24" s="1"/>
  <c r="L79" i="24"/>
  <c r="L79" i="24" a="1"/>
  <c r="J79" i="24" a="1"/>
  <c r="J79" i="24" s="1"/>
  <c r="H79" i="24" a="1"/>
  <c r="H79" i="24" s="1"/>
  <c r="F79" i="24" a="1"/>
  <c r="F79" i="24" s="1"/>
  <c r="D79" i="24" a="1"/>
  <c r="D79" i="24" s="1"/>
  <c r="B79" i="24" a="1"/>
  <c r="B79" i="24" s="1"/>
  <c r="AV78" i="24" a="1"/>
  <c r="AV78" i="24" s="1"/>
  <c r="AT78" i="24" a="1"/>
  <c r="AT78" i="24" s="1"/>
  <c r="AR78" i="24"/>
  <c r="AR78" i="24" a="1"/>
  <c r="AP78" i="24" a="1"/>
  <c r="AP78" i="24" s="1"/>
  <c r="AN78" i="24" a="1"/>
  <c r="AN78" i="24" s="1"/>
  <c r="AL78" i="24" a="1"/>
  <c r="AL78" i="24" s="1"/>
  <c r="AJ78" i="24" a="1"/>
  <c r="AJ78" i="24" s="1"/>
  <c r="AH78" i="24" a="1"/>
  <c r="AH78" i="24" s="1"/>
  <c r="AF78" i="24" a="1"/>
  <c r="AF78" i="24" s="1"/>
  <c r="AD78" i="24" a="1"/>
  <c r="AD78" i="24" s="1"/>
  <c r="AB78" i="24"/>
  <c r="AB78" i="24" a="1"/>
  <c r="Z78" i="24" a="1"/>
  <c r="Z78" i="24" s="1"/>
  <c r="X78" i="24" a="1"/>
  <c r="X78" i="24" s="1"/>
  <c r="V78" i="24" a="1"/>
  <c r="V78" i="24" s="1"/>
  <c r="T78" i="24" a="1"/>
  <c r="T78" i="24" s="1"/>
  <c r="R78" i="24" a="1"/>
  <c r="R78" i="24" s="1"/>
  <c r="P78" i="24" a="1"/>
  <c r="P78" i="24" s="1"/>
  <c r="N78" i="24" a="1"/>
  <c r="N78" i="24" s="1"/>
  <c r="L78" i="24"/>
  <c r="L78" i="24" a="1"/>
  <c r="J78" i="24" a="1"/>
  <c r="J78" i="24" s="1"/>
  <c r="H78" i="24" a="1"/>
  <c r="H78" i="24" s="1"/>
  <c r="F78" i="24" a="1"/>
  <c r="F78" i="24" s="1"/>
  <c r="D78" i="24" a="1"/>
  <c r="D78" i="24" s="1"/>
  <c r="B78" i="24" a="1"/>
  <c r="B78" i="24" s="1"/>
  <c r="AV77" i="24" a="1"/>
  <c r="AV77" i="24" s="1"/>
  <c r="AT77" i="24" a="1"/>
  <c r="AT77" i="24" s="1"/>
  <c r="AR77" i="24"/>
  <c r="AR77" i="24" a="1"/>
  <c r="AP77" i="24" a="1"/>
  <c r="AP77" i="24" s="1"/>
  <c r="AN77" i="24" a="1"/>
  <c r="AN77" i="24" s="1"/>
  <c r="AL77" i="24" a="1"/>
  <c r="AL77" i="24" s="1"/>
  <c r="AJ77" i="24" a="1"/>
  <c r="AJ77" i="24" s="1"/>
  <c r="AH77" i="24" a="1"/>
  <c r="AH77" i="24" s="1"/>
  <c r="AF77" i="24" a="1"/>
  <c r="AF77" i="24" s="1"/>
  <c r="AD77" i="24" a="1"/>
  <c r="AD77" i="24" s="1"/>
  <c r="AB77" i="24"/>
  <c r="AB77" i="24" a="1"/>
  <c r="Z77" i="24" a="1"/>
  <c r="Z77" i="24" s="1"/>
  <c r="X77" i="24" a="1"/>
  <c r="X77" i="24" s="1"/>
  <c r="V77" i="24" a="1"/>
  <c r="V77" i="24" s="1"/>
  <c r="T77" i="24" a="1"/>
  <c r="T77" i="24" s="1"/>
  <c r="R77" i="24" a="1"/>
  <c r="R77" i="24" s="1"/>
  <c r="P77" i="24" a="1"/>
  <c r="P77" i="24" s="1"/>
  <c r="N77" i="24" a="1"/>
  <c r="N77" i="24" s="1"/>
  <c r="L77" i="24"/>
  <c r="L77" i="24" a="1"/>
  <c r="J77" i="24" a="1"/>
  <c r="J77" i="24" s="1"/>
  <c r="H77" i="24" a="1"/>
  <c r="H77" i="24" s="1"/>
  <c r="F77" i="24" a="1"/>
  <c r="F77" i="24" s="1"/>
  <c r="D77" i="24" a="1"/>
  <c r="D77" i="24" s="1"/>
  <c r="B77" i="24" a="1"/>
  <c r="B77" i="24" s="1"/>
  <c r="AV76" i="24" a="1"/>
  <c r="AV76" i="24" s="1"/>
  <c r="AT76" i="24" a="1"/>
  <c r="AT76" i="24" s="1"/>
  <c r="AR76" i="24"/>
  <c r="AR76" i="24" a="1"/>
  <c r="AP76" i="24" a="1"/>
  <c r="AP76" i="24" s="1"/>
  <c r="AN76" i="24" a="1"/>
  <c r="AN76" i="24" s="1"/>
  <c r="AL76" i="24" a="1"/>
  <c r="AL76" i="24" s="1"/>
  <c r="AJ76" i="24" a="1"/>
  <c r="AJ76" i="24" s="1"/>
  <c r="AH76" i="24" a="1"/>
  <c r="AH76" i="24" s="1"/>
  <c r="AF76" i="24" a="1"/>
  <c r="AF76" i="24" s="1"/>
  <c r="AD76" i="24" a="1"/>
  <c r="AD76" i="24" s="1"/>
  <c r="AB76" i="24"/>
  <c r="AB76" i="24" a="1"/>
  <c r="Z76" i="24" a="1"/>
  <c r="Z76" i="24" s="1"/>
  <c r="X76" i="24" a="1"/>
  <c r="X76" i="24" s="1"/>
  <c r="V76" i="24" a="1"/>
  <c r="V76" i="24" s="1"/>
  <c r="T76" i="24" a="1"/>
  <c r="T76" i="24" s="1"/>
  <c r="R76" i="24" a="1"/>
  <c r="R76" i="24" s="1"/>
  <c r="P76" i="24" a="1"/>
  <c r="P76" i="24" s="1"/>
  <c r="N76" i="24" a="1"/>
  <c r="N76" i="24" s="1"/>
  <c r="L76" i="24"/>
  <c r="L76" i="24" a="1"/>
  <c r="J76" i="24" a="1"/>
  <c r="J76" i="24" s="1"/>
  <c r="H76" i="24" a="1"/>
  <c r="H76" i="24" s="1"/>
  <c r="F76" i="24" a="1"/>
  <c r="F76" i="24" s="1"/>
  <c r="D76" i="24" a="1"/>
  <c r="D76" i="24" s="1"/>
  <c r="B76" i="24" a="1"/>
  <c r="B76" i="24" s="1"/>
  <c r="AV75" i="24" a="1"/>
  <c r="AV75" i="24" s="1"/>
  <c r="AT75" i="24" a="1"/>
  <c r="AT75" i="24" s="1"/>
  <c r="AR75" i="24"/>
  <c r="AR75" i="24" a="1"/>
  <c r="AP75" i="24" a="1"/>
  <c r="AP75" i="24" s="1"/>
  <c r="AN75" i="24" a="1"/>
  <c r="AN75" i="24" s="1"/>
  <c r="AL75" i="24" a="1"/>
  <c r="AL75" i="24" s="1"/>
  <c r="AJ75" i="24" a="1"/>
  <c r="AJ75" i="24" s="1"/>
  <c r="AH75" i="24" a="1"/>
  <c r="AH75" i="24" s="1"/>
  <c r="AF75" i="24" a="1"/>
  <c r="AF75" i="24" s="1"/>
  <c r="AD75" i="24" a="1"/>
  <c r="AD75" i="24" s="1"/>
  <c r="AB75" i="24"/>
  <c r="AB75" i="24" a="1"/>
  <c r="Z75" i="24" a="1"/>
  <c r="Z75" i="24" s="1"/>
  <c r="X75" i="24" a="1"/>
  <c r="X75" i="24" s="1"/>
  <c r="V75" i="24" a="1"/>
  <c r="V75" i="24" s="1"/>
  <c r="T75" i="24" a="1"/>
  <c r="T75" i="24" s="1"/>
  <c r="R75" i="24" a="1"/>
  <c r="R75" i="24" s="1"/>
  <c r="P75" i="24" a="1"/>
  <c r="P75" i="24" s="1"/>
  <c r="N75" i="24" a="1"/>
  <c r="N75" i="24" s="1"/>
  <c r="L75" i="24"/>
  <c r="L75" i="24" a="1"/>
  <c r="J75" i="24" a="1"/>
  <c r="J75" i="24" s="1"/>
  <c r="H75" i="24" a="1"/>
  <c r="H75" i="24" s="1"/>
  <c r="F75" i="24" a="1"/>
  <c r="F75" i="24" s="1"/>
  <c r="D75" i="24" a="1"/>
  <c r="D75" i="24" s="1"/>
  <c r="B75" i="24" a="1"/>
  <c r="B75" i="24" s="1"/>
  <c r="AV74" i="24" a="1"/>
  <c r="AV74" i="24" s="1"/>
  <c r="AT74" i="24" a="1"/>
  <c r="AT74" i="24" s="1"/>
  <c r="AR74" i="24"/>
  <c r="AR74" i="24" a="1"/>
  <c r="AP74" i="24" a="1"/>
  <c r="AP74" i="24" s="1"/>
  <c r="AN74" i="24" a="1"/>
  <c r="AN74" i="24" s="1"/>
  <c r="AL74" i="24" a="1"/>
  <c r="AL74" i="24" s="1"/>
  <c r="AJ74" i="24" a="1"/>
  <c r="AJ74" i="24" s="1"/>
  <c r="AH74" i="24" a="1"/>
  <c r="AH74" i="24" s="1"/>
  <c r="AF74" i="24" a="1"/>
  <c r="AF74" i="24" s="1"/>
  <c r="AD74" i="24" a="1"/>
  <c r="AD74" i="24" s="1"/>
  <c r="AB74" i="24"/>
  <c r="AB74" i="24" a="1"/>
  <c r="Z74" i="24" a="1"/>
  <c r="Z74" i="24" s="1"/>
  <c r="X74" i="24" a="1"/>
  <c r="X74" i="24" s="1"/>
  <c r="V74" i="24" a="1"/>
  <c r="V74" i="24" s="1"/>
  <c r="T74" i="24" a="1"/>
  <c r="T74" i="24" s="1"/>
  <c r="R74" i="24" a="1"/>
  <c r="R74" i="24" s="1"/>
  <c r="P74" i="24" a="1"/>
  <c r="P74" i="24" s="1"/>
  <c r="N74" i="24" a="1"/>
  <c r="N74" i="24" s="1"/>
  <c r="L74" i="24"/>
  <c r="L74" i="24" a="1"/>
  <c r="J74" i="24" a="1"/>
  <c r="J74" i="24" s="1"/>
  <c r="H74" i="24" a="1"/>
  <c r="H74" i="24" s="1"/>
  <c r="F74" i="24" a="1"/>
  <c r="F74" i="24" s="1"/>
  <c r="D74" i="24" a="1"/>
  <c r="D74" i="24" s="1"/>
  <c r="B74" i="24" a="1"/>
  <c r="B74" i="24" s="1"/>
  <c r="AV73" i="24" a="1"/>
  <c r="AV73" i="24" s="1"/>
  <c r="AT73" i="24" a="1"/>
  <c r="AT73" i="24" s="1"/>
  <c r="AR73" i="24"/>
  <c r="AR73" i="24" a="1"/>
  <c r="AP73" i="24" a="1"/>
  <c r="AP73" i="24" s="1"/>
  <c r="AN73" i="24" a="1"/>
  <c r="AN73" i="24" s="1"/>
  <c r="AL73" i="24" a="1"/>
  <c r="AL73" i="24" s="1"/>
  <c r="AJ73" i="24" a="1"/>
  <c r="AJ73" i="24" s="1"/>
  <c r="AH73" i="24" a="1"/>
  <c r="AH73" i="24" s="1"/>
  <c r="AF73" i="24" a="1"/>
  <c r="AF73" i="24" s="1"/>
  <c r="AD73" i="24" a="1"/>
  <c r="AD73" i="24" s="1"/>
  <c r="AB73" i="24"/>
  <c r="AB73" i="24" a="1"/>
  <c r="Z73" i="24" a="1"/>
  <c r="Z73" i="24" s="1"/>
  <c r="X73" i="24" a="1"/>
  <c r="X73" i="24" s="1"/>
  <c r="V73" i="24" a="1"/>
  <c r="V73" i="24" s="1"/>
  <c r="T73" i="24" a="1"/>
  <c r="T73" i="24" s="1"/>
  <c r="R73" i="24" a="1"/>
  <c r="R73" i="24" s="1"/>
  <c r="P73" i="24" a="1"/>
  <c r="P73" i="24" s="1"/>
  <c r="N73" i="24" a="1"/>
  <c r="N73" i="24" s="1"/>
  <c r="L73" i="24"/>
  <c r="L73" i="24" a="1"/>
  <c r="J73" i="24" a="1"/>
  <c r="J73" i="24" s="1"/>
  <c r="H73" i="24" a="1"/>
  <c r="H73" i="24" s="1"/>
  <c r="F73" i="24" a="1"/>
  <c r="F73" i="24" s="1"/>
  <c r="D73" i="24" a="1"/>
  <c r="D73" i="24" s="1"/>
  <c r="B73" i="24" a="1"/>
  <c r="B73" i="24" s="1"/>
  <c r="AV72" i="24"/>
  <c r="AT72" i="24"/>
  <c r="AR72" i="24"/>
  <c r="AP72" i="24"/>
  <c r="AN72" i="24"/>
  <c r="AL72" i="24"/>
  <c r="AJ72" i="24"/>
  <c r="AH72" i="24"/>
  <c r="AF72" i="24"/>
  <c r="AD72" i="24"/>
  <c r="AB72" i="24"/>
  <c r="Z72" i="24"/>
  <c r="X72" i="24"/>
  <c r="V72" i="24"/>
  <c r="T72" i="24"/>
  <c r="R72" i="24"/>
  <c r="P72" i="24"/>
  <c r="N72" i="24"/>
  <c r="L72" i="24"/>
  <c r="J72" i="24"/>
  <c r="H72" i="24"/>
  <c r="F72" i="24"/>
  <c r="D72" i="24"/>
  <c r="B72" i="24"/>
  <c r="AV71" i="24"/>
  <c r="AT71" i="24"/>
  <c r="AR71" i="24"/>
  <c r="AP71" i="24"/>
  <c r="AN71" i="24"/>
  <c r="AL71" i="24"/>
  <c r="AJ71" i="24"/>
  <c r="AH71" i="24"/>
  <c r="AF71" i="24"/>
  <c r="AD71" i="24"/>
  <c r="AB71" i="24"/>
  <c r="Z71" i="24"/>
  <c r="X71" i="24"/>
  <c r="V71" i="24"/>
  <c r="T71" i="24"/>
  <c r="R71" i="24"/>
  <c r="P71" i="24"/>
  <c r="N71" i="24"/>
  <c r="L71" i="24"/>
  <c r="J71" i="24"/>
  <c r="H71" i="24"/>
  <c r="F71" i="24"/>
  <c r="D71" i="24"/>
  <c r="B71" i="24"/>
  <c r="AV70" i="24"/>
  <c r="AT70" i="24"/>
  <c r="AR70" i="24"/>
  <c r="AP70" i="24"/>
  <c r="AN70" i="24"/>
  <c r="AL70" i="24"/>
  <c r="AJ70" i="24"/>
  <c r="AH70" i="24"/>
  <c r="AF70" i="24"/>
  <c r="AD70" i="24"/>
  <c r="AB70" i="24"/>
  <c r="Z70" i="24"/>
  <c r="X70" i="24"/>
  <c r="V70" i="24"/>
  <c r="T70" i="24"/>
  <c r="R70" i="24"/>
  <c r="P70" i="24"/>
  <c r="N70" i="24"/>
  <c r="L70" i="24"/>
  <c r="J70" i="24"/>
  <c r="H70" i="24"/>
  <c r="F70" i="24"/>
  <c r="D70" i="24"/>
  <c r="B70" i="24"/>
  <c r="B69" i="24"/>
  <c r="AV67" i="24" a="1"/>
  <c r="AV67" i="24" s="1"/>
  <c r="AT67" i="24" a="1"/>
  <c r="AT67" i="24" s="1"/>
  <c r="AR67" i="24" a="1"/>
  <c r="AR67" i="24" s="1"/>
  <c r="AP67" i="24" a="1"/>
  <c r="AP67" i="24" s="1"/>
  <c r="AN67" i="24" a="1"/>
  <c r="AN67" i="24" s="1"/>
  <c r="AL67" i="24" a="1"/>
  <c r="AL67" i="24" s="1"/>
  <c r="AJ67" i="24"/>
  <c r="AJ67" i="24" a="1"/>
  <c r="AH67" i="24" a="1"/>
  <c r="AH67" i="24" s="1"/>
  <c r="AF67" i="24" a="1"/>
  <c r="AF67" i="24" s="1"/>
  <c r="AD67" i="24" a="1"/>
  <c r="AD67" i="24" s="1"/>
  <c r="AB67" i="24" a="1"/>
  <c r="AB67" i="24" s="1"/>
  <c r="Z67" i="24" a="1"/>
  <c r="Z67" i="24" s="1"/>
  <c r="X67" i="24" a="1"/>
  <c r="X67" i="24" s="1"/>
  <c r="V67" i="24" a="1"/>
  <c r="V67" i="24" s="1"/>
  <c r="T67" i="24"/>
  <c r="T67" i="24" a="1"/>
  <c r="R67" i="24" a="1"/>
  <c r="R67" i="24" s="1"/>
  <c r="P67" i="24" a="1"/>
  <c r="P67" i="24" s="1"/>
  <c r="N67" i="24" a="1"/>
  <c r="N67" i="24" s="1"/>
  <c r="L67" i="24" a="1"/>
  <c r="L67" i="24" s="1"/>
  <c r="J67" i="24" a="1"/>
  <c r="J67" i="24" s="1"/>
  <c r="H67" i="24" a="1"/>
  <c r="H67" i="24" s="1"/>
  <c r="F67" i="24" a="1"/>
  <c r="F67" i="24" s="1"/>
  <c r="D67" i="24"/>
  <c r="D67" i="24" a="1"/>
  <c r="B67" i="24" a="1"/>
  <c r="B67" i="24" s="1"/>
  <c r="AV66" i="24" a="1"/>
  <c r="AV66" i="24" s="1"/>
  <c r="AV68" i="24" s="1"/>
  <c r="AT66" i="24" a="1"/>
  <c r="AT66" i="24" s="1"/>
  <c r="AT68" i="24" s="1"/>
  <c r="AR66" i="24" a="1"/>
  <c r="AR66" i="24" s="1"/>
  <c r="AP66" i="24" a="1"/>
  <c r="AP66" i="24" s="1"/>
  <c r="AN66" i="24" a="1"/>
  <c r="AN66" i="24" s="1"/>
  <c r="AL66" i="24" a="1"/>
  <c r="AL66" i="24" s="1"/>
  <c r="AJ66" i="24"/>
  <c r="AJ68" i="24" s="1"/>
  <c r="AJ66" i="24" a="1"/>
  <c r="AH66" i="24" a="1"/>
  <c r="AH66" i="24" s="1"/>
  <c r="AF66" i="24" a="1"/>
  <c r="AF66" i="24" s="1"/>
  <c r="AF68" i="24" s="1"/>
  <c r="AD66" i="24" a="1"/>
  <c r="AD66" i="24" s="1"/>
  <c r="AD68" i="24" s="1"/>
  <c r="AB66" i="24" a="1"/>
  <c r="AB66" i="24" s="1"/>
  <c r="AB68" i="24" s="1"/>
  <c r="Z66" i="24" a="1"/>
  <c r="Z66" i="24" s="1"/>
  <c r="Z68" i="24" s="1"/>
  <c r="X66" i="24" a="1"/>
  <c r="X66" i="24" s="1"/>
  <c r="X68" i="24" s="1"/>
  <c r="V66" i="24" a="1"/>
  <c r="V66" i="24" s="1"/>
  <c r="V68" i="24" s="1"/>
  <c r="T66" i="24"/>
  <c r="T68" i="24" s="1"/>
  <c r="T66" i="24" a="1"/>
  <c r="R66" i="24" a="1"/>
  <c r="R66" i="24" s="1"/>
  <c r="R68" i="24" s="1"/>
  <c r="P66" i="24" a="1"/>
  <c r="P66" i="24" s="1"/>
  <c r="N66" i="24" a="1"/>
  <c r="N66" i="24" s="1"/>
  <c r="L66" i="24" a="1"/>
  <c r="L66" i="24" s="1"/>
  <c r="J66" i="24" a="1"/>
  <c r="J66" i="24" s="1"/>
  <c r="H66" i="24" a="1"/>
  <c r="H66" i="24" s="1"/>
  <c r="F66" i="24" a="1"/>
  <c r="F66" i="24" s="1"/>
  <c r="D66" i="24"/>
  <c r="D68" i="24" s="1"/>
  <c r="D66" i="24" a="1"/>
  <c r="B66" i="24" a="1"/>
  <c r="B66" i="24" s="1"/>
  <c r="B68" i="24" s="1"/>
  <c r="AV65" i="24" a="1"/>
  <c r="AV65" i="24" s="1"/>
  <c r="AV69" i="24" s="1"/>
  <c r="AT65" i="24" a="1"/>
  <c r="AT65" i="24" s="1"/>
  <c r="AT69" i="24" s="1"/>
  <c r="AR65" i="24" a="1"/>
  <c r="AR65" i="24" s="1"/>
  <c r="AR69" i="24" s="1"/>
  <c r="AP65" i="24" a="1"/>
  <c r="AP65" i="24" s="1"/>
  <c r="AP69" i="24" s="1"/>
  <c r="AN65" i="24" a="1"/>
  <c r="AN65" i="24" s="1"/>
  <c r="AN69" i="24" s="1"/>
  <c r="AL65" i="24" a="1"/>
  <c r="AL65" i="24" s="1"/>
  <c r="AL69" i="24" s="1"/>
  <c r="AJ65" i="24"/>
  <c r="AJ69" i="24" s="1"/>
  <c r="AJ65" i="24" a="1"/>
  <c r="AH65" i="24" a="1"/>
  <c r="AH65" i="24" s="1"/>
  <c r="AH69" i="24" s="1"/>
  <c r="AF65" i="24" a="1"/>
  <c r="AF65" i="24" s="1"/>
  <c r="AF69" i="24" s="1"/>
  <c r="AD65" i="24" a="1"/>
  <c r="AD65" i="24" s="1"/>
  <c r="AD69" i="24" s="1"/>
  <c r="AB65" i="24" a="1"/>
  <c r="AB65" i="24" s="1"/>
  <c r="AB69" i="24" s="1"/>
  <c r="Z65" i="24" a="1"/>
  <c r="Z65" i="24" s="1"/>
  <c r="Z69" i="24" s="1"/>
  <c r="X65" i="24" a="1"/>
  <c r="X65" i="24" s="1"/>
  <c r="X69" i="24" s="1"/>
  <c r="V65" i="24" a="1"/>
  <c r="V65" i="24" s="1"/>
  <c r="V69" i="24" s="1"/>
  <c r="T65" i="24"/>
  <c r="T69" i="24" s="1"/>
  <c r="T65" i="24" a="1"/>
  <c r="R65" i="24" a="1"/>
  <c r="R65" i="24" s="1"/>
  <c r="R69" i="24" s="1"/>
  <c r="P65" i="24" a="1"/>
  <c r="P65" i="24" s="1"/>
  <c r="P69" i="24" s="1"/>
  <c r="N65" i="24" a="1"/>
  <c r="N65" i="24" s="1"/>
  <c r="N69" i="24" s="1"/>
  <c r="L65" i="24" a="1"/>
  <c r="L65" i="24" s="1"/>
  <c r="L69" i="24" s="1"/>
  <c r="J65" i="24" a="1"/>
  <c r="J65" i="24" s="1"/>
  <c r="J69" i="24" s="1"/>
  <c r="H65" i="24" a="1"/>
  <c r="H65" i="24" s="1"/>
  <c r="H69" i="24" s="1"/>
  <c r="F65" i="24" a="1"/>
  <c r="F65" i="24" s="1"/>
  <c r="F69" i="24" s="1"/>
  <c r="D65" i="24"/>
  <c r="D69" i="24" s="1"/>
  <c r="D65" i="24" a="1"/>
  <c r="B65" i="24"/>
  <c r="AV62" i="24"/>
  <c r="AT62" i="24"/>
  <c r="AR62" i="24"/>
  <c r="AP62" i="24"/>
  <c r="AN62" i="24"/>
  <c r="AL62" i="24"/>
  <c r="AJ62" i="24"/>
  <c r="AH62" i="24"/>
  <c r="AF62" i="24"/>
  <c r="AD62" i="24"/>
  <c r="AB62" i="24"/>
  <c r="Z62" i="24"/>
  <c r="X62" i="24"/>
  <c r="V62" i="24"/>
  <c r="T62" i="24"/>
  <c r="R62" i="24"/>
  <c r="P62" i="24"/>
  <c r="N62" i="24"/>
  <c r="L62" i="24"/>
  <c r="J62" i="24"/>
  <c r="H62" i="24"/>
  <c r="F62" i="24"/>
  <c r="D62" i="24"/>
  <c r="B62" i="24"/>
  <c r="AV60" i="24"/>
  <c r="AT60" i="24"/>
  <c r="AR60" i="24"/>
  <c r="AP60" i="24"/>
  <c r="AN60" i="24"/>
  <c r="AL60" i="24"/>
  <c r="AJ60" i="24"/>
  <c r="AH60" i="24"/>
  <c r="AF60" i="24"/>
  <c r="AD60" i="24"/>
  <c r="AB60" i="24"/>
  <c r="Z60" i="24"/>
  <c r="X60" i="24"/>
  <c r="V60" i="24"/>
  <c r="T60" i="24"/>
  <c r="R60" i="24"/>
  <c r="P60" i="24"/>
  <c r="N60" i="24"/>
  <c r="L60" i="24"/>
  <c r="J60" i="24"/>
  <c r="H60" i="24"/>
  <c r="F60" i="24"/>
  <c r="D60" i="24"/>
  <c r="B60" i="24"/>
  <c r="AV59" i="24"/>
  <c r="AT59" i="24"/>
  <c r="AR59" i="24"/>
  <c r="AP59" i="24"/>
  <c r="AN59" i="24"/>
  <c r="AL59" i="24"/>
  <c r="AJ59" i="24"/>
  <c r="AH59" i="24"/>
  <c r="AF59" i="24"/>
  <c r="AD59" i="24"/>
  <c r="AB59" i="24"/>
  <c r="Z59" i="24"/>
  <c r="X59" i="24"/>
  <c r="V59" i="24"/>
  <c r="T59" i="24"/>
  <c r="R59" i="24"/>
  <c r="P59" i="24"/>
  <c r="N59" i="24"/>
  <c r="L59" i="24"/>
  <c r="J59" i="24"/>
  <c r="H59" i="24"/>
  <c r="F59" i="24"/>
  <c r="D59" i="24"/>
  <c r="B59" i="24"/>
  <c r="AV58" i="24"/>
  <c r="AV58" i="24" a="1"/>
  <c r="AT58" i="24"/>
  <c r="AT58" i="24" a="1"/>
  <c r="AR58" i="24" a="1"/>
  <c r="AR58" i="24" s="1"/>
  <c r="AP58" i="24"/>
  <c r="AP58" i="24" a="1"/>
  <c r="AN58" i="24" a="1"/>
  <c r="AN58" i="24" s="1"/>
  <c r="AL58" i="24" a="1"/>
  <c r="AL58" i="24" s="1"/>
  <c r="AJ58" i="24"/>
  <c r="AJ58" i="24" a="1"/>
  <c r="AH58" i="24"/>
  <c r="AH58" i="24" a="1"/>
  <c r="AF58" i="24"/>
  <c r="AF58" i="24" a="1"/>
  <c r="AD58" i="24"/>
  <c r="AD58" i="24" a="1"/>
  <c r="AB58" i="24" a="1"/>
  <c r="AB58" i="24" s="1"/>
  <c r="Z58" i="24"/>
  <c r="Z58" i="24" a="1"/>
  <c r="X58" i="24" a="1"/>
  <c r="X58" i="24" s="1"/>
  <c r="V58" i="24" a="1"/>
  <c r="V58" i="24" s="1"/>
  <c r="T58" i="24"/>
  <c r="T58" i="24" a="1"/>
  <c r="R58" i="24"/>
  <c r="R58" i="24" a="1"/>
  <c r="P58" i="24"/>
  <c r="P58" i="24" a="1"/>
  <c r="N58" i="24"/>
  <c r="N58" i="24" a="1"/>
  <c r="L58" i="24" a="1"/>
  <c r="L58" i="24" s="1"/>
  <c r="J58" i="24"/>
  <c r="J58" i="24" a="1"/>
  <c r="H58" i="24" a="1"/>
  <c r="H58" i="24" s="1"/>
  <c r="F58" i="24" a="1"/>
  <c r="F58" i="24" s="1"/>
  <c r="D58" i="24"/>
  <c r="D58" i="24" a="1"/>
  <c r="B58" i="24"/>
  <c r="B58" i="24" a="1"/>
  <c r="AV57" i="24"/>
  <c r="AV57" i="24" a="1"/>
  <c r="AT57" i="24"/>
  <c r="AT57" i="24" a="1"/>
  <c r="AR57" i="24" a="1"/>
  <c r="AR57" i="24" s="1"/>
  <c r="AP57" i="24"/>
  <c r="AP57" i="24" a="1"/>
  <c r="AN57" i="24" a="1"/>
  <c r="AN57" i="24" s="1"/>
  <c r="AL57" i="24" a="1"/>
  <c r="AL57" i="24" s="1"/>
  <c r="AJ57" i="24"/>
  <c r="AJ57" i="24" a="1"/>
  <c r="AH57" i="24"/>
  <c r="AH57" i="24" a="1"/>
  <c r="AF57" i="24"/>
  <c r="AF57" i="24" a="1"/>
  <c r="AD57" i="24"/>
  <c r="AD57" i="24" a="1"/>
  <c r="AB57" i="24" a="1"/>
  <c r="AB57" i="24" s="1"/>
  <c r="Z57" i="24"/>
  <c r="Z57" i="24" a="1"/>
  <c r="X57" i="24" a="1"/>
  <c r="X57" i="24" s="1"/>
  <c r="V57" i="24" a="1"/>
  <c r="V57" i="24" s="1"/>
  <c r="T57" i="24"/>
  <c r="T57" i="24" a="1"/>
  <c r="R57" i="24"/>
  <c r="R57" i="24" a="1"/>
  <c r="P57" i="24"/>
  <c r="P57" i="24" a="1"/>
  <c r="N57" i="24"/>
  <c r="N57" i="24" a="1"/>
  <c r="L57" i="24" a="1"/>
  <c r="L57" i="24" s="1"/>
  <c r="J57" i="24"/>
  <c r="J57" i="24" a="1"/>
  <c r="H57" i="24" a="1"/>
  <c r="H57" i="24" s="1"/>
  <c r="F57" i="24" a="1"/>
  <c r="F57" i="24" s="1"/>
  <c r="D57" i="24"/>
  <c r="D57" i="24" a="1"/>
  <c r="B57" i="24" a="1"/>
  <c r="B57" i="24" s="1"/>
  <c r="AV56" i="24"/>
  <c r="AT56" i="24"/>
  <c r="AR56" i="24"/>
  <c r="AP56" i="24"/>
  <c r="AN56" i="24"/>
  <c r="AL56" i="24"/>
  <c r="AJ56" i="24"/>
  <c r="AH56" i="24"/>
  <c r="AF56" i="24"/>
  <c r="AD56" i="24"/>
  <c r="AB56" i="24"/>
  <c r="Z56" i="24"/>
  <c r="X56" i="24"/>
  <c r="V56" i="24"/>
  <c r="T56" i="24"/>
  <c r="R56" i="24"/>
  <c r="P56" i="24"/>
  <c r="N56" i="24"/>
  <c r="L56" i="24"/>
  <c r="J56" i="24"/>
  <c r="H56" i="24"/>
  <c r="F56" i="24"/>
  <c r="D56" i="24"/>
  <c r="B56" i="24"/>
  <c r="AV55" i="24"/>
  <c r="AT55" i="24"/>
  <c r="AR55" i="24"/>
  <c r="AP55" i="24"/>
  <c r="AN55" i="24"/>
  <c r="AN80" i="24" s="1"/>
  <c r="AL55" i="24"/>
  <c r="AL80" i="24" s="1"/>
  <c r="AJ55" i="24"/>
  <c r="AJ80" i="24" s="1"/>
  <c r="AH55" i="24"/>
  <c r="AF55" i="24"/>
  <c r="AF80" i="24" s="1"/>
  <c r="AD55" i="24"/>
  <c r="AD80" i="24" s="1"/>
  <c r="AB55" i="24"/>
  <c r="AB80" i="24" s="1"/>
  <c r="Z55" i="24"/>
  <c r="Z80" i="24" s="1"/>
  <c r="X55" i="24"/>
  <c r="V55" i="24"/>
  <c r="V80" i="24" s="1"/>
  <c r="T55" i="24"/>
  <c r="T80" i="24" s="1"/>
  <c r="R55" i="24"/>
  <c r="P55" i="24"/>
  <c r="N55" i="24"/>
  <c r="L55" i="24"/>
  <c r="J55" i="24"/>
  <c r="H55" i="24"/>
  <c r="H80" i="24" s="1"/>
  <c r="F55" i="24"/>
  <c r="F80" i="24" s="1"/>
  <c r="D55" i="24"/>
  <c r="D80" i="24" s="1"/>
  <c r="B55" i="24"/>
  <c r="AV53" i="24" a="1"/>
  <c r="AT53" i="24" a="1"/>
  <c r="AR53" i="24" a="1"/>
  <c r="AP53" i="24" a="1"/>
  <c r="AN53" i="24" a="1"/>
  <c r="AL53" i="24" a="1"/>
  <c r="AJ53" i="24" a="1"/>
  <c r="AH53" i="24" a="1"/>
  <c r="AF53" i="24" a="1"/>
  <c r="AD53" i="24" a="1"/>
  <c r="AB53" i="24" a="1"/>
  <c r="Z53" i="24" a="1"/>
  <c r="X53" i="24" a="1"/>
  <c r="V53" i="24" a="1"/>
  <c r="T53" i="24" a="1"/>
  <c r="R53" i="24" a="1"/>
  <c r="P53" i="24" a="1"/>
  <c r="N53" i="24" a="1"/>
  <c r="L53" i="24" a="1"/>
  <c r="J53" i="24" a="1"/>
  <c r="H53" i="24" a="1"/>
  <c r="F53" i="24" a="1"/>
  <c r="D53" i="24" a="1"/>
  <c r="B53" i="24" a="1"/>
  <c r="AV52" i="24" a="1"/>
  <c r="AT52" i="24" a="1"/>
  <c r="AR52" i="24" a="1"/>
  <c r="AP52" i="24" a="1"/>
  <c r="AN52" i="24" a="1"/>
  <c r="AL52" i="24" a="1"/>
  <c r="AJ52" i="24" a="1"/>
  <c r="AH52" i="24" a="1"/>
  <c r="AF52" i="24" a="1"/>
  <c r="AD52" i="24" a="1"/>
  <c r="AB52" i="24" a="1"/>
  <c r="Z52" i="24" a="1"/>
  <c r="X52" i="24" a="1"/>
  <c r="V52" i="24" a="1"/>
  <c r="T52" i="24" a="1"/>
  <c r="R52" i="24" a="1"/>
  <c r="P52" i="24" a="1"/>
  <c r="N52" i="24" a="1"/>
  <c r="L52" i="24" a="1"/>
  <c r="J52" i="24" a="1"/>
  <c r="H52" i="24" a="1"/>
  <c r="F52" i="24" a="1"/>
  <c r="D52" i="24" a="1"/>
  <c r="B52" i="24" a="1"/>
  <c r="AV51" i="24"/>
  <c r="AV81" i="24" s="1"/>
  <c r="AT51" i="24"/>
  <c r="AT81" i="24" s="1"/>
  <c r="AR51" i="24"/>
  <c r="AR81" i="24" s="1"/>
  <c r="AP51" i="24"/>
  <c r="AP81" i="24" s="1"/>
  <c r="AN51" i="24"/>
  <c r="AL51" i="24"/>
  <c r="AL81" i="24" s="1"/>
  <c r="AJ51" i="24"/>
  <c r="AJ81" i="24" s="1"/>
  <c r="AH51" i="24"/>
  <c r="AF51" i="24"/>
  <c r="AD51" i="24"/>
  <c r="AB51" i="24"/>
  <c r="Z51" i="24"/>
  <c r="X51" i="24"/>
  <c r="X81" i="24" s="1"/>
  <c r="V51" i="24"/>
  <c r="V81" i="24" s="1"/>
  <c r="T51" i="24"/>
  <c r="T81" i="24" s="1"/>
  <c r="R51" i="24"/>
  <c r="P51" i="24"/>
  <c r="P81" i="24" s="1"/>
  <c r="N51" i="24"/>
  <c r="N81" i="24" s="1"/>
  <c r="L51" i="24"/>
  <c r="L81" i="24" s="1"/>
  <c r="J51" i="24"/>
  <c r="J81" i="24" s="1"/>
  <c r="H51" i="24"/>
  <c r="F51" i="24"/>
  <c r="F81" i="24" s="1"/>
  <c r="D51" i="24"/>
  <c r="D81" i="24" s="1"/>
  <c r="B51" i="24"/>
  <c r="AV49" i="24"/>
  <c r="AT49" i="24"/>
  <c r="AR49" i="24"/>
  <c r="AP49" i="24"/>
  <c r="AN49" i="24"/>
  <c r="AL49" i="24"/>
  <c r="AJ49" i="24"/>
  <c r="AH49" i="24"/>
  <c r="AF49" i="24"/>
  <c r="AD49" i="24"/>
  <c r="AB49" i="24"/>
  <c r="Z49" i="24"/>
  <c r="X49" i="24"/>
  <c r="V49" i="24"/>
  <c r="T49" i="24"/>
  <c r="R49" i="24"/>
  <c r="P49" i="24"/>
  <c r="N49" i="24"/>
  <c r="L49" i="24"/>
  <c r="J49" i="24"/>
  <c r="H49" i="24"/>
  <c r="F49" i="24"/>
  <c r="D49" i="24"/>
  <c r="B49" i="24"/>
  <c r="AV48" i="24"/>
  <c r="AT48" i="24"/>
  <c r="AR48" i="24"/>
  <c r="AP48" i="24"/>
  <c r="AN48" i="24"/>
  <c r="AL48" i="24"/>
  <c r="AJ48" i="24"/>
  <c r="AH48" i="24"/>
  <c r="AF48" i="24"/>
  <c r="AD48" i="24"/>
  <c r="AB48" i="24"/>
  <c r="Z48" i="24"/>
  <c r="X48" i="24"/>
  <c r="V48" i="24"/>
  <c r="T48" i="24"/>
  <c r="R48" i="24"/>
  <c r="P48" i="24"/>
  <c r="N48" i="24"/>
  <c r="L48" i="24"/>
  <c r="J48" i="24"/>
  <c r="H48" i="24"/>
  <c r="F48" i="24"/>
  <c r="D48" i="24"/>
  <c r="B48" i="24"/>
  <c r="AV46" i="24"/>
  <c r="AT46" i="24"/>
  <c r="AR46" i="24"/>
  <c r="AP46" i="24"/>
  <c r="AN46" i="24"/>
  <c r="AL46" i="24"/>
  <c r="AJ46" i="24"/>
  <c r="AH46" i="24"/>
  <c r="AF46" i="24"/>
  <c r="AD46" i="24"/>
  <c r="AB46" i="24"/>
  <c r="Z46" i="24"/>
  <c r="X46" i="24"/>
  <c r="V46" i="24"/>
  <c r="T46" i="24"/>
  <c r="R46" i="24"/>
  <c r="P46" i="24"/>
  <c r="N46" i="24"/>
  <c r="L46" i="24"/>
  <c r="J46" i="24"/>
  <c r="H46" i="24"/>
  <c r="F46" i="24"/>
  <c r="D46" i="24"/>
  <c r="B46" i="24"/>
  <c r="AV45" i="24"/>
  <c r="AT45" i="24"/>
  <c r="AR45" i="24"/>
  <c r="AP45" i="24"/>
  <c r="AN45" i="24"/>
  <c r="AL45" i="24"/>
  <c r="AJ45" i="24"/>
  <c r="AH45" i="24"/>
  <c r="AF45" i="24"/>
  <c r="AD45" i="24"/>
  <c r="AB45" i="24"/>
  <c r="Z45" i="24"/>
  <c r="X45" i="24"/>
  <c r="V45" i="24"/>
  <c r="T45" i="24"/>
  <c r="R45" i="24"/>
  <c r="P45" i="24"/>
  <c r="N45" i="24"/>
  <c r="L45" i="24"/>
  <c r="J45" i="24"/>
  <c r="H45" i="24"/>
  <c r="F45" i="24"/>
  <c r="D45" i="24"/>
  <c r="B45" i="24"/>
  <c r="AV44" i="24"/>
  <c r="AT44" i="24"/>
  <c r="AR44" i="24"/>
  <c r="AP44" i="24"/>
  <c r="AN44" i="24"/>
  <c r="AL44" i="24"/>
  <c r="AJ44" i="24"/>
  <c r="AH44" i="24"/>
  <c r="AF44" i="24"/>
  <c r="AD44" i="24"/>
  <c r="AB44" i="24"/>
  <c r="Z44" i="24"/>
  <c r="X44" i="24"/>
  <c r="V44" i="24"/>
  <c r="T44" i="24"/>
  <c r="R44" i="24"/>
  <c r="P44" i="24"/>
  <c r="N44" i="24"/>
  <c r="L44" i="24"/>
  <c r="J44" i="24"/>
  <c r="H44" i="24"/>
  <c r="F44" i="24"/>
  <c r="D44" i="24"/>
  <c r="B44" i="24"/>
  <c r="AV43" i="24"/>
  <c r="AV43" i="24" a="1"/>
  <c r="AT43" i="24" a="1"/>
  <c r="AT43" i="24" s="1"/>
  <c r="AR43" i="24" a="1"/>
  <c r="AR43" i="24" s="1"/>
  <c r="AP43" i="24"/>
  <c r="AP43" i="24" a="1"/>
  <c r="AN43" i="24" a="1"/>
  <c r="AN43" i="24" s="1"/>
  <c r="AL43" i="24" a="1"/>
  <c r="AL43" i="24" s="1"/>
  <c r="AJ43" i="24"/>
  <c r="AJ43" i="24" a="1"/>
  <c r="AH43" i="24" a="1"/>
  <c r="AH43" i="24" s="1"/>
  <c r="AF43" i="24"/>
  <c r="AF43" i="24" a="1"/>
  <c r="AD43" i="24" a="1"/>
  <c r="AD43" i="24" s="1"/>
  <c r="AB43" i="24" a="1"/>
  <c r="AB43" i="24" s="1"/>
  <c r="Z43" i="24"/>
  <c r="Z43" i="24" a="1"/>
  <c r="X43" i="24" a="1"/>
  <c r="X43" i="24" s="1"/>
  <c r="V43" i="24" a="1"/>
  <c r="V43" i="24" s="1"/>
  <c r="T43" i="24"/>
  <c r="T43" i="24" a="1"/>
  <c r="R43" i="24" a="1"/>
  <c r="R43" i="24" s="1"/>
  <c r="P43" i="24"/>
  <c r="P43" i="24" a="1"/>
  <c r="N43" i="24" a="1"/>
  <c r="N43" i="24" s="1"/>
  <c r="L43" i="24" a="1"/>
  <c r="L43" i="24" s="1"/>
  <c r="J43" i="24"/>
  <c r="J43" i="24" a="1"/>
  <c r="H43" i="24" a="1"/>
  <c r="H43" i="24" s="1"/>
  <c r="F43" i="24" a="1"/>
  <c r="F43" i="24" s="1"/>
  <c r="D43" i="24"/>
  <c r="D43" i="24" a="1"/>
  <c r="B43" i="24"/>
  <c r="AV42" i="24"/>
  <c r="AT42" i="24"/>
  <c r="AR42" i="24"/>
  <c r="AP42" i="24"/>
  <c r="AN42" i="24"/>
  <c r="AL42" i="24"/>
  <c r="AJ42" i="24"/>
  <c r="AH42" i="24"/>
  <c r="AF42" i="24"/>
  <c r="AD42" i="24"/>
  <c r="AB42" i="24"/>
  <c r="Z42" i="24"/>
  <c r="X42" i="24"/>
  <c r="V42" i="24"/>
  <c r="T42" i="24"/>
  <c r="R42" i="24"/>
  <c r="P42" i="24"/>
  <c r="N42" i="24"/>
  <c r="L42" i="24"/>
  <c r="J42" i="24"/>
  <c r="H42" i="24"/>
  <c r="F42" i="24"/>
  <c r="D42" i="24"/>
  <c r="B42" i="24"/>
  <c r="AN81" i="18"/>
  <c r="AJ81" i="18"/>
  <c r="AH81" i="18"/>
  <c r="AF81" i="18"/>
  <c r="AD81" i="18"/>
  <c r="AB81" i="18"/>
  <c r="T81" i="18"/>
  <c r="R81" i="18"/>
  <c r="H81" i="18"/>
  <c r="D81" i="18"/>
  <c r="B81" i="18"/>
  <c r="AV80" i="18"/>
  <c r="AT80" i="18"/>
  <c r="AR80" i="18"/>
  <c r="AJ80" i="18"/>
  <c r="AH80" i="18"/>
  <c r="X80" i="18"/>
  <c r="T80" i="18"/>
  <c r="R80" i="18"/>
  <c r="P80" i="18"/>
  <c r="N80" i="18"/>
  <c r="L80" i="18"/>
  <c r="D80" i="18"/>
  <c r="B80" i="18"/>
  <c r="AV79" i="18" a="1"/>
  <c r="AV79" i="18" s="1"/>
  <c r="AT79" i="18"/>
  <c r="AT79" i="18" a="1"/>
  <c r="AR79" i="18"/>
  <c r="AR79" i="18" a="1"/>
  <c r="AP79" i="18" a="1"/>
  <c r="AP79" i="18" s="1"/>
  <c r="AN79" i="18" a="1"/>
  <c r="AN79" i="18" s="1"/>
  <c r="AL79" i="18" a="1"/>
  <c r="AL79" i="18" s="1"/>
  <c r="AJ79" i="18" a="1"/>
  <c r="AJ79" i="18" s="1"/>
  <c r="AH79" i="18" a="1"/>
  <c r="AH79" i="18" s="1"/>
  <c r="AF79" i="18" a="1"/>
  <c r="AF79" i="18" s="1"/>
  <c r="AD79" i="18"/>
  <c r="AD79" i="18" a="1"/>
  <c r="AB79" i="18"/>
  <c r="AB79" i="18" a="1"/>
  <c r="Z79" i="18" a="1"/>
  <c r="Z79" i="18" s="1"/>
  <c r="X79" i="18" a="1"/>
  <c r="X79" i="18" s="1"/>
  <c r="V79" i="18"/>
  <c r="V79" i="18" a="1"/>
  <c r="T79" i="18" a="1"/>
  <c r="T79" i="18" s="1"/>
  <c r="R79" i="18" a="1"/>
  <c r="R79" i="18" s="1"/>
  <c r="P79" i="18" a="1"/>
  <c r="P79" i="18" s="1"/>
  <c r="N79" i="18"/>
  <c r="N79" i="18" a="1"/>
  <c r="L79" i="18"/>
  <c r="L79" i="18" a="1"/>
  <c r="J79" i="18" a="1"/>
  <c r="J79" i="18" s="1"/>
  <c r="H79" i="18" a="1"/>
  <c r="H79" i="18" s="1"/>
  <c r="F79" i="18" a="1"/>
  <c r="F79" i="18" s="1"/>
  <c r="D79" i="18" a="1"/>
  <c r="D79" i="18" s="1"/>
  <c r="B79" i="18" a="1"/>
  <c r="B79" i="18" s="1"/>
  <c r="AV78" i="18" a="1"/>
  <c r="AV78" i="18" s="1"/>
  <c r="AT78" i="18"/>
  <c r="AT78" i="18" a="1"/>
  <c r="AR78" i="18"/>
  <c r="AR78" i="18" a="1"/>
  <c r="AP78" i="18" a="1"/>
  <c r="AP78" i="18" s="1"/>
  <c r="AN78" i="18" a="1"/>
  <c r="AN78" i="18" s="1"/>
  <c r="AL78" i="18" a="1"/>
  <c r="AL78" i="18" s="1"/>
  <c r="AJ78" i="18" a="1"/>
  <c r="AJ78" i="18" s="1"/>
  <c r="AH78" i="18" a="1"/>
  <c r="AH78" i="18" s="1"/>
  <c r="AF78" i="18" a="1"/>
  <c r="AF78" i="18" s="1"/>
  <c r="AD78" i="18"/>
  <c r="AD78" i="18" a="1"/>
  <c r="AB78" i="18"/>
  <c r="AB78" i="18" a="1"/>
  <c r="Z78" i="18" a="1"/>
  <c r="Z78" i="18" s="1"/>
  <c r="X78" i="18" a="1"/>
  <c r="X78" i="18" s="1"/>
  <c r="V78" i="18" a="1"/>
  <c r="V78" i="18" s="1"/>
  <c r="T78" i="18" a="1"/>
  <c r="T78" i="18" s="1"/>
  <c r="R78" i="18" a="1"/>
  <c r="R78" i="18" s="1"/>
  <c r="P78" i="18" a="1"/>
  <c r="P78" i="18" s="1"/>
  <c r="N78" i="18"/>
  <c r="N78" i="18" a="1"/>
  <c r="L78" i="18"/>
  <c r="L78" i="18" a="1"/>
  <c r="J78" i="18" a="1"/>
  <c r="J78" i="18" s="1"/>
  <c r="H78" i="18" a="1"/>
  <c r="H78" i="18" s="1"/>
  <c r="F78" i="18"/>
  <c r="F78" i="18" a="1"/>
  <c r="D78" i="18" a="1"/>
  <c r="D78" i="18" s="1"/>
  <c r="B78" i="18" a="1"/>
  <c r="B78" i="18" s="1"/>
  <c r="AV77" i="18" a="1"/>
  <c r="AV77" i="18" s="1"/>
  <c r="AT77" i="18"/>
  <c r="AT77" i="18" a="1"/>
  <c r="AR77" i="18"/>
  <c r="AR77" i="18" a="1"/>
  <c r="AP77" i="18" a="1"/>
  <c r="AP77" i="18" s="1"/>
  <c r="AN77" i="18" a="1"/>
  <c r="AN77" i="18" s="1"/>
  <c r="AL77" i="18" a="1"/>
  <c r="AL77" i="18" s="1"/>
  <c r="AJ77" i="18" a="1"/>
  <c r="AJ77" i="18" s="1"/>
  <c r="AH77" i="18" a="1"/>
  <c r="AH77" i="18" s="1"/>
  <c r="AF77" i="18"/>
  <c r="AF77" i="18" a="1"/>
  <c r="AD77" i="18"/>
  <c r="AD77" i="18" a="1"/>
  <c r="AB77" i="18"/>
  <c r="AB77" i="18" a="1"/>
  <c r="Z77" i="18" a="1"/>
  <c r="Z77" i="18" s="1"/>
  <c r="X77" i="18" a="1"/>
  <c r="X77" i="18" s="1"/>
  <c r="V77" i="18"/>
  <c r="V77" i="18" a="1"/>
  <c r="T77" i="18" a="1"/>
  <c r="T77" i="18" s="1"/>
  <c r="R77" i="18" a="1"/>
  <c r="R77" i="18" s="1"/>
  <c r="P77" i="18"/>
  <c r="P77" i="18" a="1"/>
  <c r="N77" i="18"/>
  <c r="N77" i="18" a="1"/>
  <c r="L77" i="18"/>
  <c r="L77" i="18" a="1"/>
  <c r="J77" i="18" a="1"/>
  <c r="J77" i="18" s="1"/>
  <c r="H77" i="18" a="1"/>
  <c r="H77" i="18" s="1"/>
  <c r="F77" i="18" a="1"/>
  <c r="F77" i="18" s="1"/>
  <c r="D77" i="18" a="1"/>
  <c r="D77" i="18" s="1"/>
  <c r="B77" i="18" a="1"/>
  <c r="B77" i="18" s="1"/>
  <c r="AV76" i="18"/>
  <c r="AV76" i="18" a="1"/>
  <c r="AT76" i="18"/>
  <c r="AT76" i="18" a="1"/>
  <c r="AR76" i="18"/>
  <c r="AR76" i="18" a="1"/>
  <c r="AP76" i="18" a="1"/>
  <c r="AP76" i="18" s="1"/>
  <c r="AN76" i="18" a="1"/>
  <c r="AN76" i="18" s="1"/>
  <c r="AL76" i="18" a="1"/>
  <c r="AL76" i="18" s="1"/>
  <c r="AJ76" i="18" a="1"/>
  <c r="AJ76" i="18" s="1"/>
  <c r="AH76" i="18" a="1"/>
  <c r="AH76" i="18" s="1"/>
  <c r="AF76" i="18"/>
  <c r="AF76" i="18" a="1"/>
  <c r="AD76" i="18"/>
  <c r="AD76" i="18" a="1"/>
  <c r="AB76" i="18"/>
  <c r="AB76" i="18" a="1"/>
  <c r="Z76" i="18" a="1"/>
  <c r="Z76" i="18" s="1"/>
  <c r="X76" i="18" a="1"/>
  <c r="X76" i="18" s="1"/>
  <c r="V76" i="18" a="1"/>
  <c r="V76" i="18" s="1"/>
  <c r="T76" i="18" a="1"/>
  <c r="T76" i="18" s="1"/>
  <c r="R76" i="18" a="1"/>
  <c r="R76" i="18" s="1"/>
  <c r="P76" i="18"/>
  <c r="P76" i="18" a="1"/>
  <c r="N76" i="18"/>
  <c r="N76" i="18" a="1"/>
  <c r="L76" i="18"/>
  <c r="L76" i="18" a="1"/>
  <c r="J76" i="18" a="1"/>
  <c r="J76" i="18" s="1"/>
  <c r="H76" i="18" a="1"/>
  <c r="H76" i="18" s="1"/>
  <c r="F76" i="18"/>
  <c r="F76" i="18" a="1"/>
  <c r="D76" i="18" a="1"/>
  <c r="D76" i="18" s="1"/>
  <c r="B76" i="18" a="1"/>
  <c r="B76" i="18" s="1"/>
  <c r="AV75" i="18"/>
  <c r="AV75" i="18" a="1"/>
  <c r="AT75" i="18"/>
  <c r="AT75" i="18" a="1"/>
  <c r="AR75" i="18"/>
  <c r="AR75" i="18" a="1"/>
  <c r="AP75" i="18" a="1"/>
  <c r="AP75" i="18" s="1"/>
  <c r="AN75" i="18" a="1"/>
  <c r="AN75" i="18" s="1"/>
  <c r="AL75" i="18" a="1"/>
  <c r="AL75" i="18" s="1"/>
  <c r="AJ75" i="18" a="1"/>
  <c r="AJ75" i="18" s="1"/>
  <c r="AH75" i="18" a="1"/>
  <c r="AH75" i="18" s="1"/>
  <c r="AF75" i="18"/>
  <c r="AF75" i="18" a="1"/>
  <c r="AD75" i="18"/>
  <c r="AD75" i="18" a="1"/>
  <c r="AB75" i="18"/>
  <c r="AB75" i="18" a="1"/>
  <c r="Z75" i="18" a="1"/>
  <c r="Z75" i="18" s="1"/>
  <c r="X75" i="18" a="1"/>
  <c r="X75" i="18" s="1"/>
  <c r="V75" i="18" a="1"/>
  <c r="V75" i="18" s="1"/>
  <c r="T75" i="18" a="1"/>
  <c r="T75" i="18" s="1"/>
  <c r="R75" i="18" a="1"/>
  <c r="R75" i="18" s="1"/>
  <c r="P75" i="18"/>
  <c r="P75" i="18" a="1"/>
  <c r="N75" i="18"/>
  <c r="N75" i="18" a="1"/>
  <c r="L75" i="18"/>
  <c r="L75" i="18" a="1"/>
  <c r="J75" i="18" a="1"/>
  <c r="J75" i="18" s="1"/>
  <c r="H75" i="18" a="1"/>
  <c r="H75" i="18" s="1"/>
  <c r="F75" i="18" a="1"/>
  <c r="F75" i="18" s="1"/>
  <c r="D75" i="18" a="1"/>
  <c r="D75" i="18" s="1"/>
  <c r="B75" i="18" a="1"/>
  <c r="B75" i="18" s="1"/>
  <c r="AV74" i="18"/>
  <c r="AV74" i="18" a="1"/>
  <c r="AT74" i="18"/>
  <c r="AT74" i="18" a="1"/>
  <c r="AR74" i="18"/>
  <c r="AR74" i="18" a="1"/>
  <c r="AP74" i="18" a="1"/>
  <c r="AP74" i="18" s="1"/>
  <c r="AN74" i="18" a="1"/>
  <c r="AN74" i="18" s="1"/>
  <c r="AL74" i="18"/>
  <c r="AL74" i="18" a="1"/>
  <c r="AJ74" i="18" a="1"/>
  <c r="AJ74" i="18" s="1"/>
  <c r="AH74" i="18" a="1"/>
  <c r="AH74" i="18" s="1"/>
  <c r="AF74" i="18" a="1"/>
  <c r="AF74" i="18" s="1"/>
  <c r="AD74" i="18"/>
  <c r="AD74" i="18" a="1"/>
  <c r="AB74" i="18"/>
  <c r="AB74" i="18" a="1"/>
  <c r="Z74" i="18" a="1"/>
  <c r="Z74" i="18" s="1"/>
  <c r="X74" i="18" a="1"/>
  <c r="X74" i="18" s="1"/>
  <c r="V74" i="18" a="1"/>
  <c r="V74" i="18" s="1"/>
  <c r="T74" i="18" a="1"/>
  <c r="T74" i="18" s="1"/>
  <c r="R74" i="18" a="1"/>
  <c r="R74" i="18" s="1"/>
  <c r="P74" i="18" a="1"/>
  <c r="P74" i="18" s="1"/>
  <c r="N74" i="18"/>
  <c r="N74" i="18" a="1"/>
  <c r="L74" i="18"/>
  <c r="L74" i="18" a="1"/>
  <c r="J74" i="18" a="1"/>
  <c r="J74" i="18" s="1"/>
  <c r="H74" i="18" a="1"/>
  <c r="H74" i="18" s="1"/>
  <c r="F74" i="18" a="1"/>
  <c r="F74" i="18" s="1"/>
  <c r="D74" i="18" a="1"/>
  <c r="D74" i="18" s="1"/>
  <c r="B74" i="18" a="1"/>
  <c r="B74" i="18" s="1"/>
  <c r="AV73" i="18" a="1"/>
  <c r="AV73" i="18" s="1"/>
  <c r="AT73" i="18"/>
  <c r="AT73" i="18" a="1"/>
  <c r="AR73" i="18"/>
  <c r="AR73" i="18" a="1"/>
  <c r="AP73" i="18" a="1"/>
  <c r="AP73" i="18" s="1"/>
  <c r="AN73" i="18" a="1"/>
  <c r="AN73" i="18" s="1"/>
  <c r="AL73" i="18" a="1"/>
  <c r="AL73" i="18" s="1"/>
  <c r="AJ73" i="18" a="1"/>
  <c r="AJ73" i="18" s="1"/>
  <c r="AH73" i="18" a="1"/>
  <c r="AH73" i="18" s="1"/>
  <c r="AF73" i="18" a="1"/>
  <c r="AF73" i="18" s="1"/>
  <c r="AD73" i="18"/>
  <c r="AD73" i="18" a="1"/>
  <c r="AB73" i="18"/>
  <c r="AB73" i="18" a="1"/>
  <c r="Z73" i="18" a="1"/>
  <c r="Z73" i="18" s="1"/>
  <c r="X73" i="18" a="1"/>
  <c r="X73" i="18" s="1"/>
  <c r="V73" i="18" a="1"/>
  <c r="V73" i="18" s="1"/>
  <c r="T73" i="18" a="1"/>
  <c r="T73" i="18" s="1"/>
  <c r="R73" i="18" a="1"/>
  <c r="R73" i="18" s="1"/>
  <c r="P73" i="18" a="1"/>
  <c r="P73" i="18" s="1"/>
  <c r="N73" i="18"/>
  <c r="N73" i="18" a="1"/>
  <c r="L73" i="18"/>
  <c r="L73" i="18" a="1"/>
  <c r="J73" i="18" a="1"/>
  <c r="J73" i="18" s="1"/>
  <c r="H73" i="18" a="1"/>
  <c r="H73" i="18" s="1"/>
  <c r="F73" i="18" a="1"/>
  <c r="F73" i="18" s="1"/>
  <c r="D73" i="18" a="1"/>
  <c r="D73" i="18" s="1"/>
  <c r="B73" i="18" a="1"/>
  <c r="B73" i="18" s="1"/>
  <c r="AV72" i="18"/>
  <c r="AT72" i="18"/>
  <c r="AR72" i="18"/>
  <c r="AP72" i="18"/>
  <c r="AN72" i="18"/>
  <c r="AL72" i="18"/>
  <c r="AJ72" i="18"/>
  <c r="AH72" i="18"/>
  <c r="AF72" i="18"/>
  <c r="AD72" i="18"/>
  <c r="AB72" i="18"/>
  <c r="Z72" i="18"/>
  <c r="X72" i="18"/>
  <c r="V72" i="18"/>
  <c r="T72" i="18"/>
  <c r="R72" i="18"/>
  <c r="P72" i="18"/>
  <c r="N72" i="18"/>
  <c r="L72" i="18"/>
  <c r="J72" i="18"/>
  <c r="H72" i="18"/>
  <c r="F72" i="18"/>
  <c r="D72" i="18"/>
  <c r="B72" i="18"/>
  <c r="AV71" i="18"/>
  <c r="AT71" i="18"/>
  <c r="AR71" i="18"/>
  <c r="AP71" i="18"/>
  <c r="AN71" i="18"/>
  <c r="AL71" i="18"/>
  <c r="AJ71" i="18"/>
  <c r="AH71" i="18"/>
  <c r="AF71" i="18"/>
  <c r="AD71" i="18"/>
  <c r="AB71" i="18"/>
  <c r="Z71" i="18"/>
  <c r="X71" i="18"/>
  <c r="V71" i="18"/>
  <c r="T71" i="18"/>
  <c r="R71" i="18"/>
  <c r="P71" i="18"/>
  <c r="N71" i="18"/>
  <c r="L71" i="18"/>
  <c r="J71" i="18"/>
  <c r="H71" i="18"/>
  <c r="F71" i="18"/>
  <c r="D71" i="18"/>
  <c r="B71" i="18"/>
  <c r="AV70" i="18"/>
  <c r="AT70" i="18"/>
  <c r="AR70" i="18"/>
  <c r="AP70" i="18"/>
  <c r="AN70" i="18"/>
  <c r="AL70" i="18"/>
  <c r="AJ70" i="18"/>
  <c r="AH70" i="18"/>
  <c r="AF70" i="18"/>
  <c r="AD70" i="18"/>
  <c r="AB70" i="18"/>
  <c r="Z70" i="18"/>
  <c r="X70" i="18"/>
  <c r="V70" i="18"/>
  <c r="T70" i="18"/>
  <c r="R70" i="18"/>
  <c r="P70" i="18"/>
  <c r="N70" i="18"/>
  <c r="L70" i="18"/>
  <c r="J70" i="18"/>
  <c r="H70" i="18"/>
  <c r="F70" i="18"/>
  <c r="D70" i="18"/>
  <c r="B70" i="18"/>
  <c r="AL69" i="18"/>
  <c r="B69" i="18"/>
  <c r="AB68" i="18"/>
  <c r="V68" i="18"/>
  <c r="AV67" i="18" a="1"/>
  <c r="AV67" i="18" s="1"/>
  <c r="AT67" i="18"/>
  <c r="AT67" i="18" a="1"/>
  <c r="AR67" i="18" a="1"/>
  <c r="AR67" i="18" s="1"/>
  <c r="AP67" i="18" a="1"/>
  <c r="AP67" i="18" s="1"/>
  <c r="AN67" i="18" a="1"/>
  <c r="AN67" i="18" s="1"/>
  <c r="AL67" i="18"/>
  <c r="AL67" i="18" a="1"/>
  <c r="AJ67" i="18"/>
  <c r="AJ67" i="18" a="1"/>
  <c r="AH67" i="18" a="1"/>
  <c r="AH67" i="18" s="1"/>
  <c r="AF67" i="18" a="1"/>
  <c r="AF67" i="18" s="1"/>
  <c r="AD67" i="18" a="1"/>
  <c r="AD67" i="18" s="1"/>
  <c r="AB67" i="18" a="1"/>
  <c r="AB67" i="18" s="1"/>
  <c r="Z67" i="18" a="1"/>
  <c r="Z67" i="18" s="1"/>
  <c r="X67" i="18" a="1"/>
  <c r="X67" i="18" s="1"/>
  <c r="V67" i="18"/>
  <c r="V67" i="18" a="1"/>
  <c r="T67" i="18"/>
  <c r="T67" i="18" a="1"/>
  <c r="R67" i="18" a="1"/>
  <c r="R67" i="18" s="1"/>
  <c r="P67" i="18" a="1"/>
  <c r="P67" i="18" s="1"/>
  <c r="N67" i="18" a="1"/>
  <c r="N67" i="18" s="1"/>
  <c r="L67" i="18" a="1"/>
  <c r="L67" i="18" s="1"/>
  <c r="J67" i="18" a="1"/>
  <c r="J67" i="18" s="1"/>
  <c r="H67" i="18" a="1"/>
  <c r="H67" i="18" s="1"/>
  <c r="F67" i="18"/>
  <c r="F67" i="18" a="1"/>
  <c r="D67" i="18"/>
  <c r="D67" i="18" a="1"/>
  <c r="B67" i="18" a="1"/>
  <c r="B67" i="18" s="1"/>
  <c r="AV66" i="18" a="1"/>
  <c r="AV66" i="18" s="1"/>
  <c r="AV68" i="18" s="1"/>
  <c r="AT66" i="18"/>
  <c r="AT66" i="18" a="1"/>
  <c r="AR66" i="18" a="1"/>
  <c r="AR66" i="18" s="1"/>
  <c r="AR68" i="18" s="1"/>
  <c r="AP66" i="18" a="1"/>
  <c r="AP66" i="18" s="1"/>
  <c r="AN66" i="18" a="1"/>
  <c r="AN66" i="18" s="1"/>
  <c r="AN68" i="18" s="1"/>
  <c r="AL66" i="18"/>
  <c r="AL68" i="18" s="1"/>
  <c r="AL66" i="18" a="1"/>
  <c r="AJ66" i="18"/>
  <c r="AJ68" i="18" s="1"/>
  <c r="AJ66" i="18" a="1"/>
  <c r="AH66" i="18" a="1"/>
  <c r="AH66" i="18" s="1"/>
  <c r="AH68" i="18" s="1"/>
  <c r="AF66" i="18" a="1"/>
  <c r="AF66" i="18" s="1"/>
  <c r="AF68" i="18" s="1"/>
  <c r="AD66" i="18"/>
  <c r="AD66" i="18" a="1"/>
  <c r="AB66" i="18" a="1"/>
  <c r="AB66" i="18" s="1"/>
  <c r="Z66" i="18" a="1"/>
  <c r="Z66" i="18" s="1"/>
  <c r="Z68" i="18" s="1"/>
  <c r="X66" i="18" a="1"/>
  <c r="X66" i="18" s="1"/>
  <c r="X68" i="18" s="1"/>
  <c r="V66" i="18"/>
  <c r="V66" i="18" a="1"/>
  <c r="T66" i="18"/>
  <c r="T68" i="18" s="1"/>
  <c r="T66" i="18" a="1"/>
  <c r="R66" i="18" a="1"/>
  <c r="R66" i="18" s="1"/>
  <c r="R68" i="18" s="1"/>
  <c r="P66" i="18" a="1"/>
  <c r="P66" i="18" s="1"/>
  <c r="N66" i="18" a="1"/>
  <c r="N66" i="18" s="1"/>
  <c r="N68" i="18" s="1"/>
  <c r="L66" i="18" a="1"/>
  <c r="L66" i="18" s="1"/>
  <c r="L68" i="18" s="1"/>
  <c r="J66" i="18" a="1"/>
  <c r="J66" i="18" s="1"/>
  <c r="J68" i="18" s="1"/>
  <c r="H66" i="18" a="1"/>
  <c r="H66" i="18" s="1"/>
  <c r="H68" i="18" s="1"/>
  <c r="F66" i="18"/>
  <c r="F68" i="18" s="1"/>
  <c r="F66" i="18" a="1"/>
  <c r="D66" i="18"/>
  <c r="D68" i="18" s="1"/>
  <c r="D66" i="18" a="1"/>
  <c r="B66" i="18" a="1"/>
  <c r="B66" i="18" s="1"/>
  <c r="B68" i="18" s="1"/>
  <c r="AV65" i="18" a="1"/>
  <c r="AV65" i="18" s="1"/>
  <c r="AV69" i="18" s="1"/>
  <c r="AT65" i="18" a="1"/>
  <c r="AT65" i="18" s="1"/>
  <c r="AT69" i="18" s="1"/>
  <c r="AR65" i="18" a="1"/>
  <c r="AR65" i="18" s="1"/>
  <c r="AR69" i="18" s="1"/>
  <c r="AP65" i="18" a="1"/>
  <c r="AP65" i="18" s="1"/>
  <c r="AP69" i="18" s="1"/>
  <c r="AN65" i="18" a="1"/>
  <c r="AN65" i="18" s="1"/>
  <c r="AN69" i="18" s="1"/>
  <c r="AL65" i="18"/>
  <c r="AL65" i="18" a="1"/>
  <c r="AJ65" i="18"/>
  <c r="AJ69" i="18" s="1"/>
  <c r="AJ65" i="18" a="1"/>
  <c r="AH65" i="18" a="1"/>
  <c r="AH65" i="18" s="1"/>
  <c r="AH69" i="18" s="1"/>
  <c r="AF65" i="18" a="1"/>
  <c r="AF65" i="18" s="1"/>
  <c r="AF69" i="18" s="1"/>
  <c r="AD65" i="18" a="1"/>
  <c r="AD65" i="18" s="1"/>
  <c r="AD69" i="18" s="1"/>
  <c r="AB65" i="18" a="1"/>
  <c r="AB65" i="18" s="1"/>
  <c r="AB69" i="18" s="1"/>
  <c r="Z65" i="18" a="1"/>
  <c r="Z65" i="18" s="1"/>
  <c r="Z69" i="18" s="1"/>
  <c r="X65" i="18" a="1"/>
  <c r="X65" i="18" s="1"/>
  <c r="X69" i="18" s="1"/>
  <c r="V65" i="18"/>
  <c r="V69" i="18" s="1"/>
  <c r="V65" i="18" a="1"/>
  <c r="T65" i="18"/>
  <c r="T69" i="18" s="1"/>
  <c r="T65" i="18" a="1"/>
  <c r="R65" i="18" a="1"/>
  <c r="R65" i="18" s="1"/>
  <c r="R69" i="18" s="1"/>
  <c r="P65" i="18" a="1"/>
  <c r="P65" i="18" s="1"/>
  <c r="P69" i="18" s="1"/>
  <c r="N65" i="18" a="1"/>
  <c r="N65" i="18" s="1"/>
  <c r="N69" i="18" s="1"/>
  <c r="L65" i="18" a="1"/>
  <c r="L65" i="18" s="1"/>
  <c r="L69" i="18" s="1"/>
  <c r="J65" i="18" a="1"/>
  <c r="J65" i="18" s="1"/>
  <c r="J69" i="18" s="1"/>
  <c r="H65" i="18" a="1"/>
  <c r="H65" i="18" s="1"/>
  <c r="H69" i="18" s="1"/>
  <c r="F65" i="18" a="1"/>
  <c r="F65" i="18" s="1"/>
  <c r="F69" i="18" s="1"/>
  <c r="D65" i="18"/>
  <c r="D69" i="18" s="1"/>
  <c r="D65" i="18" a="1"/>
  <c r="B65" i="18"/>
  <c r="AV62" i="18"/>
  <c r="AT62" i="18"/>
  <c r="AR62" i="18"/>
  <c r="AP62" i="18"/>
  <c r="AN62" i="18"/>
  <c r="AL62" i="18"/>
  <c r="AJ62" i="18"/>
  <c r="AH62" i="18"/>
  <c r="AF62" i="18"/>
  <c r="AD62" i="18"/>
  <c r="AB62" i="18"/>
  <c r="Z62" i="18"/>
  <c r="X62" i="18"/>
  <c r="V62" i="18"/>
  <c r="T62" i="18"/>
  <c r="R62" i="18"/>
  <c r="P62" i="18"/>
  <c r="N62" i="18"/>
  <c r="L62" i="18"/>
  <c r="J62" i="18"/>
  <c r="H62" i="18"/>
  <c r="F62" i="18"/>
  <c r="D62" i="18"/>
  <c r="B62" i="18"/>
  <c r="AV60" i="18"/>
  <c r="AT60" i="18"/>
  <c r="AR60" i="18"/>
  <c r="AP60" i="18"/>
  <c r="AN60" i="18"/>
  <c r="AL60" i="18"/>
  <c r="AJ60" i="18"/>
  <c r="AH60" i="18"/>
  <c r="AF60" i="18"/>
  <c r="AD60" i="18"/>
  <c r="AB60" i="18"/>
  <c r="Z60" i="18"/>
  <c r="X60" i="18"/>
  <c r="V60" i="18"/>
  <c r="T60" i="18"/>
  <c r="R60" i="18"/>
  <c r="P60" i="18"/>
  <c r="N60" i="18"/>
  <c r="L60" i="18"/>
  <c r="J60" i="18"/>
  <c r="H60" i="18"/>
  <c r="F60" i="18"/>
  <c r="D60" i="18"/>
  <c r="B60" i="18"/>
  <c r="AV59" i="18"/>
  <c r="AT59" i="18"/>
  <c r="AR59" i="18"/>
  <c r="AP59" i="18"/>
  <c r="AN59" i="18"/>
  <c r="AL59" i="18"/>
  <c r="AJ59" i="18"/>
  <c r="AH59" i="18"/>
  <c r="AF59" i="18"/>
  <c r="AD59" i="18"/>
  <c r="AB59" i="18"/>
  <c r="Z59" i="18"/>
  <c r="X59" i="18"/>
  <c r="V59" i="18"/>
  <c r="T59" i="18"/>
  <c r="R59" i="18"/>
  <c r="P59" i="18"/>
  <c r="N59" i="18"/>
  <c r="L59" i="18"/>
  <c r="J59" i="18"/>
  <c r="H59" i="18"/>
  <c r="F59" i="18"/>
  <c r="D59" i="18"/>
  <c r="B59" i="18"/>
  <c r="AV58" i="18"/>
  <c r="AV58" i="18" a="1"/>
  <c r="AT58" i="18" a="1"/>
  <c r="AT58" i="18" s="1"/>
  <c r="AR58" i="18" a="1"/>
  <c r="AR58" i="18" s="1"/>
  <c r="AP58" i="18" a="1"/>
  <c r="AP58" i="18" s="1"/>
  <c r="AN58" i="18" a="1"/>
  <c r="AN58" i="18" s="1"/>
  <c r="AL58" i="18" a="1"/>
  <c r="AL58" i="18" s="1"/>
  <c r="AJ58" i="18"/>
  <c r="AJ58" i="18" a="1"/>
  <c r="AH58" i="18" a="1"/>
  <c r="AH58" i="18" s="1"/>
  <c r="AF58" i="18"/>
  <c r="AF58" i="18" a="1"/>
  <c r="AD58" i="18" a="1"/>
  <c r="AD58" i="18" s="1"/>
  <c r="AB58" i="18" a="1"/>
  <c r="AB58" i="18" s="1"/>
  <c r="Z58" i="18" a="1"/>
  <c r="Z58" i="18" s="1"/>
  <c r="X58" i="18" a="1"/>
  <c r="X58" i="18" s="1"/>
  <c r="V58" i="18" a="1"/>
  <c r="V58" i="18" s="1"/>
  <c r="T58" i="18"/>
  <c r="T58" i="18" a="1"/>
  <c r="R58" i="18" a="1"/>
  <c r="R58" i="18" s="1"/>
  <c r="P58" i="18"/>
  <c r="P58" i="18" a="1"/>
  <c r="N58" i="18" a="1"/>
  <c r="N58" i="18" s="1"/>
  <c r="L58" i="18" a="1"/>
  <c r="L58" i="18" s="1"/>
  <c r="J58" i="18" a="1"/>
  <c r="J58" i="18" s="1"/>
  <c r="H58" i="18" a="1"/>
  <c r="H58" i="18" s="1"/>
  <c r="F58" i="18" a="1"/>
  <c r="F58" i="18" s="1"/>
  <c r="D58" i="18"/>
  <c r="D58" i="18" a="1"/>
  <c r="B58" i="18" a="1"/>
  <c r="B58" i="18" s="1"/>
  <c r="AV57" i="18"/>
  <c r="AV57" i="18" a="1"/>
  <c r="AT57" i="18" a="1"/>
  <c r="AT57" i="18" s="1"/>
  <c r="AR57" i="18" a="1"/>
  <c r="AR57" i="18" s="1"/>
  <c r="AP57" i="18" a="1"/>
  <c r="AP57" i="18" s="1"/>
  <c r="AN57" i="18" a="1"/>
  <c r="AN57" i="18" s="1"/>
  <c r="AL57" i="18" a="1"/>
  <c r="AL57" i="18" s="1"/>
  <c r="AJ57" i="18"/>
  <c r="AJ57" i="18" a="1"/>
  <c r="AH57" i="18" a="1"/>
  <c r="AH57" i="18" s="1"/>
  <c r="AF57" i="18"/>
  <c r="AF57" i="18" a="1"/>
  <c r="AD57" i="18" a="1"/>
  <c r="AD57" i="18" s="1"/>
  <c r="AB57" i="18" a="1"/>
  <c r="AB57" i="18" s="1"/>
  <c r="Z57" i="18" a="1"/>
  <c r="Z57" i="18" s="1"/>
  <c r="X57" i="18" a="1"/>
  <c r="X57" i="18" s="1"/>
  <c r="V57" i="18" a="1"/>
  <c r="V57" i="18" s="1"/>
  <c r="T57" i="18"/>
  <c r="T57" i="18" a="1"/>
  <c r="R57" i="18" a="1"/>
  <c r="R57" i="18" s="1"/>
  <c r="P57" i="18"/>
  <c r="P57" i="18" a="1"/>
  <c r="N57" i="18" a="1"/>
  <c r="N57" i="18" s="1"/>
  <c r="L57" i="18" a="1"/>
  <c r="L57" i="18" s="1"/>
  <c r="J57" i="18" a="1"/>
  <c r="J57" i="18" s="1"/>
  <c r="H57" i="18" a="1"/>
  <c r="H57" i="18" s="1"/>
  <c r="F57" i="18" a="1"/>
  <c r="F57" i="18" s="1"/>
  <c r="D57" i="18"/>
  <c r="D57" i="18" a="1"/>
  <c r="B57" i="18" a="1"/>
  <c r="B57" i="18" s="1"/>
  <c r="AV56" i="18"/>
  <c r="AT56" i="18"/>
  <c r="AR56" i="18"/>
  <c r="AP56" i="18"/>
  <c r="AN56" i="18"/>
  <c r="AL56" i="18"/>
  <c r="AJ56" i="18"/>
  <c r="AH56" i="18"/>
  <c r="AF56" i="18"/>
  <c r="AD56" i="18"/>
  <c r="AB56" i="18"/>
  <c r="Z56" i="18"/>
  <c r="X56" i="18"/>
  <c r="V56" i="18"/>
  <c r="T56" i="18"/>
  <c r="R56" i="18"/>
  <c r="P56" i="18"/>
  <c r="N56" i="18"/>
  <c r="L56" i="18"/>
  <c r="J56" i="18"/>
  <c r="H56" i="18"/>
  <c r="F56" i="18"/>
  <c r="D56" i="18"/>
  <c r="B56" i="18"/>
  <c r="AV55" i="18"/>
  <c r="AT55" i="18"/>
  <c r="AR55" i="18"/>
  <c r="AP55" i="18"/>
  <c r="AP80" i="18" s="1"/>
  <c r="AN55" i="18"/>
  <c r="AN80" i="18" s="1"/>
  <c r="AL55" i="18"/>
  <c r="AL80" i="18" s="1"/>
  <c r="AJ55" i="18"/>
  <c r="AH55" i="18"/>
  <c r="AF55" i="18"/>
  <c r="AF80" i="18" s="1"/>
  <c r="AD55" i="18"/>
  <c r="AD80" i="18" s="1"/>
  <c r="AB55" i="18"/>
  <c r="AB80" i="18" s="1"/>
  <c r="Z55" i="18"/>
  <c r="Z80" i="18" s="1"/>
  <c r="X55" i="18"/>
  <c r="V55" i="18"/>
  <c r="V80" i="18" s="1"/>
  <c r="T55" i="18"/>
  <c r="R55" i="18"/>
  <c r="P55" i="18"/>
  <c r="N55" i="18"/>
  <c r="L55" i="18"/>
  <c r="J55" i="18"/>
  <c r="J80" i="18" s="1"/>
  <c r="H55" i="18"/>
  <c r="H80" i="18" s="1"/>
  <c r="F55" i="18"/>
  <c r="F80" i="18" s="1"/>
  <c r="D55" i="18"/>
  <c r="B55" i="18"/>
  <c r="AV53" i="18" a="1"/>
  <c r="AT53" i="18" a="1"/>
  <c r="AR53" i="18" a="1"/>
  <c r="AP53" i="18" a="1"/>
  <c r="AN53" i="18" a="1"/>
  <c r="AL53" i="18" a="1"/>
  <c r="AJ53" i="18" a="1"/>
  <c r="AH53" i="18" a="1"/>
  <c r="AF53" i="18" a="1"/>
  <c r="AD53" i="18" a="1"/>
  <c r="AB53" i="18" a="1"/>
  <c r="Z53" i="18" a="1"/>
  <c r="X53" i="18" a="1"/>
  <c r="V53" i="18" a="1"/>
  <c r="T53" i="18" a="1"/>
  <c r="R53" i="18" a="1"/>
  <c r="P53" i="18" a="1"/>
  <c r="N53" i="18" a="1"/>
  <c r="L53" i="18" a="1"/>
  <c r="J53" i="18" a="1"/>
  <c r="H53" i="18" a="1"/>
  <c r="F53" i="18" a="1"/>
  <c r="D53" i="18" a="1"/>
  <c r="B53" i="18" a="1"/>
  <c r="AV52" i="18" a="1"/>
  <c r="AT52" i="18" a="1"/>
  <c r="AR52" i="18" a="1"/>
  <c r="AP52" i="18" a="1"/>
  <c r="AN52" i="18" a="1"/>
  <c r="AL52" i="18" a="1"/>
  <c r="AJ52" i="18" a="1"/>
  <c r="AH52" i="18" a="1"/>
  <c r="AF52" i="18" a="1"/>
  <c r="AD52" i="18" a="1"/>
  <c r="AB52" i="18" a="1"/>
  <c r="Z52" i="18" a="1"/>
  <c r="X52" i="18" a="1"/>
  <c r="V52" i="18" a="1"/>
  <c r="T52" i="18" a="1"/>
  <c r="R52" i="18" a="1"/>
  <c r="P52" i="18" a="1"/>
  <c r="N52" i="18" a="1"/>
  <c r="L52" i="18" a="1"/>
  <c r="J52" i="18" a="1"/>
  <c r="H52" i="18" a="1"/>
  <c r="F52" i="18" a="1"/>
  <c r="D52" i="18" a="1"/>
  <c r="B52" i="18" a="1"/>
  <c r="AV51" i="18"/>
  <c r="AV81" i="18" s="1"/>
  <c r="AT51" i="18"/>
  <c r="AT81" i="18" s="1"/>
  <c r="AR51" i="18"/>
  <c r="AR81" i="18" s="1"/>
  <c r="AP51" i="18"/>
  <c r="AP81" i="18" s="1"/>
  <c r="AN51" i="18"/>
  <c r="AL51" i="18"/>
  <c r="AL81" i="18" s="1"/>
  <c r="AJ51" i="18"/>
  <c r="AH51" i="18"/>
  <c r="AF51" i="18"/>
  <c r="AD51" i="18"/>
  <c r="AB51" i="18"/>
  <c r="Z51" i="18"/>
  <c r="Z81" i="18" s="1"/>
  <c r="X51" i="18"/>
  <c r="X81" i="18" s="1"/>
  <c r="V51" i="18"/>
  <c r="V81" i="18" s="1"/>
  <c r="T51" i="18"/>
  <c r="R51" i="18"/>
  <c r="P51" i="18"/>
  <c r="P81" i="18" s="1"/>
  <c r="N51" i="18"/>
  <c r="N81" i="18" s="1"/>
  <c r="L51" i="18"/>
  <c r="L81" i="18" s="1"/>
  <c r="J51" i="18"/>
  <c r="J81" i="18" s="1"/>
  <c r="H51" i="18"/>
  <c r="F51" i="18"/>
  <c r="F81" i="18" s="1"/>
  <c r="D51" i="18"/>
  <c r="B51" i="18"/>
  <c r="AV49" i="18"/>
  <c r="AT49" i="18"/>
  <c r="AR49" i="18"/>
  <c r="AP49" i="18"/>
  <c r="AN49" i="18"/>
  <c r="AL49" i="18"/>
  <c r="AJ49" i="18"/>
  <c r="AH49" i="18"/>
  <c r="AF49" i="18"/>
  <c r="AD49" i="18"/>
  <c r="AB49" i="18"/>
  <c r="Z49" i="18"/>
  <c r="X49" i="18"/>
  <c r="V49" i="18"/>
  <c r="T49" i="18"/>
  <c r="R49" i="18"/>
  <c r="P49" i="18"/>
  <c r="N49" i="18"/>
  <c r="L49" i="18"/>
  <c r="J49" i="18"/>
  <c r="H49" i="18"/>
  <c r="F49" i="18"/>
  <c r="D49" i="18"/>
  <c r="B49" i="18"/>
  <c r="AV48" i="18"/>
  <c r="AT48" i="18"/>
  <c r="AR48" i="18"/>
  <c r="AP48" i="18"/>
  <c r="AN48" i="18"/>
  <c r="AL48" i="18"/>
  <c r="AJ48" i="18"/>
  <c r="AH48" i="18"/>
  <c r="AF48" i="18"/>
  <c r="AD48" i="18"/>
  <c r="AB48" i="18"/>
  <c r="Z48" i="18"/>
  <c r="X48" i="18"/>
  <c r="V48" i="18"/>
  <c r="T48" i="18"/>
  <c r="R48" i="18"/>
  <c r="P48" i="18"/>
  <c r="N48" i="18"/>
  <c r="L48" i="18"/>
  <c r="J48" i="18"/>
  <c r="H48" i="18"/>
  <c r="F48" i="18"/>
  <c r="D48" i="18"/>
  <c r="B48" i="18"/>
  <c r="AV46" i="18"/>
  <c r="AT46" i="18"/>
  <c r="AR46" i="18"/>
  <c r="AP46" i="18"/>
  <c r="AN46" i="18"/>
  <c r="AL46" i="18"/>
  <c r="AJ46" i="18"/>
  <c r="AH46" i="18"/>
  <c r="AF46" i="18"/>
  <c r="AD46" i="18"/>
  <c r="AB46" i="18"/>
  <c r="Z46" i="18"/>
  <c r="X46" i="18"/>
  <c r="V46" i="18"/>
  <c r="T46" i="18"/>
  <c r="R46" i="18"/>
  <c r="P46" i="18"/>
  <c r="N46" i="18"/>
  <c r="L46" i="18"/>
  <c r="J46" i="18"/>
  <c r="H46" i="18"/>
  <c r="F46" i="18"/>
  <c r="D46" i="18"/>
  <c r="B46" i="18"/>
  <c r="AV45" i="18"/>
  <c r="AT45" i="18"/>
  <c r="AR45" i="18"/>
  <c r="AP45" i="18"/>
  <c r="AN45" i="18"/>
  <c r="AL45" i="18"/>
  <c r="AJ45" i="18"/>
  <c r="AH45" i="18"/>
  <c r="AF45" i="18"/>
  <c r="AD45" i="18"/>
  <c r="AB45" i="18"/>
  <c r="Z45" i="18"/>
  <c r="X45" i="18"/>
  <c r="V45" i="18"/>
  <c r="T45" i="18"/>
  <c r="R45" i="18"/>
  <c r="P45" i="18"/>
  <c r="N45" i="18"/>
  <c r="L45" i="18"/>
  <c r="J45" i="18"/>
  <c r="H45" i="18"/>
  <c r="F45" i="18"/>
  <c r="D45" i="18"/>
  <c r="B45" i="18"/>
  <c r="AV44" i="18"/>
  <c r="AT44" i="18"/>
  <c r="AR44" i="18"/>
  <c r="AP44" i="18"/>
  <c r="AN44" i="18"/>
  <c r="AL44" i="18"/>
  <c r="AJ44" i="18"/>
  <c r="AH44" i="18"/>
  <c r="AF44" i="18"/>
  <c r="AD44" i="18"/>
  <c r="AB44" i="18"/>
  <c r="Z44" i="18"/>
  <c r="X44" i="18"/>
  <c r="V44" i="18"/>
  <c r="T44" i="18"/>
  <c r="R44" i="18"/>
  <c r="P44" i="18"/>
  <c r="N44" i="18"/>
  <c r="L44" i="18"/>
  <c r="J44" i="18"/>
  <c r="H44" i="18"/>
  <c r="F44" i="18"/>
  <c r="D44" i="18"/>
  <c r="B44" i="18"/>
  <c r="AV43" i="18"/>
  <c r="AV43" i="18" a="1"/>
  <c r="AT43" i="18" a="1"/>
  <c r="AT43" i="18" s="1"/>
  <c r="AR43" i="18" a="1"/>
  <c r="AR43" i="18" s="1"/>
  <c r="AP43" i="18" a="1"/>
  <c r="AP43" i="18" s="1"/>
  <c r="AN43" i="18" a="1"/>
  <c r="AN43" i="18" s="1"/>
  <c r="AL43" i="18" a="1"/>
  <c r="AL43" i="18" s="1"/>
  <c r="AJ43" i="18"/>
  <c r="AJ43" i="18" a="1"/>
  <c r="AH43" i="18" a="1"/>
  <c r="AH43" i="18" s="1"/>
  <c r="AF43" i="18"/>
  <c r="AF43" i="18" a="1"/>
  <c r="AD43" i="18" a="1"/>
  <c r="AD43" i="18" s="1"/>
  <c r="AB43" i="18" a="1"/>
  <c r="AB43" i="18" s="1"/>
  <c r="Z43" i="18" a="1"/>
  <c r="Z43" i="18" s="1"/>
  <c r="X43" i="18" a="1"/>
  <c r="X43" i="18" s="1"/>
  <c r="V43" i="18" a="1"/>
  <c r="V43" i="18" s="1"/>
  <c r="T43" i="18"/>
  <c r="T43" i="18" a="1"/>
  <c r="R43" i="18" a="1"/>
  <c r="R43" i="18" s="1"/>
  <c r="P43" i="18"/>
  <c r="P43" i="18" a="1"/>
  <c r="N43" i="18" a="1"/>
  <c r="N43" i="18" s="1"/>
  <c r="L43" i="18" a="1"/>
  <c r="L43" i="18" s="1"/>
  <c r="J43" i="18" a="1"/>
  <c r="J43" i="18" s="1"/>
  <c r="H43" i="18" a="1"/>
  <c r="H43" i="18" s="1"/>
  <c r="F43" i="18" a="1"/>
  <c r="F43" i="18" s="1"/>
  <c r="D43" i="18"/>
  <c r="D43" i="18" a="1"/>
  <c r="B43" i="18"/>
  <c r="AV42" i="18"/>
  <c r="AT42" i="18"/>
  <c r="AR42" i="18"/>
  <c r="AP42" i="18"/>
  <c r="AN42" i="18"/>
  <c r="AL42" i="18"/>
  <c r="AJ42" i="18"/>
  <c r="AH42" i="18"/>
  <c r="AF42" i="18"/>
  <c r="AD42" i="18"/>
  <c r="AB42" i="18"/>
  <c r="Z42" i="18"/>
  <c r="X42" i="18"/>
  <c r="V42" i="18"/>
  <c r="T42" i="18"/>
  <c r="R42" i="18"/>
  <c r="P42" i="18"/>
  <c r="N42" i="18"/>
  <c r="L42" i="18"/>
  <c r="J42" i="18"/>
  <c r="H42" i="18"/>
  <c r="F42" i="18"/>
  <c r="D42" i="18"/>
  <c r="B42" i="18"/>
  <c r="AT81" i="22"/>
  <c r="AN81" i="22"/>
  <c r="AH81" i="22"/>
  <c r="AF81" i="22"/>
  <c r="AD81" i="22"/>
  <c r="AB81" i="22"/>
  <c r="Z81" i="22"/>
  <c r="V81" i="22"/>
  <c r="T81" i="22"/>
  <c r="R81" i="22"/>
  <c r="N81" i="22"/>
  <c r="H81" i="22"/>
  <c r="B81" i="22"/>
  <c r="AV80" i="22"/>
  <c r="AT80" i="22"/>
  <c r="AR80" i="22"/>
  <c r="AL80" i="22"/>
  <c r="AJ80" i="22"/>
  <c r="AH80" i="22"/>
  <c r="AD80" i="22"/>
  <c r="X80" i="22"/>
  <c r="R80" i="22"/>
  <c r="P80" i="22"/>
  <c r="N80" i="22"/>
  <c r="L80" i="22"/>
  <c r="F80" i="22"/>
  <c r="D80" i="22"/>
  <c r="B80" i="22"/>
  <c r="AV79" i="22" a="1"/>
  <c r="AV79" i="22" s="1"/>
  <c r="AT79" i="22"/>
  <c r="AT79" i="22" a="1"/>
  <c r="AR79" i="22"/>
  <c r="AR79" i="22" a="1"/>
  <c r="AP79" i="22" a="1"/>
  <c r="AP79" i="22" s="1"/>
  <c r="AN79" i="22" a="1"/>
  <c r="AN79" i="22" s="1"/>
  <c r="AL79" i="22" a="1"/>
  <c r="AL79" i="22" s="1"/>
  <c r="AJ79" i="22" a="1"/>
  <c r="AJ79" i="22" s="1"/>
  <c r="AH79" i="22" a="1"/>
  <c r="AH79" i="22" s="1"/>
  <c r="AF79" i="22" a="1"/>
  <c r="AF79" i="22" s="1"/>
  <c r="AD79" i="22"/>
  <c r="AD79" i="22" a="1"/>
  <c r="AB79" i="22"/>
  <c r="AB79" i="22" a="1"/>
  <c r="Z79" i="22" a="1"/>
  <c r="Z79" i="22" s="1"/>
  <c r="X79" i="22" a="1"/>
  <c r="X79" i="22" s="1"/>
  <c r="V79" i="22" a="1"/>
  <c r="V79" i="22" s="1"/>
  <c r="T79" i="22" a="1"/>
  <c r="T79" i="22" s="1"/>
  <c r="R79" i="22" a="1"/>
  <c r="R79" i="22" s="1"/>
  <c r="P79" i="22" a="1"/>
  <c r="P79" i="22" s="1"/>
  <c r="N79" i="22"/>
  <c r="N79" i="22" a="1"/>
  <c r="L79" i="22"/>
  <c r="L79" i="22" a="1"/>
  <c r="J79" i="22" a="1"/>
  <c r="J79" i="22" s="1"/>
  <c r="H79" i="22" a="1"/>
  <c r="H79" i="22" s="1"/>
  <c r="F79" i="22" a="1"/>
  <c r="F79" i="22" s="1"/>
  <c r="D79" i="22" a="1"/>
  <c r="D79" i="22" s="1"/>
  <c r="B79" i="22" a="1"/>
  <c r="B79" i="22" s="1"/>
  <c r="AV78" i="22" a="1"/>
  <c r="AV78" i="22" s="1"/>
  <c r="AT78" i="22"/>
  <c r="AT78" i="22" a="1"/>
  <c r="AR78" i="22"/>
  <c r="AR78" i="22" a="1"/>
  <c r="AP78" i="22" a="1"/>
  <c r="AP78" i="22" s="1"/>
  <c r="AN78" i="22" a="1"/>
  <c r="AN78" i="22" s="1"/>
  <c r="AL78" i="22" a="1"/>
  <c r="AL78" i="22" s="1"/>
  <c r="AJ78" i="22" a="1"/>
  <c r="AJ78" i="22" s="1"/>
  <c r="AH78" i="22" a="1"/>
  <c r="AH78" i="22" s="1"/>
  <c r="AF78" i="22" a="1"/>
  <c r="AF78" i="22" s="1"/>
  <c r="AD78" i="22"/>
  <c r="AD78" i="22" a="1"/>
  <c r="AB78" i="22"/>
  <c r="AB78" i="22" a="1"/>
  <c r="Z78" i="22" a="1"/>
  <c r="Z78" i="22" s="1"/>
  <c r="X78" i="22" a="1"/>
  <c r="X78" i="22" s="1"/>
  <c r="V78" i="22" a="1"/>
  <c r="V78" i="22" s="1"/>
  <c r="T78" i="22" a="1"/>
  <c r="T78" i="22" s="1"/>
  <c r="R78" i="22" a="1"/>
  <c r="R78" i="22" s="1"/>
  <c r="P78" i="22" a="1"/>
  <c r="P78" i="22" s="1"/>
  <c r="N78" i="22"/>
  <c r="N78" i="22" a="1"/>
  <c r="L78" i="22"/>
  <c r="L78" i="22" a="1"/>
  <c r="J78" i="22" a="1"/>
  <c r="J78" i="22" s="1"/>
  <c r="H78" i="22" a="1"/>
  <c r="H78" i="22" s="1"/>
  <c r="F78" i="22" a="1"/>
  <c r="F78" i="22" s="1"/>
  <c r="D78" i="22" a="1"/>
  <c r="D78" i="22" s="1"/>
  <c r="B78" i="22" a="1"/>
  <c r="B78" i="22" s="1"/>
  <c r="AV77" i="22" a="1"/>
  <c r="AV77" i="22" s="1"/>
  <c r="AT77" i="22"/>
  <c r="AT77" i="22" a="1"/>
  <c r="AR77" i="22"/>
  <c r="AR77" i="22" a="1"/>
  <c r="AP77" i="22" a="1"/>
  <c r="AP77" i="22" s="1"/>
  <c r="AN77" i="22" a="1"/>
  <c r="AN77" i="22" s="1"/>
  <c r="AL77" i="22" a="1"/>
  <c r="AL77" i="22" s="1"/>
  <c r="AJ77" i="22" a="1"/>
  <c r="AJ77" i="22" s="1"/>
  <c r="AH77" i="22" a="1"/>
  <c r="AH77" i="22" s="1"/>
  <c r="AF77" i="22" a="1"/>
  <c r="AF77" i="22" s="1"/>
  <c r="AD77" i="22"/>
  <c r="AD77" i="22" a="1"/>
  <c r="AB77" i="22"/>
  <c r="AB77" i="22" a="1"/>
  <c r="Z77" i="22" a="1"/>
  <c r="Z77" i="22" s="1"/>
  <c r="X77" i="22" a="1"/>
  <c r="X77" i="22" s="1"/>
  <c r="V77" i="22" a="1"/>
  <c r="V77" i="22" s="1"/>
  <c r="T77" i="22" a="1"/>
  <c r="T77" i="22" s="1"/>
  <c r="R77" i="22" a="1"/>
  <c r="R77" i="22" s="1"/>
  <c r="P77" i="22" a="1"/>
  <c r="P77" i="22" s="1"/>
  <c r="N77" i="22"/>
  <c r="N77" i="22" a="1"/>
  <c r="L77" i="22"/>
  <c r="L77" i="22" a="1"/>
  <c r="J77" i="22" a="1"/>
  <c r="J77" i="22" s="1"/>
  <c r="H77" i="22" a="1"/>
  <c r="H77" i="22" s="1"/>
  <c r="F77" i="22" a="1"/>
  <c r="F77" i="22" s="1"/>
  <c r="D77" i="22" a="1"/>
  <c r="D77" i="22" s="1"/>
  <c r="B77" i="22" a="1"/>
  <c r="B77" i="22" s="1"/>
  <c r="AV76" i="22" a="1"/>
  <c r="AV76" i="22" s="1"/>
  <c r="AT76" i="22"/>
  <c r="AT76" i="22" a="1"/>
  <c r="AR76" i="22"/>
  <c r="AR76" i="22" a="1"/>
  <c r="AP76" i="22" a="1"/>
  <c r="AP76" i="22" s="1"/>
  <c r="AN76" i="22" a="1"/>
  <c r="AN76" i="22" s="1"/>
  <c r="AL76" i="22" a="1"/>
  <c r="AL76" i="22" s="1"/>
  <c r="AJ76" i="22" a="1"/>
  <c r="AJ76" i="22" s="1"/>
  <c r="AH76" i="22" a="1"/>
  <c r="AH76" i="22" s="1"/>
  <c r="AF76" i="22" a="1"/>
  <c r="AF76" i="22" s="1"/>
  <c r="AD76" i="22"/>
  <c r="AD76" i="22" a="1"/>
  <c r="AB76" i="22"/>
  <c r="AB76" i="22" a="1"/>
  <c r="Z76" i="22" a="1"/>
  <c r="Z76" i="22" s="1"/>
  <c r="X76" i="22" a="1"/>
  <c r="X76" i="22" s="1"/>
  <c r="V76" i="22" a="1"/>
  <c r="V76" i="22" s="1"/>
  <c r="T76" i="22" a="1"/>
  <c r="T76" i="22" s="1"/>
  <c r="R76" i="22" a="1"/>
  <c r="R76" i="22" s="1"/>
  <c r="P76" i="22" a="1"/>
  <c r="P76" i="22" s="1"/>
  <c r="N76" i="22"/>
  <c r="N76" i="22" a="1"/>
  <c r="L76" i="22"/>
  <c r="L76" i="22" a="1"/>
  <c r="J76" i="22" a="1"/>
  <c r="J76" i="22" s="1"/>
  <c r="H76" i="22" a="1"/>
  <c r="H76" i="22" s="1"/>
  <c r="F76" i="22" a="1"/>
  <c r="F76" i="22" s="1"/>
  <c r="D76" i="22" a="1"/>
  <c r="D76" i="22" s="1"/>
  <c r="B76" i="22" a="1"/>
  <c r="B76" i="22" s="1"/>
  <c r="AV75" i="22" a="1"/>
  <c r="AV75" i="22" s="1"/>
  <c r="AT75" i="22"/>
  <c r="AT75" i="22" a="1"/>
  <c r="AR75" i="22"/>
  <c r="AR75" i="22" a="1"/>
  <c r="AP75" i="22" a="1"/>
  <c r="AP75" i="22" s="1"/>
  <c r="AN75" i="22" a="1"/>
  <c r="AN75" i="22" s="1"/>
  <c r="AL75" i="22" a="1"/>
  <c r="AL75" i="22" s="1"/>
  <c r="AJ75" i="22" a="1"/>
  <c r="AJ75" i="22" s="1"/>
  <c r="AH75" i="22" a="1"/>
  <c r="AH75" i="22" s="1"/>
  <c r="AF75" i="22" a="1"/>
  <c r="AF75" i="22" s="1"/>
  <c r="AD75" i="22"/>
  <c r="AD75" i="22" a="1"/>
  <c r="AB75" i="22"/>
  <c r="AB75" i="22" a="1"/>
  <c r="Z75" i="22" a="1"/>
  <c r="Z75" i="22" s="1"/>
  <c r="X75" i="22" a="1"/>
  <c r="X75" i="22" s="1"/>
  <c r="V75" i="22" a="1"/>
  <c r="V75" i="22" s="1"/>
  <c r="T75" i="22" a="1"/>
  <c r="T75" i="22" s="1"/>
  <c r="R75" i="22" a="1"/>
  <c r="R75" i="22" s="1"/>
  <c r="P75" i="22" a="1"/>
  <c r="P75" i="22" s="1"/>
  <c r="N75" i="22"/>
  <c r="N75" i="22" a="1"/>
  <c r="L75" i="22"/>
  <c r="L75" i="22" a="1"/>
  <c r="J75" i="22" a="1"/>
  <c r="J75" i="22" s="1"/>
  <c r="H75" i="22" a="1"/>
  <c r="H75" i="22" s="1"/>
  <c r="F75" i="22" a="1"/>
  <c r="F75" i="22" s="1"/>
  <c r="D75" i="22" a="1"/>
  <c r="D75" i="22" s="1"/>
  <c r="B75" i="22" a="1"/>
  <c r="B75" i="22" s="1"/>
  <c r="AV74" i="22" a="1"/>
  <c r="AV74" i="22" s="1"/>
  <c r="AT74" i="22"/>
  <c r="AT74" i="22" a="1"/>
  <c r="AR74" i="22"/>
  <c r="AR74" i="22" a="1"/>
  <c r="AP74" i="22" a="1"/>
  <c r="AP74" i="22" s="1"/>
  <c r="AN74" i="22" a="1"/>
  <c r="AN74" i="22" s="1"/>
  <c r="AL74" i="22" a="1"/>
  <c r="AL74" i="22" s="1"/>
  <c r="AJ74" i="22" a="1"/>
  <c r="AJ74" i="22" s="1"/>
  <c r="AH74" i="22" a="1"/>
  <c r="AH74" i="22" s="1"/>
  <c r="AF74" i="22" a="1"/>
  <c r="AF74" i="22" s="1"/>
  <c r="AD74" i="22"/>
  <c r="AD74" i="22" a="1"/>
  <c r="AB74" i="22"/>
  <c r="AB74" i="22" a="1"/>
  <c r="Z74" i="22" a="1"/>
  <c r="Z74" i="22" s="1"/>
  <c r="X74" i="22" a="1"/>
  <c r="X74" i="22" s="1"/>
  <c r="V74" i="22" a="1"/>
  <c r="V74" i="22" s="1"/>
  <c r="T74" i="22" a="1"/>
  <c r="T74" i="22" s="1"/>
  <c r="R74" i="22" a="1"/>
  <c r="R74" i="22" s="1"/>
  <c r="P74" i="22" a="1"/>
  <c r="P74" i="22" s="1"/>
  <c r="N74" i="22"/>
  <c r="N74" i="22" a="1"/>
  <c r="L74" i="22"/>
  <c r="L74" i="22" a="1"/>
  <c r="J74" i="22" a="1"/>
  <c r="J74" i="22" s="1"/>
  <c r="H74" i="22" a="1"/>
  <c r="H74" i="22" s="1"/>
  <c r="F74" i="22" a="1"/>
  <c r="F74" i="22" s="1"/>
  <c r="D74" i="22" a="1"/>
  <c r="D74" i="22" s="1"/>
  <c r="B74" i="22" a="1"/>
  <c r="B74" i="22" s="1"/>
  <c r="AV73" i="22" a="1"/>
  <c r="AV73" i="22" s="1"/>
  <c r="AT73" i="22"/>
  <c r="AT73" i="22" a="1"/>
  <c r="AR73" i="22"/>
  <c r="AR73" i="22" a="1"/>
  <c r="AP73" i="22" a="1"/>
  <c r="AP73" i="22" s="1"/>
  <c r="AN73" i="22" a="1"/>
  <c r="AN73" i="22" s="1"/>
  <c r="AL73" i="22" a="1"/>
  <c r="AL73" i="22" s="1"/>
  <c r="AJ73" i="22" a="1"/>
  <c r="AJ73" i="22" s="1"/>
  <c r="AH73" i="22" a="1"/>
  <c r="AH73" i="22" s="1"/>
  <c r="AF73" i="22" a="1"/>
  <c r="AF73" i="22" s="1"/>
  <c r="AD73" i="22"/>
  <c r="AD73" i="22" a="1"/>
  <c r="AB73" i="22"/>
  <c r="AB73" i="22" a="1"/>
  <c r="Z73" i="22" a="1"/>
  <c r="Z73" i="22" s="1"/>
  <c r="X73" i="22" a="1"/>
  <c r="X73" i="22" s="1"/>
  <c r="V73" i="22" a="1"/>
  <c r="V73" i="22" s="1"/>
  <c r="T73" i="22" a="1"/>
  <c r="T73" i="22" s="1"/>
  <c r="R73" i="22" a="1"/>
  <c r="R73" i="22" s="1"/>
  <c r="P73" i="22" a="1"/>
  <c r="P73" i="22" s="1"/>
  <c r="N73" i="22"/>
  <c r="N73" i="22" a="1"/>
  <c r="L73" i="22"/>
  <c r="L73" i="22" a="1"/>
  <c r="J73" i="22" a="1"/>
  <c r="J73" i="22" s="1"/>
  <c r="H73" i="22" a="1"/>
  <c r="H73" i="22" s="1"/>
  <c r="F73" i="22" a="1"/>
  <c r="F73" i="22" s="1"/>
  <c r="D73" i="22" a="1"/>
  <c r="D73" i="22" s="1"/>
  <c r="B73" i="22" a="1"/>
  <c r="B73" i="22" s="1"/>
  <c r="AV72" i="22"/>
  <c r="AT72" i="22"/>
  <c r="AR72" i="22"/>
  <c r="AP72" i="22"/>
  <c r="AN72" i="22"/>
  <c r="AL72" i="22"/>
  <c r="AJ72" i="22"/>
  <c r="AH72" i="22"/>
  <c r="AF72" i="22"/>
  <c r="AD72" i="22"/>
  <c r="AB72" i="22"/>
  <c r="Z72" i="22"/>
  <c r="X72" i="22"/>
  <c r="V72" i="22"/>
  <c r="T72" i="22"/>
  <c r="R72" i="22"/>
  <c r="P72" i="22"/>
  <c r="N72" i="22"/>
  <c r="L72" i="22"/>
  <c r="J72" i="22"/>
  <c r="H72" i="22"/>
  <c r="F72" i="22"/>
  <c r="D72" i="22"/>
  <c r="B72" i="22"/>
  <c r="AV71" i="22"/>
  <c r="AT71" i="22"/>
  <c r="AR71" i="22"/>
  <c r="AP71" i="22"/>
  <c r="AN71" i="22"/>
  <c r="AL71" i="22"/>
  <c r="AJ71" i="22"/>
  <c r="AH71" i="22"/>
  <c r="AF71" i="22"/>
  <c r="AD71" i="22"/>
  <c r="AB71" i="22"/>
  <c r="Z71" i="22"/>
  <c r="X71" i="22"/>
  <c r="V71" i="22"/>
  <c r="T71" i="22"/>
  <c r="R71" i="22"/>
  <c r="P71" i="22"/>
  <c r="N71" i="22"/>
  <c r="L71" i="22"/>
  <c r="J71" i="22"/>
  <c r="H71" i="22"/>
  <c r="F71" i="22"/>
  <c r="D71" i="22"/>
  <c r="B71" i="22"/>
  <c r="AV70" i="22"/>
  <c r="AT70" i="22"/>
  <c r="AR70" i="22"/>
  <c r="AP70" i="22"/>
  <c r="AN70" i="22"/>
  <c r="AL70" i="22"/>
  <c r="AJ70" i="22"/>
  <c r="AH70" i="22"/>
  <c r="AF70" i="22"/>
  <c r="AD70" i="22"/>
  <c r="AB70" i="22"/>
  <c r="Z70" i="22"/>
  <c r="X70" i="22"/>
  <c r="V70" i="22"/>
  <c r="T70" i="22"/>
  <c r="R70" i="22"/>
  <c r="P70" i="22"/>
  <c r="N70" i="22"/>
  <c r="L70" i="22"/>
  <c r="J70" i="22"/>
  <c r="H70" i="22"/>
  <c r="F70" i="22"/>
  <c r="D70" i="22"/>
  <c r="B70" i="22"/>
  <c r="AL69" i="22"/>
  <c r="AJ69" i="22"/>
  <c r="L69" i="22"/>
  <c r="J69" i="22"/>
  <c r="F69" i="22"/>
  <c r="D69" i="22"/>
  <c r="B69" i="22"/>
  <c r="V68" i="22"/>
  <c r="T68" i="22"/>
  <c r="R68" i="22"/>
  <c r="AV67" i="22" a="1"/>
  <c r="AV67" i="22" s="1"/>
  <c r="AT67" i="22"/>
  <c r="AT67" i="22" a="1"/>
  <c r="AR67" i="22" a="1"/>
  <c r="AR67" i="22" s="1"/>
  <c r="AP67" i="22" a="1"/>
  <c r="AP67" i="22" s="1"/>
  <c r="AN67" i="22" a="1"/>
  <c r="AN67" i="22" s="1"/>
  <c r="AL67" i="22"/>
  <c r="AL67" i="22" a="1"/>
  <c r="AJ67" i="22"/>
  <c r="AJ67" i="22" a="1"/>
  <c r="AH67" i="22" a="1"/>
  <c r="AH67" i="22" s="1"/>
  <c r="AF67" i="22" a="1"/>
  <c r="AF67" i="22" s="1"/>
  <c r="AD67" i="22" a="1"/>
  <c r="AD67" i="22" s="1"/>
  <c r="AB67" i="22" a="1"/>
  <c r="AB67" i="22" s="1"/>
  <c r="Z67" i="22" a="1"/>
  <c r="Z67" i="22" s="1"/>
  <c r="Z68" i="22" s="1"/>
  <c r="X67" i="22" a="1"/>
  <c r="X67" i="22" s="1"/>
  <c r="V67" i="22"/>
  <c r="V67" i="22" a="1"/>
  <c r="T67" i="22"/>
  <c r="T67" i="22" a="1"/>
  <c r="R67" i="22" a="1"/>
  <c r="R67" i="22" s="1"/>
  <c r="P67" i="22" a="1"/>
  <c r="P67" i="22" s="1"/>
  <c r="N67" i="22" a="1"/>
  <c r="N67" i="22" s="1"/>
  <c r="L67" i="22" a="1"/>
  <c r="L67" i="22" s="1"/>
  <c r="J67" i="22" a="1"/>
  <c r="J67" i="22" s="1"/>
  <c r="H67" i="22" a="1"/>
  <c r="H67" i="22" s="1"/>
  <c r="F67" i="22"/>
  <c r="F67" i="22" a="1"/>
  <c r="D67" i="22"/>
  <c r="D67" i="22" a="1"/>
  <c r="B67" i="22" a="1"/>
  <c r="B67" i="22" s="1"/>
  <c r="AV66" i="22" a="1"/>
  <c r="AV66" i="22" s="1"/>
  <c r="AV68" i="22" s="1"/>
  <c r="AT66" i="22" a="1"/>
  <c r="AT66" i="22" s="1"/>
  <c r="AT68" i="22" s="1"/>
  <c r="AR66" i="22" a="1"/>
  <c r="AR66" i="22" s="1"/>
  <c r="AR68" i="22" s="1"/>
  <c r="AP66" i="22" a="1"/>
  <c r="AP66" i="22" s="1"/>
  <c r="AP68" i="22" s="1"/>
  <c r="AN66" i="22" a="1"/>
  <c r="AN66" i="22" s="1"/>
  <c r="AN68" i="22" s="1"/>
  <c r="AL66" i="22"/>
  <c r="AL68" i="22" s="1"/>
  <c r="AL66" i="22" a="1"/>
  <c r="AJ66" i="22"/>
  <c r="AJ68" i="22" s="1"/>
  <c r="AJ66" i="22" a="1"/>
  <c r="AH66" i="22" a="1"/>
  <c r="AH66" i="22" s="1"/>
  <c r="AF66" i="22" a="1"/>
  <c r="AF66" i="22" s="1"/>
  <c r="AF68" i="22" s="1"/>
  <c r="AD66" i="22" a="1"/>
  <c r="AD66" i="22" s="1"/>
  <c r="AD68" i="22" s="1"/>
  <c r="AB66" i="22" a="1"/>
  <c r="AB66" i="22" s="1"/>
  <c r="AB68" i="22" s="1"/>
  <c r="Z66" i="22" a="1"/>
  <c r="Z66" i="22" s="1"/>
  <c r="X66" i="22" a="1"/>
  <c r="X66" i="22" s="1"/>
  <c r="X68" i="22" s="1"/>
  <c r="V66" i="22"/>
  <c r="V66" i="22" a="1"/>
  <c r="T66" i="22"/>
  <c r="T66" i="22" a="1"/>
  <c r="R66" i="22" a="1"/>
  <c r="R66" i="22" s="1"/>
  <c r="P66" i="22" a="1"/>
  <c r="P66" i="22" s="1"/>
  <c r="P68" i="22" s="1"/>
  <c r="N66" i="22" a="1"/>
  <c r="N66" i="22" s="1"/>
  <c r="N68" i="22" s="1"/>
  <c r="L66" i="22" a="1"/>
  <c r="L66" i="22" s="1"/>
  <c r="L68" i="22" s="1"/>
  <c r="J66" i="22" a="1"/>
  <c r="J66" i="22" s="1"/>
  <c r="H66" i="22" a="1"/>
  <c r="H66" i="22" s="1"/>
  <c r="H68" i="22" s="1"/>
  <c r="F66" i="22"/>
  <c r="F68" i="22" s="1"/>
  <c r="F66" i="22" a="1"/>
  <c r="D66" i="22"/>
  <c r="D68" i="22" s="1"/>
  <c r="D66" i="22" a="1"/>
  <c r="B66" i="22" a="1"/>
  <c r="B66" i="22" s="1"/>
  <c r="B68" i="22" s="1"/>
  <c r="AV65" i="22" a="1"/>
  <c r="AV65" i="22" s="1"/>
  <c r="AV69" i="22" s="1"/>
  <c r="AT65" i="22" a="1"/>
  <c r="AT65" i="22" s="1"/>
  <c r="AT69" i="22" s="1"/>
  <c r="AR65" i="22" a="1"/>
  <c r="AR65" i="22" s="1"/>
  <c r="AR69" i="22" s="1"/>
  <c r="AP65" i="22" a="1"/>
  <c r="AP65" i="22" s="1"/>
  <c r="AP69" i="22" s="1"/>
  <c r="AN65" i="22" a="1"/>
  <c r="AN65" i="22" s="1"/>
  <c r="AN69" i="22" s="1"/>
  <c r="AL65" i="22"/>
  <c r="AL65" i="22" a="1"/>
  <c r="AJ65" i="22"/>
  <c r="AJ65" i="22" a="1"/>
  <c r="AH65" i="22" a="1"/>
  <c r="AH65" i="22" s="1"/>
  <c r="AH69" i="22" s="1"/>
  <c r="AF65" i="22" a="1"/>
  <c r="AF65" i="22" s="1"/>
  <c r="AF69" i="22" s="1"/>
  <c r="AD65" i="22"/>
  <c r="AD69" i="22" s="1"/>
  <c r="AD65" i="22" a="1"/>
  <c r="AB65" i="22" a="1"/>
  <c r="AB65" i="22" s="1"/>
  <c r="AB69" i="22" s="1"/>
  <c r="Z65" i="22" a="1"/>
  <c r="Z65" i="22" s="1"/>
  <c r="Z69" i="22" s="1"/>
  <c r="X65" i="22" a="1"/>
  <c r="X65" i="22" s="1"/>
  <c r="X69" i="22" s="1"/>
  <c r="V65" i="22"/>
  <c r="V69" i="22" s="1"/>
  <c r="V65" i="22" a="1"/>
  <c r="T65" i="22"/>
  <c r="T69" i="22" s="1"/>
  <c r="T65" i="22" a="1"/>
  <c r="R65" i="22" a="1"/>
  <c r="R65" i="22" s="1"/>
  <c r="R69" i="22" s="1"/>
  <c r="P65" i="22" a="1"/>
  <c r="P65" i="22" s="1"/>
  <c r="P69" i="22" s="1"/>
  <c r="N65" i="22" a="1"/>
  <c r="N65" i="22" s="1"/>
  <c r="N69" i="22" s="1"/>
  <c r="L65" i="22" a="1"/>
  <c r="L65" i="22" s="1"/>
  <c r="J65" i="22" a="1"/>
  <c r="J65" i="22" s="1"/>
  <c r="H65" i="22" a="1"/>
  <c r="H65" i="22" s="1"/>
  <c r="H69" i="22" s="1"/>
  <c r="F65" i="22"/>
  <c r="F65" i="22" a="1"/>
  <c r="D65" i="22"/>
  <c r="D65" i="22" a="1"/>
  <c r="B65" i="22"/>
  <c r="AV62" i="22"/>
  <c r="AT62" i="22"/>
  <c r="AR62" i="22"/>
  <c r="AP62" i="22"/>
  <c r="AN62" i="22"/>
  <c r="AL62" i="22"/>
  <c r="AJ62" i="22"/>
  <c r="AH62" i="22"/>
  <c r="AF62" i="22"/>
  <c r="AD62" i="22"/>
  <c r="AB62" i="22"/>
  <c r="Z62" i="22"/>
  <c r="X62" i="22"/>
  <c r="V62" i="22"/>
  <c r="T62" i="22"/>
  <c r="R62" i="22"/>
  <c r="P62" i="22"/>
  <c r="N62" i="22"/>
  <c r="L62" i="22"/>
  <c r="J62" i="22"/>
  <c r="H62" i="22"/>
  <c r="F62" i="22"/>
  <c r="D62" i="22"/>
  <c r="B62" i="22"/>
  <c r="AV60" i="22"/>
  <c r="AT60" i="22"/>
  <c r="AR60" i="22"/>
  <c r="AP60" i="22"/>
  <c r="AN60" i="22"/>
  <c r="AL60" i="22"/>
  <c r="AJ60" i="22"/>
  <c r="AH60" i="22"/>
  <c r="AF60" i="22"/>
  <c r="AD60" i="22"/>
  <c r="AB60" i="22"/>
  <c r="Z60" i="22"/>
  <c r="X60" i="22"/>
  <c r="V60" i="22"/>
  <c r="T60" i="22"/>
  <c r="R60" i="22"/>
  <c r="P60" i="22"/>
  <c r="N60" i="22"/>
  <c r="L60" i="22"/>
  <c r="J60" i="22"/>
  <c r="H60" i="22"/>
  <c r="F60" i="22"/>
  <c r="D60" i="22"/>
  <c r="B60" i="22"/>
  <c r="AV59" i="22"/>
  <c r="AT59" i="22"/>
  <c r="AR59" i="22"/>
  <c r="AP59" i="22"/>
  <c r="AN59" i="22"/>
  <c r="AL59" i="22"/>
  <c r="AJ59" i="22"/>
  <c r="AH59" i="22"/>
  <c r="AF59" i="22"/>
  <c r="AD59" i="22"/>
  <c r="AB59" i="22"/>
  <c r="Z59" i="22"/>
  <c r="X59" i="22"/>
  <c r="V59" i="22"/>
  <c r="T59" i="22"/>
  <c r="R59" i="22"/>
  <c r="P59" i="22"/>
  <c r="N59" i="22"/>
  <c r="L59" i="22"/>
  <c r="J59" i="22"/>
  <c r="H59" i="22"/>
  <c r="F59" i="22"/>
  <c r="D59" i="22"/>
  <c r="B59" i="22"/>
  <c r="AV58" i="22"/>
  <c r="AV58" i="22" a="1"/>
  <c r="AT58" i="22"/>
  <c r="AT58" i="22" a="1"/>
  <c r="AR58" i="22" a="1"/>
  <c r="AR58" i="22" s="1"/>
  <c r="AP58" i="22"/>
  <c r="AP58" i="22" a="1"/>
  <c r="AN58" i="22" a="1"/>
  <c r="AN58" i="22" s="1"/>
  <c r="AL58" i="22" a="1"/>
  <c r="AL58" i="22" s="1"/>
  <c r="AJ58" i="22"/>
  <c r="AJ58" i="22" a="1"/>
  <c r="AH58" i="22" a="1"/>
  <c r="AH58" i="22" s="1"/>
  <c r="AF58" i="22"/>
  <c r="AF58" i="22" a="1"/>
  <c r="AD58" i="22"/>
  <c r="AD58" i="22" a="1"/>
  <c r="AB58" i="22" a="1"/>
  <c r="AB58" i="22" s="1"/>
  <c r="Z58" i="22"/>
  <c r="Z58" i="22" a="1"/>
  <c r="X58" i="22" a="1"/>
  <c r="X58" i="22" s="1"/>
  <c r="V58" i="22" a="1"/>
  <c r="V58" i="22" s="1"/>
  <c r="T58" i="22"/>
  <c r="T58" i="22" a="1"/>
  <c r="R58" i="22" a="1"/>
  <c r="R58" i="22" s="1"/>
  <c r="P58" i="22"/>
  <c r="P58" i="22" a="1"/>
  <c r="N58" i="22"/>
  <c r="N58" i="22" a="1"/>
  <c r="L58" i="22" a="1"/>
  <c r="L58" i="22" s="1"/>
  <c r="J58" i="22"/>
  <c r="J58" i="22" a="1"/>
  <c r="H58" i="22" a="1"/>
  <c r="H58" i="22" s="1"/>
  <c r="F58" i="22" a="1"/>
  <c r="F58" i="22" s="1"/>
  <c r="D58" i="22"/>
  <c r="D58" i="22" a="1"/>
  <c r="B58" i="22" a="1"/>
  <c r="B58" i="22" s="1"/>
  <c r="AV57" i="22"/>
  <c r="AV57" i="22" a="1"/>
  <c r="AT57" i="22"/>
  <c r="AT57" i="22" a="1"/>
  <c r="AR57" i="22" a="1"/>
  <c r="AR57" i="22" s="1"/>
  <c r="AP57" i="22"/>
  <c r="AP57" i="22" a="1"/>
  <c r="AN57" i="22" a="1"/>
  <c r="AN57" i="22" s="1"/>
  <c r="AL57" i="22" a="1"/>
  <c r="AL57" i="22" s="1"/>
  <c r="AJ57" i="22"/>
  <c r="AJ57" i="22" a="1"/>
  <c r="AH57" i="22" a="1"/>
  <c r="AH57" i="22" s="1"/>
  <c r="AF57" i="22"/>
  <c r="AF57" i="22" a="1"/>
  <c r="AD57" i="22"/>
  <c r="AD57" i="22" a="1"/>
  <c r="AB57" i="22" a="1"/>
  <c r="AB57" i="22" s="1"/>
  <c r="Z57" i="22"/>
  <c r="Z57" i="22" a="1"/>
  <c r="X57" i="22" a="1"/>
  <c r="X57" i="22" s="1"/>
  <c r="V57" i="22" a="1"/>
  <c r="V57" i="22" s="1"/>
  <c r="T57" i="22"/>
  <c r="T57" i="22" a="1"/>
  <c r="R57" i="22" a="1"/>
  <c r="R57" i="22" s="1"/>
  <c r="P57" i="22"/>
  <c r="P57" i="22" a="1"/>
  <c r="N57" i="22"/>
  <c r="N57" i="22" a="1"/>
  <c r="L57" i="22" a="1"/>
  <c r="L57" i="22" s="1"/>
  <c r="J57" i="22"/>
  <c r="J57" i="22" a="1"/>
  <c r="H57" i="22" a="1"/>
  <c r="H57" i="22" s="1"/>
  <c r="F57" i="22" a="1"/>
  <c r="F57" i="22" s="1"/>
  <c r="D57" i="22"/>
  <c r="D57" i="22" a="1"/>
  <c r="B57" i="22" a="1"/>
  <c r="B57" i="22" s="1"/>
  <c r="AV56" i="22"/>
  <c r="AT56" i="22"/>
  <c r="AR56" i="22"/>
  <c r="AP56" i="22"/>
  <c r="AN56" i="22"/>
  <c r="AL56" i="22"/>
  <c r="AJ56" i="22"/>
  <c r="AH56" i="22"/>
  <c r="AF56" i="22"/>
  <c r="AD56" i="22"/>
  <c r="AB56" i="22"/>
  <c r="Z56" i="22"/>
  <c r="X56" i="22"/>
  <c r="V56" i="22"/>
  <c r="T56" i="22"/>
  <c r="R56" i="22"/>
  <c r="P56" i="22"/>
  <c r="N56" i="22"/>
  <c r="L56" i="22"/>
  <c r="J56" i="22"/>
  <c r="H56" i="22"/>
  <c r="F56" i="22"/>
  <c r="D56" i="22"/>
  <c r="B56" i="22"/>
  <c r="AV55" i="22"/>
  <c r="AT55" i="22"/>
  <c r="AR55" i="22"/>
  <c r="AP55" i="22"/>
  <c r="AP80" i="22" s="1"/>
  <c r="AN55" i="22"/>
  <c r="AN80" i="22" s="1"/>
  <c r="AL55" i="22"/>
  <c r="AJ55" i="22"/>
  <c r="AH55" i="22"/>
  <c r="AF55" i="22"/>
  <c r="AF80" i="22" s="1"/>
  <c r="AD55" i="22"/>
  <c r="AB55" i="22"/>
  <c r="AB80" i="22" s="1"/>
  <c r="Z55" i="22"/>
  <c r="Z80" i="22" s="1"/>
  <c r="X55" i="22"/>
  <c r="V55" i="22"/>
  <c r="V80" i="22" s="1"/>
  <c r="T55" i="22"/>
  <c r="T80" i="22" s="1"/>
  <c r="R55" i="22"/>
  <c r="P55" i="22"/>
  <c r="N55" i="22"/>
  <c r="L55" i="22"/>
  <c r="J55" i="22"/>
  <c r="J80" i="22" s="1"/>
  <c r="H55" i="22"/>
  <c r="H80" i="22" s="1"/>
  <c r="F55" i="22"/>
  <c r="D55" i="22"/>
  <c r="B55" i="22"/>
  <c r="AV53" i="22" a="1"/>
  <c r="AT53" i="22" a="1"/>
  <c r="AR53" i="22" a="1"/>
  <c r="AP53" i="22" a="1"/>
  <c r="AN53" i="22" a="1"/>
  <c r="AL53" i="22" a="1"/>
  <c r="AJ53" i="22" a="1"/>
  <c r="AH53" i="22" a="1"/>
  <c r="AF53" i="22" a="1"/>
  <c r="AD53" i="22" a="1"/>
  <c r="AB53" i="22" a="1"/>
  <c r="Z53" i="22" a="1"/>
  <c r="X53" i="22" a="1"/>
  <c r="V53" i="22" a="1"/>
  <c r="T53" i="22" a="1"/>
  <c r="R53" i="22" a="1"/>
  <c r="P53" i="22" a="1"/>
  <c r="N53" i="22" a="1"/>
  <c r="L53" i="22" a="1"/>
  <c r="J53" i="22" a="1"/>
  <c r="H53" i="22" a="1"/>
  <c r="F53" i="22" a="1"/>
  <c r="D53" i="22" a="1"/>
  <c r="B53" i="22" a="1"/>
  <c r="AV52" i="22" a="1"/>
  <c r="AT52" i="22" a="1"/>
  <c r="AR52" i="22" a="1"/>
  <c r="AP52" i="22" a="1"/>
  <c r="AN52" i="22" a="1"/>
  <c r="AL52" i="22" a="1"/>
  <c r="AJ52" i="22" a="1"/>
  <c r="AH52" i="22" a="1"/>
  <c r="AF52" i="22" a="1"/>
  <c r="AD52" i="22" a="1"/>
  <c r="AB52" i="22" a="1"/>
  <c r="Z52" i="22" a="1"/>
  <c r="X52" i="22" a="1"/>
  <c r="V52" i="22" a="1"/>
  <c r="T52" i="22" a="1"/>
  <c r="R52" i="22" a="1"/>
  <c r="P52" i="22" a="1"/>
  <c r="N52" i="22" a="1"/>
  <c r="L52" i="22" a="1"/>
  <c r="J52" i="22" a="1"/>
  <c r="H52" i="22" a="1"/>
  <c r="F52" i="22" a="1"/>
  <c r="D52" i="22" a="1"/>
  <c r="B52" i="22" a="1"/>
  <c r="AV51" i="22"/>
  <c r="AV81" i="22" s="1"/>
  <c r="AT51" i="22"/>
  <c r="AR51" i="22"/>
  <c r="AR81" i="22" s="1"/>
  <c r="AP51" i="22"/>
  <c r="AP81" i="22" s="1"/>
  <c r="AN51" i="22"/>
  <c r="AL51" i="22"/>
  <c r="AL81" i="22" s="1"/>
  <c r="AJ51" i="22"/>
  <c r="AJ81" i="22" s="1"/>
  <c r="AH51" i="22"/>
  <c r="AF51" i="22"/>
  <c r="AD51" i="22"/>
  <c r="AB51" i="22"/>
  <c r="Z51" i="22"/>
  <c r="X51" i="22"/>
  <c r="X81" i="22" s="1"/>
  <c r="V51" i="22"/>
  <c r="T51" i="22"/>
  <c r="R51" i="22"/>
  <c r="P51" i="22"/>
  <c r="P81" i="22" s="1"/>
  <c r="N51" i="22"/>
  <c r="L51" i="22"/>
  <c r="L81" i="22" s="1"/>
  <c r="J51" i="22"/>
  <c r="J81" i="22" s="1"/>
  <c r="H51" i="22"/>
  <c r="F51" i="22"/>
  <c r="F81" i="22" s="1"/>
  <c r="D51" i="22"/>
  <c r="D81" i="22" s="1"/>
  <c r="B51" i="22"/>
  <c r="AV49" i="22"/>
  <c r="AT49" i="22"/>
  <c r="AR49" i="22"/>
  <c r="AP49" i="22"/>
  <c r="AN49" i="22"/>
  <c r="AL49" i="22"/>
  <c r="AJ49" i="22"/>
  <c r="AH49" i="22"/>
  <c r="AF49" i="22"/>
  <c r="AD49" i="22"/>
  <c r="AB49" i="22"/>
  <c r="Z49" i="22"/>
  <c r="X49" i="22"/>
  <c r="V49" i="22"/>
  <c r="T49" i="22"/>
  <c r="R49" i="22"/>
  <c r="P49" i="22"/>
  <c r="N49" i="22"/>
  <c r="L49" i="22"/>
  <c r="J49" i="22"/>
  <c r="H49" i="22"/>
  <c r="F49" i="22"/>
  <c r="D49" i="22"/>
  <c r="B49" i="22"/>
  <c r="AV48" i="22"/>
  <c r="AT48" i="22"/>
  <c r="AR48" i="22"/>
  <c r="AP48" i="22"/>
  <c r="AN48" i="22"/>
  <c r="AL48" i="22"/>
  <c r="AJ48" i="22"/>
  <c r="AH48" i="22"/>
  <c r="AF48" i="22"/>
  <c r="AD48" i="22"/>
  <c r="AB48" i="22"/>
  <c r="Z48" i="22"/>
  <c r="X48" i="22"/>
  <c r="V48" i="22"/>
  <c r="T48" i="22"/>
  <c r="R48" i="22"/>
  <c r="P48" i="22"/>
  <c r="N48" i="22"/>
  <c r="L48" i="22"/>
  <c r="J48" i="22"/>
  <c r="H48" i="22"/>
  <c r="F48" i="22"/>
  <c r="D48" i="22"/>
  <c r="B48" i="22"/>
  <c r="AV46" i="22"/>
  <c r="AT46" i="22"/>
  <c r="AR46" i="22"/>
  <c r="AP46" i="22"/>
  <c r="AN46" i="22"/>
  <c r="AL46" i="22"/>
  <c r="AJ46" i="22"/>
  <c r="AH46" i="22"/>
  <c r="AF46" i="22"/>
  <c r="AD46" i="22"/>
  <c r="AB46" i="22"/>
  <c r="Z46" i="22"/>
  <c r="X46" i="22"/>
  <c r="V46" i="22"/>
  <c r="T46" i="22"/>
  <c r="R46" i="22"/>
  <c r="P46" i="22"/>
  <c r="N46" i="22"/>
  <c r="L46" i="22"/>
  <c r="J46" i="22"/>
  <c r="H46" i="22"/>
  <c r="F46" i="22"/>
  <c r="D46" i="22"/>
  <c r="B46" i="22"/>
  <c r="AV45" i="22"/>
  <c r="AT45" i="22"/>
  <c r="AR45" i="22"/>
  <c r="AP45" i="22"/>
  <c r="AN45" i="22"/>
  <c r="AL45" i="22"/>
  <c r="AJ45" i="22"/>
  <c r="AH45" i="22"/>
  <c r="AF45" i="22"/>
  <c r="AD45" i="22"/>
  <c r="AB45" i="22"/>
  <c r="Z45" i="22"/>
  <c r="X45" i="22"/>
  <c r="V45" i="22"/>
  <c r="T45" i="22"/>
  <c r="R45" i="22"/>
  <c r="P45" i="22"/>
  <c r="N45" i="22"/>
  <c r="L45" i="22"/>
  <c r="J45" i="22"/>
  <c r="H45" i="22"/>
  <c r="F45" i="22"/>
  <c r="D45" i="22"/>
  <c r="B45" i="22"/>
  <c r="AV44" i="22"/>
  <c r="AT44" i="22"/>
  <c r="AR44" i="22"/>
  <c r="AP44" i="22"/>
  <c r="AN44" i="22"/>
  <c r="AL44" i="22"/>
  <c r="AJ44" i="22"/>
  <c r="AH44" i="22"/>
  <c r="AF44" i="22"/>
  <c r="AD44" i="22"/>
  <c r="AB44" i="22"/>
  <c r="Z44" i="22"/>
  <c r="X44" i="22"/>
  <c r="V44" i="22"/>
  <c r="T44" i="22"/>
  <c r="R44" i="22"/>
  <c r="P44" i="22"/>
  <c r="N44" i="22"/>
  <c r="L44" i="22"/>
  <c r="J44" i="22"/>
  <c r="H44" i="22"/>
  <c r="F44" i="22"/>
  <c r="D44" i="22"/>
  <c r="B44" i="22"/>
  <c r="AV43" i="22"/>
  <c r="AV43" i="22" a="1"/>
  <c r="AT43" i="22" a="1"/>
  <c r="AT43" i="22" s="1"/>
  <c r="AR43" i="22" a="1"/>
  <c r="AR43" i="22" s="1"/>
  <c r="AP43" i="22"/>
  <c r="AP43" i="22" a="1"/>
  <c r="AN43" i="22" a="1"/>
  <c r="AN43" i="22" s="1"/>
  <c r="AL43" i="22" a="1"/>
  <c r="AL43" i="22" s="1"/>
  <c r="AJ43" i="22"/>
  <c r="AJ43" i="22" a="1"/>
  <c r="AH43" i="22" a="1"/>
  <c r="AH43" i="22" s="1"/>
  <c r="AF43" i="22"/>
  <c r="AF43" i="22" a="1"/>
  <c r="AD43" i="22" a="1"/>
  <c r="AD43" i="22" s="1"/>
  <c r="AB43" i="22" a="1"/>
  <c r="AB43" i="22" s="1"/>
  <c r="Z43" i="22"/>
  <c r="Z43" i="22" a="1"/>
  <c r="X43" i="22" a="1"/>
  <c r="X43" i="22" s="1"/>
  <c r="V43" i="22" a="1"/>
  <c r="V43" i="22" s="1"/>
  <c r="T43" i="22"/>
  <c r="T43" i="22" a="1"/>
  <c r="R43" i="22" a="1"/>
  <c r="R43" i="22" s="1"/>
  <c r="P43" i="22"/>
  <c r="P43" i="22" a="1"/>
  <c r="N43" i="22" a="1"/>
  <c r="N43" i="22" s="1"/>
  <c r="L43" i="22" a="1"/>
  <c r="L43" i="22" s="1"/>
  <c r="J43" i="22"/>
  <c r="J43" i="22" a="1"/>
  <c r="H43" i="22" a="1"/>
  <c r="H43" i="22" s="1"/>
  <c r="F43" i="22" a="1"/>
  <c r="F43" i="22" s="1"/>
  <c r="D43" i="22"/>
  <c r="D43" i="22" a="1"/>
  <c r="B43" i="22"/>
  <c r="AV42" i="22"/>
  <c r="AT42" i="22"/>
  <c r="AR42" i="22"/>
  <c r="AP42" i="22"/>
  <c r="AN42" i="22"/>
  <c r="AL42" i="22"/>
  <c r="AJ42" i="22"/>
  <c r="AH42" i="22"/>
  <c r="AF42" i="22"/>
  <c r="AD42" i="22"/>
  <c r="AB42" i="22"/>
  <c r="Z42" i="22"/>
  <c r="X42" i="22"/>
  <c r="V42" i="22"/>
  <c r="T42" i="22"/>
  <c r="R42" i="22"/>
  <c r="P42" i="22"/>
  <c r="N42" i="22"/>
  <c r="L42" i="22"/>
  <c r="J42" i="22"/>
  <c r="H42" i="22"/>
  <c r="F42" i="22"/>
  <c r="D42" i="22"/>
  <c r="B42" i="22"/>
  <c r="AR81" i="12"/>
  <c r="AH81" i="12"/>
  <c r="AF81" i="12"/>
  <c r="AD81" i="12"/>
  <c r="AB81" i="12"/>
  <c r="Z81" i="12"/>
  <c r="R81" i="12"/>
  <c r="L81" i="12"/>
  <c r="B81" i="12"/>
  <c r="AV80" i="12"/>
  <c r="AT80" i="12"/>
  <c r="AR80" i="12"/>
  <c r="AP80" i="12"/>
  <c r="AH80" i="12"/>
  <c r="AB80" i="12"/>
  <c r="R80" i="12"/>
  <c r="P80" i="12"/>
  <c r="N80" i="12"/>
  <c r="L80" i="12"/>
  <c r="J80" i="12"/>
  <c r="B80" i="12"/>
  <c r="AV79" i="12"/>
  <c r="AV79" i="12" a="1"/>
  <c r="AT79" i="12"/>
  <c r="AT79" i="12" a="1"/>
  <c r="AR79" i="12" a="1"/>
  <c r="AR79" i="12" s="1"/>
  <c r="AP79" i="12" a="1"/>
  <c r="AP79" i="12" s="1"/>
  <c r="AN79" i="12" a="1"/>
  <c r="AN79" i="12" s="1"/>
  <c r="AL79" i="12" a="1"/>
  <c r="AL79" i="12" s="1"/>
  <c r="AJ79" i="12" a="1"/>
  <c r="AJ79" i="12" s="1"/>
  <c r="AH79" i="12" a="1"/>
  <c r="AH79" i="12" s="1"/>
  <c r="AF79" i="12"/>
  <c r="AF79" i="12" a="1"/>
  <c r="AD79" i="12"/>
  <c r="AD79" i="12" a="1"/>
  <c r="AB79" i="12" a="1"/>
  <c r="AB79" i="12" s="1"/>
  <c r="Z79" i="12" a="1"/>
  <c r="Z79" i="12" s="1"/>
  <c r="X79" i="12" a="1"/>
  <c r="X79" i="12" s="1"/>
  <c r="V79" i="12" a="1"/>
  <c r="V79" i="12" s="1"/>
  <c r="T79" i="12" a="1"/>
  <c r="T79" i="12" s="1"/>
  <c r="R79" i="12" a="1"/>
  <c r="R79" i="12" s="1"/>
  <c r="P79" i="12"/>
  <c r="P79" i="12" a="1"/>
  <c r="N79" i="12"/>
  <c r="N79" i="12" a="1"/>
  <c r="L79" i="12" a="1"/>
  <c r="L79" i="12" s="1"/>
  <c r="J79" i="12" a="1"/>
  <c r="J79" i="12" s="1"/>
  <c r="H79" i="12" a="1"/>
  <c r="H79" i="12" s="1"/>
  <c r="F79" i="12" a="1"/>
  <c r="F79" i="12" s="1"/>
  <c r="D79" i="12" a="1"/>
  <c r="D79" i="12" s="1"/>
  <c r="B79" i="12" a="1"/>
  <c r="B79" i="12" s="1"/>
  <c r="AV78" i="12"/>
  <c r="AV78" i="12" a="1"/>
  <c r="AT78" i="12"/>
  <c r="AT78" i="12" a="1"/>
  <c r="AR78" i="12" a="1"/>
  <c r="AR78" i="12" s="1"/>
  <c r="AP78" i="12" a="1"/>
  <c r="AP78" i="12" s="1"/>
  <c r="AN78" i="12" a="1"/>
  <c r="AN78" i="12" s="1"/>
  <c r="AL78" i="12" a="1"/>
  <c r="AL78" i="12" s="1"/>
  <c r="AJ78" i="12" a="1"/>
  <c r="AJ78" i="12" s="1"/>
  <c r="AH78" i="12" a="1"/>
  <c r="AH78" i="12" s="1"/>
  <c r="AF78" i="12"/>
  <c r="AF78" i="12" a="1"/>
  <c r="AD78" i="12"/>
  <c r="AD78" i="12" a="1"/>
  <c r="AB78" i="12" a="1"/>
  <c r="AB78" i="12" s="1"/>
  <c r="Z78" i="12" a="1"/>
  <c r="Z78" i="12" s="1"/>
  <c r="X78" i="12" a="1"/>
  <c r="X78" i="12" s="1"/>
  <c r="V78" i="12" a="1"/>
  <c r="V78" i="12" s="1"/>
  <c r="T78" i="12" a="1"/>
  <c r="T78" i="12" s="1"/>
  <c r="R78" i="12" a="1"/>
  <c r="R78" i="12" s="1"/>
  <c r="P78" i="12"/>
  <c r="P78" i="12" a="1"/>
  <c r="N78" i="12"/>
  <c r="N78" i="12" a="1"/>
  <c r="L78" i="12" a="1"/>
  <c r="L78" i="12" s="1"/>
  <c r="J78" i="12" a="1"/>
  <c r="J78" i="12" s="1"/>
  <c r="H78" i="12" a="1"/>
  <c r="H78" i="12" s="1"/>
  <c r="F78" i="12" a="1"/>
  <c r="F78" i="12" s="1"/>
  <c r="D78" i="12" a="1"/>
  <c r="D78" i="12" s="1"/>
  <c r="B78" i="12" a="1"/>
  <c r="B78" i="12" s="1"/>
  <c r="AV77" i="12"/>
  <c r="AV77" i="12" a="1"/>
  <c r="AT77" i="12"/>
  <c r="AT77" i="12" a="1"/>
  <c r="AR77" i="12" a="1"/>
  <c r="AR77" i="12" s="1"/>
  <c r="AP77" i="12" a="1"/>
  <c r="AP77" i="12" s="1"/>
  <c r="AN77" i="12" a="1"/>
  <c r="AN77" i="12" s="1"/>
  <c r="AL77" i="12" a="1"/>
  <c r="AL77" i="12" s="1"/>
  <c r="AJ77" i="12" a="1"/>
  <c r="AJ77" i="12" s="1"/>
  <c r="AH77" i="12" a="1"/>
  <c r="AH77" i="12" s="1"/>
  <c r="AF77" i="12"/>
  <c r="AF77" i="12" a="1"/>
  <c r="AD77" i="12"/>
  <c r="AD77" i="12" a="1"/>
  <c r="AB77" i="12" a="1"/>
  <c r="AB77" i="12" s="1"/>
  <c r="Z77" i="12" a="1"/>
  <c r="Z77" i="12" s="1"/>
  <c r="X77" i="12" a="1"/>
  <c r="X77" i="12" s="1"/>
  <c r="V77" i="12" a="1"/>
  <c r="V77" i="12" s="1"/>
  <c r="T77" i="12" a="1"/>
  <c r="T77" i="12" s="1"/>
  <c r="R77" i="12" a="1"/>
  <c r="R77" i="12" s="1"/>
  <c r="P77" i="12"/>
  <c r="P77" i="12" a="1"/>
  <c r="N77" i="12"/>
  <c r="N77" i="12" a="1"/>
  <c r="L77" i="12" a="1"/>
  <c r="L77" i="12" s="1"/>
  <c r="J77" i="12" a="1"/>
  <c r="J77" i="12" s="1"/>
  <c r="H77" i="12" a="1"/>
  <c r="H77" i="12" s="1"/>
  <c r="F77" i="12" a="1"/>
  <c r="F77" i="12" s="1"/>
  <c r="D77" i="12" a="1"/>
  <c r="D77" i="12" s="1"/>
  <c r="B77" i="12" a="1"/>
  <c r="B77" i="12" s="1"/>
  <c r="AV76" i="12"/>
  <c r="AV76" i="12" a="1"/>
  <c r="AT76" i="12"/>
  <c r="AT76" i="12" a="1"/>
  <c r="AR76" i="12" a="1"/>
  <c r="AR76" i="12" s="1"/>
  <c r="AP76" i="12" a="1"/>
  <c r="AP76" i="12" s="1"/>
  <c r="AN76" i="12" a="1"/>
  <c r="AN76" i="12" s="1"/>
  <c r="AL76" i="12" a="1"/>
  <c r="AL76" i="12" s="1"/>
  <c r="AJ76" i="12" a="1"/>
  <c r="AJ76" i="12" s="1"/>
  <c r="AH76" i="12" a="1"/>
  <c r="AH76" i="12" s="1"/>
  <c r="AF76" i="12"/>
  <c r="AF76" i="12" a="1"/>
  <c r="AD76" i="12"/>
  <c r="AD76" i="12" a="1"/>
  <c r="AB76" i="12" a="1"/>
  <c r="AB76" i="12" s="1"/>
  <c r="Z76" i="12" a="1"/>
  <c r="Z76" i="12" s="1"/>
  <c r="X76" i="12" a="1"/>
  <c r="X76" i="12" s="1"/>
  <c r="V76" i="12" a="1"/>
  <c r="V76" i="12" s="1"/>
  <c r="T76" i="12" a="1"/>
  <c r="T76" i="12" s="1"/>
  <c r="R76" i="12" a="1"/>
  <c r="R76" i="12" s="1"/>
  <c r="P76" i="12"/>
  <c r="P76" i="12" a="1"/>
  <c r="N76" i="12"/>
  <c r="N76" i="12" a="1"/>
  <c r="L76" i="12" a="1"/>
  <c r="L76" i="12" s="1"/>
  <c r="J76" i="12" a="1"/>
  <c r="J76" i="12" s="1"/>
  <c r="H76" i="12" a="1"/>
  <c r="H76" i="12" s="1"/>
  <c r="F76" i="12" a="1"/>
  <c r="F76" i="12" s="1"/>
  <c r="D76" i="12" a="1"/>
  <c r="D76" i="12" s="1"/>
  <c r="B76" i="12" a="1"/>
  <c r="B76" i="12" s="1"/>
  <c r="AV75" i="12"/>
  <c r="AV75" i="12" a="1"/>
  <c r="AT75" i="12"/>
  <c r="AT75" i="12" a="1"/>
  <c r="AR75" i="12" a="1"/>
  <c r="AR75" i="12" s="1"/>
  <c r="AP75" i="12" a="1"/>
  <c r="AP75" i="12" s="1"/>
  <c r="AN75" i="12" a="1"/>
  <c r="AN75" i="12" s="1"/>
  <c r="AL75" i="12" a="1"/>
  <c r="AL75" i="12" s="1"/>
  <c r="AJ75" i="12" a="1"/>
  <c r="AJ75" i="12" s="1"/>
  <c r="AH75" i="12" a="1"/>
  <c r="AH75" i="12" s="1"/>
  <c r="AF75" i="12"/>
  <c r="AF75" i="12" a="1"/>
  <c r="AD75" i="12"/>
  <c r="AD75" i="12" a="1"/>
  <c r="AB75" i="12" a="1"/>
  <c r="AB75" i="12" s="1"/>
  <c r="Z75" i="12" a="1"/>
  <c r="Z75" i="12" s="1"/>
  <c r="X75" i="12" a="1"/>
  <c r="X75" i="12" s="1"/>
  <c r="V75" i="12" a="1"/>
  <c r="V75" i="12" s="1"/>
  <c r="T75" i="12" a="1"/>
  <c r="T75" i="12" s="1"/>
  <c r="R75" i="12" a="1"/>
  <c r="R75" i="12" s="1"/>
  <c r="P75" i="12"/>
  <c r="P75" i="12" a="1"/>
  <c r="N75" i="12"/>
  <c r="N75" i="12" a="1"/>
  <c r="L75" i="12" a="1"/>
  <c r="L75" i="12" s="1"/>
  <c r="J75" i="12" a="1"/>
  <c r="J75" i="12" s="1"/>
  <c r="H75" i="12" a="1"/>
  <c r="H75" i="12" s="1"/>
  <c r="F75" i="12" a="1"/>
  <c r="F75" i="12" s="1"/>
  <c r="D75" i="12" a="1"/>
  <c r="D75" i="12" s="1"/>
  <c r="B75" i="12" a="1"/>
  <c r="B75" i="12" s="1"/>
  <c r="AV74" i="12"/>
  <c r="AV74" i="12" a="1"/>
  <c r="AT74" i="12"/>
  <c r="AT74" i="12" a="1"/>
  <c r="AR74" i="12" a="1"/>
  <c r="AR74" i="12" s="1"/>
  <c r="AP74" i="12" a="1"/>
  <c r="AP74" i="12" s="1"/>
  <c r="AN74" i="12" a="1"/>
  <c r="AN74" i="12" s="1"/>
  <c r="AL74" i="12" a="1"/>
  <c r="AL74" i="12" s="1"/>
  <c r="AJ74" i="12" a="1"/>
  <c r="AJ74" i="12" s="1"/>
  <c r="AH74" i="12" a="1"/>
  <c r="AH74" i="12" s="1"/>
  <c r="AF74" i="12"/>
  <c r="AF74" i="12" a="1"/>
  <c r="AD74" i="12"/>
  <c r="AD74" i="12" a="1"/>
  <c r="AB74" i="12" a="1"/>
  <c r="AB74" i="12" s="1"/>
  <c r="Z74" i="12" a="1"/>
  <c r="Z74" i="12" s="1"/>
  <c r="X74" i="12" a="1"/>
  <c r="X74" i="12" s="1"/>
  <c r="V74" i="12" a="1"/>
  <c r="V74" i="12" s="1"/>
  <c r="T74" i="12" a="1"/>
  <c r="T74" i="12" s="1"/>
  <c r="R74" i="12" a="1"/>
  <c r="R74" i="12" s="1"/>
  <c r="P74" i="12"/>
  <c r="P74" i="12" a="1"/>
  <c r="N74" i="12"/>
  <c r="N74" i="12" a="1"/>
  <c r="L74" i="12" a="1"/>
  <c r="L74" i="12" s="1"/>
  <c r="J74" i="12" a="1"/>
  <c r="J74" i="12" s="1"/>
  <c r="H74" i="12" a="1"/>
  <c r="H74" i="12" s="1"/>
  <c r="F74" i="12" a="1"/>
  <c r="F74" i="12" s="1"/>
  <c r="D74" i="12" a="1"/>
  <c r="D74" i="12" s="1"/>
  <c r="B74" i="12" a="1"/>
  <c r="B74" i="12" s="1"/>
  <c r="AV73" i="12"/>
  <c r="AV73" i="12" a="1"/>
  <c r="AT73" i="12"/>
  <c r="AT73" i="12" a="1"/>
  <c r="AR73" i="12" a="1"/>
  <c r="AR73" i="12" s="1"/>
  <c r="AP73" i="12" a="1"/>
  <c r="AP73" i="12" s="1"/>
  <c r="AN73" i="12" a="1"/>
  <c r="AN73" i="12" s="1"/>
  <c r="AL73" i="12" a="1"/>
  <c r="AL73" i="12" s="1"/>
  <c r="AJ73" i="12" a="1"/>
  <c r="AJ73" i="12" s="1"/>
  <c r="AH73" i="12" a="1"/>
  <c r="AH73" i="12" s="1"/>
  <c r="AF73" i="12"/>
  <c r="AF73" i="12" a="1"/>
  <c r="AD73" i="12"/>
  <c r="AD73" i="12" a="1"/>
  <c r="AB73" i="12" a="1"/>
  <c r="AB73" i="12" s="1"/>
  <c r="Z73" i="12" a="1"/>
  <c r="Z73" i="12" s="1"/>
  <c r="X73" i="12" a="1"/>
  <c r="X73" i="12" s="1"/>
  <c r="V73" i="12" a="1"/>
  <c r="V73" i="12" s="1"/>
  <c r="T73" i="12" a="1"/>
  <c r="T73" i="12" s="1"/>
  <c r="R73" i="12" a="1"/>
  <c r="R73" i="12" s="1"/>
  <c r="P73" i="12"/>
  <c r="P73" i="12" a="1"/>
  <c r="N73" i="12"/>
  <c r="N73" i="12" a="1"/>
  <c r="L73" i="12" a="1"/>
  <c r="L73" i="12" s="1"/>
  <c r="J73" i="12" a="1"/>
  <c r="J73" i="12" s="1"/>
  <c r="H73" i="12" a="1"/>
  <c r="H73" i="12" s="1"/>
  <c r="F73" i="12" a="1"/>
  <c r="F73" i="12" s="1"/>
  <c r="D73" i="12" a="1"/>
  <c r="D73" i="12" s="1"/>
  <c r="B73" i="12" a="1"/>
  <c r="B73" i="12" s="1"/>
  <c r="AV72" i="12"/>
  <c r="AT72" i="12"/>
  <c r="AR72" i="12"/>
  <c r="AP72" i="12"/>
  <c r="AN72" i="12"/>
  <c r="AL72" i="12"/>
  <c r="AJ72" i="12"/>
  <c r="AH72" i="12"/>
  <c r="AF72" i="12"/>
  <c r="AD72" i="12"/>
  <c r="AB72" i="12"/>
  <c r="Z72" i="12"/>
  <c r="X72" i="12"/>
  <c r="V72" i="12"/>
  <c r="T72" i="12"/>
  <c r="R72" i="12"/>
  <c r="P72" i="12"/>
  <c r="N72" i="12"/>
  <c r="L72" i="12"/>
  <c r="J72" i="12"/>
  <c r="H72" i="12"/>
  <c r="F72" i="12"/>
  <c r="D72" i="12"/>
  <c r="B72" i="12"/>
  <c r="AV71" i="12"/>
  <c r="AT71" i="12"/>
  <c r="AR71" i="12"/>
  <c r="AP71" i="12"/>
  <c r="AN71" i="12"/>
  <c r="AL71" i="12"/>
  <c r="AJ71" i="12"/>
  <c r="AH71" i="12"/>
  <c r="AF71" i="12"/>
  <c r="AD71" i="12"/>
  <c r="AB71" i="12"/>
  <c r="Z71" i="12"/>
  <c r="X71" i="12"/>
  <c r="V71" i="12"/>
  <c r="T71" i="12"/>
  <c r="R71" i="12"/>
  <c r="P71" i="12"/>
  <c r="N71" i="12"/>
  <c r="L71" i="12"/>
  <c r="J71" i="12"/>
  <c r="H71" i="12"/>
  <c r="F71" i="12"/>
  <c r="D71" i="12"/>
  <c r="B71" i="12"/>
  <c r="AV70" i="12"/>
  <c r="AT70" i="12"/>
  <c r="AR70" i="12"/>
  <c r="AP70" i="12"/>
  <c r="AN70" i="12"/>
  <c r="AL70" i="12"/>
  <c r="AJ70" i="12"/>
  <c r="AH70" i="12"/>
  <c r="AF70" i="12"/>
  <c r="AD70" i="12"/>
  <c r="AB70" i="12"/>
  <c r="Z70" i="12"/>
  <c r="X70" i="12"/>
  <c r="V70" i="12"/>
  <c r="T70" i="12"/>
  <c r="R70" i="12"/>
  <c r="P70" i="12"/>
  <c r="N70" i="12"/>
  <c r="L70" i="12"/>
  <c r="J70" i="12"/>
  <c r="H70" i="12"/>
  <c r="F70" i="12"/>
  <c r="D70" i="12"/>
  <c r="B70" i="12"/>
  <c r="B69" i="12"/>
  <c r="AV67" i="12" a="1"/>
  <c r="AV67" i="12" s="1"/>
  <c r="AT67" i="12" a="1"/>
  <c r="AT67" i="12" s="1"/>
  <c r="AR67" i="12" a="1"/>
  <c r="AR67" i="12" s="1"/>
  <c r="AP67" i="12" a="1"/>
  <c r="AP67" i="12" s="1"/>
  <c r="AN67" i="12"/>
  <c r="AN67" i="12" a="1"/>
  <c r="AL67" i="12"/>
  <c r="AL67" i="12" a="1"/>
  <c r="AJ67" i="12" a="1"/>
  <c r="AJ67" i="12" s="1"/>
  <c r="AH67" i="12" a="1"/>
  <c r="AH67" i="12" s="1"/>
  <c r="AF67" i="12" a="1"/>
  <c r="AF67" i="12" s="1"/>
  <c r="AD67" i="12" a="1"/>
  <c r="AD67" i="12" s="1"/>
  <c r="AB67" i="12" a="1"/>
  <c r="AB67" i="12" s="1"/>
  <c r="Z67" i="12" a="1"/>
  <c r="Z67" i="12" s="1"/>
  <c r="X67" i="12"/>
  <c r="X67" i="12" a="1"/>
  <c r="V67" i="12"/>
  <c r="V67" i="12" a="1"/>
  <c r="T67" i="12" a="1"/>
  <c r="T67" i="12" s="1"/>
  <c r="R67" i="12" a="1"/>
  <c r="R67" i="12" s="1"/>
  <c r="P67" i="12" a="1"/>
  <c r="P67" i="12" s="1"/>
  <c r="N67" i="12" a="1"/>
  <c r="N67" i="12" s="1"/>
  <c r="L67" i="12" a="1"/>
  <c r="L67" i="12" s="1"/>
  <c r="J67" i="12" a="1"/>
  <c r="J67" i="12" s="1"/>
  <c r="H67" i="12"/>
  <c r="H67" i="12" a="1"/>
  <c r="F67" i="12"/>
  <c r="F67" i="12" a="1"/>
  <c r="D67" i="12" a="1"/>
  <c r="D67" i="12" s="1"/>
  <c r="B67" i="12" a="1"/>
  <c r="B67" i="12" s="1"/>
  <c r="AV66" i="12" a="1"/>
  <c r="AV66" i="12" s="1"/>
  <c r="AV68" i="12" s="1"/>
  <c r="AT66" i="12" a="1"/>
  <c r="AT66" i="12" s="1"/>
  <c r="AT68" i="12" s="1"/>
  <c r="AR66" i="12" a="1"/>
  <c r="AR66" i="12" s="1"/>
  <c r="AR68" i="12" s="1"/>
  <c r="AP66" i="12" a="1"/>
  <c r="AP66" i="12" s="1"/>
  <c r="AN66" i="12"/>
  <c r="AN68" i="12" s="1"/>
  <c r="AN66" i="12" a="1"/>
  <c r="AL66" i="12"/>
  <c r="AL68" i="12" s="1"/>
  <c r="AL66" i="12" a="1"/>
  <c r="AJ66" i="12" a="1"/>
  <c r="AJ66" i="12" s="1"/>
  <c r="AH66" i="12" a="1"/>
  <c r="AH66" i="12" s="1"/>
  <c r="AF66" i="12" a="1"/>
  <c r="AF66" i="12" s="1"/>
  <c r="AD66" i="12" a="1"/>
  <c r="AD66" i="12" s="1"/>
  <c r="AB66" i="12" a="1"/>
  <c r="AB66" i="12" s="1"/>
  <c r="AB68" i="12" s="1"/>
  <c r="Z66" i="12" a="1"/>
  <c r="Z66" i="12" s="1"/>
  <c r="Z68" i="12" s="1"/>
  <c r="X66" i="12"/>
  <c r="X68" i="12" s="1"/>
  <c r="X66" i="12" a="1"/>
  <c r="V66" i="12"/>
  <c r="V68" i="12" s="1"/>
  <c r="V66" i="12" a="1"/>
  <c r="T66" i="12" a="1"/>
  <c r="T66" i="12" s="1"/>
  <c r="T68" i="12" s="1"/>
  <c r="R66" i="12" a="1"/>
  <c r="R66" i="12" s="1"/>
  <c r="P66" i="12" a="1"/>
  <c r="P66" i="12" s="1"/>
  <c r="N66" i="12" a="1"/>
  <c r="N66" i="12" s="1"/>
  <c r="N68" i="12" s="1"/>
  <c r="L66" i="12" a="1"/>
  <c r="L66" i="12" s="1"/>
  <c r="J66" i="12" a="1"/>
  <c r="J66" i="12" s="1"/>
  <c r="H66" i="12"/>
  <c r="H68" i="12" s="1"/>
  <c r="H66" i="12" a="1"/>
  <c r="F66" i="12"/>
  <c r="F68" i="12" s="1"/>
  <c r="F66" i="12" a="1"/>
  <c r="D66" i="12" a="1"/>
  <c r="D66" i="12" s="1"/>
  <c r="D68" i="12" s="1"/>
  <c r="B66" i="12" a="1"/>
  <c r="B66" i="12" s="1"/>
  <c r="B68" i="12" s="1"/>
  <c r="AV65" i="12" a="1"/>
  <c r="AV65" i="12" s="1"/>
  <c r="AV69" i="12" s="1"/>
  <c r="AT65" i="12" a="1"/>
  <c r="AT65" i="12" s="1"/>
  <c r="AT69" i="12" s="1"/>
  <c r="AR65" i="12" a="1"/>
  <c r="AR65" i="12" s="1"/>
  <c r="AR69" i="12" s="1"/>
  <c r="AP65" i="12" a="1"/>
  <c r="AP65" i="12" s="1"/>
  <c r="AP69" i="12" s="1"/>
  <c r="AN65" i="12"/>
  <c r="AN69" i="12" s="1"/>
  <c r="AN65" i="12" a="1"/>
  <c r="AL65" i="12"/>
  <c r="AL69" i="12" s="1"/>
  <c r="AL65" i="12" a="1"/>
  <c r="AJ65" i="12" a="1"/>
  <c r="AJ65" i="12" s="1"/>
  <c r="AJ69" i="12" s="1"/>
  <c r="AH65" i="12" a="1"/>
  <c r="AH65" i="12" s="1"/>
  <c r="AH69" i="12" s="1"/>
  <c r="AF65" i="12" a="1"/>
  <c r="AF65" i="12" s="1"/>
  <c r="AF69" i="12" s="1"/>
  <c r="AD65" i="12" a="1"/>
  <c r="AD65" i="12" s="1"/>
  <c r="AD69" i="12" s="1"/>
  <c r="AB65" i="12" a="1"/>
  <c r="AB65" i="12" s="1"/>
  <c r="AB69" i="12" s="1"/>
  <c r="Z65" i="12" a="1"/>
  <c r="Z65" i="12" s="1"/>
  <c r="Z69" i="12" s="1"/>
  <c r="X65" i="12"/>
  <c r="X69" i="12" s="1"/>
  <c r="X65" i="12" a="1"/>
  <c r="V65" i="12"/>
  <c r="V69" i="12" s="1"/>
  <c r="V65" i="12" a="1"/>
  <c r="T65" i="12" a="1"/>
  <c r="T65" i="12" s="1"/>
  <c r="T69" i="12" s="1"/>
  <c r="R65" i="12" a="1"/>
  <c r="R65" i="12" s="1"/>
  <c r="R69" i="12" s="1"/>
  <c r="P65" i="12" a="1"/>
  <c r="P65" i="12" s="1"/>
  <c r="P69" i="12" s="1"/>
  <c r="N65" i="12" a="1"/>
  <c r="N65" i="12" s="1"/>
  <c r="N69" i="12" s="1"/>
  <c r="L65" i="12" a="1"/>
  <c r="L65" i="12" s="1"/>
  <c r="L69" i="12" s="1"/>
  <c r="J65" i="12" a="1"/>
  <c r="J65" i="12" s="1"/>
  <c r="J69" i="12" s="1"/>
  <c r="H65" i="12"/>
  <c r="H69" i="12" s="1"/>
  <c r="H65" i="12" a="1"/>
  <c r="F65" i="12"/>
  <c r="F69" i="12" s="1"/>
  <c r="F65" i="12" a="1"/>
  <c r="D65" i="12" a="1"/>
  <c r="D65" i="12" s="1"/>
  <c r="D69" i="12" s="1"/>
  <c r="B65" i="12"/>
  <c r="AV62" i="12"/>
  <c r="AT62" i="12"/>
  <c r="AR62" i="12"/>
  <c r="AP62" i="12"/>
  <c r="AN62" i="12"/>
  <c r="AL62" i="12"/>
  <c r="AJ62" i="12"/>
  <c r="AH62" i="12"/>
  <c r="AF62" i="12"/>
  <c r="AD62" i="12"/>
  <c r="AB62" i="12"/>
  <c r="Z62" i="12"/>
  <c r="X62" i="12"/>
  <c r="V62" i="12"/>
  <c r="T62" i="12"/>
  <c r="R62" i="12"/>
  <c r="P62" i="12"/>
  <c r="N62" i="12"/>
  <c r="L62" i="12"/>
  <c r="J62" i="12"/>
  <c r="H62" i="12"/>
  <c r="F62" i="12"/>
  <c r="D62" i="12"/>
  <c r="B62" i="12"/>
  <c r="AV60" i="12"/>
  <c r="AT60" i="12"/>
  <c r="AR60" i="12"/>
  <c r="AP60" i="12"/>
  <c r="AN60" i="12"/>
  <c r="AL60" i="12"/>
  <c r="AJ60" i="12"/>
  <c r="AH60" i="12"/>
  <c r="AF60" i="12"/>
  <c r="AD60" i="12"/>
  <c r="AB60" i="12"/>
  <c r="Z60" i="12"/>
  <c r="X60" i="12"/>
  <c r="V60" i="12"/>
  <c r="T60" i="12"/>
  <c r="R60" i="12"/>
  <c r="P60" i="12"/>
  <c r="N60" i="12"/>
  <c r="L60" i="12"/>
  <c r="J60" i="12"/>
  <c r="H60" i="12"/>
  <c r="F60" i="12"/>
  <c r="D60" i="12"/>
  <c r="B60" i="12"/>
  <c r="AV59" i="12"/>
  <c r="AT59" i="12"/>
  <c r="AR59" i="12"/>
  <c r="AP59" i="12"/>
  <c r="AN59" i="12"/>
  <c r="AL59" i="12"/>
  <c r="AJ59" i="12"/>
  <c r="AH59" i="12"/>
  <c r="AF59" i="12"/>
  <c r="AD59" i="12"/>
  <c r="AB59" i="12"/>
  <c r="Z59" i="12"/>
  <c r="X59" i="12"/>
  <c r="V59" i="12"/>
  <c r="T59" i="12"/>
  <c r="R59" i="12"/>
  <c r="P59" i="12"/>
  <c r="N59" i="12"/>
  <c r="L59" i="12"/>
  <c r="J59" i="12"/>
  <c r="H59" i="12"/>
  <c r="F59" i="12"/>
  <c r="D59" i="12"/>
  <c r="B59" i="12"/>
  <c r="AV58" i="12"/>
  <c r="AV58" i="12" a="1"/>
  <c r="AT58" i="12" a="1"/>
  <c r="AT58" i="12" s="1"/>
  <c r="AR58" i="12"/>
  <c r="AR58" i="12" a="1"/>
  <c r="AP58" i="12"/>
  <c r="AP58" i="12" a="1"/>
  <c r="AN58" i="12" a="1"/>
  <c r="AN58" i="12" s="1"/>
  <c r="AL58" i="12" a="1"/>
  <c r="AL58" i="12" s="1"/>
  <c r="AJ58" i="12"/>
  <c r="AJ58" i="12" a="1"/>
  <c r="AH58" i="12"/>
  <c r="AH58" i="12" a="1"/>
  <c r="AF58" i="12"/>
  <c r="AF58" i="12" a="1"/>
  <c r="AD58" i="12" a="1"/>
  <c r="AD58" i="12" s="1"/>
  <c r="AB58" i="12"/>
  <c r="AB58" i="12" a="1"/>
  <c r="Z58" i="12"/>
  <c r="Z58" i="12" a="1"/>
  <c r="X58" i="12" a="1"/>
  <c r="X58" i="12" s="1"/>
  <c r="V58" i="12" a="1"/>
  <c r="V58" i="12" s="1"/>
  <c r="T58" i="12"/>
  <c r="T58" i="12" a="1"/>
  <c r="R58" i="12" a="1"/>
  <c r="R58" i="12" s="1"/>
  <c r="P58" i="12"/>
  <c r="P58" i="12" a="1"/>
  <c r="N58" i="12" a="1"/>
  <c r="N58" i="12" s="1"/>
  <c r="L58" i="12"/>
  <c r="L58" i="12" a="1"/>
  <c r="J58" i="12"/>
  <c r="J58" i="12" a="1"/>
  <c r="H58" i="12" a="1"/>
  <c r="H58" i="12" s="1"/>
  <c r="F58" i="12" a="1"/>
  <c r="F58" i="12" s="1"/>
  <c r="D58" i="12"/>
  <c r="D58" i="12" a="1"/>
  <c r="B58" i="12" a="1"/>
  <c r="B58" i="12" s="1"/>
  <c r="AV57" i="12"/>
  <c r="AV57" i="12" a="1"/>
  <c r="AT57" i="12" a="1"/>
  <c r="AT57" i="12" s="1"/>
  <c r="AR57" i="12"/>
  <c r="AR57" i="12" a="1"/>
  <c r="AP57" i="12" a="1"/>
  <c r="AP57" i="12" s="1"/>
  <c r="AN57" i="12" a="1"/>
  <c r="AN57" i="12" s="1"/>
  <c r="AL57" i="12" a="1"/>
  <c r="AL57" i="12" s="1"/>
  <c r="AJ57" i="12"/>
  <c r="AJ57" i="12" a="1"/>
  <c r="AH57" i="12" a="1"/>
  <c r="AH57" i="12" s="1"/>
  <c r="AF57" i="12"/>
  <c r="AF57" i="12" a="1"/>
  <c r="AD57" i="12" a="1"/>
  <c r="AD57" i="12" s="1"/>
  <c r="AB57" i="12"/>
  <c r="AB57" i="12" a="1"/>
  <c r="Z57" i="12" a="1"/>
  <c r="Z57" i="12" s="1"/>
  <c r="X57" i="12" a="1"/>
  <c r="X57" i="12" s="1"/>
  <c r="V57" i="12" a="1"/>
  <c r="V57" i="12" s="1"/>
  <c r="T57" i="12"/>
  <c r="T57" i="12" a="1"/>
  <c r="R57" i="12" a="1"/>
  <c r="R57" i="12" s="1"/>
  <c r="P57" i="12"/>
  <c r="P57" i="12" a="1"/>
  <c r="N57" i="12" a="1"/>
  <c r="N57" i="12" s="1"/>
  <c r="L57" i="12"/>
  <c r="L57" i="12" a="1"/>
  <c r="J57" i="12" a="1"/>
  <c r="J57" i="12" s="1"/>
  <c r="H57" i="12" a="1"/>
  <c r="H57" i="12" s="1"/>
  <c r="F57" i="12" a="1"/>
  <c r="F57" i="12" s="1"/>
  <c r="D57" i="12"/>
  <c r="D57" i="12" a="1"/>
  <c r="B57" i="12" a="1"/>
  <c r="B57" i="12" s="1"/>
  <c r="AV56" i="12"/>
  <c r="AT56" i="12"/>
  <c r="AR56" i="12"/>
  <c r="AP56" i="12"/>
  <c r="AN56" i="12"/>
  <c r="AL56" i="12"/>
  <c r="AJ56" i="12"/>
  <c r="AH56" i="12"/>
  <c r="AF56" i="12"/>
  <c r="AD56" i="12"/>
  <c r="AB56" i="12"/>
  <c r="Z56" i="12"/>
  <c r="X56" i="12"/>
  <c r="V56" i="12"/>
  <c r="T56" i="12"/>
  <c r="R56" i="12"/>
  <c r="P56" i="12"/>
  <c r="N56" i="12"/>
  <c r="L56" i="12"/>
  <c r="J56" i="12"/>
  <c r="H56" i="12"/>
  <c r="F56" i="12"/>
  <c r="D56" i="12"/>
  <c r="B56" i="12"/>
  <c r="AV55" i="12"/>
  <c r="AT55" i="12"/>
  <c r="AR55" i="12"/>
  <c r="AP55" i="12"/>
  <c r="AN55" i="12"/>
  <c r="AN80" i="12" s="1"/>
  <c r="AL55" i="12"/>
  <c r="AL80" i="12" s="1"/>
  <c r="AJ55" i="12"/>
  <c r="AJ80" i="12" s="1"/>
  <c r="AH55" i="12"/>
  <c r="AF55" i="12"/>
  <c r="AF80" i="12" s="1"/>
  <c r="AD55" i="12"/>
  <c r="AD80" i="12" s="1"/>
  <c r="AB55" i="12"/>
  <c r="Z55" i="12"/>
  <c r="Z80" i="12" s="1"/>
  <c r="X55" i="12"/>
  <c r="X80" i="12" s="1"/>
  <c r="V55" i="12"/>
  <c r="V80" i="12" s="1"/>
  <c r="T55" i="12"/>
  <c r="T80" i="12" s="1"/>
  <c r="R55" i="12"/>
  <c r="P55" i="12"/>
  <c r="N55" i="12"/>
  <c r="L55" i="12"/>
  <c r="J55" i="12"/>
  <c r="H55" i="12"/>
  <c r="H80" i="12" s="1"/>
  <c r="F55" i="12"/>
  <c r="F80" i="12" s="1"/>
  <c r="D55" i="12"/>
  <c r="D80" i="12" s="1"/>
  <c r="B55" i="12"/>
  <c r="AV53" i="12" a="1"/>
  <c r="AT53" i="12" a="1"/>
  <c r="AR53" i="12" a="1"/>
  <c r="AP53" i="12" a="1"/>
  <c r="AN53" i="12" a="1"/>
  <c r="AL53" i="12" a="1"/>
  <c r="AJ53" i="12" a="1"/>
  <c r="AH53" i="12" a="1"/>
  <c r="AF53" i="12" a="1"/>
  <c r="AD53" i="12" a="1"/>
  <c r="AB53" i="12" a="1"/>
  <c r="Z53" i="12" a="1"/>
  <c r="X53" i="12" a="1"/>
  <c r="V53" i="12" a="1"/>
  <c r="T53" i="12" a="1"/>
  <c r="R53" i="12" a="1"/>
  <c r="P53" i="12" a="1"/>
  <c r="N53" i="12" a="1"/>
  <c r="L53" i="12" a="1"/>
  <c r="J53" i="12" a="1"/>
  <c r="H53" i="12" a="1"/>
  <c r="F53" i="12" a="1"/>
  <c r="D53" i="12" a="1"/>
  <c r="B53" i="12" a="1"/>
  <c r="AV52" i="12" a="1"/>
  <c r="AT52" i="12" a="1"/>
  <c r="AR52" i="12" a="1"/>
  <c r="AP52" i="12" a="1"/>
  <c r="AN52" i="12" a="1"/>
  <c r="AL52" i="12" a="1"/>
  <c r="AJ52" i="12" a="1"/>
  <c r="AH52" i="12" a="1"/>
  <c r="AF52" i="12" a="1"/>
  <c r="AD52" i="12" a="1"/>
  <c r="AB52" i="12" a="1"/>
  <c r="Z52" i="12" a="1"/>
  <c r="X52" i="12" a="1"/>
  <c r="V52" i="12" a="1"/>
  <c r="T52" i="12" a="1"/>
  <c r="R52" i="12" a="1"/>
  <c r="P52" i="12" a="1"/>
  <c r="N52" i="12" a="1"/>
  <c r="L52" i="12" a="1"/>
  <c r="J52" i="12" a="1"/>
  <c r="H52" i="12" a="1"/>
  <c r="F52" i="12" a="1"/>
  <c r="D52" i="12" a="1"/>
  <c r="B52" i="12" a="1"/>
  <c r="AV51" i="12"/>
  <c r="AV81" i="12" s="1"/>
  <c r="AT51" i="12"/>
  <c r="AT81" i="12" s="1"/>
  <c r="AR51" i="12"/>
  <c r="AP51" i="12"/>
  <c r="AP81" i="12" s="1"/>
  <c r="AN51" i="12"/>
  <c r="AN81" i="12" s="1"/>
  <c r="AL51" i="12"/>
  <c r="AL81" i="12" s="1"/>
  <c r="AJ51" i="12"/>
  <c r="AJ81" i="12" s="1"/>
  <c r="AH51" i="12"/>
  <c r="AF51" i="12"/>
  <c r="AD51" i="12"/>
  <c r="AB51" i="12"/>
  <c r="Z51" i="12"/>
  <c r="X51" i="12"/>
  <c r="X81" i="12" s="1"/>
  <c r="V51" i="12"/>
  <c r="V81" i="12" s="1"/>
  <c r="T51" i="12"/>
  <c r="T81" i="12" s="1"/>
  <c r="R51" i="12"/>
  <c r="P51" i="12"/>
  <c r="P81" i="12" s="1"/>
  <c r="N51" i="12"/>
  <c r="N81" i="12" s="1"/>
  <c r="L51" i="12"/>
  <c r="J51" i="12"/>
  <c r="J81" i="12" s="1"/>
  <c r="H51" i="12"/>
  <c r="H81" i="12" s="1"/>
  <c r="F51" i="12"/>
  <c r="F81" i="12" s="1"/>
  <c r="D51" i="12"/>
  <c r="D81" i="12" s="1"/>
  <c r="B51" i="12"/>
  <c r="AV49" i="12"/>
  <c r="AT49" i="12"/>
  <c r="AR49" i="12"/>
  <c r="AP49" i="12"/>
  <c r="AN49" i="12"/>
  <c r="AL49" i="12"/>
  <c r="AJ49" i="12"/>
  <c r="AH49" i="12"/>
  <c r="AF49" i="12"/>
  <c r="AD49" i="12"/>
  <c r="AB49" i="12"/>
  <c r="Z49" i="12"/>
  <c r="X49" i="12"/>
  <c r="V49" i="12"/>
  <c r="T49" i="12"/>
  <c r="R49" i="12"/>
  <c r="P49" i="12"/>
  <c r="N49" i="12"/>
  <c r="L49" i="12"/>
  <c r="J49" i="12"/>
  <c r="H49" i="12"/>
  <c r="F49" i="12"/>
  <c r="D49" i="12"/>
  <c r="B49" i="12"/>
  <c r="AV48" i="12"/>
  <c r="AT48" i="12"/>
  <c r="AR48" i="12"/>
  <c r="AP48" i="12"/>
  <c r="AN48" i="12"/>
  <c r="AL48" i="12"/>
  <c r="AJ48" i="12"/>
  <c r="AH48" i="12"/>
  <c r="AF48" i="12"/>
  <c r="AD48" i="12"/>
  <c r="AB48" i="12"/>
  <c r="Z48" i="12"/>
  <c r="X48" i="12"/>
  <c r="V48" i="12"/>
  <c r="T48" i="12"/>
  <c r="R48" i="12"/>
  <c r="P48" i="12"/>
  <c r="N48" i="12"/>
  <c r="L48" i="12"/>
  <c r="J48" i="12"/>
  <c r="H48" i="12"/>
  <c r="F48" i="12"/>
  <c r="D48" i="12"/>
  <c r="B48" i="12"/>
  <c r="AV46" i="12"/>
  <c r="AT46" i="12"/>
  <c r="AR46" i="12"/>
  <c r="AP46" i="12"/>
  <c r="AN46" i="12"/>
  <c r="AL46" i="12"/>
  <c r="AJ46" i="12"/>
  <c r="AH46" i="12"/>
  <c r="AF46" i="12"/>
  <c r="AD46" i="12"/>
  <c r="AB46" i="12"/>
  <c r="Z46" i="12"/>
  <c r="X46" i="12"/>
  <c r="V46" i="12"/>
  <c r="T46" i="12"/>
  <c r="R46" i="12"/>
  <c r="P46" i="12"/>
  <c r="N46" i="12"/>
  <c r="L46" i="12"/>
  <c r="J46" i="12"/>
  <c r="H46" i="12"/>
  <c r="F46" i="12"/>
  <c r="D46" i="12"/>
  <c r="B46" i="12"/>
  <c r="AV45" i="12"/>
  <c r="AT45" i="12"/>
  <c r="AR45" i="12"/>
  <c r="AP45" i="12"/>
  <c r="AN45" i="12"/>
  <c r="AL45" i="12"/>
  <c r="AJ45" i="12"/>
  <c r="AH45" i="12"/>
  <c r="AF45" i="12"/>
  <c r="AD45" i="12"/>
  <c r="AB45" i="12"/>
  <c r="Z45" i="12"/>
  <c r="X45" i="12"/>
  <c r="V45" i="12"/>
  <c r="T45" i="12"/>
  <c r="R45" i="12"/>
  <c r="P45" i="12"/>
  <c r="N45" i="12"/>
  <c r="L45" i="12"/>
  <c r="J45" i="12"/>
  <c r="H45" i="12"/>
  <c r="F45" i="12"/>
  <c r="D45" i="12"/>
  <c r="B45" i="12"/>
  <c r="AV44" i="12"/>
  <c r="AT44" i="12"/>
  <c r="AR44" i="12"/>
  <c r="AP44" i="12"/>
  <c r="AN44" i="12"/>
  <c r="AL44" i="12"/>
  <c r="AJ44" i="12"/>
  <c r="AH44" i="12"/>
  <c r="AF44" i="12"/>
  <c r="AD44" i="12"/>
  <c r="AB44" i="12"/>
  <c r="Z44" i="12"/>
  <c r="X44" i="12"/>
  <c r="V44" i="12"/>
  <c r="T44" i="12"/>
  <c r="R44" i="12"/>
  <c r="P44" i="12"/>
  <c r="N44" i="12"/>
  <c r="L44" i="12"/>
  <c r="J44" i="12"/>
  <c r="H44" i="12"/>
  <c r="F44" i="12"/>
  <c r="D44" i="12"/>
  <c r="B44" i="12"/>
  <c r="AV43" i="12"/>
  <c r="AV43" i="12" a="1"/>
  <c r="AT43" i="12" a="1"/>
  <c r="AT43" i="12" s="1"/>
  <c r="AR43" i="12" a="1"/>
  <c r="AR43" i="12" s="1"/>
  <c r="AP43" i="12" a="1"/>
  <c r="AP43" i="12" s="1"/>
  <c r="AN43" i="12" a="1"/>
  <c r="AN43" i="12" s="1"/>
  <c r="AL43" i="12" a="1"/>
  <c r="AL43" i="12" s="1"/>
  <c r="AJ43" i="12"/>
  <c r="AJ43" i="12" a="1"/>
  <c r="AH43" i="12" a="1"/>
  <c r="AH43" i="12" s="1"/>
  <c r="AF43" i="12"/>
  <c r="AF43" i="12" a="1"/>
  <c r="AD43" i="12" a="1"/>
  <c r="AD43" i="12" s="1"/>
  <c r="AB43" i="12" a="1"/>
  <c r="AB43" i="12" s="1"/>
  <c r="Z43" i="12" a="1"/>
  <c r="Z43" i="12" s="1"/>
  <c r="X43" i="12" a="1"/>
  <c r="X43" i="12" s="1"/>
  <c r="V43" i="12" a="1"/>
  <c r="V43" i="12" s="1"/>
  <c r="T43" i="12"/>
  <c r="T43" i="12" a="1"/>
  <c r="R43" i="12" a="1"/>
  <c r="R43" i="12" s="1"/>
  <c r="P43" i="12"/>
  <c r="P43" i="12" a="1"/>
  <c r="N43" i="12" a="1"/>
  <c r="N43" i="12" s="1"/>
  <c r="L43" i="12" a="1"/>
  <c r="L43" i="12" s="1"/>
  <c r="J43" i="12" a="1"/>
  <c r="J43" i="12" s="1"/>
  <c r="H43" i="12" a="1"/>
  <c r="H43" i="12" s="1"/>
  <c r="F43" i="12" a="1"/>
  <c r="F43" i="12" s="1"/>
  <c r="D43" i="12"/>
  <c r="D43" i="12" a="1"/>
  <c r="B43" i="12"/>
  <c r="AV42" i="12"/>
  <c r="AT42" i="12"/>
  <c r="AR42" i="12"/>
  <c r="AP42" i="12"/>
  <c r="AN42" i="12"/>
  <c r="AL42" i="12"/>
  <c r="AJ42" i="12"/>
  <c r="AH42" i="12"/>
  <c r="AF42" i="12"/>
  <c r="AD42" i="12"/>
  <c r="AB42" i="12"/>
  <c r="Z42" i="12"/>
  <c r="X42" i="12"/>
  <c r="V42" i="12"/>
  <c r="T42" i="12"/>
  <c r="R42" i="12"/>
  <c r="P42" i="12"/>
  <c r="N42" i="12"/>
  <c r="L42" i="12"/>
  <c r="J42" i="12"/>
  <c r="H42" i="12"/>
  <c r="F42" i="12"/>
  <c r="D42" i="12"/>
  <c r="B42" i="12"/>
  <c r="AN81" i="11"/>
  <c r="AF81" i="11"/>
  <c r="AD81" i="11"/>
  <c r="AB81" i="11"/>
  <c r="Z81" i="11"/>
  <c r="V81" i="11"/>
  <c r="T81" i="11"/>
  <c r="H81" i="11"/>
  <c r="AV80" i="11"/>
  <c r="AT80" i="11"/>
  <c r="AR80" i="11"/>
  <c r="AP80" i="11"/>
  <c r="AL80" i="11"/>
  <c r="AJ80" i="11"/>
  <c r="AH80" i="11"/>
  <c r="X80" i="11"/>
  <c r="P80" i="11"/>
  <c r="N80" i="11"/>
  <c r="L80" i="11"/>
  <c r="J80" i="11"/>
  <c r="F80" i="11"/>
  <c r="D80" i="11"/>
  <c r="AV79" i="11"/>
  <c r="AV79" i="11" a="1"/>
  <c r="AT79" i="11" a="1"/>
  <c r="AT79" i="11" s="1"/>
  <c r="AR79" i="11"/>
  <c r="AR79" i="11" a="1"/>
  <c r="AP79" i="11" a="1"/>
  <c r="AP79" i="11" s="1"/>
  <c r="AN79" i="11" a="1"/>
  <c r="AN79" i="11" s="1"/>
  <c r="AL79" i="11" a="1"/>
  <c r="AL79" i="11" s="1"/>
  <c r="AJ79" i="11" a="1"/>
  <c r="AJ79" i="11" s="1"/>
  <c r="AH79" i="11" a="1"/>
  <c r="AH79" i="11" s="1"/>
  <c r="AF79" i="11"/>
  <c r="AF79" i="11" a="1"/>
  <c r="AD79" i="11" a="1"/>
  <c r="AD79" i="11" s="1"/>
  <c r="AB79" i="11"/>
  <c r="AB79" i="11" a="1"/>
  <c r="Z79" i="11" a="1"/>
  <c r="Z79" i="11" s="1"/>
  <c r="X79" i="11" a="1"/>
  <c r="X79" i="11" s="1"/>
  <c r="V79" i="11" a="1"/>
  <c r="V79" i="11" s="1"/>
  <c r="T79" i="11" a="1"/>
  <c r="T79" i="11" s="1"/>
  <c r="R79" i="11" a="1"/>
  <c r="R79" i="11" s="1"/>
  <c r="P79" i="11"/>
  <c r="P79" i="11" a="1"/>
  <c r="N79" i="11" a="1"/>
  <c r="N79" i="11" s="1"/>
  <c r="L79" i="11"/>
  <c r="L79" i="11" a="1"/>
  <c r="J79" i="11" a="1"/>
  <c r="J79" i="11" s="1"/>
  <c r="H79" i="11" a="1"/>
  <c r="H79" i="11" s="1"/>
  <c r="F79" i="11" a="1"/>
  <c r="F79" i="11" s="1"/>
  <c r="D79" i="11" a="1"/>
  <c r="D79" i="11" s="1"/>
  <c r="B79" i="11" a="1"/>
  <c r="B79" i="11" s="1"/>
  <c r="AV78" i="11"/>
  <c r="AV78" i="11" a="1"/>
  <c r="AT78" i="11" a="1"/>
  <c r="AT78" i="11" s="1"/>
  <c r="AR78" i="11"/>
  <c r="AR78" i="11" a="1"/>
  <c r="AP78" i="11" a="1"/>
  <c r="AP78" i="11" s="1"/>
  <c r="AN78" i="11" a="1"/>
  <c r="AN78" i="11" s="1"/>
  <c r="AL78" i="11" a="1"/>
  <c r="AL78" i="11" s="1"/>
  <c r="AJ78" i="11" a="1"/>
  <c r="AJ78" i="11" s="1"/>
  <c r="AH78" i="11" a="1"/>
  <c r="AH78" i="11" s="1"/>
  <c r="AF78" i="11"/>
  <c r="AF78" i="11" a="1"/>
  <c r="AD78" i="11" a="1"/>
  <c r="AD78" i="11" s="1"/>
  <c r="AB78" i="11"/>
  <c r="AB78" i="11" a="1"/>
  <c r="Z78" i="11" a="1"/>
  <c r="Z78" i="11" s="1"/>
  <c r="X78" i="11" a="1"/>
  <c r="X78" i="11" s="1"/>
  <c r="V78" i="11" a="1"/>
  <c r="V78" i="11" s="1"/>
  <c r="T78" i="11" a="1"/>
  <c r="T78" i="11" s="1"/>
  <c r="R78" i="11" a="1"/>
  <c r="R78" i="11" s="1"/>
  <c r="P78" i="11"/>
  <c r="P78" i="11" a="1"/>
  <c r="N78" i="11" a="1"/>
  <c r="N78" i="11" s="1"/>
  <c r="L78" i="11"/>
  <c r="L78" i="11" a="1"/>
  <c r="J78" i="11" a="1"/>
  <c r="J78" i="11" s="1"/>
  <c r="H78" i="11" a="1"/>
  <c r="H78" i="11" s="1"/>
  <c r="F78" i="11" a="1"/>
  <c r="F78" i="11" s="1"/>
  <c r="D78" i="11" a="1"/>
  <c r="D78" i="11" s="1"/>
  <c r="B78" i="11" a="1"/>
  <c r="B78" i="11" s="1"/>
  <c r="AV77" i="11"/>
  <c r="AV77" i="11" a="1"/>
  <c r="AT77" i="11" a="1"/>
  <c r="AT77" i="11" s="1"/>
  <c r="AR77" i="11"/>
  <c r="AR77" i="11" a="1"/>
  <c r="AP77" i="11" a="1"/>
  <c r="AP77" i="11" s="1"/>
  <c r="AN77" i="11" a="1"/>
  <c r="AN77" i="11" s="1"/>
  <c r="AL77" i="11" a="1"/>
  <c r="AL77" i="11" s="1"/>
  <c r="AJ77" i="11" a="1"/>
  <c r="AJ77" i="11" s="1"/>
  <c r="AH77" i="11" a="1"/>
  <c r="AH77" i="11" s="1"/>
  <c r="AF77" i="11"/>
  <c r="AF77" i="11" a="1"/>
  <c r="AD77" i="11" a="1"/>
  <c r="AD77" i="11" s="1"/>
  <c r="AB77" i="11"/>
  <c r="AB77" i="11" a="1"/>
  <c r="Z77" i="11" a="1"/>
  <c r="Z77" i="11" s="1"/>
  <c r="X77" i="11" a="1"/>
  <c r="X77" i="11" s="1"/>
  <c r="V77" i="11" a="1"/>
  <c r="V77" i="11" s="1"/>
  <c r="T77" i="11" a="1"/>
  <c r="T77" i="11" s="1"/>
  <c r="R77" i="11" a="1"/>
  <c r="R77" i="11" s="1"/>
  <c r="P77" i="11"/>
  <c r="P77" i="11" a="1"/>
  <c r="N77" i="11" a="1"/>
  <c r="N77" i="11" s="1"/>
  <c r="L77" i="11"/>
  <c r="L77" i="11" a="1"/>
  <c r="J77" i="11" a="1"/>
  <c r="J77" i="11" s="1"/>
  <c r="H77" i="11" a="1"/>
  <c r="H77" i="11" s="1"/>
  <c r="F77" i="11" a="1"/>
  <c r="F77" i="11" s="1"/>
  <c r="D77" i="11" a="1"/>
  <c r="D77" i="11" s="1"/>
  <c r="B77" i="11" a="1"/>
  <c r="B77" i="11" s="1"/>
  <c r="AV76" i="11"/>
  <c r="AV76" i="11" a="1"/>
  <c r="AT76" i="11" a="1"/>
  <c r="AT76" i="11" s="1"/>
  <c r="AR76" i="11"/>
  <c r="AR76" i="11" a="1"/>
  <c r="AP76" i="11" a="1"/>
  <c r="AP76" i="11" s="1"/>
  <c r="AN76" i="11" a="1"/>
  <c r="AN76" i="11" s="1"/>
  <c r="AL76" i="11" a="1"/>
  <c r="AL76" i="11" s="1"/>
  <c r="AJ76" i="11" a="1"/>
  <c r="AJ76" i="11" s="1"/>
  <c r="AH76" i="11" a="1"/>
  <c r="AH76" i="11" s="1"/>
  <c r="AF76" i="11"/>
  <c r="AF76" i="11" a="1"/>
  <c r="AD76" i="11" a="1"/>
  <c r="AD76" i="11" s="1"/>
  <c r="AB76" i="11"/>
  <c r="AB76" i="11" a="1"/>
  <c r="Z76" i="11" a="1"/>
  <c r="Z76" i="11" s="1"/>
  <c r="X76" i="11" a="1"/>
  <c r="X76" i="11" s="1"/>
  <c r="V76" i="11" a="1"/>
  <c r="V76" i="11" s="1"/>
  <c r="T76" i="11" a="1"/>
  <c r="T76" i="11" s="1"/>
  <c r="R76" i="11" a="1"/>
  <c r="R76" i="11" s="1"/>
  <c r="P76" i="11"/>
  <c r="P76" i="11" a="1"/>
  <c r="N76" i="11" a="1"/>
  <c r="N76" i="11" s="1"/>
  <c r="L76" i="11"/>
  <c r="L76" i="11" a="1"/>
  <c r="J76" i="11" a="1"/>
  <c r="J76" i="11" s="1"/>
  <c r="H76" i="11" a="1"/>
  <c r="H76" i="11" s="1"/>
  <c r="F76" i="11" a="1"/>
  <c r="F76" i="11" s="1"/>
  <c r="D76" i="11" a="1"/>
  <c r="D76" i="11" s="1"/>
  <c r="B76" i="11" a="1"/>
  <c r="B76" i="11" s="1"/>
  <c r="AV75" i="11"/>
  <c r="AV75" i="11" a="1"/>
  <c r="AT75" i="11" a="1"/>
  <c r="AT75" i="11" s="1"/>
  <c r="AR75" i="11"/>
  <c r="AR75" i="11" a="1"/>
  <c r="AP75" i="11" a="1"/>
  <c r="AP75" i="11" s="1"/>
  <c r="AN75" i="11" a="1"/>
  <c r="AN75" i="11" s="1"/>
  <c r="AL75" i="11" a="1"/>
  <c r="AL75" i="11" s="1"/>
  <c r="AJ75" i="11" a="1"/>
  <c r="AJ75" i="11" s="1"/>
  <c r="AH75" i="11" a="1"/>
  <c r="AH75" i="11" s="1"/>
  <c r="AF75" i="11"/>
  <c r="AF75" i="11" a="1"/>
  <c r="AD75" i="11" a="1"/>
  <c r="AD75" i="11" s="1"/>
  <c r="AB75" i="11"/>
  <c r="AB75" i="11" a="1"/>
  <c r="Z75" i="11" a="1"/>
  <c r="Z75" i="11" s="1"/>
  <c r="X75" i="11" a="1"/>
  <c r="X75" i="11" s="1"/>
  <c r="V75" i="11" a="1"/>
  <c r="V75" i="11" s="1"/>
  <c r="T75" i="11" a="1"/>
  <c r="T75" i="11" s="1"/>
  <c r="R75" i="11" a="1"/>
  <c r="R75" i="11" s="1"/>
  <c r="P75" i="11"/>
  <c r="P75" i="11" a="1"/>
  <c r="N75" i="11" a="1"/>
  <c r="N75" i="11" s="1"/>
  <c r="L75" i="11"/>
  <c r="L75" i="11" a="1"/>
  <c r="J75" i="11" a="1"/>
  <c r="J75" i="11" s="1"/>
  <c r="H75" i="11" a="1"/>
  <c r="H75" i="11" s="1"/>
  <c r="F75" i="11" a="1"/>
  <c r="F75" i="11" s="1"/>
  <c r="D75" i="11" a="1"/>
  <c r="D75" i="11" s="1"/>
  <c r="B75" i="11" a="1"/>
  <c r="B75" i="11" s="1"/>
  <c r="AV74" i="11"/>
  <c r="AV74" i="11" a="1"/>
  <c r="AT74" i="11" a="1"/>
  <c r="AT74" i="11" s="1"/>
  <c r="AR74" i="11"/>
  <c r="AR74" i="11" a="1"/>
  <c r="AP74" i="11" a="1"/>
  <c r="AP74" i="11" s="1"/>
  <c r="AN74" i="11" a="1"/>
  <c r="AN74" i="11" s="1"/>
  <c r="AL74" i="11" a="1"/>
  <c r="AL74" i="11" s="1"/>
  <c r="AJ74" i="11" a="1"/>
  <c r="AJ74" i="11" s="1"/>
  <c r="AH74" i="11" a="1"/>
  <c r="AH74" i="11" s="1"/>
  <c r="AF74" i="11"/>
  <c r="AF74" i="11" a="1"/>
  <c r="AD74" i="11" a="1"/>
  <c r="AD74" i="11" s="1"/>
  <c r="AB74" i="11"/>
  <c r="AB74" i="11" a="1"/>
  <c r="Z74" i="11" a="1"/>
  <c r="Z74" i="11" s="1"/>
  <c r="X74" i="11" a="1"/>
  <c r="X74" i="11" s="1"/>
  <c r="V74" i="11" a="1"/>
  <c r="V74" i="11" s="1"/>
  <c r="T74" i="11" a="1"/>
  <c r="T74" i="11" s="1"/>
  <c r="R74" i="11" a="1"/>
  <c r="R74" i="11" s="1"/>
  <c r="P74" i="11"/>
  <c r="P74" i="11" a="1"/>
  <c r="N74" i="11" a="1"/>
  <c r="N74" i="11" s="1"/>
  <c r="L74" i="11"/>
  <c r="L74" i="11" a="1"/>
  <c r="J74" i="11" a="1"/>
  <c r="J74" i="11" s="1"/>
  <c r="H74" i="11" a="1"/>
  <c r="H74" i="11" s="1"/>
  <c r="F74" i="11" a="1"/>
  <c r="F74" i="11" s="1"/>
  <c r="D74" i="11" a="1"/>
  <c r="D74" i="11" s="1"/>
  <c r="B74" i="11" a="1"/>
  <c r="B74" i="11" s="1"/>
  <c r="AV73" i="11"/>
  <c r="AV73" i="11" a="1"/>
  <c r="AT73" i="11" a="1"/>
  <c r="AT73" i="11" s="1"/>
  <c r="AR73" i="11"/>
  <c r="AR73" i="11" a="1"/>
  <c r="AP73" i="11" a="1"/>
  <c r="AP73" i="11" s="1"/>
  <c r="AN73" i="11" a="1"/>
  <c r="AN73" i="11" s="1"/>
  <c r="AL73" i="11" a="1"/>
  <c r="AL73" i="11" s="1"/>
  <c r="AJ73" i="11" a="1"/>
  <c r="AJ73" i="11" s="1"/>
  <c r="AH73" i="11" a="1"/>
  <c r="AH73" i="11" s="1"/>
  <c r="AF73" i="11"/>
  <c r="AF73" i="11" a="1"/>
  <c r="AD73" i="11" a="1"/>
  <c r="AD73" i="11" s="1"/>
  <c r="AB73" i="11"/>
  <c r="AB73" i="11" a="1"/>
  <c r="Z73" i="11" a="1"/>
  <c r="Z73" i="11" s="1"/>
  <c r="X73" i="11" a="1"/>
  <c r="X73" i="11" s="1"/>
  <c r="V73" i="11" a="1"/>
  <c r="V73" i="11" s="1"/>
  <c r="T73" i="11" a="1"/>
  <c r="T73" i="11" s="1"/>
  <c r="R73" i="11" a="1"/>
  <c r="R73" i="11" s="1"/>
  <c r="P73" i="11"/>
  <c r="P73" i="11" a="1"/>
  <c r="N73" i="11" a="1"/>
  <c r="N73" i="11" s="1"/>
  <c r="L73" i="11"/>
  <c r="L73" i="11" a="1"/>
  <c r="J73" i="11" a="1"/>
  <c r="J73" i="11" s="1"/>
  <c r="H73" i="11" a="1"/>
  <c r="H73" i="11" s="1"/>
  <c r="F73" i="11" a="1"/>
  <c r="F73" i="11" s="1"/>
  <c r="D73" i="11" a="1"/>
  <c r="D73" i="11" s="1"/>
  <c r="B73" i="11" a="1"/>
  <c r="B73" i="11" s="1"/>
  <c r="AV72" i="11"/>
  <c r="AT72" i="11"/>
  <c r="AR72" i="11"/>
  <c r="AP72" i="11"/>
  <c r="AN72" i="11"/>
  <c r="AL72" i="11"/>
  <c r="AJ72" i="11"/>
  <c r="AH72" i="11"/>
  <c r="AF72" i="11"/>
  <c r="AD72" i="11"/>
  <c r="AB72" i="11"/>
  <c r="Z72" i="11"/>
  <c r="X72" i="11"/>
  <c r="V72" i="11"/>
  <c r="T72" i="11"/>
  <c r="R72" i="11"/>
  <c r="P72" i="11"/>
  <c r="N72" i="11"/>
  <c r="L72" i="11"/>
  <c r="J72" i="11"/>
  <c r="H72" i="11"/>
  <c r="F72" i="11"/>
  <c r="D72" i="11"/>
  <c r="B72" i="11"/>
  <c r="AV71" i="11"/>
  <c r="AT71" i="11"/>
  <c r="AR71" i="11"/>
  <c r="AP71" i="11"/>
  <c r="AN71" i="11"/>
  <c r="AL71" i="11"/>
  <c r="AJ71" i="11"/>
  <c r="AH71" i="11"/>
  <c r="AF71" i="11"/>
  <c r="AD71" i="11"/>
  <c r="AB71" i="11"/>
  <c r="Z71" i="11"/>
  <c r="X71" i="11"/>
  <c r="V71" i="11"/>
  <c r="T71" i="11"/>
  <c r="R71" i="11"/>
  <c r="P71" i="11"/>
  <c r="N71" i="11"/>
  <c r="L71" i="11"/>
  <c r="J71" i="11"/>
  <c r="H71" i="11"/>
  <c r="F71" i="11"/>
  <c r="D71" i="11"/>
  <c r="B71" i="11"/>
  <c r="AV70" i="11"/>
  <c r="AT70" i="11"/>
  <c r="AR70" i="11"/>
  <c r="AP70" i="11"/>
  <c r="AN70" i="11"/>
  <c r="AL70" i="11"/>
  <c r="AJ70" i="11"/>
  <c r="AH70" i="11"/>
  <c r="AF70" i="11"/>
  <c r="AD70" i="11"/>
  <c r="AB70" i="11"/>
  <c r="Z70" i="11"/>
  <c r="X70" i="11"/>
  <c r="V70" i="11"/>
  <c r="T70" i="11"/>
  <c r="R70" i="11"/>
  <c r="P70" i="11"/>
  <c r="N70" i="11"/>
  <c r="L70" i="11"/>
  <c r="J70" i="11"/>
  <c r="H70" i="11"/>
  <c r="F70" i="11"/>
  <c r="D70" i="11"/>
  <c r="B70" i="11"/>
  <c r="AJ69" i="11"/>
  <c r="AH69" i="11"/>
  <c r="D69" i="11"/>
  <c r="B69" i="11"/>
  <c r="T68" i="11"/>
  <c r="AV67" i="11" a="1"/>
  <c r="AV67" i="11" s="1"/>
  <c r="AT67" i="11" a="1"/>
  <c r="AT67" i="11" s="1"/>
  <c r="AR67" i="11" a="1"/>
  <c r="AR67" i="11" s="1"/>
  <c r="AP67" i="11" a="1"/>
  <c r="AP67" i="11" s="1"/>
  <c r="AN67" i="11"/>
  <c r="AN67" i="11" a="1"/>
  <c r="AL67" i="11" a="1"/>
  <c r="AL67" i="11" s="1"/>
  <c r="AJ67" i="11"/>
  <c r="AJ67" i="11" a="1"/>
  <c r="AH67" i="11" a="1"/>
  <c r="AH67" i="11" s="1"/>
  <c r="AF67" i="11" a="1"/>
  <c r="AF67" i="11" s="1"/>
  <c r="AD67" i="11" a="1"/>
  <c r="AD67" i="11" s="1"/>
  <c r="AB67" i="11" a="1"/>
  <c r="AB67" i="11" s="1"/>
  <c r="Z67" i="11" a="1"/>
  <c r="Z67" i="11" s="1"/>
  <c r="X67" i="11"/>
  <c r="X67" i="11" a="1"/>
  <c r="V67" i="11" a="1"/>
  <c r="V67" i="11" s="1"/>
  <c r="T67" i="11"/>
  <c r="T67" i="11" a="1"/>
  <c r="R67" i="11" a="1"/>
  <c r="R67" i="11" s="1"/>
  <c r="P67" i="11" a="1"/>
  <c r="P67" i="11" s="1"/>
  <c r="N67" i="11" a="1"/>
  <c r="N67" i="11" s="1"/>
  <c r="L67" i="11" a="1"/>
  <c r="L67" i="11" s="1"/>
  <c r="J67" i="11" a="1"/>
  <c r="J67" i="11" s="1"/>
  <c r="H67" i="11"/>
  <c r="H67" i="11" a="1"/>
  <c r="F67" i="11" a="1"/>
  <c r="F67" i="11" s="1"/>
  <c r="D67" i="11"/>
  <c r="D67" i="11" a="1"/>
  <c r="B67" i="11" a="1"/>
  <c r="B67" i="11" s="1"/>
  <c r="AV66" i="11" a="1"/>
  <c r="AV66" i="11" s="1"/>
  <c r="AV68" i="11" s="1"/>
  <c r="AT66" i="11" a="1"/>
  <c r="AT66" i="11" s="1"/>
  <c r="AR66" i="11" a="1"/>
  <c r="AR66" i="11" s="1"/>
  <c r="AR68" i="11" s="1"/>
  <c r="AP66" i="11" a="1"/>
  <c r="AP66" i="11" s="1"/>
  <c r="AN66" i="11"/>
  <c r="AN68" i="11" s="1"/>
  <c r="AN66" i="11" a="1"/>
  <c r="AL66" i="11" a="1"/>
  <c r="AL66" i="11" s="1"/>
  <c r="AJ66" i="11"/>
  <c r="AJ68" i="11" s="1"/>
  <c r="AJ66" i="11" a="1"/>
  <c r="AH66" i="11" a="1"/>
  <c r="AH66" i="11" s="1"/>
  <c r="AF66" i="11" a="1"/>
  <c r="AF66" i="11" s="1"/>
  <c r="AD66" i="11" a="1"/>
  <c r="AD66" i="11" s="1"/>
  <c r="AD68" i="11" s="1"/>
  <c r="AB66" i="11" a="1"/>
  <c r="AB66" i="11" s="1"/>
  <c r="AB68" i="11" s="1"/>
  <c r="Z66" i="11" a="1"/>
  <c r="Z66" i="11" s="1"/>
  <c r="X66" i="11"/>
  <c r="X68" i="11" s="1"/>
  <c r="X66" i="11" a="1"/>
  <c r="V66" i="11" a="1"/>
  <c r="V66" i="11" s="1"/>
  <c r="V68" i="11" s="1"/>
  <c r="T66" i="11"/>
  <c r="T66" i="11" a="1"/>
  <c r="R66" i="11" a="1"/>
  <c r="R66" i="11" s="1"/>
  <c r="R68" i="11" s="1"/>
  <c r="P66" i="11" a="1"/>
  <c r="P66" i="11" s="1"/>
  <c r="N66" i="11" a="1"/>
  <c r="N66" i="11" s="1"/>
  <c r="N68" i="11" s="1"/>
  <c r="L66" i="11" a="1"/>
  <c r="L66" i="11" s="1"/>
  <c r="J66" i="11" a="1"/>
  <c r="J66" i="11" s="1"/>
  <c r="H66" i="11"/>
  <c r="H68" i="11" s="1"/>
  <c r="H66" i="11" a="1"/>
  <c r="F66" i="11" a="1"/>
  <c r="F66" i="11" s="1"/>
  <c r="D66" i="11"/>
  <c r="D68" i="11" s="1"/>
  <c r="D66" i="11" a="1"/>
  <c r="B66" i="11" a="1"/>
  <c r="B66" i="11" s="1"/>
  <c r="AV65" i="11" a="1"/>
  <c r="AV65" i="11" s="1"/>
  <c r="AV69" i="11" s="1"/>
  <c r="AT65" i="11" a="1"/>
  <c r="AT65" i="11" s="1"/>
  <c r="AT69" i="11" s="1"/>
  <c r="AR65" i="11" a="1"/>
  <c r="AR65" i="11" s="1"/>
  <c r="AR69" i="11" s="1"/>
  <c r="AP65" i="11" a="1"/>
  <c r="AP65" i="11" s="1"/>
  <c r="AP69" i="11" s="1"/>
  <c r="AN65" i="11"/>
  <c r="AN69" i="11" s="1"/>
  <c r="AN65" i="11" a="1"/>
  <c r="AL65" i="11" a="1"/>
  <c r="AL65" i="11" s="1"/>
  <c r="AL69" i="11" s="1"/>
  <c r="AJ65" i="11"/>
  <c r="AJ65" i="11" a="1"/>
  <c r="AH65" i="11" a="1"/>
  <c r="AH65" i="11" s="1"/>
  <c r="AF65" i="11" a="1"/>
  <c r="AF65" i="11" s="1"/>
  <c r="AF69" i="11" s="1"/>
  <c r="AD65" i="11" a="1"/>
  <c r="AD65" i="11" s="1"/>
  <c r="AD69" i="11" s="1"/>
  <c r="AB65" i="11" a="1"/>
  <c r="AB65" i="11" s="1"/>
  <c r="AB69" i="11" s="1"/>
  <c r="Z65" i="11" a="1"/>
  <c r="Z65" i="11" s="1"/>
  <c r="Z69" i="11" s="1"/>
  <c r="X65" i="11"/>
  <c r="X69" i="11" s="1"/>
  <c r="X65" i="11" a="1"/>
  <c r="V65" i="11" a="1"/>
  <c r="V65" i="11" s="1"/>
  <c r="V69" i="11" s="1"/>
  <c r="T65" i="11"/>
  <c r="T69" i="11" s="1"/>
  <c r="T65" i="11" a="1"/>
  <c r="R65" i="11" a="1"/>
  <c r="R65" i="11" s="1"/>
  <c r="R69" i="11" s="1"/>
  <c r="P65" i="11" a="1"/>
  <c r="P65" i="11" s="1"/>
  <c r="P69" i="11" s="1"/>
  <c r="N65" i="11" a="1"/>
  <c r="N65" i="11" s="1"/>
  <c r="N69" i="11" s="1"/>
  <c r="L65" i="11" a="1"/>
  <c r="L65" i="11" s="1"/>
  <c r="L69" i="11" s="1"/>
  <c r="J65" i="11" a="1"/>
  <c r="J65" i="11" s="1"/>
  <c r="J69" i="11" s="1"/>
  <c r="H65" i="11"/>
  <c r="H69" i="11" s="1"/>
  <c r="H65" i="11" a="1"/>
  <c r="F65" i="11" a="1"/>
  <c r="F65" i="11" s="1"/>
  <c r="F69" i="11" s="1"/>
  <c r="D65" i="11"/>
  <c r="D65" i="11" a="1"/>
  <c r="B65" i="11"/>
  <c r="AV62" i="11"/>
  <c r="AT62" i="11"/>
  <c r="AR62" i="11"/>
  <c r="AP62" i="11"/>
  <c r="AN62" i="11"/>
  <c r="AL62" i="11"/>
  <c r="AJ62" i="11"/>
  <c r="AH62" i="11"/>
  <c r="AF62" i="11"/>
  <c r="AD62" i="11"/>
  <c r="AB62" i="11"/>
  <c r="Z62" i="11"/>
  <c r="X62" i="11"/>
  <c r="V62" i="11"/>
  <c r="T62" i="11"/>
  <c r="R62" i="11"/>
  <c r="P62" i="11"/>
  <c r="N62" i="11"/>
  <c r="L62" i="11"/>
  <c r="J62" i="11"/>
  <c r="H62" i="11"/>
  <c r="F62" i="11"/>
  <c r="D62" i="11"/>
  <c r="B62" i="11"/>
  <c r="AV60" i="11"/>
  <c r="AT60" i="11"/>
  <c r="AR60" i="11"/>
  <c r="AP60" i="11"/>
  <c r="AN60" i="11"/>
  <c r="AL60" i="11"/>
  <c r="AJ60" i="11"/>
  <c r="AH60" i="11"/>
  <c r="AF60" i="11"/>
  <c r="AD60" i="11"/>
  <c r="AB60" i="11"/>
  <c r="Z60" i="11"/>
  <c r="X60" i="11"/>
  <c r="V60" i="11"/>
  <c r="T60" i="11"/>
  <c r="R60" i="11"/>
  <c r="P60" i="11"/>
  <c r="N60" i="11"/>
  <c r="L60" i="11"/>
  <c r="J60" i="11"/>
  <c r="H60" i="11"/>
  <c r="F60" i="11"/>
  <c r="D60" i="11"/>
  <c r="B60" i="11"/>
  <c r="AV59" i="11"/>
  <c r="AT59" i="11"/>
  <c r="AR59" i="11"/>
  <c r="AP59" i="11"/>
  <c r="AN59" i="11"/>
  <c r="AL59" i="11"/>
  <c r="AJ59" i="11"/>
  <c r="AH59" i="11"/>
  <c r="AF59" i="11"/>
  <c r="AD59" i="11"/>
  <c r="AB59" i="11"/>
  <c r="Z59" i="11"/>
  <c r="X59" i="11"/>
  <c r="V59" i="11"/>
  <c r="T59" i="11"/>
  <c r="R59" i="11"/>
  <c r="P59" i="11"/>
  <c r="N59" i="11"/>
  <c r="L59" i="11"/>
  <c r="J59" i="11"/>
  <c r="H59" i="11"/>
  <c r="F59" i="11"/>
  <c r="D59" i="11"/>
  <c r="B59" i="11"/>
  <c r="AV58" i="11"/>
  <c r="AV58" i="11" a="1"/>
  <c r="AT58" i="11" a="1"/>
  <c r="AT58" i="11" s="1"/>
  <c r="AR58" i="11" a="1"/>
  <c r="AR58" i="11" s="1"/>
  <c r="AP58" i="11"/>
  <c r="AP58" i="11" a="1"/>
  <c r="AN58" i="11" a="1"/>
  <c r="AN58" i="11" s="1"/>
  <c r="AL58" i="11" a="1"/>
  <c r="AL58" i="11" s="1"/>
  <c r="AJ58" i="11"/>
  <c r="AJ58" i="11" a="1"/>
  <c r="AH58" i="11" a="1"/>
  <c r="AH58" i="11" s="1"/>
  <c r="AF58" i="11"/>
  <c r="AF58" i="11" a="1"/>
  <c r="AD58" i="11" a="1"/>
  <c r="AD58" i="11" s="1"/>
  <c r="AB58" i="11" a="1"/>
  <c r="AB58" i="11" s="1"/>
  <c r="Z58" i="11"/>
  <c r="Z58" i="11" a="1"/>
  <c r="X58" i="11" a="1"/>
  <c r="X58" i="11" s="1"/>
  <c r="V58" i="11" a="1"/>
  <c r="V58" i="11" s="1"/>
  <c r="T58" i="11"/>
  <c r="T58" i="11" a="1"/>
  <c r="R58" i="11" a="1"/>
  <c r="R58" i="11" s="1"/>
  <c r="P58" i="11"/>
  <c r="P58" i="11" a="1"/>
  <c r="N58" i="11" a="1"/>
  <c r="N58" i="11" s="1"/>
  <c r="L58" i="11" a="1"/>
  <c r="L58" i="11" s="1"/>
  <c r="J58" i="11"/>
  <c r="J58" i="11" a="1"/>
  <c r="H58" i="11" a="1"/>
  <c r="H58" i="11" s="1"/>
  <c r="F58" i="11" a="1"/>
  <c r="F58" i="11" s="1"/>
  <c r="D58" i="11"/>
  <c r="D58" i="11" a="1"/>
  <c r="B58" i="11" a="1"/>
  <c r="B58" i="11" s="1"/>
  <c r="AV57" i="11"/>
  <c r="AV57" i="11" a="1"/>
  <c r="AT57" i="11" a="1"/>
  <c r="AT57" i="11" s="1"/>
  <c r="AR57" i="11" a="1"/>
  <c r="AR57" i="11" s="1"/>
  <c r="AP57" i="11"/>
  <c r="AP57" i="11" a="1"/>
  <c r="AN57" i="11" a="1"/>
  <c r="AN57" i="11" s="1"/>
  <c r="AL57" i="11" a="1"/>
  <c r="AL57" i="11" s="1"/>
  <c r="AJ57" i="11"/>
  <c r="AJ57" i="11" a="1"/>
  <c r="AH57" i="11" a="1"/>
  <c r="AH57" i="11" s="1"/>
  <c r="AF57" i="11"/>
  <c r="AF57" i="11" a="1"/>
  <c r="AD57" i="11" a="1"/>
  <c r="AD57" i="11" s="1"/>
  <c r="AB57" i="11" a="1"/>
  <c r="AB57" i="11" s="1"/>
  <c r="Z57" i="11"/>
  <c r="Z57" i="11" a="1"/>
  <c r="X57" i="11" a="1"/>
  <c r="X57" i="11" s="1"/>
  <c r="V57" i="11" a="1"/>
  <c r="V57" i="11" s="1"/>
  <c r="T57" i="11"/>
  <c r="T57" i="11" a="1"/>
  <c r="R57" i="11" a="1"/>
  <c r="R57" i="11" s="1"/>
  <c r="P57" i="11"/>
  <c r="P57" i="11" a="1"/>
  <c r="N57" i="11" a="1"/>
  <c r="N57" i="11" s="1"/>
  <c r="L57" i="11" a="1"/>
  <c r="L57" i="11" s="1"/>
  <c r="J57" i="11"/>
  <c r="J57" i="11" a="1"/>
  <c r="H57" i="11" a="1"/>
  <c r="H57" i="11" s="1"/>
  <c r="F57" i="11" a="1"/>
  <c r="F57" i="11" s="1"/>
  <c r="D57" i="11"/>
  <c r="D57" i="11" a="1"/>
  <c r="B57" i="11" a="1"/>
  <c r="B57" i="11" s="1"/>
  <c r="AV56" i="11"/>
  <c r="AT56" i="11"/>
  <c r="AR56" i="11"/>
  <c r="AP56" i="11"/>
  <c r="AN56" i="11"/>
  <c r="AL56" i="11"/>
  <c r="AJ56" i="11"/>
  <c r="AH56" i="11"/>
  <c r="AF56" i="11"/>
  <c r="AD56" i="11"/>
  <c r="AB56" i="11"/>
  <c r="Z56" i="11"/>
  <c r="X56" i="11"/>
  <c r="V56" i="11"/>
  <c r="T56" i="11"/>
  <c r="R56" i="11"/>
  <c r="P56" i="11"/>
  <c r="N56" i="11"/>
  <c r="L56" i="11"/>
  <c r="J56" i="11"/>
  <c r="H56" i="11"/>
  <c r="F56" i="11"/>
  <c r="D56" i="11"/>
  <c r="B56" i="11"/>
  <c r="AV55" i="11"/>
  <c r="AT55" i="11"/>
  <c r="AR55" i="11"/>
  <c r="AP55" i="11"/>
  <c r="AN55" i="11"/>
  <c r="AN80" i="11" s="1"/>
  <c r="AL55" i="11"/>
  <c r="AJ55" i="11"/>
  <c r="AH55" i="11"/>
  <c r="AF55" i="11"/>
  <c r="AF80" i="11" s="1"/>
  <c r="AD55" i="11"/>
  <c r="AD80" i="11" s="1"/>
  <c r="AB55" i="11"/>
  <c r="AB80" i="11" s="1"/>
  <c r="Z55" i="11"/>
  <c r="Z80" i="11" s="1"/>
  <c r="X55" i="11"/>
  <c r="V55" i="11"/>
  <c r="V80" i="11" s="1"/>
  <c r="T55" i="11"/>
  <c r="T80" i="11" s="1"/>
  <c r="R55" i="11"/>
  <c r="R80" i="11" s="1"/>
  <c r="P55" i="11"/>
  <c r="N55" i="11"/>
  <c r="L55" i="11"/>
  <c r="J55" i="11"/>
  <c r="H55" i="11"/>
  <c r="H80" i="11" s="1"/>
  <c r="F55" i="11"/>
  <c r="D55" i="11"/>
  <c r="B55" i="11"/>
  <c r="B80" i="11" s="1"/>
  <c r="AV53" i="11" a="1"/>
  <c r="AT53" i="11" a="1"/>
  <c r="AR53" i="11" a="1"/>
  <c r="AP53" i="11" a="1"/>
  <c r="AN53" i="11" a="1"/>
  <c r="AL53" i="11" a="1"/>
  <c r="AJ53" i="11" a="1"/>
  <c r="AH53" i="11" a="1"/>
  <c r="AF53" i="11" a="1"/>
  <c r="AD53" i="11" a="1"/>
  <c r="AB53" i="11" a="1"/>
  <c r="Z53" i="11" a="1"/>
  <c r="X53" i="11" a="1"/>
  <c r="V53" i="11" a="1"/>
  <c r="T53" i="11" a="1"/>
  <c r="R53" i="11" a="1"/>
  <c r="P53" i="11" a="1"/>
  <c r="N53" i="11" a="1"/>
  <c r="L53" i="11" a="1"/>
  <c r="J53" i="11" a="1"/>
  <c r="H53" i="11" a="1"/>
  <c r="F53" i="11" a="1"/>
  <c r="D53" i="11" a="1"/>
  <c r="B53" i="11" a="1"/>
  <c r="AV52" i="11" a="1"/>
  <c r="AT52" i="11" a="1"/>
  <c r="AR52" i="11" a="1"/>
  <c r="AP52" i="11" a="1"/>
  <c r="AN52" i="11" a="1"/>
  <c r="AL52" i="11" a="1"/>
  <c r="AJ52" i="11" a="1"/>
  <c r="AH52" i="11" a="1"/>
  <c r="AF52" i="11" a="1"/>
  <c r="AD52" i="11" a="1"/>
  <c r="AB52" i="11" a="1"/>
  <c r="Z52" i="11" a="1"/>
  <c r="X52" i="11" a="1"/>
  <c r="V52" i="11" a="1"/>
  <c r="T52" i="11" a="1"/>
  <c r="R52" i="11" a="1"/>
  <c r="P52" i="11" a="1"/>
  <c r="N52" i="11" a="1"/>
  <c r="L52" i="11" a="1"/>
  <c r="J52" i="11" a="1"/>
  <c r="H52" i="11" a="1"/>
  <c r="F52" i="11" a="1"/>
  <c r="D52" i="11" a="1"/>
  <c r="B52" i="11" a="1"/>
  <c r="AV51" i="11"/>
  <c r="AV81" i="11" s="1"/>
  <c r="AT51" i="11"/>
  <c r="AT81" i="11" s="1"/>
  <c r="AR51" i="11"/>
  <c r="AR81" i="11" s="1"/>
  <c r="AP51" i="11"/>
  <c r="AP81" i="11" s="1"/>
  <c r="AN51" i="11"/>
  <c r="AL51" i="11"/>
  <c r="AL81" i="11" s="1"/>
  <c r="AJ51" i="11"/>
  <c r="AJ81" i="11" s="1"/>
  <c r="AH51" i="11"/>
  <c r="AH81" i="11" s="1"/>
  <c r="AF51" i="11"/>
  <c r="AD51" i="11"/>
  <c r="AB51" i="11"/>
  <c r="Z51" i="11"/>
  <c r="X51" i="11"/>
  <c r="X81" i="11" s="1"/>
  <c r="V51" i="11"/>
  <c r="T51" i="11"/>
  <c r="R51" i="11"/>
  <c r="R81" i="11" s="1"/>
  <c r="P51" i="11"/>
  <c r="P81" i="11" s="1"/>
  <c r="N51" i="11"/>
  <c r="N81" i="11" s="1"/>
  <c r="L51" i="11"/>
  <c r="L81" i="11" s="1"/>
  <c r="J51" i="11"/>
  <c r="J81" i="11" s="1"/>
  <c r="H51" i="11"/>
  <c r="F51" i="11"/>
  <c r="F81" i="11" s="1"/>
  <c r="D51" i="11"/>
  <c r="D81" i="11" s="1"/>
  <c r="B51" i="11"/>
  <c r="B81" i="11" s="1"/>
  <c r="AV49" i="11"/>
  <c r="AT49" i="11"/>
  <c r="AR49" i="11"/>
  <c r="AP49" i="11"/>
  <c r="AN49" i="11"/>
  <c r="AL49" i="11"/>
  <c r="AJ49" i="11"/>
  <c r="AH49" i="11"/>
  <c r="AF49" i="11"/>
  <c r="AD49" i="11"/>
  <c r="AB49" i="11"/>
  <c r="Z49" i="11"/>
  <c r="X49" i="11"/>
  <c r="V49" i="11"/>
  <c r="T49" i="11"/>
  <c r="R49" i="11"/>
  <c r="P49" i="11"/>
  <c r="N49" i="11"/>
  <c r="L49" i="11"/>
  <c r="J49" i="11"/>
  <c r="H49" i="11"/>
  <c r="F49" i="11"/>
  <c r="D49" i="11"/>
  <c r="B49" i="11"/>
  <c r="AV48" i="11"/>
  <c r="AT48" i="11"/>
  <c r="AR48" i="11"/>
  <c r="AP48" i="11"/>
  <c r="AN48" i="11"/>
  <c r="AL48" i="11"/>
  <c r="AJ48" i="11"/>
  <c r="AH48" i="11"/>
  <c r="AF48" i="11"/>
  <c r="AD48" i="11"/>
  <c r="AB48" i="11"/>
  <c r="Z48" i="11"/>
  <c r="X48" i="11"/>
  <c r="V48" i="11"/>
  <c r="T48" i="11"/>
  <c r="R48" i="11"/>
  <c r="P48" i="11"/>
  <c r="N48" i="11"/>
  <c r="L48" i="11"/>
  <c r="J48" i="11"/>
  <c r="H48" i="11"/>
  <c r="F48" i="11"/>
  <c r="D48" i="11"/>
  <c r="B48" i="11"/>
  <c r="AV46" i="11"/>
  <c r="AT46" i="11"/>
  <c r="AR46" i="11"/>
  <c r="AP46" i="11"/>
  <c r="AN46" i="11"/>
  <c r="AL46" i="11"/>
  <c r="AJ46" i="11"/>
  <c r="AH46" i="11"/>
  <c r="AF46" i="11"/>
  <c r="AD46" i="11"/>
  <c r="AB46" i="11"/>
  <c r="Z46" i="11"/>
  <c r="X46" i="11"/>
  <c r="V46" i="11"/>
  <c r="T46" i="11"/>
  <c r="R46" i="11"/>
  <c r="P46" i="11"/>
  <c r="N46" i="11"/>
  <c r="L46" i="11"/>
  <c r="J46" i="11"/>
  <c r="H46" i="11"/>
  <c r="F46" i="11"/>
  <c r="D46" i="11"/>
  <c r="B46" i="11"/>
  <c r="AV45" i="11"/>
  <c r="AT45" i="11"/>
  <c r="AR45" i="11"/>
  <c r="AP45" i="11"/>
  <c r="AN45" i="11"/>
  <c r="AL45" i="11"/>
  <c r="AJ45" i="11"/>
  <c r="AH45" i="11"/>
  <c r="AF45" i="11"/>
  <c r="AD45" i="11"/>
  <c r="AB45" i="11"/>
  <c r="Z45" i="11"/>
  <c r="X45" i="11"/>
  <c r="V45" i="11"/>
  <c r="T45" i="11"/>
  <c r="R45" i="11"/>
  <c r="P45" i="11"/>
  <c r="N45" i="11"/>
  <c r="L45" i="11"/>
  <c r="J45" i="11"/>
  <c r="H45" i="11"/>
  <c r="F45" i="11"/>
  <c r="D45" i="11"/>
  <c r="B45" i="11"/>
  <c r="AV44" i="11"/>
  <c r="AT44" i="11"/>
  <c r="AR44" i="11"/>
  <c r="AP44" i="11"/>
  <c r="AN44" i="11"/>
  <c r="AL44" i="11"/>
  <c r="AJ44" i="11"/>
  <c r="AH44" i="11"/>
  <c r="AF44" i="11"/>
  <c r="AD44" i="11"/>
  <c r="AB44" i="11"/>
  <c r="Z44" i="11"/>
  <c r="X44" i="11"/>
  <c r="V44" i="11"/>
  <c r="T44" i="11"/>
  <c r="R44" i="11"/>
  <c r="P44" i="11"/>
  <c r="N44" i="11"/>
  <c r="L44" i="11"/>
  <c r="J44" i="11"/>
  <c r="H44" i="11"/>
  <c r="F44" i="11"/>
  <c r="D44" i="11"/>
  <c r="B44" i="11"/>
  <c r="AV43" i="11" a="1"/>
  <c r="AV43" i="11" s="1"/>
  <c r="AT43" i="11" a="1"/>
  <c r="AT43" i="11" s="1"/>
  <c r="AR43" i="11" a="1"/>
  <c r="AR43" i="11" s="1"/>
  <c r="AP43" i="11"/>
  <c r="AP43" i="11" a="1"/>
  <c r="AN43" i="11" a="1"/>
  <c r="AN43" i="11" s="1"/>
  <c r="AL43" i="11" a="1"/>
  <c r="AL43" i="11" s="1"/>
  <c r="AJ43" i="11"/>
  <c r="AJ43" i="11" a="1"/>
  <c r="AH43" i="11" a="1"/>
  <c r="AH43" i="11" s="1"/>
  <c r="AF43" i="11" a="1"/>
  <c r="AF43" i="11" s="1"/>
  <c r="AD43" i="11" a="1"/>
  <c r="AD43" i="11" s="1"/>
  <c r="AB43" i="11" a="1"/>
  <c r="AB43" i="11" s="1"/>
  <c r="Z43" i="11"/>
  <c r="Z43" i="11" a="1"/>
  <c r="X43" i="11" a="1"/>
  <c r="X43" i="11" s="1"/>
  <c r="V43" i="11" a="1"/>
  <c r="V43" i="11" s="1"/>
  <c r="T43" i="11"/>
  <c r="T43" i="11" a="1"/>
  <c r="R43" i="11" a="1"/>
  <c r="R43" i="11" s="1"/>
  <c r="P43" i="11" a="1"/>
  <c r="P43" i="11" s="1"/>
  <c r="N43" i="11" a="1"/>
  <c r="N43" i="11" s="1"/>
  <c r="L43" i="11" a="1"/>
  <c r="L43" i="11" s="1"/>
  <c r="J43" i="11"/>
  <c r="J43" i="11" a="1"/>
  <c r="H43" i="11" a="1"/>
  <c r="H43" i="11" s="1"/>
  <c r="F43" i="11" a="1"/>
  <c r="F43" i="11" s="1"/>
  <c r="D43" i="11"/>
  <c r="D43" i="11" a="1"/>
  <c r="B43" i="11"/>
  <c r="AV42" i="11"/>
  <c r="AT42" i="11"/>
  <c r="AR42" i="11"/>
  <c r="AP42" i="11"/>
  <c r="AN42" i="11"/>
  <c r="AL42" i="11"/>
  <c r="AJ42" i="11"/>
  <c r="AH42" i="11"/>
  <c r="AF42" i="11"/>
  <c r="AD42" i="11"/>
  <c r="AB42" i="11"/>
  <c r="Z42" i="11"/>
  <c r="X42" i="11"/>
  <c r="V42" i="11"/>
  <c r="T42" i="11"/>
  <c r="R42" i="11"/>
  <c r="P42" i="11"/>
  <c r="N42" i="11"/>
  <c r="L42" i="11"/>
  <c r="J42" i="11"/>
  <c r="H42" i="11"/>
  <c r="F42" i="11"/>
  <c r="D42" i="11"/>
  <c r="B42" i="11"/>
  <c r="F87" i="1" a="1"/>
  <c r="O6" i="42" l="1"/>
  <c r="T22" i="23"/>
  <c r="U6" i="42"/>
  <c r="S22" i="23"/>
  <c r="R22" i="23"/>
  <c r="S21" i="23"/>
  <c r="Y22" i="23"/>
  <c r="X22" i="23"/>
  <c r="W22" i="23"/>
  <c r="V22" i="23"/>
  <c r="Z68" i="35"/>
  <c r="AB68" i="35"/>
  <c r="D68" i="35"/>
  <c r="AD68" i="35"/>
  <c r="B68" i="35"/>
  <c r="F68" i="35"/>
  <c r="AH68" i="35"/>
  <c r="H68" i="35"/>
  <c r="AJ68" i="35"/>
  <c r="AP68" i="38"/>
  <c r="N68" i="38"/>
  <c r="AR68" i="38"/>
  <c r="AB68" i="38"/>
  <c r="B68" i="38"/>
  <c r="D68" i="38"/>
  <c r="AF68" i="38"/>
  <c r="AH68" i="38"/>
  <c r="N68" i="21"/>
  <c r="AD68" i="21"/>
  <c r="B68" i="21"/>
  <c r="X68" i="21"/>
  <c r="AV68" i="21"/>
  <c r="L68" i="21"/>
  <c r="P68" i="21"/>
  <c r="AR68" i="21"/>
  <c r="F68" i="24"/>
  <c r="AH68" i="24"/>
  <c r="H68" i="24"/>
  <c r="J68" i="24"/>
  <c r="AL68" i="24"/>
  <c r="L68" i="24"/>
  <c r="AN68" i="24"/>
  <c r="N68" i="24"/>
  <c r="AP68" i="24"/>
  <c r="P68" i="24"/>
  <c r="AR68" i="24"/>
  <c r="AD68" i="18"/>
  <c r="P68" i="18"/>
  <c r="AP68" i="18"/>
  <c r="AT68" i="18"/>
  <c r="J68" i="22"/>
  <c r="AH68" i="22"/>
  <c r="AD68" i="12"/>
  <c r="AJ68" i="12"/>
  <c r="J68" i="12"/>
  <c r="L68" i="12"/>
  <c r="AH68" i="12"/>
  <c r="P68" i="12"/>
  <c r="R68" i="12"/>
  <c r="AP68" i="12"/>
  <c r="AF68" i="12"/>
  <c r="B68" i="11"/>
  <c r="Z68" i="11"/>
  <c r="J68" i="11"/>
  <c r="L68" i="11"/>
  <c r="AL68" i="11"/>
  <c r="AF68" i="11"/>
  <c r="P68" i="11"/>
  <c r="F68" i="11"/>
  <c r="AP68" i="11"/>
  <c r="AH68" i="11"/>
  <c r="AT68" i="11"/>
  <c r="D12" i="1" l="1"/>
  <c r="C12" i="1"/>
  <c r="A9" i="42"/>
  <c r="A8" i="42"/>
  <c r="A7" i="42"/>
  <c r="A6" i="42"/>
  <c r="A5" i="42"/>
  <c r="A4" i="42"/>
  <c r="A3" i="42"/>
  <c r="A2" i="42"/>
  <c r="Y1" i="42"/>
  <c r="X1" i="42"/>
  <c r="W1" i="42"/>
  <c r="V1" i="42"/>
  <c r="U1" i="42"/>
  <c r="T1" i="42"/>
  <c r="S1" i="42"/>
  <c r="R1" i="42"/>
  <c r="Q1" i="42"/>
  <c r="P1" i="42"/>
  <c r="O1" i="42"/>
  <c r="N1" i="42"/>
  <c r="M1" i="42"/>
  <c r="L1" i="42"/>
  <c r="K1" i="42"/>
  <c r="J1" i="42"/>
  <c r="I1" i="42"/>
  <c r="H1" i="42"/>
  <c r="G1" i="42"/>
  <c r="F1" i="42"/>
  <c r="E1" i="42"/>
  <c r="D1" i="42"/>
  <c r="C1" i="42"/>
  <c r="B1" i="42"/>
  <c r="Y1" i="41" l="1"/>
  <c r="B1" i="41"/>
  <c r="C1" i="41"/>
  <c r="D1" i="41"/>
  <c r="E1" i="41"/>
  <c r="F1" i="41"/>
  <c r="G1" i="41"/>
  <c r="H1" i="41"/>
  <c r="I1" i="41"/>
  <c r="J1" i="41"/>
  <c r="K1" i="41"/>
  <c r="L1" i="41"/>
  <c r="M1" i="41"/>
  <c r="N1" i="41"/>
  <c r="O1" i="41"/>
  <c r="P1" i="41"/>
  <c r="Q1" i="41"/>
  <c r="R1" i="41"/>
  <c r="S1" i="41"/>
  <c r="T1" i="41"/>
  <c r="U1" i="41"/>
  <c r="V1" i="41"/>
  <c r="W1" i="41"/>
  <c r="X1" i="41"/>
  <c r="A2" i="41"/>
  <c r="A3" i="41"/>
  <c r="A4" i="41"/>
  <c r="A5" i="41"/>
  <c r="A6" i="41"/>
  <c r="A7" i="41"/>
  <c r="A8" i="41"/>
  <c r="A9" i="41"/>
  <c r="Y9" i="39"/>
  <c r="X9" i="39"/>
  <c r="W9" i="39"/>
  <c r="V9" i="39"/>
  <c r="U9" i="39"/>
  <c r="T9" i="39"/>
  <c r="S9" i="39"/>
  <c r="R9" i="39"/>
  <c r="Q9" i="39"/>
  <c r="P9" i="39"/>
  <c r="O9" i="39"/>
  <c r="N9" i="39"/>
  <c r="M9" i="39"/>
  <c r="L9" i="39"/>
  <c r="K9" i="39"/>
  <c r="J9" i="39"/>
  <c r="I9" i="39"/>
  <c r="H9" i="39"/>
  <c r="G9" i="39"/>
  <c r="F9" i="39"/>
  <c r="E9" i="39"/>
  <c r="D9" i="39"/>
  <c r="C9" i="39"/>
  <c r="B9" i="39"/>
  <c r="V8" i="39"/>
  <c r="U8" i="39"/>
  <c r="T8" i="39"/>
  <c r="S8" i="39"/>
  <c r="R8" i="39"/>
  <c r="Q8" i="39"/>
  <c r="P8" i="39"/>
  <c r="O8" i="39"/>
  <c r="N8" i="39"/>
  <c r="M8" i="39"/>
  <c r="L8" i="39"/>
  <c r="K8" i="39"/>
  <c r="J8" i="39"/>
  <c r="I8" i="39"/>
  <c r="H8" i="39"/>
  <c r="G8" i="39"/>
  <c r="F8" i="39"/>
  <c r="E8" i="39"/>
  <c r="D8" i="39"/>
  <c r="C8" i="39"/>
  <c r="B8" i="39"/>
  <c r="I7" i="39"/>
  <c r="H7" i="39"/>
  <c r="G7" i="39"/>
  <c r="F7" i="39"/>
  <c r="E7" i="39"/>
  <c r="D7" i="39"/>
  <c r="C7" i="39"/>
  <c r="B7" i="39"/>
  <c r="K6" i="39"/>
  <c r="J6" i="39"/>
  <c r="I6" i="39"/>
  <c r="H6" i="39"/>
  <c r="G6" i="39"/>
  <c r="F6" i="39"/>
  <c r="E6" i="39"/>
  <c r="D6" i="39"/>
  <c r="C6" i="39"/>
  <c r="B6" i="39"/>
  <c r="P5" i="39"/>
  <c r="O5" i="39"/>
  <c r="N5" i="39"/>
  <c r="M5" i="39"/>
  <c r="L5" i="39"/>
  <c r="K5" i="39"/>
  <c r="J5" i="39"/>
  <c r="I5" i="39"/>
  <c r="H5" i="39"/>
  <c r="G5" i="39"/>
  <c r="F5" i="39"/>
  <c r="E5" i="39"/>
  <c r="D5" i="39"/>
  <c r="C5" i="39"/>
  <c r="B5" i="39"/>
  <c r="Y4" i="39"/>
  <c r="X4" i="39"/>
  <c r="W4" i="39"/>
  <c r="V4" i="39"/>
  <c r="U4" i="39"/>
  <c r="T4" i="39"/>
  <c r="S4" i="39"/>
  <c r="R4" i="39"/>
  <c r="Q4" i="39"/>
  <c r="P4" i="39"/>
  <c r="O4" i="39"/>
  <c r="N4" i="39"/>
  <c r="M4" i="39"/>
  <c r="L4" i="39"/>
  <c r="K4" i="39"/>
  <c r="J4" i="39"/>
  <c r="I4" i="39"/>
  <c r="H4" i="39"/>
  <c r="G4" i="39"/>
  <c r="F4" i="39"/>
  <c r="E4" i="39"/>
  <c r="D4" i="39"/>
  <c r="C4" i="39"/>
  <c r="B4" i="39"/>
  <c r="P3" i="39"/>
  <c r="O3" i="39"/>
  <c r="N3" i="39"/>
  <c r="M3" i="39"/>
  <c r="L3" i="39"/>
  <c r="K3" i="39"/>
  <c r="J3" i="39"/>
  <c r="I3" i="39"/>
  <c r="H3" i="39"/>
  <c r="G3" i="39"/>
  <c r="F3" i="39"/>
  <c r="E3" i="39"/>
  <c r="D3" i="39"/>
  <c r="C3" i="39"/>
  <c r="B3" i="39"/>
  <c r="Y2" i="39"/>
  <c r="X2" i="39"/>
  <c r="W2" i="39"/>
  <c r="V2" i="39"/>
  <c r="U2" i="39"/>
  <c r="T2" i="39"/>
  <c r="S2" i="39"/>
  <c r="R2" i="39"/>
  <c r="Q2" i="39"/>
  <c r="P2" i="39"/>
  <c r="O2" i="39"/>
  <c r="N2" i="39"/>
  <c r="M2" i="39"/>
  <c r="L2" i="39"/>
  <c r="K2" i="39"/>
  <c r="J2" i="39"/>
  <c r="I2" i="39"/>
  <c r="H2" i="39"/>
  <c r="G2" i="39"/>
  <c r="F2" i="39"/>
  <c r="E2" i="39"/>
  <c r="D2" i="39"/>
  <c r="C2" i="39"/>
  <c r="B2" i="39"/>
  <c r="C66" i="1" l="1"/>
  <c r="Y51" i="23"/>
  <c r="X51" i="23"/>
  <c r="W51" i="23"/>
  <c r="S51" i="23"/>
  <c r="R51" i="23"/>
  <c r="P51" i="23"/>
  <c r="O51" i="23"/>
  <c r="N51" i="23"/>
  <c r="M51" i="23"/>
  <c r="L51" i="23"/>
  <c r="K51" i="23"/>
  <c r="J51" i="23"/>
  <c r="J4" i="41" s="1"/>
  <c r="I51" i="23"/>
  <c r="I4" i="41" s="1"/>
  <c r="H51" i="23"/>
  <c r="H4" i="41" s="1"/>
  <c r="G51" i="23"/>
  <c r="G4" i="41" s="1"/>
  <c r="D51" i="23"/>
  <c r="D4" i="41" s="1"/>
  <c r="C51" i="23"/>
  <c r="C4" i="41" s="1"/>
  <c r="Y50" i="23"/>
  <c r="X50" i="23"/>
  <c r="W50" i="23"/>
  <c r="V50" i="23"/>
  <c r="U50" i="23"/>
  <c r="T50" i="23"/>
  <c r="S50" i="23"/>
  <c r="Q50" i="23"/>
  <c r="P50" i="23"/>
  <c r="P3" i="41" s="1"/>
  <c r="O50" i="23"/>
  <c r="O3" i="41" s="1"/>
  <c r="N50" i="23"/>
  <c r="N3" i="41" s="1"/>
  <c r="M50" i="23"/>
  <c r="M3" i="41" s="1"/>
  <c r="L50" i="23"/>
  <c r="L3" i="41" s="1"/>
  <c r="K50" i="23"/>
  <c r="K3" i="41" s="1"/>
  <c r="J50" i="23"/>
  <c r="J3" i="41" s="1"/>
  <c r="G50" i="23"/>
  <c r="G3" i="41" s="1"/>
  <c r="F50" i="23"/>
  <c r="F3" i="41" s="1"/>
  <c r="E50" i="23"/>
  <c r="E3" i="41" s="1"/>
  <c r="D50" i="23"/>
  <c r="D3" i="41" s="1"/>
  <c r="C50" i="23"/>
  <c r="C3" i="41" s="1"/>
  <c r="B50" i="23"/>
  <c r="B3" i="41" s="1"/>
  <c r="Y55" i="23"/>
  <c r="Y8" i="41" s="1"/>
  <c r="X55" i="23"/>
  <c r="X8" i="41" s="1"/>
  <c r="W55" i="23"/>
  <c r="W8" i="41" s="1"/>
  <c r="V55" i="23"/>
  <c r="V8" i="41" s="1"/>
  <c r="U55" i="23"/>
  <c r="U8" i="41" s="1"/>
  <c r="T55" i="23"/>
  <c r="T8" i="41" s="1"/>
  <c r="S55" i="23"/>
  <c r="S8" i="41" s="1"/>
  <c r="R55" i="23"/>
  <c r="R8" i="41" s="1"/>
  <c r="Q55" i="23"/>
  <c r="Q8" i="41" s="1"/>
  <c r="P55" i="23"/>
  <c r="P8" i="41" s="1"/>
  <c r="O55" i="23"/>
  <c r="O8" i="41" s="1"/>
  <c r="N55" i="23"/>
  <c r="N8" i="41" s="1"/>
  <c r="M55" i="23"/>
  <c r="M8" i="41" s="1"/>
  <c r="L55" i="23"/>
  <c r="L8" i="41" s="1"/>
  <c r="K55" i="23"/>
  <c r="K8" i="41" s="1"/>
  <c r="J55" i="23"/>
  <c r="J8" i="41" s="1"/>
  <c r="I55" i="23"/>
  <c r="I8" i="41" s="1"/>
  <c r="H55" i="23"/>
  <c r="H8" i="41" s="1"/>
  <c r="G55" i="23"/>
  <c r="G8" i="41" s="1"/>
  <c r="E55" i="23"/>
  <c r="E8" i="41" s="1"/>
  <c r="D55" i="23"/>
  <c r="D8" i="41" s="1"/>
  <c r="C55" i="23"/>
  <c r="C8" i="41" s="1"/>
  <c r="S19" i="23"/>
  <c r="T19" i="23"/>
  <c r="U19" i="23"/>
  <c r="V19" i="23"/>
  <c r="W19" i="23"/>
  <c r="X19" i="23"/>
  <c r="Y19" i="23"/>
  <c r="Y23" i="23"/>
  <c r="B26" i="23"/>
  <c r="C26" i="23"/>
  <c r="D26" i="23"/>
  <c r="E26" i="23"/>
  <c r="F26" i="23"/>
  <c r="G26" i="23"/>
  <c r="H26" i="23"/>
  <c r="I26" i="23"/>
  <c r="J26" i="23"/>
  <c r="K26" i="23"/>
  <c r="L26" i="23"/>
  <c r="M26" i="23"/>
  <c r="N26" i="23"/>
  <c r="O26" i="23"/>
  <c r="P26" i="23"/>
  <c r="Q26" i="23"/>
  <c r="R26" i="23"/>
  <c r="S26" i="23"/>
  <c r="T26" i="23"/>
  <c r="U26" i="23"/>
  <c r="V26" i="23"/>
  <c r="W26" i="23"/>
  <c r="X26" i="23"/>
  <c r="Y26" i="23"/>
  <c r="Y36" i="23"/>
  <c r="X36" i="23"/>
  <c r="W36" i="23"/>
  <c r="W4" i="40" s="1"/>
  <c r="V36" i="23"/>
  <c r="V4" i="40" s="1"/>
  <c r="U36" i="23"/>
  <c r="T36" i="23"/>
  <c r="S36" i="23"/>
  <c r="R36" i="23"/>
  <c r="Q36" i="23"/>
  <c r="P36" i="23"/>
  <c r="O36" i="23"/>
  <c r="N36" i="23"/>
  <c r="M36" i="23"/>
  <c r="L36" i="23"/>
  <c r="K36" i="23"/>
  <c r="J36" i="23"/>
  <c r="J4" i="40" s="1"/>
  <c r="I36" i="23"/>
  <c r="H36" i="23"/>
  <c r="H4" i="40" s="1"/>
  <c r="G36" i="23"/>
  <c r="G4" i="40" s="1"/>
  <c r="F36" i="23"/>
  <c r="F4" i="40" s="1"/>
  <c r="E36" i="23"/>
  <c r="E4" i="40" s="1"/>
  <c r="D36" i="23"/>
  <c r="D4" i="40" s="1"/>
  <c r="C36" i="23"/>
  <c r="C4" i="40" s="1"/>
  <c r="B36" i="23"/>
  <c r="B4" i="40" s="1"/>
  <c r="Y35" i="23"/>
  <c r="Y86" i="23" s="1"/>
  <c r="X35" i="23"/>
  <c r="X86" i="23" s="1"/>
  <c r="W35" i="23"/>
  <c r="W86" i="23" s="1"/>
  <c r="V35" i="23"/>
  <c r="V86" i="23" s="1"/>
  <c r="U35" i="23"/>
  <c r="U86" i="23" s="1"/>
  <c r="T35" i="23"/>
  <c r="S35" i="23"/>
  <c r="R35" i="23"/>
  <c r="R86" i="23" s="1"/>
  <c r="Q35" i="23"/>
  <c r="P35" i="23"/>
  <c r="O35" i="23"/>
  <c r="N35" i="23"/>
  <c r="M35" i="23"/>
  <c r="M3" i="40" s="1"/>
  <c r="L35" i="23"/>
  <c r="K35" i="23"/>
  <c r="J35" i="23"/>
  <c r="I35" i="23"/>
  <c r="H35" i="23"/>
  <c r="G35" i="23"/>
  <c r="F35" i="23"/>
  <c r="E35" i="23"/>
  <c r="D35" i="23"/>
  <c r="C35" i="23"/>
  <c r="B35" i="23"/>
  <c r="B3" i="40" s="1"/>
  <c r="C84" i="23"/>
  <c r="D84" i="23"/>
  <c r="E84" i="23"/>
  <c r="F84" i="23"/>
  <c r="G84" i="23"/>
  <c r="H84" i="23"/>
  <c r="I84" i="23"/>
  <c r="J84" i="23"/>
  <c r="K84" i="23"/>
  <c r="L84" i="23"/>
  <c r="M84" i="23"/>
  <c r="N84" i="23"/>
  <c r="O84" i="23"/>
  <c r="P84" i="23"/>
  <c r="Q84" i="23"/>
  <c r="R84" i="23"/>
  <c r="S84" i="23"/>
  <c r="T84" i="23"/>
  <c r="U84" i="23"/>
  <c r="V84" i="23"/>
  <c r="W84" i="23"/>
  <c r="X84" i="23"/>
  <c r="Y84" i="23"/>
  <c r="S86" i="23"/>
  <c r="T86" i="23"/>
  <c r="O91" i="23"/>
  <c r="B84" i="23"/>
  <c r="A86" i="23"/>
  <c r="A87" i="23"/>
  <c r="A88" i="23"/>
  <c r="A89" i="23"/>
  <c r="A90" i="23"/>
  <c r="A91" i="23"/>
  <c r="A92" i="23"/>
  <c r="A93" i="23"/>
  <c r="A85" i="23"/>
  <c r="Y38" i="23"/>
  <c r="Y89" i="23" s="1"/>
  <c r="Y41" i="23"/>
  <c r="X41" i="23"/>
  <c r="W41" i="23"/>
  <c r="V41" i="23"/>
  <c r="U41" i="23"/>
  <c r="U9" i="40" s="1"/>
  <c r="T41" i="23"/>
  <c r="T9" i="40" s="1"/>
  <c r="S41" i="23"/>
  <c r="S9" i="40" s="1"/>
  <c r="R41" i="23"/>
  <c r="R9" i="40" s="1"/>
  <c r="Q41" i="23"/>
  <c r="P41" i="23"/>
  <c r="O41" i="23"/>
  <c r="N41" i="23"/>
  <c r="M41" i="23"/>
  <c r="M9" i="40" s="1"/>
  <c r="L41" i="23"/>
  <c r="L9" i="40" s="1"/>
  <c r="K41" i="23"/>
  <c r="K9" i="40" s="1"/>
  <c r="J41" i="23"/>
  <c r="J9" i="40" s="1"/>
  <c r="I41" i="23"/>
  <c r="H41" i="23"/>
  <c r="G41" i="23"/>
  <c r="F41" i="23"/>
  <c r="E41" i="23"/>
  <c r="E9" i="40" s="1"/>
  <c r="D41" i="23"/>
  <c r="D9" i="40" s="1"/>
  <c r="C41" i="23"/>
  <c r="C9" i="40" s="1"/>
  <c r="B41" i="23"/>
  <c r="B9" i="40" s="1"/>
  <c r="Y40" i="23"/>
  <c r="X40" i="23"/>
  <c r="W40" i="23"/>
  <c r="V40" i="23"/>
  <c r="U40" i="23"/>
  <c r="T40" i="23"/>
  <c r="T8" i="40" s="1"/>
  <c r="S40" i="23"/>
  <c r="R40" i="23"/>
  <c r="Q40" i="23"/>
  <c r="Q8" i="40" s="1"/>
  <c r="P40" i="23"/>
  <c r="P8" i="40" s="1"/>
  <c r="O40" i="23"/>
  <c r="O8" i="40" s="1"/>
  <c r="N40" i="23"/>
  <c r="N8" i="40" s="1"/>
  <c r="M40" i="23"/>
  <c r="M8" i="40" s="1"/>
  <c r="L40" i="23"/>
  <c r="K40" i="23"/>
  <c r="J40" i="23"/>
  <c r="I40" i="23"/>
  <c r="H40" i="23"/>
  <c r="G40" i="23"/>
  <c r="F40" i="23"/>
  <c r="E40" i="23"/>
  <c r="D40" i="23"/>
  <c r="D8" i="40" s="1"/>
  <c r="C40" i="23"/>
  <c r="B40" i="23"/>
  <c r="Y39" i="23"/>
  <c r="Y90" i="23" s="1"/>
  <c r="X39" i="23"/>
  <c r="W39" i="23"/>
  <c r="V39" i="23"/>
  <c r="U39" i="23"/>
  <c r="T39" i="23"/>
  <c r="S39" i="23"/>
  <c r="R39" i="23"/>
  <c r="Q39" i="23"/>
  <c r="P39" i="23"/>
  <c r="O39" i="23"/>
  <c r="N39" i="23"/>
  <c r="M39" i="23"/>
  <c r="L39" i="23"/>
  <c r="K39" i="23"/>
  <c r="J39" i="23"/>
  <c r="I39" i="23"/>
  <c r="H39" i="23"/>
  <c r="G39" i="23"/>
  <c r="F39" i="23"/>
  <c r="E39" i="23"/>
  <c r="D39" i="23"/>
  <c r="C39" i="23"/>
  <c r="B39" i="23"/>
  <c r="B34" i="23"/>
  <c r="B2" i="40" s="1"/>
  <c r="A35" i="23"/>
  <c r="A36" i="23"/>
  <c r="A37" i="23"/>
  <c r="A38" i="23"/>
  <c r="A39" i="23"/>
  <c r="A40" i="23"/>
  <c r="A41" i="23"/>
  <c r="A42" i="23"/>
  <c r="A34" i="23"/>
  <c r="F55" i="23"/>
  <c r="F8" i="41" s="1"/>
  <c r="V51" i="23"/>
  <c r="U51" i="23"/>
  <c r="T51" i="23"/>
  <c r="Q51" i="23"/>
  <c r="F51" i="23"/>
  <c r="F4" i="41" s="1"/>
  <c r="E51" i="23"/>
  <c r="E4" i="41" s="1"/>
  <c r="R50" i="23"/>
  <c r="I50" i="23"/>
  <c r="I3" i="41" s="1"/>
  <c r="H50" i="23"/>
  <c r="H3" i="41" s="1"/>
  <c r="A50" i="23"/>
  <c r="T52" i="23"/>
  <c r="U52" i="23"/>
  <c r="V52" i="23"/>
  <c r="W52" i="23"/>
  <c r="X52" i="23"/>
  <c r="Y52" i="23"/>
  <c r="P52" i="38" l="1"/>
  <c r="P82" i="38" s="1"/>
  <c r="AF52" i="38"/>
  <c r="AF82" i="38" s="1"/>
  <c r="D52" i="38"/>
  <c r="D82" i="38" s="1"/>
  <c r="AJ52" i="38"/>
  <c r="AJ82" i="38" s="1"/>
  <c r="AV52" i="38"/>
  <c r="AV82" i="38" s="1"/>
  <c r="T52" i="38"/>
  <c r="T82" i="38" s="1"/>
  <c r="AT52" i="38"/>
  <c r="AT82" i="38" s="1"/>
  <c r="AR52" i="38"/>
  <c r="AR82" i="38" s="1"/>
  <c r="Z52" i="38"/>
  <c r="Z82" i="38" s="1"/>
  <c r="R52" i="38"/>
  <c r="R82" i="38" s="1"/>
  <c r="AN52" i="38"/>
  <c r="AN82" i="38" s="1"/>
  <c r="V52" i="38"/>
  <c r="V82" i="38" s="1"/>
  <c r="AD52" i="38"/>
  <c r="AD82" i="38" s="1"/>
  <c r="N52" i="38"/>
  <c r="N82" i="38" s="1"/>
  <c r="J52" i="38"/>
  <c r="J82" i="38" s="1"/>
  <c r="AL52" i="38"/>
  <c r="AL82" i="38" s="1"/>
  <c r="AH52" i="38"/>
  <c r="AH82" i="38" s="1"/>
  <c r="X52" i="38"/>
  <c r="X82" i="38" s="1"/>
  <c r="B52" i="38"/>
  <c r="B82" i="38" s="1"/>
  <c r="L52" i="38"/>
  <c r="L82" i="38" s="1"/>
  <c r="AB52" i="38"/>
  <c r="AB82" i="38" s="1"/>
  <c r="H52" i="38"/>
  <c r="H82" i="38" s="1"/>
  <c r="F52" i="38"/>
  <c r="F82" i="38" s="1"/>
  <c r="AP52" i="38"/>
  <c r="AP82" i="38" s="1"/>
  <c r="B92" i="23"/>
  <c r="Z52" i="21"/>
  <c r="Z82" i="21" s="1"/>
  <c r="AJ52" i="21"/>
  <c r="AJ82" i="21" s="1"/>
  <c r="AF52" i="21"/>
  <c r="AF82" i="21" s="1"/>
  <c r="AV52" i="21"/>
  <c r="AV82" i="21" s="1"/>
  <c r="P52" i="21"/>
  <c r="P82" i="21" s="1"/>
  <c r="D52" i="21"/>
  <c r="D82" i="21" s="1"/>
  <c r="T52" i="21"/>
  <c r="T82" i="21" s="1"/>
  <c r="AP52" i="21"/>
  <c r="AP82" i="21" s="1"/>
  <c r="J52" i="21"/>
  <c r="J82" i="21" s="1"/>
  <c r="N52" i="21"/>
  <c r="N82" i="21" s="1"/>
  <c r="B52" i="21"/>
  <c r="B82" i="21" s="1"/>
  <c r="AR52" i="21"/>
  <c r="AR82" i="21" s="1"/>
  <c r="AN52" i="21"/>
  <c r="AN82" i="21" s="1"/>
  <c r="L52" i="21"/>
  <c r="L82" i="21" s="1"/>
  <c r="X52" i="21"/>
  <c r="X82" i="21" s="1"/>
  <c r="R52" i="21"/>
  <c r="R82" i="21" s="1"/>
  <c r="AH52" i="21"/>
  <c r="AH82" i="21" s="1"/>
  <c r="AL52" i="21"/>
  <c r="AL82" i="21" s="1"/>
  <c r="AD52" i="21"/>
  <c r="AD82" i="21" s="1"/>
  <c r="AT52" i="21"/>
  <c r="AT82" i="21" s="1"/>
  <c r="F52" i="21"/>
  <c r="F82" i="21" s="1"/>
  <c r="H52" i="21"/>
  <c r="H82" i="21" s="1"/>
  <c r="AB52" i="21"/>
  <c r="AB82" i="21" s="1"/>
  <c r="V52" i="21"/>
  <c r="V82" i="21" s="1"/>
  <c r="D52" i="24"/>
  <c r="D82" i="24" s="1"/>
  <c r="AP52" i="24"/>
  <c r="AP82" i="24" s="1"/>
  <c r="J52" i="24"/>
  <c r="J82" i="24" s="1"/>
  <c r="AF52" i="24"/>
  <c r="AF82" i="24" s="1"/>
  <c r="T52" i="24"/>
  <c r="T82" i="24" s="1"/>
  <c r="AV52" i="24"/>
  <c r="AV82" i="24" s="1"/>
  <c r="Z52" i="24"/>
  <c r="Z82" i="24" s="1"/>
  <c r="AT52" i="24"/>
  <c r="AT82" i="24" s="1"/>
  <c r="P52" i="24"/>
  <c r="P82" i="24" s="1"/>
  <c r="AJ52" i="24"/>
  <c r="AJ82" i="24" s="1"/>
  <c r="N52" i="24"/>
  <c r="N82" i="24" s="1"/>
  <c r="AD52" i="24"/>
  <c r="AD82" i="24" s="1"/>
  <c r="AL52" i="24"/>
  <c r="AL82" i="24" s="1"/>
  <c r="H52" i="24"/>
  <c r="H82" i="24" s="1"/>
  <c r="AN52" i="24"/>
  <c r="AN82" i="24" s="1"/>
  <c r="AH52" i="24"/>
  <c r="AH82" i="24" s="1"/>
  <c r="R52" i="24"/>
  <c r="R82" i="24" s="1"/>
  <c r="AR52" i="24"/>
  <c r="AR82" i="24" s="1"/>
  <c r="V52" i="24"/>
  <c r="V82" i="24" s="1"/>
  <c r="F52" i="24"/>
  <c r="F82" i="24" s="1"/>
  <c r="L52" i="24"/>
  <c r="L82" i="24" s="1"/>
  <c r="X52" i="24"/>
  <c r="X82" i="24" s="1"/>
  <c r="B52" i="24"/>
  <c r="B82" i="24" s="1"/>
  <c r="AB52" i="24"/>
  <c r="AB82" i="24" s="1"/>
  <c r="P52" i="18"/>
  <c r="P82" i="18" s="1"/>
  <c r="AF52" i="18"/>
  <c r="AF82" i="18" s="1"/>
  <c r="AJ52" i="18"/>
  <c r="AJ82" i="18" s="1"/>
  <c r="D52" i="18"/>
  <c r="D82" i="18" s="1"/>
  <c r="T52" i="18"/>
  <c r="T82" i="18" s="1"/>
  <c r="AV52" i="18"/>
  <c r="AV82" i="18" s="1"/>
  <c r="V52" i="18"/>
  <c r="V82" i="18" s="1"/>
  <c r="L52" i="18"/>
  <c r="L82" i="18" s="1"/>
  <c r="X52" i="18"/>
  <c r="X82" i="18" s="1"/>
  <c r="AT52" i="18"/>
  <c r="AT82" i="18" s="1"/>
  <c r="AD52" i="18"/>
  <c r="AD82" i="18" s="1"/>
  <c r="AL52" i="18"/>
  <c r="AL82" i="18" s="1"/>
  <c r="AN52" i="18"/>
  <c r="AN82" i="18" s="1"/>
  <c r="Z52" i="18"/>
  <c r="Z82" i="18" s="1"/>
  <c r="AB52" i="18"/>
  <c r="AB82" i="18" s="1"/>
  <c r="B52" i="18"/>
  <c r="B82" i="18" s="1"/>
  <c r="AH52" i="18"/>
  <c r="AH82" i="18" s="1"/>
  <c r="F52" i="18"/>
  <c r="F82" i="18" s="1"/>
  <c r="H52" i="18"/>
  <c r="H82" i="18" s="1"/>
  <c r="AP52" i="18"/>
  <c r="AP82" i="18" s="1"/>
  <c r="AR52" i="18"/>
  <c r="AR82" i="18" s="1"/>
  <c r="N52" i="18"/>
  <c r="N82" i="18" s="1"/>
  <c r="J52" i="18"/>
  <c r="J82" i="18" s="1"/>
  <c r="R52" i="18"/>
  <c r="R82" i="18" s="1"/>
  <c r="AV52" i="22"/>
  <c r="AV82" i="22" s="1"/>
  <c r="Z52" i="22"/>
  <c r="Z82" i="22" s="1"/>
  <c r="AJ52" i="22"/>
  <c r="AJ82" i="22" s="1"/>
  <c r="J52" i="22"/>
  <c r="J82" i="22" s="1"/>
  <c r="AT52" i="22"/>
  <c r="AT82" i="22" s="1"/>
  <c r="T52" i="22"/>
  <c r="T82" i="22" s="1"/>
  <c r="AP52" i="22"/>
  <c r="AP82" i="22" s="1"/>
  <c r="P52" i="22"/>
  <c r="P82" i="22" s="1"/>
  <c r="AF52" i="22"/>
  <c r="AF82" i="22" s="1"/>
  <c r="D52" i="22"/>
  <c r="D82" i="22" s="1"/>
  <c r="AD52" i="22"/>
  <c r="AD82" i="22" s="1"/>
  <c r="F52" i="22"/>
  <c r="F82" i="22" s="1"/>
  <c r="AB52" i="22"/>
  <c r="AB82" i="22" s="1"/>
  <c r="H52" i="22"/>
  <c r="H82" i="22" s="1"/>
  <c r="AR52" i="22"/>
  <c r="AR82" i="22" s="1"/>
  <c r="AH52" i="22"/>
  <c r="AH82" i="22" s="1"/>
  <c r="B52" i="22"/>
  <c r="B82" i="22" s="1"/>
  <c r="AN52" i="22"/>
  <c r="AN82" i="22" s="1"/>
  <c r="R52" i="22"/>
  <c r="R82" i="22" s="1"/>
  <c r="V52" i="22"/>
  <c r="V82" i="22" s="1"/>
  <c r="X52" i="22"/>
  <c r="X82" i="22" s="1"/>
  <c r="N52" i="22"/>
  <c r="N82" i="22" s="1"/>
  <c r="AL52" i="22"/>
  <c r="AL82" i="22" s="1"/>
  <c r="L52" i="22"/>
  <c r="L82" i="22" s="1"/>
  <c r="AJ52" i="12"/>
  <c r="AJ82" i="12" s="1"/>
  <c r="P52" i="12"/>
  <c r="P82" i="12" s="1"/>
  <c r="D52" i="12"/>
  <c r="D82" i="12" s="1"/>
  <c r="AF52" i="12"/>
  <c r="AF82" i="12" s="1"/>
  <c r="T52" i="12"/>
  <c r="T82" i="12" s="1"/>
  <c r="AV52" i="12"/>
  <c r="AV82" i="12" s="1"/>
  <c r="L52" i="12"/>
  <c r="L82" i="12" s="1"/>
  <c r="AH52" i="12"/>
  <c r="AH82" i="12" s="1"/>
  <c r="F52" i="12"/>
  <c r="F82" i="12" s="1"/>
  <c r="R52" i="12"/>
  <c r="R82" i="12" s="1"/>
  <c r="N52" i="12"/>
  <c r="N82" i="12" s="1"/>
  <c r="AD52" i="12"/>
  <c r="AD82" i="12" s="1"/>
  <c r="J52" i="12"/>
  <c r="J82" i="12" s="1"/>
  <c r="H52" i="12"/>
  <c r="H82" i="12" s="1"/>
  <c r="V52" i="12"/>
  <c r="V82" i="12" s="1"/>
  <c r="B52" i="12"/>
  <c r="B82" i="12" s="1"/>
  <c r="AT52" i="12"/>
  <c r="AT82" i="12" s="1"/>
  <c r="X52" i="12"/>
  <c r="X82" i="12" s="1"/>
  <c r="Z52" i="12"/>
  <c r="Z82" i="12" s="1"/>
  <c r="AB52" i="12"/>
  <c r="AB82" i="12" s="1"/>
  <c r="AN52" i="12"/>
  <c r="AN82" i="12" s="1"/>
  <c r="AP52" i="12"/>
  <c r="AP82" i="12" s="1"/>
  <c r="AR52" i="12"/>
  <c r="AR82" i="12" s="1"/>
  <c r="AL52" i="12"/>
  <c r="AL82" i="12" s="1"/>
  <c r="AJ52" i="11"/>
  <c r="AJ82" i="11" s="1"/>
  <c r="J52" i="11"/>
  <c r="J82" i="11" s="1"/>
  <c r="AF52" i="11"/>
  <c r="AF82" i="11" s="1"/>
  <c r="D52" i="11"/>
  <c r="D82" i="11" s="1"/>
  <c r="T52" i="11"/>
  <c r="T82" i="11" s="1"/>
  <c r="AP52" i="11"/>
  <c r="AP82" i="11" s="1"/>
  <c r="AV52" i="11"/>
  <c r="AV82" i="11" s="1"/>
  <c r="Z52" i="11"/>
  <c r="Z82" i="11" s="1"/>
  <c r="P52" i="11"/>
  <c r="P82" i="11" s="1"/>
  <c r="X52" i="11"/>
  <c r="X82" i="11" s="1"/>
  <c r="AT52" i="11"/>
  <c r="AT82" i="11" s="1"/>
  <c r="B52" i="11"/>
  <c r="B82" i="11" s="1"/>
  <c r="AB52" i="11"/>
  <c r="AB82" i="11" s="1"/>
  <c r="AD52" i="11"/>
  <c r="AD82" i="11" s="1"/>
  <c r="L52" i="11"/>
  <c r="L82" i="11" s="1"/>
  <c r="R52" i="11"/>
  <c r="R82" i="11" s="1"/>
  <c r="AH52" i="11"/>
  <c r="AH82" i="11" s="1"/>
  <c r="N52" i="11"/>
  <c r="N82" i="11" s="1"/>
  <c r="F52" i="11"/>
  <c r="F82" i="11" s="1"/>
  <c r="AN52" i="11"/>
  <c r="AN82" i="11" s="1"/>
  <c r="V52" i="11"/>
  <c r="V82" i="11" s="1"/>
  <c r="AR52" i="11"/>
  <c r="AR82" i="11" s="1"/>
  <c r="AL52" i="11"/>
  <c r="AL82" i="11" s="1"/>
  <c r="H52" i="11"/>
  <c r="H82" i="11" s="1"/>
  <c r="N91" i="23"/>
  <c r="M91" i="23"/>
  <c r="B91" i="23"/>
  <c r="B8" i="40"/>
  <c r="R91" i="23"/>
  <c r="R8" i="40"/>
  <c r="C91" i="23"/>
  <c r="C8" i="40"/>
  <c r="S91" i="23"/>
  <c r="S8" i="40"/>
  <c r="D91" i="23"/>
  <c r="U91" i="23"/>
  <c r="U8" i="40"/>
  <c r="V91" i="23"/>
  <c r="V8" i="40"/>
  <c r="G91" i="23"/>
  <c r="G8" i="40"/>
  <c r="W91" i="23"/>
  <c r="E91" i="23"/>
  <c r="E8" i="40"/>
  <c r="H91" i="23"/>
  <c r="H8" i="40"/>
  <c r="X91" i="23"/>
  <c r="F91" i="23"/>
  <c r="F8" i="40"/>
  <c r="I91" i="23"/>
  <c r="I8" i="40"/>
  <c r="Y91" i="23"/>
  <c r="J91" i="23"/>
  <c r="J8" i="40"/>
  <c r="K91" i="23"/>
  <c r="K8" i="40"/>
  <c r="L91" i="23"/>
  <c r="L8" i="40"/>
  <c r="T91" i="23"/>
  <c r="Q91" i="23"/>
  <c r="P91" i="23"/>
  <c r="R92" i="23"/>
  <c r="M92" i="23"/>
  <c r="L92" i="23"/>
  <c r="J92" i="23"/>
  <c r="T92" i="23"/>
  <c r="S92" i="23"/>
  <c r="K92" i="23"/>
  <c r="N92" i="23"/>
  <c r="N9" i="40"/>
  <c r="E92" i="23"/>
  <c r="D92" i="23"/>
  <c r="P92" i="23"/>
  <c r="P9" i="40"/>
  <c r="C92" i="23"/>
  <c r="Y69" i="23"/>
  <c r="F92" i="23"/>
  <c r="F9" i="40"/>
  <c r="V92" i="23"/>
  <c r="V9" i="40"/>
  <c r="W92" i="23"/>
  <c r="W9" i="40"/>
  <c r="X92" i="23"/>
  <c r="X9" i="40"/>
  <c r="I92" i="23"/>
  <c r="I9" i="40"/>
  <c r="Y92" i="23"/>
  <c r="Y9" i="40"/>
  <c r="O92" i="23"/>
  <c r="O9" i="40"/>
  <c r="Q92" i="23"/>
  <c r="Q9" i="40"/>
  <c r="U92" i="23"/>
  <c r="G92" i="23"/>
  <c r="G9" i="40"/>
  <c r="H92" i="23"/>
  <c r="H9" i="40"/>
  <c r="N90" i="23"/>
  <c r="P90" i="23"/>
  <c r="O90" i="23"/>
  <c r="Q90" i="23"/>
  <c r="G90" i="23"/>
  <c r="G7" i="40"/>
  <c r="W90" i="23"/>
  <c r="H90" i="23"/>
  <c r="H7" i="40"/>
  <c r="X90" i="23"/>
  <c r="E90" i="23"/>
  <c r="E7" i="40"/>
  <c r="F90" i="23"/>
  <c r="F7" i="40"/>
  <c r="I90" i="23"/>
  <c r="I7" i="40"/>
  <c r="C90" i="23"/>
  <c r="C7" i="40"/>
  <c r="D90" i="23"/>
  <c r="D7" i="40"/>
  <c r="J90" i="23"/>
  <c r="U90" i="23"/>
  <c r="K90" i="23"/>
  <c r="B90" i="23"/>
  <c r="B7" i="40"/>
  <c r="R90" i="23"/>
  <c r="S90" i="23"/>
  <c r="T90" i="23"/>
  <c r="V90" i="23"/>
  <c r="L90" i="23"/>
  <c r="M90" i="23"/>
  <c r="I86" i="23"/>
  <c r="I3" i="40"/>
  <c r="M86" i="23"/>
  <c r="J86" i="23"/>
  <c r="J3" i="40"/>
  <c r="H86" i="23"/>
  <c r="H3" i="40"/>
  <c r="Q86" i="23"/>
  <c r="K86" i="23"/>
  <c r="K3" i="40"/>
  <c r="O86" i="23"/>
  <c r="O3" i="40"/>
  <c r="L86" i="23"/>
  <c r="L3" i="40"/>
  <c r="B86" i="23"/>
  <c r="N86" i="23"/>
  <c r="N3" i="40"/>
  <c r="C86" i="23"/>
  <c r="C3" i="40"/>
  <c r="D86" i="23"/>
  <c r="D3" i="40"/>
  <c r="E86" i="23"/>
  <c r="E3" i="40"/>
  <c r="F86" i="23"/>
  <c r="F3" i="40"/>
  <c r="P86" i="23"/>
  <c r="P3" i="40"/>
  <c r="G86" i="23"/>
  <c r="G3" i="40"/>
  <c r="W87" i="23"/>
  <c r="J87" i="23"/>
  <c r="G87" i="23"/>
  <c r="F87" i="23"/>
  <c r="E87" i="23"/>
  <c r="D87" i="23"/>
  <c r="B87" i="23"/>
  <c r="C87" i="23"/>
  <c r="H87" i="23"/>
  <c r="I87" i="23"/>
  <c r="I4" i="40"/>
  <c r="O65" i="23"/>
  <c r="O4" i="41"/>
  <c r="N65" i="23"/>
  <c r="N4" i="41"/>
  <c r="P65" i="23"/>
  <c r="P4" i="41"/>
  <c r="K87" i="23"/>
  <c r="K4" i="40"/>
  <c r="R65" i="23"/>
  <c r="R4" i="41"/>
  <c r="Q87" i="23"/>
  <c r="Q4" i="40"/>
  <c r="L87" i="23"/>
  <c r="L4" i="40"/>
  <c r="W65" i="23"/>
  <c r="W4" i="41"/>
  <c r="N87" i="23"/>
  <c r="N4" i="40"/>
  <c r="X65" i="23"/>
  <c r="Y65" i="23"/>
  <c r="T65" i="23"/>
  <c r="T4" i="41"/>
  <c r="S87" i="23"/>
  <c r="S4" i="40"/>
  <c r="S65" i="23"/>
  <c r="S4" i="41"/>
  <c r="M87" i="23"/>
  <c r="M4" i="40"/>
  <c r="O87" i="23"/>
  <c r="O4" i="40"/>
  <c r="P87" i="23"/>
  <c r="P4" i="40"/>
  <c r="Q65" i="23"/>
  <c r="Q4" i="41"/>
  <c r="R87" i="23"/>
  <c r="R4" i="40"/>
  <c r="U65" i="23"/>
  <c r="U4" i="41"/>
  <c r="Y87" i="23"/>
  <c r="T87" i="23"/>
  <c r="T4" i="40"/>
  <c r="V65" i="23"/>
  <c r="V4" i="41"/>
  <c r="X87" i="23"/>
  <c r="U87" i="23"/>
  <c r="U4" i="40"/>
  <c r="K65" i="23"/>
  <c r="K4" i="41"/>
  <c r="L65" i="23"/>
  <c r="L4" i="41"/>
  <c r="V87" i="23"/>
  <c r="M65" i="23"/>
  <c r="M4" i="41"/>
  <c r="B85" i="23"/>
  <c r="E57" i="1" l="1"/>
  <c r="G8" i="1" l="1"/>
  <c r="F8" i="1"/>
  <c r="A17" i="23" l="1"/>
  <c r="A18" i="23"/>
  <c r="A19" i="23"/>
  <c r="A20" i="23"/>
  <c r="A21" i="23"/>
  <c r="A22" i="23"/>
  <c r="A23" i="23"/>
  <c r="A24" i="23"/>
  <c r="A25" i="23"/>
  <c r="A26" i="23"/>
  <c r="A16" i="23"/>
  <c r="R19" i="23"/>
  <c r="Q4" i="23"/>
  <c r="P4" i="23"/>
  <c r="O4" i="23"/>
  <c r="N4" i="23"/>
  <c r="M4" i="23"/>
  <c r="L4" i="23"/>
  <c r="K4" i="23"/>
  <c r="J4" i="23"/>
  <c r="I4" i="23"/>
  <c r="H4" i="23"/>
  <c r="G4" i="23"/>
  <c r="F4" i="23"/>
  <c r="E4" i="23"/>
  <c r="D4" i="23"/>
  <c r="C4" i="23"/>
  <c r="B4" i="23"/>
  <c r="Y5" i="23"/>
  <c r="W5" i="23"/>
  <c r="V5" i="23"/>
  <c r="U5" i="23"/>
  <c r="T5" i="23"/>
  <c r="S5" i="23"/>
  <c r="R5" i="23"/>
  <c r="Q5" i="23"/>
  <c r="P5" i="23"/>
  <c r="O5" i="23"/>
  <c r="N5" i="23"/>
  <c r="M5" i="23"/>
  <c r="L5" i="23"/>
  <c r="K5" i="23"/>
  <c r="J5" i="23"/>
  <c r="I5" i="23"/>
  <c r="H5" i="23"/>
  <c r="G5" i="23"/>
  <c r="F5" i="23"/>
  <c r="E5" i="23"/>
  <c r="D5" i="23"/>
  <c r="C5" i="23"/>
  <c r="B5" i="23"/>
  <c r="N19" i="23" l="1"/>
  <c r="N3" i="42"/>
  <c r="P19" i="23"/>
  <c r="P3" i="42"/>
  <c r="B19" i="23"/>
  <c r="B3" i="42"/>
  <c r="C19" i="23"/>
  <c r="C3" i="42"/>
  <c r="D19" i="23"/>
  <c r="D3" i="42"/>
  <c r="H19" i="23"/>
  <c r="H3" i="42"/>
  <c r="L19" i="23"/>
  <c r="L3" i="42"/>
  <c r="O19" i="23"/>
  <c r="O3" i="42"/>
  <c r="Q19" i="23"/>
  <c r="E19" i="23"/>
  <c r="E3" i="42"/>
  <c r="F19" i="23"/>
  <c r="F3" i="42"/>
  <c r="G19" i="23"/>
  <c r="G3" i="42"/>
  <c r="I19" i="23"/>
  <c r="I3" i="42"/>
  <c r="J19" i="23"/>
  <c r="J3" i="42"/>
  <c r="K19" i="23"/>
  <c r="K3" i="42"/>
  <c r="M19" i="23"/>
  <c r="M3" i="42"/>
  <c r="F4" i="42"/>
  <c r="F20" i="23"/>
  <c r="V4" i="42"/>
  <c r="V20" i="23"/>
  <c r="G4" i="42"/>
  <c r="G20" i="23"/>
  <c r="W4" i="42"/>
  <c r="W20" i="23"/>
  <c r="H4" i="42"/>
  <c r="H20" i="23"/>
  <c r="X20" i="23"/>
  <c r="I4" i="42"/>
  <c r="I20" i="23"/>
  <c r="Y20" i="23"/>
  <c r="J4" i="42"/>
  <c r="J20" i="23"/>
  <c r="K4" i="42"/>
  <c r="K20" i="23"/>
  <c r="L4" i="42"/>
  <c r="L20" i="23"/>
  <c r="M4" i="42"/>
  <c r="M20" i="23"/>
  <c r="N4" i="42"/>
  <c r="N20" i="23"/>
  <c r="O4" i="42"/>
  <c r="O20" i="23"/>
  <c r="P4" i="42"/>
  <c r="P20" i="23"/>
  <c r="Q4" i="42"/>
  <c r="Q20" i="23"/>
  <c r="B4" i="42"/>
  <c r="B20" i="23"/>
  <c r="R4" i="42"/>
  <c r="R20" i="23"/>
  <c r="C4" i="42"/>
  <c r="C20" i="23"/>
  <c r="S4" i="42"/>
  <c r="S20" i="23"/>
  <c r="D4" i="42"/>
  <c r="D20" i="23"/>
  <c r="T4" i="42"/>
  <c r="T20" i="23"/>
  <c r="E4" i="42"/>
  <c r="E20" i="23"/>
  <c r="U4" i="42"/>
  <c r="U20" i="23"/>
  <c r="B51" i="3"/>
  <c r="B81" i="3" s="1"/>
  <c r="AV79" i="3" a="1"/>
  <c r="AV79" i="3" s="1"/>
  <c r="AT79" i="3" a="1"/>
  <c r="AT79" i="3" s="1"/>
  <c r="AR79" i="3" a="1"/>
  <c r="AR79" i="3" s="1"/>
  <c r="AP79" i="3" a="1"/>
  <c r="AP79" i="3" s="1"/>
  <c r="AN79" i="3" a="1"/>
  <c r="AN79" i="3" s="1"/>
  <c r="AL79" i="3" a="1"/>
  <c r="AL79" i="3" s="1"/>
  <c r="AJ79" i="3" a="1"/>
  <c r="AJ79" i="3" s="1"/>
  <c r="AH79" i="3" a="1"/>
  <c r="AH79" i="3" s="1"/>
  <c r="AF79" i="3" a="1"/>
  <c r="AF79" i="3" s="1"/>
  <c r="AD79" i="3" a="1"/>
  <c r="AD79" i="3" s="1"/>
  <c r="AB79" i="3" a="1"/>
  <c r="AB79" i="3" s="1"/>
  <c r="Z79" i="3" a="1"/>
  <c r="Z79" i="3" s="1"/>
  <c r="X79" i="3" a="1"/>
  <c r="X79" i="3" s="1"/>
  <c r="V79" i="3" a="1"/>
  <c r="V79" i="3" s="1"/>
  <c r="T79" i="3" a="1"/>
  <c r="T79" i="3" s="1"/>
  <c r="R79" i="3" a="1"/>
  <c r="R79" i="3" s="1"/>
  <c r="P79" i="3" a="1"/>
  <c r="P79" i="3" s="1"/>
  <c r="N79" i="3" a="1"/>
  <c r="N79" i="3" s="1"/>
  <c r="L79" i="3" a="1"/>
  <c r="L79" i="3" s="1"/>
  <c r="J79" i="3" a="1"/>
  <c r="J79" i="3" s="1"/>
  <c r="H79" i="3" a="1"/>
  <c r="H79" i="3" s="1"/>
  <c r="F79" i="3" a="1"/>
  <c r="F79" i="3" s="1"/>
  <c r="D79" i="3" a="1"/>
  <c r="D79" i="3" s="1"/>
  <c r="B79" i="3" a="1"/>
  <c r="B79" i="3" s="1"/>
  <c r="AV78" i="3" a="1"/>
  <c r="AV78" i="3" s="1"/>
  <c r="AT78" i="3" a="1"/>
  <c r="AT78" i="3" s="1"/>
  <c r="AR78" i="3" a="1"/>
  <c r="AR78" i="3" s="1"/>
  <c r="AP78" i="3" a="1"/>
  <c r="AP78" i="3" s="1"/>
  <c r="AN78" i="3" a="1"/>
  <c r="AN78" i="3" s="1"/>
  <c r="AL78" i="3" a="1"/>
  <c r="AL78" i="3" s="1"/>
  <c r="AJ78" i="3" a="1"/>
  <c r="AJ78" i="3" s="1"/>
  <c r="AH78" i="3" a="1"/>
  <c r="AH78" i="3" s="1"/>
  <c r="AF78" i="3" a="1"/>
  <c r="AF78" i="3" s="1"/>
  <c r="AD78" i="3" a="1"/>
  <c r="AD78" i="3" s="1"/>
  <c r="AB78" i="3" a="1"/>
  <c r="AB78" i="3" s="1"/>
  <c r="Z78" i="3" a="1"/>
  <c r="Z78" i="3" s="1"/>
  <c r="X78" i="3" a="1"/>
  <c r="X78" i="3" s="1"/>
  <c r="V78" i="3"/>
  <c r="V78" i="3" a="1"/>
  <c r="T78" i="3" a="1"/>
  <c r="T78" i="3" s="1"/>
  <c r="R78" i="3" a="1"/>
  <c r="R78" i="3" s="1"/>
  <c r="P78" i="3" a="1"/>
  <c r="P78" i="3" s="1"/>
  <c r="N78" i="3" a="1"/>
  <c r="N78" i="3" s="1"/>
  <c r="L78" i="3" a="1"/>
  <c r="L78" i="3" s="1"/>
  <c r="J78" i="3" a="1"/>
  <c r="J78" i="3" s="1"/>
  <c r="H78" i="3" a="1"/>
  <c r="H78" i="3" s="1"/>
  <c r="F78" i="3" a="1"/>
  <c r="F78" i="3" s="1"/>
  <c r="D78" i="3" a="1"/>
  <c r="D78" i="3" s="1"/>
  <c r="B78" i="3" a="1"/>
  <c r="B78" i="3" s="1"/>
  <c r="AV77" i="3" a="1"/>
  <c r="AV77" i="3" s="1"/>
  <c r="AT77" i="3" a="1"/>
  <c r="AT77" i="3" s="1"/>
  <c r="AR77" i="3" a="1"/>
  <c r="AR77" i="3" s="1"/>
  <c r="AP77" i="3" a="1"/>
  <c r="AP77" i="3" s="1"/>
  <c r="AN77" i="3" a="1"/>
  <c r="AN77" i="3" s="1"/>
  <c r="AL77" i="3" a="1"/>
  <c r="AL77" i="3" s="1"/>
  <c r="AJ77" i="3" a="1"/>
  <c r="AJ77" i="3" s="1"/>
  <c r="AH77" i="3" a="1"/>
  <c r="AH77" i="3" s="1"/>
  <c r="AF77" i="3" a="1"/>
  <c r="AF77" i="3" s="1"/>
  <c r="AD77" i="3" a="1"/>
  <c r="AD77" i="3" s="1"/>
  <c r="AB77" i="3" a="1"/>
  <c r="AB77" i="3" s="1"/>
  <c r="Z77" i="3" a="1"/>
  <c r="Z77" i="3" s="1"/>
  <c r="X77" i="3" a="1"/>
  <c r="X77" i="3" s="1"/>
  <c r="V77" i="3" a="1"/>
  <c r="V77" i="3" s="1"/>
  <c r="T77" i="3" a="1"/>
  <c r="T77" i="3" s="1"/>
  <c r="R77" i="3" a="1"/>
  <c r="R77" i="3" s="1"/>
  <c r="P77" i="3" a="1"/>
  <c r="P77" i="3" s="1"/>
  <c r="N77" i="3" a="1"/>
  <c r="N77" i="3" s="1"/>
  <c r="L77" i="3" a="1"/>
  <c r="L77" i="3" s="1"/>
  <c r="J77" i="3" a="1"/>
  <c r="J77" i="3" s="1"/>
  <c r="H77" i="3" a="1"/>
  <c r="H77" i="3" s="1"/>
  <c r="F77" i="3" a="1"/>
  <c r="F77" i="3" s="1"/>
  <c r="D77" i="3" a="1"/>
  <c r="D77" i="3" s="1"/>
  <c r="B77" i="3" a="1"/>
  <c r="B77" i="3" s="1"/>
  <c r="AV76" i="3" a="1"/>
  <c r="AV76" i="3" s="1"/>
  <c r="AT76" i="3" a="1"/>
  <c r="AT76" i="3" s="1"/>
  <c r="AR76" i="3" a="1"/>
  <c r="AR76" i="3" s="1"/>
  <c r="AP76" i="3" a="1"/>
  <c r="AP76" i="3" s="1"/>
  <c r="AN76" i="3" a="1"/>
  <c r="AN76" i="3" s="1"/>
  <c r="AL76" i="3" a="1"/>
  <c r="AL76" i="3" s="1"/>
  <c r="AJ76" i="3" a="1"/>
  <c r="AJ76" i="3" s="1"/>
  <c r="AH76" i="3" a="1"/>
  <c r="AH76" i="3" s="1"/>
  <c r="AF76" i="3" a="1"/>
  <c r="AF76" i="3" s="1"/>
  <c r="AD76" i="3" a="1"/>
  <c r="AD76" i="3" s="1"/>
  <c r="AB76" i="3" a="1"/>
  <c r="AB76" i="3" s="1"/>
  <c r="Z76" i="3" a="1"/>
  <c r="Z76" i="3" s="1"/>
  <c r="X76" i="3" a="1"/>
  <c r="X76" i="3" s="1"/>
  <c r="V76" i="3"/>
  <c r="V76" i="3" a="1"/>
  <c r="T76" i="3" a="1"/>
  <c r="T76" i="3" s="1"/>
  <c r="R76" i="3" a="1"/>
  <c r="R76" i="3" s="1"/>
  <c r="P76" i="3" a="1"/>
  <c r="P76" i="3" s="1"/>
  <c r="N76" i="3" a="1"/>
  <c r="N76" i="3" s="1"/>
  <c r="L76" i="3" a="1"/>
  <c r="L76" i="3" s="1"/>
  <c r="J76" i="3" a="1"/>
  <c r="J76" i="3" s="1"/>
  <c r="H76" i="3" a="1"/>
  <c r="H76" i="3" s="1"/>
  <c r="F76" i="3" a="1"/>
  <c r="F76" i="3" s="1"/>
  <c r="D76" i="3" a="1"/>
  <c r="D76" i="3" s="1"/>
  <c r="B76" i="3" a="1"/>
  <c r="B76" i="3" s="1"/>
  <c r="AV75" i="3" a="1"/>
  <c r="AV75" i="3" s="1"/>
  <c r="AT75" i="3" a="1"/>
  <c r="AT75" i="3" s="1"/>
  <c r="AR75" i="3" a="1"/>
  <c r="AR75" i="3" s="1"/>
  <c r="AP75" i="3" a="1"/>
  <c r="AP75" i="3" s="1"/>
  <c r="AN75" i="3" a="1"/>
  <c r="AN75" i="3" s="1"/>
  <c r="AL75" i="3"/>
  <c r="AL75" i="3" a="1"/>
  <c r="AJ75" i="3" a="1"/>
  <c r="AJ75" i="3" s="1"/>
  <c r="AH75" i="3" a="1"/>
  <c r="AH75" i="3" s="1"/>
  <c r="AF75" i="3" a="1"/>
  <c r="AF75" i="3" s="1"/>
  <c r="AD75" i="3" a="1"/>
  <c r="AD75" i="3" s="1"/>
  <c r="AB75" i="3" a="1"/>
  <c r="AB75" i="3" s="1"/>
  <c r="Z75" i="3" a="1"/>
  <c r="Z75" i="3" s="1"/>
  <c r="X75" i="3" a="1"/>
  <c r="X75" i="3" s="1"/>
  <c r="V75" i="3" a="1"/>
  <c r="V75" i="3" s="1"/>
  <c r="T75" i="3" a="1"/>
  <c r="T75" i="3" s="1"/>
  <c r="R75" i="3" a="1"/>
  <c r="R75" i="3" s="1"/>
  <c r="P75" i="3" a="1"/>
  <c r="P75" i="3" s="1"/>
  <c r="N75" i="3" a="1"/>
  <c r="N75" i="3" s="1"/>
  <c r="L75" i="3" a="1"/>
  <c r="L75" i="3" s="1"/>
  <c r="J75" i="3" a="1"/>
  <c r="J75" i="3" s="1"/>
  <c r="H75" i="3" a="1"/>
  <c r="H75" i="3" s="1"/>
  <c r="F75" i="3" a="1"/>
  <c r="F75" i="3" s="1"/>
  <c r="D75" i="3" a="1"/>
  <c r="D75" i="3" s="1"/>
  <c r="B75" i="3" a="1"/>
  <c r="B75" i="3" s="1"/>
  <c r="AV74" i="3" a="1"/>
  <c r="AV74" i="3" s="1"/>
  <c r="AT74" i="3" a="1"/>
  <c r="AT74" i="3" s="1"/>
  <c r="AR74" i="3" a="1"/>
  <c r="AR74" i="3" s="1"/>
  <c r="AP74" i="3" a="1"/>
  <c r="AP74" i="3" s="1"/>
  <c r="AN74" i="3" a="1"/>
  <c r="AN74" i="3" s="1"/>
  <c r="AL74" i="3" a="1"/>
  <c r="AL74" i="3" s="1"/>
  <c r="AJ74" i="3" a="1"/>
  <c r="AJ74" i="3" s="1"/>
  <c r="AH74" i="3" a="1"/>
  <c r="AH74" i="3" s="1"/>
  <c r="AF74" i="3" a="1"/>
  <c r="AF74" i="3" s="1"/>
  <c r="AD74" i="3" a="1"/>
  <c r="AD74" i="3" s="1"/>
  <c r="AB74" i="3" a="1"/>
  <c r="AB74" i="3" s="1"/>
  <c r="Z74" i="3" a="1"/>
  <c r="Z74" i="3" s="1"/>
  <c r="X74" i="3" a="1"/>
  <c r="X74" i="3" s="1"/>
  <c r="V74" i="3" a="1"/>
  <c r="V74" i="3" s="1"/>
  <c r="T74" i="3" a="1"/>
  <c r="T74" i="3" s="1"/>
  <c r="R74" i="3" a="1"/>
  <c r="R74" i="3" s="1"/>
  <c r="P74" i="3" a="1"/>
  <c r="P74" i="3" s="1"/>
  <c r="N74" i="3" a="1"/>
  <c r="N74" i="3" s="1"/>
  <c r="L74" i="3" a="1"/>
  <c r="L74" i="3" s="1"/>
  <c r="J74" i="3" a="1"/>
  <c r="J74" i="3" s="1"/>
  <c r="H74" i="3" a="1"/>
  <c r="H74" i="3" s="1"/>
  <c r="F74" i="3" a="1"/>
  <c r="F74" i="3" s="1"/>
  <c r="D74" i="3" a="1"/>
  <c r="D74" i="3" s="1"/>
  <c r="B74" i="3" a="1"/>
  <c r="B74" i="3" s="1"/>
  <c r="AV73" i="3" a="1"/>
  <c r="AV73" i="3" s="1"/>
  <c r="AT73" i="3" a="1"/>
  <c r="AT73" i="3" s="1"/>
  <c r="AR73" i="3" a="1"/>
  <c r="AR73" i="3" s="1"/>
  <c r="AP73" i="3" a="1"/>
  <c r="AP73" i="3" s="1"/>
  <c r="AN73" i="3" a="1"/>
  <c r="AN73" i="3" s="1"/>
  <c r="AL73" i="3"/>
  <c r="AL73" i="3" a="1"/>
  <c r="AJ73" i="3" a="1"/>
  <c r="AJ73" i="3" s="1"/>
  <c r="AH73" i="3" a="1"/>
  <c r="AH73" i="3" s="1"/>
  <c r="AF73" i="3" a="1"/>
  <c r="AF73" i="3" s="1"/>
  <c r="AD73" i="3" a="1"/>
  <c r="AD73" i="3" s="1"/>
  <c r="AB73" i="3" a="1"/>
  <c r="AB73" i="3" s="1"/>
  <c r="Z73" i="3" a="1"/>
  <c r="Z73" i="3" s="1"/>
  <c r="X73" i="3" a="1"/>
  <c r="X73" i="3" s="1"/>
  <c r="V73" i="3" a="1"/>
  <c r="V73" i="3" s="1"/>
  <c r="T73" i="3" a="1"/>
  <c r="T73" i="3" s="1"/>
  <c r="R73" i="3" a="1"/>
  <c r="R73" i="3" s="1"/>
  <c r="P73" i="3" a="1"/>
  <c r="P73" i="3" s="1"/>
  <c r="N73" i="3" a="1"/>
  <c r="N73" i="3" s="1"/>
  <c r="L73" i="3" a="1"/>
  <c r="L73" i="3" s="1"/>
  <c r="J73" i="3" a="1"/>
  <c r="J73" i="3" s="1"/>
  <c r="H73" i="3" a="1"/>
  <c r="H73" i="3" s="1"/>
  <c r="F73" i="3"/>
  <c r="F73" i="3" a="1"/>
  <c r="D73" i="3" a="1"/>
  <c r="D73" i="3" s="1"/>
  <c r="B73" i="3" a="1"/>
  <c r="B73" i="3" s="1"/>
  <c r="AV72" i="3"/>
  <c r="AT72" i="3"/>
  <c r="AR72" i="3"/>
  <c r="AP72" i="3"/>
  <c r="AN72" i="3"/>
  <c r="AL72" i="3"/>
  <c r="AJ72" i="3"/>
  <c r="AH72" i="3"/>
  <c r="AF72" i="3"/>
  <c r="AD72" i="3"/>
  <c r="AB72" i="3"/>
  <c r="Z72" i="3"/>
  <c r="X72" i="3"/>
  <c r="V72" i="3"/>
  <c r="T72" i="3"/>
  <c r="R72" i="3"/>
  <c r="P72" i="3"/>
  <c r="N72" i="3"/>
  <c r="L72" i="3"/>
  <c r="J72" i="3"/>
  <c r="H72" i="3"/>
  <c r="F72" i="3"/>
  <c r="D72" i="3"/>
  <c r="B72" i="3"/>
  <c r="AV71" i="3"/>
  <c r="AT71" i="3"/>
  <c r="AR71" i="3"/>
  <c r="AP71" i="3"/>
  <c r="AN71" i="3"/>
  <c r="AL71" i="3"/>
  <c r="AJ71" i="3"/>
  <c r="AH71" i="3"/>
  <c r="AF71" i="3"/>
  <c r="AD71" i="3"/>
  <c r="AB71" i="3"/>
  <c r="Z71" i="3"/>
  <c r="X71" i="3"/>
  <c r="V71" i="3"/>
  <c r="T71" i="3"/>
  <c r="R71" i="3"/>
  <c r="P71" i="3"/>
  <c r="N71" i="3"/>
  <c r="L71" i="3"/>
  <c r="J71" i="3"/>
  <c r="H71" i="3"/>
  <c r="F71" i="3"/>
  <c r="D71" i="3"/>
  <c r="B71" i="3"/>
  <c r="AV70" i="3"/>
  <c r="AT70" i="3"/>
  <c r="AR70" i="3"/>
  <c r="AP70" i="3"/>
  <c r="AN70" i="3"/>
  <c r="AL70" i="3"/>
  <c r="AJ70" i="3"/>
  <c r="AH70" i="3"/>
  <c r="AF70" i="3"/>
  <c r="AD70" i="3"/>
  <c r="AB70" i="3"/>
  <c r="Z70" i="3"/>
  <c r="X70" i="3"/>
  <c r="V70" i="3"/>
  <c r="T70" i="3"/>
  <c r="R70" i="3"/>
  <c r="P70" i="3"/>
  <c r="N70" i="3"/>
  <c r="L70" i="3"/>
  <c r="J70" i="3"/>
  <c r="H70" i="3"/>
  <c r="F70" i="3"/>
  <c r="D70" i="3"/>
  <c r="B70" i="3"/>
  <c r="AV67" i="3"/>
  <c r="AV67" i="3" a="1"/>
  <c r="AT67" i="3" a="1"/>
  <c r="AT67" i="3" s="1"/>
  <c r="AR67" i="3" a="1"/>
  <c r="AR67" i="3" s="1"/>
  <c r="AP67" i="3" a="1"/>
  <c r="AP67" i="3" s="1"/>
  <c r="AN67" i="3" a="1"/>
  <c r="AN67" i="3" s="1"/>
  <c r="AL67" i="3" a="1"/>
  <c r="AL67" i="3" s="1"/>
  <c r="AJ67" i="3" a="1"/>
  <c r="AJ67" i="3" s="1"/>
  <c r="AH67" i="3" a="1"/>
  <c r="AH67" i="3" s="1"/>
  <c r="AF67" i="3" a="1"/>
  <c r="AF67" i="3" s="1"/>
  <c r="AD67" i="3" a="1"/>
  <c r="AD67" i="3" s="1"/>
  <c r="AB67" i="3" a="1"/>
  <c r="AB67" i="3" s="1"/>
  <c r="Z67" i="3" a="1"/>
  <c r="Z67" i="3" s="1"/>
  <c r="X67" i="3"/>
  <c r="X67" i="3" a="1"/>
  <c r="V67" i="3" a="1"/>
  <c r="V67" i="3" s="1"/>
  <c r="T67" i="3" a="1"/>
  <c r="T67" i="3" s="1"/>
  <c r="R67" i="3" a="1"/>
  <c r="R67" i="3" s="1"/>
  <c r="P67" i="3" a="1"/>
  <c r="P67" i="3" s="1"/>
  <c r="N67" i="3" a="1"/>
  <c r="N67" i="3" s="1"/>
  <c r="L67" i="3" a="1"/>
  <c r="L67" i="3" s="1"/>
  <c r="J67" i="3" a="1"/>
  <c r="J67" i="3" s="1"/>
  <c r="H67" i="3" a="1"/>
  <c r="H67" i="3" s="1"/>
  <c r="F67" i="3" a="1"/>
  <c r="F67" i="3" s="1"/>
  <c r="D67" i="3" a="1"/>
  <c r="D67" i="3" s="1"/>
  <c r="B67" i="3" a="1"/>
  <c r="B67" i="3" s="1"/>
  <c r="AV66" i="3" a="1"/>
  <c r="AV66" i="3" s="1"/>
  <c r="AT66" i="3"/>
  <c r="AT66" i="3" a="1"/>
  <c r="AR66" i="3" a="1"/>
  <c r="AR66" i="3" s="1"/>
  <c r="AP66" i="3" a="1"/>
  <c r="AP66" i="3" s="1"/>
  <c r="AN66" i="3" a="1"/>
  <c r="AN66" i="3" s="1"/>
  <c r="AL66" i="3" a="1"/>
  <c r="AL66" i="3" s="1"/>
  <c r="AJ66" i="3" a="1"/>
  <c r="AJ66" i="3" s="1"/>
  <c r="AH66" i="3" a="1"/>
  <c r="AH66" i="3" s="1"/>
  <c r="AF66" i="3" a="1"/>
  <c r="AF66" i="3" s="1"/>
  <c r="AD66" i="3" a="1"/>
  <c r="AD66" i="3" s="1"/>
  <c r="AB66" i="3" a="1"/>
  <c r="AB66" i="3" s="1"/>
  <c r="Z66" i="3" a="1"/>
  <c r="Z66" i="3" s="1"/>
  <c r="X66" i="3" a="1"/>
  <c r="X66" i="3" s="1"/>
  <c r="V66" i="3" a="1"/>
  <c r="V66" i="3" s="1"/>
  <c r="T66" i="3" a="1"/>
  <c r="T66" i="3" s="1"/>
  <c r="R66" i="3" a="1"/>
  <c r="R66" i="3" s="1"/>
  <c r="P66" i="3" a="1"/>
  <c r="P66" i="3" s="1"/>
  <c r="N66" i="3" a="1"/>
  <c r="N66" i="3" s="1"/>
  <c r="L66" i="3" a="1"/>
  <c r="L66" i="3" s="1"/>
  <c r="J66" i="3" a="1"/>
  <c r="J66" i="3" s="1"/>
  <c r="H66" i="3" a="1"/>
  <c r="H66" i="3" s="1"/>
  <c r="F66" i="3" a="1"/>
  <c r="F66" i="3" s="1"/>
  <c r="D66" i="3" a="1"/>
  <c r="D66" i="3" s="1"/>
  <c r="B66" i="3" a="1"/>
  <c r="B66" i="3" s="1"/>
  <c r="AV65" i="3" a="1"/>
  <c r="AV65" i="3" s="1"/>
  <c r="AV69" i="3" s="1"/>
  <c r="AT65" i="3" a="1"/>
  <c r="AT65" i="3" s="1"/>
  <c r="AT69" i="3" s="1"/>
  <c r="AR65" i="3" a="1"/>
  <c r="AR65" i="3" s="1"/>
  <c r="AR69" i="3" s="1"/>
  <c r="AP65" i="3" a="1"/>
  <c r="AP65" i="3" s="1"/>
  <c r="AP69" i="3" s="1"/>
  <c r="AN65" i="3" a="1"/>
  <c r="AN65" i="3" s="1"/>
  <c r="AN69" i="3" s="1"/>
  <c r="AL65" i="3" a="1"/>
  <c r="AL65" i="3" s="1"/>
  <c r="AL69" i="3" s="1"/>
  <c r="AJ65" i="3" a="1"/>
  <c r="AJ65" i="3" s="1"/>
  <c r="AJ69" i="3" s="1"/>
  <c r="AH65" i="3" a="1"/>
  <c r="AH65" i="3" s="1"/>
  <c r="AH69" i="3" s="1"/>
  <c r="AF65" i="3" a="1"/>
  <c r="AF65" i="3" s="1"/>
  <c r="AF69" i="3" s="1"/>
  <c r="AD65" i="3" a="1"/>
  <c r="AD65" i="3" s="1"/>
  <c r="AD69" i="3" s="1"/>
  <c r="AB65" i="3" a="1"/>
  <c r="AB65" i="3" s="1"/>
  <c r="AB69" i="3" s="1"/>
  <c r="Z65" i="3" a="1"/>
  <c r="Z65" i="3" s="1"/>
  <c r="Z69" i="3" s="1"/>
  <c r="X65" i="3" a="1"/>
  <c r="X65" i="3" s="1"/>
  <c r="X69" i="3" s="1"/>
  <c r="V65" i="3" a="1"/>
  <c r="V65" i="3" s="1"/>
  <c r="V69" i="3" s="1"/>
  <c r="T65" i="3" a="1"/>
  <c r="T65" i="3" s="1"/>
  <c r="T69" i="3" s="1"/>
  <c r="R65" i="3" a="1"/>
  <c r="R65" i="3" s="1"/>
  <c r="R69" i="3" s="1"/>
  <c r="P65" i="3" a="1"/>
  <c r="P65" i="3" s="1"/>
  <c r="P69" i="3" s="1"/>
  <c r="N65" i="3" a="1"/>
  <c r="N65" i="3" s="1"/>
  <c r="N69" i="3" s="1"/>
  <c r="L65" i="3" a="1"/>
  <c r="L65" i="3" s="1"/>
  <c r="L69" i="3" s="1"/>
  <c r="J65" i="3" a="1"/>
  <c r="J65" i="3" s="1"/>
  <c r="J69" i="3" s="1"/>
  <c r="H65" i="3" a="1"/>
  <c r="H65" i="3" s="1"/>
  <c r="H69" i="3" s="1"/>
  <c r="F65" i="3" a="1"/>
  <c r="F65" i="3" s="1"/>
  <c r="F69" i="3" s="1"/>
  <c r="D65" i="3" a="1"/>
  <c r="D65" i="3" s="1"/>
  <c r="D69" i="3" s="1"/>
  <c r="B65" i="3"/>
  <c r="B69" i="3" s="1"/>
  <c r="X68" i="3" l="1"/>
  <c r="Z68" i="3"/>
  <c r="V68" i="3"/>
  <c r="AF68" i="3"/>
  <c r="AT68" i="3"/>
  <c r="B68" i="3"/>
  <c r="AH68" i="3"/>
  <c r="AJ68" i="3"/>
  <c r="AP68" i="3"/>
  <c r="AV68" i="3"/>
  <c r="R68" i="3"/>
  <c r="N68" i="3"/>
  <c r="L68" i="3"/>
  <c r="AD68" i="3"/>
  <c r="T68" i="3"/>
  <c r="P68" i="3"/>
  <c r="F68" i="3"/>
  <c r="AL68" i="3"/>
  <c r="H68" i="3"/>
  <c r="D68" i="3"/>
  <c r="J68" i="3"/>
  <c r="AR68" i="3"/>
  <c r="AB68" i="3"/>
  <c r="AN68" i="3"/>
  <c r="AV62" i="3" l="1"/>
  <c r="AT62" i="3"/>
  <c r="AR62" i="3"/>
  <c r="AP62" i="3"/>
  <c r="AN62" i="3"/>
  <c r="AL62" i="3"/>
  <c r="AJ62" i="3"/>
  <c r="AH62" i="3"/>
  <c r="AF62" i="3"/>
  <c r="AD62" i="3"/>
  <c r="AB62" i="3"/>
  <c r="Z62" i="3"/>
  <c r="X62" i="3"/>
  <c r="V62" i="3"/>
  <c r="T62" i="3"/>
  <c r="R62" i="3"/>
  <c r="P62" i="3"/>
  <c r="N62" i="3"/>
  <c r="L62" i="3"/>
  <c r="J62" i="3"/>
  <c r="H62" i="3"/>
  <c r="F62" i="3"/>
  <c r="D62" i="3"/>
  <c r="B62" i="3"/>
  <c r="AV59" i="3" l="1"/>
  <c r="AT59" i="3"/>
  <c r="AR59" i="3"/>
  <c r="AP59" i="3"/>
  <c r="AN59" i="3"/>
  <c r="AL59" i="3"/>
  <c r="AJ59" i="3"/>
  <c r="AH59" i="3"/>
  <c r="AF59" i="3"/>
  <c r="AD59" i="3"/>
  <c r="AB59" i="3"/>
  <c r="Z59" i="3"/>
  <c r="X59" i="3"/>
  <c r="V59" i="3"/>
  <c r="T59" i="3"/>
  <c r="R59" i="3"/>
  <c r="P59" i="3"/>
  <c r="N59" i="3"/>
  <c r="L59" i="3"/>
  <c r="J59" i="3"/>
  <c r="H59" i="3"/>
  <c r="F59" i="3"/>
  <c r="D59" i="3"/>
  <c r="B59" i="3"/>
  <c r="B43" i="3" l="1"/>
  <c r="AV55" i="3"/>
  <c r="AV80" i="3" s="1"/>
  <c r="AT55" i="3"/>
  <c r="AT80" i="3" s="1"/>
  <c r="AR55" i="3"/>
  <c r="AR80" i="3" s="1"/>
  <c r="AP55" i="3"/>
  <c r="AP80" i="3" s="1"/>
  <c r="AN55" i="3"/>
  <c r="AN80" i="3" s="1"/>
  <c r="AL55" i="3"/>
  <c r="AL80" i="3" s="1"/>
  <c r="AJ55" i="3"/>
  <c r="AJ80" i="3" s="1"/>
  <c r="AH55" i="3"/>
  <c r="AH80" i="3" s="1"/>
  <c r="AF55" i="3"/>
  <c r="AF80" i="3" s="1"/>
  <c r="AD55" i="3"/>
  <c r="AD80" i="3" s="1"/>
  <c r="AB55" i="3"/>
  <c r="AB80" i="3" s="1"/>
  <c r="Z55" i="3"/>
  <c r="Z80" i="3" s="1"/>
  <c r="X55" i="3"/>
  <c r="X80" i="3" s="1"/>
  <c r="V55" i="3"/>
  <c r="V80" i="3" s="1"/>
  <c r="T55" i="3"/>
  <c r="T80" i="3" s="1"/>
  <c r="R55" i="3"/>
  <c r="R80" i="3" s="1"/>
  <c r="P55" i="3"/>
  <c r="P80" i="3" s="1"/>
  <c r="N55" i="3"/>
  <c r="N80" i="3" s="1"/>
  <c r="L55" i="3"/>
  <c r="L80" i="3" s="1"/>
  <c r="J55" i="3"/>
  <c r="J80" i="3" s="1"/>
  <c r="H55" i="3"/>
  <c r="H80" i="3" s="1"/>
  <c r="F55" i="3"/>
  <c r="F80" i="3" s="1"/>
  <c r="D55" i="3"/>
  <c r="D80" i="3" s="1"/>
  <c r="B55" i="3"/>
  <c r="B80" i="3" s="1"/>
  <c r="AV52" i="3" a="1"/>
  <c r="AT52" i="3" a="1"/>
  <c r="AR52" i="3" a="1"/>
  <c r="AP52" i="3" a="1"/>
  <c r="AN52" i="3" a="1"/>
  <c r="AL52" i="3" a="1"/>
  <c r="AJ52" i="3" a="1"/>
  <c r="AH52" i="3" a="1"/>
  <c r="AF52" i="3" a="1"/>
  <c r="AD52" i="3" a="1"/>
  <c r="AB52" i="3" a="1"/>
  <c r="Z52" i="3" a="1"/>
  <c r="X52" i="3" a="1"/>
  <c r="V52" i="3" a="1"/>
  <c r="T52" i="3" a="1"/>
  <c r="R52" i="3" a="1"/>
  <c r="P52" i="3" a="1"/>
  <c r="N52" i="3" a="1"/>
  <c r="L52" i="3" a="1"/>
  <c r="J52" i="3" a="1"/>
  <c r="H52" i="3" a="1"/>
  <c r="F52" i="3" a="1"/>
  <c r="D52" i="3" a="1"/>
  <c r="B52" i="3" a="1"/>
  <c r="AV51" i="3"/>
  <c r="AV81" i="3" s="1"/>
  <c r="AT51" i="3"/>
  <c r="AT81" i="3" s="1"/>
  <c r="AR51" i="3"/>
  <c r="AR81" i="3" s="1"/>
  <c r="AP51" i="3"/>
  <c r="AP81" i="3" s="1"/>
  <c r="AN51" i="3"/>
  <c r="AN81" i="3" s="1"/>
  <c r="AL51" i="3"/>
  <c r="AL81" i="3" s="1"/>
  <c r="AJ51" i="3"/>
  <c r="AJ81" i="3" s="1"/>
  <c r="AH51" i="3"/>
  <c r="AH81" i="3" s="1"/>
  <c r="AF51" i="3"/>
  <c r="AF81" i="3" s="1"/>
  <c r="AD51" i="3"/>
  <c r="AD81" i="3" s="1"/>
  <c r="AB51" i="3"/>
  <c r="AB81" i="3" s="1"/>
  <c r="Z51" i="3"/>
  <c r="Z81" i="3" s="1"/>
  <c r="X51" i="3"/>
  <c r="X81" i="3" s="1"/>
  <c r="V51" i="3"/>
  <c r="V81" i="3" s="1"/>
  <c r="T51" i="3"/>
  <c r="T81" i="3" s="1"/>
  <c r="R51" i="3"/>
  <c r="R81" i="3" s="1"/>
  <c r="P51" i="3"/>
  <c r="P81" i="3" s="1"/>
  <c r="N51" i="3"/>
  <c r="N81" i="3" s="1"/>
  <c r="L51" i="3"/>
  <c r="L81" i="3" s="1"/>
  <c r="J51" i="3"/>
  <c r="J81" i="3" s="1"/>
  <c r="H51" i="3"/>
  <c r="H81" i="3" s="1"/>
  <c r="F51" i="3"/>
  <c r="F81" i="3" s="1"/>
  <c r="D51" i="3"/>
  <c r="D81" i="3" s="1"/>
  <c r="B44" i="3"/>
  <c r="Y56" i="23" l="1"/>
  <c r="X56" i="23"/>
  <c r="W56" i="23"/>
  <c r="V56" i="23"/>
  <c r="U56" i="23"/>
  <c r="T56" i="23"/>
  <c r="S56" i="23"/>
  <c r="R56" i="23"/>
  <c r="Q56" i="23"/>
  <c r="P56" i="23"/>
  <c r="O56" i="23"/>
  <c r="N56" i="23"/>
  <c r="M56" i="23"/>
  <c r="L56" i="23"/>
  <c r="K56" i="23"/>
  <c r="K9" i="41" s="1"/>
  <c r="J56" i="23"/>
  <c r="J9" i="41" s="1"/>
  <c r="I56" i="23"/>
  <c r="I9" i="41" s="1"/>
  <c r="H56" i="23"/>
  <c r="H9" i="41" s="1"/>
  <c r="G56" i="23"/>
  <c r="G9" i="41" s="1"/>
  <c r="F56" i="23"/>
  <c r="F9" i="41" s="1"/>
  <c r="E56" i="23"/>
  <c r="E9" i="41" s="1"/>
  <c r="D56" i="23"/>
  <c r="D9" i="41" s="1"/>
  <c r="C56" i="23"/>
  <c r="C9" i="41" s="1"/>
  <c r="B56" i="23"/>
  <c r="B9" i="41" s="1"/>
  <c r="X69" i="23"/>
  <c r="B55" i="23"/>
  <c r="B8" i="41" s="1"/>
  <c r="Y54" i="23"/>
  <c r="X54" i="23"/>
  <c r="W54" i="23"/>
  <c r="V54" i="23"/>
  <c r="U54" i="23"/>
  <c r="T54" i="23"/>
  <c r="S54" i="23"/>
  <c r="R54" i="23"/>
  <c r="Q54" i="23"/>
  <c r="P54" i="23"/>
  <c r="O54" i="23"/>
  <c r="N54" i="23"/>
  <c r="M54" i="23"/>
  <c r="L54" i="23"/>
  <c r="K54" i="23"/>
  <c r="J54" i="23"/>
  <c r="I54" i="23"/>
  <c r="I7" i="41" s="1"/>
  <c r="H54" i="23"/>
  <c r="H7" i="41" s="1"/>
  <c r="G54" i="23"/>
  <c r="G7" i="41" s="1"/>
  <c r="F54" i="23"/>
  <c r="F7" i="41" s="1"/>
  <c r="E54" i="23"/>
  <c r="E7" i="41" s="1"/>
  <c r="D54" i="23"/>
  <c r="D7" i="41" s="1"/>
  <c r="C54" i="23"/>
  <c r="C7" i="41" s="1"/>
  <c r="B54" i="23"/>
  <c r="B7" i="41" s="1"/>
  <c r="Y53" i="23"/>
  <c r="X53" i="23"/>
  <c r="W53" i="23"/>
  <c r="V53" i="23"/>
  <c r="U53" i="23"/>
  <c r="T53" i="23"/>
  <c r="S53" i="23"/>
  <c r="R53" i="23"/>
  <c r="Q53" i="23"/>
  <c r="P53" i="23"/>
  <c r="O53" i="23"/>
  <c r="N53" i="23"/>
  <c r="M53" i="23"/>
  <c r="L53" i="23"/>
  <c r="L6" i="41" s="1"/>
  <c r="K53" i="23"/>
  <c r="K6" i="41" s="1"/>
  <c r="J53" i="23"/>
  <c r="J6" i="41" s="1"/>
  <c r="I53" i="23"/>
  <c r="I6" i="41" s="1"/>
  <c r="H53" i="23"/>
  <c r="H6" i="41" s="1"/>
  <c r="G53" i="23"/>
  <c r="G6" i="41" s="1"/>
  <c r="F53" i="23"/>
  <c r="F6" i="41" s="1"/>
  <c r="E53" i="23"/>
  <c r="E6" i="41" s="1"/>
  <c r="D53" i="23"/>
  <c r="D6" i="41" s="1"/>
  <c r="C53" i="23"/>
  <c r="C6" i="41" s="1"/>
  <c r="B53" i="23"/>
  <c r="B6" i="41" s="1"/>
  <c r="S52" i="23"/>
  <c r="R52" i="23"/>
  <c r="Q52" i="23"/>
  <c r="P52" i="23"/>
  <c r="P5" i="41" s="1"/>
  <c r="O52" i="23"/>
  <c r="O5" i="41" s="1"/>
  <c r="N52" i="23"/>
  <c r="N5" i="41" s="1"/>
  <c r="M52" i="23"/>
  <c r="M5" i="41" s="1"/>
  <c r="L52" i="23"/>
  <c r="L5" i="41" s="1"/>
  <c r="K52" i="23"/>
  <c r="K5" i="41" s="1"/>
  <c r="J52" i="23"/>
  <c r="J5" i="41" s="1"/>
  <c r="I52" i="23"/>
  <c r="I5" i="41" s="1"/>
  <c r="H52" i="23"/>
  <c r="H5" i="41" s="1"/>
  <c r="G52" i="23"/>
  <c r="G5" i="41" s="1"/>
  <c r="F52" i="23"/>
  <c r="F5" i="41" s="1"/>
  <c r="E52" i="23"/>
  <c r="E5" i="41" s="1"/>
  <c r="D52" i="23"/>
  <c r="D5" i="41" s="1"/>
  <c r="C52" i="23"/>
  <c r="C5" i="41" s="1"/>
  <c r="B52" i="23"/>
  <c r="B5" i="41" s="1"/>
  <c r="B51" i="23"/>
  <c r="B4" i="41" s="1"/>
  <c r="Y49" i="23"/>
  <c r="X49" i="23"/>
  <c r="W49" i="23"/>
  <c r="W2" i="41" s="1"/>
  <c r="V49" i="23"/>
  <c r="V2" i="41" s="1"/>
  <c r="U49" i="23"/>
  <c r="U2" i="41" s="1"/>
  <c r="T49" i="23"/>
  <c r="T2" i="41" s="1"/>
  <c r="S49" i="23"/>
  <c r="S2" i="41" s="1"/>
  <c r="R49" i="23"/>
  <c r="R2" i="41" s="1"/>
  <c r="Q49" i="23"/>
  <c r="Q2" i="41" s="1"/>
  <c r="P49" i="23"/>
  <c r="P2" i="41" s="1"/>
  <c r="O49" i="23"/>
  <c r="O2" i="41" s="1"/>
  <c r="N49" i="23"/>
  <c r="N2" i="41" s="1"/>
  <c r="M49" i="23"/>
  <c r="M2" i="41" s="1"/>
  <c r="L49" i="23"/>
  <c r="L2" i="41" s="1"/>
  <c r="K49" i="23"/>
  <c r="K2" i="41" s="1"/>
  <c r="J49" i="23"/>
  <c r="J2" i="41" s="1"/>
  <c r="I49" i="23"/>
  <c r="I2" i="41" s="1"/>
  <c r="H49" i="23"/>
  <c r="H2" i="41" s="1"/>
  <c r="G49" i="23"/>
  <c r="G2" i="41" s="1"/>
  <c r="F49" i="23"/>
  <c r="F2" i="41" s="1"/>
  <c r="E49" i="23"/>
  <c r="E2" i="41" s="1"/>
  <c r="D49" i="23"/>
  <c r="D2" i="41" s="1"/>
  <c r="C49" i="23"/>
  <c r="C2" i="41" s="1"/>
  <c r="B49" i="23"/>
  <c r="B2" i="41" s="1"/>
  <c r="N70" i="23" l="1"/>
  <c r="N9" i="41"/>
  <c r="P70" i="23"/>
  <c r="P9" i="41"/>
  <c r="M70" i="23"/>
  <c r="M9" i="41"/>
  <c r="O70" i="23"/>
  <c r="O9" i="41"/>
  <c r="U70" i="23"/>
  <c r="U9" i="41"/>
  <c r="L70" i="23"/>
  <c r="L9" i="41"/>
  <c r="R70" i="23"/>
  <c r="R9" i="41"/>
  <c r="W70" i="23"/>
  <c r="W9" i="41"/>
  <c r="Q70" i="23"/>
  <c r="Q9" i="41"/>
  <c r="S70" i="23"/>
  <c r="S9" i="41"/>
  <c r="V70" i="23"/>
  <c r="V9" i="41"/>
  <c r="X70" i="23"/>
  <c r="T70" i="23"/>
  <c r="T9" i="41"/>
  <c r="Y70" i="23"/>
  <c r="R66" i="23"/>
  <c r="Y63" i="23"/>
  <c r="X63" i="23"/>
  <c r="Y81" i="23"/>
  <c r="X81" i="23"/>
  <c r="W81" i="23"/>
  <c r="V81" i="23"/>
  <c r="U81" i="23"/>
  <c r="T81" i="23"/>
  <c r="S81" i="23"/>
  <c r="R81" i="23"/>
  <c r="Q81" i="23"/>
  <c r="P81" i="23"/>
  <c r="O81" i="23"/>
  <c r="N81" i="23"/>
  <c r="M81" i="23"/>
  <c r="L81" i="23"/>
  <c r="K81" i="23"/>
  <c r="J81" i="23"/>
  <c r="I81" i="23"/>
  <c r="H81" i="23"/>
  <c r="G81" i="23"/>
  <c r="F81" i="23"/>
  <c r="E81" i="23"/>
  <c r="D81" i="23"/>
  <c r="C81" i="23"/>
  <c r="B81" i="23"/>
  <c r="Y80" i="23"/>
  <c r="X80" i="23"/>
  <c r="W80" i="23"/>
  <c r="V80" i="23"/>
  <c r="U80" i="23"/>
  <c r="T80" i="23"/>
  <c r="S80" i="23"/>
  <c r="R80" i="23"/>
  <c r="Q80" i="23"/>
  <c r="P80" i="23"/>
  <c r="O80" i="23"/>
  <c r="N80" i="23"/>
  <c r="M80" i="23"/>
  <c r="L80" i="23"/>
  <c r="K80" i="23"/>
  <c r="J80" i="23"/>
  <c r="I80" i="23"/>
  <c r="H80" i="23"/>
  <c r="G80" i="23"/>
  <c r="F80" i="23"/>
  <c r="E80" i="23"/>
  <c r="D80" i="23"/>
  <c r="C80" i="23"/>
  <c r="B80" i="23"/>
  <c r="Y79" i="23"/>
  <c r="X79" i="23"/>
  <c r="W79" i="23"/>
  <c r="V79" i="23"/>
  <c r="U79" i="23"/>
  <c r="T79" i="23"/>
  <c r="S79" i="23"/>
  <c r="R79" i="23"/>
  <c r="Q79" i="23"/>
  <c r="P79" i="23"/>
  <c r="O79" i="23"/>
  <c r="N79" i="23"/>
  <c r="M79" i="23"/>
  <c r="L79" i="23"/>
  <c r="K79" i="23"/>
  <c r="J79" i="23"/>
  <c r="I79" i="23"/>
  <c r="H79" i="23"/>
  <c r="G79" i="23"/>
  <c r="F79" i="23"/>
  <c r="E79" i="23"/>
  <c r="D79" i="23"/>
  <c r="C79" i="23"/>
  <c r="B79" i="23"/>
  <c r="Y78" i="23"/>
  <c r="X78" i="23"/>
  <c r="W78" i="23"/>
  <c r="V78" i="23"/>
  <c r="U78" i="23"/>
  <c r="T78" i="23"/>
  <c r="S78" i="23"/>
  <c r="R78" i="23"/>
  <c r="Q78" i="23"/>
  <c r="P78" i="23"/>
  <c r="O78" i="23"/>
  <c r="N78" i="23"/>
  <c r="M78" i="23"/>
  <c r="L78" i="23"/>
  <c r="K78" i="23"/>
  <c r="J78" i="23"/>
  <c r="I78" i="23"/>
  <c r="H78" i="23"/>
  <c r="G78" i="23"/>
  <c r="F78" i="23"/>
  <c r="E78" i="23"/>
  <c r="D78" i="23"/>
  <c r="C78" i="23"/>
  <c r="B78" i="23"/>
  <c r="Y77" i="23"/>
  <c r="X77" i="23"/>
  <c r="W77" i="23"/>
  <c r="V77" i="23"/>
  <c r="U77" i="23"/>
  <c r="T77" i="23"/>
  <c r="S77" i="23"/>
  <c r="R77" i="23"/>
  <c r="Q77" i="23"/>
  <c r="P77" i="23"/>
  <c r="O77" i="23"/>
  <c r="N77" i="23"/>
  <c r="M77" i="23"/>
  <c r="L77" i="23"/>
  <c r="K77" i="23"/>
  <c r="J77" i="23"/>
  <c r="I77" i="23"/>
  <c r="H77" i="23"/>
  <c r="G77" i="23"/>
  <c r="F77" i="23"/>
  <c r="E77" i="23"/>
  <c r="D77" i="23"/>
  <c r="C77" i="23"/>
  <c r="B77" i="23"/>
  <c r="Y76" i="23"/>
  <c r="X76" i="23"/>
  <c r="W76" i="23"/>
  <c r="V76" i="23"/>
  <c r="U76" i="23"/>
  <c r="T76" i="23"/>
  <c r="S76" i="23"/>
  <c r="R76" i="23"/>
  <c r="Q76" i="23"/>
  <c r="P76" i="23"/>
  <c r="O76" i="23"/>
  <c r="N76" i="23"/>
  <c r="M76" i="23"/>
  <c r="L76" i="23"/>
  <c r="K76" i="23"/>
  <c r="J76" i="23"/>
  <c r="I76" i="23"/>
  <c r="H76" i="23"/>
  <c r="G76" i="23"/>
  <c r="F76" i="23"/>
  <c r="E76" i="23"/>
  <c r="D76" i="23"/>
  <c r="C76" i="23"/>
  <c r="B76" i="23"/>
  <c r="Y75" i="23"/>
  <c r="X75" i="23"/>
  <c r="W75" i="23"/>
  <c r="V75" i="23"/>
  <c r="U75" i="23"/>
  <c r="T75" i="23"/>
  <c r="S75" i="23"/>
  <c r="R75" i="23"/>
  <c r="Q75" i="23"/>
  <c r="P75" i="23"/>
  <c r="O75" i="23"/>
  <c r="N75" i="23"/>
  <c r="M75" i="23"/>
  <c r="L75" i="23"/>
  <c r="K75" i="23"/>
  <c r="J75" i="23"/>
  <c r="I75" i="23"/>
  <c r="H75" i="23"/>
  <c r="G75" i="23"/>
  <c r="F75" i="23"/>
  <c r="E75" i="23"/>
  <c r="D75" i="23"/>
  <c r="C75" i="23"/>
  <c r="B75" i="23"/>
  <c r="Y74" i="23"/>
  <c r="X74" i="23"/>
  <c r="W74" i="23"/>
  <c r="V74" i="23"/>
  <c r="U74" i="23"/>
  <c r="T74" i="23"/>
  <c r="S74" i="23"/>
  <c r="R74" i="23"/>
  <c r="Q74" i="23"/>
  <c r="P74" i="23"/>
  <c r="O74" i="23"/>
  <c r="N74" i="23"/>
  <c r="M74" i="23"/>
  <c r="L74" i="23"/>
  <c r="K74" i="23"/>
  <c r="J74" i="23"/>
  <c r="I74" i="23"/>
  <c r="H74" i="23"/>
  <c r="G74" i="23"/>
  <c r="F74" i="23"/>
  <c r="E74" i="23"/>
  <c r="D74" i="23"/>
  <c r="C74" i="23"/>
  <c r="B74" i="23"/>
  <c r="AT52" i="3" l="1"/>
  <c r="AT82" i="3" s="1"/>
  <c r="AB52" i="3"/>
  <c r="AB82" i="3" s="1"/>
  <c r="J52" i="3"/>
  <c r="J82" i="3" s="1"/>
  <c r="L52" i="3"/>
  <c r="L82" i="3" s="1"/>
  <c r="B52" i="3"/>
  <c r="B82" i="3" s="1"/>
  <c r="AJ52" i="3"/>
  <c r="AJ82" i="3" s="1"/>
  <c r="R52" i="3"/>
  <c r="R82" i="3" s="1"/>
  <c r="AD52" i="3"/>
  <c r="AD82" i="3" s="1"/>
  <c r="T52" i="3"/>
  <c r="T82" i="3" s="1"/>
  <c r="AR52" i="3"/>
  <c r="AR82" i="3" s="1"/>
  <c r="Z52" i="3"/>
  <c r="Z82" i="3" s="1"/>
  <c r="AH52" i="3"/>
  <c r="AH82" i="3" s="1"/>
  <c r="F52" i="3"/>
  <c r="F82" i="3" s="1"/>
  <c r="AL52" i="3"/>
  <c r="AL82" i="3" s="1"/>
  <c r="AP52" i="3"/>
  <c r="AP82" i="3" s="1"/>
  <c r="N52" i="3"/>
  <c r="N82" i="3" s="1"/>
  <c r="V52" i="3"/>
  <c r="V82" i="3" s="1"/>
  <c r="D52" i="3"/>
  <c r="D82" i="3" s="1"/>
  <c r="X52" i="3"/>
  <c r="X82" i="3" s="1"/>
  <c r="AN52" i="3"/>
  <c r="AN82" i="3" s="1"/>
  <c r="H52" i="3"/>
  <c r="H82" i="3" s="1"/>
  <c r="AF52" i="3"/>
  <c r="AF82" i="3" s="1"/>
  <c r="AV52" i="3"/>
  <c r="AV82" i="3" s="1"/>
  <c r="P52" i="3"/>
  <c r="P82" i="3" s="1"/>
  <c r="AV46" i="3"/>
  <c r="AV45" i="3"/>
  <c r="AV44" i="3"/>
  <c r="AV43" i="3" a="1"/>
  <c r="AV43" i="3" s="1"/>
  <c r="AV42" i="3"/>
  <c r="AT42" i="3"/>
  <c r="AR42" i="3"/>
  <c r="AP42" i="3"/>
  <c r="AN42" i="3"/>
  <c r="AL42" i="3"/>
  <c r="AJ42" i="3"/>
  <c r="AH42" i="3"/>
  <c r="AF42" i="3"/>
  <c r="AD42" i="3"/>
  <c r="AB42" i="3"/>
  <c r="Z42" i="3"/>
  <c r="X42" i="3"/>
  <c r="V42" i="3"/>
  <c r="T42" i="3"/>
  <c r="R42" i="3"/>
  <c r="P42" i="3"/>
  <c r="N42" i="3"/>
  <c r="L42" i="3"/>
  <c r="J42" i="3"/>
  <c r="H42" i="3"/>
  <c r="F42" i="3"/>
  <c r="D42" i="3"/>
  <c r="B42" i="3"/>
  <c r="AV49" i="3" l="1"/>
  <c r="AT49" i="3"/>
  <c r="AR49" i="3"/>
  <c r="AP49" i="3"/>
  <c r="AN49" i="3"/>
  <c r="AL49" i="3"/>
  <c r="AJ49" i="3"/>
  <c r="AH49" i="3"/>
  <c r="AF49" i="3"/>
  <c r="AD49" i="3"/>
  <c r="AB49" i="3"/>
  <c r="Z49" i="3"/>
  <c r="X49" i="3"/>
  <c r="V49" i="3"/>
  <c r="T49" i="3"/>
  <c r="R49" i="3"/>
  <c r="P49" i="3"/>
  <c r="N49" i="3"/>
  <c r="L49" i="3"/>
  <c r="J49" i="3"/>
  <c r="H49" i="3"/>
  <c r="F49" i="3"/>
  <c r="D49" i="3"/>
  <c r="B49" i="3"/>
  <c r="AV48" i="3"/>
  <c r="AT48" i="3"/>
  <c r="AR48" i="3"/>
  <c r="AP48" i="3"/>
  <c r="AN48" i="3"/>
  <c r="AL48" i="3"/>
  <c r="AJ48" i="3"/>
  <c r="AH48" i="3"/>
  <c r="AF48" i="3"/>
  <c r="AD48" i="3"/>
  <c r="AB48" i="3"/>
  <c r="Z48" i="3"/>
  <c r="X48" i="3"/>
  <c r="V48" i="3"/>
  <c r="T48" i="3"/>
  <c r="R48" i="3"/>
  <c r="P48" i="3"/>
  <c r="N48" i="3"/>
  <c r="L48" i="3"/>
  <c r="J48" i="3"/>
  <c r="H48" i="3"/>
  <c r="F48" i="3"/>
  <c r="D48" i="3"/>
  <c r="B48" i="3"/>
  <c r="AV45" i="36" l="1"/>
  <c r="AT45" i="36"/>
  <c r="AR45" i="36"/>
  <c r="AP45" i="36"/>
  <c r="AN45" i="36"/>
  <c r="AL45" i="36"/>
  <c r="AJ45" i="36"/>
  <c r="AH45" i="36"/>
  <c r="AF45" i="36"/>
  <c r="AD45" i="36"/>
  <c r="AB45" i="36"/>
  <c r="Z45" i="36"/>
  <c r="X45" i="36"/>
  <c r="V45" i="36"/>
  <c r="T45" i="36"/>
  <c r="R45" i="36"/>
  <c r="P45" i="36"/>
  <c r="N45" i="36"/>
  <c r="L45" i="36"/>
  <c r="J45" i="36"/>
  <c r="H45" i="36"/>
  <c r="F45" i="36"/>
  <c r="D45" i="36"/>
  <c r="B45" i="36"/>
  <c r="AT44" i="36"/>
  <c r="AR44" i="36"/>
  <c r="AP44" i="36"/>
  <c r="AN44" i="36"/>
  <c r="AL44" i="36"/>
  <c r="AJ44" i="36"/>
  <c r="AH44" i="36"/>
  <c r="AF44" i="36"/>
  <c r="AD44" i="36"/>
  <c r="AB44" i="36"/>
  <c r="Z44" i="36"/>
  <c r="X44" i="36"/>
  <c r="V44" i="36"/>
  <c r="T44" i="36"/>
  <c r="R44" i="36"/>
  <c r="P44" i="36"/>
  <c r="N44" i="36"/>
  <c r="L44" i="36"/>
  <c r="J44" i="36"/>
  <c r="H44" i="36"/>
  <c r="F44" i="36"/>
  <c r="D44" i="36"/>
  <c r="B44" i="36"/>
  <c r="AT43" i="36"/>
  <c r="AR43" i="36"/>
  <c r="AP43" i="36"/>
  <c r="AN43" i="36"/>
  <c r="AL43" i="36"/>
  <c r="AJ43" i="36"/>
  <c r="AH43" i="36"/>
  <c r="AF43" i="36"/>
  <c r="AD43" i="36"/>
  <c r="AB43" i="36"/>
  <c r="Z43" i="36"/>
  <c r="X43" i="36"/>
  <c r="V43" i="36"/>
  <c r="T43" i="36"/>
  <c r="R43" i="36"/>
  <c r="P43" i="36"/>
  <c r="N43" i="36"/>
  <c r="L43" i="36"/>
  <c r="J43" i="36"/>
  <c r="H43" i="36"/>
  <c r="F43" i="36"/>
  <c r="D43" i="36"/>
  <c r="B43" i="36"/>
  <c r="AT42" i="36" a="1"/>
  <c r="AT42" i="36" s="1"/>
  <c r="AR42" i="36" a="1"/>
  <c r="AR42" i="36" s="1"/>
  <c r="AP42" i="36" a="1"/>
  <c r="AP42" i="36" s="1"/>
  <c r="AN42" i="36" a="1"/>
  <c r="AN42" i="36" s="1"/>
  <c r="AL42" i="36" a="1"/>
  <c r="AL42" i="36" s="1"/>
  <c r="AJ42" i="36" a="1"/>
  <c r="AJ42" i="36" s="1"/>
  <c r="AH42" i="36" a="1"/>
  <c r="AH42" i="36" s="1"/>
  <c r="AF42" i="36" a="1"/>
  <c r="AF42" i="36" s="1"/>
  <c r="AD42" i="36" a="1"/>
  <c r="AD42" i="36" s="1"/>
  <c r="AB42" i="36" a="1"/>
  <c r="AB42" i="36" s="1"/>
  <c r="Z42" i="36" a="1"/>
  <c r="Z42" i="36" s="1"/>
  <c r="X42" i="36" a="1"/>
  <c r="X42" i="36" s="1"/>
  <c r="V42" i="36" a="1"/>
  <c r="V42" i="36" s="1"/>
  <c r="T42" i="36" a="1"/>
  <c r="T42" i="36" s="1"/>
  <c r="R42" i="36" a="1"/>
  <c r="R42" i="36" s="1"/>
  <c r="P42" i="36" a="1"/>
  <c r="P42" i="36" s="1"/>
  <c r="N42" i="36" a="1"/>
  <c r="N42" i="36" s="1"/>
  <c r="L42" i="36" a="1"/>
  <c r="L42" i="36" s="1"/>
  <c r="J42" i="36" a="1"/>
  <c r="J42" i="36" s="1"/>
  <c r="H42" i="36" a="1"/>
  <c r="H42" i="36" s="1"/>
  <c r="F42" i="36" a="1"/>
  <c r="F42" i="36" s="1"/>
  <c r="D42" i="36" a="1"/>
  <c r="D42" i="36" s="1"/>
  <c r="B42" i="36" a="1"/>
  <c r="B42" i="36" s="1"/>
  <c r="AT41" i="36"/>
  <c r="AR41" i="36"/>
  <c r="AP41" i="36"/>
  <c r="AN41" i="36"/>
  <c r="AL41" i="36"/>
  <c r="AJ41" i="36"/>
  <c r="AH41" i="36"/>
  <c r="AF41" i="36"/>
  <c r="AD41" i="36"/>
  <c r="AB41" i="36"/>
  <c r="Z41" i="36"/>
  <c r="X41" i="36"/>
  <c r="V41" i="36"/>
  <c r="T41" i="36"/>
  <c r="R41" i="36"/>
  <c r="P41" i="36"/>
  <c r="N41" i="36"/>
  <c r="L41" i="36"/>
  <c r="J41" i="36"/>
  <c r="H41" i="36"/>
  <c r="F41" i="36"/>
  <c r="D41" i="36"/>
  <c r="B41" i="36"/>
  <c r="D52" i="2" l="1"/>
  <c r="AT46" i="3" l="1"/>
  <c r="AR46" i="3"/>
  <c r="AP46" i="3"/>
  <c r="AN46" i="3"/>
  <c r="AL46" i="3"/>
  <c r="AJ46" i="3"/>
  <c r="AH46" i="3"/>
  <c r="AF46" i="3"/>
  <c r="AD46" i="3"/>
  <c r="AB46" i="3"/>
  <c r="Z46" i="3"/>
  <c r="X46" i="3"/>
  <c r="V46" i="3"/>
  <c r="T46" i="3"/>
  <c r="R46" i="3"/>
  <c r="P46" i="3"/>
  <c r="N46" i="3"/>
  <c r="L46" i="3"/>
  <c r="J46" i="3"/>
  <c r="H46" i="3"/>
  <c r="F46" i="3"/>
  <c r="D46" i="3"/>
  <c r="B46" i="3"/>
  <c r="Y10" i="23" l="1"/>
  <c r="X10" i="23"/>
  <c r="W10" i="23"/>
  <c r="V10" i="23"/>
  <c r="U10" i="23"/>
  <c r="T10" i="23"/>
  <c r="S10" i="23"/>
  <c r="R10" i="23"/>
  <c r="Q10" i="23"/>
  <c r="P10" i="23"/>
  <c r="O10" i="23"/>
  <c r="N10" i="23"/>
  <c r="M10" i="23"/>
  <c r="L10" i="23"/>
  <c r="K10" i="23"/>
  <c r="J10" i="23"/>
  <c r="I10" i="23"/>
  <c r="H10" i="23"/>
  <c r="G10" i="23"/>
  <c r="F10" i="23"/>
  <c r="E10" i="23"/>
  <c r="D10" i="23"/>
  <c r="C10" i="23"/>
  <c r="B10" i="23"/>
  <c r="C25" i="23" l="1"/>
  <c r="C9" i="42"/>
  <c r="J25" i="23"/>
  <c r="J9" i="42"/>
  <c r="K25" i="23"/>
  <c r="K9" i="42"/>
  <c r="M25" i="23"/>
  <c r="M9" i="42"/>
  <c r="P25" i="23"/>
  <c r="P9" i="42"/>
  <c r="B25" i="23"/>
  <c r="B9" i="42"/>
  <c r="S25" i="23"/>
  <c r="S9" i="42"/>
  <c r="D25" i="23"/>
  <c r="D9" i="42"/>
  <c r="U25" i="23"/>
  <c r="U9" i="42"/>
  <c r="G25" i="23"/>
  <c r="G9" i="42"/>
  <c r="L25" i="23"/>
  <c r="L9" i="42"/>
  <c r="N25" i="23"/>
  <c r="N9" i="42"/>
  <c r="O25" i="23"/>
  <c r="O9" i="42"/>
  <c r="Q25" i="23"/>
  <c r="Q9" i="42"/>
  <c r="R25" i="23"/>
  <c r="R9" i="42"/>
  <c r="T25" i="23"/>
  <c r="T9" i="42"/>
  <c r="E25" i="23"/>
  <c r="E9" i="42"/>
  <c r="F25" i="23"/>
  <c r="F9" i="42"/>
  <c r="V25" i="23"/>
  <c r="V9" i="42"/>
  <c r="W25" i="23"/>
  <c r="W9" i="42"/>
  <c r="H25" i="23"/>
  <c r="H9" i="42"/>
  <c r="X25" i="23"/>
  <c r="X9" i="42"/>
  <c r="I25" i="23"/>
  <c r="I9" i="42"/>
  <c r="Y25" i="23"/>
  <c r="Y9" i="42"/>
  <c r="C43" i="2"/>
  <c r="C52" i="1" l="1" a="1"/>
  <c r="C52" i="1" s="1"/>
  <c r="D52" i="1" l="1"/>
  <c r="H25" i="1" s="1" a="1"/>
  <c r="C52" i="2"/>
  <c r="Y11" i="23"/>
  <c r="X11" i="23"/>
  <c r="W11" i="23"/>
  <c r="V11" i="23"/>
  <c r="U11" i="23"/>
  <c r="T11" i="23"/>
  <c r="S11" i="23"/>
  <c r="R11" i="23"/>
  <c r="Q11" i="23"/>
  <c r="P11" i="23"/>
  <c r="O11" i="23"/>
  <c r="N11" i="23"/>
  <c r="M11" i="23"/>
  <c r="L11" i="23"/>
  <c r="K11" i="23"/>
  <c r="J11" i="23"/>
  <c r="I11" i="23"/>
  <c r="H11" i="23"/>
  <c r="G11" i="23"/>
  <c r="F11" i="23"/>
  <c r="E11" i="23"/>
  <c r="D11" i="23"/>
  <c r="C11" i="23"/>
  <c r="B11" i="23"/>
  <c r="B9" i="23"/>
  <c r="C9" i="23"/>
  <c r="Y9" i="23"/>
  <c r="X9" i="23"/>
  <c r="W9" i="23"/>
  <c r="V9" i="23"/>
  <c r="U9" i="23"/>
  <c r="T9" i="23"/>
  <c r="S9" i="23"/>
  <c r="R9" i="23"/>
  <c r="Q9" i="23"/>
  <c r="P9" i="23"/>
  <c r="O9" i="23"/>
  <c r="N9" i="23"/>
  <c r="M9" i="23"/>
  <c r="L9" i="23"/>
  <c r="K9" i="23"/>
  <c r="J9" i="23"/>
  <c r="I9" i="23"/>
  <c r="H9" i="23"/>
  <c r="G9" i="23"/>
  <c r="F9" i="23"/>
  <c r="E9" i="23"/>
  <c r="D9" i="23"/>
  <c r="G24" i="23" l="1"/>
  <c r="G8" i="42"/>
  <c r="B24" i="23"/>
  <c r="B8" i="42"/>
  <c r="V24" i="23"/>
  <c r="V8" i="42"/>
  <c r="N24" i="23"/>
  <c r="N8" i="42"/>
  <c r="F24" i="23"/>
  <c r="F8" i="42"/>
  <c r="X24" i="23"/>
  <c r="Y24" i="23"/>
  <c r="C24" i="23"/>
  <c r="C8" i="42"/>
  <c r="K24" i="23"/>
  <c r="K8" i="42"/>
  <c r="L24" i="23"/>
  <c r="L8" i="42"/>
  <c r="M24" i="23"/>
  <c r="M8" i="42"/>
  <c r="O24" i="23"/>
  <c r="O8" i="42"/>
  <c r="T24" i="23"/>
  <c r="T8" i="42"/>
  <c r="W24" i="23"/>
  <c r="H24" i="23"/>
  <c r="H8" i="42"/>
  <c r="I24" i="23"/>
  <c r="I8" i="42"/>
  <c r="J24" i="23"/>
  <c r="J8" i="42"/>
  <c r="P24" i="23"/>
  <c r="P8" i="42"/>
  <c r="Q24" i="23"/>
  <c r="Q8" i="42"/>
  <c r="R24" i="23"/>
  <c r="R8" i="42"/>
  <c r="S24" i="23"/>
  <c r="S8" i="42"/>
  <c r="D24" i="23"/>
  <c r="D8" i="42"/>
  <c r="E24" i="23"/>
  <c r="E8" i="42"/>
  <c r="U24" i="23"/>
  <c r="U8" i="42"/>
  <c r="H27" i="1" a="1"/>
  <c r="H27" i="1" s="1"/>
  <c r="H28" i="1" a="1"/>
  <c r="H28" i="1" s="1"/>
  <c r="H29" i="1" a="1"/>
  <c r="H29" i="1" s="1"/>
  <c r="F39" i="1" a="1"/>
  <c r="F39" i="1" s="1"/>
  <c r="H26" i="1"/>
  <c r="I25" i="1"/>
  <c r="H25" i="1"/>
  <c r="I26" i="1"/>
  <c r="C43" i="1" a="1"/>
  <c r="C42" i="1" a="1"/>
  <c r="I29" i="1"/>
  <c r="I28" i="1"/>
  <c r="I27" i="1"/>
  <c r="AV60" i="3"/>
  <c r="AF60" i="3"/>
  <c r="P60" i="3"/>
  <c r="B56" i="3"/>
  <c r="N60" i="3"/>
  <c r="Z60" i="3"/>
  <c r="X60" i="3"/>
  <c r="V60" i="3"/>
  <c r="AH60" i="3"/>
  <c r="AT60" i="3"/>
  <c r="AD60" i="3"/>
  <c r="AB60" i="3"/>
  <c r="J60" i="3"/>
  <c r="H60" i="3"/>
  <c r="AJ60" i="3"/>
  <c r="B60" i="3"/>
  <c r="AR60" i="3"/>
  <c r="L60" i="3"/>
  <c r="AN60" i="3"/>
  <c r="D60" i="3"/>
  <c r="AP60" i="3"/>
  <c r="AL60" i="3"/>
  <c r="F60" i="3"/>
  <c r="R60" i="3"/>
  <c r="T60" i="3"/>
  <c r="AJ56" i="3"/>
  <c r="T56" i="3"/>
  <c r="D56" i="3"/>
  <c r="V56" i="3"/>
  <c r="AH56" i="3"/>
  <c r="R56" i="3"/>
  <c r="H56" i="3"/>
  <c r="AV56" i="3"/>
  <c r="AF56" i="3"/>
  <c r="P56" i="3"/>
  <c r="AT56" i="3"/>
  <c r="AD56" i="3"/>
  <c r="N56" i="3"/>
  <c r="AL56" i="3"/>
  <c r="AR56" i="3"/>
  <c r="AB56" i="3"/>
  <c r="L56" i="3"/>
  <c r="X56" i="3"/>
  <c r="AP56" i="3"/>
  <c r="Z56" i="3"/>
  <c r="J56" i="3"/>
  <c r="AN56" i="3"/>
  <c r="F56" i="3"/>
  <c r="D120" i="1"/>
  <c r="C41" i="1" a="1"/>
  <c r="W69" i="23"/>
  <c r="V69" i="23"/>
  <c r="U69" i="23"/>
  <c r="T69" i="23"/>
  <c r="S69" i="23"/>
  <c r="R69" i="23"/>
  <c r="Q69" i="23"/>
  <c r="P69" i="23"/>
  <c r="O69" i="23"/>
  <c r="N69" i="23"/>
  <c r="M69" i="23"/>
  <c r="L69" i="23"/>
  <c r="K69" i="23"/>
  <c r="J69" i="23"/>
  <c r="I69" i="23"/>
  <c r="H69" i="23"/>
  <c r="G69" i="23"/>
  <c r="F69" i="23"/>
  <c r="E69" i="23"/>
  <c r="D69" i="23"/>
  <c r="C69" i="23"/>
  <c r="B69" i="23"/>
  <c r="K70" i="23"/>
  <c r="J70" i="23"/>
  <c r="I70" i="23"/>
  <c r="H70" i="23"/>
  <c r="G70" i="23"/>
  <c r="F70" i="23"/>
  <c r="E70" i="23"/>
  <c r="D70" i="23"/>
  <c r="C70" i="23"/>
  <c r="B70" i="23"/>
  <c r="N68" i="23"/>
  <c r="M68" i="23"/>
  <c r="L68" i="23"/>
  <c r="K68" i="23"/>
  <c r="I68" i="23"/>
  <c r="H68" i="23"/>
  <c r="G68" i="23"/>
  <c r="F68" i="23"/>
  <c r="E68" i="23"/>
  <c r="D68" i="23"/>
  <c r="C68" i="23"/>
  <c r="B68" i="23"/>
  <c r="A64" i="23"/>
  <c r="A51" i="23"/>
  <c r="A65" i="23" s="1"/>
  <c r="A52" i="23"/>
  <c r="A66" i="23" s="1"/>
  <c r="A53" i="23"/>
  <c r="A67" i="23" s="1"/>
  <c r="A54" i="23"/>
  <c r="A68" i="23" s="1"/>
  <c r="A69" i="23"/>
  <c r="A70" i="23"/>
  <c r="A49" i="23"/>
  <c r="A63" i="23" s="1"/>
  <c r="K67" i="23"/>
  <c r="J67" i="23"/>
  <c r="I67" i="23"/>
  <c r="H67" i="23"/>
  <c r="G67" i="23"/>
  <c r="F67" i="23"/>
  <c r="E67" i="23"/>
  <c r="D67" i="23"/>
  <c r="C67" i="23"/>
  <c r="B67" i="23"/>
  <c r="Q66" i="23"/>
  <c r="P66" i="23"/>
  <c r="O66" i="23"/>
  <c r="N66" i="23"/>
  <c r="M66" i="23"/>
  <c r="L66" i="23"/>
  <c r="K66" i="23"/>
  <c r="J66" i="23"/>
  <c r="I66" i="23"/>
  <c r="H66" i="23"/>
  <c r="G66" i="23"/>
  <c r="F66" i="23"/>
  <c r="E66" i="23"/>
  <c r="D66" i="23"/>
  <c r="C66" i="23"/>
  <c r="B66" i="23"/>
  <c r="J65" i="23"/>
  <c r="I65" i="23"/>
  <c r="H65" i="23"/>
  <c r="G65" i="23"/>
  <c r="F65" i="23"/>
  <c r="E65" i="23"/>
  <c r="D65" i="23"/>
  <c r="C65" i="23"/>
  <c r="B65" i="23"/>
  <c r="Q64" i="23"/>
  <c r="P64" i="23"/>
  <c r="O64" i="23"/>
  <c r="N64" i="23"/>
  <c r="M64" i="23"/>
  <c r="L64" i="23"/>
  <c r="K64" i="23"/>
  <c r="J64" i="23"/>
  <c r="I64" i="23"/>
  <c r="H64" i="23"/>
  <c r="G64" i="23"/>
  <c r="F64" i="23"/>
  <c r="E64" i="23"/>
  <c r="D64" i="23"/>
  <c r="C64" i="23"/>
  <c r="B64" i="23"/>
  <c r="W63" i="23"/>
  <c r="V63" i="23"/>
  <c r="U63" i="23"/>
  <c r="T63" i="23"/>
  <c r="S63" i="23"/>
  <c r="R63" i="23"/>
  <c r="Q63" i="23"/>
  <c r="P63" i="23"/>
  <c r="O63" i="23"/>
  <c r="N63" i="23"/>
  <c r="M63" i="23"/>
  <c r="L63" i="23"/>
  <c r="K63" i="23"/>
  <c r="I63" i="23"/>
  <c r="H63" i="23"/>
  <c r="G63" i="23"/>
  <c r="F63" i="23"/>
  <c r="E63" i="23"/>
  <c r="D63" i="23"/>
  <c r="C63" i="23"/>
  <c r="B63" i="23"/>
  <c r="J68" i="23"/>
  <c r="G39" i="1" l="1"/>
  <c r="C43" i="1"/>
  <c r="D43" i="1"/>
  <c r="C41" i="1"/>
  <c r="D41" i="1"/>
  <c r="D42" i="1"/>
  <c r="C42" i="1"/>
  <c r="J63" i="23"/>
  <c r="X8" i="23"/>
  <c r="X23" i="23" s="1"/>
  <c r="W8" i="23"/>
  <c r="W23" i="23" s="1"/>
  <c r="V8" i="23"/>
  <c r="V23" i="23" s="1"/>
  <c r="U8" i="23"/>
  <c r="U23" i="23" s="1"/>
  <c r="T8" i="23"/>
  <c r="T23" i="23" s="1"/>
  <c r="S8" i="23"/>
  <c r="S23" i="23" s="1"/>
  <c r="R8" i="23"/>
  <c r="R23" i="23" s="1"/>
  <c r="Q8" i="23"/>
  <c r="Q23" i="23" s="1"/>
  <c r="P8" i="23"/>
  <c r="P23" i="23" s="1"/>
  <c r="O8" i="23"/>
  <c r="O23" i="23" s="1"/>
  <c r="N8" i="23"/>
  <c r="M8" i="23"/>
  <c r="L8" i="23"/>
  <c r="K8" i="23"/>
  <c r="J8" i="23"/>
  <c r="I8" i="23"/>
  <c r="H8" i="23"/>
  <c r="G8" i="23"/>
  <c r="F8" i="23"/>
  <c r="E8" i="23"/>
  <c r="D8" i="23"/>
  <c r="C8" i="23"/>
  <c r="B8" i="23"/>
  <c r="J7" i="23"/>
  <c r="I7" i="23"/>
  <c r="H7" i="23"/>
  <c r="G7" i="23"/>
  <c r="F7" i="23"/>
  <c r="E7" i="23"/>
  <c r="D7" i="23"/>
  <c r="C7" i="23"/>
  <c r="B7" i="23"/>
  <c r="R6" i="23"/>
  <c r="Q6" i="23"/>
  <c r="P6" i="23"/>
  <c r="O6" i="23"/>
  <c r="N6" i="23"/>
  <c r="M6" i="23"/>
  <c r="L6" i="23"/>
  <c r="K6" i="23"/>
  <c r="J6" i="23"/>
  <c r="I6" i="23"/>
  <c r="H6" i="23"/>
  <c r="G6" i="23"/>
  <c r="F6" i="23"/>
  <c r="E6" i="23"/>
  <c r="D6" i="23"/>
  <c r="C6" i="23"/>
  <c r="B6" i="23"/>
  <c r="Y3" i="23"/>
  <c r="X3" i="23"/>
  <c r="W3" i="23"/>
  <c r="V3" i="23"/>
  <c r="U3" i="23"/>
  <c r="T3" i="23"/>
  <c r="S3" i="23"/>
  <c r="R3" i="23"/>
  <c r="Q3" i="23"/>
  <c r="P3" i="23"/>
  <c r="O3" i="23"/>
  <c r="N3" i="23"/>
  <c r="M3" i="23"/>
  <c r="L3" i="23"/>
  <c r="K3" i="23"/>
  <c r="J3" i="23"/>
  <c r="I3" i="23"/>
  <c r="H3" i="23"/>
  <c r="G3" i="23"/>
  <c r="F3" i="23"/>
  <c r="E3" i="23"/>
  <c r="D3" i="23"/>
  <c r="C3" i="23"/>
  <c r="B3" i="23"/>
  <c r="Q21" i="23" l="1"/>
  <c r="F21" i="23"/>
  <c r="F5" i="42"/>
  <c r="N21" i="23"/>
  <c r="N5" i="42"/>
  <c r="P21" i="23"/>
  <c r="P5" i="42"/>
  <c r="R21" i="23"/>
  <c r="C21" i="23"/>
  <c r="C5" i="42"/>
  <c r="E21" i="23"/>
  <c r="E5" i="42"/>
  <c r="G21" i="23"/>
  <c r="G5" i="42"/>
  <c r="L21" i="23"/>
  <c r="L5" i="42"/>
  <c r="O21" i="23"/>
  <c r="O5" i="42"/>
  <c r="B21" i="23"/>
  <c r="B5" i="42"/>
  <c r="D21" i="23"/>
  <c r="D5" i="42"/>
  <c r="H21" i="23"/>
  <c r="H5" i="42"/>
  <c r="I21" i="23"/>
  <c r="I5" i="42"/>
  <c r="J21" i="23"/>
  <c r="J5" i="42"/>
  <c r="K21" i="23"/>
  <c r="K5" i="42"/>
  <c r="M21" i="23"/>
  <c r="M5" i="42"/>
  <c r="B6" i="42"/>
  <c r="B22" i="23"/>
  <c r="C6" i="42"/>
  <c r="C22" i="23"/>
  <c r="D6" i="42"/>
  <c r="D22" i="23"/>
  <c r="E6" i="42"/>
  <c r="E22" i="23"/>
  <c r="F6" i="42"/>
  <c r="F22" i="23"/>
  <c r="G6" i="42"/>
  <c r="G22" i="23"/>
  <c r="H6" i="42"/>
  <c r="H22" i="23"/>
  <c r="I6" i="42"/>
  <c r="I22" i="23"/>
  <c r="J6" i="42"/>
  <c r="J22" i="23"/>
  <c r="K6" i="42"/>
  <c r="K22" i="23"/>
  <c r="C7" i="42"/>
  <c r="C23" i="23"/>
  <c r="E23" i="23"/>
  <c r="E7" i="42"/>
  <c r="J23" i="23"/>
  <c r="N23" i="23"/>
  <c r="H23" i="23"/>
  <c r="H7" i="42"/>
  <c r="K23" i="23"/>
  <c r="B23" i="23"/>
  <c r="B7" i="42"/>
  <c r="D23" i="23"/>
  <c r="D7" i="42"/>
  <c r="F23" i="23"/>
  <c r="F7" i="42"/>
  <c r="G23" i="23"/>
  <c r="G7" i="42"/>
  <c r="I23" i="23"/>
  <c r="I7" i="42"/>
  <c r="L23" i="23"/>
  <c r="M23" i="23"/>
  <c r="V2" i="42"/>
  <c r="V18" i="23"/>
  <c r="I2" i="42"/>
  <c r="I18" i="23"/>
  <c r="J2" i="42"/>
  <c r="J18" i="23"/>
  <c r="K2" i="42"/>
  <c r="K18" i="23"/>
  <c r="B2" i="42"/>
  <c r="B18" i="23"/>
  <c r="F2" i="42"/>
  <c r="F18" i="23"/>
  <c r="W2" i="42"/>
  <c r="W18" i="23"/>
  <c r="X18" i="23"/>
  <c r="Y18" i="23"/>
  <c r="N2" i="42"/>
  <c r="N18" i="23"/>
  <c r="H2" i="42"/>
  <c r="H18" i="23"/>
  <c r="L2" i="42"/>
  <c r="L18" i="23"/>
  <c r="P2" i="42"/>
  <c r="P18" i="23"/>
  <c r="C2" i="42"/>
  <c r="C18" i="23"/>
  <c r="T2" i="42"/>
  <c r="T18" i="23"/>
  <c r="G2" i="42"/>
  <c r="G18" i="23"/>
  <c r="M2" i="42"/>
  <c r="M18" i="23"/>
  <c r="O2" i="42"/>
  <c r="O18" i="23"/>
  <c r="Q2" i="42"/>
  <c r="Q18" i="23"/>
  <c r="R2" i="42"/>
  <c r="R18" i="23"/>
  <c r="S2" i="42"/>
  <c r="S18" i="23"/>
  <c r="D2" i="42"/>
  <c r="D18" i="23"/>
  <c r="E2" i="42"/>
  <c r="E18" i="23"/>
  <c r="U2" i="42"/>
  <c r="U18" i="23"/>
  <c r="AT45" i="3"/>
  <c r="AR45" i="3"/>
  <c r="AP45" i="3"/>
  <c r="AN45" i="3"/>
  <c r="AL45" i="3"/>
  <c r="AJ45" i="3"/>
  <c r="AH45" i="3"/>
  <c r="AF45" i="3"/>
  <c r="AD45" i="3"/>
  <c r="AB45" i="3"/>
  <c r="Z45" i="3"/>
  <c r="X45" i="3"/>
  <c r="V45" i="3"/>
  <c r="T45" i="3"/>
  <c r="R45" i="3"/>
  <c r="P45" i="3"/>
  <c r="N45" i="3"/>
  <c r="L45" i="3"/>
  <c r="J45" i="3"/>
  <c r="H45" i="3"/>
  <c r="F45" i="3"/>
  <c r="D45" i="3"/>
  <c r="B45" i="3"/>
  <c r="AT44" i="3"/>
  <c r="AR44" i="3"/>
  <c r="AP44" i="3"/>
  <c r="AN44" i="3"/>
  <c r="AL44" i="3"/>
  <c r="AJ44" i="3"/>
  <c r="AH44" i="3"/>
  <c r="AF44" i="3"/>
  <c r="AD44" i="3"/>
  <c r="AB44" i="3"/>
  <c r="Z44" i="3"/>
  <c r="X44" i="3"/>
  <c r="V44" i="3"/>
  <c r="T44" i="3"/>
  <c r="R44" i="3"/>
  <c r="P44" i="3"/>
  <c r="N44" i="3"/>
  <c r="L44" i="3"/>
  <c r="J44" i="3"/>
  <c r="H44" i="3"/>
  <c r="F44" i="3"/>
  <c r="D44" i="3"/>
  <c r="C118" i="1" l="1" a="1"/>
  <c r="C118" i="1" s="1"/>
  <c r="C45" i="2" a="1"/>
  <c r="D45" i="2" s="1"/>
  <c r="C34" i="2" a="1"/>
  <c r="C34" i="2" s="1"/>
  <c r="D118" i="1" l="1"/>
  <c r="C45" i="2"/>
  <c r="D34" i="2"/>
  <c r="C37" i="2" l="1" a="1"/>
  <c r="C37" i="2" s="1"/>
  <c r="D37" i="2" l="1"/>
  <c r="C80" i="1" a="1"/>
  <c r="C80" i="1" s="1"/>
  <c r="C115" i="1" a="1"/>
  <c r="D115" i="1" s="1"/>
  <c r="C46" i="1" a="1"/>
  <c r="C46" i="1" s="1"/>
  <c r="D80" i="1" l="1"/>
  <c r="C115" i="1"/>
  <c r="D46" i="1"/>
  <c r="AT43" i="3" l="1" a="1"/>
  <c r="AT43" i="3" s="1"/>
  <c r="AR43" i="3" a="1"/>
  <c r="AR43" i="3" s="1"/>
  <c r="AP43" i="3" a="1"/>
  <c r="AP43" i="3" s="1"/>
  <c r="AN43" i="3" a="1"/>
  <c r="AN43" i="3" s="1"/>
  <c r="AL43" i="3" a="1"/>
  <c r="AL43" i="3" s="1"/>
  <c r="C33" i="2" l="1"/>
  <c r="C31" i="2"/>
  <c r="D31" i="2" l="1"/>
  <c r="D33" i="2"/>
  <c r="C23" i="2" a="1"/>
  <c r="C38" i="1" l="1" a="1"/>
  <c r="C38" i="1" s="1"/>
  <c r="C30" i="1" a="1"/>
  <c r="C30" i="1" s="1"/>
  <c r="H30" i="1" a="1"/>
  <c r="H30" i="1" s="1"/>
  <c r="C100" i="1" a="1"/>
  <c r="D100" i="1" s="1"/>
  <c r="D38" i="1" l="1"/>
  <c r="D30" i="1"/>
  <c r="C44" i="1" s="1" a="1"/>
  <c r="I30" i="1"/>
  <c r="C100" i="1"/>
  <c r="C44" i="1" l="1"/>
  <c r="D44" i="1"/>
  <c r="L9" i="1" a="1"/>
  <c r="C22" i="2" a="1"/>
  <c r="C22" i="2" s="1"/>
  <c r="L9" i="1" l="1"/>
  <c r="M9" i="1"/>
  <c r="D22" i="2"/>
  <c r="C30" i="2" s="1" a="1"/>
  <c r="AJ43" i="3" a="1"/>
  <c r="AJ43" i="3" s="1"/>
  <c r="AH43" i="3" a="1"/>
  <c r="AH43" i="3" s="1"/>
  <c r="AF43" i="3" a="1"/>
  <c r="AF43" i="3" s="1"/>
  <c r="AD43" i="3" a="1"/>
  <c r="AD43" i="3" s="1"/>
  <c r="AB43" i="3" a="1"/>
  <c r="AB43" i="3" s="1"/>
  <c r="Z43" i="3" a="1"/>
  <c r="Z43" i="3" s="1"/>
  <c r="X43" i="3" a="1"/>
  <c r="X43" i="3" s="1"/>
  <c r="V43" i="3" a="1"/>
  <c r="V43" i="3" s="1"/>
  <c r="T43" i="3" a="1"/>
  <c r="T43" i="3" s="1"/>
  <c r="R43" i="3" a="1"/>
  <c r="R43" i="3" s="1"/>
  <c r="P43" i="3" a="1"/>
  <c r="P43" i="3" s="1"/>
  <c r="N43" i="3" a="1"/>
  <c r="N43" i="3" s="1"/>
  <c r="L43" i="3" a="1"/>
  <c r="L43" i="3" s="1"/>
  <c r="J43" i="3" a="1"/>
  <c r="J43" i="3" s="1"/>
  <c r="H43" i="3" a="1"/>
  <c r="H43" i="3" s="1"/>
  <c r="F43" i="3" a="1"/>
  <c r="F43" i="3" s="1"/>
  <c r="D43" i="3" a="1"/>
  <c r="D43" i="3" s="1"/>
  <c r="D30" i="2" l="1"/>
  <c r="C30" i="2"/>
  <c r="C39" i="2" l="1" a="1"/>
  <c r="C21" i="2" a="1"/>
  <c r="C116" i="1" a="1"/>
  <c r="C116" i="1" s="1"/>
  <c r="C114" i="1" a="1"/>
  <c r="D114" i="1" s="1"/>
  <c r="D116" i="1" l="1"/>
  <c r="C114" i="1"/>
  <c r="X38" i="23" l="1"/>
  <c r="X89" i="23" s="1"/>
  <c r="W38" i="23"/>
  <c r="W89" i="23" s="1"/>
  <c r="V38" i="23"/>
  <c r="V89" i="23" s="1"/>
  <c r="U38" i="23"/>
  <c r="U89" i="23" s="1"/>
  <c r="T38" i="23"/>
  <c r="T89" i="23" s="1"/>
  <c r="AT22" i="23" l="1"/>
  <c r="AB23" i="23"/>
  <c r="AY23" i="23"/>
  <c r="AX23" i="23"/>
  <c r="AW23" i="23"/>
  <c r="AV23" i="23"/>
  <c r="AU23" i="23"/>
  <c r="AT23" i="23"/>
  <c r="AS23" i="23"/>
  <c r="AR23" i="23"/>
  <c r="AQ23" i="23"/>
  <c r="AP23" i="23"/>
  <c r="AO23" i="23"/>
  <c r="AN23" i="23"/>
  <c r="AM23" i="23"/>
  <c r="AL23" i="23"/>
  <c r="AK23" i="23"/>
  <c r="AJ23" i="23"/>
  <c r="AI23" i="23"/>
  <c r="AH23" i="23"/>
  <c r="AG23" i="23"/>
  <c r="AF23" i="23"/>
  <c r="AE23" i="23"/>
  <c r="AD23" i="23"/>
  <c r="AC23" i="23"/>
  <c r="S38" i="23"/>
  <c r="S89" i="23" s="1"/>
  <c r="R38" i="23"/>
  <c r="R89" i="23" s="1"/>
  <c r="Q38" i="23"/>
  <c r="Q89" i="23" s="1"/>
  <c r="P38" i="23"/>
  <c r="P89" i="23" s="1"/>
  <c r="O38" i="23"/>
  <c r="O89" i="23" s="1"/>
  <c r="N38" i="23"/>
  <c r="N89" i="23" s="1"/>
  <c r="M38" i="23"/>
  <c r="M89" i="23" s="1"/>
  <c r="L38" i="23"/>
  <c r="K38" i="23"/>
  <c r="J38" i="23"/>
  <c r="I38" i="23"/>
  <c r="H38" i="23"/>
  <c r="G38" i="23"/>
  <c r="F38" i="23"/>
  <c r="E38" i="23"/>
  <c r="D38" i="23"/>
  <c r="C38" i="23"/>
  <c r="B38" i="23"/>
  <c r="Y37" i="23"/>
  <c r="Y88" i="23" s="1"/>
  <c r="X37" i="23"/>
  <c r="X88" i="23" s="1"/>
  <c r="W37" i="23"/>
  <c r="W88" i="23" s="1"/>
  <c r="V37" i="23"/>
  <c r="V88" i="23" s="1"/>
  <c r="U37" i="23"/>
  <c r="U88" i="23" s="1"/>
  <c r="T37" i="23"/>
  <c r="T88" i="23" s="1"/>
  <c r="S37" i="23"/>
  <c r="S88" i="23" s="1"/>
  <c r="R37" i="23"/>
  <c r="Q37" i="23"/>
  <c r="P37" i="23"/>
  <c r="O37" i="23"/>
  <c r="N37" i="23"/>
  <c r="M37" i="23"/>
  <c r="L37" i="23"/>
  <c r="K37" i="23"/>
  <c r="J37" i="23"/>
  <c r="I37" i="23"/>
  <c r="H37" i="23"/>
  <c r="G37" i="23"/>
  <c r="F37" i="23"/>
  <c r="E37" i="23"/>
  <c r="D37" i="23"/>
  <c r="C37" i="23"/>
  <c r="B37" i="23"/>
  <c r="Y34" i="23"/>
  <c r="X34" i="23"/>
  <c r="W34" i="23"/>
  <c r="V34" i="23"/>
  <c r="U34" i="23"/>
  <c r="T34" i="23"/>
  <c r="S34" i="23"/>
  <c r="R34" i="23"/>
  <c r="Q34" i="23"/>
  <c r="P34" i="23"/>
  <c r="O34" i="23"/>
  <c r="N34" i="23"/>
  <c r="M34" i="23"/>
  <c r="L34" i="23"/>
  <c r="K34" i="23"/>
  <c r="J34" i="23"/>
  <c r="I34" i="23"/>
  <c r="H34" i="23"/>
  <c r="G34" i="23"/>
  <c r="F34" i="23"/>
  <c r="E34" i="23"/>
  <c r="D34" i="23"/>
  <c r="C34" i="23"/>
  <c r="AS22" i="23"/>
  <c r="AR22" i="23"/>
  <c r="AQ22" i="23"/>
  <c r="AP22" i="23"/>
  <c r="AO22" i="23"/>
  <c r="AN22" i="23"/>
  <c r="AM22" i="23"/>
  <c r="AL22" i="23"/>
  <c r="AK22" i="23"/>
  <c r="AJ22" i="23"/>
  <c r="AI22" i="23"/>
  <c r="AH22" i="23"/>
  <c r="AG22" i="23"/>
  <c r="AF22" i="23"/>
  <c r="AE22" i="23"/>
  <c r="AD22" i="23"/>
  <c r="AC22" i="23"/>
  <c r="AB22" i="23"/>
  <c r="AP21" i="23"/>
  <c r="AO21" i="23"/>
  <c r="AN21" i="23"/>
  <c r="AM21" i="23"/>
  <c r="AL21" i="23"/>
  <c r="AK21" i="23"/>
  <c r="AJ21" i="23"/>
  <c r="AI21" i="23"/>
  <c r="AH21" i="23"/>
  <c r="AG21" i="23"/>
  <c r="AF21" i="23"/>
  <c r="AE21" i="23"/>
  <c r="AD21" i="23"/>
  <c r="AC21" i="23"/>
  <c r="AB21" i="23"/>
  <c r="AY18" i="23"/>
  <c r="AX18" i="23"/>
  <c r="AW18" i="23"/>
  <c r="AV18" i="23"/>
  <c r="AU18" i="23"/>
  <c r="AT18" i="23"/>
  <c r="AS18" i="23"/>
  <c r="AR18" i="23"/>
  <c r="AQ18" i="23"/>
  <c r="AP18" i="23"/>
  <c r="AO18" i="23"/>
  <c r="AN18" i="23"/>
  <c r="AM18" i="23"/>
  <c r="AL18" i="23"/>
  <c r="AK18" i="23"/>
  <c r="AJ18" i="23"/>
  <c r="AI18" i="23"/>
  <c r="AH18" i="23"/>
  <c r="AG18" i="23"/>
  <c r="AF18" i="23"/>
  <c r="AE18" i="23"/>
  <c r="AD18" i="23"/>
  <c r="AC18" i="23"/>
  <c r="AB18" i="23"/>
  <c r="AT20" i="23"/>
  <c r="AS20" i="23"/>
  <c r="AR20" i="23"/>
  <c r="AQ20" i="23"/>
  <c r="AP20" i="23"/>
  <c r="AO20" i="23"/>
  <c r="AN20" i="23"/>
  <c r="AM20" i="23"/>
  <c r="AL20" i="23"/>
  <c r="AK20" i="23"/>
  <c r="AJ20" i="23"/>
  <c r="AI20" i="23"/>
  <c r="AH20" i="23"/>
  <c r="AG20" i="23"/>
  <c r="AF20" i="23"/>
  <c r="AE20" i="23"/>
  <c r="AD20" i="23"/>
  <c r="AC20" i="23"/>
  <c r="AB20" i="23"/>
  <c r="AY19" i="23"/>
  <c r="AX19" i="23"/>
  <c r="AW19" i="23"/>
  <c r="AV19" i="23"/>
  <c r="AU19" i="23"/>
  <c r="AT19" i="23"/>
  <c r="AS19" i="23"/>
  <c r="AR19" i="23"/>
  <c r="AQ19" i="23"/>
  <c r="AP19" i="23"/>
  <c r="AO19" i="23"/>
  <c r="AN19" i="23"/>
  <c r="AM19" i="23"/>
  <c r="AL19" i="23"/>
  <c r="AK19" i="23"/>
  <c r="AJ19" i="23"/>
  <c r="AI19" i="23"/>
  <c r="AH19" i="23"/>
  <c r="AG19" i="23"/>
  <c r="AF19" i="23"/>
  <c r="AE19" i="23"/>
  <c r="AD19" i="23"/>
  <c r="AC19" i="23"/>
  <c r="AB19" i="23"/>
  <c r="L89" i="23" l="1"/>
  <c r="L6" i="40"/>
  <c r="P88" i="23"/>
  <c r="P5" i="40"/>
  <c r="G88" i="23"/>
  <c r="G5" i="40"/>
  <c r="Q88" i="23"/>
  <c r="E88" i="23"/>
  <c r="E5" i="40"/>
  <c r="I88" i="23"/>
  <c r="I5" i="40"/>
  <c r="K88" i="23"/>
  <c r="K5" i="40"/>
  <c r="B88" i="23"/>
  <c r="B5" i="40"/>
  <c r="R88" i="23"/>
  <c r="F88" i="23"/>
  <c r="F5" i="40"/>
  <c r="H88" i="23"/>
  <c r="H5" i="40"/>
  <c r="L88" i="23"/>
  <c r="L5" i="40"/>
  <c r="O88" i="23"/>
  <c r="O5" i="40"/>
  <c r="C88" i="23"/>
  <c r="C5" i="40"/>
  <c r="J88" i="23"/>
  <c r="J5" i="40"/>
  <c r="M88" i="23"/>
  <c r="M5" i="40"/>
  <c r="N88" i="23"/>
  <c r="N5" i="40"/>
  <c r="D88" i="23"/>
  <c r="D5" i="40"/>
  <c r="G89" i="23"/>
  <c r="G6" i="40"/>
  <c r="B89" i="23"/>
  <c r="B6" i="40"/>
  <c r="C89" i="23"/>
  <c r="C6" i="40"/>
  <c r="D89" i="23"/>
  <c r="D6" i="40"/>
  <c r="E89" i="23"/>
  <c r="E6" i="40"/>
  <c r="F89" i="23"/>
  <c r="F6" i="40"/>
  <c r="H89" i="23"/>
  <c r="H6" i="40"/>
  <c r="I89" i="23"/>
  <c r="I6" i="40"/>
  <c r="J89" i="23"/>
  <c r="J6" i="40"/>
  <c r="K89" i="23"/>
  <c r="K6" i="40"/>
  <c r="S85" i="23"/>
  <c r="S2" i="40"/>
  <c r="T85" i="23"/>
  <c r="T2" i="40"/>
  <c r="E85" i="23"/>
  <c r="E2" i="40"/>
  <c r="N85" i="23"/>
  <c r="N2" i="40"/>
  <c r="Q85" i="23"/>
  <c r="Q2" i="40"/>
  <c r="V85" i="23"/>
  <c r="V2" i="40"/>
  <c r="W85" i="23"/>
  <c r="W2" i="40"/>
  <c r="H85" i="23"/>
  <c r="H2" i="40"/>
  <c r="Y85" i="23"/>
  <c r="J85" i="23"/>
  <c r="J2" i="40"/>
  <c r="O85" i="23"/>
  <c r="O2" i="40"/>
  <c r="P85" i="23"/>
  <c r="P2" i="40"/>
  <c r="R85" i="23"/>
  <c r="R2" i="40"/>
  <c r="F85" i="23"/>
  <c r="F2" i="40"/>
  <c r="G85" i="23"/>
  <c r="G2" i="40"/>
  <c r="X85" i="23"/>
  <c r="I85" i="23"/>
  <c r="I2" i="40"/>
  <c r="K85" i="23"/>
  <c r="K2" i="40"/>
  <c r="M85" i="23"/>
  <c r="M2" i="40"/>
  <c r="C85" i="23"/>
  <c r="C2" i="40"/>
  <c r="D85" i="23"/>
  <c r="D2" i="40"/>
  <c r="U85" i="23"/>
  <c r="U2" i="40"/>
  <c r="L85" i="23"/>
  <c r="L2" i="40"/>
  <c r="C3" i="2" a="1"/>
  <c r="C10" i="2" l="1"/>
  <c r="C6" i="2"/>
  <c r="D11" i="2"/>
  <c r="D9" i="2"/>
  <c r="D7" i="2"/>
  <c r="D5" i="2"/>
  <c r="D10" i="2"/>
  <c r="D8" i="2"/>
  <c r="D6" i="2"/>
  <c r="C8" i="2"/>
  <c r="C11" i="2"/>
  <c r="C9" i="2"/>
  <c r="C7" i="2"/>
  <c r="C5" i="2"/>
  <c r="C45" i="1" l="1" a="1"/>
  <c r="C45" i="1" s="1"/>
  <c r="D45" i="1" l="1"/>
  <c r="L5" i="1" s="1" a="1"/>
  <c r="W56" i="2" l="1"/>
  <c r="U56" i="2"/>
  <c r="Y56" i="2"/>
  <c r="C122" i="1" a="1"/>
  <c r="L5" i="1"/>
  <c r="M5" i="1"/>
  <c r="C122" i="1" l="1"/>
  <c r="D122" i="1"/>
  <c r="C90" i="1" a="1"/>
  <c r="D90" i="1" s="1"/>
  <c r="C85" i="1" a="1"/>
  <c r="D85" i="1" s="1"/>
  <c r="C90" i="1" l="1"/>
  <c r="C85" i="1"/>
  <c r="C32" i="1" l="1" a="1"/>
  <c r="C32" i="1" l="1"/>
  <c r="C47" i="1" s="1" a="1"/>
  <c r="D32" i="1"/>
  <c r="D47" i="1" l="1"/>
  <c r="C47" i="1"/>
  <c r="E3" i="2" a="1"/>
  <c r="C48" i="1" l="1" a="1"/>
  <c r="D48" i="1" s="1"/>
  <c r="C55" i="1" a="1"/>
  <c r="C55" i="1" s="1"/>
  <c r="C48" i="1" l="1"/>
  <c r="C57" i="1"/>
  <c r="C121" i="1" s="1"/>
  <c r="C95" i="1" l="1" a="1"/>
  <c r="C95" i="1" s="1"/>
  <c r="D95" i="1" l="1"/>
  <c r="L8" i="1" l="1" a="1"/>
  <c r="C117" i="1" a="1"/>
  <c r="I57" i="1" a="1"/>
  <c r="I57" i="1" s="1"/>
  <c r="L57" i="1" s="1"/>
  <c r="C83" i="1" a="1"/>
  <c r="C82" i="1" a="1"/>
  <c r="M8" i="1" l="1"/>
  <c r="L8" i="1"/>
  <c r="C117" i="1"/>
  <c r="D117" i="1"/>
  <c r="C83" i="1"/>
  <c r="D83" i="1"/>
  <c r="D82" i="1"/>
  <c r="C82" i="1"/>
  <c r="N33" i="1" s="1" a="1"/>
  <c r="N33" i="1" l="1"/>
  <c r="O33" i="1"/>
  <c r="N32" i="1" a="1"/>
  <c r="H34" i="1" a="1"/>
  <c r="I34" i="1" s="1"/>
  <c r="O32" i="1" l="1"/>
  <c r="N32" i="1"/>
  <c r="H34" i="1"/>
  <c r="F82" i="1" a="1"/>
  <c r="F82" i="1" s="1"/>
  <c r="K34" i="1" l="1" a="1"/>
  <c r="K34" i="1" s="1"/>
  <c r="G82" i="1"/>
  <c r="F83" i="1" s="1" a="1"/>
  <c r="L34" i="1" l="1"/>
  <c r="F83" i="1"/>
  <c r="G83" i="1"/>
  <c r="C3" i="2" l="1"/>
  <c r="F12" i="1"/>
  <c r="F3" i="2"/>
  <c r="G4" i="2"/>
  <c r="E4" i="2"/>
  <c r="C59" i="1"/>
  <c r="H3" i="2"/>
  <c r="D3" i="2"/>
  <c r="C4" i="2"/>
  <c r="D4" i="2"/>
  <c r="F4" i="2"/>
  <c r="G3" i="2"/>
  <c r="I4" i="1"/>
  <c r="E3" i="2"/>
  <c r="H4" i="2"/>
  <c r="I3" i="1"/>
  <c r="G12" i="1"/>
  <c r="C37" i="1" l="1" a="1"/>
  <c r="D37" i="1" s="1"/>
  <c r="D12" i="2"/>
  <c r="D14" i="1"/>
  <c r="G12" i="2"/>
  <c r="F12" i="2"/>
  <c r="C14" i="1"/>
  <c r="C12" i="2"/>
  <c r="I4" i="2"/>
  <c r="D14" i="2" s="1"/>
  <c r="I3" i="2"/>
  <c r="C14" i="2" l="1"/>
  <c r="C37" i="1"/>
  <c r="C70" i="1" s="1" a="1"/>
  <c r="D70" i="1" l="1"/>
  <c r="C70" i="1"/>
  <c r="D71" i="1"/>
  <c r="C71" i="1"/>
  <c r="C123" i="1" a="1"/>
  <c r="C51" i="1" a="1"/>
  <c r="H72" i="1" a="1"/>
  <c r="C72" i="1" a="1"/>
  <c r="H73" i="1" a="1"/>
  <c r="C73" i="1" a="1"/>
  <c r="O12" i="1" a="1"/>
  <c r="C123" i="1" l="1"/>
  <c r="D123" i="1"/>
  <c r="C51" i="1"/>
  <c r="D51" i="1"/>
  <c r="C73" i="1"/>
  <c r="D73" i="1"/>
  <c r="I73" i="1"/>
  <c r="H73" i="1"/>
  <c r="P12" i="1"/>
  <c r="O12" i="1"/>
  <c r="D72" i="1"/>
  <c r="C72" i="1"/>
  <c r="H72" i="1"/>
  <c r="I72" i="1"/>
  <c r="K73" i="1" l="1" a="1"/>
  <c r="L73" i="1" s="1"/>
  <c r="L7" i="1" a="1"/>
  <c r="C50" i="1" a="1"/>
  <c r="H45" i="1" a="1"/>
  <c r="H46" i="1" a="1"/>
  <c r="C51" i="2" a="1"/>
  <c r="K72" i="1" a="1"/>
  <c r="K73" i="1" l="1"/>
  <c r="M7" i="1"/>
  <c r="L7" i="1"/>
  <c r="C51" i="2"/>
  <c r="D51" i="2"/>
  <c r="I46" i="1"/>
  <c r="H46" i="1"/>
  <c r="K72" i="1"/>
  <c r="L72" i="1"/>
  <c r="I45" i="1"/>
  <c r="H45" i="1"/>
  <c r="D50" i="1"/>
  <c r="C50" i="1"/>
  <c r="AJ58" i="3" l="1" a="1"/>
  <c r="AJ58" i="3" s="1"/>
  <c r="D58" i="3" a="1"/>
  <c r="AF58" i="3" a="1"/>
  <c r="AF58" i="3" s="1"/>
  <c r="AB58" i="3" a="1"/>
  <c r="Z58" i="3" a="1"/>
  <c r="Z58" i="3" s="1"/>
  <c r="X58" i="3" a="1"/>
  <c r="X58" i="3" s="1"/>
  <c r="V58" i="3" a="1"/>
  <c r="V58" i="3" s="1"/>
  <c r="T58" i="3" a="1"/>
  <c r="T58" i="3" s="1"/>
  <c r="R58" i="3" a="1"/>
  <c r="AV58" i="3" a="1"/>
  <c r="AT58" i="3" a="1"/>
  <c r="AT58" i="3" s="1"/>
  <c r="AR58" i="3" a="1"/>
  <c r="AR58" i="3" s="1"/>
  <c r="J58" i="3" a="1"/>
  <c r="J58" i="3" s="1"/>
  <c r="H58" i="3" a="1"/>
  <c r="H58" i="3" s="1"/>
  <c r="AL58" i="3" a="1"/>
  <c r="AL58" i="3" s="1"/>
  <c r="AH58" i="3" a="1"/>
  <c r="AH58" i="3" s="1"/>
  <c r="B58" i="3" a="1"/>
  <c r="B58" i="3" s="1"/>
  <c r="AD58" i="3" a="1"/>
  <c r="AD58" i="3" s="1"/>
  <c r="P58" i="3" a="1"/>
  <c r="N58" i="3" a="1"/>
  <c r="L58" i="3" a="1"/>
  <c r="AP58" i="3" a="1"/>
  <c r="AP58" i="3" s="1"/>
  <c r="AN58" i="3" a="1"/>
  <c r="F58" i="3" a="1"/>
  <c r="F58" i="3" s="1"/>
  <c r="R58" i="3"/>
  <c r="AN58" i="3"/>
  <c r="AB58" i="3"/>
  <c r="P58" i="3"/>
  <c r="N58" i="3"/>
  <c r="L58" i="3"/>
  <c r="AV58" i="3"/>
  <c r="D58" i="3"/>
  <c r="L6" i="1" a="1"/>
  <c r="L6" i="1" s="1"/>
  <c r="K45" i="1" a="1"/>
  <c r="L45" i="1" s="1"/>
  <c r="K46" i="1" a="1"/>
  <c r="L46" i="1" s="1"/>
  <c r="H32" i="1" a="1"/>
  <c r="C50" i="2" a="1"/>
  <c r="M6" i="1" l="1"/>
  <c r="K45" i="1"/>
  <c r="K46" i="1"/>
  <c r="I32" i="1"/>
  <c r="H32" i="1"/>
  <c r="D50" i="2"/>
  <c r="C50" i="2"/>
  <c r="T57" i="3" l="1" a="1"/>
  <c r="AV57" i="3" a="1"/>
  <c r="N57" i="3" a="1"/>
  <c r="N57" i="3" s="1"/>
  <c r="AR57" i="3" a="1"/>
  <c r="AR57" i="3" s="1"/>
  <c r="J57" i="3" a="1"/>
  <c r="J57" i="3" s="1"/>
  <c r="AN57" i="3" a="1"/>
  <c r="AN57" i="3" s="1"/>
  <c r="AL57" i="3" a="1"/>
  <c r="AJ57" i="3" a="1"/>
  <c r="AJ57" i="3" s="1"/>
  <c r="AH57" i="3" a="1"/>
  <c r="AH57" i="3" s="1"/>
  <c r="Z57" i="3" a="1"/>
  <c r="X57" i="3" a="1"/>
  <c r="X57" i="3" s="1"/>
  <c r="R57" i="3" a="1"/>
  <c r="P57" i="3" a="1"/>
  <c r="P57" i="3" s="1"/>
  <c r="AT57" i="3" a="1"/>
  <c r="AT57" i="3" s="1"/>
  <c r="L57" i="3" a="1"/>
  <c r="L57" i="3" s="1"/>
  <c r="AP57" i="3" a="1"/>
  <c r="AP57" i="3" s="1"/>
  <c r="H57" i="3" a="1"/>
  <c r="H57" i="3" s="1"/>
  <c r="F57" i="3" a="1"/>
  <c r="D57" i="3" a="1"/>
  <c r="B57" i="3" a="1"/>
  <c r="B57" i="3" s="1"/>
  <c r="AF57" i="3" a="1"/>
  <c r="AF57" i="3" s="1"/>
  <c r="AD57" i="3" a="1"/>
  <c r="AD57" i="3" s="1"/>
  <c r="AB57" i="3" a="1"/>
  <c r="V57" i="3" a="1"/>
  <c r="V57" i="3" s="1"/>
  <c r="AV57" i="3"/>
  <c r="F57" i="3"/>
  <c r="AL57" i="3"/>
  <c r="D57" i="3"/>
  <c r="Z57" i="3"/>
  <c r="R57" i="3"/>
  <c r="T57" i="3"/>
  <c r="AB57" i="3"/>
  <c r="K32" i="1" a="1"/>
  <c r="K32" i="1" s="1"/>
  <c r="K30" i="1" a="1"/>
  <c r="Q3" i="1" a="1"/>
  <c r="Q4" i="1" s="1"/>
  <c r="C32" i="2" a="1"/>
  <c r="L32" i="1" l="1"/>
  <c r="Q3" i="1"/>
  <c r="L30" i="1"/>
  <c r="K30" i="1"/>
  <c r="C25" i="1" l="1" a="1"/>
  <c r="D25" i="1" l="1"/>
  <c r="C25" i="1"/>
  <c r="C26" i="1" l="1"/>
  <c r="C93" i="1" s="1" a="1"/>
  <c r="D26" i="1"/>
  <c r="K25" i="1" l="1" a="1"/>
  <c r="C88" i="1" a="1"/>
  <c r="D88" i="1" s="1"/>
  <c r="C87" i="1" a="1"/>
  <c r="C87" i="1" s="1"/>
  <c r="C92" i="1" a="1"/>
  <c r="D92" i="1" s="1"/>
  <c r="L3" i="1" a="1"/>
  <c r="L4" i="1" s="1"/>
  <c r="C93" i="1"/>
  <c r="D93" i="1"/>
  <c r="C92" i="1" l="1"/>
  <c r="H70" i="1" s="1" a="1"/>
  <c r="I70" i="1" s="1"/>
  <c r="M3" i="1"/>
  <c r="L3" i="1"/>
  <c r="D87" i="1"/>
  <c r="G87" i="1" s="1"/>
  <c r="M4" i="1"/>
  <c r="C88" i="1"/>
  <c r="H71" i="1" s="1" a="1"/>
  <c r="F87" i="1" l="1"/>
  <c r="I71" i="1"/>
  <c r="H70" i="1"/>
  <c r="H71" i="1"/>
  <c r="H21" i="1" a="1"/>
  <c r="H48" i="1" a="1"/>
  <c r="F92" i="1" a="1"/>
  <c r="H47" i="1" a="1"/>
  <c r="H35" i="1" a="1"/>
  <c r="K70" i="1" l="1" a="1"/>
  <c r="L70" i="1" s="1"/>
  <c r="H47" i="1"/>
  <c r="I47" i="1"/>
  <c r="G92" i="1"/>
  <c r="F92" i="1"/>
  <c r="I48" i="1"/>
  <c r="H48" i="1"/>
  <c r="H21" i="1"/>
  <c r="I21" i="1"/>
  <c r="I35" i="1"/>
  <c r="H35" i="1"/>
  <c r="K71" i="1" l="1"/>
  <c r="K70" i="1"/>
  <c r="L71" i="1"/>
  <c r="K21" i="1" a="1"/>
  <c r="L21" i="1" s="1"/>
  <c r="K48" i="1" a="1"/>
  <c r="L48" i="1" s="1"/>
  <c r="F88" i="1" a="1"/>
  <c r="F88" i="1" s="1"/>
  <c r="F93" i="1" a="1"/>
  <c r="F93" i="1" s="1"/>
  <c r="K35" i="1" a="1"/>
  <c r="K35" i="1" s="1"/>
  <c r="K47" i="1" a="1"/>
  <c r="L47" i="1" s="1"/>
  <c r="K21" i="1" l="1"/>
  <c r="K47" i="1"/>
  <c r="G93" i="1"/>
  <c r="K48" i="1"/>
  <c r="L35" i="1"/>
  <c r="G88" i="1"/>
  <c r="K26" i="1" l="1"/>
  <c r="K25" i="1" l="1"/>
  <c r="L25" i="1"/>
  <c r="C27" i="1" a="1"/>
  <c r="C39" i="1" a="1"/>
  <c r="C120" i="1"/>
  <c r="H39" i="1" a="1"/>
  <c r="L26" i="1"/>
  <c r="I39" i="1" l="1"/>
  <c r="H39" i="1"/>
  <c r="D39" i="1"/>
  <c r="C39" i="1"/>
  <c r="C27" i="1"/>
  <c r="D27" i="1"/>
  <c r="L10" i="1" l="1" a="1"/>
  <c r="M10" i="1" s="1"/>
  <c r="H55" i="1" a="1"/>
  <c r="H55" i="1" s="1"/>
  <c r="C40" i="1" a="1"/>
  <c r="C119" i="1" a="1"/>
  <c r="H23" i="1" a="1"/>
  <c r="K39" i="1" a="1"/>
  <c r="K27" i="1" a="1"/>
  <c r="L27" i="1" s="1"/>
  <c r="C29" i="1" a="1"/>
  <c r="C29" i="1" s="1"/>
  <c r="C28" i="1" a="1"/>
  <c r="C28" i="1" s="1"/>
  <c r="N3" i="1" a="1"/>
  <c r="K27" i="1"/>
  <c r="L10" i="1" l="1"/>
  <c r="I23" i="1"/>
  <c r="H23" i="1"/>
  <c r="K23" i="1" s="1" a="1"/>
  <c r="C119" i="1"/>
  <c r="D119" i="1"/>
  <c r="K39" i="1"/>
  <c r="L39" i="1"/>
  <c r="C40" i="1"/>
  <c r="D40" i="1"/>
  <c r="D28" i="1"/>
  <c r="D29" i="1"/>
  <c r="K29" i="1" s="1" a="1"/>
  <c r="C107" i="1"/>
  <c r="N4" i="1"/>
  <c r="N3" i="1"/>
  <c r="C77" i="1" l="1" a="1"/>
  <c r="C78" i="1" a="1"/>
  <c r="C104" i="1"/>
  <c r="C105" i="1"/>
  <c r="L23" i="1"/>
  <c r="K23" i="1"/>
  <c r="H57" i="1" a="1"/>
  <c r="H57" i="1" s="1"/>
  <c r="K57" i="1" s="1"/>
  <c r="K29" i="1"/>
  <c r="L29" i="1"/>
  <c r="K28" i="1" a="1"/>
  <c r="C58" i="1" a="1"/>
  <c r="C58" i="1" s="1"/>
  <c r="C62" i="1" a="1"/>
  <c r="C62" i="1" s="1"/>
  <c r="H42" i="1" s="1" a="1"/>
  <c r="H42" i="1" s="1"/>
  <c r="P3" i="1" a="1"/>
  <c r="P3" i="1" s="1"/>
  <c r="C97" i="1" a="1"/>
  <c r="C98" i="1" a="1"/>
  <c r="C64" i="1" a="1"/>
  <c r="C64" i="1" s="1"/>
  <c r="C63" i="1" a="1"/>
  <c r="C63" i="1" s="1"/>
  <c r="C63" i="2" s="1"/>
  <c r="O3" i="1" a="1"/>
  <c r="O4" i="1" s="1"/>
  <c r="H43" i="1" l="1" a="1"/>
  <c r="H43" i="1" s="1"/>
  <c r="I41" i="1"/>
  <c r="H41" i="1" a="1"/>
  <c r="H41" i="1" s="1"/>
  <c r="F104" i="1"/>
  <c r="D78" i="1"/>
  <c r="C78" i="1"/>
  <c r="D77" i="1"/>
  <c r="C77" i="1"/>
  <c r="P4" i="1"/>
  <c r="R4" i="1" s="1"/>
  <c r="C62" i="2"/>
  <c r="K55" i="1" a="1"/>
  <c r="K55" i="1" s="1"/>
  <c r="K28" i="1"/>
  <c r="L28" i="1"/>
  <c r="K42" i="1" a="1"/>
  <c r="L42" i="1" s="1"/>
  <c r="O3" i="1"/>
  <c r="R3" i="1" s="1"/>
  <c r="M12" i="1"/>
  <c r="L12" i="1"/>
  <c r="F77" i="1" l="1" a="1"/>
  <c r="H40" i="1" a="1"/>
  <c r="H38" i="1" a="1"/>
  <c r="C66" i="2"/>
  <c r="M14" i="1"/>
  <c r="K43" i="1" a="1"/>
  <c r="L43" i="1" s="1"/>
  <c r="K42" i="1"/>
  <c r="L14" i="1"/>
  <c r="F105" i="1" a="1"/>
  <c r="F105" i="1" s="1"/>
  <c r="K41" i="1" a="1"/>
  <c r="K41" i="1" s="1"/>
  <c r="C98" i="1"/>
  <c r="C97" i="1"/>
  <c r="D97" i="1"/>
  <c r="D98" i="1"/>
  <c r="C65" i="1" l="1" a="1"/>
  <c r="C65" i="1" s="1"/>
  <c r="C67" i="2"/>
  <c r="H38" i="1"/>
  <c r="I38" i="1"/>
  <c r="H40" i="1"/>
  <c r="I40" i="1"/>
  <c r="F77" i="1"/>
  <c r="G77" i="1"/>
  <c r="H44" i="1" a="1"/>
  <c r="H44" i="1" s="1"/>
  <c r="L41" i="1"/>
  <c r="N21" i="1" a="1"/>
  <c r="N21" i="1" s="1"/>
  <c r="H24" i="1" a="1"/>
  <c r="H24" i="1" s="1"/>
  <c r="F97" i="1" a="1"/>
  <c r="F97" i="1" s="1"/>
  <c r="H37" i="1" a="1"/>
  <c r="I37" i="1" s="1"/>
  <c r="K43" i="1"/>
  <c r="T53" i="38" l="1"/>
  <c r="T83" i="38" s="1"/>
  <c r="AD53" i="38"/>
  <c r="AD83" i="38" s="1"/>
  <c r="D53" i="38"/>
  <c r="D83" i="38" s="1"/>
  <c r="P53" i="38"/>
  <c r="P83" i="38" s="1"/>
  <c r="AF53" i="38"/>
  <c r="AF83" i="38" s="1"/>
  <c r="AJ53" i="38"/>
  <c r="AJ83" i="38" s="1"/>
  <c r="AV53" i="38"/>
  <c r="AV83" i="38" s="1"/>
  <c r="AT53" i="38"/>
  <c r="AT83" i="38" s="1"/>
  <c r="AL53" i="38"/>
  <c r="AL83" i="38" s="1"/>
  <c r="AH53" i="38"/>
  <c r="AH83" i="38" s="1"/>
  <c r="AP53" i="38"/>
  <c r="AP83" i="38" s="1"/>
  <c r="V53" i="38"/>
  <c r="V83" i="38" s="1"/>
  <c r="F53" i="38"/>
  <c r="F83" i="38" s="1"/>
  <c r="N53" i="38"/>
  <c r="N83" i="38" s="1"/>
  <c r="R53" i="38"/>
  <c r="R83" i="38" s="1"/>
  <c r="Z53" i="38"/>
  <c r="Z83" i="38" s="1"/>
  <c r="H53" i="38"/>
  <c r="H83" i="38" s="1"/>
  <c r="X53" i="38"/>
  <c r="X83" i="38" s="1"/>
  <c r="AN53" i="38"/>
  <c r="AN83" i="38" s="1"/>
  <c r="AR53" i="38"/>
  <c r="AR83" i="38" s="1"/>
  <c r="B53" i="38"/>
  <c r="B83" i="38" s="1"/>
  <c r="AB53" i="38"/>
  <c r="AB83" i="38" s="1"/>
  <c r="J53" i="38"/>
  <c r="J83" i="38" s="1"/>
  <c r="L53" i="38"/>
  <c r="L83" i="38" s="1"/>
  <c r="J53" i="21"/>
  <c r="J83" i="21" s="1"/>
  <c r="D53" i="21"/>
  <c r="D83" i="21" s="1"/>
  <c r="V53" i="21"/>
  <c r="V83" i="21" s="1"/>
  <c r="Z53" i="21"/>
  <c r="Z83" i="21" s="1"/>
  <c r="AV53" i="21"/>
  <c r="AV83" i="21" s="1"/>
  <c r="AP53" i="21"/>
  <c r="AP83" i="21" s="1"/>
  <c r="T53" i="21"/>
  <c r="T83" i="21" s="1"/>
  <c r="P53" i="21"/>
  <c r="P83" i="21" s="1"/>
  <c r="AJ53" i="21"/>
  <c r="AJ83" i="21" s="1"/>
  <c r="AF53" i="21"/>
  <c r="AF83" i="21" s="1"/>
  <c r="AD53" i="21"/>
  <c r="AD83" i="21" s="1"/>
  <c r="AR53" i="21"/>
  <c r="AR83" i="21" s="1"/>
  <c r="H53" i="21"/>
  <c r="H83" i="21" s="1"/>
  <c r="AL53" i="21"/>
  <c r="AL83" i="21" s="1"/>
  <c r="AN53" i="21"/>
  <c r="AN83" i="21" s="1"/>
  <c r="X53" i="21"/>
  <c r="X83" i="21" s="1"/>
  <c r="AB53" i="21"/>
  <c r="AB83" i="21" s="1"/>
  <c r="L53" i="21"/>
  <c r="L83" i="21" s="1"/>
  <c r="AT53" i="21"/>
  <c r="AT83" i="21" s="1"/>
  <c r="AH53" i="21"/>
  <c r="AH83" i="21" s="1"/>
  <c r="B53" i="21"/>
  <c r="B83" i="21" s="1"/>
  <c r="N53" i="21"/>
  <c r="N83" i="21" s="1"/>
  <c r="R53" i="21"/>
  <c r="R83" i="21" s="1"/>
  <c r="F53" i="21"/>
  <c r="F83" i="21" s="1"/>
  <c r="AD53" i="24"/>
  <c r="AD83" i="24" s="1"/>
  <c r="P53" i="24"/>
  <c r="P83" i="24" s="1"/>
  <c r="AV53" i="24"/>
  <c r="AV83" i="24" s="1"/>
  <c r="Z53" i="24"/>
  <c r="Z83" i="24" s="1"/>
  <c r="D53" i="24"/>
  <c r="D83" i="24" s="1"/>
  <c r="AT53" i="24"/>
  <c r="AT83" i="24" s="1"/>
  <c r="AP53" i="24"/>
  <c r="AP83" i="24" s="1"/>
  <c r="T53" i="24"/>
  <c r="T83" i="24" s="1"/>
  <c r="AJ53" i="24"/>
  <c r="AJ83" i="24" s="1"/>
  <c r="N53" i="24"/>
  <c r="N83" i="24" s="1"/>
  <c r="AF53" i="24"/>
  <c r="AF83" i="24" s="1"/>
  <c r="J53" i="24"/>
  <c r="J83" i="24" s="1"/>
  <c r="L53" i="24"/>
  <c r="L83" i="24" s="1"/>
  <c r="F53" i="24"/>
  <c r="F83" i="24" s="1"/>
  <c r="AB53" i="24"/>
  <c r="AB83" i="24" s="1"/>
  <c r="AH53" i="24"/>
  <c r="AH83" i="24" s="1"/>
  <c r="H53" i="24"/>
  <c r="H83" i="24" s="1"/>
  <c r="X53" i="24"/>
  <c r="X83" i="24" s="1"/>
  <c r="R53" i="24"/>
  <c r="R83" i="24" s="1"/>
  <c r="AN53" i="24"/>
  <c r="AN83" i="24" s="1"/>
  <c r="AR53" i="24"/>
  <c r="AR83" i="24" s="1"/>
  <c r="AL53" i="24"/>
  <c r="AL83" i="24" s="1"/>
  <c r="B53" i="24"/>
  <c r="B83" i="24" s="1"/>
  <c r="V53" i="24"/>
  <c r="V83" i="24" s="1"/>
  <c r="AV53" i="18"/>
  <c r="AV83" i="18" s="1"/>
  <c r="P53" i="18"/>
  <c r="P83" i="18" s="1"/>
  <c r="T53" i="18"/>
  <c r="T83" i="18" s="1"/>
  <c r="AJ53" i="18"/>
  <c r="AJ83" i="18" s="1"/>
  <c r="AF53" i="18"/>
  <c r="AF83" i="18" s="1"/>
  <c r="D53" i="18"/>
  <c r="D83" i="18" s="1"/>
  <c r="X53" i="18"/>
  <c r="X83" i="18" s="1"/>
  <c r="J53" i="18"/>
  <c r="J83" i="18" s="1"/>
  <c r="AN53" i="18"/>
  <c r="AN83" i="18" s="1"/>
  <c r="B53" i="18"/>
  <c r="B83" i="18" s="1"/>
  <c r="V53" i="18"/>
  <c r="V83" i="18" s="1"/>
  <c r="AB53" i="18"/>
  <c r="AB83" i="18" s="1"/>
  <c r="Z53" i="18"/>
  <c r="Z83" i="18" s="1"/>
  <c r="AR53" i="18"/>
  <c r="AR83" i="18" s="1"/>
  <c r="AD53" i="18"/>
  <c r="AD83" i="18" s="1"/>
  <c r="H53" i="18"/>
  <c r="H83" i="18" s="1"/>
  <c r="L53" i="18"/>
  <c r="L83" i="18" s="1"/>
  <c r="AL53" i="18"/>
  <c r="AL83" i="18" s="1"/>
  <c r="F53" i="18"/>
  <c r="F83" i="18" s="1"/>
  <c r="AP53" i="18"/>
  <c r="AP83" i="18" s="1"/>
  <c r="AT53" i="18"/>
  <c r="AT83" i="18" s="1"/>
  <c r="R53" i="18"/>
  <c r="R83" i="18" s="1"/>
  <c r="N53" i="18"/>
  <c r="N83" i="18" s="1"/>
  <c r="AH53" i="18"/>
  <c r="AH83" i="18" s="1"/>
  <c r="P53" i="22"/>
  <c r="P83" i="22" s="1"/>
  <c r="AP53" i="22"/>
  <c r="AP83" i="22" s="1"/>
  <c r="T53" i="22"/>
  <c r="T83" i="22" s="1"/>
  <c r="AJ53" i="22"/>
  <c r="AJ83" i="22" s="1"/>
  <c r="N53" i="22"/>
  <c r="N83" i="22" s="1"/>
  <c r="AD53" i="22"/>
  <c r="AD83" i="22" s="1"/>
  <c r="AF53" i="22"/>
  <c r="AF83" i="22" s="1"/>
  <c r="J53" i="22"/>
  <c r="J83" i="22" s="1"/>
  <c r="AV53" i="22"/>
  <c r="AV83" i="22" s="1"/>
  <c r="Z53" i="22"/>
  <c r="Z83" i="22" s="1"/>
  <c r="D53" i="22"/>
  <c r="D83" i="22" s="1"/>
  <c r="AT53" i="22"/>
  <c r="AT83" i="22" s="1"/>
  <c r="AN53" i="22"/>
  <c r="AN83" i="22" s="1"/>
  <c r="F53" i="22"/>
  <c r="F83" i="22" s="1"/>
  <c r="AB53" i="22"/>
  <c r="AB83" i="22" s="1"/>
  <c r="AL53" i="22"/>
  <c r="AL83" i="22" s="1"/>
  <c r="L53" i="22"/>
  <c r="L83" i="22" s="1"/>
  <c r="V53" i="22"/>
  <c r="V83" i="22" s="1"/>
  <c r="AR53" i="22"/>
  <c r="AR83" i="22" s="1"/>
  <c r="B53" i="22"/>
  <c r="B83" i="22" s="1"/>
  <c r="R53" i="22"/>
  <c r="R83" i="22" s="1"/>
  <c r="X53" i="22"/>
  <c r="X83" i="22" s="1"/>
  <c r="AH53" i="22"/>
  <c r="AH83" i="22" s="1"/>
  <c r="H53" i="22"/>
  <c r="H83" i="22" s="1"/>
  <c r="AV53" i="12"/>
  <c r="AV83" i="12" s="1"/>
  <c r="P53" i="12"/>
  <c r="P83" i="12" s="1"/>
  <c r="T53" i="12"/>
  <c r="T83" i="12" s="1"/>
  <c r="AJ53" i="12"/>
  <c r="AJ83" i="12" s="1"/>
  <c r="AF53" i="12"/>
  <c r="AF83" i="12" s="1"/>
  <c r="D53" i="12"/>
  <c r="D83" i="12" s="1"/>
  <c r="AN53" i="12"/>
  <c r="AN83" i="12" s="1"/>
  <c r="Z53" i="12"/>
  <c r="Z83" i="12" s="1"/>
  <c r="N53" i="12"/>
  <c r="N83" i="12" s="1"/>
  <c r="R53" i="12"/>
  <c r="R83" i="12" s="1"/>
  <c r="AP53" i="12"/>
  <c r="AP83" i="12" s="1"/>
  <c r="X53" i="12"/>
  <c r="X83" i="12" s="1"/>
  <c r="L53" i="12"/>
  <c r="L83" i="12" s="1"/>
  <c r="AL53" i="12"/>
  <c r="AL83" i="12" s="1"/>
  <c r="AD53" i="12"/>
  <c r="AD83" i="12" s="1"/>
  <c r="AT53" i="12"/>
  <c r="AT83" i="12" s="1"/>
  <c r="F53" i="12"/>
  <c r="F83" i="12" s="1"/>
  <c r="V53" i="12"/>
  <c r="V83" i="12" s="1"/>
  <c r="B53" i="12"/>
  <c r="B83" i="12" s="1"/>
  <c r="AB53" i="12"/>
  <c r="AB83" i="12" s="1"/>
  <c r="AR53" i="12"/>
  <c r="AR83" i="12" s="1"/>
  <c r="AH53" i="12"/>
  <c r="AH83" i="12" s="1"/>
  <c r="J53" i="12"/>
  <c r="J83" i="12" s="1"/>
  <c r="H53" i="12"/>
  <c r="H83" i="12" s="1"/>
  <c r="AJ53" i="11"/>
  <c r="AJ83" i="11" s="1"/>
  <c r="J53" i="11"/>
  <c r="J83" i="11" s="1"/>
  <c r="P53" i="11"/>
  <c r="P83" i="11" s="1"/>
  <c r="AF53" i="11"/>
  <c r="AF83" i="11" s="1"/>
  <c r="AV53" i="11"/>
  <c r="AV83" i="11" s="1"/>
  <c r="T53" i="11"/>
  <c r="T83" i="11" s="1"/>
  <c r="AP53" i="11"/>
  <c r="AP83" i="11" s="1"/>
  <c r="D53" i="11"/>
  <c r="D83" i="11" s="1"/>
  <c r="Z53" i="11"/>
  <c r="Z83" i="11" s="1"/>
  <c r="R53" i="11"/>
  <c r="R83" i="11" s="1"/>
  <c r="AT53" i="11"/>
  <c r="AT83" i="11" s="1"/>
  <c r="B53" i="11"/>
  <c r="B83" i="11" s="1"/>
  <c r="F53" i="11"/>
  <c r="F83" i="11" s="1"/>
  <c r="AB53" i="11"/>
  <c r="AB83" i="11" s="1"/>
  <c r="AL53" i="11"/>
  <c r="AL83" i="11" s="1"/>
  <c r="AR53" i="11"/>
  <c r="AR83" i="11" s="1"/>
  <c r="V53" i="11"/>
  <c r="V83" i="11" s="1"/>
  <c r="L53" i="11"/>
  <c r="L83" i="11" s="1"/>
  <c r="AH53" i="11"/>
  <c r="AH83" i="11" s="1"/>
  <c r="AN53" i="11"/>
  <c r="AN83" i="11" s="1"/>
  <c r="N53" i="11"/>
  <c r="N83" i="11" s="1"/>
  <c r="X53" i="11"/>
  <c r="X83" i="11" s="1"/>
  <c r="AD53" i="11"/>
  <c r="AD83" i="11" s="1"/>
  <c r="H53" i="11"/>
  <c r="H83" i="11" s="1"/>
  <c r="AJ53" i="3" a="1"/>
  <c r="AJ53" i="3" s="1"/>
  <c r="AJ83" i="3" s="1"/>
  <c r="D53" i="3" a="1"/>
  <c r="AB53" i="3" a="1"/>
  <c r="Z53" i="3" a="1"/>
  <c r="T53" i="3" a="1"/>
  <c r="R53" i="3" a="1"/>
  <c r="R53" i="3" s="1"/>
  <c r="R83" i="3" s="1"/>
  <c r="P53" i="3" a="1"/>
  <c r="AT53" i="3" a="1"/>
  <c r="AT53" i="3" s="1"/>
  <c r="AT83" i="3" s="1"/>
  <c r="L53" i="3" a="1"/>
  <c r="L53" i="3" s="1"/>
  <c r="L83" i="3" s="1"/>
  <c r="J53" i="3" a="1"/>
  <c r="J53" i="3" s="1"/>
  <c r="J83" i="3" s="1"/>
  <c r="H53" i="3" a="1"/>
  <c r="H53" i="3" s="1"/>
  <c r="H83" i="3" s="1"/>
  <c r="AL53" i="3" a="1"/>
  <c r="AL53" i="3" s="1"/>
  <c r="AL83" i="3" s="1"/>
  <c r="AH53" i="3" a="1"/>
  <c r="AH53" i="3" s="1"/>
  <c r="AH83" i="3" s="1"/>
  <c r="B53" i="3" a="1"/>
  <c r="B53" i="3" s="1"/>
  <c r="B83" i="3" s="1"/>
  <c r="AF53" i="3" a="1"/>
  <c r="AF53" i="3" s="1"/>
  <c r="AF83" i="3" s="1"/>
  <c r="AD53" i="3" a="1"/>
  <c r="AD53" i="3" s="1"/>
  <c r="AD83" i="3" s="1"/>
  <c r="X53" i="3" a="1"/>
  <c r="X53" i="3" s="1"/>
  <c r="X83" i="3" s="1"/>
  <c r="V53" i="3" a="1"/>
  <c r="AV53" i="3" a="1"/>
  <c r="AV53" i="3" s="1"/>
  <c r="AV83" i="3" s="1"/>
  <c r="N53" i="3" a="1"/>
  <c r="N53" i="3" s="1"/>
  <c r="N83" i="3" s="1"/>
  <c r="AR53" i="3" a="1"/>
  <c r="AP53" i="3" a="1"/>
  <c r="AP53" i="3" s="1"/>
  <c r="AP83" i="3" s="1"/>
  <c r="AN53" i="3" a="1"/>
  <c r="AN53" i="3" s="1"/>
  <c r="AN83" i="3" s="1"/>
  <c r="F53" i="3" a="1"/>
  <c r="K65" i="1"/>
  <c r="AR53" i="3"/>
  <c r="AR83" i="3" s="1"/>
  <c r="Z53" i="3"/>
  <c r="Z83" i="3" s="1"/>
  <c r="AB53" i="3"/>
  <c r="AB83" i="3" s="1"/>
  <c r="F53" i="3"/>
  <c r="F83" i="3" s="1"/>
  <c r="V53" i="3"/>
  <c r="V83" i="3" s="1"/>
  <c r="D53" i="3"/>
  <c r="D83" i="3" s="1"/>
  <c r="T53" i="3"/>
  <c r="T83" i="3" s="1"/>
  <c r="P53" i="3"/>
  <c r="P83" i="3" s="1"/>
  <c r="C65" i="2"/>
  <c r="K59" i="2" s="1" a="1"/>
  <c r="F78" i="1" a="1"/>
  <c r="G78" i="1" s="1"/>
  <c r="O21" i="1"/>
  <c r="I44" i="1"/>
  <c r="G97" i="1"/>
  <c r="F98" i="1" s="1" a="1"/>
  <c r="F98" i="1" s="1"/>
  <c r="H37" i="1"/>
  <c r="K37" i="1" s="1" a="1"/>
  <c r="I24" i="1"/>
  <c r="K44" i="1" a="1"/>
  <c r="K44" i="1" s="1"/>
  <c r="F78" i="1" l="1"/>
  <c r="K37" i="1"/>
  <c r="K38" i="1" a="1"/>
  <c r="K38" i="1" s="1"/>
  <c r="G98" i="1"/>
  <c r="L37" i="1"/>
  <c r="L44" i="1"/>
  <c r="K24" i="1" a="1"/>
  <c r="K24" i="1" s="1"/>
  <c r="K40" i="1" a="1"/>
  <c r="L40" i="1" s="1"/>
  <c r="L38" i="1" l="1"/>
  <c r="K40" i="1"/>
  <c r="L24" i="1"/>
  <c r="D39" i="2" l="1"/>
  <c r="K41" i="2" s="1"/>
  <c r="D32" i="2"/>
  <c r="C57" i="2"/>
  <c r="D21" i="2"/>
  <c r="D23" i="2"/>
  <c r="C21" i="2"/>
  <c r="C23" i="2"/>
  <c r="C39" i="2"/>
  <c r="C29" i="2" l="1" a="1"/>
  <c r="C27" i="2" a="1"/>
  <c r="D27" i="2" s="1"/>
  <c r="C28" i="2" a="1"/>
  <c r="C28" i="2" s="1"/>
  <c r="L10" i="2" a="1"/>
  <c r="M10" i="2" s="1"/>
  <c r="O12" i="2" a="1"/>
  <c r="P12" i="2" s="1"/>
  <c r="L7" i="2" a="1"/>
  <c r="L7" i="2" s="1"/>
  <c r="C55" i="2" a="1"/>
  <c r="C55" i="2" s="1"/>
  <c r="C24" i="2" a="1"/>
  <c r="D24" i="2" s="1"/>
  <c r="D29" i="2"/>
  <c r="C25" i="2" a="1"/>
  <c r="C27" i="2"/>
  <c r="C29" i="2"/>
  <c r="K55" i="2" s="1"/>
  <c r="C32" i="2"/>
  <c r="D28" i="2" l="1"/>
  <c r="AK58" i="2" a="1"/>
  <c r="AK58" i="2" s="1"/>
  <c r="O12" i="2"/>
  <c r="L10" i="2"/>
  <c r="M7" i="2"/>
  <c r="C24" i="2"/>
  <c r="C40" i="2" s="1" a="1"/>
  <c r="D40" i="2" s="1"/>
  <c r="H23" i="2" a="1"/>
  <c r="C26" i="2"/>
  <c r="D26" i="2"/>
  <c r="D25" i="2"/>
  <c r="C25" i="2"/>
  <c r="C42" i="2" a="1"/>
  <c r="C42" i="2" s="1"/>
  <c r="AE58" i="2" a="1"/>
  <c r="AE58" i="2" s="1"/>
  <c r="W59" i="2" a="1"/>
  <c r="W59" i="2" s="1"/>
  <c r="Y58" i="2" a="1"/>
  <c r="Y58" i="2" s="1"/>
  <c r="AC58" i="2" a="1"/>
  <c r="AC58" i="2" s="1"/>
  <c r="AA56" i="2" a="1"/>
  <c r="AA56" i="2" s="1"/>
  <c r="AI55" i="2" a="1"/>
  <c r="AI55" i="2" s="1"/>
  <c r="Q34" i="2" a="1"/>
  <c r="R34" i="2" s="1"/>
  <c r="P3" i="2" a="1"/>
  <c r="C38" i="2" l="1" a="1"/>
  <c r="D38" i="2" s="1"/>
  <c r="T21" i="2" a="1"/>
  <c r="U21" i="2" s="1"/>
  <c r="C44" i="2" a="1"/>
  <c r="H23" i="2"/>
  <c r="I23" i="2"/>
  <c r="Q34" i="2"/>
  <c r="C40" i="2"/>
  <c r="O3" i="2" a="1"/>
  <c r="O3" i="2" s="1"/>
  <c r="P3" i="2"/>
  <c r="P4" i="2"/>
  <c r="C38" i="2" l="1"/>
  <c r="L9" i="2" s="1" a="1"/>
  <c r="M9" i="2" s="1"/>
  <c r="C44" i="2"/>
  <c r="D44" i="2"/>
  <c r="H37" i="2" a="1"/>
  <c r="T21" i="2"/>
  <c r="Q38" i="2" a="1"/>
  <c r="R38" i="2" s="1"/>
  <c r="Q23" i="2" a="1"/>
  <c r="O4" i="2"/>
  <c r="C35" i="2" a="1"/>
  <c r="L9" i="2" l="1"/>
  <c r="H37" i="2"/>
  <c r="I37" i="2"/>
  <c r="K23" i="2" a="1"/>
  <c r="Q3" i="2" a="1"/>
  <c r="C59" i="2" a="1"/>
  <c r="C59" i="2" s="1"/>
  <c r="Q38" i="2"/>
  <c r="C58" i="2" a="1"/>
  <c r="R23" i="2"/>
  <c r="Q23" i="2"/>
  <c r="K37" i="2" a="1"/>
  <c r="C64" i="2" l="1" a="1"/>
  <c r="AG57" i="2"/>
  <c r="C58" i="2"/>
  <c r="D41" i="2" s="1"/>
  <c r="L37" i="2"/>
  <c r="W57" i="2"/>
  <c r="C64" i="2"/>
  <c r="Y57" i="2"/>
  <c r="AK57" i="2"/>
  <c r="Q4" i="2"/>
  <c r="Q3" i="2"/>
  <c r="L23" i="2"/>
  <c r="K23" i="2"/>
  <c r="AA57" i="2"/>
  <c r="U57" i="2"/>
  <c r="AC57" i="2"/>
  <c r="AE57" i="2"/>
  <c r="K37" i="2"/>
  <c r="C41" i="2" l="1"/>
  <c r="N3" i="2" s="1" a="1"/>
  <c r="N4" i="2" s="1"/>
  <c r="C60" i="2" l="1" a="1"/>
  <c r="C60" i="2" s="1"/>
  <c r="K56" i="2" s="1"/>
  <c r="Q58" i="2" a="1"/>
  <c r="Q58" i="2" s="1"/>
  <c r="Q57" i="2" a="1"/>
  <c r="Q57" i="2" s="1"/>
  <c r="C56" i="2"/>
  <c r="N3" i="2"/>
  <c r="AG56" i="2" l="1" a="1"/>
  <c r="AG56" i="2" s="1"/>
  <c r="AI56" i="2" a="1"/>
  <c r="AI56" i="2" s="1"/>
  <c r="AK56" i="2" a="1"/>
  <c r="AK56" i="2" s="1"/>
  <c r="AE56" i="2" a="1"/>
  <c r="AE56" i="2" s="1"/>
  <c r="AC56" i="2" a="1"/>
  <c r="AC56" i="2" s="1"/>
  <c r="C35" i="2"/>
  <c r="D35" i="2"/>
  <c r="C70" i="2" l="1" a="1"/>
  <c r="C70" i="2" s="1"/>
  <c r="N21" i="2" a="1"/>
  <c r="O35" i="2" s="1"/>
  <c r="C48" i="2" a="1"/>
  <c r="D48" i="2" s="1"/>
  <c r="H21" i="2" a="1"/>
  <c r="H21" i="2" s="1"/>
  <c r="N35" i="2" l="1"/>
  <c r="I21" i="2"/>
  <c r="D70" i="2"/>
  <c r="C48" i="2"/>
  <c r="O33" i="2"/>
  <c r="O29" i="2"/>
  <c r="O25" i="2"/>
  <c r="O24" i="2"/>
  <c r="N29" i="2"/>
  <c r="O32" i="2"/>
  <c r="O31" i="2"/>
  <c r="O30" i="2"/>
  <c r="N31" i="2"/>
  <c r="N28" i="2"/>
  <c r="N25" i="2"/>
  <c r="N30" i="2"/>
  <c r="N24" i="2"/>
  <c r="N27" i="2"/>
  <c r="N32" i="2"/>
  <c r="N22" i="2"/>
  <c r="N23" i="2"/>
  <c r="O27" i="2"/>
  <c r="O26" i="2"/>
  <c r="O22" i="2"/>
  <c r="O28" i="2"/>
  <c r="O21" i="2"/>
  <c r="N21" i="2"/>
  <c r="N26" i="2"/>
  <c r="O23" i="2"/>
  <c r="N33" i="2"/>
  <c r="O34" i="2"/>
  <c r="N34" i="2"/>
  <c r="Q21" i="2" l="1" a="1"/>
  <c r="Q21" i="2" s="1"/>
  <c r="Q37" i="2" a="1"/>
  <c r="C71" i="2" a="1"/>
  <c r="C47" i="2" a="1"/>
  <c r="K21" i="2" a="1"/>
  <c r="K21" i="2" s="1"/>
  <c r="R21" i="2" l="1"/>
  <c r="L21" i="2"/>
  <c r="C47" i="2"/>
  <c r="K58" i="2" s="1"/>
  <c r="D47" i="2"/>
  <c r="L58" i="2" s="1"/>
  <c r="C71" i="2"/>
  <c r="D71" i="2"/>
  <c r="Q37" i="2"/>
  <c r="R37" i="2"/>
  <c r="AG58" i="2" l="1" a="1"/>
  <c r="AG58" i="2" s="1"/>
  <c r="AL58" i="2"/>
  <c r="AI58" i="2" a="1"/>
  <c r="AJ58" i="2" s="1"/>
  <c r="AA58" i="2" a="1"/>
  <c r="AA58" i="2" s="1"/>
  <c r="U58" i="2" a="1"/>
  <c r="V58" i="2" s="1"/>
  <c r="AF58" i="2"/>
  <c r="AD58" i="2"/>
  <c r="Z58" i="2"/>
  <c r="W58" i="2" a="1"/>
  <c r="Q32" i="2" a="1"/>
  <c r="R32" i="2" s="1"/>
  <c r="Q45" i="2" a="1"/>
  <c r="R45" i="2" s="1"/>
  <c r="C46" i="2" a="1"/>
  <c r="Q48" i="2" a="1"/>
  <c r="Q35" i="2" a="1"/>
  <c r="H39" i="2" a="1"/>
  <c r="L3" i="2" a="1"/>
  <c r="AH58" i="2" l="1"/>
  <c r="AI58" i="2"/>
  <c r="U58" i="2"/>
  <c r="AB58" i="2"/>
  <c r="X58" i="2"/>
  <c r="W58" i="2"/>
  <c r="Q32" i="2"/>
  <c r="Q45" i="2"/>
  <c r="C46" i="2"/>
  <c r="D46" i="2"/>
  <c r="I39" i="2"/>
  <c r="H39" i="2"/>
  <c r="Q48" i="2"/>
  <c r="R48" i="2"/>
  <c r="L3" i="2"/>
  <c r="M3" i="2"/>
  <c r="L4" i="2"/>
  <c r="M4" i="2"/>
  <c r="Q35" i="2"/>
  <c r="R35" i="2"/>
  <c r="K57" i="2" l="1"/>
  <c r="K59" i="2"/>
  <c r="Y59" i="2" a="1"/>
  <c r="Y59" i="2" s="1"/>
  <c r="AG55" i="2" a="1"/>
  <c r="AG55" i="2" s="1"/>
  <c r="AG59" i="2" a="1"/>
  <c r="AG59" i="2" s="1"/>
  <c r="R3" i="2" a="1"/>
  <c r="R3" i="2" s="1"/>
  <c r="R4" i="2" a="1"/>
  <c r="R4" i="2" s="1"/>
  <c r="AK55" i="2"/>
  <c r="AI57" i="2" a="1"/>
  <c r="AI57" i="2" s="1"/>
  <c r="AE55" i="2"/>
  <c r="AC55" i="2"/>
  <c r="U55" i="2"/>
  <c r="AA55" i="2"/>
  <c r="Y55" i="2"/>
  <c r="W55" i="2"/>
  <c r="Q33" i="2" a="1"/>
  <c r="Q33" i="2" s="1"/>
  <c r="Q46" i="2" a="1"/>
  <c r="R46" i="2" s="1"/>
  <c r="L5" i="2" a="1"/>
  <c r="L6" i="2" a="1"/>
  <c r="C72" i="2" a="1"/>
  <c r="N37" i="2" a="1"/>
  <c r="Q47" i="2" a="1"/>
  <c r="C73" i="2" a="1"/>
  <c r="K34" i="2" a="1"/>
  <c r="K39" i="2" a="1"/>
  <c r="L39" i="2" s="1"/>
  <c r="AK59" i="2" l="1" a="1"/>
  <c r="AK59" i="2" s="1"/>
  <c r="AE59" i="2" a="1"/>
  <c r="AE59" i="2" s="1"/>
  <c r="U59" i="2" a="1"/>
  <c r="U59" i="2" s="1"/>
  <c r="AA59" i="2" a="1"/>
  <c r="AA59" i="2" s="1"/>
  <c r="AC59" i="2" a="1"/>
  <c r="AC59" i="2" s="1"/>
  <c r="AI59" i="2" a="1"/>
  <c r="AI59" i="2" s="1"/>
  <c r="R33" i="2"/>
  <c r="K39" i="2"/>
  <c r="Q46" i="2"/>
  <c r="N55" i="2" a="1"/>
  <c r="D72" i="2"/>
  <c r="C72" i="2"/>
  <c r="N39" i="2"/>
  <c r="O41" i="2"/>
  <c r="N40" i="2"/>
  <c r="N41" i="2"/>
  <c r="O42" i="2"/>
  <c r="N38" i="2"/>
  <c r="O38" i="2"/>
  <c r="O37" i="2"/>
  <c r="O39" i="2"/>
  <c r="O44" i="2"/>
  <c r="O43" i="2"/>
  <c r="O40" i="2"/>
  <c r="N43" i="2"/>
  <c r="N44" i="2"/>
  <c r="N37" i="2"/>
  <c r="N42" i="2"/>
  <c r="N48" i="2"/>
  <c r="O48" i="2"/>
  <c r="N47" i="2"/>
  <c r="O47" i="2"/>
  <c r="O45" i="2"/>
  <c r="N46" i="2"/>
  <c r="N45" i="2"/>
  <c r="O46" i="2"/>
  <c r="L6" i="2"/>
  <c r="M6" i="2"/>
  <c r="K34" i="2"/>
  <c r="L34" i="2"/>
  <c r="R47" i="2"/>
  <c r="Q47" i="2"/>
  <c r="L5" i="2"/>
  <c r="M5" i="2"/>
  <c r="D73" i="2"/>
  <c r="C73" i="2"/>
  <c r="R57" i="2" a="1"/>
  <c r="R57" i="2" s="1"/>
  <c r="L8" i="2" l="1" a="1"/>
  <c r="M8" i="2" s="1"/>
  <c r="M12" i="2" s="1"/>
  <c r="L17" i="2"/>
  <c r="N70" i="2" a="1"/>
  <c r="O72" i="2" s="1"/>
  <c r="N57" i="2"/>
  <c r="N59" i="2"/>
  <c r="N58" i="2"/>
  <c r="N56" i="2"/>
  <c r="N55" i="2"/>
  <c r="M14" i="2" l="1" a="1"/>
  <c r="M14" i="2" s="1"/>
  <c r="L8" i="2"/>
  <c r="L12" i="2" s="1"/>
  <c r="N70" i="2"/>
  <c r="O70" i="2"/>
  <c r="N71" i="2"/>
  <c r="O71" i="2"/>
  <c r="O73" i="2"/>
  <c r="N73" i="2"/>
  <c r="N72" i="2"/>
  <c r="L14" i="2" l="1" a="1"/>
  <c r="L14"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Frédéric Ghersi</author>
    <author>tc={C96615DD-9C03-4E40-B6D8-F4143B40B058}</author>
    <author>tc={D3DFF277-FA45-464F-847A-E2B29A5F813E}</author>
  </authors>
  <commentList>
    <comment ref="E57" authorId="0" shapeId="0" xr:uid="{00000000-0006-0000-0000-000001000000}">
      <text>
        <r>
          <rPr>
            <b/>
            <sz val="9"/>
            <color indexed="81"/>
            <rFont val="Tahoma"/>
            <family val="2"/>
          </rPr>
          <t>Frédéric Ghersi:</t>
        </r>
        <r>
          <rPr>
            <sz val="9"/>
            <color indexed="81"/>
            <rFont val="Tahoma"/>
            <family val="2"/>
          </rPr>
          <t xml:space="preserve">
PIB UE en dollars x PIB France en euros / PIB France en dollars, 2019. Extrait le 16 février 2024.</t>
        </r>
      </text>
    </comment>
    <comment ref="C66" authorId="0" shapeId="0" xr:uid="{00000000-0006-0000-0000-000002000000}">
      <text>
        <r>
          <rPr>
            <b/>
            <sz val="9"/>
            <color indexed="81"/>
            <rFont val="Tahoma"/>
            <family val="2"/>
          </rPr>
          <t>Frédéric Ghersi:</t>
        </r>
        <r>
          <rPr>
            <sz val="9"/>
            <color indexed="81"/>
            <rFont val="Tahoma"/>
            <family val="2"/>
          </rPr>
          <t xml:space="preserve">
Le taux est déterminé par solveur. Il est élevé parce que les dépenses publiques dépassent largement T, donc le déficit d'épargne publique est élevé. Une part des épargnes élevées sL et sK couvre en fait les impôts directs. Ou encore : les taux s'appliquent au revenu brut.</t>
        </r>
      </text>
    </comment>
    <comment ref="C97" authorId="1" shapeId="0" xr:uid="{00000000-0006-0000-0000-000003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Calibrage des coefficients de la CET</t>
      </text>
    </comment>
    <comment ref="B99" authorId="2" shapeId="0" xr:uid="{00000000-0006-0000-0000-000004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Elasticité CET</t>
      </text>
    </comment>
    <comment ref="C106" authorId="0" shapeId="0" xr:uid="{5782EAFA-8EF0-4E14-9127-53878B36FFB1}">
      <text>
        <r>
          <rPr>
            <b/>
            <sz val="9"/>
            <color indexed="81"/>
            <rFont val="Tahoma"/>
            <family val="2"/>
          </rPr>
          <t>Frédéric Ghersi:</t>
        </r>
        <r>
          <rPr>
            <sz val="9"/>
            <color indexed="81"/>
            <rFont val="Tahoma"/>
            <family val="2"/>
          </rPr>
          <t xml:space="preserve">
Inspired by the long-term estimate for UK from Lecca, P., McGregor, P. G., Swales, J. K., &amp; Turner, K. (2014). The added value from a general equilibrium analysis of increased efficiency in household energy use. Ecological economics, 100, 51-62.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Frédéric Ghersi</author>
  </authors>
  <commentList>
    <comment ref="C46" authorId="0" shapeId="0" xr:uid="{00000000-0006-0000-0100-000001000000}">
      <text>
        <r>
          <rPr>
            <b/>
            <sz val="9"/>
            <color indexed="81"/>
            <rFont val="Tahoma"/>
            <family val="2"/>
          </rPr>
          <t>Frédéric Ghersi:</t>
        </r>
        <r>
          <rPr>
            <sz val="9"/>
            <color indexed="81"/>
            <rFont val="Tahoma"/>
            <family val="2"/>
          </rPr>
          <t xml:space="preserve">
This flows from KL being a CES of K and L.</t>
        </r>
      </text>
    </comment>
    <comment ref="Y54" authorId="0" shapeId="0" xr:uid="{00000000-0006-0000-0100-000002000000}">
      <text>
        <r>
          <rPr>
            <b/>
            <sz val="9"/>
            <color indexed="81"/>
            <rFont val="Tahoma"/>
            <family val="2"/>
          </rPr>
          <t>Frédéric Ghersi:</t>
        </r>
        <r>
          <rPr>
            <sz val="9"/>
            <color indexed="81"/>
            <rFont val="Tahoma"/>
            <family val="2"/>
          </rPr>
          <t xml:space="preserve">
La constance de l'effort d'épargne ne change rien par rapport à Johansen (seule différence) puisque elle est mécaniquement induite par les constances de sI et sB dans Johansen. Donc Kaldor va chercher la rémunération des facteurs qui correspond strictement à celle de Johansen.</t>
        </r>
      </text>
    </comment>
    <comment ref="AA54" authorId="0" shapeId="0" xr:uid="{00000000-0006-0000-0100-000003000000}">
      <text>
        <r>
          <rPr>
            <b/>
            <sz val="9"/>
            <color indexed="81"/>
            <rFont val="Tahoma"/>
            <family val="2"/>
          </rPr>
          <t>Frédéric Ghersi:</t>
        </r>
        <r>
          <rPr>
            <sz val="9"/>
            <color indexed="81"/>
            <rFont val="Tahoma"/>
            <family val="2"/>
          </rPr>
          <t xml:space="preserve">
Par rapport au néoclassique, on substitue la contrainte de l'effort d'investissement à celle de la dotation en travail. Comme le prix des immobilisations progresse moins vite que celui du PIB (car le PIB comporte les consommations d'énergie), le volume d'investissement progresse plus vite que le PIB et produit un effet relance par la demande.</t>
        </r>
      </text>
    </comment>
    <comment ref="AK54" authorId="0" shapeId="0" xr:uid="{00000000-0006-0000-0100-000004000000}">
      <text>
        <r>
          <rPr>
            <b/>
            <sz val="9"/>
            <color indexed="81"/>
            <rFont val="Tahoma"/>
            <family val="2"/>
          </rPr>
          <t>Frédéric Ghersi:</t>
        </r>
        <r>
          <rPr>
            <sz val="9"/>
            <color indexed="81"/>
            <rFont val="Tahoma"/>
            <family val="2"/>
          </rPr>
          <t xml:space="preserve">
Option viciée ! Solutions multiples.</t>
        </r>
      </text>
    </comment>
    <comment ref="U58" authorId="0" shapeId="0" xr:uid="{00000000-0006-0000-0100-000006000000}">
      <text>
        <r>
          <rPr>
            <b/>
            <sz val="9"/>
            <color indexed="81"/>
            <rFont val="Tahoma"/>
            <family val="2"/>
          </rPr>
          <t>Frédéric Ghersi:</t>
        </r>
        <r>
          <rPr>
            <sz val="9"/>
            <color indexed="81"/>
            <rFont val="Tahoma"/>
            <family val="2"/>
          </rPr>
          <t xml:space="preserve">
This is optimal L input into KL CES considering pK and pL.</t>
        </r>
      </text>
    </comment>
    <comment ref="Z58" authorId="0" shapeId="0" xr:uid="{00000000-0006-0000-0100-000007000000}">
      <text>
        <r>
          <rPr>
            <b/>
            <sz val="9"/>
            <color indexed="81"/>
            <rFont val="Tahoma"/>
            <family val="2"/>
          </rPr>
          <t>Frédéric Ghersi:</t>
        </r>
        <r>
          <rPr>
            <sz val="9"/>
            <color indexed="81"/>
            <rFont val="Tahoma"/>
            <family val="2"/>
          </rPr>
          <t xml:space="preserve">
This is forcing the L intensity of KL to evolve in parallel in both sectors.</t>
        </r>
      </text>
    </comment>
  </commentList>
</comments>
</file>

<file path=xl/sharedStrings.xml><?xml version="1.0" encoding="utf-8"?>
<sst xmlns="http://schemas.openxmlformats.org/spreadsheetml/2006/main" count="1152" uniqueCount="199">
  <si>
    <t>X</t>
  </si>
  <si>
    <t>L net</t>
  </si>
  <si>
    <t>K</t>
  </si>
  <si>
    <t>M</t>
  </si>
  <si>
    <t>VAT</t>
  </si>
  <si>
    <t>EXCISE</t>
  </si>
  <si>
    <t>C</t>
  </si>
  <si>
    <t>G</t>
  </si>
  <si>
    <t>I</t>
  </si>
  <si>
    <t>L taxes</t>
  </si>
  <si>
    <t>Ouput taxes</t>
  </si>
  <si>
    <t>Distributed output</t>
  </si>
  <si>
    <t>pY</t>
  </si>
  <si>
    <t>pIC</t>
  </si>
  <si>
    <t>pC</t>
  </si>
  <si>
    <t>pG</t>
  </si>
  <si>
    <t>pX</t>
  </si>
  <si>
    <t>w</t>
  </si>
  <si>
    <t>pK</t>
  </si>
  <si>
    <t>Y</t>
  </si>
  <si>
    <t>tauY</t>
  </si>
  <si>
    <t>alpha</t>
  </si>
  <si>
    <t>lambda</t>
  </si>
  <si>
    <t>kappa</t>
  </si>
  <si>
    <t>COMPOSITE</t>
  </si>
  <si>
    <t>ENERGY</t>
  </si>
  <si>
    <t>tauL</t>
  </si>
  <si>
    <t>Labour</t>
  </si>
  <si>
    <t>Consumption</t>
  </si>
  <si>
    <t>pI</t>
  </si>
  <si>
    <t>Uses-Resources</t>
  </si>
  <si>
    <t>aKL</t>
  </si>
  <si>
    <t>bKL</t>
  </si>
  <si>
    <t>sigmaKL</t>
  </si>
  <si>
    <t>rhoKL</t>
  </si>
  <si>
    <t>KL</t>
  </si>
  <si>
    <t>pL</t>
  </si>
  <si>
    <t>aY</t>
  </si>
  <si>
    <t>bY</t>
  </si>
  <si>
    <t>sigmaY</t>
  </si>
  <si>
    <t>rhoY</t>
  </si>
  <si>
    <t>(pEY)</t>
  </si>
  <si>
    <t>Consistency check</t>
  </si>
  <si>
    <t>aU</t>
  </si>
  <si>
    <t>bU</t>
  </si>
  <si>
    <t>sigmaU</t>
  </si>
  <si>
    <t>rhoU</t>
  </si>
  <si>
    <t>U</t>
  </si>
  <si>
    <t>T</t>
  </si>
  <si>
    <t>aKLE</t>
  </si>
  <si>
    <t>bKLE</t>
  </si>
  <si>
    <t>sigmaKLE</t>
  </si>
  <si>
    <t>rhoKLE</t>
  </si>
  <si>
    <t>KLE</t>
  </si>
  <si>
    <t>Revenue</t>
  </si>
  <si>
    <t>(R, not allowed per XL naming conventions)</t>
  </si>
  <si>
    <t>(r, not allowed per XL naming conventions)</t>
  </si>
  <si>
    <t>(C, not allowed per XL naming conventions)</t>
  </si>
  <si>
    <t>(L, not allowed per XL naming conventions)</t>
  </si>
  <si>
    <t>Error</t>
  </si>
  <si>
    <t>Equation</t>
  </si>
  <si>
    <t>pKL</t>
  </si>
  <si>
    <t>pKLE</t>
  </si>
  <si>
    <t>(pMY)</t>
  </si>
  <si>
    <t>GDP</t>
  </si>
  <si>
    <t>Max error</t>
  </si>
  <si>
    <t>sigmaX</t>
  </si>
  <si>
    <t>Target</t>
  </si>
  <si>
    <t>Calibration</t>
  </si>
  <si>
    <t>ERROR1</t>
  </si>
  <si>
    <t>ERROR2</t>
  </si>
  <si>
    <t>ERROR3</t>
  </si>
  <si>
    <t>ERROR4</t>
  </si>
  <si>
    <t>ERROR5</t>
  </si>
  <si>
    <t>ERROR6</t>
  </si>
  <si>
    <t>B</t>
  </si>
  <si>
    <t>D</t>
  </si>
  <si>
    <t>pD</t>
  </si>
  <si>
    <t>IPC</t>
  </si>
  <si>
    <t>Variable</t>
  </si>
  <si>
    <t>Domestic saving rate</t>
  </si>
  <si>
    <t>Public spending effort</t>
  </si>
  <si>
    <t>Investment effort</t>
  </si>
  <si>
    <t>Saving rate on K income</t>
  </si>
  <si>
    <t>sK</t>
  </si>
  <si>
    <t>sL</t>
  </si>
  <si>
    <t>Model</t>
  </si>
  <si>
    <t>En rouge variable du solveur</t>
  </si>
  <si>
    <t>ERROR7</t>
  </si>
  <si>
    <t>Neoclassical</t>
  </si>
  <si>
    <t>Johansen</t>
  </si>
  <si>
    <t>Calibration!sL</t>
  </si>
  <si>
    <t>Marshall-Sen</t>
  </si>
  <si>
    <t>Kaldor-pL</t>
  </si>
  <si>
    <t>Keynes-pL</t>
  </si>
  <si>
    <t>Keynes-Kaldor-pL</t>
  </si>
  <si>
    <t>Total Reduction</t>
  </si>
  <si>
    <t>Utility</t>
  </si>
  <si>
    <t>sD</t>
  </si>
  <si>
    <t>Tax</t>
  </si>
  <si>
    <t>Profit Share</t>
  </si>
  <si>
    <t>Utility Loss</t>
  </si>
  <si>
    <t>Structuralist - Phillips Curve (pL)</t>
  </si>
  <si>
    <t>Structuralist - Keynes (pK)</t>
  </si>
  <si>
    <t>Structuralist - Keynes (pL)</t>
  </si>
  <si>
    <t>Structuralist - Phillips Curve (pK)</t>
  </si>
  <si>
    <t>Solver variables</t>
  </si>
  <si>
    <t>Unemployment</t>
  </si>
  <si>
    <t>Profit share</t>
  </si>
  <si>
    <t>Saving rate on L income</t>
  </si>
  <si>
    <t>sigmaw</t>
  </si>
  <si>
    <t>omegaG</t>
  </si>
  <si>
    <t>omegaI</t>
  </si>
  <si>
    <t>Aggregate domestic saving rate</t>
  </si>
  <si>
    <t>Saving rate on capital income</t>
  </si>
  <si>
    <t>Saving rate on labour income</t>
  </si>
  <si>
    <t>pW</t>
  </si>
  <si>
    <t>aX</t>
  </si>
  <si>
    <t>bX</t>
  </si>
  <si>
    <t>rhoX</t>
  </si>
  <si>
    <t>ERROR10</t>
  </si>
  <si>
    <t>ERROR11</t>
  </si>
  <si>
    <t>Armington aggregate of D and M</t>
  </si>
  <si>
    <t>sG</t>
  </si>
  <si>
    <t>Output directed to Domestic markets</t>
  </si>
  <si>
    <t>Total output</t>
  </si>
  <si>
    <t>Imports</t>
  </si>
  <si>
    <t>S</t>
  </si>
  <si>
    <t>pS</t>
  </si>
  <si>
    <t>aS</t>
  </si>
  <si>
    <t>bS</t>
  </si>
  <si>
    <t>sigmaS</t>
  </si>
  <si>
    <t>rhoS</t>
  </si>
  <si>
    <t>(Relative to pKL)</t>
  </si>
  <si>
    <t>ERROR12</t>
  </si>
  <si>
    <t>Only for neoclassical production</t>
  </si>
  <si>
    <t>ERROR8&amp;9</t>
  </si>
  <si>
    <t>Capital market</t>
  </si>
  <si>
    <t>Labour market</t>
  </si>
  <si>
    <t>Trade balance</t>
  </si>
  <si>
    <t>Factor payments</t>
  </si>
  <si>
    <t>Savings/investment</t>
  </si>
  <si>
    <t>Domestic s</t>
  </si>
  <si>
    <t>Kaldor</t>
  </si>
  <si>
    <t>Keynes-Marshall</t>
  </si>
  <si>
    <t>Keynes</t>
  </si>
  <si>
    <t>Keynes-Kaldor</t>
  </si>
  <si>
    <t>Fossil energy control</t>
  </si>
  <si>
    <t>Keynes-I</t>
  </si>
  <si>
    <t>Neoclassical - hetero s</t>
  </si>
  <si>
    <t>T&amp;S</t>
  </si>
  <si>
    <t>tauTVA2</t>
  </si>
  <si>
    <t>tauTS</t>
  </si>
  <si>
    <t>Saving rate on budget surplus</t>
  </si>
  <si>
    <t>sK-sL</t>
  </si>
  <si>
    <t>tauTSE</t>
  </si>
  <si>
    <t>Absorption</t>
  </si>
  <si>
    <t>Neo-K2</t>
  </si>
  <si>
    <t>Neo-K1</t>
  </si>
  <si>
    <t>Real investment</t>
  </si>
  <si>
    <t>Real wage</t>
  </si>
  <si>
    <t>CPI</t>
  </si>
  <si>
    <t>Keynesian</t>
  </si>
  <si>
    <t>Kaldorian</t>
  </si>
  <si>
    <t>tauTS2</t>
  </si>
  <si>
    <t>Investment volume</t>
  </si>
  <si>
    <t>Public S</t>
  </si>
  <si>
    <t>Labour S</t>
  </si>
  <si>
    <t>Capital S</t>
  </si>
  <si>
    <t>T in GDP</t>
  </si>
  <si>
    <t>Sales tax in GDP</t>
  </si>
  <si>
    <t>L tax in GDP</t>
  </si>
  <si>
    <t>Y tax in GDP</t>
  </si>
  <si>
    <t>E sales tax in GDP</t>
  </si>
  <si>
    <t>Q sales tax in GDP</t>
  </si>
  <si>
    <t>w/pK</t>
  </si>
  <si>
    <t>GDP price index</t>
  </si>
  <si>
    <t>Real GDP</t>
  </si>
  <si>
    <t>Non-E output</t>
  </si>
  <si>
    <t>E output</t>
  </si>
  <si>
    <t>E imports</t>
  </si>
  <si>
    <t>REER</t>
  </si>
  <si>
    <t>C price index</t>
  </si>
  <si>
    <t>M price index</t>
  </si>
  <si>
    <t>C in GDP</t>
  </si>
  <si>
    <t>G in GDP</t>
  </si>
  <si>
    <t>I in GDP</t>
  </si>
  <si>
    <t>X in GDP</t>
  </si>
  <si>
    <t>M in GDP</t>
  </si>
  <si>
    <t>wL in GDP</t>
  </si>
  <si>
    <t>rK in GDP</t>
  </si>
  <si>
    <t>S_G in GDP</t>
  </si>
  <si>
    <t>S_L in GDP</t>
  </si>
  <si>
    <t>S_K in GDP</t>
  </si>
  <si>
    <t>Output taxes</t>
  </si>
  <si>
    <t>Copier-Coller du tableau UE 2019 - Fichier Matrice Europe Figaro 18sep23</t>
  </si>
  <si>
    <t>WorldBank WDI</t>
  </si>
  <si>
    <t>Carbon Tax</t>
  </si>
  <si>
    <t>Closure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</si>
</sst>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 #,##0.00\ _€_-;\-* #,##0.00\ _€_-;_-* &quot;-&quot;??\ _€_-;_-@_-"/>
    <numFmt numFmtId="165" formatCode="#,##0;\-#,##0;\-"/>
    <numFmt numFmtId="166" formatCode="0E+00"/>
    <numFmt numFmtId="167" formatCode="\+0.0%;\-0.0%;\i\d."/>
    <numFmt numFmtId="168" formatCode="#,##0.000"/>
    <numFmt numFmtId="169" formatCode="0.0000"/>
    <numFmt numFmtId="170" formatCode="0.000%"/>
    <numFmt numFmtId="171" formatCode="0.0%"/>
    <numFmt numFmtId="172" formatCode="0.000"/>
  </numFmts>
  <fonts count="15" x14ac:knownFonts="1">
    <font>
      <sz val="8"/>
      <color theme="1"/>
      <name val="Arial"/>
      <family val="2"/>
    </font>
    <font>
      <sz val="8"/>
      <name val="Arial"/>
      <family val="2"/>
    </font>
    <font>
      <sz val="8"/>
      <color theme="1"/>
      <name val="Arial"/>
      <family val="2"/>
    </font>
    <font>
      <sz val="8"/>
      <color theme="0"/>
      <name val="Arial"/>
      <family val="2"/>
    </font>
    <font>
      <sz val="8"/>
      <name val="Arial"/>
      <family val="2"/>
    </font>
    <font>
      <b/>
      <sz val="8"/>
      <name val="Arial"/>
      <family val="2"/>
    </font>
    <font>
      <sz val="8"/>
      <color indexed="9"/>
      <name val="Arial"/>
      <family val="2"/>
    </font>
    <font>
      <sz val="8"/>
      <color rgb="FFFF0000"/>
      <name val="Arial"/>
      <family val="2"/>
    </font>
    <font>
      <b/>
      <sz val="8"/>
      <color theme="1"/>
      <name val="Arial"/>
      <family val="2"/>
    </font>
    <font>
      <sz val="10"/>
      <name val="Arial"/>
      <family val="2"/>
    </font>
    <font>
      <sz val="8"/>
      <color rgb="FF000000"/>
      <name val="Arial"/>
      <family val="2"/>
    </font>
    <font>
      <b/>
      <sz val="8"/>
      <color theme="0"/>
      <name val="Arial"/>
      <family val="2"/>
    </font>
    <font>
      <b/>
      <sz val="8"/>
      <color rgb="FFFF0000"/>
      <name val="Arial"/>
      <family val="2"/>
    </font>
    <font>
      <sz val="9"/>
      <color indexed="81"/>
      <name val="Tahoma"/>
      <family val="2"/>
    </font>
    <font>
      <b/>
      <sz val="9"/>
      <color indexed="81"/>
      <name val="Tahoma"/>
      <family val="2"/>
    </font>
  </fonts>
  <fills count="7">
    <fill>
      <patternFill patternType="none"/>
    </fill>
    <fill>
      <patternFill patternType="gray125"/>
    </fill>
    <fill>
      <patternFill patternType="solid">
        <fgColor rgb="FF666699"/>
        <bgColor indexed="64"/>
      </patternFill>
    </fill>
    <fill>
      <patternFill patternType="solid">
        <fgColor indexed="22"/>
        <bgColor indexed="64"/>
      </patternFill>
    </fill>
    <fill>
      <patternFill patternType="solid">
        <fgColor theme="1"/>
        <bgColor indexed="64"/>
      </patternFill>
    </fill>
    <fill>
      <patternFill patternType="solid">
        <fgColor rgb="FF438787"/>
        <bgColor indexed="64"/>
      </patternFill>
    </fill>
    <fill>
      <patternFill patternType="solid">
        <fgColor theme="5" tint="-0.249977111117893"/>
        <bgColor indexed="64"/>
      </patternFill>
    </fill>
  </fills>
  <borders count="16">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s>
  <cellStyleXfs count="5">
    <xf numFmtId="0" fontId="0" fillId="0" borderId="0"/>
    <xf numFmtId="164" fontId="2" fillId="0" borderId="0" applyFont="0" applyFill="0" applyBorder="0" applyAlignment="0" applyProtection="0"/>
    <xf numFmtId="9" fontId="2" fillId="0" borderId="0" applyFont="0" applyFill="0" applyBorder="0" applyAlignment="0" applyProtection="0"/>
    <xf numFmtId="165" fontId="4" fillId="0" borderId="0" applyFill="0" applyBorder="0" applyProtection="0">
      <alignment vertical="center"/>
    </xf>
    <xf numFmtId="0" fontId="9" fillId="0" borderId="0"/>
  </cellStyleXfs>
  <cellXfs count="241">
    <xf numFmtId="0" fontId="0" fillId="0" borderId="0" xfId="0"/>
    <xf numFmtId="0" fontId="4" fillId="0" borderId="0" xfId="0" applyFont="1"/>
    <xf numFmtId="0" fontId="4" fillId="0" borderId="1" xfId="0" applyFont="1" applyBorder="1"/>
    <xf numFmtId="0" fontId="4" fillId="0" borderId="2" xfId="0" applyFont="1" applyBorder="1"/>
    <xf numFmtId="0" fontId="4" fillId="0" borderId="3" xfId="0" applyFont="1" applyBorder="1"/>
    <xf numFmtId="0" fontId="4" fillId="0" borderId="4" xfId="0" applyFont="1" applyBorder="1"/>
    <xf numFmtId="0" fontId="4" fillId="0" borderId="5" xfId="0" applyFont="1" applyBorder="1"/>
    <xf numFmtId="165" fontId="3" fillId="2" borderId="7" xfId="0" applyNumberFormat="1" applyFont="1" applyFill="1" applyBorder="1"/>
    <xf numFmtId="0" fontId="3" fillId="2" borderId="8" xfId="0" applyFont="1" applyFill="1" applyBorder="1"/>
    <xf numFmtId="3" fontId="5" fillId="0" borderId="9" xfId="0" applyNumberFormat="1" applyFont="1" applyBorder="1"/>
    <xf numFmtId="0" fontId="4" fillId="0" borderId="7" xfId="0" applyFont="1" applyBorder="1"/>
    <xf numFmtId="3" fontId="5" fillId="0" borderId="13" xfId="0" applyNumberFormat="1" applyFont="1" applyBorder="1"/>
    <xf numFmtId="0" fontId="4" fillId="0" borderId="9" xfId="0" applyFont="1" applyBorder="1"/>
    <xf numFmtId="3" fontId="4" fillId="0" borderId="0" xfId="0" applyNumberFormat="1" applyFont="1"/>
    <xf numFmtId="0" fontId="4" fillId="0" borderId="14" xfId="0" applyFont="1" applyBorder="1"/>
    <xf numFmtId="0" fontId="4" fillId="0" borderId="10" xfId="0" applyFont="1" applyBorder="1"/>
    <xf numFmtId="3" fontId="4" fillId="0" borderId="6" xfId="1" applyNumberFormat="1" applyFont="1" applyFill="1" applyBorder="1" applyAlignment="1" applyProtection="1">
      <alignment vertical="center"/>
      <protection locked="0"/>
    </xf>
    <xf numFmtId="165" fontId="5" fillId="0" borderId="3" xfId="0" applyNumberFormat="1" applyFont="1" applyBorder="1"/>
    <xf numFmtId="165" fontId="5" fillId="0" borderId="5" xfId="0" applyNumberFormat="1" applyFont="1" applyBorder="1"/>
    <xf numFmtId="3" fontId="4" fillId="0" borderId="0" xfId="0" applyNumberFormat="1" applyFont="1" applyAlignment="1">
      <alignment horizontal="right"/>
    </xf>
    <xf numFmtId="3" fontId="4" fillId="0" borderId="3" xfId="0" applyNumberFormat="1" applyFont="1" applyBorder="1"/>
    <xf numFmtId="3" fontId="4" fillId="0" borderId="5" xfId="0" applyNumberFormat="1" applyFont="1" applyBorder="1"/>
    <xf numFmtId="0" fontId="5" fillId="0" borderId="0" xfId="0" applyFont="1" applyAlignment="1">
      <alignment horizontal="right"/>
    </xf>
    <xf numFmtId="166" fontId="6" fillId="3" borderId="3" xfId="0" applyNumberFormat="1" applyFont="1" applyFill="1" applyBorder="1" applyAlignment="1">
      <alignment horizontal="center"/>
    </xf>
    <xf numFmtId="166" fontId="6" fillId="3" borderId="5" xfId="0" applyNumberFormat="1" applyFont="1" applyFill="1" applyBorder="1" applyAlignment="1">
      <alignment horizontal="center"/>
    </xf>
    <xf numFmtId="3" fontId="4" fillId="0" borderId="0" xfId="2" applyNumberFormat="1" applyFont="1" applyAlignment="1">
      <alignment horizontal="right"/>
    </xf>
    <xf numFmtId="3" fontId="4" fillId="0" borderId="0" xfId="2" applyNumberFormat="1" applyFont="1" applyFill="1" applyAlignment="1">
      <alignment horizontal="center"/>
    </xf>
    <xf numFmtId="3" fontId="4" fillId="0" borderId="0" xfId="2" applyNumberFormat="1" applyFont="1"/>
    <xf numFmtId="0" fontId="3" fillId="2" borderId="0" xfId="0" applyFont="1" applyFill="1"/>
    <xf numFmtId="3" fontId="0" fillId="0" borderId="0" xfId="0" applyNumberFormat="1"/>
    <xf numFmtId="0" fontId="3" fillId="2" borderId="7" xfId="0" applyFont="1" applyFill="1" applyBorder="1"/>
    <xf numFmtId="3" fontId="3" fillId="2" borderId="7" xfId="0" applyNumberFormat="1" applyFont="1" applyFill="1" applyBorder="1"/>
    <xf numFmtId="3" fontId="3" fillId="2" borderId="8" xfId="0" applyNumberFormat="1" applyFont="1" applyFill="1" applyBorder="1"/>
    <xf numFmtId="3" fontId="0" fillId="0" borderId="1" xfId="0" applyNumberFormat="1" applyBorder="1"/>
    <xf numFmtId="3" fontId="0" fillId="0" borderId="6" xfId="0" applyNumberFormat="1" applyBorder="1"/>
    <xf numFmtId="3" fontId="0" fillId="0" borderId="10" xfId="0" applyNumberFormat="1" applyBorder="1"/>
    <xf numFmtId="3" fontId="0" fillId="0" borderId="11" xfId="0" applyNumberFormat="1" applyBorder="1"/>
    <xf numFmtId="2" fontId="0" fillId="0" borderId="1" xfId="0" applyNumberFormat="1" applyBorder="1"/>
    <xf numFmtId="2" fontId="0" fillId="0" borderId="6" xfId="0" applyNumberFormat="1" applyBorder="1"/>
    <xf numFmtId="2" fontId="0" fillId="0" borderId="10" xfId="0" applyNumberFormat="1" applyBorder="1"/>
    <xf numFmtId="2" fontId="0" fillId="0" borderId="11" xfId="0" applyNumberFormat="1" applyBorder="1"/>
    <xf numFmtId="3" fontId="0" fillId="0" borderId="7" xfId="0" applyNumberFormat="1" applyBorder="1"/>
    <xf numFmtId="3" fontId="0" fillId="0" borderId="8" xfId="0" applyNumberFormat="1" applyBorder="1"/>
    <xf numFmtId="9" fontId="0" fillId="0" borderId="1" xfId="2" applyFont="1" applyBorder="1"/>
    <xf numFmtId="9" fontId="0" fillId="0" borderId="6" xfId="2" applyFont="1" applyBorder="1"/>
    <xf numFmtId="9" fontId="0" fillId="0" borderId="10" xfId="2" applyFont="1" applyBorder="1"/>
    <xf numFmtId="9" fontId="0" fillId="0" borderId="11" xfId="2" applyFont="1" applyBorder="1"/>
    <xf numFmtId="9" fontId="0" fillId="0" borderId="7" xfId="2" applyFont="1" applyBorder="1"/>
    <xf numFmtId="9" fontId="0" fillId="0" borderId="8" xfId="2" applyFont="1" applyBorder="1"/>
    <xf numFmtId="3" fontId="4" fillId="0" borderId="11" xfId="0" applyNumberFormat="1" applyFont="1" applyBorder="1"/>
    <xf numFmtId="3" fontId="4" fillId="0" borderId="1" xfId="0" applyNumberFormat="1" applyFont="1" applyBorder="1"/>
    <xf numFmtId="165" fontId="4" fillId="0" borderId="1" xfId="0" applyNumberFormat="1" applyFont="1" applyBorder="1"/>
    <xf numFmtId="165" fontId="4" fillId="0" borderId="6" xfId="0" applyNumberFormat="1" applyFont="1" applyBorder="1"/>
    <xf numFmtId="165" fontId="4" fillId="0" borderId="7" xfId="0" applyNumberFormat="1" applyFont="1" applyBorder="1"/>
    <xf numFmtId="165" fontId="4" fillId="0" borderId="0" xfId="0" applyNumberFormat="1" applyFont="1"/>
    <xf numFmtId="165" fontId="4" fillId="0" borderId="10" xfId="0" applyNumberFormat="1" applyFont="1" applyBorder="1"/>
    <xf numFmtId="165" fontId="4" fillId="0" borderId="11" xfId="0" applyNumberFormat="1" applyFont="1" applyBorder="1"/>
    <xf numFmtId="165" fontId="4" fillId="0" borderId="12" xfId="0" applyNumberFormat="1" applyFont="1" applyBorder="1"/>
    <xf numFmtId="165" fontId="4" fillId="0" borderId="8" xfId="0" applyNumberFormat="1" applyFont="1" applyBorder="1"/>
    <xf numFmtId="3" fontId="4" fillId="0" borderId="7" xfId="0" applyNumberFormat="1" applyFont="1" applyBorder="1"/>
    <xf numFmtId="3" fontId="4" fillId="0" borderId="8" xfId="0" applyNumberFormat="1" applyFont="1" applyBorder="1"/>
    <xf numFmtId="3" fontId="4" fillId="0" borderId="10" xfId="0" applyNumberFormat="1" applyFont="1" applyBorder="1"/>
    <xf numFmtId="0" fontId="0" fillId="0" borderId="0" xfId="0" applyAlignment="1">
      <alignment horizontal="right"/>
    </xf>
    <xf numFmtId="3" fontId="0" fillId="0" borderId="3" xfId="0" applyNumberFormat="1" applyBorder="1"/>
    <xf numFmtId="3" fontId="0" fillId="0" borderId="5" xfId="0" applyNumberFormat="1" applyBorder="1"/>
    <xf numFmtId="3" fontId="0" fillId="0" borderId="15" xfId="0" applyNumberFormat="1" applyBorder="1"/>
    <xf numFmtId="2" fontId="0" fillId="0" borderId="9" xfId="0" applyNumberFormat="1" applyBorder="1"/>
    <xf numFmtId="2" fontId="0" fillId="0" borderId="14" xfId="0" applyNumberFormat="1" applyBorder="1"/>
    <xf numFmtId="2" fontId="0" fillId="0" borderId="13" xfId="0" applyNumberFormat="1" applyBorder="1"/>
    <xf numFmtId="3" fontId="0" fillId="0" borderId="9" xfId="0" applyNumberFormat="1" applyBorder="1"/>
    <xf numFmtId="3" fontId="0" fillId="0" borderId="13" xfId="0" applyNumberFormat="1" applyBorder="1"/>
    <xf numFmtId="167" fontId="0" fillId="0" borderId="1" xfId="0" applyNumberFormat="1" applyBorder="1"/>
    <xf numFmtId="167" fontId="0" fillId="0" borderId="6" xfId="0" applyNumberFormat="1" applyBorder="1"/>
    <xf numFmtId="167" fontId="0" fillId="0" borderId="7" xfId="0" applyNumberFormat="1" applyBorder="1"/>
    <xf numFmtId="167" fontId="0" fillId="0" borderId="8" xfId="0" applyNumberFormat="1" applyBorder="1"/>
    <xf numFmtId="167" fontId="0" fillId="0" borderId="10" xfId="0" applyNumberFormat="1" applyBorder="1"/>
    <xf numFmtId="167" fontId="0" fillId="0" borderId="11" xfId="0" applyNumberFormat="1" applyBorder="1"/>
    <xf numFmtId="167" fontId="0" fillId="0" borderId="9" xfId="0" applyNumberFormat="1" applyBorder="1"/>
    <xf numFmtId="167" fontId="0" fillId="0" borderId="14" xfId="0" applyNumberFormat="1" applyBorder="1"/>
    <xf numFmtId="167" fontId="0" fillId="0" borderId="13" xfId="0" applyNumberFormat="1" applyBorder="1"/>
    <xf numFmtId="168" fontId="0" fillId="0" borderId="14" xfId="0" applyNumberFormat="1" applyBorder="1"/>
    <xf numFmtId="0" fontId="0" fillId="0" borderId="0" xfId="0" applyAlignment="1">
      <alignment horizontal="center"/>
    </xf>
    <xf numFmtId="3" fontId="7" fillId="0" borderId="7" xfId="0" applyNumberFormat="1" applyFont="1" applyBorder="1" applyAlignment="1">
      <alignment horizontal="right"/>
    </xf>
    <xf numFmtId="3" fontId="7" fillId="0" borderId="8" xfId="0" applyNumberFormat="1" applyFont="1" applyBorder="1" applyAlignment="1">
      <alignment horizontal="right"/>
    </xf>
    <xf numFmtId="3" fontId="7" fillId="0" borderId="1" xfId="0" applyNumberFormat="1" applyFont="1" applyBorder="1"/>
    <xf numFmtId="3" fontId="7" fillId="0" borderId="6" xfId="0" applyNumberFormat="1" applyFont="1" applyBorder="1"/>
    <xf numFmtId="165" fontId="7" fillId="0" borderId="14" xfId="0" applyNumberFormat="1" applyFont="1" applyBorder="1"/>
    <xf numFmtId="3" fontId="0" fillId="0" borderId="1" xfId="0" applyNumberFormat="1" applyBorder="1" applyAlignment="1">
      <alignment horizontal="right"/>
    </xf>
    <xf numFmtId="3" fontId="0" fillId="0" borderId="6" xfId="0" applyNumberFormat="1" applyBorder="1" applyAlignment="1">
      <alignment horizontal="right"/>
    </xf>
    <xf numFmtId="3" fontId="0" fillId="0" borderId="7" xfId="0" applyNumberFormat="1" applyBorder="1" applyAlignment="1">
      <alignment horizontal="right"/>
    </xf>
    <xf numFmtId="3" fontId="0" fillId="0" borderId="8" xfId="0" applyNumberFormat="1" applyBorder="1" applyAlignment="1">
      <alignment horizontal="right"/>
    </xf>
    <xf numFmtId="9" fontId="3" fillId="5" borderId="1" xfId="2" applyFont="1" applyFill="1" applyBorder="1"/>
    <xf numFmtId="9" fontId="3" fillId="5" borderId="6" xfId="2" applyFont="1" applyFill="1" applyBorder="1"/>
    <xf numFmtId="9" fontId="3" fillId="5" borderId="10" xfId="2" applyFont="1" applyFill="1" applyBorder="1"/>
    <xf numFmtId="9" fontId="3" fillId="2" borderId="15" xfId="0" applyNumberFormat="1" applyFont="1" applyFill="1" applyBorder="1"/>
    <xf numFmtId="3" fontId="7" fillId="0" borderId="15" xfId="0" applyNumberFormat="1" applyFont="1" applyBorder="1"/>
    <xf numFmtId="0" fontId="8" fillId="0" borderId="0" xfId="0" applyFont="1"/>
    <xf numFmtId="3" fontId="7" fillId="0" borderId="7" xfId="0" applyNumberFormat="1" applyFont="1" applyBorder="1"/>
    <xf numFmtId="3" fontId="7" fillId="0" borderId="8" xfId="0" applyNumberFormat="1" applyFont="1" applyBorder="1"/>
    <xf numFmtId="10" fontId="7" fillId="0" borderId="10" xfId="2" applyNumberFormat="1" applyFont="1" applyFill="1" applyBorder="1"/>
    <xf numFmtId="10" fontId="7" fillId="0" borderId="11" xfId="2" applyNumberFormat="1" applyFont="1" applyFill="1" applyBorder="1"/>
    <xf numFmtId="3" fontId="3" fillId="5" borderId="7" xfId="0" applyNumberFormat="1" applyFont="1" applyFill="1" applyBorder="1"/>
    <xf numFmtId="3" fontId="3" fillId="5" borderId="8" xfId="0" applyNumberFormat="1" applyFont="1" applyFill="1" applyBorder="1"/>
    <xf numFmtId="3" fontId="1" fillId="0" borderId="0" xfId="0" applyNumberFormat="1" applyFont="1"/>
    <xf numFmtId="3" fontId="1" fillId="0" borderId="1" xfId="0" applyNumberFormat="1" applyFont="1" applyBorder="1"/>
    <xf numFmtId="3" fontId="1" fillId="0" borderId="6" xfId="1" applyNumberFormat="1" applyFont="1" applyFill="1" applyBorder="1" applyAlignment="1" applyProtection="1">
      <alignment vertical="center"/>
      <protection locked="0"/>
    </xf>
    <xf numFmtId="3" fontId="1" fillId="0" borderId="0" xfId="0" applyNumberFormat="1" applyFont="1" applyAlignment="1">
      <alignment horizontal="right"/>
    </xf>
    <xf numFmtId="3" fontId="1" fillId="0" borderId="3" xfId="0" applyNumberFormat="1" applyFont="1" applyBorder="1"/>
    <xf numFmtId="3" fontId="1" fillId="0" borderId="5" xfId="0" applyNumberFormat="1" applyFont="1" applyBorder="1"/>
    <xf numFmtId="0" fontId="1" fillId="0" borderId="0" xfId="0" applyFont="1"/>
    <xf numFmtId="165" fontId="5" fillId="0" borderId="10" xfId="0" applyNumberFormat="1" applyFont="1" applyBorder="1"/>
    <xf numFmtId="165" fontId="5" fillId="0" borderId="11" xfId="0" applyNumberFormat="1" applyFont="1" applyBorder="1"/>
    <xf numFmtId="0" fontId="7" fillId="0" borderId="0" xfId="0" applyFont="1"/>
    <xf numFmtId="0" fontId="8" fillId="0" borderId="0" xfId="0" applyFont="1" applyAlignment="1">
      <alignment horizontal="right"/>
    </xf>
    <xf numFmtId="9" fontId="4" fillId="0" borderId="0" xfId="2" applyFont="1" applyFill="1"/>
    <xf numFmtId="169" fontId="0" fillId="0" borderId="0" xfId="0" applyNumberFormat="1"/>
    <xf numFmtId="3" fontId="1" fillId="0" borderId="7" xfId="0" applyNumberFormat="1" applyFont="1" applyBorder="1"/>
    <xf numFmtId="3" fontId="0" fillId="0" borderId="14" xfId="0" applyNumberFormat="1" applyBorder="1"/>
    <xf numFmtId="3" fontId="7" fillId="0" borderId="9" xfId="0" applyNumberFormat="1" applyFont="1" applyBorder="1"/>
    <xf numFmtId="3" fontId="1" fillId="0" borderId="9" xfId="0" applyNumberFormat="1" applyFont="1" applyBorder="1"/>
    <xf numFmtId="166" fontId="1" fillId="3" borderId="0" xfId="4" quotePrefix="1" applyNumberFormat="1" applyFont="1" applyFill="1"/>
    <xf numFmtId="166" fontId="3" fillId="3" borderId="3" xfId="4" quotePrefix="1" applyNumberFormat="1" applyFont="1" applyFill="1" applyBorder="1"/>
    <xf numFmtId="166" fontId="3" fillId="3" borderId="5" xfId="4" quotePrefix="1" applyNumberFormat="1" applyFont="1" applyFill="1" applyBorder="1"/>
    <xf numFmtId="166" fontId="1" fillId="3" borderId="15" xfId="4" quotePrefix="1" applyNumberFormat="1" applyFont="1" applyFill="1" applyBorder="1"/>
    <xf numFmtId="165" fontId="0" fillId="0" borderId="0" xfId="0" applyNumberFormat="1"/>
    <xf numFmtId="166" fontId="0" fillId="0" borderId="0" xfId="0" applyNumberFormat="1"/>
    <xf numFmtId="0" fontId="5" fillId="0" borderId="0" xfId="0" applyFont="1"/>
    <xf numFmtId="165" fontId="4" fillId="0" borderId="3" xfId="0" applyNumberFormat="1" applyFont="1" applyBorder="1"/>
    <xf numFmtId="165" fontId="4" fillId="0" borderId="5" xfId="0" applyNumberFormat="1" applyFont="1" applyBorder="1"/>
    <xf numFmtId="166" fontId="1" fillId="3" borderId="3" xfId="4" quotePrefix="1" applyNumberFormat="1" applyFont="1" applyFill="1" applyBorder="1"/>
    <xf numFmtId="166" fontId="1" fillId="3" borderId="5" xfId="4" quotePrefix="1" applyNumberFormat="1" applyFont="1" applyFill="1" applyBorder="1"/>
    <xf numFmtId="166" fontId="3" fillId="4" borderId="0" xfId="0" applyNumberFormat="1" applyFont="1" applyFill="1"/>
    <xf numFmtId="0" fontId="3" fillId="2" borderId="14" xfId="0" applyFont="1" applyFill="1" applyBorder="1"/>
    <xf numFmtId="165" fontId="0" fillId="0" borderId="14" xfId="0" applyNumberFormat="1" applyBorder="1"/>
    <xf numFmtId="167" fontId="0" fillId="0" borderId="0" xfId="0" applyNumberFormat="1"/>
    <xf numFmtId="2" fontId="0" fillId="0" borderId="0" xfId="0" applyNumberFormat="1"/>
    <xf numFmtId="0" fontId="8" fillId="0" borderId="0" xfId="0" applyFont="1" applyAlignment="1">
      <alignment horizontal="center"/>
    </xf>
    <xf numFmtId="9" fontId="3" fillId="0" borderId="0" xfId="2" applyFont="1" applyFill="1" applyBorder="1"/>
    <xf numFmtId="168" fontId="0" fillId="0" borderId="0" xfId="0" applyNumberFormat="1"/>
    <xf numFmtId="9" fontId="3" fillId="0" borderId="0" xfId="0" applyNumberFormat="1" applyFont="1"/>
    <xf numFmtId="170" fontId="0" fillId="0" borderId="0" xfId="0" applyNumberFormat="1"/>
    <xf numFmtId="165" fontId="3" fillId="2" borderId="0" xfId="0" applyNumberFormat="1" applyFont="1" applyFill="1"/>
    <xf numFmtId="0" fontId="4" fillId="0" borderId="6" xfId="0" applyFont="1" applyBorder="1"/>
    <xf numFmtId="165" fontId="3" fillId="2" borderId="1" xfId="0" applyNumberFormat="1" applyFont="1" applyFill="1" applyBorder="1"/>
    <xf numFmtId="165" fontId="3" fillId="2" borderId="2" xfId="0" applyNumberFormat="1" applyFont="1" applyFill="1" applyBorder="1"/>
    <xf numFmtId="165" fontId="3" fillId="2" borderId="9" xfId="0" applyNumberFormat="1" applyFont="1" applyFill="1" applyBorder="1"/>
    <xf numFmtId="165" fontId="3" fillId="2" borderId="10" xfId="0" applyNumberFormat="1" applyFont="1" applyFill="1" applyBorder="1"/>
    <xf numFmtId="165" fontId="3" fillId="2" borderId="12" xfId="0" applyNumberFormat="1" applyFont="1" applyFill="1" applyBorder="1"/>
    <xf numFmtId="165" fontId="3" fillId="2" borderId="13" xfId="0" applyNumberFormat="1" applyFont="1" applyFill="1" applyBorder="1"/>
    <xf numFmtId="165" fontId="3" fillId="2" borderId="6" xfId="0" applyNumberFormat="1" applyFont="1" applyFill="1" applyBorder="1"/>
    <xf numFmtId="165" fontId="3" fillId="2" borderId="8" xfId="0" applyNumberFormat="1" applyFont="1" applyFill="1" applyBorder="1"/>
    <xf numFmtId="165" fontId="3" fillId="2" borderId="11" xfId="0" applyNumberFormat="1" applyFont="1" applyFill="1" applyBorder="1"/>
    <xf numFmtId="165" fontId="3" fillId="2" borderId="3" xfId="0" applyNumberFormat="1" applyFont="1" applyFill="1" applyBorder="1"/>
    <xf numFmtId="165" fontId="3" fillId="2" borderId="5" xfId="0" applyNumberFormat="1" applyFont="1" applyFill="1" applyBorder="1"/>
    <xf numFmtId="3" fontId="7" fillId="0" borderId="10" xfId="2" applyNumberFormat="1" applyFont="1" applyFill="1" applyBorder="1"/>
    <xf numFmtId="3" fontId="7" fillId="0" borderId="11" xfId="2" applyNumberFormat="1" applyFont="1" applyFill="1" applyBorder="1"/>
    <xf numFmtId="3" fontId="7" fillId="0" borderId="7" xfId="2" applyNumberFormat="1" applyFont="1" applyFill="1" applyBorder="1"/>
    <xf numFmtId="3" fontId="7" fillId="0" borderId="8" xfId="2" applyNumberFormat="1" applyFont="1" applyFill="1" applyBorder="1"/>
    <xf numFmtId="165" fontId="7" fillId="0" borderId="10" xfId="0" applyNumberFormat="1" applyFont="1" applyBorder="1"/>
    <xf numFmtId="165" fontId="7" fillId="0" borderId="7" xfId="0" applyNumberFormat="1" applyFont="1" applyBorder="1"/>
    <xf numFmtId="0" fontId="0" fillId="0" borderId="8" xfId="0" applyBorder="1"/>
    <xf numFmtId="165" fontId="7" fillId="0" borderId="11" xfId="0" applyNumberFormat="1" applyFont="1" applyBorder="1"/>
    <xf numFmtId="9" fontId="0" fillId="0" borderId="0" xfId="2" applyFont="1" applyBorder="1"/>
    <xf numFmtId="171" fontId="0" fillId="0" borderId="9" xfId="2" applyNumberFormat="1" applyFont="1" applyBorder="1"/>
    <xf numFmtId="171" fontId="1" fillId="0" borderId="14" xfId="2" applyNumberFormat="1" applyFont="1" applyFill="1" applyBorder="1"/>
    <xf numFmtId="171" fontId="3" fillId="2" borderId="15" xfId="2" applyNumberFormat="1" applyFont="1" applyFill="1" applyBorder="1"/>
    <xf numFmtId="11" fontId="0" fillId="0" borderId="0" xfId="0" applyNumberFormat="1"/>
    <xf numFmtId="165" fontId="7" fillId="0" borderId="8" xfId="0" applyNumberFormat="1" applyFont="1" applyBorder="1"/>
    <xf numFmtId="3" fontId="1" fillId="0" borderId="10" xfId="0" applyNumberFormat="1" applyFont="1" applyBorder="1"/>
    <xf numFmtId="3" fontId="1" fillId="0" borderId="11" xfId="0" applyNumberFormat="1" applyFont="1" applyBorder="1"/>
    <xf numFmtId="3" fontId="3" fillId="2" borderId="10" xfId="0" applyNumberFormat="1" applyFont="1" applyFill="1" applyBorder="1"/>
    <xf numFmtId="3" fontId="3" fillId="2" borderId="11" xfId="0" applyNumberFormat="1" applyFont="1" applyFill="1" applyBorder="1"/>
    <xf numFmtId="3" fontId="3" fillId="2" borderId="1" xfId="0" applyNumberFormat="1" applyFont="1" applyFill="1" applyBorder="1"/>
    <xf numFmtId="3" fontId="3" fillId="2" borderId="6" xfId="0" applyNumberFormat="1" applyFont="1" applyFill="1" applyBorder="1"/>
    <xf numFmtId="3" fontId="1" fillId="0" borderId="8" xfId="0" applyNumberFormat="1" applyFont="1" applyBorder="1"/>
    <xf numFmtId="3" fontId="1" fillId="0" borderId="11" xfId="2" applyNumberFormat="1" applyFont="1" applyFill="1" applyBorder="1"/>
    <xf numFmtId="171" fontId="3" fillId="6" borderId="0" xfId="0" applyNumberFormat="1" applyFont="1" applyFill="1"/>
    <xf numFmtId="171" fontId="0" fillId="0" borderId="0" xfId="2" applyNumberFormat="1" applyFont="1" applyBorder="1"/>
    <xf numFmtId="3" fontId="3" fillId="2" borderId="10" xfId="2" applyNumberFormat="1" applyFont="1" applyFill="1" applyBorder="1"/>
    <xf numFmtId="3" fontId="3" fillId="2" borderId="11" xfId="2" applyNumberFormat="1" applyFont="1" applyFill="1" applyBorder="1"/>
    <xf numFmtId="172" fontId="3" fillId="2" borderId="7" xfId="0" applyNumberFormat="1" applyFont="1" applyFill="1" applyBorder="1"/>
    <xf numFmtId="172" fontId="3" fillId="2" borderId="8" xfId="0" applyNumberFormat="1" applyFont="1" applyFill="1" applyBorder="1"/>
    <xf numFmtId="171" fontId="0" fillId="0" borderId="13" xfId="2" applyNumberFormat="1" applyFont="1" applyBorder="1"/>
    <xf numFmtId="172" fontId="0" fillId="0" borderId="1" xfId="0" applyNumberFormat="1" applyBorder="1"/>
    <xf numFmtId="172" fontId="0" fillId="0" borderId="6" xfId="0" applyNumberFormat="1" applyBorder="1"/>
    <xf numFmtId="172" fontId="0" fillId="0" borderId="7" xfId="0" applyNumberFormat="1" applyBorder="1"/>
    <xf numFmtId="172" fontId="0" fillId="0" borderId="8" xfId="0" applyNumberFormat="1" applyBorder="1"/>
    <xf numFmtId="172" fontId="3" fillId="2" borderId="3" xfId="1" applyNumberFormat="1" applyFont="1" applyFill="1" applyBorder="1"/>
    <xf numFmtId="172" fontId="3" fillId="2" borderId="5" xfId="1" applyNumberFormat="1" applyFont="1" applyFill="1" applyBorder="1"/>
    <xf numFmtId="172" fontId="0" fillId="0" borderId="10" xfId="0" applyNumberFormat="1" applyBorder="1"/>
    <xf numFmtId="172" fontId="0" fillId="0" borderId="11" xfId="0" applyNumberFormat="1" applyBorder="1"/>
    <xf numFmtId="172" fontId="0" fillId="0" borderId="0" xfId="0" applyNumberFormat="1"/>
    <xf numFmtId="171" fontId="3" fillId="5" borderId="14" xfId="2" applyNumberFormat="1" applyFont="1" applyFill="1" applyBorder="1"/>
    <xf numFmtId="171" fontId="0" fillId="0" borderId="0" xfId="2" applyNumberFormat="1" applyFont="1"/>
    <xf numFmtId="0" fontId="5" fillId="0" borderId="0" xfId="0" applyFont="1" applyAlignment="1">
      <alignment horizontal="center"/>
    </xf>
    <xf numFmtId="171" fontId="0" fillId="0" borderId="14" xfId="2" applyNumberFormat="1" applyFont="1" applyBorder="1"/>
    <xf numFmtId="9" fontId="11" fillId="2" borderId="15" xfId="0" applyNumberFormat="1" applyFont="1" applyFill="1" applyBorder="1"/>
    <xf numFmtId="3" fontId="12" fillId="0" borderId="1" xfId="0" applyNumberFormat="1" applyFont="1" applyBorder="1"/>
    <xf numFmtId="3" fontId="12" fillId="0" borderId="6" xfId="0" applyNumberFormat="1" applyFont="1" applyBorder="1"/>
    <xf numFmtId="3" fontId="11" fillId="5" borderId="7" xfId="0" applyNumberFormat="1" applyFont="1" applyFill="1" applyBorder="1"/>
    <xf numFmtId="3" fontId="11" fillId="5" borderId="8" xfId="0" applyNumberFormat="1" applyFont="1" applyFill="1" applyBorder="1"/>
    <xf numFmtId="3" fontId="8" fillId="0" borderId="7" xfId="0" applyNumberFormat="1" applyFont="1" applyBorder="1"/>
    <xf numFmtId="3" fontId="8" fillId="0" borderId="8" xfId="0" applyNumberFormat="1" applyFont="1" applyBorder="1"/>
    <xf numFmtId="3" fontId="8" fillId="0" borderId="1" xfId="0" applyNumberFormat="1" applyFont="1" applyBorder="1"/>
    <xf numFmtId="3" fontId="8" fillId="0" borderId="6" xfId="0" applyNumberFormat="1" applyFont="1" applyBorder="1"/>
    <xf numFmtId="3" fontId="8" fillId="0" borderId="10" xfId="0" applyNumberFormat="1" applyFont="1" applyBorder="1"/>
    <xf numFmtId="3" fontId="8" fillId="0" borderId="11" xfId="0" applyNumberFormat="1" applyFont="1" applyBorder="1"/>
    <xf numFmtId="3" fontId="12" fillId="0" borderId="7" xfId="0" applyNumberFormat="1" applyFont="1" applyBorder="1"/>
    <xf numFmtId="3" fontId="12" fillId="0" borderId="8" xfId="0" applyNumberFormat="1" applyFont="1" applyBorder="1"/>
    <xf numFmtId="3" fontId="12" fillId="0" borderId="10" xfId="2" applyNumberFormat="1" applyFont="1" applyFill="1" applyBorder="1"/>
    <xf numFmtId="3" fontId="12" fillId="0" borderId="11" xfId="2" applyNumberFormat="1" applyFont="1" applyFill="1" applyBorder="1"/>
    <xf numFmtId="3" fontId="12" fillId="0" borderId="7" xfId="0" applyNumberFormat="1" applyFont="1" applyBorder="1" applyAlignment="1">
      <alignment horizontal="right"/>
    </xf>
    <xf numFmtId="3" fontId="12" fillId="0" borderId="8" xfId="0" applyNumberFormat="1" applyFont="1" applyBorder="1" applyAlignment="1">
      <alignment horizontal="right"/>
    </xf>
    <xf numFmtId="3" fontId="5" fillId="0" borderId="7" xfId="0" applyNumberFormat="1" applyFont="1" applyBorder="1"/>
    <xf numFmtId="0" fontId="11" fillId="2" borderId="8" xfId="0" applyFont="1" applyFill="1" applyBorder="1"/>
    <xf numFmtId="168" fontId="8" fillId="0" borderId="14" xfId="0" applyNumberFormat="1" applyFont="1" applyBorder="1"/>
    <xf numFmtId="165" fontId="12" fillId="0" borderId="14" xfId="0" applyNumberFormat="1" applyFont="1" applyBorder="1"/>
    <xf numFmtId="2" fontId="8" fillId="0" borderId="6" xfId="0" applyNumberFormat="1" applyFont="1" applyBorder="1"/>
    <xf numFmtId="3" fontId="8" fillId="0" borderId="14" xfId="0" applyNumberFormat="1" applyFont="1" applyBorder="1"/>
    <xf numFmtId="2" fontId="8" fillId="0" borderId="11" xfId="0" applyNumberFormat="1" applyFont="1" applyBorder="1"/>
    <xf numFmtId="3" fontId="8" fillId="0" borderId="13" xfId="0" applyNumberFormat="1" applyFont="1" applyBorder="1"/>
    <xf numFmtId="2" fontId="8" fillId="0" borderId="1" xfId="0" applyNumberFormat="1" applyFont="1" applyBorder="1"/>
    <xf numFmtId="2" fontId="8" fillId="0" borderId="10" xfId="0" applyNumberFormat="1" applyFont="1" applyBorder="1"/>
    <xf numFmtId="0" fontId="1" fillId="0" borderId="1" xfId="0" applyFont="1" applyBorder="1"/>
    <xf numFmtId="9" fontId="7" fillId="0" borderId="8" xfId="2" applyFont="1" applyFill="1" applyBorder="1"/>
    <xf numFmtId="9" fontId="7" fillId="0" borderId="11" xfId="2" applyFont="1" applyFill="1" applyBorder="1"/>
    <xf numFmtId="10" fontId="7" fillId="0" borderId="15" xfId="0" applyNumberFormat="1" applyFont="1" applyBorder="1"/>
    <xf numFmtId="10" fontId="0" fillId="0" borderId="0" xfId="0" applyNumberFormat="1" applyAlignment="1">
      <alignment horizontal="center"/>
    </xf>
    <xf numFmtId="10" fontId="0" fillId="0" borderId="0" xfId="0" applyNumberFormat="1"/>
    <xf numFmtId="0" fontId="0" fillId="0" borderId="0" xfId="0" applyAlignment="1">
      <alignment horizontal="left"/>
    </xf>
    <xf numFmtId="10" fontId="12" fillId="0" borderId="15" xfId="0" applyNumberFormat="1" applyFont="1" applyBorder="1"/>
    <xf numFmtId="10" fontId="8" fillId="0" borderId="0" xfId="0" applyNumberFormat="1" applyFont="1" applyAlignment="1">
      <alignment horizontal="center"/>
    </xf>
    <xf numFmtId="172" fontId="0" fillId="0" borderId="13" xfId="0" applyNumberFormat="1" applyBorder="1"/>
    <xf numFmtId="168" fontId="0" fillId="0" borderId="13" xfId="0" applyNumberFormat="1" applyBorder="1"/>
    <xf numFmtId="10" fontId="3" fillId="5" borderId="7" xfId="2" applyNumberFormat="1" applyFont="1" applyFill="1" applyBorder="1"/>
    <xf numFmtId="10" fontId="3" fillId="5" borderId="8" xfId="2" applyNumberFormat="1" applyFont="1" applyFill="1" applyBorder="1"/>
    <xf numFmtId="171" fontId="0" fillId="0" borderId="0" xfId="0" applyNumberFormat="1"/>
    <xf numFmtId="0" fontId="1" fillId="0" borderId="14" xfId="0" applyFont="1" applyBorder="1"/>
    <xf numFmtId="2" fontId="3" fillId="2" borderId="14" xfId="0" applyNumberFormat="1" applyFont="1" applyFill="1" applyBorder="1"/>
    <xf numFmtId="171" fontId="3" fillId="5" borderId="15" xfId="2" applyNumberFormat="1" applyFont="1" applyFill="1" applyBorder="1"/>
    <xf numFmtId="9" fontId="0" fillId="0" borderId="0" xfId="0" applyNumberFormat="1"/>
  </cellXfs>
  <cellStyles count="5">
    <cellStyle name="Milliers" xfId="1" builtinId="3"/>
    <cellStyle name="Motif" xfId="3" xr:uid="{00000000-0005-0000-0000-000001000000}"/>
    <cellStyle name="Motif 2" xfId="4" xr:uid="{00000000-0005-0000-0000-000002000000}"/>
    <cellStyle name="Normal" xfId="0" builtinId="0"/>
    <cellStyle name="Pourcentage" xfId="2" builtinId="5"/>
  </cellStyles>
  <dxfs count="10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bgColor theme="5" tint="0.59996337778862885"/>
        </patternFill>
      </fill>
    </dxf>
    <dxf>
      <font>
        <color auto="1"/>
      </font>
      <fill>
        <patternFill>
          <bgColor theme="5" tint="0.59996337778862885"/>
        </patternFill>
      </fill>
    </dxf>
    <dxf>
      <font>
        <color rgb="FF9C0006"/>
      </font>
      <fill>
        <patternFill>
          <bgColor rgb="FFFFC7CE"/>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s>
  <tableStyles count="1" defaultTableStyle="TableStyleMedium9" defaultPivotStyle="PivotStyleLight16">
    <tableStyle name="Invisible" pivot="0" table="0" count="0" xr9:uid="{A6A7A93D-575D-4997-90AD-7B9CFDDA0D6A}"/>
  </tableStyles>
  <colors>
    <mruColors>
      <color rgb="FF438787"/>
      <color rgb="FF666699"/>
      <color rgb="FF4189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7.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hartsheet" Target="chart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6.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chartsheet" Target="chart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1.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5.0489076522019991E-2"/>
          <c:w val="0.90131583007947491"/>
          <c:h val="0.86934076835108043"/>
        </c:manualLayout>
      </c:layout>
      <c:scatterChart>
        <c:scatterStyle val="smoothMarker"/>
        <c:varyColors val="0"/>
        <c:ser>
          <c:idx val="0"/>
          <c:order val="0"/>
          <c:tx>
            <c:strRef>
              <c:f>'Diagnosis Indicators'!$A$3</c:f>
              <c:strCache>
                <c:ptCount val="1"/>
                <c:pt idx="0">
                  <c:v>Neoclassical</c:v>
                </c:pt>
              </c:strCache>
            </c:strRef>
          </c:tx>
          <c:spPr>
            <a:ln w="19050" cap="rnd">
              <a:solidFill>
                <a:schemeClr val="accent1"/>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Indicators'!$B$3:$Y$3</c:f>
              <c:numCache>
                <c:formatCode>#,##0.000</c:formatCode>
                <c:ptCount val="24"/>
                <c:pt idx="0">
                  <c:v>1</c:v>
                </c:pt>
                <c:pt idx="1">
                  <c:v>0.99592821022423927</c:v>
                </c:pt>
                <c:pt idx="2">
                  <c:v>0.99161453014221479</c:v>
                </c:pt>
                <c:pt idx="3">
                  <c:v>0.98702908946360357</c:v>
                </c:pt>
                <c:pt idx="4">
                  <c:v>0.98213567979907657</c:v>
                </c:pt>
                <c:pt idx="5">
                  <c:v>0.97688985247949134</c:v>
                </c:pt>
                <c:pt idx="6">
                  <c:v>0.97123574009961455</c:v>
                </c:pt>
                <c:pt idx="7">
                  <c:v>0.96510170693301178</c:v>
                </c:pt>
                <c:pt idx="8">
                  <c:v>0.95839375711513497</c:v>
                </c:pt>
                <c:pt idx="9">
                  <c:v>0.95098455507061874</c:v>
                </c:pt>
                <c:pt idx="10">
                  <c:v>0.94269653338831139</c:v>
                </c:pt>
                <c:pt idx="11">
                  <c:v>0.93327334218609792</c:v>
                </c:pt>
                <c:pt idx="12">
                  <c:v>0.92233102582491966</c:v>
                </c:pt>
                <c:pt idx="13">
                  <c:v>0.90927485082995574</c:v>
                </c:pt>
                <c:pt idx="14">
                  <c:v>0.89316048297168638</c:v>
                </c:pt>
                <c:pt idx="15">
                  <c:v>0.87248190715597118</c:v>
                </c:pt>
                <c:pt idx="16">
                  <c:v>0.84485964802056868</c:v>
                </c:pt>
                <c:pt idx="17">
                  <c:v>0.80629161400974658</c:v>
                </c:pt>
                <c:pt idx="18">
                  <c:v>0.74803836549103897</c:v>
                </c:pt>
                <c:pt idx="19">
                  <c:v>0.64076343889366105</c:v>
                </c:pt>
                <c:pt idx="20">
                  <c:v>0.60463820005360902</c:v>
                </c:pt>
                <c:pt idx="21">
                  <c:v>0.55733706296314267</c:v>
                </c:pt>
                <c:pt idx="22">
                  <c:v>0</c:v>
                </c:pt>
                <c:pt idx="23">
                  <c:v>0</c:v>
                </c:pt>
              </c:numCache>
            </c:numRef>
          </c:yVal>
          <c:smooth val="1"/>
          <c:extLst>
            <c:ext xmlns:c16="http://schemas.microsoft.com/office/drawing/2014/chart" uri="{C3380CC4-5D6E-409C-BE32-E72D297353CC}">
              <c16:uniqueId val="{00000000-C093-4C38-8D34-BC5EA4637B9C}"/>
            </c:ext>
          </c:extLst>
        </c:ser>
        <c:ser>
          <c:idx val="5"/>
          <c:order val="1"/>
          <c:tx>
            <c:strRef>
              <c:f>'Diagnosis Indicators'!$A$4</c:f>
              <c:strCache>
                <c:ptCount val="1"/>
                <c:pt idx="0">
                  <c:v>Kaldorian</c:v>
                </c:pt>
              </c:strCache>
            </c:strRef>
          </c:tx>
          <c:spPr>
            <a:ln w="57150" cap="rnd">
              <a:solidFill>
                <a:schemeClr val="tx1"/>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Indicators'!$B$4:$Y$4</c:f>
              <c:numCache>
                <c:formatCode>#,##0.000</c:formatCode>
                <c:ptCount val="24"/>
                <c:pt idx="0">
                  <c:v>1</c:v>
                </c:pt>
                <c:pt idx="1">
                  <c:v>0.99869640404169113</c:v>
                </c:pt>
                <c:pt idx="2">
                  <c:v>0.99715537211988969</c:v>
                </c:pt>
                <c:pt idx="3">
                  <c:v>0.99534772766764101</c:v>
                </c:pt>
                <c:pt idx="4">
                  <c:v>0.99323834557396995</c:v>
                </c:pt>
                <c:pt idx="5">
                  <c:v>0.99078470868345347</c:v>
                </c:pt>
                <c:pt idx="6">
                  <c:v>0.98793407869620831</c:v>
                </c:pt>
                <c:pt idx="7">
                  <c:v>0.98462009525394611</c:v>
                </c:pt>
                <c:pt idx="8">
                  <c:v>0.98075716543645797</c:v>
                </c:pt>
                <c:pt idx="9">
                  <c:v>0.97623230194923971</c:v>
                </c:pt>
                <c:pt idx="10">
                  <c:v>0.97089105571578804</c:v>
                </c:pt>
                <c:pt idx="11">
                  <c:v>0.96451536729526444</c:v>
                </c:pt>
                <c:pt idx="12">
                  <c:v>0.95678402099784243</c:v>
                </c:pt>
                <c:pt idx="13">
                  <c:v>0.94720298984991069</c:v>
                </c:pt>
                <c:pt idx="14">
                  <c:v>0.93497918044799233</c:v>
                </c:pt>
                <c:pt idx="15">
                  <c:v>0.91879481400384866</c:v>
                </c:pt>
                <c:pt idx="16">
                  <c:v>0.89639694195209008</c:v>
                </c:pt>
                <c:pt idx="17">
                  <c:v>0.86364694010648213</c:v>
                </c:pt>
                <c:pt idx="18">
                  <c:v>0.81122900137492837</c:v>
                </c:pt>
                <c:pt idx="19">
                  <c:v>0.70799065616125678</c:v>
                </c:pt>
                <c:pt idx="20">
                  <c:v>0.67179827047290674</c:v>
                </c:pt>
                <c:pt idx="21">
                  <c:v>0.81122900137492837</c:v>
                </c:pt>
                <c:pt idx="22">
                  <c:v>0.70799065616125678</c:v>
                </c:pt>
                <c:pt idx="23">
                  <c:v>0</c:v>
                </c:pt>
              </c:numCache>
            </c:numRef>
          </c:yVal>
          <c:smooth val="1"/>
          <c:extLst xmlns:c15="http://schemas.microsoft.com/office/drawing/2012/chart">
            <c:ext xmlns:c16="http://schemas.microsoft.com/office/drawing/2014/chart" uri="{C3380CC4-5D6E-409C-BE32-E72D297353CC}">
              <c16:uniqueId val="{00000005-C093-4C38-8D34-BC5EA4637B9C}"/>
            </c:ext>
          </c:extLst>
        </c:ser>
        <c:ser>
          <c:idx val="1"/>
          <c:order val="2"/>
          <c:tx>
            <c:strRef>
              <c:f>'Diagnosis Indicators'!$A$5</c:f>
              <c:strCache>
                <c:ptCount val="1"/>
                <c:pt idx="0">
                  <c:v>Johansen</c:v>
                </c:pt>
              </c:strCache>
            </c:strRef>
          </c:tx>
          <c:spPr>
            <a:ln w="19050" cap="rnd">
              <a:solidFill>
                <a:schemeClr val="accent2"/>
              </a:solidFill>
              <a:prstDash val="lgDash"/>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Indicators'!$B$5:$Y$5</c:f>
              <c:numCache>
                <c:formatCode>#,##0.000</c:formatCode>
                <c:ptCount val="24"/>
                <c:pt idx="0">
                  <c:v>1</c:v>
                </c:pt>
                <c:pt idx="1">
                  <c:v>0.99871146090762042</c:v>
                </c:pt>
                <c:pt idx="2">
                  <c:v>0.99718591306103588</c:v>
                </c:pt>
                <c:pt idx="3">
                  <c:v>0.99539420954026292</c:v>
                </c:pt>
                <c:pt idx="4">
                  <c:v>0.993301212847019</c:v>
                </c:pt>
                <c:pt idx="5">
                  <c:v>0.99086437190928689</c:v>
                </c:pt>
                <c:pt idx="6">
                  <c:v>0.98803081290952954</c:v>
                </c:pt>
                <c:pt idx="7">
                  <c:v>0.9847338760838753</c:v>
                </c:pt>
                <c:pt idx="8">
                  <c:v>0.98088770673317505</c:v>
                </c:pt>
                <c:pt idx="9">
                  <c:v>0.97637839017066086</c:v>
                </c:pt>
                <c:pt idx="10">
                  <c:v>0.97105044105716121</c:v>
                </c:pt>
                <c:pt idx="11">
                  <c:v>0.96468392965740457</c:v>
                </c:pt>
                <c:pt idx="12">
                  <c:v>0.95695483663214631</c:v>
                </c:pt>
                <c:pt idx="13">
                  <c:v>0.94736500451134009</c:v>
                </c:pt>
                <c:pt idx="14">
                  <c:v>0.93511659919578916</c:v>
                </c:pt>
                <c:pt idx="15">
                  <c:v>0.91889055473130399</c:v>
                </c:pt>
                <c:pt idx="16">
                  <c:v>0.89644449971780527</c:v>
                </c:pt>
                <c:pt idx="17">
                  <c:v>0.86366061078222556</c:v>
                </c:pt>
                <c:pt idx="18">
                  <c:v>0.8112305481637585</c:v>
                </c:pt>
                <c:pt idx="19">
                  <c:v>0.7079909438740849</c:v>
                </c:pt>
                <c:pt idx="20">
                  <c:v>0.67179827417172999</c:v>
                </c:pt>
                <c:pt idx="21">
                  <c:v>0.62352482855324232</c:v>
                </c:pt>
                <c:pt idx="22">
                  <c:v>0</c:v>
                </c:pt>
                <c:pt idx="23">
                  <c:v>0</c:v>
                </c:pt>
              </c:numCache>
            </c:numRef>
          </c:yVal>
          <c:smooth val="1"/>
          <c:extLst>
            <c:ext xmlns:c16="http://schemas.microsoft.com/office/drawing/2014/chart" uri="{C3380CC4-5D6E-409C-BE32-E72D297353CC}">
              <c16:uniqueId val="{00000001-C093-4C38-8D34-BC5EA4637B9C}"/>
            </c:ext>
          </c:extLst>
        </c:ser>
        <c:ser>
          <c:idx val="4"/>
          <c:order val="3"/>
          <c:tx>
            <c:strRef>
              <c:f>'Diagnosis Indicators'!$A$6</c:f>
              <c:strCache>
                <c:ptCount val="1"/>
                <c:pt idx="0">
                  <c:v>Keynes-Kaldor</c:v>
                </c:pt>
              </c:strCache>
            </c:strRef>
          </c:tx>
          <c:spPr>
            <a:ln w="19050" cap="rnd">
              <a:solidFill>
                <a:schemeClr val="accent5"/>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Indicators'!$B$6:$Y$6</c:f>
              <c:numCache>
                <c:formatCode>#,##0.000</c:formatCode>
                <c:ptCount val="24"/>
                <c:pt idx="0">
                  <c:v>1</c:v>
                </c:pt>
                <c:pt idx="1">
                  <c:v>1.0012648182501287</c:v>
                </c:pt>
                <c:pt idx="2">
                  <c:v>1.0019841536208309</c:v>
                </c:pt>
                <c:pt idx="3">
                  <c:v>1.0021033294915689</c:v>
                </c:pt>
                <c:pt idx="4">
                  <c:v>1.0015560413499918</c:v>
                </c:pt>
                <c:pt idx="5">
                  <c:v>1.0002620130152418</c:v>
                </c:pt>
                <c:pt idx="6">
                  <c:v>0.99812182052376619</c:v>
                </c:pt>
                <c:pt idx="7">
                  <c:v>0.99501119886734357</c:v>
                </c:pt>
                <c:pt idx="8">
                  <c:v>0.99077151915399553</c:v>
                </c:pt>
                <c:pt idx="9">
                  <c:v>0.98519610797129731</c:v>
                </c:pt>
                <c:pt idx="10">
                  <c:v>0.97800741446176875</c:v>
                </c:pt>
                <c:pt idx="11">
                  <c:v>0.96882064268624912</c:v>
                </c:pt>
                <c:pt idx="12">
                  <c:v>0.95707901642298099</c:v>
                </c:pt>
                <c:pt idx="13">
                  <c:v>0.94193684461997218</c:v>
                </c:pt>
                <c:pt idx="14">
                  <c:v>0.92203479916890774</c:v>
                </c:pt>
                <c:pt idx="15">
                  <c:v>0.89505958605905522</c:v>
                </c:pt>
                <c:pt idx="16">
                  <c:v>0.85686947443505279</c:v>
                </c:pt>
                <c:pt idx="17">
                  <c:v>0.79964087848006227</c:v>
                </c:pt>
                <c:pt idx="18">
                  <c:v>0.70681902714965772</c:v>
                </c:pt>
                <c:pt idx="19">
                  <c:v>0.53283847237769877</c:v>
                </c:pt>
                <c:pt idx="20">
                  <c:v>0.47734597605722906</c:v>
                </c:pt>
                <c:pt idx="21">
                  <c:v>0.40883311686803392</c:v>
                </c:pt>
                <c:pt idx="22">
                  <c:v>0</c:v>
                </c:pt>
                <c:pt idx="23">
                  <c:v>0</c:v>
                </c:pt>
              </c:numCache>
            </c:numRef>
          </c:yVal>
          <c:smooth val="1"/>
          <c:extLst>
            <c:ext xmlns:c16="http://schemas.microsoft.com/office/drawing/2014/chart" uri="{C3380CC4-5D6E-409C-BE32-E72D297353CC}">
              <c16:uniqueId val="{00000004-C093-4C38-8D34-BC5EA4637B9C}"/>
            </c:ext>
          </c:extLst>
        </c:ser>
        <c:ser>
          <c:idx val="2"/>
          <c:order val="4"/>
          <c:tx>
            <c:strRef>
              <c:f>'Diagnosis Indicators'!$A$7</c:f>
              <c:strCache>
                <c:ptCount val="1"/>
                <c:pt idx="0">
                  <c:v>Keynes-Marshall</c:v>
                </c:pt>
              </c:strCache>
            </c:strRef>
          </c:tx>
          <c:spPr>
            <a:ln w="19050" cap="rnd">
              <a:solidFill>
                <a:schemeClr val="accent3"/>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Indicators'!$B$7:$Y$7</c:f>
              <c:numCache>
                <c:formatCode>#,##0.000</c:formatCode>
                <c:ptCount val="24"/>
                <c:pt idx="0">
                  <c:v>1</c:v>
                </c:pt>
                <c:pt idx="1">
                  <c:v>1.0303042082237739</c:v>
                </c:pt>
                <c:pt idx="2">
                  <c:v>1.0599903320224879</c:v>
                </c:pt>
                <c:pt idx="3">
                  <c:v>1.0891758395718099</c:v>
                </c:pt>
                <c:pt idx="4">
                  <c:v>1.1180175632993465</c:v>
                </c:pt>
                <c:pt idx="5">
                  <c:v>1.1467311927956643</c:v>
                </c:pt>
                <c:pt idx="6">
                  <c:v>1.1756245759996293</c:v>
                </c:pt>
                <c:pt idx="7">
                  <c:v>1.2051513398832947</c:v>
                </c:pt>
                <c:pt idx="8">
                  <c:v>1.2359887818800308</c:v>
                </c:pt>
                <c:pt idx="9">
                  <c:v>1.2691436671627028</c:v>
                </c:pt>
                <c:pt idx="10">
                  <c:v>1.3060309269397128</c:v>
                </c:pt>
                <c:pt idx="11">
                  <c:v>1.3482793337532759</c:v>
                </c:pt>
                <c:pt idx="12">
                  <c:v>1.3967486128682685</c:v>
                </c:pt>
                <c:pt idx="13">
                  <c:v>1.4499190951773679</c:v>
                </c:pt>
                <c:pt idx="14">
                  <c:v>1.5039662356883068</c:v>
                </c:pt>
                <c:pt idx="15">
                  <c:v>1.5551202537341233</c:v>
                </c:pt>
                <c:pt idx="16">
                  <c:v>1.6008087327659883</c:v>
                </c:pt>
                <c:pt idx="17">
                  <c:v>1.6382934887778517</c:v>
                </c:pt>
                <c:pt idx="18">
                  <c:v>1.659752360482962</c:v>
                </c:pt>
                <c:pt idx="19">
                  <c:v>1.6187662676887216</c:v>
                </c:pt>
                <c:pt idx="20">
                  <c:v>0</c:v>
                </c:pt>
                <c:pt idx="21">
                  <c:v>0</c:v>
                </c:pt>
                <c:pt idx="22">
                  <c:v>0</c:v>
                </c:pt>
                <c:pt idx="23">
                  <c:v>0</c:v>
                </c:pt>
              </c:numCache>
            </c:numRef>
          </c:yVal>
          <c:smooth val="1"/>
          <c:extLst>
            <c:ext xmlns:c16="http://schemas.microsoft.com/office/drawing/2014/chart" uri="{C3380CC4-5D6E-409C-BE32-E72D297353CC}">
              <c16:uniqueId val="{00000000-C850-4F38-B604-CD5347F209EA}"/>
            </c:ext>
          </c:extLst>
        </c:ser>
        <c:ser>
          <c:idx val="3"/>
          <c:order val="5"/>
          <c:tx>
            <c:strRef>
              <c:f>'Diagnosis Indicators'!$A$8</c:f>
              <c:strCache>
                <c:ptCount val="1"/>
                <c:pt idx="0">
                  <c:v>Keynesian</c:v>
                </c:pt>
              </c:strCache>
            </c:strRef>
          </c:tx>
          <c:spPr>
            <a:ln w="19050" cap="rnd">
              <a:solidFill>
                <a:schemeClr val="accent6"/>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Indicators'!$B$8:$Y$8</c:f>
              <c:numCache>
                <c:formatCode>#,##0.000</c:formatCode>
                <c:ptCount val="24"/>
                <c:pt idx="0">
                  <c:v>1</c:v>
                </c:pt>
                <c:pt idx="1">
                  <c:v>0.98468320345041127</c:v>
                </c:pt>
                <c:pt idx="2">
                  <c:v>0.96855333032545821</c:v>
                </c:pt>
                <c:pt idx="3">
                  <c:v>0.95153636692215104</c:v>
                </c:pt>
                <c:pt idx="4">
                  <c:v>0.93354558046489022</c:v>
                </c:pt>
                <c:pt idx="5">
                  <c:v>0.9144784893810074</c:v>
                </c:pt>
                <c:pt idx="6">
                  <c:v>0.89421215859978354</c:v>
                </c:pt>
                <c:pt idx="7">
                  <c:v>0.87259687634891925</c:v>
                </c:pt>
                <c:pt idx="8">
                  <c:v>0.84944713729201371</c:v>
                </c:pt>
                <c:pt idx="9">
                  <c:v>0.82452811271042303</c:v>
                </c:pt>
                <c:pt idx="10">
                  <c:v>0.79753532992411946</c:v>
                </c:pt>
                <c:pt idx="11">
                  <c:v>0.76806271554606098</c:v>
                </c:pt>
                <c:pt idx="12">
                  <c:v>0.73555033599272945</c:v>
                </c:pt>
                <c:pt idx="13">
                  <c:v>0.69919653357827771</c:v>
                </c:pt>
                <c:pt idx="14">
                  <c:v>0.6578043648491122</c:v>
                </c:pt>
                <c:pt idx="15">
                  <c:v>0.60950454620339956</c:v>
                </c:pt>
                <c:pt idx="16">
                  <c:v>0.551248075192599</c:v>
                </c:pt>
                <c:pt idx="17">
                  <c:v>0.4778859315240731</c:v>
                </c:pt>
                <c:pt idx="18">
                  <c:v>0.38073988087401978</c:v>
                </c:pt>
                <c:pt idx="19">
                  <c:v>0</c:v>
                </c:pt>
                <c:pt idx="20">
                  <c:v>0</c:v>
                </c:pt>
                <c:pt idx="21">
                  <c:v>0</c:v>
                </c:pt>
                <c:pt idx="22">
                  <c:v>0</c:v>
                </c:pt>
                <c:pt idx="23">
                  <c:v>0</c:v>
                </c:pt>
              </c:numCache>
            </c:numRef>
          </c:yVal>
          <c:smooth val="1"/>
          <c:extLst>
            <c:ext xmlns:c16="http://schemas.microsoft.com/office/drawing/2014/chart" uri="{C3380CC4-5D6E-409C-BE32-E72D297353CC}">
              <c16:uniqueId val="{00000003-C093-4C38-8D34-BC5EA4637B9C}"/>
            </c:ext>
          </c:extLst>
        </c:ser>
        <c:ser>
          <c:idx val="7"/>
          <c:order val="6"/>
          <c:tx>
            <c:strRef>
              <c:f>'Diagnosis Indicators'!$A$9</c:f>
              <c:strCache>
                <c:ptCount val="1"/>
                <c:pt idx="0">
                  <c:v>Neo-K2</c:v>
                </c:pt>
              </c:strCache>
            </c:strRef>
          </c:tx>
          <c:spPr>
            <a:ln w="19050" cap="rnd">
              <a:solidFill>
                <a:schemeClr val="accent3"/>
              </a:solidFill>
              <a:prstDash val="dash"/>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Indicators'!$B$9:$Y$9</c:f>
              <c:numCache>
                <c:formatCode>#,##0.000</c:formatCode>
                <c:ptCount val="24"/>
                <c:pt idx="0">
                  <c:v>1</c:v>
                </c:pt>
                <c:pt idx="1">
                  <c:v>0.9854052866733567</c:v>
                </c:pt>
                <c:pt idx="2">
                  <c:v>0.96936972552985057</c:v>
                </c:pt>
                <c:pt idx="3">
                  <c:v>0.95167247233942498</c:v>
                </c:pt>
                <c:pt idx="4">
                  <c:v>0.93205670165836585</c:v>
                </c:pt>
                <c:pt idx="5">
                  <c:v>0.91022317708384493</c:v>
                </c:pt>
                <c:pt idx="6">
                  <c:v>0.88582915373908311</c:v>
                </c:pt>
                <c:pt idx="7">
                  <c:v>0.85849175535916089</c:v>
                </c:pt>
                <c:pt idx="8">
                  <c:v>0.82779987013728895</c:v>
                </c:pt>
                <c:pt idx="9">
                  <c:v>0.79334315669080779</c:v>
                </c:pt>
                <c:pt idx="10">
                  <c:v>0.75477035351508237</c:v>
                </c:pt>
                <c:pt idx="11">
                  <c:v>0.7118854866339287</c:v>
                </c:pt>
                <c:pt idx="12">
                  <c:v>0.66478751117693635</c:v>
                </c:pt>
                <c:pt idx="13">
                  <c:v>0.61402071355320575</c:v>
                </c:pt>
                <c:pt idx="14">
                  <c:v>0.56064077525284139</c:v>
                </c:pt>
                <c:pt idx="15">
                  <c:v>0.50606001175502702</c:v>
                </c:pt>
                <c:pt idx="16">
                  <c:v>0.45169195315506255</c:v>
                </c:pt>
                <c:pt idx="17">
                  <c:v>0.39863470271289164</c:v>
                </c:pt>
                <c:pt idx="18">
                  <c:v>0.34543972875679724</c:v>
                </c:pt>
                <c:pt idx="19">
                  <c:v>0.27748029865320223</c:v>
                </c:pt>
                <c:pt idx="20">
                  <c:v>0.25779695852780221</c:v>
                </c:pt>
                <c:pt idx="21">
                  <c:v>0.23329741121827807</c:v>
                </c:pt>
                <c:pt idx="22">
                  <c:v>0</c:v>
                </c:pt>
                <c:pt idx="23">
                  <c:v>0</c:v>
                </c:pt>
              </c:numCache>
            </c:numRef>
          </c:yVal>
          <c:smooth val="1"/>
          <c:extLst>
            <c:ext xmlns:c16="http://schemas.microsoft.com/office/drawing/2014/chart" uri="{C3380CC4-5D6E-409C-BE32-E72D297353CC}">
              <c16:uniqueId val="{00000002-C850-4F38-B604-CD5347F209EA}"/>
            </c:ext>
          </c:extLst>
        </c:ser>
        <c:ser>
          <c:idx val="6"/>
          <c:order val="7"/>
          <c:tx>
            <c:strRef>
              <c:f>'Diagnosis Indicators'!$A$10</c:f>
              <c:strCache>
                <c:ptCount val="1"/>
                <c:pt idx="0">
                  <c:v>Neo-K1</c:v>
                </c:pt>
              </c:strCache>
            </c:strRef>
          </c:tx>
          <c:spPr>
            <a:ln w="19050" cap="rnd">
              <a:solidFill>
                <a:schemeClr val="accent3"/>
              </a:solidFill>
              <a:prstDash val="lgDashDotDot"/>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Indicators'!$B$10:$Y$10</c:f>
              <c:numCache>
                <c:formatCode>#,##0.000</c:formatCode>
                <c:ptCount val="24"/>
                <c:pt idx="0">
                  <c:v>1</c:v>
                </c:pt>
                <c:pt idx="1">
                  <c:v>0.98881140689527169</c:v>
                </c:pt>
                <c:pt idx="2">
                  <c:v>0.9766871074894794</c:v>
                </c:pt>
                <c:pt idx="3">
                  <c:v>0.96348970116720944</c:v>
                </c:pt>
                <c:pt idx="4">
                  <c:v>0.94905359824883972</c:v>
                </c:pt>
                <c:pt idx="5">
                  <c:v>0.93317616126788905</c:v>
                </c:pt>
                <c:pt idx="6">
                  <c:v>0.91560762188937272</c:v>
                </c:pt>
                <c:pt idx="7">
                  <c:v>0.89603687452765779</c:v>
                </c:pt>
                <c:pt idx="8">
                  <c:v>0.8740718257403306</c:v>
                </c:pt>
                <c:pt idx="9">
                  <c:v>0.84921328762188597</c:v>
                </c:pt>
                <c:pt idx="10">
                  <c:v>0.82081863961184331</c:v>
                </c:pt>
                <c:pt idx="11">
                  <c:v>0.78805442966101846</c:v>
                </c:pt>
                <c:pt idx="12">
                  <c:v>0.7498337102118855</c:v>
                </c:pt>
                <c:pt idx="13">
                  <c:v>0.70474042721691843</c:v>
                </c:pt>
                <c:pt idx="14">
                  <c:v>0.65094975524330234</c:v>
                </c:pt>
                <c:pt idx="15">
                  <c:v>0.58617124035034385</c:v>
                </c:pt>
                <c:pt idx="16">
                  <c:v>0.50766810768411263</c:v>
                </c:pt>
                <c:pt idx="17">
                  <c:v>0.41242416502127127</c:v>
                </c:pt>
                <c:pt idx="18">
                  <c:v>0.29749960490289951</c:v>
                </c:pt>
                <c:pt idx="19">
                  <c:v>0.16050522953912505</c:v>
                </c:pt>
                <c:pt idx="20">
                  <c:v>0.13031186559214572</c:v>
                </c:pt>
                <c:pt idx="21">
                  <c:v>9.9168240865660298E-2</c:v>
                </c:pt>
                <c:pt idx="22">
                  <c:v>6.7069895099529958E-2</c:v>
                </c:pt>
                <c:pt idx="23">
                  <c:v>3.4014136271143122E-2</c:v>
                </c:pt>
              </c:numCache>
            </c:numRef>
          </c:yVal>
          <c:smooth val="1"/>
          <c:extLst>
            <c:ext xmlns:c16="http://schemas.microsoft.com/office/drawing/2014/chart" uri="{C3380CC4-5D6E-409C-BE32-E72D297353CC}">
              <c16:uniqueId val="{00000001-C850-4F38-B604-CD5347F209EA}"/>
            </c:ext>
          </c:extLst>
        </c:ser>
        <c:dLbls>
          <c:showLegendKey val="0"/>
          <c:showVal val="0"/>
          <c:showCatName val="0"/>
          <c:showSerName val="0"/>
          <c:showPercent val="0"/>
          <c:showBubbleSize val="0"/>
        </c:dLbls>
        <c:axId val="844946399"/>
        <c:axId val="844953055"/>
        <c:extLst>
          <c:ext xmlns:c15="http://schemas.microsoft.com/office/drawing/2012/chart" uri="{02D57815-91ED-43cb-92C2-25804820EDAC}">
            <c15:filteredScatterSeries>
              <c15:ser>
                <c:idx val="8"/>
                <c:order val="8"/>
                <c:tx>
                  <c:strRef>
                    <c:extLst>
                      <c:ext uri="{02D57815-91ED-43cb-92C2-25804820EDAC}">
                        <c15:formulaRef>
                          <c15:sqref>'Diagnosis Indicators'!$A$11</c15:sqref>
                        </c15:formulaRef>
                      </c:ext>
                    </c:extLst>
                    <c:strCache>
                      <c:ptCount val="1"/>
                      <c:pt idx="0">
                        <c:v>Neoclassical - hetero s</c:v>
                      </c:pt>
                    </c:strCache>
                  </c:strRef>
                </c:tx>
                <c:spPr>
                  <a:ln w="19050" cap="rnd">
                    <a:solidFill>
                      <a:schemeClr val="accent3">
                        <a:lumMod val="60000"/>
                      </a:schemeClr>
                    </a:solidFill>
                    <a:round/>
                  </a:ln>
                  <a:effectLst/>
                </c:spPr>
                <c:marker>
                  <c:symbol val="none"/>
                </c:marker>
                <c:xVal>
                  <c:numRef>
                    <c:extLst>
                      <c:ext uri="{02D57815-91ED-43cb-92C2-25804820EDAC}">
                        <c15:formulaRef>
                          <c15:sqref>'Diagnosis Indicators'!$B$2:$Y$2</c15:sqref>
                        </c15:formulaRef>
                      </c:ext>
                    </c:extLst>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extLst>
                      <c:ext uri="{02D57815-91ED-43cb-92C2-25804820EDAC}">
                        <c15:formulaRef>
                          <c15:sqref>'Diagnosis Indicators'!$B$11:$Y$11</c15:sqref>
                        </c15:formulaRef>
                      </c:ext>
                    </c:extLst>
                    <c:numCache>
                      <c:formatCode>#,##0.000</c:formatCode>
                      <c:ptCount val="24"/>
                      <c:pt idx="0">
                        <c:v>0.99999999999999956</c:v>
                      </c:pt>
                      <c:pt idx="1">
                        <c:v>0.99444591610775457</c:v>
                      </c:pt>
                      <c:pt idx="2">
                        <c:v>0.98832398885785544</c:v>
                      </c:pt>
                      <c:pt idx="3">
                        <c:v>0.98155485786275998</c:v>
                      </c:pt>
                      <c:pt idx="4">
                        <c:v>0.97404297476950719</c:v>
                      </c:pt>
                      <c:pt idx="5">
                        <c:v>0.96567204220783953</c:v>
                      </c:pt>
                      <c:pt idx="6">
                        <c:v>0.95629799805413807</c:v>
                      </c:pt>
                      <c:pt idx="7">
                        <c:v>0.94573972610617074</c:v>
                      </c:pt>
                      <c:pt idx="8">
                        <c:v>0.93376390646056395</c:v>
                      </c:pt>
                      <c:pt idx="9">
                        <c:v>0.92006316660733312</c:v>
                      </c:pt>
                      <c:pt idx="10">
                        <c:v>0.90421972939464912</c:v>
                      </c:pt>
                      <c:pt idx="11">
                        <c:v>0.88564636602078417</c:v>
                      </c:pt>
                      <c:pt idx="12">
                        <c:v>0.86348466526882439</c:v>
                      </c:pt>
                      <c:pt idx="13">
                        <c:v>0.83642519107603419</c:v>
                      </c:pt>
                      <c:pt idx="14">
                        <c:v>0.80238481689363084</c:v>
                      </c:pt>
                      <c:pt idx="15">
                        <c:v>0.75794214216834832</c:v>
                      </c:pt>
                      <c:pt idx="16">
                        <c:v>0.69744648234885309</c:v>
                      </c:pt>
                      <c:pt idx="17">
                        <c:v>0.61173763947405335</c:v>
                      </c:pt>
                      <c:pt idx="18">
                        <c:v>0.48516789846608083</c:v>
                      </c:pt>
                      <c:pt idx="19">
                        <c:v>0.28500358745058368</c:v>
                      </c:pt>
                      <c:pt idx="20">
                        <c:v>0.23086212220297583</c:v>
                      </c:pt>
                      <c:pt idx="21">
                        <c:v>0.17080624919208309</c:v>
                      </c:pt>
                      <c:pt idx="22">
                        <c:v>0.10553097572575747</c:v>
                      </c:pt>
                      <c:pt idx="23">
                        <c:v>4.0042490619631235E-2</c:v>
                      </c:pt>
                    </c:numCache>
                  </c:numRef>
                </c:yVal>
                <c:smooth val="1"/>
                <c:extLst>
                  <c:ext xmlns:c16="http://schemas.microsoft.com/office/drawing/2014/chart" uri="{C3380CC4-5D6E-409C-BE32-E72D297353CC}">
                    <c16:uniqueId val="{00000000-A801-406B-8D2B-155AC302105A}"/>
                  </c:ext>
                </c:extLst>
              </c15:ser>
            </c15:filteredScatterSeries>
          </c:ext>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fr-FR" sz="1200"/>
                  <a:t>Energy demand control</a:t>
                </a:r>
              </a:p>
            </c:rich>
          </c:tx>
          <c:layout>
            <c:manualLayout>
              <c:xMode val="edge"/>
              <c:yMode val="edge"/>
              <c:x val="0.44665217932555212"/>
              <c:y val="0.9597134749809676"/>
            </c:manualLayout>
          </c:layout>
          <c:overlay val="0"/>
          <c:spPr>
            <a:solidFill>
              <a:schemeClr val="bg1">
                <a:alpha val="70000"/>
              </a:schemeClr>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5"/>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800" b="0" i="0" u="none" strike="noStrike" kern="1200" baseline="0">
                    <a:solidFill>
                      <a:schemeClr val="tx1">
                        <a:lumMod val="65000"/>
                        <a:lumOff val="35000"/>
                      </a:schemeClr>
                    </a:solidFill>
                    <a:latin typeface="+mn-lt"/>
                    <a:ea typeface="+mn-ea"/>
                    <a:cs typeface="+mn-cs"/>
                  </a:defRPr>
                </a:pPr>
                <a:r>
                  <a:rPr lang="en-US" sz="1800"/>
                  <a:t>Welfare</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r"/>
      <c:layout>
        <c:manualLayout>
          <c:xMode val="edge"/>
          <c:yMode val="edge"/>
          <c:x val="7.7558359529985993E-2"/>
          <c:y val="0.50069788772209378"/>
          <c:w val="0.18780620873946458"/>
          <c:h val="0.38842449220100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8939229634350809E-2"/>
          <c:y val="7.7694712997173468E-2"/>
          <c:w val="0.91954496211515768"/>
          <c:h val="0.84004231632441195"/>
        </c:manualLayout>
      </c:layout>
      <c:scatterChart>
        <c:scatterStyle val="smoothMarker"/>
        <c:varyColors val="0"/>
        <c:ser>
          <c:idx val="0"/>
          <c:order val="0"/>
          <c:tx>
            <c:strRef>
              <c:f>'Diagnosis Indicators'!$A$63</c:f>
              <c:strCache>
                <c:ptCount val="1"/>
                <c:pt idx="0">
                  <c:v>Neoclassical</c:v>
                </c:pt>
              </c:strCache>
            </c:strRef>
          </c:tx>
          <c:spPr>
            <a:ln w="19050" cap="rnd">
              <a:solidFill>
                <a:schemeClr val="accent1"/>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Indicators'!$B$63:$Y$63</c:f>
              <c:numCache>
                <c:formatCode>0.0%</c:formatCode>
                <c:ptCount val="24"/>
                <c:pt idx="0">
                  <c:v>0.56058995943838341</c:v>
                </c:pt>
                <c:pt idx="1">
                  <c:v>0.56645432440609833</c:v>
                </c:pt>
                <c:pt idx="2">
                  <c:v>0.56570451106854514</c:v>
                </c:pt>
                <c:pt idx="3">
                  <c:v>0.56495078539877408</c:v>
                </c:pt>
                <c:pt idx="4">
                  <c:v>0.56419298352168523</c:v>
                </c:pt>
                <c:pt idx="5">
                  <c:v>0.56343110042508926</c:v>
                </c:pt>
                <c:pt idx="6">
                  <c:v>0.56266553724039625</c:v>
                </c:pt>
                <c:pt idx="7">
                  <c:v>0.56189727872183637</c:v>
                </c:pt>
                <c:pt idx="8">
                  <c:v>0.56112825710107672</c:v>
                </c:pt>
                <c:pt idx="9">
                  <c:v>0.56036197159503831</c:v>
                </c:pt>
                <c:pt idx="10">
                  <c:v>0.55960437740021829</c:v>
                </c:pt>
                <c:pt idx="11">
                  <c:v>0.55886531921145088</c:v>
                </c:pt>
                <c:pt idx="12">
                  <c:v>0.5581607085401552</c:v>
                </c:pt>
                <c:pt idx="13">
                  <c:v>0.55751533508812168</c:v>
                </c:pt>
                <c:pt idx="14">
                  <c:v>0.55696492758416161</c:v>
                </c:pt>
                <c:pt idx="15">
                  <c:v>0.55655178275850403</c:v>
                </c:pt>
                <c:pt idx="16">
                  <c:v>0.55630323776791679</c:v>
                </c:pt>
                <c:pt idx="17">
                  <c:v>0.5561985771309893</c:v>
                </c:pt>
                <c:pt idx="18">
                  <c:v>0.55617317734295613</c:v>
                </c:pt>
                <c:pt idx="19">
                  <c:v>0.55617080664028173</c:v>
                </c:pt>
                <c:pt idx="20">
                  <c:v>0.55617078875702508</c:v>
                </c:pt>
                <c:pt idx="21">
                  <c:v>0.55617078484340943</c:v>
                </c:pt>
                <c:pt idx="22">
                  <c:v>0</c:v>
                </c:pt>
                <c:pt idx="23">
                  <c:v>0</c:v>
                </c:pt>
              </c:numCache>
            </c:numRef>
          </c:yVal>
          <c:smooth val="1"/>
          <c:extLst>
            <c:ext xmlns:c16="http://schemas.microsoft.com/office/drawing/2014/chart" uri="{C3380CC4-5D6E-409C-BE32-E72D297353CC}">
              <c16:uniqueId val="{00000000-A1C7-4647-B998-449E9F32F971}"/>
            </c:ext>
          </c:extLst>
        </c:ser>
        <c:ser>
          <c:idx val="1"/>
          <c:order val="1"/>
          <c:tx>
            <c:strRef>
              <c:f>'Diagnosis Indicators'!$A$64</c:f>
              <c:strCache>
                <c:ptCount val="1"/>
                <c:pt idx="0">
                  <c:v>Kaldorian</c:v>
                </c:pt>
              </c:strCache>
            </c:strRef>
          </c:tx>
          <c:spPr>
            <a:ln w="19050" cap="rnd">
              <a:solidFill>
                <a:schemeClr val="accent2"/>
              </a:solidFill>
              <a:prstDash val="lgDash"/>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Indicators'!$B$64:$Y$64</c:f>
              <c:numCache>
                <c:formatCode>0.0%</c:formatCode>
                <c:ptCount val="24"/>
                <c:pt idx="0">
                  <c:v>0.56058995943838341</c:v>
                </c:pt>
                <c:pt idx="1">
                  <c:v>0.563920278338504</c:v>
                </c:pt>
                <c:pt idx="2">
                  <c:v>0.56060124616029061</c:v>
                </c:pt>
                <c:pt idx="3">
                  <c:v>0.55723839982625745</c:v>
                </c:pt>
                <c:pt idx="4">
                  <c:v>0.55382528771114603</c:v>
                </c:pt>
                <c:pt idx="5">
                  <c:v>0.55035316383621669</c:v>
                </c:pt>
                <c:pt idx="6">
                  <c:v>0.54680996099392931</c:v>
                </c:pt>
                <c:pt idx="7">
                  <c:v>0.54317830424181146</c:v>
                </c:pt>
                <c:pt idx="8">
                  <c:v>0.53943243541109342</c:v>
                </c:pt>
                <c:pt idx="9">
                  <c:v>0.53553300363314404</c:v>
                </c:pt>
                <c:pt idx="10">
                  <c:v>0.53141808892632192</c:v>
                </c:pt>
                <c:pt idx="11">
                  <c:v>0.52698774225161593</c:v>
                </c:pt>
                <c:pt idx="12">
                  <c:v>0.52207686480848192</c:v>
                </c:pt>
                <c:pt idx="13">
                  <c:v>0.51640910952109631</c:v>
                </c:pt>
                <c:pt idx="14">
                  <c:v>0.50952620200617194</c:v>
                </c:pt>
                <c:pt idx="15">
                  <c:v>0.50071103548808471</c:v>
                </c:pt>
              </c:numCache>
            </c:numRef>
          </c:yVal>
          <c:smooth val="1"/>
          <c:extLst>
            <c:ext xmlns:c16="http://schemas.microsoft.com/office/drawing/2014/chart" uri="{C3380CC4-5D6E-409C-BE32-E72D297353CC}">
              <c16:uniqueId val="{00000001-A1C7-4647-B998-449E9F32F971}"/>
            </c:ext>
          </c:extLst>
        </c:ser>
        <c:ser>
          <c:idx val="5"/>
          <c:order val="2"/>
          <c:tx>
            <c:strRef>
              <c:f>'Diagnosis Indicators'!$A$65</c:f>
              <c:strCache>
                <c:ptCount val="1"/>
                <c:pt idx="0">
                  <c:v>Johansen</c:v>
                </c:pt>
              </c:strCache>
            </c:strRef>
          </c:tx>
          <c:spPr>
            <a:ln w="19050" cap="rnd">
              <a:solidFill>
                <a:schemeClr val="accent6"/>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Indicators'!$B$65:$Y$65</c:f>
              <c:numCache>
                <c:formatCode>0.0%</c:formatCode>
                <c:ptCount val="24"/>
                <c:pt idx="0">
                  <c:v>0.56058995943838341</c:v>
                </c:pt>
                <c:pt idx="1">
                  <c:v>0.56645020147348635</c:v>
                </c:pt>
                <c:pt idx="2">
                  <c:v>0.56569598446838576</c:v>
                </c:pt>
                <c:pt idx="3">
                  <c:v>0.56493754548518504</c:v>
                </c:pt>
                <c:pt idx="4">
                  <c:v>0.56417470513937773</c:v>
                </c:pt>
                <c:pt idx="5">
                  <c:v>0.56340745643489554</c:v>
                </c:pt>
                <c:pt idx="6">
                  <c:v>0.56263622712325956</c:v>
                </c:pt>
                <c:pt idx="7">
                  <c:v>0.56186207338628824</c:v>
                </c:pt>
                <c:pt idx="8">
                  <c:v>0.56108706734517355</c:v>
                </c:pt>
                <c:pt idx="9">
                  <c:v>0.56031496045621265</c:v>
                </c:pt>
                <c:pt idx="10">
                  <c:v>0.55955213168634987</c:v>
                </c:pt>
                <c:pt idx="11">
                  <c:v>0.55880912141175942</c:v>
                </c:pt>
                <c:pt idx="12">
                  <c:v>0.55810292037924536</c:v>
                </c:pt>
                <c:pt idx="13">
                  <c:v>0.55745988017015002</c:v>
                </c:pt>
                <c:pt idx="14">
                  <c:v>0.55691748463776602</c:v>
                </c:pt>
                <c:pt idx="15">
                  <c:v>0.5565184806259541</c:v>
                </c:pt>
                <c:pt idx="16">
                  <c:v>0.55628647325531533</c:v>
                </c:pt>
                <c:pt idx="17">
                  <c:v>0.5561935964602378</c:v>
                </c:pt>
                <c:pt idx="18">
                  <c:v>0.55617256821537009</c:v>
                </c:pt>
                <c:pt idx="19">
                  <c:v>0.55617079789001078</c:v>
                </c:pt>
                <c:pt idx="20">
                  <c:v>0.5561707868170811</c:v>
                </c:pt>
                <c:pt idx="21">
                  <c:v>0.55617078459067248</c:v>
                </c:pt>
                <c:pt idx="22">
                  <c:v>0</c:v>
                </c:pt>
                <c:pt idx="23">
                  <c:v>0</c:v>
                </c:pt>
              </c:numCache>
            </c:numRef>
          </c:yVal>
          <c:smooth val="1"/>
          <c:extLst>
            <c:ext xmlns:c16="http://schemas.microsoft.com/office/drawing/2014/chart" uri="{C3380CC4-5D6E-409C-BE32-E72D297353CC}">
              <c16:uniqueId val="{00000002-A1C7-4647-B998-449E9F32F971}"/>
            </c:ext>
          </c:extLst>
        </c:ser>
        <c:ser>
          <c:idx val="2"/>
          <c:order val="3"/>
          <c:tx>
            <c:strRef>
              <c:f>'Diagnosis Indicators'!$A$66</c:f>
              <c:strCache>
                <c:ptCount val="1"/>
                <c:pt idx="0">
                  <c:v>Keynes-Kaldor</c:v>
                </c:pt>
              </c:strCache>
            </c:strRef>
          </c:tx>
          <c:spPr>
            <a:ln w="19050" cap="rnd">
              <a:solidFill>
                <a:schemeClr val="accent3"/>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Indicators'!$B$66:$Y$66</c:f>
              <c:numCache>
                <c:formatCode>0.0%</c:formatCode>
                <c:ptCount val="24"/>
                <c:pt idx="0">
                  <c:v>0.56058995943838341</c:v>
                </c:pt>
                <c:pt idx="1">
                  <c:v>0.5638103872446798</c:v>
                </c:pt>
                <c:pt idx="2">
                  <c:v>0.56040163694512424</c:v>
                </c:pt>
                <c:pt idx="3">
                  <c:v>0.55696867560660002</c:v>
                </c:pt>
                <c:pt idx="4">
                  <c:v>0.5535045079715939</c:v>
                </c:pt>
                <c:pt idx="5">
                  <c:v>0.54999977106631526</c:v>
                </c:pt>
                <c:pt idx="6">
                  <c:v>0.54644184349259228</c:v>
                </c:pt>
                <c:pt idx="7">
                  <c:v>0.54281292427443706</c:v>
                </c:pt>
                <c:pt idx="8">
                  <c:v>0.53908727685013313</c:v>
                </c:pt>
                <c:pt idx="9">
                  <c:v>0.53522664187805058</c:v>
                </c:pt>
                <c:pt idx="10">
                  <c:v>0.53117263080506905</c:v>
                </c:pt>
                <c:pt idx="11">
                  <c:v>0.52683405120258542</c:v>
                </c:pt>
                <c:pt idx="12">
                  <c:v>0.52206560831517912</c:v>
                </c:pt>
                <c:pt idx="13">
                  <c:v>0.51663322547149271</c:v>
                </c:pt>
                <c:pt idx="14">
                  <c:v>0.51016398245836148</c:v>
                </c:pt>
                <c:pt idx="15">
                  <c:v>0.50209525981167302</c:v>
                </c:pt>
                <c:pt idx="16">
                  <c:v>0.49167250035189514</c:v>
                </c:pt>
              </c:numCache>
            </c:numRef>
          </c:yVal>
          <c:smooth val="1"/>
          <c:extLst>
            <c:ext xmlns:c16="http://schemas.microsoft.com/office/drawing/2014/chart" uri="{C3380CC4-5D6E-409C-BE32-E72D297353CC}">
              <c16:uniqueId val="{00000003-A1C7-4647-B998-449E9F32F971}"/>
            </c:ext>
          </c:extLst>
        </c:ser>
        <c:ser>
          <c:idx val="3"/>
          <c:order val="4"/>
          <c:tx>
            <c:strRef>
              <c:f>'Diagnosis Indicators'!$A$67</c:f>
              <c:strCache>
                <c:ptCount val="1"/>
                <c:pt idx="0">
                  <c:v>Keynes-Marshall</c:v>
                </c:pt>
              </c:strCache>
            </c:strRef>
          </c:tx>
          <c:spPr>
            <a:ln w="19050" cap="rnd">
              <a:solidFill>
                <a:schemeClr val="accent4"/>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Indicators'!$B$67:$Y$67</c:f>
              <c:numCache>
                <c:formatCode>0.0%</c:formatCode>
                <c:ptCount val="24"/>
                <c:pt idx="0">
                  <c:v>0.56058995943838341</c:v>
                </c:pt>
                <c:pt idx="1">
                  <c:v>0.57612575753667261</c:v>
                </c:pt>
                <c:pt idx="2">
                  <c:v>0.5848363301833519</c:v>
                </c:pt>
                <c:pt idx="3">
                  <c:v>0.59339913250409715</c:v>
                </c:pt>
                <c:pt idx="4">
                  <c:v>0.60189712229132775</c:v>
                </c:pt>
                <c:pt idx="5">
                  <c:v>0.61043560743953218</c:v>
                </c:pt>
                <c:pt idx="6">
                  <c:v>0.61915644580299067</c:v>
                </c:pt>
                <c:pt idx="7">
                  <c:v>0.62825784930203576</c:v>
                </c:pt>
                <c:pt idx="8">
                  <c:v>0.63802525039050995</c:v>
                </c:pt>
                <c:pt idx="9">
                  <c:v>0.648874499476084</c:v>
                </c:pt>
              </c:numCache>
            </c:numRef>
          </c:yVal>
          <c:smooth val="1"/>
          <c:extLst>
            <c:ext xmlns:c16="http://schemas.microsoft.com/office/drawing/2014/chart" uri="{C3380CC4-5D6E-409C-BE32-E72D297353CC}">
              <c16:uniqueId val="{00000004-A1C7-4647-B998-449E9F32F971}"/>
            </c:ext>
          </c:extLst>
        </c:ser>
        <c:ser>
          <c:idx val="4"/>
          <c:order val="5"/>
          <c:tx>
            <c:strRef>
              <c:f>'Diagnosis Indicators'!$A$68</c:f>
              <c:strCache>
                <c:ptCount val="1"/>
                <c:pt idx="0">
                  <c:v>Keynesian</c:v>
                </c:pt>
              </c:strCache>
            </c:strRef>
          </c:tx>
          <c:spPr>
            <a:ln w="19050" cap="rnd">
              <a:solidFill>
                <a:schemeClr val="accent5"/>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Indicators'!$B$68:$Y$68</c:f>
              <c:numCache>
                <c:formatCode>0.0%</c:formatCode>
                <c:ptCount val="24"/>
                <c:pt idx="0">
                  <c:v>0.56058995943838341</c:v>
                </c:pt>
                <c:pt idx="1">
                  <c:v>0.57239159647769544</c:v>
                </c:pt>
                <c:pt idx="2">
                  <c:v>0.57768268975464698</c:v>
                </c:pt>
                <c:pt idx="3">
                  <c:v>0.58308239268041884</c:v>
                </c:pt>
                <c:pt idx="4">
                  <c:v>0.58860065492282498</c:v>
                </c:pt>
                <c:pt idx="5">
                  <c:v>0.59424950346536476</c:v>
                </c:pt>
                <c:pt idx="6">
                  <c:v>0.60004350776431303</c:v>
                </c:pt>
                <c:pt idx="7">
                  <c:v>0.60600067088490672</c:v>
                </c:pt>
                <c:pt idx="8">
                  <c:v>0.61214383442630327</c:v>
                </c:pt>
                <c:pt idx="9">
                  <c:v>0.61850261881151936</c:v>
                </c:pt>
                <c:pt idx="10">
                  <c:v>0.62511675187204141</c:v>
                </c:pt>
                <c:pt idx="11">
                  <c:v>0.63204119078667487</c:v>
                </c:pt>
                <c:pt idx="12">
                  <c:v>0.63935490190744693</c:v>
                </c:pt>
              </c:numCache>
            </c:numRef>
          </c:yVal>
          <c:smooth val="1"/>
          <c:extLst>
            <c:ext xmlns:c16="http://schemas.microsoft.com/office/drawing/2014/chart" uri="{C3380CC4-5D6E-409C-BE32-E72D297353CC}">
              <c16:uniqueId val="{00000005-A1C7-4647-B998-449E9F32F971}"/>
            </c:ext>
          </c:extLst>
        </c:ser>
        <c:ser>
          <c:idx val="6"/>
          <c:order val="6"/>
          <c:tx>
            <c:strRef>
              <c:f>'Diagnosis Indicators'!$A$69</c:f>
              <c:strCache>
                <c:ptCount val="1"/>
                <c:pt idx="0">
                  <c:v>Neo-K1</c:v>
                </c:pt>
              </c:strCache>
            </c:strRef>
          </c:tx>
          <c:spPr>
            <a:ln w="19050" cap="rnd">
              <a:solidFill>
                <a:schemeClr val="accent1">
                  <a:lumMod val="60000"/>
                </a:schemeClr>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Indicators'!$B$69:$Y$69</c:f>
              <c:numCache>
                <c:formatCode>0.0%</c:formatCode>
                <c:ptCount val="24"/>
                <c:pt idx="0">
                  <c:v>0.56058995943838341</c:v>
                </c:pt>
                <c:pt idx="1">
                  <c:v>0.56676614695179361</c:v>
                </c:pt>
                <c:pt idx="2">
                  <c:v>0.56632509338164805</c:v>
                </c:pt>
                <c:pt idx="3">
                  <c:v>0.56587625191867608</c:v>
                </c:pt>
                <c:pt idx="4">
                  <c:v>0.5654183289563961</c:v>
                </c:pt>
                <c:pt idx="5">
                  <c:v>0.56494987241655981</c:v>
                </c:pt>
                <c:pt idx="6">
                  <c:v>0.56446923861366727</c:v>
                </c:pt>
                <c:pt idx="7">
                  <c:v>0.56397456538776547</c:v>
                </c:pt>
                <c:pt idx="8">
                  <c:v>0.56346376025169853</c:v>
                </c:pt>
                <c:pt idx="9">
                  <c:v>0.56293446805568303</c:v>
                </c:pt>
                <c:pt idx="10">
                  <c:v>0.5623840834418532</c:v>
                </c:pt>
                <c:pt idx="11">
                  <c:v>0.56180971322333029</c:v>
                </c:pt>
                <c:pt idx="12">
                  <c:v>0.56120822828271233</c:v>
                </c:pt>
                <c:pt idx="13">
                  <c:v>0.56057634078749596</c:v>
                </c:pt>
                <c:pt idx="14">
                  <c:v>0.55991079384323406</c:v>
                </c:pt>
                <c:pt idx="15">
                  <c:v>0.55920872611567407</c:v>
                </c:pt>
                <c:pt idx="16">
                  <c:v>0.55846831691570509</c:v>
                </c:pt>
                <c:pt idx="17">
                  <c:v>0.55768971961917957</c:v>
                </c:pt>
                <c:pt idx="18">
                  <c:v>0.55687612131850017</c:v>
                </c:pt>
                <c:pt idx="19">
                  <c:v>0.55603442486625843</c:v>
                </c:pt>
                <c:pt idx="20">
                  <c:v>0.55586357656211771</c:v>
                </c:pt>
                <c:pt idx="21">
                  <c:v>0.55569210610843489</c:v>
                </c:pt>
                <c:pt idx="22">
                  <c:v>0.55552011375172605</c:v>
                </c:pt>
                <c:pt idx="23">
                  <c:v>0.55534770247547238</c:v>
                </c:pt>
              </c:numCache>
            </c:numRef>
          </c:yVal>
          <c:smooth val="1"/>
          <c:extLst>
            <c:ext xmlns:c16="http://schemas.microsoft.com/office/drawing/2014/chart" uri="{C3380CC4-5D6E-409C-BE32-E72D297353CC}">
              <c16:uniqueId val="{00000006-A1C7-4647-B998-449E9F32F971}"/>
            </c:ext>
          </c:extLst>
        </c:ser>
        <c:ser>
          <c:idx val="7"/>
          <c:order val="7"/>
          <c:tx>
            <c:strRef>
              <c:f>'Diagnosis Indicators'!$A$70</c:f>
              <c:strCache>
                <c:ptCount val="1"/>
                <c:pt idx="0">
                  <c:v>Neo-K2</c:v>
                </c:pt>
              </c:strCache>
            </c:strRef>
          </c:tx>
          <c:spPr>
            <a:ln w="19050" cap="rnd">
              <a:solidFill>
                <a:schemeClr val="accent2">
                  <a:lumMod val="60000"/>
                </a:schemeClr>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Indicators'!$B$70:$Y$70</c:f>
              <c:numCache>
                <c:formatCode>0.0%</c:formatCode>
                <c:ptCount val="24"/>
                <c:pt idx="0">
                  <c:v>0.56058995943838341</c:v>
                </c:pt>
                <c:pt idx="1">
                  <c:v>0.56708932649454358</c:v>
                </c:pt>
                <c:pt idx="2">
                  <c:v>0.56698921764524546</c:v>
                </c:pt>
                <c:pt idx="3">
                  <c:v>0.566901070889967</c:v>
                </c:pt>
                <c:pt idx="4">
                  <c:v>0.56682572242127449</c:v>
                </c:pt>
                <c:pt idx="5">
                  <c:v>0.56676396118564187</c:v>
                </c:pt>
                <c:pt idx="6">
                  <c:v>0.56671637530733843</c:v>
                </c:pt>
                <c:pt idx="7">
                  <c:v>0.56668307665516515</c:v>
                </c:pt>
                <c:pt idx="8">
                  <c:v>0.56666323767637483</c:v>
                </c:pt>
                <c:pt idx="9">
                  <c:v>0.56665426712905675</c:v>
                </c:pt>
                <c:pt idx="10">
                  <c:v>0.56665033515311147</c:v>
                </c:pt>
                <c:pt idx="11">
                  <c:v>0.56664003007259478</c:v>
                </c:pt>
                <c:pt idx="12">
                  <c:v>0.5666028092866886</c:v>
                </c:pt>
                <c:pt idx="13">
                  <c:v>0.56650451404840252</c:v>
                </c:pt>
                <c:pt idx="14">
                  <c:v>0.56629308811398815</c:v>
                </c:pt>
                <c:pt idx="15">
                  <c:v>0.56589472622860382</c:v>
                </c:pt>
                <c:pt idx="16">
                  <c:v>0.56519438313026082</c:v>
                </c:pt>
                <c:pt idx="17">
                  <c:v>0.56391131973314201</c:v>
                </c:pt>
                <c:pt idx="18">
                  <c:v>0.56114378443217883</c:v>
                </c:pt>
                <c:pt idx="19">
                  <c:v>0.55332633895266559</c:v>
                </c:pt>
                <c:pt idx="20">
                  <c:v>0.54986693926258923</c:v>
                </c:pt>
                <c:pt idx="21">
                  <c:v>0.5446462034926266</c:v>
                </c:pt>
                <c:pt idx="22">
                  <c:v>0</c:v>
                </c:pt>
                <c:pt idx="23">
                  <c:v>0</c:v>
                </c:pt>
              </c:numCache>
            </c:numRef>
          </c:yVal>
          <c:smooth val="1"/>
          <c:extLst>
            <c:ext xmlns:c16="http://schemas.microsoft.com/office/drawing/2014/chart" uri="{C3380CC4-5D6E-409C-BE32-E72D297353CC}">
              <c16:uniqueId val="{00000007-A1C7-4647-B998-449E9F32F971}"/>
            </c:ext>
          </c:extLst>
        </c:ser>
        <c:dLbls>
          <c:showLegendKey val="0"/>
          <c:showVal val="0"/>
          <c:showCatName val="0"/>
          <c:showSerName val="0"/>
          <c:showPercent val="0"/>
          <c:showBubbleSize val="0"/>
        </c:dLbls>
        <c:axId val="844946399"/>
        <c:axId val="844953055"/>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fr-FR" sz="1200"/>
                  <a:t>Fossil energy control</a:t>
                </a:r>
              </a:p>
            </c:rich>
          </c:tx>
          <c:layout>
            <c:manualLayout>
              <c:xMode val="edge"/>
              <c:yMode val="edge"/>
              <c:x val="0.43708696202780883"/>
              <c:y val="0.96180622155430084"/>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2000" b="0" i="0" u="none" strike="noStrike" kern="1200" baseline="0">
                    <a:solidFill>
                      <a:schemeClr val="tx1">
                        <a:lumMod val="65000"/>
                        <a:lumOff val="35000"/>
                      </a:schemeClr>
                    </a:solidFill>
                    <a:latin typeface="+mn-lt"/>
                    <a:ea typeface="+mn-ea"/>
                    <a:cs typeface="+mn-cs"/>
                  </a:defRPr>
                </a:pPr>
                <a:r>
                  <a:rPr lang="en-US" sz="2000"/>
                  <a:t>Profit share</a:t>
                </a:r>
              </a:p>
            </c:rich>
          </c:tx>
          <c:layout>
            <c:manualLayout>
              <c:xMode val="edge"/>
              <c:yMode val="edge"/>
              <c:x val="1.3669649771732994E-2"/>
              <c:y val="2.0934435893485728E-2"/>
            </c:manualLayout>
          </c:layout>
          <c:overlay val="0"/>
          <c:spPr>
            <a:noFill/>
            <a:ln>
              <a:noFill/>
            </a:ln>
            <a:effectLst/>
          </c:spPr>
          <c:txPr>
            <a:bodyPr rot="0" spcFirstLastPara="1" vertOverflow="ellipsis"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5327206286230677E-2"/>
          <c:y val="0.51777688441239067"/>
          <c:w val="0.19412059496196518"/>
          <c:h val="0.38270344479544083"/>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noFill/>
    <a:ln w="9525" cap="flat" cmpd="sng" algn="ctr">
      <a:noFill/>
      <a:round/>
    </a:ln>
    <a:effectLst/>
  </c:spPr>
  <c:txPr>
    <a:bodyPr/>
    <a:lstStyle/>
    <a:p>
      <a:pPr>
        <a:defRPr/>
      </a:pPr>
      <a:endParaRPr lang="fr-FR"/>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a:pPr>
            <a:r>
              <a:rPr lang="fr-FR" sz="2000" b="0" i="0" u="none" strike="noStrike" kern="1200" baseline="0">
                <a:solidFill>
                  <a:sysClr val="windowText" lastClr="000000">
                    <a:lumMod val="65000"/>
                    <a:lumOff val="35000"/>
                  </a:sysClr>
                </a:solidFill>
                <a:latin typeface="+mn-lt"/>
                <a:ea typeface="+mn-ea"/>
                <a:cs typeface="+mn-cs"/>
              </a:rPr>
              <a:t>Optimal Carbon Tax</a:t>
            </a:r>
          </a:p>
        </c:rich>
      </c:tx>
      <c:layout>
        <c:manualLayout>
          <c:xMode val="edge"/>
          <c:yMode val="edge"/>
          <c:x val="4.2052262398352712E-2"/>
          <c:y val="1.674876749842321E-2"/>
        </c:manualLayout>
      </c:layout>
      <c:overlay val="0"/>
    </c:title>
    <c:autoTitleDeleted val="0"/>
    <c:plotArea>
      <c:layout/>
      <c:scatterChart>
        <c:scatterStyle val="lineMarker"/>
        <c:varyColors val="0"/>
        <c:ser>
          <c:idx val="5"/>
          <c:order val="0"/>
          <c:tx>
            <c:strRef>
              <c:f>'Diagnosis Indicators'!$A$85</c:f>
              <c:strCache>
                <c:ptCount val="1"/>
                <c:pt idx="0">
                  <c:v>Neoclassical</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Indicators'!$B$85:$Y$85</c:f>
              <c:numCache>
                <c:formatCode>0%</c:formatCode>
                <c:ptCount val="24"/>
                <c:pt idx="0">
                  <c:v>5.7716594496607888E-3</c:v>
                </c:pt>
                <c:pt idx="1">
                  <c:v>3.4030524797715483E-2</c:v>
                </c:pt>
                <c:pt idx="2">
                  <c:v>6.4933074408364128E-2</c:v>
                </c:pt>
                <c:pt idx="3">
                  <c:v>9.8925938511027448E-2</c:v>
                </c:pt>
                <c:pt idx="4">
                  <c:v>0.13657451562229669</c:v>
                </c:pt>
                <c:pt idx="5">
                  <c:v>0.17860792438195902</c:v>
                </c:pt>
                <c:pt idx="6">
                  <c:v>0.22598764537484115</c:v>
                </c:pt>
                <c:pt idx="7">
                  <c:v>0.28001332167100962</c:v>
                </c:pt>
                <c:pt idx="8">
                  <c:v>0.34249446459967231</c:v>
                </c:pt>
                <c:pt idx="9">
                  <c:v>0.41603413138754441</c:v>
                </c:pt>
                <c:pt idx="10">
                  <c:v>0.50452674715596646</c:v>
                </c:pt>
                <c:pt idx="11">
                  <c:v>0.61406564861376656</c:v>
                </c:pt>
                <c:pt idx="12">
                  <c:v>0.75468182799998229</c:v>
                </c:pt>
                <c:pt idx="13">
                  <c:v>0.94385522373949637</c:v>
                </c:pt>
                <c:pt idx="14">
                  <c:v>1.2139057313021129</c:v>
                </c:pt>
                <c:pt idx="15">
                  <c:v>1.6281039254603655</c:v>
                </c:pt>
                <c:pt idx="16">
                  <c:v>2.3181578903446112</c:v>
                </c:pt>
                <c:pt idx="17">
                  <c:v>3.5930140459180113</c:v>
                </c:pt>
                <c:pt idx="18">
                  <c:v>6.4101686988580662</c:v>
                </c:pt>
                <c:pt idx="19">
                  <c:v>16.082127990694914</c:v>
                </c:pt>
                <c:pt idx="20">
                  <c:v>21.403571526760828</c:v>
                </c:pt>
                <c:pt idx="21">
                  <c:v>30.809683419613776</c:v>
                </c:pt>
                <c:pt idx="22">
                  <c:v>0</c:v>
                </c:pt>
                <c:pt idx="23">
                  <c:v>0</c:v>
                </c:pt>
              </c:numCache>
            </c:numRef>
          </c:yVal>
          <c:smooth val="0"/>
          <c:extLst>
            <c:ext xmlns:c16="http://schemas.microsoft.com/office/drawing/2014/chart" uri="{C3380CC4-5D6E-409C-BE32-E72D297353CC}">
              <c16:uniqueId val="{00000005-1DAF-401E-8827-605E9C07D3CD}"/>
            </c:ext>
          </c:extLst>
        </c:ser>
        <c:ser>
          <c:idx val="9"/>
          <c:order val="1"/>
          <c:tx>
            <c:strRef>
              <c:f>'Diagnosis Indicators'!$A$86</c:f>
              <c:strCache>
                <c:ptCount val="1"/>
                <c:pt idx="0">
                  <c:v>Kaldorian</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Indicators'!$B$86:$Y$86</c:f>
              <c:numCache>
                <c:formatCode>0%</c:formatCode>
                <c:ptCount val="24"/>
                <c:pt idx="0">
                  <c:v>5.7716594496607888E-3</c:v>
                </c:pt>
                <c:pt idx="1">
                  <c:v>3.5614000680927273E-2</c:v>
                </c:pt>
                <c:pt idx="2">
                  <c:v>6.8201219848250255E-2</c:v>
                </c:pt>
                <c:pt idx="3">
                  <c:v>0.10399609077879797</c:v>
                </c:pt>
                <c:pt idx="4">
                  <c:v>0.14358448722503217</c:v>
                </c:pt>
                <c:pt idx="5">
                  <c:v>0.18772219125556466</c:v>
                </c:pt>
                <c:pt idx="6">
                  <c:v>0.23740658789366578</c:v>
                </c:pt>
                <c:pt idx="7">
                  <c:v>0.29398783892428537</c:v>
                </c:pt>
                <c:pt idx="8">
                  <c:v>0.35934833067002675</c:v>
                </c:pt>
                <c:pt idx="9">
                  <c:v>0.43620542488526409</c:v>
                </c:pt>
                <c:pt idx="10">
                  <c:v>0.52863656482237864</c:v>
                </c:pt>
                <c:pt idx="11">
                  <c:v>0.64305115149451308</c:v>
                </c:pt>
                <c:pt idx="12">
                  <c:v>0.79005931686503161</c:v>
                </c:pt>
                <c:pt idx="13">
                  <c:v>0.98827838871685847</c:v>
                </c:pt>
                <c:pt idx="14">
                  <c:v>1.2724188093620861</c:v>
                </c:pt>
                <c:pt idx="15">
                  <c:v>1.7110695799208442</c:v>
                </c:pt>
                <c:pt idx="16">
                  <c:v>2.4483425594243164</c:v>
                </c:pt>
                <c:pt idx="17">
                  <c:v>3.8255650605302067</c:v>
                </c:pt>
                <c:pt idx="18">
                  <c:v>6.9164752100307734</c:v>
                </c:pt>
                <c:pt idx="19">
                  <c:v>17.84920924279011</c:v>
                </c:pt>
                <c:pt idx="20">
                  <c:v>24.012360031555041</c:v>
                </c:pt>
                <c:pt idx="21">
                  <c:v>35.091462429304485</c:v>
                </c:pt>
                <c:pt idx="22">
                  <c:v>0</c:v>
                </c:pt>
                <c:pt idx="23">
                  <c:v>0</c:v>
                </c:pt>
              </c:numCache>
            </c:numRef>
          </c:yVal>
          <c:smooth val="0"/>
          <c:extLst>
            <c:ext xmlns:c16="http://schemas.microsoft.com/office/drawing/2014/chart" uri="{C3380CC4-5D6E-409C-BE32-E72D297353CC}">
              <c16:uniqueId val="{0000000A-1DAF-401E-8827-605E9C07D3CD}"/>
            </c:ext>
          </c:extLst>
        </c:ser>
        <c:ser>
          <c:idx val="8"/>
          <c:order val="2"/>
          <c:tx>
            <c:strRef>
              <c:f>'Diagnosis Indicators'!$A$87</c:f>
              <c:strCache>
                <c:ptCount val="1"/>
                <c:pt idx="0">
                  <c:v>Johansen</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Indicators'!$B$87:$Y$87</c:f>
              <c:numCache>
                <c:formatCode>0%</c:formatCode>
                <c:ptCount val="24"/>
                <c:pt idx="0">
                  <c:v>5.7716594496607888E-3</c:v>
                </c:pt>
                <c:pt idx="1">
                  <c:v>3.4654696648731206E-2</c:v>
                </c:pt>
                <c:pt idx="2">
                  <c:v>6.6251622726582401E-2</c:v>
                </c:pt>
                <c:pt idx="3">
                  <c:v>0.10102354423165226</c:v>
                </c:pt>
                <c:pt idx="4">
                  <c:v>0.1395553001544734</c:v>
                </c:pt>
                <c:pt idx="5">
                  <c:v>0.18260290693931522</c:v>
                </c:pt>
                <c:pt idx="6">
                  <c:v>0.23116606602031667</c:v>
                </c:pt>
                <c:pt idx="7">
                  <c:v>0.28660065178561139</c:v>
                </c:pt>
                <c:pt idx="8">
                  <c:v>0.35080195535122949</c:v>
                </c:pt>
                <c:pt idx="9">
                  <c:v>0.4265092389857259</c:v>
                </c:pt>
                <c:pt idx="10">
                  <c:v>0.51784297389900669</c:v>
                </c:pt>
                <c:pt idx="11">
                  <c:v>0.63129050926655439</c:v>
                </c:pt>
                <c:pt idx="12">
                  <c:v>0.77760685736776392</c:v>
                </c:pt>
                <c:pt idx="13">
                  <c:v>0.97567126877863508</c:v>
                </c:pt>
                <c:pt idx="14">
                  <c:v>1.2606206682056842</c:v>
                </c:pt>
                <c:pt idx="15">
                  <c:v>1.7015161737605411</c:v>
                </c:pt>
                <c:pt idx="16">
                  <c:v>2.442356610214361</c:v>
                </c:pt>
                <c:pt idx="17">
                  <c:v>3.8230956946858967</c:v>
                </c:pt>
                <c:pt idx="18">
                  <c:v>6.915971227941542</c:v>
                </c:pt>
                <c:pt idx="19">
                  <c:v>17.849179483407472</c:v>
                </c:pt>
                <c:pt idx="20">
                  <c:v>24.012354079528027</c:v>
                </c:pt>
                <c:pt idx="21">
                  <c:v>35.091461200133594</c:v>
                </c:pt>
                <c:pt idx="22">
                  <c:v>0</c:v>
                </c:pt>
                <c:pt idx="23">
                  <c:v>0</c:v>
                </c:pt>
              </c:numCache>
            </c:numRef>
          </c:yVal>
          <c:smooth val="0"/>
          <c:extLst>
            <c:ext xmlns:c16="http://schemas.microsoft.com/office/drawing/2014/chart" uri="{C3380CC4-5D6E-409C-BE32-E72D297353CC}">
              <c16:uniqueId val="{00000009-1DAF-401E-8827-605E9C07D3CD}"/>
            </c:ext>
          </c:extLst>
        </c:ser>
        <c:ser>
          <c:idx val="10"/>
          <c:order val="3"/>
          <c:tx>
            <c:strRef>
              <c:f>'Diagnosis Indicators'!$A$88</c:f>
              <c:strCache>
                <c:ptCount val="1"/>
                <c:pt idx="0">
                  <c:v>Keynes-Kaldor</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Indicators'!$B$88:$Y$88</c:f>
              <c:numCache>
                <c:formatCode>0%</c:formatCode>
                <c:ptCount val="24"/>
                <c:pt idx="0">
                  <c:v>5.7716594496607888E-3</c:v>
                </c:pt>
                <c:pt idx="1">
                  <c:v>3.6688117254143629E-2</c:v>
                </c:pt>
                <c:pt idx="2">
                  <c:v>7.0337135534169634E-2</c:v>
                </c:pt>
                <c:pt idx="3">
                  <c:v>0.10717103217271408</c:v>
                </c:pt>
                <c:pt idx="4">
                  <c:v>0.14776058924116112</c:v>
                </c:pt>
                <c:pt idx="5">
                  <c:v>0.19283986301408057</c:v>
                </c:pt>
                <c:pt idx="6">
                  <c:v>0.24337273893978342</c:v>
                </c:pt>
                <c:pt idx="7">
                  <c:v>0.30065604818022534</c:v>
                </c:pt>
                <c:pt idx="8">
                  <c:v>0.36648275557074317</c:v>
                </c:pt>
                <c:pt idx="9">
                  <c:v>0.44341246889298691</c:v>
                </c:pt>
                <c:pt idx="10">
                  <c:v>0.53523002100368045</c:v>
                </c:pt>
                <c:pt idx="11">
                  <c:v>0.64777114004613023</c:v>
                </c:pt>
                <c:pt idx="12">
                  <c:v>0.79045491046443095</c:v>
                </c:pt>
                <c:pt idx="13">
                  <c:v>0.97927399455577102</c:v>
                </c:pt>
                <c:pt idx="14">
                  <c:v>1.2428084340909513</c:v>
                </c:pt>
                <c:pt idx="15">
                  <c:v>1.6345841703619899</c:v>
                </c:pt>
                <c:pt idx="16">
                  <c:v>2.2594651863245532</c:v>
                </c:pt>
                <c:pt idx="17">
                  <c:v>3.3407865197436557</c:v>
                </c:pt>
                <c:pt idx="18">
                  <c:v>5.46461294105048</c:v>
                </c:pt>
                <c:pt idx="19">
                  <c:v>10.988418345153489</c:v>
                </c:pt>
                <c:pt idx="20">
                  <c:v>13.318015821476813</c:v>
                </c:pt>
                <c:pt idx="21">
                  <c:v>16.711121688864701</c:v>
                </c:pt>
                <c:pt idx="22">
                  <c:v>0</c:v>
                </c:pt>
                <c:pt idx="23">
                  <c:v>0</c:v>
                </c:pt>
              </c:numCache>
            </c:numRef>
          </c:yVal>
          <c:smooth val="0"/>
          <c:extLst>
            <c:ext xmlns:c16="http://schemas.microsoft.com/office/drawing/2014/chart" uri="{C3380CC4-5D6E-409C-BE32-E72D297353CC}">
              <c16:uniqueId val="{0000000C-1DAF-401E-8827-605E9C07D3CD}"/>
            </c:ext>
          </c:extLst>
        </c:ser>
        <c:ser>
          <c:idx val="2"/>
          <c:order val="4"/>
          <c:tx>
            <c:strRef>
              <c:f>'Diagnosis Indicators'!$A$89</c:f>
              <c:strCache>
                <c:ptCount val="1"/>
                <c:pt idx="0">
                  <c:v>Keynes-Marshall</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Indicators'!$B$89:$Y$89</c:f>
              <c:numCache>
                <c:formatCode>0%</c:formatCode>
                <c:ptCount val="24"/>
                <c:pt idx="0">
                  <c:v>5.7716594496607888E-3</c:v>
                </c:pt>
                <c:pt idx="1">
                  <c:v>4.3480678335240344E-2</c:v>
                </c:pt>
                <c:pt idx="2">
                  <c:v>8.4987437176305705E-2</c:v>
                </c:pt>
                <c:pt idx="3">
                  <c:v>0.1312062286167397</c:v>
                </c:pt>
                <c:pt idx="4">
                  <c:v>0.18340930115334367</c:v>
                </c:pt>
                <c:pt idx="5">
                  <c:v>0.24340901980098084</c:v>
                </c:pt>
                <c:pt idx="6">
                  <c:v>0.31386349277823172</c:v>
                </c:pt>
                <c:pt idx="7">
                  <c:v>0.39881063527405602</c:v>
                </c:pt>
                <c:pt idx="8">
                  <c:v>0.50462603152917485</c:v>
                </c:pt>
                <c:pt idx="9">
                  <c:v>0.64177941538932759</c:v>
                </c:pt>
                <c:pt idx="10">
                  <c:v>0.82797831036232727</c:v>
                </c:pt>
                <c:pt idx="11">
                  <c:v>1.0931267114593068</c:v>
                </c:pt>
                <c:pt idx="12">
                  <c:v>1.4849324032817575</c:v>
                </c:pt>
                <c:pt idx="13">
                  <c:v>2.0734597271375517</c:v>
                </c:pt>
                <c:pt idx="14">
                  <c:v>2.9663312270957074</c:v>
                </c:pt>
                <c:pt idx="15">
                  <c:v>4.3688951160745741</c:v>
                </c:pt>
                <c:pt idx="16">
                  <c:v>6.756682621855842</c:v>
                </c:pt>
                <c:pt idx="17">
                  <c:v>11.455659507022718</c:v>
                </c:pt>
                <c:pt idx="18">
                  <c:v>23.519621588610939</c:v>
                </c:pt>
                <c:pt idx="19">
                  <c:v>81.006702684072707</c:v>
                </c:pt>
                <c:pt idx="20">
                  <c:v>0</c:v>
                </c:pt>
                <c:pt idx="21">
                  <c:v>0</c:v>
                </c:pt>
                <c:pt idx="22">
                  <c:v>0</c:v>
                </c:pt>
                <c:pt idx="23">
                  <c:v>0</c:v>
                </c:pt>
              </c:numCache>
            </c:numRef>
          </c:yVal>
          <c:smooth val="0"/>
          <c:extLst>
            <c:ext xmlns:c16="http://schemas.microsoft.com/office/drawing/2014/chart" uri="{C3380CC4-5D6E-409C-BE32-E72D297353CC}">
              <c16:uniqueId val="{00000002-1DAF-401E-8827-605E9C07D3CD}"/>
            </c:ext>
          </c:extLst>
        </c:ser>
        <c:ser>
          <c:idx val="1"/>
          <c:order val="5"/>
          <c:tx>
            <c:strRef>
              <c:f>'Diagnosis Indicators'!$A$90</c:f>
              <c:strCache>
                <c:ptCount val="1"/>
                <c:pt idx="0">
                  <c:v>Keynesian</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Indicators'!$B$90:$Y$90</c:f>
              <c:numCache>
                <c:formatCode>0%</c:formatCode>
                <c:ptCount val="24"/>
                <c:pt idx="0">
                  <c:v>5.7716594496607888E-3</c:v>
                </c:pt>
                <c:pt idx="1">
                  <c:v>2.6760594493633126E-2</c:v>
                </c:pt>
                <c:pt idx="2">
                  <c:v>4.9470485260083644E-2</c:v>
                </c:pt>
                <c:pt idx="3">
                  <c:v>7.4148968811687588E-2</c:v>
                </c:pt>
                <c:pt idx="4">
                  <c:v>0.1010979581232742</c:v>
                </c:pt>
                <c:pt idx="5">
                  <c:v>0.13069093663387291</c:v>
                </c:pt>
                <c:pt idx="6">
                  <c:v>0.16339611906898632</c:v>
                </c:pt>
                <c:pt idx="7">
                  <c:v>0.19981032864898138</c:v>
                </c:pt>
                <c:pt idx="8">
                  <c:v>0.24070886360538107</c:v>
                </c:pt>
                <c:pt idx="9">
                  <c:v>0.2871206654815186</c:v>
                </c:pt>
                <c:pt idx="10">
                  <c:v>0.34044597892489764</c:v>
                </c:pt>
                <c:pt idx="11">
                  <c:v>0.40264594542763055</c:v>
                </c:pt>
                <c:pt idx="12">
                  <c:v>0.47656345222959429</c:v>
                </c:pt>
                <c:pt idx="13">
                  <c:v>0.56648575299875814</c:v>
                </c:pt>
                <c:pt idx="14">
                  <c:v>0.67918982362879909</c:v>
                </c:pt>
                <c:pt idx="15">
                  <c:v>0.82599931125118131</c:v>
                </c:pt>
                <c:pt idx="16">
                  <c:v>1.0271152891206565</c:v>
                </c:pt>
                <c:pt idx="17">
                  <c:v>1.321556748254189</c:v>
                </c:pt>
                <c:pt idx="18">
                  <c:v>1.7929287979397339</c:v>
                </c:pt>
                <c:pt idx="19">
                  <c:v>0</c:v>
                </c:pt>
                <c:pt idx="20">
                  <c:v>0</c:v>
                </c:pt>
                <c:pt idx="21">
                  <c:v>0</c:v>
                </c:pt>
                <c:pt idx="22">
                  <c:v>0</c:v>
                </c:pt>
                <c:pt idx="23">
                  <c:v>0</c:v>
                </c:pt>
              </c:numCache>
            </c:numRef>
          </c:yVal>
          <c:smooth val="0"/>
          <c:extLst>
            <c:ext xmlns:c16="http://schemas.microsoft.com/office/drawing/2014/chart" uri="{C3380CC4-5D6E-409C-BE32-E72D297353CC}">
              <c16:uniqueId val="{00000001-1DAF-401E-8827-605E9C07D3CD}"/>
            </c:ext>
          </c:extLst>
        </c:ser>
        <c:ser>
          <c:idx val="0"/>
          <c:order val="6"/>
          <c:tx>
            <c:strRef>
              <c:f>'Diagnosis Indicators'!$A$91</c:f>
              <c:strCache>
                <c:ptCount val="1"/>
                <c:pt idx="0">
                  <c:v>Neo-K2</c:v>
                </c:pt>
              </c:strCache>
            </c:strRef>
          </c:tx>
          <c:spPr>
            <a:ln>
              <a:prstDash val="dash"/>
            </a:ln>
          </c:spPr>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Indicators'!$B$91:$Y$91</c:f>
              <c:numCache>
                <c:formatCode>0%</c:formatCode>
                <c:ptCount val="24"/>
                <c:pt idx="0">
                  <c:v>5.7716594496607888E-3</c:v>
                </c:pt>
                <c:pt idx="1">
                  <c:v>2.6717159326695314E-2</c:v>
                </c:pt>
                <c:pt idx="2">
                  <c:v>4.8861046207077478E-2</c:v>
                </c:pt>
                <c:pt idx="3">
                  <c:v>7.2285723331902585E-2</c:v>
                </c:pt>
                <c:pt idx="4">
                  <c:v>9.7078634488949503E-2</c:v>
                </c:pt>
                <c:pt idx="5">
                  <c:v>0.12333046280282915</c:v>
                </c:pt>
                <c:pt idx="6">
                  <c:v>0.15113931170757408</c:v>
                </c:pt>
                <c:pt idx="7">
                  <c:v>0.18062194220240715</c:v>
                </c:pt>
                <c:pt idx="8">
                  <c:v>0.21193947598337481</c:v>
                </c:pt>
                <c:pt idx="9">
                  <c:v>0.24535810430461344</c:v>
                </c:pt>
                <c:pt idx="10">
                  <c:v>0.28139263424779037</c:v>
                </c:pt>
                <c:pt idx="11">
                  <c:v>0.32112044412942803</c:v>
                </c:pt>
                <c:pt idx="12">
                  <c:v>0.36687597378761705</c:v>
                </c:pt>
                <c:pt idx="13">
                  <c:v>0.42378536271769812</c:v>
                </c:pt>
                <c:pt idx="14">
                  <c:v>0.50332039629236081</c:v>
                </c:pt>
                <c:pt idx="15">
                  <c:v>0.63248588702621811</c:v>
                </c:pt>
                <c:pt idx="16">
                  <c:v>0.88131289154790338</c:v>
                </c:pt>
                <c:pt idx="17">
                  <c:v>1.4496777135191738</c:v>
                </c:pt>
                <c:pt idx="18">
                  <c:v>2.9663129992618691</c:v>
                </c:pt>
                <c:pt idx="19">
                  <c:v>8.8921099499081038</c:v>
                </c:pt>
                <c:pt idx="20">
                  <c:v>12.346340315430762</c:v>
                </c:pt>
                <c:pt idx="21">
                  <c:v>18.629541858234877</c:v>
                </c:pt>
                <c:pt idx="22">
                  <c:v>0</c:v>
                </c:pt>
                <c:pt idx="23">
                  <c:v>0</c:v>
                </c:pt>
              </c:numCache>
            </c:numRef>
          </c:yVal>
          <c:smooth val="0"/>
          <c:extLst>
            <c:ext xmlns:c16="http://schemas.microsoft.com/office/drawing/2014/chart" uri="{C3380CC4-5D6E-409C-BE32-E72D297353CC}">
              <c16:uniqueId val="{00000000-1DAF-401E-8827-605E9C07D3CD}"/>
            </c:ext>
          </c:extLst>
        </c:ser>
        <c:ser>
          <c:idx val="3"/>
          <c:order val="7"/>
          <c:tx>
            <c:strRef>
              <c:f>'Diagnosis Indicators'!$A$92</c:f>
              <c:strCache>
                <c:ptCount val="1"/>
                <c:pt idx="0">
                  <c:v>Neo-K1</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Indicators'!$B$92:$Y$92</c:f>
              <c:numCache>
                <c:formatCode>0%</c:formatCode>
                <c:ptCount val="24"/>
                <c:pt idx="0">
                  <c:v>5.7716594496607888E-3</c:v>
                </c:pt>
                <c:pt idx="1">
                  <c:v>2.9449456070509542E-2</c:v>
                </c:pt>
                <c:pt idx="2">
                  <c:v>5.4935784092662587E-2</c:v>
                </c:pt>
                <c:pt idx="3">
                  <c:v>8.2465092916601299E-2</c:v>
                </c:pt>
                <c:pt idx="4">
                  <c:v>0.11231712316789143</c:v>
                </c:pt>
                <c:pt idx="5">
                  <c:v>0.14482785334642248</c:v>
                </c:pt>
                <c:pt idx="6">
                  <c:v>0.1804047821562875</c:v>
                </c:pt>
                <c:pt idx="7">
                  <c:v>0.21954669965117662</c:v>
                </c:pt>
                <c:pt idx="8">
                  <c:v>0.26286906384065184</c:v>
                </c:pt>
                <c:pt idx="9">
                  <c:v>0.31113756856379271</c:v>
                </c:pt>
                <c:pt idx="10">
                  <c:v>0.36530895329183771</c:v>
                </c:pt>
                <c:pt idx="11">
                  <c:v>0.42658246047356113</c:v>
                </c:pt>
                <c:pt idx="12">
                  <c:v>0.49645345735571561</c:v>
                </c:pt>
                <c:pt idx="13">
                  <c:v>0.57675839207470636</c:v>
                </c:pt>
                <c:pt idx="14">
                  <c:v>0.66967874050767817</c:v>
                </c:pt>
                <c:pt idx="15">
                  <c:v>0.77764410905982495</c:v>
                </c:pt>
                <c:pt idx="16">
                  <c:v>0.90305368118464702</c:v>
                </c:pt>
                <c:pt idx="17">
                  <c:v>1.0477531423040558</c:v>
                </c:pt>
                <c:pt idx="18">
                  <c:v>1.2123487879488954</c:v>
                </c:pt>
                <c:pt idx="19">
                  <c:v>1.3956566022961636</c:v>
                </c:pt>
                <c:pt idx="20">
                  <c:v>1.4343257025873144</c:v>
                </c:pt>
                <c:pt idx="21">
                  <c:v>1.4735951013660467</c:v>
                </c:pt>
                <c:pt idx="22">
                  <c:v>1.5134311960467499</c:v>
                </c:pt>
                <c:pt idx="23">
                  <c:v>1.5537989159417764</c:v>
                </c:pt>
              </c:numCache>
            </c:numRef>
          </c:yVal>
          <c:smooth val="0"/>
          <c:extLst>
            <c:ext xmlns:c16="http://schemas.microsoft.com/office/drawing/2014/chart" uri="{C3380CC4-5D6E-409C-BE32-E72D297353CC}">
              <c16:uniqueId val="{00000000-D5EB-4173-B55B-BFE447CB8356}"/>
            </c:ext>
          </c:extLst>
        </c:ser>
        <c:dLbls>
          <c:showLegendKey val="0"/>
          <c:showVal val="0"/>
          <c:showCatName val="0"/>
          <c:showSerName val="0"/>
          <c:showPercent val="0"/>
          <c:showBubbleSize val="0"/>
        </c:dLbls>
        <c:axId val="172451328"/>
        <c:axId val="172452864"/>
      </c:scatterChart>
      <c:valAx>
        <c:axId val="172451328"/>
        <c:scaling>
          <c:orientation val="minMax"/>
          <c:max val="1"/>
        </c:scaling>
        <c:delete val="0"/>
        <c:axPos val="b"/>
        <c:title>
          <c:tx>
            <c:rich>
              <a:bodyPr/>
              <a:lstStyle/>
              <a:p>
                <a:pPr>
                  <a:defRPr/>
                </a:pPr>
                <a:r>
                  <a:rPr lang="fr-FR"/>
                  <a:t>Total Reduction in Polluting Energy Consumption (%)</a:t>
                </a:r>
              </a:p>
            </c:rich>
          </c:tx>
          <c:overlay val="0"/>
        </c:title>
        <c:numFmt formatCode="0%" sourceLinked="1"/>
        <c:majorTickMark val="out"/>
        <c:minorTickMark val="none"/>
        <c:tickLblPos val="nextTo"/>
        <c:crossAx val="172452864"/>
        <c:crosses val="autoZero"/>
        <c:crossBetween val="midCat"/>
      </c:valAx>
      <c:valAx>
        <c:axId val="172452864"/>
        <c:scaling>
          <c:logBase val="10"/>
          <c:orientation val="minMax"/>
        </c:scaling>
        <c:delete val="0"/>
        <c:axPos val="l"/>
        <c:majorGridlines/>
        <c:title>
          <c:tx>
            <c:rich>
              <a:bodyPr rot="-5400000" vert="horz"/>
              <a:lstStyle/>
              <a:p>
                <a:pPr>
                  <a:defRPr sz="1600"/>
                </a:pPr>
                <a:r>
                  <a:rPr lang="en-US" sz="1600"/>
                  <a:t>Optimal Tax (Current Euros, Log Scale)</a:t>
                </a:r>
              </a:p>
            </c:rich>
          </c:tx>
          <c:overlay val="0"/>
        </c:title>
        <c:numFmt formatCode="0%" sourceLinked="1"/>
        <c:majorTickMark val="out"/>
        <c:minorTickMark val="none"/>
        <c:tickLblPos val="nextTo"/>
        <c:crossAx val="172451328"/>
        <c:crosses val="autoZero"/>
        <c:crossBetween val="midCat"/>
      </c:valAx>
    </c:plotArea>
    <c:legend>
      <c:legendPos val="r"/>
      <c:overlay val="0"/>
      <c:txPr>
        <a:bodyPr/>
        <a:lstStyle/>
        <a:p>
          <a:pPr>
            <a:defRPr sz="2000"/>
          </a:pPr>
          <a:endParaRPr lang="fr-FR"/>
        </a:p>
      </c:txPr>
    </c:legend>
    <c:plotVisOnly val="1"/>
    <c:dispBlanksAs val="gap"/>
    <c:showDLblsOverMax val="0"/>
  </c:char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300-000000000000}">
  <sheetPr codeName="Graphique1"/>
  <sheetViews>
    <sheetView zoomScale="85"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F00-000000000000}">
  <sheetPr codeName="Graphique2"/>
  <sheetViews>
    <sheetView zoomScale="85" workbookViewId="0"/>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000-000000000000}">
  <sheetPr codeName="Graph2"/>
  <sheetViews>
    <sheetView zoomScale="85"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393700</xdr:colOff>
          <xdr:row>50</xdr:row>
          <xdr:rowOff>88900</xdr:rowOff>
        </xdr:from>
        <xdr:to>
          <xdr:col>8</xdr:col>
          <xdr:colOff>628650</xdr:colOff>
          <xdr:row>53</xdr:row>
          <xdr:rowOff>88900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368300</xdr:colOff>
          <xdr:row>58</xdr:row>
          <xdr:rowOff>101600</xdr:rowOff>
        </xdr:from>
        <xdr:to>
          <xdr:col>12</xdr:col>
          <xdr:colOff>584200</xdr:colOff>
          <xdr:row>61</xdr:row>
          <xdr:rowOff>95250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Initial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355600</xdr:colOff>
          <xdr:row>50</xdr:row>
          <xdr:rowOff>76200</xdr:rowOff>
        </xdr:from>
        <xdr:to>
          <xdr:col>12</xdr:col>
          <xdr:colOff>584200</xdr:colOff>
          <xdr:row>53</xdr:row>
          <xdr:rowOff>88900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Profile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393700</xdr:colOff>
          <xdr:row>54</xdr:row>
          <xdr:rowOff>57150</xdr:rowOff>
        </xdr:from>
        <xdr:to>
          <xdr:col>8</xdr:col>
          <xdr:colOff>628650</xdr:colOff>
          <xdr:row>57</xdr:row>
          <xdr:rowOff>50800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9293412" cy="6066118"/>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13940118" cy="9099176"/>
    <xdr:graphicFrame macro="">
      <xdr:nvGraphicFramePr>
        <xdr:cNvPr id="2" name="Graphique 1">
          <a:extLst>
            <a:ext uri="{FF2B5EF4-FFF2-40B4-BE49-F238E27FC236}">
              <a16:creationId xmlns:a16="http://schemas.microsoft.com/office/drawing/2014/main" id="{00000000-0008-0000-0F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13940118" cy="9099176"/>
    <xdr:graphicFrame macro="">
      <xdr:nvGraphicFramePr>
        <xdr:cNvPr id="2" name="Graphique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ersons/person.xml><?xml version="1.0" encoding="utf-8"?>
<personList xmlns="http://schemas.microsoft.com/office/spreadsheetml/2018/threadedcomments" xmlns:x="http://schemas.openxmlformats.org/spreadsheetml/2006/main">
  <person displayName="Louis" id="{A1B515F5-52A7-492C-8EFF-2ED382D70E68}" userId="Louis" providerId="None"/>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97" dT="2019-12-03T08:18:55.42" personId="{A1B515F5-52A7-492C-8EFF-2ED382D70E68}" id="{C96615DD-9C03-4E40-B6D8-F4143B40B058}">
    <text>Calibrage des coefficients de la CET</text>
  </threadedComment>
  <threadedComment ref="B99" dT="2019-12-03T08:19:30.63" personId="{A1B515F5-52A7-492C-8EFF-2ED382D70E68}" id="{D3DFF277-FA45-464F-847A-E2B29A5F813E}">
    <text>Elasticité CET</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1:R127"/>
  <sheetViews>
    <sheetView showGridLines="0" topLeftCell="A70" zoomScaleNormal="100" workbookViewId="0">
      <selection activeCell="C90" sqref="C90"/>
    </sheetView>
  </sheetViews>
  <sheetFormatPr baseColWidth="10" defaultColWidth="12" defaultRowHeight="10" x14ac:dyDescent="0.2"/>
  <sheetData>
    <row r="1" spans="2:18" x14ac:dyDescent="0.2">
      <c r="B1" t="s">
        <v>195</v>
      </c>
    </row>
    <row r="2" spans="2:18" x14ac:dyDescent="0.2">
      <c r="B2" s="1"/>
      <c r="C2" s="2" t="s">
        <v>24</v>
      </c>
      <c r="D2" s="3" t="s">
        <v>25</v>
      </c>
      <c r="E2" s="2" t="s">
        <v>6</v>
      </c>
      <c r="F2" s="3" t="s">
        <v>7</v>
      </c>
      <c r="G2" s="3" t="s">
        <v>8</v>
      </c>
      <c r="H2" s="142" t="s">
        <v>0</v>
      </c>
      <c r="I2" s="1"/>
      <c r="K2" s="1"/>
      <c r="L2" s="2" t="s">
        <v>24</v>
      </c>
      <c r="M2" s="3" t="s">
        <v>25</v>
      </c>
      <c r="N2" s="4" t="s">
        <v>6</v>
      </c>
      <c r="O2" s="5" t="s">
        <v>7</v>
      </c>
      <c r="P2" s="5" t="s">
        <v>8</v>
      </c>
      <c r="Q2" s="6" t="s">
        <v>0</v>
      </c>
      <c r="R2" s="1"/>
    </row>
    <row r="3" spans="2:18" ht="10.5" x14ac:dyDescent="0.25">
      <c r="B3" s="2" t="s">
        <v>24</v>
      </c>
      <c r="C3" s="143">
        <v>13356525.920999993</v>
      </c>
      <c r="D3" s="144">
        <v>398781.47400000016</v>
      </c>
      <c r="E3" s="143">
        <v>6637565.1090000011</v>
      </c>
      <c r="F3" s="143">
        <v>3330668.2879999997</v>
      </c>
      <c r="G3" s="143">
        <v>3247244.4950000001</v>
      </c>
      <c r="H3" s="145">
        <v>3195047.6039999989</v>
      </c>
      <c r="I3" s="9">
        <f>SUM(C3:H3)</f>
        <v>30165832.890999991</v>
      </c>
      <c r="K3" s="2" t="s">
        <v>24</v>
      </c>
      <c r="L3" s="51">
        <f t="array" ref="L3:M4">pIC*alpha*Y</f>
        <v>13356525.920999993</v>
      </c>
      <c r="M3" s="52">
        <v>398781.47400000016</v>
      </c>
      <c r="N3" s="53">
        <f t="array" ref="N3:N4">TRANSPOSE(pC*Consumption)</f>
        <v>6637565.1090000011</v>
      </c>
      <c r="O3" s="54">
        <f t="array" ref="O3:O4">TRANSPOSE(pG*G)</f>
        <v>3330668.2879999997</v>
      </c>
      <c r="P3" s="54">
        <f t="array" ref="P3:P4">TRANSPOSE(pI*I)</f>
        <v>3247244.4950000001</v>
      </c>
      <c r="Q3" s="60">
        <f t="array" ref="Q3:Q4">TRANSPOSE(pX*X)</f>
        <v>3195047.6039999989</v>
      </c>
      <c r="R3" s="9">
        <f>SUM(L3:Q3)</f>
        <v>30165832.890999991</v>
      </c>
    </row>
    <row r="4" spans="2:18" ht="10.5" x14ac:dyDescent="0.25">
      <c r="B4" s="10" t="s">
        <v>25</v>
      </c>
      <c r="C4" s="146">
        <v>599670.88199999998</v>
      </c>
      <c r="D4" s="147">
        <v>434900.03099999996</v>
      </c>
      <c r="E4" s="146">
        <v>382100.58199999394</v>
      </c>
      <c r="F4" s="146">
        <v>0</v>
      </c>
      <c r="G4" s="146">
        <v>0</v>
      </c>
      <c r="H4" s="148">
        <v>91012.690000004077</v>
      </c>
      <c r="I4" s="11">
        <f>SUM(C4:H4)</f>
        <v>1507684.184999998</v>
      </c>
      <c r="K4" s="10" t="s">
        <v>25</v>
      </c>
      <c r="L4" s="55">
        <v>599670.88199999998</v>
      </c>
      <c r="M4" s="56">
        <v>434900.03099999996</v>
      </c>
      <c r="N4" s="55">
        <v>382100.58199999394</v>
      </c>
      <c r="O4" s="57">
        <v>0</v>
      </c>
      <c r="P4" s="57">
        <v>0</v>
      </c>
      <c r="Q4" s="49">
        <v>91012.690000004077</v>
      </c>
      <c r="R4" s="11">
        <f>SUM(L4:Q4)</f>
        <v>1507684.184999998</v>
      </c>
    </row>
    <row r="5" spans="2:18" x14ac:dyDescent="0.2">
      <c r="B5" s="12" t="s">
        <v>1</v>
      </c>
      <c r="C5" s="143">
        <v>5036295.3101960644</v>
      </c>
      <c r="D5" s="149">
        <v>74905.331803938272</v>
      </c>
      <c r="E5" s="103"/>
      <c r="F5" s="103"/>
      <c r="G5" s="103"/>
      <c r="H5" s="103"/>
      <c r="I5" s="1"/>
      <c r="K5" s="12" t="s">
        <v>1</v>
      </c>
      <c r="L5" s="51">
        <f t="array" ref="L5:M5">w*Labour</f>
        <v>5036295.3101960644</v>
      </c>
      <c r="M5" s="52">
        <v>74905.331803938272</v>
      </c>
      <c r="N5" s="13"/>
      <c r="O5" s="13"/>
      <c r="P5" s="13"/>
      <c r="Q5" s="13"/>
      <c r="R5" s="1"/>
    </row>
    <row r="6" spans="2:18" x14ac:dyDescent="0.2">
      <c r="B6" s="14" t="s">
        <v>9</v>
      </c>
      <c r="C6" s="7">
        <v>2301604.2068039379</v>
      </c>
      <c r="D6" s="150">
        <v>34231.993196061703</v>
      </c>
      <c r="E6" s="103"/>
      <c r="F6" s="103"/>
      <c r="G6" s="103"/>
      <c r="H6" s="103"/>
      <c r="I6" s="1"/>
      <c r="K6" s="14" t="s">
        <v>9</v>
      </c>
      <c r="L6" s="53">
        <f t="array" ref="L6:M6">w*tauL*Labour</f>
        <v>2301604.2068039374</v>
      </c>
      <c r="M6" s="58">
        <v>34231.993196061703</v>
      </c>
      <c r="N6" s="13"/>
      <c r="O6" s="13"/>
      <c r="P6" s="13"/>
      <c r="Q6" s="13"/>
      <c r="R6" s="1"/>
    </row>
    <row r="7" spans="2:18" x14ac:dyDescent="0.2">
      <c r="B7" s="237" t="s">
        <v>194</v>
      </c>
      <c r="C7" s="7">
        <v>137715.65500000006</v>
      </c>
      <c r="D7" s="150">
        <v>20719.463999999996</v>
      </c>
      <c r="E7" s="103"/>
      <c r="F7" s="104" t="s">
        <v>24</v>
      </c>
      <c r="G7" s="105" t="s">
        <v>25</v>
      </c>
      <c r="H7" s="103"/>
      <c r="I7" s="1"/>
      <c r="K7" s="14" t="s">
        <v>10</v>
      </c>
      <c r="L7" s="53">
        <f t="array" ref="L7:M7">tauY*pY/(1+tauY)*Y</f>
        <v>137715.65500000006</v>
      </c>
      <c r="M7" s="58">
        <v>20719.463999999996</v>
      </c>
      <c r="N7" s="13"/>
      <c r="O7" s="13"/>
      <c r="P7" s="114"/>
      <c r="Q7" s="13"/>
      <c r="R7" s="1"/>
    </row>
    <row r="8" spans="2:18" x14ac:dyDescent="0.2">
      <c r="B8" s="14" t="s">
        <v>2</v>
      </c>
      <c r="C8" s="146">
        <v>6425198.1590000018</v>
      </c>
      <c r="D8" s="151">
        <v>273229.1540000001</v>
      </c>
      <c r="E8" s="103"/>
      <c r="F8" s="107">
        <f>SUM(C3:G3)</f>
        <v>26970785.286999993</v>
      </c>
      <c r="G8" s="108">
        <f>SUM(C4:G4)</f>
        <v>1416671.4949999938</v>
      </c>
      <c r="H8" s="103" t="s">
        <v>156</v>
      </c>
      <c r="I8" s="1"/>
      <c r="K8" s="14" t="s">
        <v>2</v>
      </c>
      <c r="L8" s="53">
        <f t="array" ref="L8:M8">pK*K</f>
        <v>6425198.1590000018</v>
      </c>
      <c r="M8" s="58">
        <v>273229.1540000001</v>
      </c>
      <c r="N8" s="13"/>
      <c r="O8" s="13"/>
      <c r="P8" s="13"/>
      <c r="Q8" s="13"/>
      <c r="R8" s="1"/>
    </row>
    <row r="9" spans="2:18" x14ac:dyDescent="0.2">
      <c r="B9" s="2" t="s">
        <v>3</v>
      </c>
      <c r="C9" s="152">
        <v>1886393.7399999965</v>
      </c>
      <c r="D9" s="153">
        <v>262787.11299999768</v>
      </c>
      <c r="E9" s="103"/>
      <c r="F9" s="103"/>
      <c r="G9" s="103"/>
      <c r="H9" s="103"/>
      <c r="I9" s="1"/>
      <c r="K9" s="2" t="s">
        <v>3</v>
      </c>
      <c r="L9" s="127">
        <f t="array" ref="L9:M9">pW*M</f>
        <v>1886393.7399999965</v>
      </c>
      <c r="M9" s="128">
        <v>262787.11299999768</v>
      </c>
      <c r="N9" s="13"/>
      <c r="O9" s="13"/>
      <c r="P9" s="114"/>
      <c r="Q9" s="13"/>
      <c r="R9" s="1"/>
    </row>
    <row r="10" spans="2:18" x14ac:dyDescent="0.2">
      <c r="B10" s="223" t="s">
        <v>150</v>
      </c>
      <c r="C10" s="7">
        <v>422429.01700000005</v>
      </c>
      <c r="D10" s="141">
        <v>8129.6240000000016</v>
      </c>
      <c r="E10" s="103"/>
      <c r="F10" s="103"/>
      <c r="G10" s="103"/>
      <c r="H10" s="103"/>
      <c r="I10" s="1"/>
      <c r="K10" s="223" t="s">
        <v>150</v>
      </c>
      <c r="L10" s="59">
        <f t="array" ref="L10:M10">tauTS*pS*S</f>
        <v>422429.01700000011</v>
      </c>
      <c r="M10" s="60">
        <v>8129.6240000000025</v>
      </c>
      <c r="N10" s="13"/>
      <c r="O10" s="13"/>
      <c r="P10" s="13"/>
      <c r="Q10" s="13"/>
      <c r="R10" s="1"/>
    </row>
    <row r="11" spans="2:18" x14ac:dyDescent="0.2">
      <c r="B11" s="15"/>
      <c r="C11" s="7">
        <v>0</v>
      </c>
      <c r="D11" s="141">
        <v>0</v>
      </c>
      <c r="E11" s="103"/>
      <c r="F11" s="104" t="s">
        <v>24</v>
      </c>
      <c r="G11" s="105" t="s">
        <v>25</v>
      </c>
      <c r="H11" s="103"/>
      <c r="I11" s="1"/>
      <c r="K11" s="15"/>
      <c r="L11" s="61"/>
      <c r="M11" s="49"/>
      <c r="N11" s="13"/>
      <c r="O11" s="50" t="s">
        <v>24</v>
      </c>
      <c r="P11" s="16" t="s">
        <v>25</v>
      </c>
      <c r="Q11" s="13"/>
      <c r="R11" s="1"/>
    </row>
    <row r="12" spans="2:18" ht="10.5" x14ac:dyDescent="0.25">
      <c r="B12" s="1"/>
      <c r="C12" s="110">
        <f>SUM(C3:C11)</f>
        <v>30165832.890999991</v>
      </c>
      <c r="D12" s="111">
        <f>SUM(D3:D11)</f>
        <v>1507684.184999998</v>
      </c>
      <c r="E12" s="106"/>
      <c r="F12" s="107">
        <f>SUM(C3:C8)</f>
        <v>27857010.133999996</v>
      </c>
      <c r="G12" s="108">
        <f>SUM(D3:D8)</f>
        <v>1236767.4480000003</v>
      </c>
      <c r="H12" s="109" t="s">
        <v>11</v>
      </c>
      <c r="I12" s="1"/>
      <c r="K12" s="1"/>
      <c r="L12" s="17">
        <f>SUM(L3:L11)</f>
        <v>30165832.890999991</v>
      </c>
      <c r="M12" s="18">
        <f>SUM(M3:M11)</f>
        <v>1507684.184999998</v>
      </c>
      <c r="N12" s="19"/>
      <c r="O12" s="20">
        <f t="array" ref="O12:P12">pY*Y</f>
        <v>27857010.133999996</v>
      </c>
      <c r="P12" s="21">
        <v>1236767.4480000003</v>
      </c>
      <c r="Q12" s="1" t="s">
        <v>11</v>
      </c>
      <c r="R12" s="1"/>
    </row>
    <row r="13" spans="2:18" x14ac:dyDescent="0.2">
      <c r="B13" s="1"/>
      <c r="C13" s="109"/>
      <c r="D13" s="109"/>
      <c r="E13" s="103"/>
      <c r="F13" s="103"/>
      <c r="G13" s="103"/>
      <c r="H13" s="109"/>
      <c r="I13" s="1"/>
      <c r="K13" s="1"/>
      <c r="L13" s="1"/>
      <c r="M13" s="1"/>
      <c r="N13" s="13"/>
      <c r="O13" s="13"/>
      <c r="P13" s="13"/>
      <c r="Q13" s="1"/>
      <c r="R13" s="1"/>
    </row>
    <row r="14" spans="2:18" ht="10.5" x14ac:dyDescent="0.25">
      <c r="B14" s="22" t="s">
        <v>30</v>
      </c>
      <c r="C14" s="121">
        <f>I3-C12</f>
        <v>0</v>
      </c>
      <c r="D14" s="122">
        <f>I4-D12</f>
        <v>0</v>
      </c>
      <c r="E14" s="103"/>
      <c r="F14" s="103"/>
      <c r="G14" s="103"/>
      <c r="H14" s="103"/>
      <c r="I14" s="1"/>
      <c r="K14" s="22" t="s">
        <v>30</v>
      </c>
      <c r="L14" s="23">
        <f>R3-L12</f>
        <v>0</v>
      </c>
      <c r="M14" s="24">
        <f>R4-M12</f>
        <v>0</v>
      </c>
      <c r="N14" s="13"/>
      <c r="O14" s="13"/>
      <c r="P14" s="13"/>
      <c r="Q14" s="13"/>
      <c r="R14" s="1"/>
    </row>
    <row r="16" spans="2:18" x14ac:dyDescent="0.2">
      <c r="F16">
        <v>20952.175621751205</v>
      </c>
      <c r="G16">
        <v>1219.7862210892881</v>
      </c>
      <c r="L16" s="29"/>
      <c r="M16" s="29"/>
    </row>
    <row r="17" spans="2:16" x14ac:dyDescent="0.2">
      <c r="L17" s="29"/>
      <c r="M17" s="29"/>
    </row>
    <row r="20" spans="2:16" ht="10.5" x14ac:dyDescent="0.25">
      <c r="B20" s="96" t="s">
        <v>79</v>
      </c>
      <c r="H20" s="96" t="s">
        <v>60</v>
      </c>
      <c r="K20" s="96" t="s">
        <v>59</v>
      </c>
      <c r="N20" s="96" t="s">
        <v>42</v>
      </c>
    </row>
    <row r="21" spans="2:16" x14ac:dyDescent="0.2">
      <c r="B21" t="s">
        <v>12</v>
      </c>
      <c r="C21" s="172">
        <v>1000</v>
      </c>
      <c r="D21" s="173">
        <v>1000</v>
      </c>
      <c r="H21">
        <f t="array" ref="H21:I21">(aY^sigmaY*pKLE^(1-sigmaY)+bY^sigmaY*pMY^(1-sigmaY))^(1/(1-sigmaY))*(1+tauY)</f>
        <v>999.99999999999966</v>
      </c>
      <c r="I21">
        <v>1000.0000000000008</v>
      </c>
      <c r="K21" s="120">
        <f t="array" ref="K21:L21">H21:I21-pY</f>
        <v>0</v>
      </c>
      <c r="L21" s="120">
        <v>0</v>
      </c>
      <c r="N21">
        <f t="array" ref="N21:O21">(aX^sigmaX*pD^(1-sigmaX)+bX^sigmaX*pX^(1-sigmaX))^(1/(1-sigmaX))</f>
        <v>999.99999999999977</v>
      </c>
      <c r="O21">
        <v>999.99999999999977</v>
      </c>
    </row>
    <row r="22" spans="2:16" x14ac:dyDescent="0.2">
      <c r="B22" t="s">
        <v>116</v>
      </c>
      <c r="C22" s="31">
        <v>1000</v>
      </c>
      <c r="D22" s="32">
        <v>1000</v>
      </c>
      <c r="K22" s="125"/>
      <c r="L22" s="125"/>
    </row>
    <row r="23" spans="2:16" x14ac:dyDescent="0.2">
      <c r="B23" t="s">
        <v>128</v>
      </c>
      <c r="C23" s="170">
        <v>1000</v>
      </c>
      <c r="D23" s="171">
        <v>1000</v>
      </c>
      <c r="H23" s="29">
        <f t="array" ref="H23:I23">(pY*Y+pW*M-pX*X)/S</f>
        <v>1000</v>
      </c>
      <c r="I23" s="29">
        <v>1000</v>
      </c>
      <c r="K23" s="120">
        <f t="array" ref="K23:L23">H23:I23-pS</f>
        <v>0</v>
      </c>
      <c r="L23" s="120">
        <v>0</v>
      </c>
    </row>
    <row r="24" spans="2:16" x14ac:dyDescent="0.2">
      <c r="B24" t="s">
        <v>77</v>
      </c>
      <c r="C24" s="31">
        <v>1000</v>
      </c>
      <c r="D24" s="32">
        <v>1000</v>
      </c>
      <c r="H24" s="29">
        <f t="array" ref="H24:I24">aX^(sigmaX/(sigmaX-1))*(pY^(1-sigmaX)-bX^sigmaX*pW^(1-sigmaX))^(1/(1-sigmaX))</f>
        <v>1000.0000000000003</v>
      </c>
      <c r="I24" s="29">
        <v>1000.0000000000002</v>
      </c>
      <c r="K24" s="120">
        <f t="array" ref="K24:L24">H24:I24-pD</f>
        <v>0</v>
      </c>
      <c r="L24" s="120">
        <v>0</v>
      </c>
    </row>
    <row r="25" spans="2:16" x14ac:dyDescent="0.2">
      <c r="B25" t="s">
        <v>13</v>
      </c>
      <c r="C25" s="33">
        <f t="array" ref="C25:D26">C3:D4/(alpha*Y)</f>
        <v>1015.9116825427475</v>
      </c>
      <c r="D25" s="34">
        <v>1015.9116825427475</v>
      </c>
      <c r="E25" t="s">
        <v>63</v>
      </c>
      <c r="H25" s="29">
        <f t="array" ref="H25:I26">TRANSPOSE(pS*(1+tauTS))</f>
        <v>1015.9116825427475</v>
      </c>
      <c r="I25" s="29">
        <v>1015.9116825427475</v>
      </c>
      <c r="K25" s="120">
        <f t="array" ref="K25:L26">H25:I26-C25:D26</f>
        <v>0</v>
      </c>
      <c r="L25" s="120">
        <v>0</v>
      </c>
    </row>
    <row r="26" spans="2:16" x14ac:dyDescent="0.2">
      <c r="C26" s="35">
        <v>1005.7716594496609</v>
      </c>
      <c r="D26" s="36">
        <v>1005.771659449661</v>
      </c>
      <c r="E26" t="s">
        <v>41</v>
      </c>
      <c r="H26" s="29">
        <v>1005.7716594496609</v>
      </c>
      <c r="I26" s="29">
        <v>1005.7716594496609</v>
      </c>
      <c r="K26" s="120">
        <v>0</v>
      </c>
      <c r="L26" s="120">
        <v>0</v>
      </c>
    </row>
    <row r="27" spans="2:16" x14ac:dyDescent="0.2">
      <c r="B27" t="s">
        <v>14</v>
      </c>
      <c r="C27" s="33">
        <f t="array" ref="C27:D27">TRANSPOSE(E3:E4)/Consumption</f>
        <v>1015.9116825427475</v>
      </c>
      <c r="D27" s="34">
        <v>1005.7716594496608</v>
      </c>
      <c r="H27" s="29">
        <f t="array" ref="H27:I27">pS*(1+tauTS)</f>
        <v>1015.9116825427475</v>
      </c>
      <c r="I27" s="29">
        <v>1005.7716594496609</v>
      </c>
      <c r="K27" s="120">
        <f t="array" ref="K27:L27">H27:I27-pC</f>
        <v>0</v>
      </c>
      <c r="L27" s="120">
        <v>0</v>
      </c>
    </row>
    <row r="28" spans="2:16" x14ac:dyDescent="0.2">
      <c r="B28" t="s">
        <v>15</v>
      </c>
      <c r="C28" s="41">
        <f t="array" ref="C28:D28">IF(ISNUMBER(TRANSPOSE(F3:F4)/G),TRANSPOSE(F3:F4)/G,pC)</f>
        <v>1015.9116825427474</v>
      </c>
      <c r="D28" s="42">
        <v>1005.7716594496608</v>
      </c>
      <c r="H28" s="29">
        <f t="array" ref="H28:I28">pS*(1+tauTS)</f>
        <v>1015.9116825427475</v>
      </c>
      <c r="I28" s="29">
        <v>1005.7716594496609</v>
      </c>
      <c r="K28" s="120">
        <f t="array" ref="K28:L28">H28:I28-pG</f>
        <v>0</v>
      </c>
      <c r="L28" s="120">
        <v>0</v>
      </c>
    </row>
    <row r="29" spans="2:16" x14ac:dyDescent="0.2">
      <c r="B29" t="s">
        <v>29</v>
      </c>
      <c r="C29" s="41">
        <f t="array" ref="C29:D29">IF(ISNUMBER(TRANSPOSE(G3:G4)/I),TRANSPOSE(G3:G4)/I,pC)</f>
        <v>1015.9116825427475</v>
      </c>
      <c r="D29" s="42">
        <v>1005.7716594496608</v>
      </c>
      <c r="H29" s="29">
        <f t="array" ref="H29:I29">pS*(1+tauTS)</f>
        <v>1015.9116825427475</v>
      </c>
      <c r="I29" s="29">
        <v>1005.7716594496609</v>
      </c>
      <c r="K29" s="120">
        <f t="array" ref="K29:L29">H29:I29-pI</f>
        <v>0</v>
      </c>
      <c r="L29" s="120">
        <v>0</v>
      </c>
    </row>
    <row r="30" spans="2:16" x14ac:dyDescent="0.2">
      <c r="B30" t="s">
        <v>16</v>
      </c>
      <c r="C30" s="41">
        <f t="array" ref="C30:D30">pW</f>
        <v>1000</v>
      </c>
      <c r="D30" s="42">
        <v>1000</v>
      </c>
      <c r="H30" s="29">
        <f t="array" ref="H30:I30">pW</f>
        <v>1000</v>
      </c>
      <c r="I30" s="29">
        <v>1000</v>
      </c>
      <c r="K30" s="120">
        <f t="array" ref="K30:L30">H30:I30-pX</f>
        <v>0</v>
      </c>
      <c r="L30" s="120">
        <v>0</v>
      </c>
    </row>
    <row r="31" spans="2:16" x14ac:dyDescent="0.2">
      <c r="B31" t="s">
        <v>17</v>
      </c>
      <c r="C31" s="31">
        <v>1000</v>
      </c>
      <c r="D31" s="32">
        <v>1000</v>
      </c>
      <c r="K31" s="125"/>
      <c r="L31" s="125"/>
    </row>
    <row r="32" spans="2:16" x14ac:dyDescent="0.2">
      <c r="B32" t="s">
        <v>36</v>
      </c>
      <c r="C32" s="41">
        <f t="array" ref="C32:D32">(C5:D5+C6:D6)/Labour</f>
        <v>1457.0034251455234</v>
      </c>
      <c r="D32" s="42">
        <v>1457.0034251455236</v>
      </c>
      <c r="H32" s="29">
        <f t="array" ref="H32:I32">w*(1+tauL)</f>
        <v>1457.0034251455234</v>
      </c>
      <c r="I32" s="29">
        <v>1457.0034251455236</v>
      </c>
      <c r="K32" s="120">
        <f t="array" ref="K32:L32">H32:I32-pL</f>
        <v>0</v>
      </c>
      <c r="L32" s="120">
        <v>0</v>
      </c>
      <c r="N32" s="29">
        <f t="array" ref="N32:O32">bKL*(Labour/KL)^(rhoKL-1)*pKL</f>
        <v>1457.0034251455238</v>
      </c>
      <c r="O32" s="29">
        <v>1457.0034251455243</v>
      </c>
      <c r="P32" t="s">
        <v>133</v>
      </c>
    </row>
    <row r="33" spans="2:16" x14ac:dyDescent="0.2">
      <c r="B33" t="s">
        <v>18</v>
      </c>
      <c r="C33" s="178">
        <v>1000</v>
      </c>
      <c r="D33" s="179">
        <v>1000</v>
      </c>
      <c r="E33" t="s">
        <v>56</v>
      </c>
      <c r="K33" s="125"/>
      <c r="L33" s="125"/>
      <c r="N33" s="29">
        <f t="array" ref="N33:O33">aKL*(K/KL)^(rhoKL-1)*pKL</f>
        <v>999.99999999999977</v>
      </c>
      <c r="O33" s="29">
        <v>999.99999999999989</v>
      </c>
      <c r="P33" t="s">
        <v>133</v>
      </c>
    </row>
    <row r="34" spans="2:16" x14ac:dyDescent="0.2">
      <c r="B34" t="s">
        <v>61</v>
      </c>
      <c r="C34" s="170">
        <v>1000</v>
      </c>
      <c r="D34" s="171">
        <v>1000</v>
      </c>
      <c r="H34" s="29">
        <f t="array" ref="H34:I34">(aKL^sigmaKL*pK^(1-sigmaKL)+bKL^sigmaKL*pL^(1-sigmaKL))^(1/(1-sigmaKL))</f>
        <v>999.99999999999977</v>
      </c>
      <c r="I34" s="29">
        <v>999.99999999999977</v>
      </c>
      <c r="K34" s="120">
        <f t="array" ref="K34:L34">H34:I34-pKL</f>
        <v>0</v>
      </c>
      <c r="L34" s="120">
        <v>0</v>
      </c>
    </row>
    <row r="35" spans="2:16" x14ac:dyDescent="0.2">
      <c r="B35" t="s">
        <v>62</v>
      </c>
      <c r="C35" s="170">
        <v>1000</v>
      </c>
      <c r="D35" s="171">
        <v>1000</v>
      </c>
      <c r="H35" s="29">
        <f t="array" ref="H35:I35">(aKLE^sigmaKLE*pKL^(1-sigmaKLE)+bKLE^sigmaKLE*pEY^(1-sigmaKLE))^(1/(1-sigmaKLE))</f>
        <v>999.99999999998658</v>
      </c>
      <c r="I35" s="29">
        <v>1000.0000000000002</v>
      </c>
      <c r="K35" s="120">
        <f t="array" ref="K35:L35">H35:I35-pKLE</f>
        <v>-1.3415046851150692E-11</v>
      </c>
      <c r="L35" s="120">
        <v>0</v>
      </c>
    </row>
    <row r="37" spans="2:16" x14ac:dyDescent="0.2">
      <c r="B37" t="s">
        <v>19</v>
      </c>
      <c r="C37" s="87">
        <f t="array" ref="C37:D37">F12:G12/pY</f>
        <v>27857.010133999996</v>
      </c>
      <c r="D37" s="88">
        <v>1236.7674480000003</v>
      </c>
      <c r="E37" t="s">
        <v>125</v>
      </c>
      <c r="H37" s="29">
        <f t="array" ref="H37:I37">(aX*D^rhoX+bX*X^rhoX)^(1/rhoX)</f>
        <v>27857.010134</v>
      </c>
      <c r="I37" s="29">
        <v>1236.7674480000023</v>
      </c>
      <c r="K37" s="120">
        <f t="array" ref="K37:L37">H37:I37-Y</f>
        <v>0</v>
      </c>
      <c r="L37" s="120">
        <v>2.0463630789890885E-12</v>
      </c>
    </row>
    <row r="38" spans="2:16" x14ac:dyDescent="0.2">
      <c r="B38" t="s">
        <v>3</v>
      </c>
      <c r="C38" s="89">
        <f t="array" ref="C38:D38">C9:D9/pW</f>
        <v>1886.3937399999966</v>
      </c>
      <c r="D38" s="90">
        <v>262.7871129999977</v>
      </c>
      <c r="E38" t="s">
        <v>126</v>
      </c>
      <c r="H38" s="29">
        <f t="array" ref="H38:I38">(bS/pW)^sigmaS*(aS^sigmaS*pD^(1-sigmaS)+bS^sigmaS*pW^(1-sigmaS))^(sigmaS/(1-sigmaS))*S</f>
        <v>1886.3937399999948</v>
      </c>
      <c r="I38" s="29">
        <v>262.78711299999782</v>
      </c>
      <c r="K38" s="120">
        <f t="array" ref="K38:L38">H38:I38-M</f>
        <v>-1.8189894035458565E-12</v>
      </c>
      <c r="L38" s="120">
        <v>0</v>
      </c>
    </row>
    <row r="39" spans="2:16" x14ac:dyDescent="0.2">
      <c r="B39" t="s">
        <v>127</v>
      </c>
      <c r="C39" s="89">
        <f t="array" ref="C39:D39">MMULT(Y,TRANSPOSE(alpha))+Consumption+G+I</f>
        <v>26548.356269999993</v>
      </c>
      <c r="D39" s="90">
        <v>1408.5418709999938</v>
      </c>
      <c r="E39" t="s">
        <v>122</v>
      </c>
      <c r="F39" s="63">
        <f t="array" ref="F39:G39">(F8:G8)/(1+tauTS)/pS</f>
        <v>26548.356269999997</v>
      </c>
      <c r="G39" s="64">
        <v>1408.5418709999938</v>
      </c>
      <c r="H39" s="29">
        <f t="array" ref="H39:I39">MMULT(Y,TRANSPOSE(alpha))+Consumption+G+I</f>
        <v>26548.356269999993</v>
      </c>
      <c r="I39" s="29">
        <v>1408.5418709999938</v>
      </c>
      <c r="K39" s="120">
        <f t="array" ref="K39:L39">H39:I39-S</f>
        <v>0</v>
      </c>
      <c r="L39" s="120">
        <v>0</v>
      </c>
      <c r="N39" s="29"/>
      <c r="O39" s="29"/>
    </row>
    <row r="40" spans="2:16" x14ac:dyDescent="0.2">
      <c r="B40" t="s">
        <v>76</v>
      </c>
      <c r="C40" s="89">
        <f t="array" ref="C40:D40">(pS*S-pW*M)/pD</f>
        <v>24661.962529999993</v>
      </c>
      <c r="D40" s="90">
        <v>1145.7547579999962</v>
      </c>
      <c r="E40" t="s">
        <v>124</v>
      </c>
      <c r="H40" s="29">
        <f t="array" ref="H40:I40">(aS/pD)^sigmaS*(aS^sigmaS*pD^(1-sigmaS)+bS^sigmaS*pW^(1-sigmaS))^(sigmaS/(1-sigmaS))*S</f>
        <v>24661.962529999983</v>
      </c>
      <c r="I40" s="29">
        <v>1145.7547579999937</v>
      </c>
      <c r="K40" s="120">
        <f t="array" ref="K40:L40">H40:I40-D</f>
        <v>0</v>
      </c>
      <c r="L40" s="120">
        <v>-2.5011104298755527E-12</v>
      </c>
    </row>
    <row r="41" spans="2:16" x14ac:dyDescent="0.2">
      <c r="B41" t="s">
        <v>28</v>
      </c>
      <c r="C41" s="41">
        <f t="array" ref="C41:D41">TRANSPOSE(E3:E4)/(1+tauTS)/pS</f>
        <v>6533.604468832069</v>
      </c>
      <c r="D41" s="42">
        <v>379.90788307663405</v>
      </c>
      <c r="E41" t="s">
        <v>57</v>
      </c>
      <c r="H41" s="29">
        <f t="array" ref="H41">(aU/pCQ)^sigmaU/(aU^sigmaU*pCQ^(1-sigmaU)+bU^sigmaU*pCE^(1-sigmaU))*Revenue</f>
        <v>6533.6044688320735</v>
      </c>
      <c r="I41" s="29">
        <f>(bU/pCE)^sigmaU/(aU^sigmaU*pCQ^(1-sigmaU)+bU^sigmaU*pCE^(1-sigmaU))*Revenue</f>
        <v>379.90788307663428</v>
      </c>
      <c r="K41" s="120">
        <f t="array" ref="K41:L41">H41:I41-Consumption</f>
        <v>0</v>
      </c>
      <c r="L41" s="120">
        <v>0</v>
      </c>
    </row>
    <row r="42" spans="2:16" x14ac:dyDescent="0.2">
      <c r="B42" t="s">
        <v>7</v>
      </c>
      <c r="C42" s="41">
        <f t="array" ref="C42:D42">TRANSPOSE(F3:F4)/(1+tauTS)/pS</f>
        <v>3278.5018080150412</v>
      </c>
      <c r="D42" s="42">
        <v>0</v>
      </c>
      <c r="H42" s="29">
        <f t="array" ref="H42">omegaG*GDP/pG</f>
        <v>3278.5018080150412</v>
      </c>
      <c r="I42" s="28">
        <v>0</v>
      </c>
      <c r="K42" s="120">
        <f t="array" ref="K42:L42">H42:I42-G</f>
        <v>0</v>
      </c>
      <c r="L42" s="120">
        <v>0</v>
      </c>
    </row>
    <row r="43" spans="2:16" x14ac:dyDescent="0.2">
      <c r="B43" t="s">
        <v>8</v>
      </c>
      <c r="C43" s="41">
        <f t="array" ref="C43:D43">TRANSPOSE(G3:G4)/(1+tauTS)/pS</f>
        <v>3196.3846373657216</v>
      </c>
      <c r="D43" s="42">
        <v>0</v>
      </c>
      <c r="H43" s="29">
        <f t="array" ref="H43">(sD*GDP-B)/pI</f>
        <v>3196.3846373657216</v>
      </c>
      <c r="I43" s="28">
        <v>0</v>
      </c>
      <c r="K43" s="120">
        <f t="array" ref="K43:L43">H43:I43-I</f>
        <v>0</v>
      </c>
      <c r="L43" s="120">
        <v>0</v>
      </c>
    </row>
    <row r="44" spans="2:16" x14ac:dyDescent="0.2">
      <c r="B44" t="s">
        <v>0</v>
      </c>
      <c r="C44" s="41">
        <f t="array" ref="C44:D44">TRANSPOSE(H3:H4)/pX</f>
        <v>3195.047603999999</v>
      </c>
      <c r="D44" s="42">
        <v>91.012690000004071</v>
      </c>
      <c r="H44" s="29">
        <f t="array" ref="H44:I44">(bX/pX)^sigmaX*(aX^sigmaX*pD^(1-sigmaX)+bX^sigmaX*pX^(1-sigmaX))^(-1/rhoX)*Y</f>
        <v>3195.0476040000012</v>
      </c>
      <c r="I44" s="29">
        <v>91.012690000004255</v>
      </c>
      <c r="K44" s="120">
        <f t="array" ref="K44:L44">H44:I44-X</f>
        <v>0</v>
      </c>
      <c r="L44" s="120">
        <v>1.8474111129762605E-13</v>
      </c>
    </row>
    <row r="45" spans="2:16" x14ac:dyDescent="0.2">
      <c r="B45" t="s">
        <v>27</v>
      </c>
      <c r="C45" s="41">
        <f t="array" ref="C45:D45">C5:D5/w</f>
        <v>5036.2953101960647</v>
      </c>
      <c r="D45" s="42">
        <v>74.905331803938267</v>
      </c>
      <c r="E45" t="s">
        <v>58</v>
      </c>
      <c r="H45" s="29">
        <f t="array" ref="H45:I45">lambda*Y</f>
        <v>5036.2953101960647</v>
      </c>
      <c r="I45" s="29">
        <v>74.905331803938267</v>
      </c>
      <c r="K45" s="120">
        <f t="array" ref="K45:L45">H45:I45-Labour</f>
        <v>0</v>
      </c>
      <c r="L45" s="120">
        <v>0</v>
      </c>
    </row>
    <row r="46" spans="2:16" x14ac:dyDescent="0.2">
      <c r="B46" t="s">
        <v>2</v>
      </c>
      <c r="C46" s="41">
        <f t="array" ref="C46:D46">C8:D8/pK</f>
        <v>6425.1981590000014</v>
      </c>
      <c r="D46" s="42">
        <v>273.22915400000011</v>
      </c>
      <c r="H46" s="29">
        <f t="array" ref="H46:I46">kappa*Y</f>
        <v>6425.1981590000014</v>
      </c>
      <c r="I46" s="29">
        <v>273.22915400000011</v>
      </c>
      <c r="K46" s="120">
        <f t="array" ref="K46:L46">H46:I46-K</f>
        <v>0</v>
      </c>
      <c r="L46" s="120">
        <v>0</v>
      </c>
    </row>
    <row r="47" spans="2:16" x14ac:dyDescent="0.2">
      <c r="B47" t="s">
        <v>35</v>
      </c>
      <c r="C47" s="116">
        <f t="array" ref="C47:D47">(pK*K+pL*Labour)/pKL</f>
        <v>13763.097676000005</v>
      </c>
      <c r="D47" s="174">
        <v>382.36647900000003</v>
      </c>
      <c r="H47" s="29">
        <f t="array" ref="H47:I47">(aKLE/pKL)^sigmaKLE*(aKLE^sigmaKLE*pKL^(1-sigmaKLE)+bKLE^sigmaKLE*pEY^(1-sigmaKLE))^(-1/rhoKLE)*KLE</f>
        <v>13763.097675999812</v>
      </c>
      <c r="I47" s="29">
        <v>382.36647900000008</v>
      </c>
      <c r="K47" s="120">
        <f t="array" ref="K47:L47">H47:I47-KL</f>
        <v>-1.9281287677586079E-10</v>
      </c>
      <c r="L47" s="120">
        <v>0</v>
      </c>
    </row>
    <row r="48" spans="2:16" x14ac:dyDescent="0.2">
      <c r="B48" t="s">
        <v>53</v>
      </c>
      <c r="C48" s="168">
        <f t="array" ref="C48:D48">(pKL*KL+C4:D4)/pKLE</f>
        <v>14362.768558000003</v>
      </c>
      <c r="D48" s="169">
        <v>817.26651000000004</v>
      </c>
      <c r="H48" s="29">
        <f t="array" ref="H48:I48">(aY/pKLE)^sigmaY*(aY^sigmaY*pKLE^(1-sigmaY)+bY^sigmaY*pMY^(1-sigmaY))^(-1/rhoY)*Y</f>
        <v>14362.768558000003</v>
      </c>
      <c r="I48" s="29">
        <v>817.26651000000095</v>
      </c>
      <c r="K48" s="120">
        <f t="array" ref="K48:L48">H48:I48-KLE</f>
        <v>0</v>
      </c>
      <c r="L48" s="120">
        <v>9.0949470177292824E-13</v>
      </c>
    </row>
    <row r="50" spans="2:12" x14ac:dyDescent="0.2">
      <c r="B50" t="s">
        <v>26</v>
      </c>
      <c r="C50" s="43">
        <f t="array" ref="C50:D50">C6:D6/(w*lambda*Y)</f>
        <v>0.45700342514552333</v>
      </c>
      <c r="D50" s="44">
        <v>0.4570034251455235</v>
      </c>
      <c r="G50" s="29"/>
    </row>
    <row r="51" spans="2:12" x14ac:dyDescent="0.2">
      <c r="B51" t="s">
        <v>20</v>
      </c>
      <c r="C51" s="47">
        <f t="array" ref="C51:D51">C7:D7/(pY*Y-C7:D7)</f>
        <v>4.9682236719384319E-3</v>
      </c>
      <c r="D51" s="48">
        <v>1.7038360552061892E-2</v>
      </c>
    </row>
    <row r="52" spans="2:12" x14ac:dyDescent="0.2">
      <c r="B52" t="s">
        <v>152</v>
      </c>
      <c r="C52" s="45">
        <f t="array" ref="C52:D52">C10:D10/(TRANSPOSE(C3:C4+D3:D4+E3:E4+F3:F4+G3:G4)-C10:D10)</f>
        <v>1.5911682542747503E-2</v>
      </c>
      <c r="D52" s="46">
        <v>5.7716594496607888E-3</v>
      </c>
    </row>
    <row r="53" spans="2:12" x14ac:dyDescent="0.2">
      <c r="C53" s="29"/>
      <c r="D53" s="29"/>
    </row>
    <row r="54" spans="2:12" x14ac:dyDescent="0.2">
      <c r="C54" s="29"/>
      <c r="D54" s="29"/>
    </row>
    <row r="55" spans="2:12" x14ac:dyDescent="0.2">
      <c r="B55" t="s">
        <v>48</v>
      </c>
      <c r="C55" s="69">
        <f t="array" ref="C55">SUM(C6:D7,C10:D11)</f>
        <v>2924829.96</v>
      </c>
      <c r="H55" s="29">
        <f t="array" ref="H55">SUM(w*tauL*Labour+tauY/(1+tauY)*pY*Y+tauTS*pS*S)</f>
        <v>2924829.9599999995</v>
      </c>
      <c r="K55" s="120">
        <f t="array" ref="K55">H55-T</f>
        <v>0</v>
      </c>
      <c r="L55" s="125"/>
    </row>
    <row r="56" spans="2:12" x14ac:dyDescent="0.2">
      <c r="B56" t="s">
        <v>47</v>
      </c>
      <c r="C56" s="132">
        <v>1</v>
      </c>
      <c r="E56" t="s">
        <v>196</v>
      </c>
      <c r="K56" s="125"/>
      <c r="L56" s="125"/>
    </row>
    <row r="57" spans="2:12" x14ac:dyDescent="0.2">
      <c r="B57" t="s">
        <v>64</v>
      </c>
      <c r="C57" s="133">
        <f>SUM(C5:D8,C10:D11)</f>
        <v>14734457.915000005</v>
      </c>
      <c r="E57" s="65">
        <f>15693432.72*2437635/2728870.25</f>
        <v>14018570.823738214</v>
      </c>
      <c r="H57" s="124">
        <f t="array" ref="H57">SUM(pC*Consumption+pG*G+pI*I+pX*X-pW*M)</f>
        <v>14734457.915000003</v>
      </c>
      <c r="I57" s="124">
        <f t="array" ref="I57">SUM(w*Labour,pK*K,T)</f>
        <v>14734457.915000007</v>
      </c>
      <c r="K57" s="120">
        <f>H57-GDP</f>
        <v>0</v>
      </c>
      <c r="L57" s="120">
        <f>I57-GDP</f>
        <v>0</v>
      </c>
    </row>
    <row r="58" spans="2:12" x14ac:dyDescent="0.2">
      <c r="B58" t="s">
        <v>54</v>
      </c>
      <c r="C58" s="117">
        <f t="array" ref="C58">GDP-SUM(pG*G+pI*I+pX*X-pW*M)</f>
        <v>7019665.6909999968</v>
      </c>
      <c r="D58" t="s">
        <v>55</v>
      </c>
      <c r="K58" s="125"/>
      <c r="L58" s="125"/>
    </row>
    <row r="59" spans="2:12" x14ac:dyDescent="0.2">
      <c r="B59" t="s">
        <v>75</v>
      </c>
      <c r="C59" s="70">
        <f>SUM(H3:H4)-SUM(C9:D9)</f>
        <v>1136879.441000009</v>
      </c>
      <c r="K59" s="125"/>
      <c r="L59" s="125"/>
    </row>
    <row r="60" spans="2:12" x14ac:dyDescent="0.2">
      <c r="C60" s="29"/>
      <c r="D60" s="29"/>
    </row>
    <row r="61" spans="2:12" x14ac:dyDescent="0.2">
      <c r="C61" s="29"/>
      <c r="D61" s="29"/>
    </row>
    <row r="62" spans="2:12" x14ac:dyDescent="0.2">
      <c r="B62" t="s">
        <v>111</v>
      </c>
      <c r="C62" s="163">
        <f t="array" ref="C62">SUM(pG*G)/GDP</f>
        <v>0.22604620456442484</v>
      </c>
      <c r="D62" t="s">
        <v>81</v>
      </c>
    </row>
    <row r="63" spans="2:12" x14ac:dyDescent="0.2">
      <c r="B63" t="s">
        <v>112</v>
      </c>
      <c r="C63" s="182">
        <f t="array" ref="C63">SUM(pI*I)/GDP</f>
        <v>0.22038438833194082</v>
      </c>
      <c r="D63" t="s">
        <v>82</v>
      </c>
    </row>
    <row r="64" spans="2:12" x14ac:dyDescent="0.2">
      <c r="B64" t="s">
        <v>98</v>
      </c>
      <c r="C64" s="163">
        <f t="array" ref="C64">(SUM(pI*I)+B)/GDP</f>
        <v>0.29754226190682415</v>
      </c>
      <c r="D64" t="s">
        <v>80</v>
      </c>
    </row>
    <row r="65" spans="2:14" x14ac:dyDescent="0.2">
      <c r="B65" t="s">
        <v>84</v>
      </c>
      <c r="C65" s="164">
        <f t="array" ref="C65">(SUM(pI*I)+B-sL*(SUM(w*Labour))-sG*(T-SUM(pG*G)))/SUM(pK*K)</f>
        <v>0.40915789876687553</v>
      </c>
      <c r="D65" t="s">
        <v>83</v>
      </c>
      <c r="J65" s="62" t="s">
        <v>154</v>
      </c>
      <c r="K65" s="120">
        <f>sK-sL</f>
        <v>8.2251310858139082E-3</v>
      </c>
      <c r="L65" s="125"/>
    </row>
    <row r="66" spans="2:14" x14ac:dyDescent="0.2">
      <c r="B66" t="s">
        <v>85</v>
      </c>
      <c r="C66" s="239">
        <f>Model!K60</f>
        <v>0.40093276768106162</v>
      </c>
      <c r="D66" t="s">
        <v>109</v>
      </c>
      <c r="K66" s="125"/>
      <c r="L66" s="125"/>
    </row>
    <row r="67" spans="2:14" x14ac:dyDescent="0.2">
      <c r="B67" t="s">
        <v>123</v>
      </c>
      <c r="C67" s="165">
        <v>1</v>
      </c>
      <c r="D67" t="s">
        <v>153</v>
      </c>
      <c r="G67" s="177"/>
      <c r="K67" s="125"/>
      <c r="L67" s="125"/>
    </row>
    <row r="70" spans="2:14" x14ac:dyDescent="0.2">
      <c r="B70" t="s">
        <v>21</v>
      </c>
      <c r="C70" s="37">
        <f t="array" ref="C70:D71">(C3:D4)/Y/TRANSPOSE(pS*(1+tauTS))</f>
        <v>0.47195767671988131</v>
      </c>
      <c r="D70" s="38">
        <v>0.31738834428178964</v>
      </c>
      <c r="E70" t="s">
        <v>24</v>
      </c>
      <c r="H70" s="37">
        <f t="array" ref="H70:I70">(bY/pMY)^sigmaY*(aY^sigmaY*pKLE^(1-sigmaY)+bY^sigmaY*pMY^(1-sigmaY))^(-1/rhoY)</f>
        <v>0.47195767671988126</v>
      </c>
      <c r="I70" s="38">
        <v>0.31738834428178991</v>
      </c>
      <c r="K70" s="120">
        <f t="array" ref="K70:L71">H70:I71-C70:D71</f>
        <v>0</v>
      </c>
      <c r="L70" s="120">
        <v>0</v>
      </c>
    </row>
    <row r="71" spans="2:14" x14ac:dyDescent="0.2">
      <c r="C71" s="39">
        <v>2.1403217525954435E-2</v>
      </c>
      <c r="D71" s="40">
        <v>0.34962461301992526</v>
      </c>
      <c r="E71" t="s">
        <v>25</v>
      </c>
      <c r="H71" s="39">
        <f t="array" ref="H71:I71">(bKLE/pEY)^sigmaKLE*(aKLE^sigmaKLE*pKL^(1-sigmaKLE)+bKLE^sigmaKLE*pEY^(1-sigmaKLE))^(-1/rhoKLE)*KLE/Y</f>
        <v>2.1403217525954116E-2</v>
      </c>
      <c r="I71" s="40">
        <v>0.34962461301992531</v>
      </c>
      <c r="K71" s="120">
        <v>-3.1918911957973251E-16</v>
      </c>
      <c r="L71" s="120">
        <v>0</v>
      </c>
    </row>
    <row r="72" spans="2:14" x14ac:dyDescent="0.2">
      <c r="B72" t="s">
        <v>22</v>
      </c>
      <c r="C72" s="37">
        <f t="array" ref="C72:D72">Labour/Y</f>
        <v>0.18079094942242827</v>
      </c>
      <c r="D72" s="38">
        <v>6.0565413429233668E-2</v>
      </c>
      <c r="H72" s="37">
        <f t="array" ref="H72:I72">(bKL/pL)^sigmaKL*(aKL^sigmaKL*pK^(1-sigmaKL)+bKL^sigmaKL*pL^(1-sigmaKL))^(-1/rhoKL)*KL/Y</f>
        <v>0.18079094942242829</v>
      </c>
      <c r="I72" s="38">
        <v>6.0565413429233675E-2</v>
      </c>
      <c r="K72" s="120">
        <f t="array" ref="K72:L72">H72:I72-lambda</f>
        <v>0</v>
      </c>
      <c r="L72" s="120">
        <v>0</v>
      </c>
    </row>
    <row r="73" spans="2:14" x14ac:dyDescent="0.2">
      <c r="B73" t="s">
        <v>23</v>
      </c>
      <c r="C73" s="39">
        <f t="array" ref="C73:D73">K/Y</f>
        <v>0.23064923795098627</v>
      </c>
      <c r="D73" s="40">
        <v>0.22092201281804763</v>
      </c>
      <c r="H73" s="39">
        <f t="array" ref="H73:I73">(aKL/pK)^sigmaKL*(aKL^sigmaKL*pK^(1-sigmaKL)+bKL^sigmaKL*pL^(1-sigmaKL))^(-1/rhoKL)*KL/Y</f>
        <v>0.23064923795098635</v>
      </c>
      <c r="I73" s="40">
        <v>0.22092201281804752</v>
      </c>
      <c r="K73" s="120">
        <f t="array" ref="K73:L73">H73:I73-kappa</f>
        <v>0</v>
      </c>
      <c r="L73" s="120">
        <v>0</v>
      </c>
    </row>
    <row r="75" spans="2:14" x14ac:dyDescent="0.2">
      <c r="F75" t="s">
        <v>42</v>
      </c>
    </row>
    <row r="77" spans="2:14" x14ac:dyDescent="0.2">
      <c r="B77" t="s">
        <v>129</v>
      </c>
      <c r="C77" s="183">
        <f t="array" ref="C77:D77">(S/D)^rhoS*pD*D/(pD*D+pW*M)</f>
        <v>0.96381792329050164</v>
      </c>
      <c r="D77" s="184">
        <v>0.97451883752909085</v>
      </c>
      <c r="E77" s="62" t="s">
        <v>127</v>
      </c>
      <c r="F77" s="63">
        <f t="array" ref="F77:G77">(aS*D^rhoS+bS*M^rhoS)^(1/rhoS)</f>
        <v>26548.356269999997</v>
      </c>
      <c r="G77" s="64">
        <v>1408.5418709999931</v>
      </c>
      <c r="J77">
        <v>0.95656838134985123</v>
      </c>
      <c r="K77">
        <v>0.88500540761921231</v>
      </c>
      <c r="M77">
        <v>0.97096440194717171</v>
      </c>
      <c r="N77">
        <v>0.94099850948718067</v>
      </c>
    </row>
    <row r="78" spans="2:14" x14ac:dyDescent="0.2">
      <c r="B78" t="s">
        <v>130</v>
      </c>
      <c r="C78" s="185">
        <f t="array" ref="C78:D78">(S/M)^rhoS*pW*M/(pD*D+pW*M)</f>
        <v>0.26656145772407763</v>
      </c>
      <c r="D78" s="186">
        <v>0.81068901405387472</v>
      </c>
      <c r="F78" s="129">
        <f t="array" ref="F78:G78">F77:G77-S</f>
        <v>0</v>
      </c>
      <c r="G78" s="130">
        <v>0</v>
      </c>
      <c r="J78">
        <v>0.29150803042407891</v>
      </c>
      <c r="K78">
        <v>0.76679688485558739</v>
      </c>
      <c r="M78">
        <v>0.23922401666925366</v>
      </c>
      <c r="N78">
        <v>0.68167509101198809</v>
      </c>
    </row>
    <row r="79" spans="2:14" x14ac:dyDescent="0.2">
      <c r="B79" t="s">
        <v>131</v>
      </c>
      <c r="C79" s="187">
        <v>2</v>
      </c>
      <c r="D79" s="188">
        <v>8</v>
      </c>
      <c r="J79">
        <v>2</v>
      </c>
      <c r="K79">
        <v>3.7610000000000001</v>
      </c>
      <c r="M79">
        <v>2</v>
      </c>
      <c r="N79">
        <v>4</v>
      </c>
    </row>
    <row r="80" spans="2:14" x14ac:dyDescent="0.2">
      <c r="B80" t="s">
        <v>132</v>
      </c>
      <c r="C80" s="189">
        <f t="array" ref="C80:D80">(sigmaS-1)/sigmaS</f>
        <v>0.5</v>
      </c>
      <c r="D80" s="190">
        <v>0.875</v>
      </c>
      <c r="J80">
        <v>0.5</v>
      </c>
      <c r="K80">
        <v>0.73411326774793939</v>
      </c>
      <c r="M80">
        <v>0.5</v>
      </c>
      <c r="N80">
        <v>0.75</v>
      </c>
    </row>
    <row r="81" spans="2:14" x14ac:dyDescent="0.2">
      <c r="C81" s="191"/>
      <c r="D81" s="191"/>
    </row>
    <row r="82" spans="2:14" x14ac:dyDescent="0.2">
      <c r="B82" t="s">
        <v>31</v>
      </c>
      <c r="C82" s="183">
        <f t="array" ref="C82:D82">(KL/K)^rhoKL*pK*K/(pK*K+pL*Labour)</f>
        <v>0.28094235829030489</v>
      </c>
      <c r="D82" s="184">
        <v>0.32620510382647611</v>
      </c>
      <c r="E82" s="62" t="s">
        <v>35</v>
      </c>
      <c r="F82" s="63">
        <f t="array" ref="F82:G82">(aKL*K^rhoKL+bKL*Labour^rhoKL)^(1/rhoKL)</f>
        <v>13763.097675999988</v>
      </c>
      <c r="G82" s="64">
        <v>382.36647900000008</v>
      </c>
      <c r="J82">
        <v>0.18451576952174367</v>
      </c>
      <c r="K82">
        <v>0.54253201298722808</v>
      </c>
      <c r="M82">
        <v>7.2859611873321836E-2</v>
      </c>
      <c r="N82">
        <v>5.3637383677496479E-2</v>
      </c>
    </row>
    <row r="83" spans="2:14" x14ac:dyDescent="0.2">
      <c r="B83" t="s">
        <v>32</v>
      </c>
      <c r="C83" s="185">
        <f t="array" ref="C83:D83">(KL/Labour)^rhoKL*pL*Labour/(pK*K+pL*Labour)</f>
        <v>0.27276306717624887</v>
      </c>
      <c r="D83" s="186">
        <v>6.3616578377826286E-3</v>
      </c>
      <c r="F83" s="129">
        <f t="array" ref="F83:G83">F82:G82-KL</f>
        <v>-1.6370904631912708E-11</v>
      </c>
      <c r="G83" s="130">
        <v>0</v>
      </c>
      <c r="J83">
        <v>0.1069127767935206</v>
      </c>
      <c r="K83">
        <v>2.4476064673301264E-2</v>
      </c>
      <c r="M83">
        <v>5.4594777174641881E-2</v>
      </c>
      <c r="N83">
        <v>1.1890509449475719E-4</v>
      </c>
    </row>
    <row r="84" spans="2:14" x14ac:dyDescent="0.2">
      <c r="B84" t="s">
        <v>33</v>
      </c>
      <c r="C84" s="187">
        <v>0.6</v>
      </c>
      <c r="D84" s="188">
        <v>0.3</v>
      </c>
      <c r="J84">
        <v>0.42</v>
      </c>
      <c r="K84">
        <v>0.45010780507311415</v>
      </c>
      <c r="M84">
        <v>0.3</v>
      </c>
      <c r="N84">
        <v>0.15</v>
      </c>
    </row>
    <row r="85" spans="2:14" x14ac:dyDescent="0.2">
      <c r="B85" t="s">
        <v>34</v>
      </c>
      <c r="C85" s="189">
        <f t="array" ref="C85:D85">(sigmaKL-1)/sigmaKL</f>
        <v>-0.66666666666666674</v>
      </c>
      <c r="D85" s="190">
        <v>-2.3333333333333335</v>
      </c>
      <c r="J85">
        <v>-1.3809523809523812</v>
      </c>
      <c r="K85">
        <v>-1.2216899789986155</v>
      </c>
      <c r="M85">
        <v>-2.3333333333333335</v>
      </c>
      <c r="N85">
        <v>-5.666666666666667</v>
      </c>
    </row>
    <row r="86" spans="2:14" x14ac:dyDescent="0.2">
      <c r="C86" s="191"/>
      <c r="D86" s="191"/>
    </row>
    <row r="87" spans="2:14" x14ac:dyDescent="0.2">
      <c r="B87" t="s">
        <v>49</v>
      </c>
      <c r="C87" s="183">
        <f t="array" ref="C87:D87">(KLE/KL)^rhoKLE*(pK*K+pL*Labour)/(pK*K+pL*Labour+pEY*alphaEY*Y)</f>
        <v>0.95865295566108633</v>
      </c>
      <c r="D87" s="184">
        <v>0.21889317381758619</v>
      </c>
      <c r="E87" s="62" t="s">
        <v>53</v>
      </c>
      <c r="F87" s="63">
        <f t="array" ref="F87:G87">(aKLE*KL^rhoKLE+bKLE*(alphaEY*Y)^rhoKLE)^(1/rhoKLE)</f>
        <v>14362.76855800038</v>
      </c>
      <c r="G87" s="64">
        <v>817.26651000000004</v>
      </c>
      <c r="J87">
        <v>0.85732710021334335</v>
      </c>
      <c r="K87">
        <v>6.4436442297762988E-3</v>
      </c>
      <c r="M87">
        <v>0.90771284052375456</v>
      </c>
      <c r="N87">
        <v>6.1963941181865996E-2</v>
      </c>
    </row>
    <row r="88" spans="2:14" x14ac:dyDescent="0.2">
      <c r="B88" t="s">
        <v>50</v>
      </c>
      <c r="C88" s="185">
        <f t="array" ref="C88:D88">(KLE/(alphaEY*Y))^rhoKLE*pEY*alphaEY*Y/(pEY*alphaEY*Y+pK*K+pL*Labour)</f>
        <v>4.3087989556299715E-2</v>
      </c>
      <c r="D88" s="186">
        <v>0.28154776090390315</v>
      </c>
      <c r="F88" s="129">
        <f t="array" ref="F88:G88">F87:G87-KLE</f>
        <v>3.7653080653399229E-10</v>
      </c>
      <c r="G88" s="130">
        <v>0</v>
      </c>
      <c r="J88">
        <v>1.757694977252001E-4</v>
      </c>
      <c r="K88">
        <v>0.13475758340934371</v>
      </c>
      <c r="M88">
        <v>2.214314390241483E-3</v>
      </c>
      <c r="N88">
        <v>6.1425571228765741E-2</v>
      </c>
    </row>
    <row r="89" spans="2:14" x14ac:dyDescent="0.2">
      <c r="B89" t="s">
        <v>51</v>
      </c>
      <c r="C89" s="187">
        <v>1.01</v>
      </c>
      <c r="D89" s="188">
        <v>0.5</v>
      </c>
      <c r="J89">
        <v>0.3518</v>
      </c>
      <c r="K89">
        <v>0.23739378994633001</v>
      </c>
      <c r="M89">
        <v>0.5</v>
      </c>
      <c r="N89">
        <v>0.25</v>
      </c>
    </row>
    <row r="90" spans="2:14" x14ac:dyDescent="0.2">
      <c r="B90" t="s">
        <v>52</v>
      </c>
      <c r="C90" s="189">
        <f t="array" ref="C90:D90">(sigmaKLE-1)/sigmaKLE</f>
        <v>9.9009900990099098E-3</v>
      </c>
      <c r="D90" s="190">
        <v>-1</v>
      </c>
      <c r="J90">
        <v>-1.8425241614553725</v>
      </c>
      <c r="K90">
        <v>-3.2124101065410349</v>
      </c>
      <c r="M90">
        <v>-1</v>
      </c>
      <c r="N90">
        <v>-3</v>
      </c>
    </row>
    <row r="91" spans="2:14" x14ac:dyDescent="0.2">
      <c r="C91" s="191"/>
      <c r="D91" s="191"/>
    </row>
    <row r="92" spans="2:14" x14ac:dyDescent="0.2">
      <c r="B92" t="s">
        <v>37</v>
      </c>
      <c r="C92" s="183">
        <f t="array" ref="C92:D92">(Y/KLE)^rhoY*(pK*K+pL*Labour+pEY*alphaEY*Y)/(pK*K+pL*Labour+pEY*alphaEY*Y+pMY*alphaMY*Y)</f>
        <v>8.8547942344409779E-3</v>
      </c>
      <c r="D92" s="184">
        <v>0.56273322528037384</v>
      </c>
      <c r="E92" s="62" t="s">
        <v>19</v>
      </c>
      <c r="F92" s="63">
        <f t="array" ref="F92:G92">(aY*KLE^rhoY+bY*(alphaMY*Y)^rhoY)^(1/rhoY)</f>
        <v>27857.010133999949</v>
      </c>
      <c r="G92" s="64">
        <v>1236.7674480000003</v>
      </c>
      <c r="J92">
        <v>0.34302659523177403</v>
      </c>
      <c r="K92">
        <v>0.42557690792009023</v>
      </c>
      <c r="M92">
        <v>0.42285434707953978</v>
      </c>
      <c r="N92">
        <v>0.3208524508888656</v>
      </c>
    </row>
    <row r="93" spans="2:14" x14ac:dyDescent="0.2">
      <c r="B93" t="s">
        <v>38</v>
      </c>
      <c r="C93" s="185">
        <f t="array" ref="C93:D93">(Y/(alphaMY*Y))^rhoY*pMY*alphaMY*Y/(pMY*alphaMY*Y+pK*K+pL*Labour+pEY*alphaEY*Y)</f>
        <v>4.7834846937829991E-3</v>
      </c>
      <c r="D93" s="186">
        <v>0.20053048020956071</v>
      </c>
      <c r="F93" s="129">
        <f t="array" ref="F93:G93">F92:G92-Y</f>
        <v>-4.7293724492192268E-11</v>
      </c>
      <c r="G93" s="130">
        <v>0</v>
      </c>
      <c r="J93">
        <v>0.35296646929548525</v>
      </c>
      <c r="K93">
        <v>6.2733891927605194E-4</v>
      </c>
      <c r="M93">
        <v>0.3176642154488255</v>
      </c>
      <c r="N93">
        <v>3.8708344241683464E-2</v>
      </c>
    </row>
    <row r="94" spans="2:14" x14ac:dyDescent="0.2">
      <c r="B94" t="s">
        <v>39</v>
      </c>
      <c r="C94" s="187">
        <v>0.14000000000000001</v>
      </c>
      <c r="D94" s="188">
        <v>0.7</v>
      </c>
      <c r="J94">
        <v>0.6678438215200766</v>
      </c>
      <c r="K94">
        <v>0.23777313182546062</v>
      </c>
      <c r="M94">
        <v>0.7</v>
      </c>
      <c r="N94">
        <v>0.35</v>
      </c>
    </row>
    <row r="95" spans="2:14" x14ac:dyDescent="0.2">
      <c r="B95" t="s">
        <v>40</v>
      </c>
      <c r="C95" s="189">
        <f t="array" ref="C95:D95">(sigmaY-1)/sigmaY</f>
        <v>-6.1428571428571423</v>
      </c>
      <c r="D95" s="190">
        <v>-0.42857142857142866</v>
      </c>
      <c r="J95">
        <v>-0.49735607005228272</v>
      </c>
      <c r="K95">
        <v>-3.205689651823481</v>
      </c>
      <c r="M95">
        <v>-0.42857142857142866</v>
      </c>
      <c r="N95">
        <v>-1.8571428571428574</v>
      </c>
    </row>
    <row r="96" spans="2:14" x14ac:dyDescent="0.2">
      <c r="C96" s="191"/>
      <c r="D96" s="191"/>
    </row>
    <row r="97" spans="2:14" x14ac:dyDescent="0.2">
      <c r="B97" t="s">
        <v>117</v>
      </c>
      <c r="C97" s="183">
        <f t="array" ref="C97:D97">(Y/D)^rhoX*pD*D/(pD*D+pX*X)</f>
        <v>1.0309241590354328</v>
      </c>
      <c r="D97" s="184">
        <v>1.0192931230773856</v>
      </c>
      <c r="E97" s="62" t="s">
        <v>19</v>
      </c>
      <c r="F97" s="63">
        <f t="array" ref="F97:G97">(aX*D^rhoX+bX*X^rhoX)^(1/rhoX)</f>
        <v>27857.010134</v>
      </c>
      <c r="G97" s="64">
        <v>1236.7674480000023</v>
      </c>
      <c r="J97">
        <v>1.0584279955606408</v>
      </c>
      <c r="K97">
        <v>1.0394054770479291</v>
      </c>
      <c r="M97">
        <v>1.056836685236574</v>
      </c>
      <c r="N97">
        <v>1.0883998615921</v>
      </c>
    </row>
    <row r="98" spans="2:14" x14ac:dyDescent="0.2">
      <c r="B98" t="s">
        <v>118</v>
      </c>
      <c r="C98" s="185">
        <f t="array" ref="C98:D98">(Y/X)^rhoX*pX*X/(pD*D+pX*X)</f>
        <v>1.7183605444844745</v>
      </c>
      <c r="D98" s="186">
        <v>1.9199792000085367</v>
      </c>
      <c r="F98" s="129">
        <f t="array" ref="F98:G98">F97:G97-Y</f>
        <v>0</v>
      </c>
      <c r="G98" s="130">
        <v>2.0463630789890885E-12</v>
      </c>
      <c r="J98">
        <v>3.0519891458809019</v>
      </c>
      <c r="K98">
        <v>3.6665272372954751</v>
      </c>
      <c r="M98">
        <v>3.09096156361904</v>
      </c>
      <c r="N98">
        <v>2.533120546112305</v>
      </c>
    </row>
    <row r="99" spans="2:14" x14ac:dyDescent="0.2">
      <c r="B99" t="s">
        <v>66</v>
      </c>
      <c r="C99" s="180">
        <v>-4</v>
      </c>
      <c r="D99" s="181">
        <v>-4</v>
      </c>
      <c r="J99">
        <v>-2</v>
      </c>
      <c r="K99">
        <v>-2</v>
      </c>
      <c r="M99">
        <v>-2</v>
      </c>
      <c r="N99">
        <v>-2</v>
      </c>
    </row>
    <row r="100" spans="2:14" x14ac:dyDescent="0.2">
      <c r="B100" t="s">
        <v>119</v>
      </c>
      <c r="C100" s="189">
        <f t="array" ref="C100:D100">(sigmaX - 1)/sigmaX</f>
        <v>1.25</v>
      </c>
      <c r="D100" s="190">
        <v>1.25</v>
      </c>
      <c r="J100">
        <v>1.5</v>
      </c>
      <c r="K100">
        <v>1.5</v>
      </c>
      <c r="M100">
        <v>1.5</v>
      </c>
      <c r="N100">
        <v>1.5</v>
      </c>
    </row>
    <row r="102" spans="2:14" x14ac:dyDescent="0.2">
      <c r="B102" t="s">
        <v>110</v>
      </c>
      <c r="C102" s="30">
        <v>-0.05</v>
      </c>
      <c r="J102">
        <v>-0.18</v>
      </c>
      <c r="M102">
        <v>-0.1</v>
      </c>
    </row>
    <row r="104" spans="2:14" x14ac:dyDescent="0.2">
      <c r="B104" t="s">
        <v>43</v>
      </c>
      <c r="C104" s="66">
        <f>(U/CQ)^rhoU*pCQ*CQ/(pCQ*CQ+pCE*CE)</f>
        <v>330.46661434562492</v>
      </c>
      <c r="E104" s="62" t="s">
        <v>47</v>
      </c>
      <c r="F104" s="65">
        <f>(aU*CQ^rhoU+bU*CE^rhoU)^(1/rhoU)</f>
        <v>1</v>
      </c>
      <c r="J104">
        <v>161.80093781026901</v>
      </c>
      <c r="M104">
        <v>236.92129697367815</v>
      </c>
    </row>
    <row r="105" spans="2:14" x14ac:dyDescent="0.2">
      <c r="B105" t="s">
        <v>44</v>
      </c>
      <c r="C105" s="67">
        <f>(U/CE)^rhoU*pCE*CE/(pCQ*CQ+pCE*CE)</f>
        <v>2.8552675295613739</v>
      </c>
      <c r="F105" s="123">
        <f t="array" ref="F105">F104-U</f>
        <v>0</v>
      </c>
      <c r="J105">
        <v>1.8943271858376676</v>
      </c>
      <c r="M105">
        <v>2.5407734799088928</v>
      </c>
    </row>
    <row r="106" spans="2:14" x14ac:dyDescent="0.2">
      <c r="B106" t="s">
        <v>45</v>
      </c>
      <c r="C106" s="238">
        <v>0.6</v>
      </c>
      <c r="J106">
        <v>0.62777368056390725</v>
      </c>
      <c r="M106">
        <v>0.61</v>
      </c>
    </row>
    <row r="107" spans="2:14" x14ac:dyDescent="0.2">
      <c r="B107" t="s">
        <v>46</v>
      </c>
      <c r="C107" s="68">
        <f>(sigmaU-1)/sigmaU</f>
        <v>-0.66666666666666674</v>
      </c>
      <c r="J107">
        <v>-0.59293075030118303</v>
      </c>
      <c r="M107">
        <v>-0.63934426229508201</v>
      </c>
    </row>
    <row r="109" spans="2:14" x14ac:dyDescent="0.2">
      <c r="J109">
        <v>-0.97777368056390723</v>
      </c>
      <c r="K109">
        <v>-0.65</v>
      </c>
    </row>
    <row r="111" spans="2:14" x14ac:dyDescent="0.2">
      <c r="H111" s="115"/>
      <c r="I111" s="115"/>
    </row>
    <row r="112" spans="2:14" x14ac:dyDescent="0.2">
      <c r="H112" s="115"/>
      <c r="I112" s="115"/>
    </row>
    <row r="113" spans="2:16" ht="10.5" x14ac:dyDescent="0.25">
      <c r="B113" s="96" t="s">
        <v>106</v>
      </c>
    </row>
    <row r="114" spans="2:16" x14ac:dyDescent="0.2">
      <c r="B114" t="s">
        <v>12</v>
      </c>
      <c r="C114" s="84">
        <f t="array" ref="C114:D114">pY</f>
        <v>1000</v>
      </c>
      <c r="D114" s="85">
        <v>1000</v>
      </c>
    </row>
    <row r="115" spans="2:16" x14ac:dyDescent="0.2">
      <c r="B115" t="s">
        <v>128</v>
      </c>
      <c r="C115" s="97">
        <f t="array" ref="C115:D115">pS</f>
        <v>1000</v>
      </c>
      <c r="D115" s="98">
        <v>1000</v>
      </c>
    </row>
    <row r="116" spans="2:16" x14ac:dyDescent="0.2">
      <c r="B116" t="s">
        <v>17</v>
      </c>
      <c r="C116" s="97">
        <f t="array" ref="C116:D116">w</f>
        <v>1000</v>
      </c>
      <c r="D116" s="98">
        <v>1000</v>
      </c>
    </row>
    <row r="117" spans="2:16" x14ac:dyDescent="0.2">
      <c r="B117" t="s">
        <v>18</v>
      </c>
      <c r="C117" s="156">
        <f t="array" ref="C117:D117">pK</f>
        <v>1000</v>
      </c>
      <c r="D117" s="157">
        <v>1000</v>
      </c>
    </row>
    <row r="118" spans="2:16" x14ac:dyDescent="0.2">
      <c r="B118" t="s">
        <v>61</v>
      </c>
      <c r="C118" s="156">
        <f t="array" ref="C118:D118">pKL</f>
        <v>1000</v>
      </c>
      <c r="D118" s="157">
        <v>1000</v>
      </c>
    </row>
    <row r="119" spans="2:16" x14ac:dyDescent="0.2">
      <c r="B119" t="s">
        <v>127</v>
      </c>
      <c r="C119" s="82">
        <f t="array" ref="C119:D119">S</f>
        <v>26548.356269999993</v>
      </c>
      <c r="D119" s="83">
        <v>1408.5418709999938</v>
      </c>
    </row>
    <row r="120" spans="2:16" x14ac:dyDescent="0.2">
      <c r="B120" t="s">
        <v>8</v>
      </c>
      <c r="C120" s="97">
        <f>C43</f>
        <v>3196.3846373657216</v>
      </c>
      <c r="D120" s="224">
        <f>D52</f>
        <v>5.7716594496607888E-3</v>
      </c>
      <c r="E120" t="s">
        <v>151</v>
      </c>
    </row>
    <row r="121" spans="2:16" x14ac:dyDescent="0.2">
      <c r="B121" t="s">
        <v>64</v>
      </c>
      <c r="C121" s="159">
        <f>GDP</f>
        <v>14734457.915000005</v>
      </c>
      <c r="D121" s="160">
        <v>0</v>
      </c>
    </row>
    <row r="122" spans="2:16" x14ac:dyDescent="0.2">
      <c r="B122" t="s">
        <v>27</v>
      </c>
      <c r="C122" s="159">
        <f t="array" ref="C122:D122">Labour</f>
        <v>5036.2953101960647</v>
      </c>
      <c r="D122" s="167">
        <v>74.905331803938267</v>
      </c>
    </row>
    <row r="123" spans="2:16" x14ac:dyDescent="0.2">
      <c r="B123" t="s">
        <v>19</v>
      </c>
      <c r="C123" s="158">
        <f t="array" ref="C123:D123">Y</f>
        <v>27857.010133999996</v>
      </c>
      <c r="D123" s="161">
        <v>1236.7674480000003</v>
      </c>
    </row>
    <row r="126" spans="2:16" x14ac:dyDescent="0.2">
      <c r="E126" s="29"/>
      <c r="F126" s="29"/>
      <c r="G126" s="29"/>
      <c r="H126" s="29"/>
      <c r="I126" s="29"/>
      <c r="J126" s="29"/>
      <c r="K126" s="29"/>
      <c r="L126" s="29"/>
      <c r="M126" s="29"/>
      <c r="N126" s="29"/>
      <c r="O126" s="29"/>
      <c r="P126" s="29"/>
    </row>
    <row r="127" spans="2:16" x14ac:dyDescent="0.2">
      <c r="E127" s="29"/>
      <c r="F127" s="29"/>
      <c r="G127" s="29"/>
      <c r="H127" s="29"/>
      <c r="I127" s="29"/>
      <c r="J127" s="29"/>
      <c r="K127" s="29"/>
      <c r="L127" s="29"/>
      <c r="M127" s="29"/>
      <c r="N127" s="29"/>
      <c r="O127" s="29"/>
      <c r="P127" s="29"/>
    </row>
  </sheetData>
  <conditionalFormatting sqref="C14:D14">
    <cfRule type="cellIs" dxfId="108" priority="28" stopIfTrue="1" operator="notEqual">
      <formula>0</formula>
    </cfRule>
  </conditionalFormatting>
  <conditionalFormatting sqref="K21:L21">
    <cfRule type="cellIs" dxfId="107" priority="27" stopIfTrue="1" operator="notEqual">
      <formula>0</formula>
    </cfRule>
  </conditionalFormatting>
  <conditionalFormatting sqref="K23:L23 K25:L30">
    <cfRule type="cellIs" dxfId="106" priority="26" stopIfTrue="1" operator="notEqual">
      <formula>0</formula>
    </cfRule>
  </conditionalFormatting>
  <conditionalFormatting sqref="K32:L32">
    <cfRule type="cellIs" dxfId="105" priority="25" stopIfTrue="1" operator="notEqual">
      <formula>0</formula>
    </cfRule>
  </conditionalFormatting>
  <conditionalFormatting sqref="K37:L39 K41:L43">
    <cfRule type="cellIs" dxfId="104" priority="24" stopIfTrue="1" operator="notEqual">
      <formula>0</formula>
    </cfRule>
  </conditionalFormatting>
  <conditionalFormatting sqref="K45:L48">
    <cfRule type="cellIs" dxfId="103" priority="23" stopIfTrue="1" operator="notEqual">
      <formula>0</formula>
    </cfRule>
  </conditionalFormatting>
  <conditionalFormatting sqref="K34:L35">
    <cfRule type="cellIs" dxfId="102" priority="22" stopIfTrue="1" operator="notEqual">
      <formula>0</formula>
    </cfRule>
  </conditionalFormatting>
  <conditionalFormatting sqref="K70:L73">
    <cfRule type="cellIs" dxfId="101" priority="21" stopIfTrue="1" operator="notEqual">
      <formula>0</formula>
    </cfRule>
  </conditionalFormatting>
  <conditionalFormatting sqref="K57">
    <cfRule type="cellIs" dxfId="100" priority="20" stopIfTrue="1" operator="notEqual">
      <formula>0</formula>
    </cfRule>
  </conditionalFormatting>
  <conditionalFormatting sqref="K55">
    <cfRule type="cellIs" dxfId="99" priority="19" stopIfTrue="1" operator="notEqual">
      <formula>0</formula>
    </cfRule>
  </conditionalFormatting>
  <conditionalFormatting sqref="F78:G78">
    <cfRule type="cellIs" dxfId="98" priority="18" stopIfTrue="1" operator="notEqual">
      <formula>0</formula>
    </cfRule>
  </conditionalFormatting>
  <conditionalFormatting sqref="F83:G83">
    <cfRule type="cellIs" dxfId="97" priority="17" stopIfTrue="1" operator="notEqual">
      <formula>0</formula>
    </cfRule>
  </conditionalFormatting>
  <conditionalFormatting sqref="F88:G88">
    <cfRule type="cellIs" dxfId="96" priority="16" stopIfTrue="1" operator="notEqual">
      <formula>0</formula>
    </cfRule>
  </conditionalFormatting>
  <conditionalFormatting sqref="F93:G93">
    <cfRule type="cellIs" dxfId="95" priority="15" stopIfTrue="1" operator="notEqual">
      <formula>0</formula>
    </cfRule>
  </conditionalFormatting>
  <conditionalFormatting sqref="F105">
    <cfRule type="cellIs" dxfId="94" priority="14" stopIfTrue="1" operator="notEqual">
      <formula>0</formula>
    </cfRule>
  </conditionalFormatting>
  <conditionalFormatting sqref="K44:L44">
    <cfRule type="cellIs" dxfId="93" priority="11" stopIfTrue="1" operator="notEqual">
      <formula>0</formula>
    </cfRule>
  </conditionalFormatting>
  <conditionalFormatting sqref="L57">
    <cfRule type="cellIs" dxfId="92" priority="8" stopIfTrue="1" operator="notEqual">
      <formula>0</formula>
    </cfRule>
  </conditionalFormatting>
  <conditionalFormatting sqref="K24:L24">
    <cfRule type="cellIs" dxfId="91" priority="6" stopIfTrue="1" operator="notEqual">
      <formula>0</formula>
    </cfRule>
  </conditionalFormatting>
  <conditionalFormatting sqref="K40:L40">
    <cfRule type="cellIs" dxfId="90" priority="5" stopIfTrue="1" operator="notEqual">
      <formula>0</formula>
    </cfRule>
  </conditionalFormatting>
  <conditionalFormatting sqref="F98:G98">
    <cfRule type="cellIs" dxfId="89" priority="3" stopIfTrue="1" operator="notEqual">
      <formula>0</formula>
    </cfRule>
  </conditionalFormatting>
  <conditionalFormatting sqref="K65">
    <cfRule type="cellIs" dxfId="88" priority="2" stopIfTrue="1" operator="notEqual">
      <formula>0</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B2:AL89"/>
  <sheetViews>
    <sheetView showGridLines="0" topLeftCell="G38" workbookViewId="0">
      <selection activeCell="K41" sqref="K41"/>
    </sheetView>
  </sheetViews>
  <sheetFormatPr baseColWidth="10" defaultRowHeight="10" x14ac:dyDescent="0.2"/>
  <cols>
    <col min="6" max="7" width="12" customWidth="1"/>
    <col min="11" max="11" width="12" customWidth="1"/>
    <col min="12" max="12" width="13" bestFit="1" customWidth="1"/>
    <col min="14" max="14" width="13" bestFit="1" customWidth="1"/>
    <col min="15" max="15" width="12.77734375" bestFit="1" customWidth="1"/>
  </cols>
  <sheetData>
    <row r="2" spans="2:18" ht="10.5" x14ac:dyDescent="0.25">
      <c r="B2" s="126" t="s">
        <v>68</v>
      </c>
      <c r="C2" s="2" t="s">
        <v>24</v>
      </c>
      <c r="D2" s="3" t="s">
        <v>25</v>
      </c>
      <c r="E2" s="4" t="s">
        <v>6</v>
      </c>
      <c r="F2" s="5" t="s">
        <v>7</v>
      </c>
      <c r="G2" s="5" t="s">
        <v>8</v>
      </c>
      <c r="H2" s="6" t="s">
        <v>0</v>
      </c>
      <c r="I2" s="1"/>
      <c r="K2" s="126" t="s">
        <v>86</v>
      </c>
      <c r="L2" s="2" t="s">
        <v>24</v>
      </c>
      <c r="M2" s="3" t="s">
        <v>25</v>
      </c>
      <c r="N2" s="4" t="s">
        <v>6</v>
      </c>
      <c r="O2" s="5" t="s">
        <v>7</v>
      </c>
      <c r="P2" s="5" t="s">
        <v>8</v>
      </c>
      <c r="Q2" s="6" t="s">
        <v>0</v>
      </c>
      <c r="R2" s="1"/>
    </row>
    <row r="3" spans="2:18" ht="10.5" x14ac:dyDescent="0.25">
      <c r="B3" s="2" t="s">
        <v>24</v>
      </c>
      <c r="C3" s="51">
        <f t="array" ref="C3:D11">Calibration!C3:D11</f>
        <v>13356525.920999993</v>
      </c>
      <c r="D3" s="52">
        <v>398781.47400000016</v>
      </c>
      <c r="E3" s="53">
        <f t="array" ref="E3:H4">Calibration!E3:H4</f>
        <v>6637565.1090000011</v>
      </c>
      <c r="F3" s="54">
        <v>3330668.2879999997</v>
      </c>
      <c r="G3" s="54">
        <v>3247244.4950000001</v>
      </c>
      <c r="H3" s="60">
        <v>3195047.6039999989</v>
      </c>
      <c r="I3" s="9">
        <f>SUM(C3:H3)</f>
        <v>30165832.890999991</v>
      </c>
      <c r="K3" s="2" t="s">
        <v>24</v>
      </c>
      <c r="L3" s="51">
        <f t="array" ref="L3:M4">pIC*alpha*Y</f>
        <v>8365101.8436025232</v>
      </c>
      <c r="M3" s="52">
        <v>3.5378864219369026E-2</v>
      </c>
      <c r="N3" s="53">
        <f t="array" ref="N3:N4">TRANSPOSE(pC*Consumption)</f>
        <v>4326377.0029207319</v>
      </c>
      <c r="O3" s="54">
        <f t="array" ref="O3:O4">TRANSPOSE(pG*G)</f>
        <v>2604381.4920603475</v>
      </c>
      <c r="P3" s="54">
        <f t="array" ref="P3:P4">TRANSPOSE(pI*I)</f>
        <v>8057685.6658792989</v>
      </c>
      <c r="Q3" s="60">
        <f t="array" ref="Q3:Q4">TRANSPOSE(pX*X)</f>
        <v>14291.765350994001</v>
      </c>
      <c r="R3" s="9">
        <f t="array" ref="R3">SUM(L3:Q3)</f>
        <v>23367837.805192757</v>
      </c>
    </row>
    <row r="4" spans="2:18" ht="10.5" x14ac:dyDescent="0.25">
      <c r="B4" s="10" t="s">
        <v>25</v>
      </c>
      <c r="C4" s="55">
        <v>599670.88199999998</v>
      </c>
      <c r="D4" s="56">
        <v>434900.03099999996</v>
      </c>
      <c r="E4" s="55">
        <v>382100.58199999394</v>
      </c>
      <c r="F4" s="57">
        <v>0</v>
      </c>
      <c r="G4" s="57">
        <v>0</v>
      </c>
      <c r="H4" s="49">
        <v>91012.690000004077</v>
      </c>
      <c r="I4" s="11">
        <f>SUM(C4:H4)</f>
        <v>1507684.184999998</v>
      </c>
      <c r="K4" s="10" t="s">
        <v>25</v>
      </c>
      <c r="L4" s="55">
        <v>428781.0941564407</v>
      </c>
      <c r="M4" s="56">
        <v>8.9622548870140401E-2</v>
      </c>
      <c r="N4" s="55">
        <v>625526.88741662679</v>
      </c>
      <c r="O4" s="57">
        <v>0</v>
      </c>
      <c r="P4" s="57">
        <v>0</v>
      </c>
      <c r="Q4" s="49">
        <v>4.6493507567592341E-7</v>
      </c>
      <c r="R4" s="11">
        <f t="array" ref="R4">SUM(L4:Q4)</f>
        <v>1054308.0711960813</v>
      </c>
    </row>
    <row r="5" spans="2:18" x14ac:dyDescent="0.2">
      <c r="B5" s="12" t="s">
        <v>1</v>
      </c>
      <c r="C5" s="51">
        <v>5036295.3101960644</v>
      </c>
      <c r="D5" s="52">
        <v>74905.331803938272</v>
      </c>
      <c r="E5" s="13"/>
      <c r="F5" s="13"/>
      <c r="G5" s="13"/>
      <c r="H5" s="13"/>
      <c r="I5" s="1"/>
      <c r="K5" s="12" t="s">
        <v>1</v>
      </c>
      <c r="L5" s="51">
        <f t="array" ref="L5:M5">w*Labour</f>
        <v>3792323.9865480145</v>
      </c>
      <c r="M5" s="52">
        <v>2.4976697558365202E-3</v>
      </c>
      <c r="N5" s="13"/>
      <c r="O5" s="13"/>
      <c r="P5" s="13"/>
      <c r="Q5" s="13"/>
      <c r="R5" s="1"/>
    </row>
    <row r="6" spans="2:18" x14ac:dyDescent="0.2">
      <c r="B6" s="14" t="s">
        <v>9</v>
      </c>
      <c r="C6" s="53">
        <v>2301604.2068039379</v>
      </c>
      <c r="D6" s="58">
        <v>34231.993196061703</v>
      </c>
      <c r="E6" s="13"/>
      <c r="F6" s="13"/>
      <c r="G6" s="13"/>
      <c r="H6" s="13"/>
      <c r="I6" s="1"/>
      <c r="K6" s="14" t="s">
        <v>9</v>
      </c>
      <c r="L6" s="53">
        <f t="array" ref="L6:M6">w*tauL*Labour</f>
        <v>1733105.051113968</v>
      </c>
      <c r="M6" s="58">
        <v>1.1414436332996731E-3</v>
      </c>
      <c r="N6" s="13"/>
      <c r="O6" s="13"/>
      <c r="P6" s="13"/>
      <c r="Q6" s="13"/>
      <c r="R6" s="1"/>
    </row>
    <row r="7" spans="2:18" x14ac:dyDescent="0.2">
      <c r="B7" s="14" t="s">
        <v>10</v>
      </c>
      <c r="C7" s="53">
        <v>137715.65500000006</v>
      </c>
      <c r="D7" s="58">
        <v>20719.463999999996</v>
      </c>
      <c r="E7" s="13"/>
      <c r="F7" s="13"/>
      <c r="G7" s="13"/>
      <c r="H7" s="13"/>
      <c r="I7" s="1"/>
      <c r="K7" s="14" t="s">
        <v>10</v>
      </c>
      <c r="L7" s="53">
        <f t="array" ref="L7:M7">tauY*pY/(1+tauY)*Y</f>
        <v>93677.298580108138</v>
      </c>
      <c r="M7" s="58">
        <v>2.5647271319435218E-3</v>
      </c>
      <c r="N7" s="13"/>
      <c r="O7" s="13"/>
      <c r="P7" s="13"/>
      <c r="Q7" s="13"/>
      <c r="R7" s="1"/>
    </row>
    <row r="8" spans="2:18" x14ac:dyDescent="0.2">
      <c r="B8" s="14" t="s">
        <v>2</v>
      </c>
      <c r="C8" s="53">
        <v>6425198.1590000018</v>
      </c>
      <c r="D8" s="58">
        <v>273229.1540000001</v>
      </c>
      <c r="E8" s="13"/>
      <c r="F8" s="13"/>
      <c r="G8" s="13"/>
      <c r="H8" s="13"/>
      <c r="I8" s="1"/>
      <c r="K8" s="14" t="s">
        <v>2</v>
      </c>
      <c r="L8" s="53">
        <f t="array" ref="L8:M8">pK*kappa*Y</f>
        <v>4535978.1173377074</v>
      </c>
      <c r="M8" s="58" t="e">
        <v>#NUM!</v>
      </c>
      <c r="N8" s="13"/>
      <c r="O8" s="13"/>
      <c r="P8" s="13"/>
      <c r="Q8" s="13"/>
      <c r="R8" s="1"/>
    </row>
    <row r="9" spans="2:18" x14ac:dyDescent="0.2">
      <c r="B9" s="2" t="s">
        <v>3</v>
      </c>
      <c r="C9" s="127">
        <v>1886393.7399999965</v>
      </c>
      <c r="D9" s="128">
        <v>262787.11299999768</v>
      </c>
      <c r="E9" s="13"/>
      <c r="F9" s="13"/>
      <c r="G9" s="13"/>
      <c r="H9" s="13"/>
      <c r="I9" s="1"/>
      <c r="K9" s="2" t="s">
        <v>3</v>
      </c>
      <c r="L9" s="127">
        <f t="array" ref="L9:M9">pW*M</f>
        <v>4053096.2848446989</v>
      </c>
      <c r="M9" s="128">
        <v>53710.120883408796</v>
      </c>
      <c r="N9" s="13"/>
      <c r="O9" s="13"/>
      <c r="P9" s="13"/>
      <c r="Q9" s="13"/>
      <c r="R9" s="1"/>
    </row>
    <row r="10" spans="2:18" x14ac:dyDescent="0.2">
      <c r="B10" s="2" t="s">
        <v>4</v>
      </c>
      <c r="C10" s="59">
        <v>422429.01700000005</v>
      </c>
      <c r="D10" s="60">
        <v>8129.6240000000016</v>
      </c>
      <c r="E10" s="13"/>
      <c r="F10" s="13"/>
      <c r="G10" s="13"/>
      <c r="H10" s="13"/>
      <c r="I10" s="1"/>
      <c r="K10" s="2" t="s">
        <v>4</v>
      </c>
      <c r="L10" s="59">
        <f t="array" ref="L10:M10">tauTS*pS*S</f>
        <v>365774.12901024125</v>
      </c>
      <c r="M10" s="60">
        <v>1000597.797221767</v>
      </c>
      <c r="N10" s="13"/>
      <c r="O10" s="13"/>
      <c r="P10" s="13"/>
      <c r="Q10" s="13"/>
      <c r="R10" s="1"/>
    </row>
    <row r="11" spans="2:18" x14ac:dyDescent="0.2">
      <c r="B11" s="15" t="s">
        <v>5</v>
      </c>
      <c r="C11" s="61">
        <v>0</v>
      </c>
      <c r="D11" s="49">
        <v>0</v>
      </c>
      <c r="E11" s="13"/>
      <c r="F11" s="50" t="s">
        <v>24</v>
      </c>
      <c r="G11" s="16" t="s">
        <v>25</v>
      </c>
      <c r="H11" s="13"/>
      <c r="I11" s="1"/>
      <c r="K11" s="15"/>
      <c r="L11" s="61"/>
      <c r="M11" s="49"/>
      <c r="N11" s="13"/>
      <c r="O11" s="104" t="s">
        <v>24</v>
      </c>
      <c r="P11" s="16" t="s">
        <v>25</v>
      </c>
      <c r="Q11" s="13"/>
      <c r="R11" s="1"/>
    </row>
    <row r="12" spans="2:18" ht="10.5" x14ac:dyDescent="0.25">
      <c r="B12" s="1"/>
      <c r="C12" s="17">
        <f>SUM(C3:C11)</f>
        <v>30165832.890999991</v>
      </c>
      <c r="D12" s="18">
        <f>SUM(D3:D11)</f>
        <v>1507684.184999998</v>
      </c>
      <c r="E12" s="19"/>
      <c r="F12" s="20">
        <f>SUM(C3:C8)</f>
        <v>27857010.133999996</v>
      </c>
      <c r="G12" s="21">
        <f>SUM(D3:D8)</f>
        <v>1236767.4480000003</v>
      </c>
      <c r="H12" s="1" t="s">
        <v>11</v>
      </c>
      <c r="I12" s="1"/>
      <c r="K12" s="1"/>
      <c r="L12" s="17">
        <f>SUM(L3:L11)</f>
        <v>23367837.805193704</v>
      </c>
      <c r="M12" s="18" t="e">
        <f>SUM(M3:M11)</f>
        <v>#NUM!</v>
      </c>
      <c r="N12" s="19"/>
      <c r="O12" s="20">
        <f t="array" ref="O12:P12">pY*Y</f>
        <v>18948967.391338442</v>
      </c>
      <c r="P12" s="21">
        <v>0.15309136519121103</v>
      </c>
      <c r="Q12" s="1" t="s">
        <v>11</v>
      </c>
      <c r="R12" s="1"/>
    </row>
    <row r="13" spans="2:18" x14ac:dyDescent="0.2">
      <c r="B13" s="1"/>
      <c r="C13" s="1"/>
      <c r="D13" s="1"/>
      <c r="E13" s="13"/>
      <c r="F13" s="13"/>
      <c r="G13" s="13"/>
      <c r="H13" s="1"/>
      <c r="I13" s="1"/>
      <c r="K13" s="1"/>
      <c r="L13" s="1"/>
      <c r="M13" s="1"/>
      <c r="N13" s="13"/>
      <c r="O13" s="1"/>
      <c r="P13" s="1"/>
      <c r="Q13" s="1"/>
      <c r="R13" s="1"/>
    </row>
    <row r="14" spans="2:18" ht="10.5" x14ac:dyDescent="0.25">
      <c r="B14" s="22" t="s">
        <v>30</v>
      </c>
      <c r="C14" s="23">
        <f>I3-C12</f>
        <v>0</v>
      </c>
      <c r="D14" s="24">
        <f>I4-D12</f>
        <v>0</v>
      </c>
      <c r="E14" s="13"/>
      <c r="F14" s="13"/>
      <c r="G14" s="13"/>
      <c r="H14" s="13"/>
      <c r="I14" s="1"/>
      <c r="K14" s="22" t="s">
        <v>30</v>
      </c>
      <c r="L14" s="23">
        <f t="array" ref="L14">R3-L12</f>
        <v>-9.4622373580932617E-7</v>
      </c>
      <c r="M14" s="24" t="e">
        <f t="array" ref="M14">R4-M12</f>
        <v>#NUM!</v>
      </c>
      <c r="N14" s="13"/>
      <c r="O14" s="13"/>
      <c r="P14" s="13"/>
      <c r="Q14" s="13"/>
      <c r="R14" s="1"/>
    </row>
    <row r="15" spans="2:18" x14ac:dyDescent="0.2">
      <c r="B15" s="1"/>
      <c r="C15" s="1"/>
      <c r="D15" s="1"/>
      <c r="E15" s="13"/>
      <c r="F15" s="25"/>
      <c r="G15" s="26"/>
      <c r="H15" s="13"/>
      <c r="I15" s="1"/>
    </row>
    <row r="16" spans="2:18" x14ac:dyDescent="0.2">
      <c r="G16" s="26"/>
      <c r="H16" s="27"/>
      <c r="I16" s="1"/>
    </row>
    <row r="17" spans="2:21" x14ac:dyDescent="0.2">
      <c r="K17" s="62" t="s">
        <v>65</v>
      </c>
      <c r="L17" s="131" t="e">
        <f>MAX(ERROR1,ERROR2,ERROR3,ERROR4,ERROR5,ERROR6,ERROR7,ERROR8,ERROR9,ERROR10,ERROR11,ABS(MIN(ERROR1,ERROR2,ERROR3,ERROR4,ERROR5,ERROR6,ERROR7,ERROR8,ERROR9,ERROR10,ERROR11)))</f>
        <v>#NUM!</v>
      </c>
    </row>
    <row r="19" spans="2:21" ht="10.5" x14ac:dyDescent="0.25">
      <c r="B19" s="96" t="s">
        <v>79</v>
      </c>
      <c r="C19" s="112" t="s">
        <v>87</v>
      </c>
      <c r="H19" s="96" t="s">
        <v>60</v>
      </c>
      <c r="K19" s="96" t="s">
        <v>59</v>
      </c>
      <c r="Q19" s="96" t="s">
        <v>42</v>
      </c>
    </row>
    <row r="21" spans="2:21" ht="10.5" x14ac:dyDescent="0.25">
      <c r="B21" t="s">
        <v>12</v>
      </c>
      <c r="C21" s="84">
        <f t="array" ref="C21:D21">ABS(C80:D80)</f>
        <v>2731.5458862463834</v>
      </c>
      <c r="D21" s="85">
        <v>7531.3782154127421</v>
      </c>
      <c r="H21" s="63">
        <f t="array" ref="H21:I21">(aY^sigmaY*pKLE^(1-sigmaY)+bY^sigmaY*pMY^(1-sigmaY))^(1/(1-sigmaY))*(1+tauY)</f>
        <v>2731.5458862464261</v>
      </c>
      <c r="I21" s="64">
        <v>7531.3782154136534</v>
      </c>
      <c r="J21" s="113" t="s">
        <v>69</v>
      </c>
      <c r="K21" s="120">
        <f t="array" ref="K21:L21">H21:I21/pY-1</f>
        <v>1.5543122344752192E-14</v>
      </c>
      <c r="L21" s="120">
        <v>1.2101430968414206E-13</v>
      </c>
      <c r="N21" s="71">
        <f t="array" ref="N21:O35">PRICES/Calibration!PRICES-1</f>
        <v>1.7315458862463835</v>
      </c>
      <c r="O21" s="72">
        <v>6.531378215412742</v>
      </c>
      <c r="Q21" s="120">
        <f t="array" ref="Q21:R21">(pKLE*KLE+pMY*alphaMY*Y)*(1+tauY)/Y-pY</f>
        <v>4.0927261579781771E-11</v>
      </c>
      <c r="R21" s="120">
        <v>9.0949470177292824E-10</v>
      </c>
      <c r="T21" s="120">
        <f t="array" ref="T21:U21">(aX^sigmaX*pD^(1-sigmaX)+bX^sigmaX*pW^(1-sigmaX))^(1/(1-sigmaX))-pY</f>
        <v>4.5474735088646412E-12</v>
      </c>
      <c r="U21" s="120">
        <v>2.0008883439004421E-11</v>
      </c>
    </row>
    <row r="22" spans="2:21" x14ac:dyDescent="0.2">
      <c r="B22" t="s">
        <v>116</v>
      </c>
      <c r="C22" s="101">
        <f t="array" ref="C22:D22">Calibration!pW</f>
        <v>1000</v>
      </c>
      <c r="D22" s="102">
        <v>1000</v>
      </c>
      <c r="N22" s="73">
        <v>0</v>
      </c>
      <c r="O22" s="74">
        <v>0</v>
      </c>
    </row>
    <row r="23" spans="2:21" ht="10.5" x14ac:dyDescent="0.25">
      <c r="B23" t="s">
        <v>128</v>
      </c>
      <c r="C23" s="97">
        <f t="array" ref="C23:D23">ABS(C81:D81)</f>
        <v>2481.3917394536379</v>
      </c>
      <c r="D23" s="98">
        <v>1271.0608769758969</v>
      </c>
      <c r="H23" s="63">
        <f t="array" ref="H23:I23">(aS^sigmaS*pD^(1-sigmaS)+bS^sigmaS*pW^(1-sigmaS))^(1/(1-sigmaS))</f>
        <v>2481.3917394536707</v>
      </c>
      <c r="I23" s="64">
        <v>1271.0608769763685</v>
      </c>
      <c r="J23" s="113" t="s">
        <v>121</v>
      </c>
      <c r="K23" s="120">
        <f t="array" ref="K23:L23">(pY*Y+pW*M)/(pS*S+pW*X)-1</f>
        <v>2.1760371282653068E-14</v>
      </c>
      <c r="L23" s="120">
        <v>-1.1324274851176597E-13</v>
      </c>
      <c r="N23" s="73">
        <v>1.4813917394536378</v>
      </c>
      <c r="O23" s="74">
        <v>0.27106087697589687</v>
      </c>
      <c r="Q23" s="120">
        <f t="array" ref="Q23:R23">pS*S-pD*D-pW*M</f>
        <v>-3.0407682061195374E-7</v>
      </c>
      <c r="R23" s="120">
        <v>-1.9710569176822901E-8</v>
      </c>
    </row>
    <row r="24" spans="2:21" x14ac:dyDescent="0.2">
      <c r="B24" t="s">
        <v>77</v>
      </c>
      <c r="C24" s="116">
        <f t="array" ref="C24:D24">aX^(sigmaX/(sigmaX-1))*(pY^(1-sigmaX)-bX^sigmaX*pW^(1-sigmaX))^(1/(1-sigmaX))</f>
        <v>2798.4937312796474</v>
      </c>
      <c r="D24" s="174">
        <v>7647.3940593539246</v>
      </c>
      <c r="N24" s="73">
        <v>1.7984937312796472</v>
      </c>
      <c r="O24" s="74">
        <v>6.6473940593539247</v>
      </c>
    </row>
    <row r="25" spans="2:21" x14ac:dyDescent="0.2">
      <c r="B25" t="s">
        <v>13</v>
      </c>
      <c r="C25" s="33">
        <f t="array" ref="C25:D26">TRANSPOSE(pS*(1+tauTS))</f>
        <v>2520.8748570760199</v>
      </c>
      <c r="D25" s="34">
        <v>2520.8748570760199</v>
      </c>
      <c r="E25" t="s">
        <v>63</v>
      </c>
      <c r="N25" s="73">
        <v>1.4813917394536378</v>
      </c>
      <c r="O25" s="74">
        <v>1.4813917394536378</v>
      </c>
    </row>
    <row r="26" spans="2:21" x14ac:dyDescent="0.2">
      <c r="C26" s="35">
        <v>24950.342688963101</v>
      </c>
      <c r="D26" s="36">
        <v>24950.342688963101</v>
      </c>
      <c r="E26" t="s">
        <v>41</v>
      </c>
      <c r="N26" s="73">
        <v>23.807164185373303</v>
      </c>
      <c r="O26" s="74">
        <v>23.807164185373299</v>
      </c>
    </row>
    <row r="27" spans="2:21" ht="10.5" x14ac:dyDescent="0.25">
      <c r="B27" t="s">
        <v>14</v>
      </c>
      <c r="C27" s="41">
        <f t="array" ref="C27:D27">pS*(1+tauTS)</f>
        <v>2520.8748570760199</v>
      </c>
      <c r="D27" s="42">
        <v>24950.342688963101</v>
      </c>
      <c r="J27" s="96"/>
      <c r="N27" s="73">
        <v>1.4813917394536378</v>
      </c>
      <c r="O27" s="74">
        <v>23.807164185373306</v>
      </c>
    </row>
    <row r="28" spans="2:21" ht="10.5" x14ac:dyDescent="0.25">
      <c r="B28" t="s">
        <v>15</v>
      </c>
      <c r="C28" s="41">
        <f t="array" ref="C28:D28">pS*(1+tauTS)</f>
        <v>2520.8748570760199</v>
      </c>
      <c r="D28" s="42">
        <v>24950.342688963101</v>
      </c>
      <c r="J28" s="96"/>
      <c r="N28" s="73">
        <v>1.4813917394536378</v>
      </c>
      <c r="O28" s="74">
        <v>23.807164185373306</v>
      </c>
    </row>
    <row r="29" spans="2:21" ht="10.5" x14ac:dyDescent="0.25">
      <c r="B29" t="s">
        <v>29</v>
      </c>
      <c r="C29" s="41">
        <f t="array" ref="C29:D29">pS*(1+tauTS)</f>
        <v>2520.8748570760199</v>
      </c>
      <c r="D29" s="42">
        <v>24950.342688963101</v>
      </c>
      <c r="J29" s="96"/>
      <c r="N29" s="73">
        <v>1.4813917394536378</v>
      </c>
      <c r="O29" s="74">
        <v>23.807164185373306</v>
      </c>
    </row>
    <row r="30" spans="2:21" ht="10.5" x14ac:dyDescent="0.25">
      <c r="B30" t="s">
        <v>16</v>
      </c>
      <c r="C30" s="41">
        <f t="array" ref="C30:D30">pW</f>
        <v>1000</v>
      </c>
      <c r="D30" s="42">
        <v>1000</v>
      </c>
      <c r="J30" s="96"/>
      <c r="N30" s="73">
        <v>0</v>
      </c>
      <c r="O30" s="74">
        <v>0</v>
      </c>
    </row>
    <row r="31" spans="2:21" x14ac:dyDescent="0.2">
      <c r="B31" t="s">
        <v>17</v>
      </c>
      <c r="C31" s="97">
        <f>ABS(C82)</f>
        <v>2915.5459082608313</v>
      </c>
      <c r="D31" s="174">
        <f>wQ</f>
        <v>2915.5459082608313</v>
      </c>
      <c r="N31" s="73">
        <v>1.9155459082608313</v>
      </c>
      <c r="O31" s="74">
        <v>1.9155459082608313</v>
      </c>
    </row>
    <row r="32" spans="2:21" x14ac:dyDescent="0.2">
      <c r="B32" t="s">
        <v>36</v>
      </c>
      <c r="C32" s="41">
        <f t="array" ref="C32:D32">w*(1+tauL)</f>
        <v>4247.9603745050472</v>
      </c>
      <c r="D32" s="42">
        <v>4247.9603745050472</v>
      </c>
      <c r="N32" s="73">
        <v>1.9155459082608313</v>
      </c>
      <c r="O32" s="74">
        <v>1.9155459082608308</v>
      </c>
      <c r="Q32" s="120">
        <f t="array" ref="Q32:R32">bKL*(Labour/KL)^(rhoKL-1)*pKL/pL-1</f>
        <v>1.3100631690576847E-14</v>
      </c>
      <c r="R32" s="120">
        <v>12.174550119118189</v>
      </c>
      <c r="S32" t="s">
        <v>135</v>
      </c>
    </row>
    <row r="33" spans="2:19" x14ac:dyDescent="0.2">
      <c r="B33" t="s">
        <v>18</v>
      </c>
      <c r="C33" s="154">
        <f>ABS(C83)</f>
        <v>2481.3917394536379</v>
      </c>
      <c r="D33" s="175">
        <f>C33</f>
        <v>2481.3917394536379</v>
      </c>
      <c r="E33" t="s">
        <v>56</v>
      </c>
      <c r="N33" s="73">
        <v>1.4813917394536378</v>
      </c>
      <c r="O33" s="74">
        <v>1.4813917394536378</v>
      </c>
      <c r="Q33" s="120">
        <f t="array" ref="Q33:R33">aKL*(K/KL)^(rhoKL-1)*pKL/pK-1</f>
        <v>-2.4424906541753444E-14</v>
      </c>
      <c r="R33" s="120" t="e">
        <v>#NUM!</v>
      </c>
      <c r="S33" t="s">
        <v>135</v>
      </c>
    </row>
    <row r="34" spans="2:19" ht="10.5" x14ac:dyDescent="0.25">
      <c r="B34" t="s">
        <v>61</v>
      </c>
      <c r="C34" s="97">
        <f t="array" ref="C34:D34">ABS(C84:D84)</f>
        <v>2707.6380007125845</v>
      </c>
      <c r="D34" s="98">
        <v>2603.1605210719185</v>
      </c>
      <c r="J34" s="113" t="s">
        <v>134</v>
      </c>
      <c r="K34" s="120">
        <f t="array" ref="K34:L34">pKL*KL/(pK*K+pL*Labour)-1</f>
        <v>-3.5527136788005009E-15</v>
      </c>
      <c r="L34" s="120" t="e">
        <v>#NUM!</v>
      </c>
      <c r="N34" s="73">
        <v>1.7076380007125844</v>
      </c>
      <c r="O34" s="74">
        <v>1.6031605210719184</v>
      </c>
      <c r="Q34" s="120">
        <f t="array" ref="Q34:R34">(aKL^sigmaKL*pK^(1-sigmaKL)+bKL^sigmaKL*pL^(1-sigmaKL))^((rhoKL-1)/rhoKL)-pKL</f>
        <v>9.0949470177292824E-12</v>
      </c>
      <c r="R34" s="120">
        <v>2.6375346351414919E-11</v>
      </c>
      <c r="S34" t="s">
        <v>135</v>
      </c>
    </row>
    <row r="35" spans="2:19" x14ac:dyDescent="0.2">
      <c r="B35" t="s">
        <v>62</v>
      </c>
      <c r="C35" s="35">
        <f t="array" ref="C35:D35">(aKLE^sigmaKLE*pKL^(1-sigmaKLE)+bKLE^sigmaKLE*pEY^(1-sigmaKLE))^(1/(1-sigmaKLE))</f>
        <v>2967.0976627114183</v>
      </c>
      <c r="D35" s="36">
        <v>11595.917125350888</v>
      </c>
      <c r="N35" s="75">
        <v>1.9670976627114181</v>
      </c>
      <c r="O35" s="76">
        <v>10.595917125350889</v>
      </c>
      <c r="Q35" s="120">
        <f t="array" ref="Q35:R35">(pKL*KL+pEY*alphaEY*Y)/KLE-pKLE</f>
        <v>0</v>
      </c>
      <c r="R35" s="120">
        <v>0</v>
      </c>
    </row>
    <row r="37" spans="2:19" ht="10.5" x14ac:dyDescent="0.25">
      <c r="B37" t="s">
        <v>19</v>
      </c>
      <c r="C37" s="84">
        <f t="array" ref="C37:D37">ABS(C89:D89)</f>
        <v>6937.0855114491969</v>
      </c>
      <c r="D37" s="85">
        <v>2.0327138116356192E-5</v>
      </c>
      <c r="H37" s="63">
        <f t="array" ref="H37:I37">(aX*D^rhoX+bX*X^rhoX)^(1/rhoX)</f>
        <v>6937.0855114491214</v>
      </c>
      <c r="I37" s="64">
        <v>2.0327141540839528E-5</v>
      </c>
      <c r="J37" s="113" t="s">
        <v>120</v>
      </c>
      <c r="K37" s="120">
        <f t="array" ref="K37:L37">H37:I37/Y-1</f>
        <v>-1.0880185641326534E-14</v>
      </c>
      <c r="L37" s="120">
        <v>1.6846854267171807E-7</v>
      </c>
      <c r="N37" s="71">
        <f t="array" ref="N37:O48">VOLUMES/Calibration!VOLUMES-1</f>
        <v>-0.75097523107900388</v>
      </c>
      <c r="O37" s="72">
        <v>-0.99999998356430053</v>
      </c>
      <c r="Q37" s="120">
        <f t="array" ref="Q37:R37">(aY*KLE^rhoY+bY*(alphaMY*Y)^rhoY)^(1/rhoY)-Y</f>
        <v>0</v>
      </c>
      <c r="R37" s="120">
        <v>-2.7105054312137611E-20</v>
      </c>
    </row>
    <row r="38" spans="2:19" x14ac:dyDescent="0.2">
      <c r="B38" t="s">
        <v>3</v>
      </c>
      <c r="C38" s="41">
        <f t="array" ref="C38:D38">(bS/pW)^sigmaS*(aS^sigmaS*pD^(1-sigmaS)+bS^sigmaS*pW^(1-sigmaS))^(-1/rhoS)*S</f>
        <v>4053.0962848446989</v>
      </c>
      <c r="D38" s="42">
        <v>53.710120883408798</v>
      </c>
      <c r="N38" s="73">
        <v>1.1485950673504175</v>
      </c>
      <c r="O38" s="74">
        <v>-0.79561356616673484</v>
      </c>
      <c r="Q38" s="120">
        <f t="array" ref="Q38:R38">pD*D+pW*M-pS*S</f>
        <v>3.0547380447387695E-7</v>
      </c>
      <c r="R38" s="120">
        <v>1.9710569176822901E-8</v>
      </c>
    </row>
    <row r="39" spans="2:19" ht="10.5" x14ac:dyDescent="0.25">
      <c r="B39" t="s">
        <v>127</v>
      </c>
      <c r="C39" s="82">
        <f t="array" ref="C39:D39">ABS(C85:D85)</f>
        <v>9264.0640110671029</v>
      </c>
      <c r="D39" s="83">
        <v>42.256256129999379</v>
      </c>
      <c r="E39" t="s">
        <v>122</v>
      </c>
      <c r="H39" s="63">
        <f t="array" ref="H39:I39">MMULT(Y,TRANSPOSE(alpha))+Consumption+G+I</f>
        <v>9264.0640110670574</v>
      </c>
      <c r="I39" s="64">
        <v>42.256256129980713</v>
      </c>
      <c r="J39" s="113" t="s">
        <v>72</v>
      </c>
      <c r="K39" s="120">
        <f t="array" ref="K39:L39">H39:I39/S-1</f>
        <v>-4.8849813083506888E-15</v>
      </c>
      <c r="L39" s="120">
        <v>-4.4175774149834979E-13</v>
      </c>
      <c r="N39" s="73">
        <v>-0.65104943157872186</v>
      </c>
      <c r="O39" s="74">
        <v>-0.97000000000000031</v>
      </c>
    </row>
    <row r="40" spans="2:19" x14ac:dyDescent="0.2">
      <c r="B40" t="s">
        <v>76</v>
      </c>
      <c r="C40" s="41">
        <f t="array" ref="C40:D40">(aS/pD)^sigmaS*(aS^sigmaS*pD^(1-sigmaS)+bS^sigmaS*pW^(1-sigmaS))^(-1/rhoS)*S</f>
        <v>6766.0239557975092</v>
      </c>
      <c r="D40" s="42">
        <v>2.001870504632376E-5</v>
      </c>
      <c r="F40" s="166"/>
      <c r="N40" s="75">
        <v>-0.72564941060278576</v>
      </c>
      <c r="O40" s="76">
        <v>-0.99999998252793199</v>
      </c>
    </row>
    <row r="41" spans="2:19" ht="10.5" x14ac:dyDescent="0.25">
      <c r="B41" t="s">
        <v>28</v>
      </c>
      <c r="C41" s="41">
        <f>(aU/pCQ)^sigmaU/(aU^sigmaU*pCQ^(1-sigmaU)+bU^sigmaU*pCE^(1-sigmaU))*Revenue</f>
        <v>1716.2204584558103</v>
      </c>
      <c r="D41" s="42">
        <f>(bU/pCE)^sigmaU/(aU^sigmaU*pCQ^(1-sigmaU)+bU^sigmaU*pCE^(1-sigmaU))*Revenue</f>
        <v>25.070873583364911</v>
      </c>
      <c r="E41" t="s">
        <v>57</v>
      </c>
      <c r="H41" s="62" t="s">
        <v>67</v>
      </c>
      <c r="I41" s="94">
        <v>0.98000000000000032</v>
      </c>
      <c r="J41" s="113" t="s">
        <v>73</v>
      </c>
      <c r="K41" s="120">
        <f>Model!SE/(1-I41)/Calibration!SE-1</f>
        <v>0.50000000000000822</v>
      </c>
      <c r="N41" s="73">
        <v>-0.73732409627138051</v>
      </c>
      <c r="O41" s="74">
        <v>-0.93400801957481971</v>
      </c>
    </row>
    <row r="42" spans="2:19" x14ac:dyDescent="0.2">
      <c r="B42" t="s">
        <v>7</v>
      </c>
      <c r="C42" s="116">
        <f t="array" ref="C42">omegaG*GDP/pG</f>
        <v>1033.1260533421273</v>
      </c>
      <c r="D42" s="8">
        <v>0</v>
      </c>
      <c r="N42" s="73">
        <v>-0.68487860802259848</v>
      </c>
      <c r="O42" s="74" t="e">
        <v>#DIV/0!</v>
      </c>
    </row>
    <row r="43" spans="2:19" x14ac:dyDescent="0.2">
      <c r="B43" t="s">
        <v>8</v>
      </c>
      <c r="C43" s="97">
        <f>ABS(C86)</f>
        <v>3196.3846373657216</v>
      </c>
      <c r="D43" s="8">
        <v>0</v>
      </c>
      <c r="J43" s="62"/>
      <c r="N43" s="73">
        <v>0</v>
      </c>
      <c r="O43" s="74" t="e">
        <v>#DIV/0!</v>
      </c>
    </row>
    <row r="44" spans="2:19" x14ac:dyDescent="0.2">
      <c r="B44" t="s">
        <v>0</v>
      </c>
      <c r="C44" s="168">
        <f t="array" ref="C44:D44">(bX/pX)^sigmaX*(aX^sigmaX*pD^(1-sigmaX)+bX^sigmaX*pX^(1-sigmaX))^(-1/rhoX)*Y</f>
        <v>14.291765350994002</v>
      </c>
      <c r="D44" s="169">
        <v>4.6493507567592338E-10</v>
      </c>
      <c r="N44" s="73">
        <v>-0.99552690065302885</v>
      </c>
      <c r="O44" s="74">
        <v>-0.99999999999489153</v>
      </c>
    </row>
    <row r="45" spans="2:19" x14ac:dyDescent="0.2">
      <c r="B45" t="s">
        <v>27</v>
      </c>
      <c r="C45" s="84">
        <f t="array" ref="C45:D45">ABS(C88:D88)</f>
        <v>1300.72518350781</v>
      </c>
      <c r="D45" s="85">
        <v>8.5667310151408985E-7</v>
      </c>
      <c r="H45" s="29"/>
      <c r="N45" s="73">
        <v>-0.74172976297190718</v>
      </c>
      <c r="O45" s="74">
        <v>-0.999999988563256</v>
      </c>
      <c r="Q45" s="120">
        <f t="array" ref="Q45:R45">(bKL/pL)^sigmaKL*(aKL^sigmaKL*pK^(1-sigmaKL)+bKL^sigmaKL*pL^(1-sigmaKL))^(-1/rhoKL)*KL/Labour-1</f>
        <v>9.5479180117763462E-15</v>
      </c>
      <c r="R45" s="120">
        <v>1.167308519617043</v>
      </c>
      <c r="S45" t="s">
        <v>135</v>
      </c>
    </row>
    <row r="46" spans="2:19" x14ac:dyDescent="0.2">
      <c r="B46" t="s">
        <v>2</v>
      </c>
      <c r="C46" s="35">
        <f t="array" ref="C46:D46">(KL^rhoKL/aKL-bKL*Labour^rhoKL/aKL)^(1/rhoKL)</f>
        <v>1827.9975891015322</v>
      </c>
      <c r="D46" s="36" t="e">
        <v>#NUM!</v>
      </c>
      <c r="N46" s="73">
        <v>-0.71549553120926057</v>
      </c>
      <c r="O46" s="74" t="e">
        <v>#NUM!</v>
      </c>
      <c r="Q46" s="120">
        <f t="array" ref="Q46:R46">(aKL/pK)^sigmaKL*(aKL^sigmaKL*pK^(1-sigmaKL)+bKL^sigmaKL*pL^(1-sigmaKL))^(-1/rhoKL)*KL/K-1</f>
        <v>-1.3766765505351941E-14</v>
      </c>
      <c r="R46" s="120" t="e">
        <v>#NUM!</v>
      </c>
      <c r="S46" t="s">
        <v>135</v>
      </c>
    </row>
    <row r="47" spans="2:19" x14ac:dyDescent="0.2">
      <c r="B47" t="s">
        <v>35</v>
      </c>
      <c r="C47" s="41">
        <f t="array" ref="C47:D47">(aKLE/pKL)^sigmaKLE*(aKLE^sigmaKLE*pKL^(1-sigmaKLE)+bKLE^sigmaKLE*pEY^(1-sigmaKLE))^(-1/rhoKLE)*KLE</f>
        <v>3715.935125874189</v>
      </c>
      <c r="D47" s="42">
        <v>9.8054748307513376E-6</v>
      </c>
      <c r="N47" s="73">
        <v>-0.73000735638503744</v>
      </c>
      <c r="O47" s="74">
        <v>-0.99999997435582</v>
      </c>
      <c r="Q47" s="120">
        <f t="array" ref="Q47:R47">(aKL*K^rhoKL+bKL*Labour^rhoKL)^(1/rhoKL)-KL</f>
        <v>0</v>
      </c>
      <c r="R47" s="120" t="e">
        <v>#NUM!</v>
      </c>
    </row>
    <row r="48" spans="2:19" x14ac:dyDescent="0.2">
      <c r="B48" t="s">
        <v>53</v>
      </c>
      <c r="C48" s="35">
        <f t="array" ref="C48:D48">(aY/pKLE)^sigmaY*(aY^sigmaY*pKLE^(1-sigmaY)+bY^sigmaY*pMY^(1-sigmaY))^(-1/rhoY)*Y</f>
        <v>3535.5048743390062</v>
      </c>
      <c r="D48" s="36">
        <v>9.9300273186828517E-6</v>
      </c>
      <c r="N48" s="75">
        <v>-0.75384238351666921</v>
      </c>
      <c r="O48" s="76">
        <v>-0.99999998784970734</v>
      </c>
      <c r="Q48" s="120">
        <f t="array" ref="Q48:R48">(aKLE*KL^rhoKLE+bKLE*(alphaEY*Y)^rhoKLE)^(1/rhoKLE)-KLE</f>
        <v>6.4119376474991441E-11</v>
      </c>
      <c r="R48" s="120">
        <v>0</v>
      </c>
    </row>
    <row r="50" spans="2:38" x14ac:dyDescent="0.2">
      <c r="B50" t="s">
        <v>26</v>
      </c>
      <c r="C50" s="91">
        <f t="array" ref="C50:D50">Calibration!tauL</f>
        <v>0.45700342514552333</v>
      </c>
      <c r="D50" s="92">
        <v>0.4570034251455235</v>
      </c>
    </row>
    <row r="51" spans="2:38" x14ac:dyDescent="0.2">
      <c r="B51" t="s">
        <v>20</v>
      </c>
      <c r="C51" s="234">
        <f t="array" ref="C51:D51">Calibration!tauY</f>
        <v>4.9682236719384319E-3</v>
      </c>
      <c r="D51" s="235">
        <v>1.7038360552061892E-2</v>
      </c>
    </row>
    <row r="52" spans="2:38" x14ac:dyDescent="0.2">
      <c r="B52" t="s">
        <v>152</v>
      </c>
      <c r="C52" s="93">
        <f>Calibration!C52</f>
        <v>1.5911682542747503E-2</v>
      </c>
      <c r="D52" s="225">
        <f>D86</f>
        <v>18.629541858234877</v>
      </c>
      <c r="J52" s="29"/>
      <c r="AA52" s="81"/>
    </row>
    <row r="53" spans="2:38" x14ac:dyDescent="0.2">
      <c r="C53" s="29"/>
      <c r="D53" s="29"/>
      <c r="Y53" s="81"/>
      <c r="AA53" s="81"/>
      <c r="AC53" s="81"/>
    </row>
    <row r="54" spans="2:38" ht="10.5" x14ac:dyDescent="0.25">
      <c r="C54" s="29"/>
      <c r="D54" s="29"/>
      <c r="K54" s="194" t="s">
        <v>157</v>
      </c>
      <c r="U54" s="136" t="s">
        <v>89</v>
      </c>
      <c r="W54" s="136" t="s">
        <v>90</v>
      </c>
      <c r="Y54" s="136" t="s">
        <v>163</v>
      </c>
      <c r="AA54" s="194" t="s">
        <v>144</v>
      </c>
      <c r="AC54" s="194" t="s">
        <v>162</v>
      </c>
      <c r="AE54" s="194" t="s">
        <v>146</v>
      </c>
      <c r="AG54" s="194" t="s">
        <v>158</v>
      </c>
      <c r="AI54" s="194" t="s">
        <v>157</v>
      </c>
      <c r="AK54" s="194" t="s">
        <v>148</v>
      </c>
    </row>
    <row r="55" spans="2:38" ht="10.5" x14ac:dyDescent="0.25">
      <c r="B55" t="s">
        <v>48</v>
      </c>
      <c r="C55" s="119">
        <f t="array" ref="C55">SUM(w*tauL*Labour+tauY/(1+tauY)*pY*Y+tauTS*pS*S)</f>
        <v>3193154.2796322554</v>
      </c>
      <c r="J55" s="113" t="s">
        <v>71</v>
      </c>
      <c r="K55" s="120">
        <f t="array" ref="K55">pK/pI/Calibration!pK*Calibration!pI-1</f>
        <v>0</v>
      </c>
      <c r="N55" s="77">
        <f t="array" ref="N55:N59">AGGREGATES/Calibration!AGGREGATES-1</f>
        <v>9.1740143291015652E-2</v>
      </c>
      <c r="T55" s="113" t="s">
        <v>137</v>
      </c>
      <c r="U55" s="120" t="e">
        <f>SUM(K)/SUM(Calibration!K)-1</f>
        <v>#NUM!</v>
      </c>
      <c r="W55" s="120" t="e">
        <f>SUM(K)/SUM(Calibration!K)-1</f>
        <v>#NUM!</v>
      </c>
      <c r="Y55" s="120" t="e">
        <f>SUM(K)/SUM(Calibration!K)-1</f>
        <v>#NUM!</v>
      </c>
      <c r="AA55" s="120" t="e">
        <f>SUM(K)/SUM(Calibration!K)-1</f>
        <v>#NUM!</v>
      </c>
      <c r="AC55" s="120" t="e">
        <f>SUM(K)/SUM(Calibration!K)-1</f>
        <v>#NUM!</v>
      </c>
      <c r="AE55" s="120" t="e">
        <f>SUM(K)/SUM(Calibration!K)-1</f>
        <v>#NUM!</v>
      </c>
      <c r="AG55" s="120" t="e">
        <f t="array" ref="AG55">pK/pI/Calibration!pK*Calibration!pI*20%^sigmaw*(20%+80%*(SUM(Calibration!K)-SUM(K))/SUM(Calibration!K))^-sigmaw-1</f>
        <v>#NUM!</v>
      </c>
      <c r="AI55" s="120">
        <f t="array" ref="AI55">pK/pI/Calibration!pK*Calibration!pI-1</f>
        <v>0</v>
      </c>
      <c r="AK55" s="120" t="e">
        <f>SUM(K)/SUM(Calibration!K)-1</f>
        <v>#NUM!</v>
      </c>
    </row>
    <row r="56" spans="2:38" ht="10.5" x14ac:dyDescent="0.25">
      <c r="B56" t="s">
        <v>47</v>
      </c>
      <c r="C56" s="80">
        <f>(aU*CQ^rhoU+bU*CE^rhoU)^(1/rhoU)</f>
        <v>0.23329741121827807</v>
      </c>
      <c r="J56" s="113" t="s">
        <v>74</v>
      </c>
      <c r="K56" s="120">
        <f t="array" ref="K56">w/CPI/Calibration!w*10.8%^sigmaw*(10.8%+89.2%*(SUM(Calibration!Labour)-SUM(Labour))/SUM(Calibration!Labour))^-sigmaw-1</f>
        <v>1.1266987343105939E-11</v>
      </c>
      <c r="N56" s="78">
        <v>-0.76670258878172193</v>
      </c>
      <c r="T56" s="113" t="s">
        <v>138</v>
      </c>
      <c r="U56" s="120">
        <f>SUM(Labour)/SUM(Calibration!Labour)-1</f>
        <v>-0.74551474781167815</v>
      </c>
      <c r="W56" s="120">
        <f>SUM(Labour)/SUM(Calibration!Labour)-1</f>
        <v>-0.74551474781167815</v>
      </c>
      <c r="Y56" s="120">
        <f>SUM(Labour)/SUM(Calibration!Labour)-1</f>
        <v>-0.74551474781167815</v>
      </c>
      <c r="AA56" s="120">
        <f t="array" ref="AA56">omegaI*GDP/SUM(pI*I)-1</f>
        <v>-0.68487860802259837</v>
      </c>
      <c r="AC56" s="120">
        <f t="array" ref="AC56">w/CPI/Calibration!w-1</f>
        <v>-9.3720332146941976E-2</v>
      </c>
      <c r="AE56" s="120">
        <f t="array" ref="AE56">w/CPI/Calibration!w-1</f>
        <v>-9.3720332146941976E-2</v>
      </c>
      <c r="AG56" s="120">
        <f t="array" ref="AG56">w/CPI/Calibration!w*10.8%^sigmaw*(10.8%+89.2%*(SUM(Calibration!Labour)-SUM(Labour))/SUM(Calibration!Labour))^-sigmaw-1</f>
        <v>1.1266987343105939E-11</v>
      </c>
      <c r="AI56" s="120">
        <f t="array" ref="AI56">w/CPI/Calibration!w*10.8%^sigmaw*(10.8%+89.2%*(SUM(Calibration!Labour)-SUM(Labour))/SUM(Calibration!Labour))^-sigmaw-1</f>
        <v>1.1266987343105939E-11</v>
      </c>
      <c r="AK56" s="120">
        <f t="array" ref="AK56">w/CPI/Calibration!w-1</f>
        <v>-9.3720332146941976E-2</v>
      </c>
    </row>
    <row r="57" spans="2:38" ht="10.5" x14ac:dyDescent="0.25">
      <c r="B57" t="s">
        <v>64</v>
      </c>
      <c r="C57" s="86">
        <f>ABS(C87)</f>
        <v>11521456.407900358</v>
      </c>
      <c r="J57" s="113" t="s">
        <v>88</v>
      </c>
      <c r="K57" s="120" t="e">
        <f t="array" ref="K57">I/SUM(K)/Calibration!I*SUM(K)-1</f>
        <v>#NUM!</v>
      </c>
      <c r="N57" s="78">
        <v>-0.21806038102214409</v>
      </c>
      <c r="Q57" s="120">
        <f t="array" ref="Q57">(SUM(pC*Consumption+pG*G+pI*I)+B)/GDP-1</f>
        <v>0</v>
      </c>
      <c r="R57" s="120" t="e">
        <f t="array" ref="R57">SUM(w*Labour,pK*K,T)/GDP-1</f>
        <v>#NUM!</v>
      </c>
      <c r="T57" s="113" t="s">
        <v>139</v>
      </c>
      <c r="U57" s="120">
        <f>B/GDP/Calibration!B*Calibration!GDP-1</f>
        <v>-5.6036533095757184</v>
      </c>
      <c r="W57" s="120">
        <f>B/GDP/Calibration!B*Calibration!GDP-1</f>
        <v>-5.6036533095757184</v>
      </c>
      <c r="Y57" s="120">
        <f>B/GDP/Calibration!B*Calibration!GDP-1</f>
        <v>-5.6036533095757184</v>
      </c>
      <c r="AA57" s="120">
        <f>B/GDP/Calibration!B*Calibration!GDP-1</f>
        <v>-5.6036533095757184</v>
      </c>
      <c r="AC57" s="120">
        <f>B/GDP/Calibration!B*Calibration!GDP-1</f>
        <v>-5.6036533095757184</v>
      </c>
      <c r="AE57" s="120">
        <f>B/GDP/Calibration!B*Calibration!GDP-1</f>
        <v>-5.6036533095757184</v>
      </c>
      <c r="AG57" s="120">
        <f>B/GDP/Calibration!B*Calibration!GDP-1</f>
        <v>-5.6036533095757184</v>
      </c>
      <c r="AI57" s="120" t="e">
        <f t="array" ref="AI57">I/SUM(K)/Calibration!I*SUM(K)-1</f>
        <v>#NUM!</v>
      </c>
      <c r="AK57" s="120">
        <f>B/GDP/Calibration!B*Calibration!GDP-1</f>
        <v>-5.6036533095757184</v>
      </c>
    </row>
    <row r="58" spans="2:38" ht="10.5" x14ac:dyDescent="0.25">
      <c r="B58" t="s">
        <v>54</v>
      </c>
      <c r="C58" s="117">
        <f t="array" ref="C58">GDP-SUM(pG*G,pI*I,B)</f>
        <v>4951903.8903373592</v>
      </c>
      <c r="J58" s="113" t="s">
        <v>136</v>
      </c>
      <c r="K58" s="120">
        <f t="array" ref="K58:L58">bKL*(KL/Labour)^(1/sigmaKL)*pKL/pL-1</f>
        <v>1.3100631690576847E-14</v>
      </c>
      <c r="L58" s="120">
        <v>12.174550119118189</v>
      </c>
      <c r="N58" s="78">
        <v>-0.2945669910340234</v>
      </c>
      <c r="Q58" s="120">
        <f t="array" ref="Q58">SUM(pC*Consumption)-Revenue</f>
        <v>0</v>
      </c>
      <c r="T58" s="113" t="s">
        <v>140</v>
      </c>
      <c r="U58" s="120">
        <f t="array" ref="U58:V58">bKL*(KL/Labour)^(1/sigmaKL)*pKL/pL-1</f>
        <v>1.3100631690576847E-14</v>
      </c>
      <c r="V58" s="120">
        <v>12.174550119118189</v>
      </c>
      <c r="W58" s="120">
        <f t="array" ref="W58:X58">bKL*(KL/Labour)^(1/sigmaKL)*pKL/pL-1</f>
        <v>1.3100631690576847E-14</v>
      </c>
      <c r="X58" s="120">
        <v>12.174550119118189</v>
      </c>
      <c r="Y58" s="120">
        <f t="array" ref="Y58">omegaI*GDP/SUM(pI*I)-1</f>
        <v>-0.68487860802259837</v>
      </c>
      <c r="Z58" s="120">
        <f>Labour_Q/KL_Q/Calibration!Labour_Q*Calibration!KL_Q-Labour_E/KL_E/Calibration!Labour_E*Calibration!KL_E</f>
        <v>0.51060434671377886</v>
      </c>
      <c r="AA58" s="120">
        <f t="array" ref="AA58:AB58">bKL*(KL/Labour)^(1/sigmaKL)*pKL/pL-1</f>
        <v>1.3100631690576847E-14</v>
      </c>
      <c r="AB58" s="120">
        <v>12.174550119118189</v>
      </c>
      <c r="AC58" s="120">
        <f t="array" ref="AC58">omegaI*GDP/SUM(pI*I)-1</f>
        <v>-0.68487860802259837</v>
      </c>
      <c r="AD58" s="120">
        <f>Labour_Q/KL_Q/Calibration!Labour_Q*Calibration!KL_Q-Labour_E/KL_E/Calibration!Labour_E*Calibration!KL_E</f>
        <v>0.51060434671377886</v>
      </c>
      <c r="AE58" s="120">
        <f t="array" ref="AE58">omegaI*GDP/SUM(pI*I)-1</f>
        <v>-0.68487860802259837</v>
      </c>
      <c r="AF58" s="120">
        <f>Labour_Q/KL_Q/Calibration!Labour_Q*Calibration!KL_Q-Labour_E/KL_E/Calibration!Labour_E*Calibration!KL_E</f>
        <v>0.51060434671377886</v>
      </c>
      <c r="AG58" s="120">
        <f t="array" ref="AG58:AH58">bKL*(KL/Labour)^(1/sigmaKL)*pKL/pL-1</f>
        <v>1.3100631690576847E-14</v>
      </c>
      <c r="AH58" s="120">
        <v>12.174550119118189</v>
      </c>
      <c r="AI58" s="120">
        <f t="array" ref="AI58:AJ58">bKL*(KL/Labour)^(1/sigmaKL)*pKL/pL-1</f>
        <v>1.3100631690576847E-14</v>
      </c>
      <c r="AJ58" s="120">
        <v>12.174550119118189</v>
      </c>
      <c r="AK58" s="120">
        <f t="array" ref="AK58">(pI*I)/(Calibration!pI*Calibration!I)-1</f>
        <v>1.4813917394536373</v>
      </c>
      <c r="AL58" s="120">
        <f>Labour_Q/KL_Q/Calibration!Labour_Q*Calibration!KL_Q-Labour_E/KL_E/Calibration!Labour_E*Calibration!KL_E</f>
        <v>0.51060434671377886</v>
      </c>
    </row>
    <row r="59" spans="2:38" ht="10.5" x14ac:dyDescent="0.25">
      <c r="B59" t="s">
        <v>75</v>
      </c>
      <c r="C59" s="117">
        <f t="array" ref="C59">SUM(pX*X - pW*M)</f>
        <v>-4092514.6403766484</v>
      </c>
      <c r="J59" s="113" t="s">
        <v>70</v>
      </c>
      <c r="K59" s="120" t="e">
        <f t="array" ref="K59">(sL*(SUM(w*Labour))+sG*(T-SUM(pG*G))+sK*SUM(pK*K)-B)/SUM(pI*I)-1</f>
        <v>#NUM!</v>
      </c>
      <c r="N59" s="79">
        <v>-4.5997789147957828</v>
      </c>
      <c r="T59" s="113" t="s">
        <v>141</v>
      </c>
      <c r="U59" s="120" t="e">
        <f t="array" ref="U59">(sL*(SUM(w*Labour))+sG*(T-SUM(pG*G))+sK*SUM(pK*K)-B)/SUM(pI*I)-1</f>
        <v>#NUM!</v>
      </c>
      <c r="W59" s="120">
        <f t="array" ref="W59">omegaI*GDP/SUM(pI*I)-1</f>
        <v>-0.68487860802259837</v>
      </c>
      <c r="Y59" s="120" t="e">
        <f t="array" ref="Y59">(sL*(SUM(w*Labour))+sG*(T-SUM(pG*G))+sK*SUM(pK*K)-B)/SUM(pI*I)-1</f>
        <v>#NUM!</v>
      </c>
      <c r="AA59" s="120" t="e">
        <f t="array" ref="AA59">(sL*(SUM(w*Labour))+sG*(T-SUM(pG*G))+sK*SUM(pK*K)-B)/SUM(pI*I)-1</f>
        <v>#NUM!</v>
      </c>
      <c r="AC59" s="120" t="e">
        <f t="array" ref="AC59">(sL*(SUM(w*Labour))+sG*(T-SUM(pG*G))+sK*SUM(pK*K)-B)/SUM(pI*I)-1</f>
        <v>#NUM!</v>
      </c>
      <c r="AE59" s="120" t="e">
        <f t="array" ref="AE59">(sL*(SUM(w*Labour))+sG*(T-SUM(pG*G))+sK*SUM(pK*K)-B)/SUM(pI*I)-1</f>
        <v>#NUM!</v>
      </c>
      <c r="AG59" s="120" t="e">
        <f t="array" ref="AG59">(sL*(SUM(w*Labour))+sG*(T-SUM(pG*G))+sK*SUM(pK*K)-B)/SUM(pI*I)-1</f>
        <v>#NUM!</v>
      </c>
      <c r="AI59" s="120" t="e">
        <f t="array" ref="AI59">(sL*(SUM(w*Labour))+sG*(T-SUM(pG*G))+sK*SUM(pK*K)-B)/SUM(pI*I)-1</f>
        <v>#NUM!</v>
      </c>
      <c r="AK59" s="120" t="e">
        <f t="array" ref="AK59">(sL*(SUM(w*Labour))+sG*(T-SUM(pG*G))+sK*SUM(pK*K)-B)/SUM(pI*I)-1</f>
        <v>#NUM!</v>
      </c>
    </row>
    <row r="60" spans="2:38" ht="10.5" x14ac:dyDescent="0.25">
      <c r="B60" t="s">
        <v>161</v>
      </c>
      <c r="C60" s="232">
        <f t="array" ref="C60">SQRT(SUM(pC*Calibration!Consumption)*SUM(pC*Consumption)/SUM(Calibration!pC*Calibration!Consumption)/SUM(Calibration!pC*Consumption))</f>
        <v>3.217048789329731</v>
      </c>
      <c r="J60" s="113" t="s">
        <v>91</v>
      </c>
      <c r="K60" s="176">
        <v>0.40093276768106162</v>
      </c>
      <c r="N60" s="134"/>
      <c r="T60" s="113" t="s">
        <v>91</v>
      </c>
      <c r="U60" s="176">
        <v>0.40093276768106162</v>
      </c>
      <c r="W60" s="176">
        <v>0.40093276768106162</v>
      </c>
      <c r="Y60" s="176">
        <v>0</v>
      </c>
      <c r="AA60" s="176">
        <v>0.40093276768106162</v>
      </c>
      <c r="AC60" s="176">
        <v>0.40093276768106162</v>
      </c>
      <c r="AE60" s="176">
        <v>0</v>
      </c>
      <c r="AG60" s="176">
        <v>0.40093276768106162</v>
      </c>
      <c r="AI60" s="176">
        <v>0.40093276768106162</v>
      </c>
      <c r="AK60" s="176">
        <v>0.40093276768106162</v>
      </c>
    </row>
    <row r="61" spans="2:38" ht="10.5" x14ac:dyDescent="0.25">
      <c r="C61" s="29"/>
      <c r="O61" s="96"/>
      <c r="P61" s="96"/>
      <c r="Q61" s="96"/>
      <c r="R61" s="96"/>
    </row>
    <row r="62" spans="2:38" x14ac:dyDescent="0.2">
      <c r="B62" t="s">
        <v>111</v>
      </c>
      <c r="C62" s="192">
        <f>Calibration!omegaG</f>
        <v>0.22604620456442484</v>
      </c>
      <c r="D62" t="s">
        <v>81</v>
      </c>
    </row>
    <row r="63" spans="2:38" x14ac:dyDescent="0.2">
      <c r="B63" t="s">
        <v>112</v>
      </c>
      <c r="C63" s="192">
        <f>Calibration!omegaI</f>
        <v>0.22038438833194082</v>
      </c>
      <c r="D63" t="s">
        <v>82</v>
      </c>
    </row>
    <row r="64" spans="2:38" x14ac:dyDescent="0.2">
      <c r="B64" t="s">
        <v>98</v>
      </c>
      <c r="C64" s="163">
        <f t="array" ref="C64">(SUM(pI*I)+B)/GDP</f>
        <v>0.34415536414161146</v>
      </c>
      <c r="D64" t="s">
        <v>113</v>
      </c>
    </row>
    <row r="65" spans="2:15" x14ac:dyDescent="0.2">
      <c r="B65" t="s">
        <v>84</v>
      </c>
      <c r="C65" s="192">
        <f>Calibration!sK</f>
        <v>0.40915789876687553</v>
      </c>
      <c r="D65" t="s">
        <v>114</v>
      </c>
    </row>
    <row r="66" spans="2:15" x14ac:dyDescent="0.2">
      <c r="B66" t="s">
        <v>85</v>
      </c>
      <c r="C66" s="192">
        <f>Calibration!sL</f>
        <v>0.40093276768106162</v>
      </c>
      <c r="D66" t="s">
        <v>115</v>
      </c>
    </row>
    <row r="67" spans="2:15" x14ac:dyDescent="0.2">
      <c r="B67" t="s">
        <v>123</v>
      </c>
      <c r="C67" s="192">
        <f>Calibration!sG</f>
        <v>1</v>
      </c>
      <c r="D67" t="s">
        <v>153</v>
      </c>
    </row>
    <row r="69" spans="2:15" x14ac:dyDescent="0.2">
      <c r="C69" s="137"/>
    </row>
    <row r="70" spans="2:15" x14ac:dyDescent="0.2">
      <c r="B70" t="s">
        <v>21</v>
      </c>
      <c r="C70" s="37">
        <f t="array" ref="C70:D70">(bY/pMY)^sigmaY*(aY^sigmaY*pKLE^(1-sigmaY)+bY^sigmaY*pMY^(1-sigmaY))^(-1/rhoY)</f>
        <v>0.4783468276976478</v>
      </c>
      <c r="D70" s="38">
        <v>0.6904247664966483</v>
      </c>
      <c r="E70" t="s">
        <v>24</v>
      </c>
      <c r="N70" s="71">
        <f t="array" ref="N70:O73">FACTORS/Calibration!FACTORS-1</f>
        <v>1.3537550701942624E-2</v>
      </c>
      <c r="O70" s="72">
        <v>1.1753311957910544</v>
      </c>
    </row>
    <row r="71" spans="2:15" x14ac:dyDescent="0.2">
      <c r="C71" s="39">
        <f t="array" ref="C71:D71">(bKLE/pEY)^sigmaKLE*(aKLE^sigmaKLE*pKL^(1-sigmaKLE)+bKLE^sigmaKLE*pEY^(1-sigmaKLE))^(-1/rhoKLE)*KLE/Y</f>
        <v>2.4773197513877675E-3</v>
      </c>
      <c r="D71" s="40">
        <v>0.17671138798636046</v>
      </c>
      <c r="E71" t="s">
        <v>25</v>
      </c>
      <c r="N71" s="73">
        <v>-0.88425479728065814</v>
      </c>
      <c r="O71" s="74">
        <v>-0.49456822716228621</v>
      </c>
    </row>
    <row r="72" spans="2:15" x14ac:dyDescent="0.2">
      <c r="B72" t="s">
        <v>22</v>
      </c>
      <c r="C72" s="37">
        <f t="array" ref="C72:D72">Labour/Y</f>
        <v>0.18750312092319604</v>
      </c>
      <c r="D72" s="38">
        <v>4.2144304653726414E-2</v>
      </c>
      <c r="N72" s="73">
        <v>3.712670087861758E-2</v>
      </c>
      <c r="O72" s="74">
        <v>-0.30415228316786769</v>
      </c>
    </row>
    <row r="73" spans="2:15" x14ac:dyDescent="0.2">
      <c r="B73" t="s">
        <v>23</v>
      </c>
      <c r="C73" s="39">
        <f t="array" ref="C73:D73">K/Y</f>
        <v>0.26351089172600567</v>
      </c>
      <c r="D73" s="40" t="e">
        <v>#NUM!</v>
      </c>
      <c r="N73" s="75">
        <v>0.1424745820404687</v>
      </c>
      <c r="O73" s="76" t="e">
        <v>#NUM!</v>
      </c>
    </row>
    <row r="79" spans="2:15" ht="10.5" x14ac:dyDescent="0.25">
      <c r="B79" s="96" t="s">
        <v>106</v>
      </c>
    </row>
    <row r="80" spans="2:15" x14ac:dyDescent="0.2">
      <c r="B80" t="s">
        <v>12</v>
      </c>
      <c r="C80" s="84">
        <v>2731.5458862463834</v>
      </c>
      <c r="D80" s="85">
        <v>7531.3782154127421</v>
      </c>
    </row>
    <row r="81" spans="2:5" x14ac:dyDescent="0.2">
      <c r="B81" t="s">
        <v>128</v>
      </c>
      <c r="C81" s="97">
        <v>2481.3917394536379</v>
      </c>
      <c r="D81" s="98">
        <v>1271.0608769758969</v>
      </c>
    </row>
    <row r="82" spans="2:5" x14ac:dyDescent="0.2">
      <c r="B82" t="s">
        <v>17</v>
      </c>
      <c r="C82" s="97">
        <v>2915.5459082608313</v>
      </c>
      <c r="D82" s="98">
        <v>1000</v>
      </c>
    </row>
    <row r="83" spans="2:5" x14ac:dyDescent="0.2">
      <c r="B83" t="s">
        <v>18</v>
      </c>
      <c r="C83" s="156">
        <v>2481.3917394536379</v>
      </c>
      <c r="D83" s="157">
        <v>1000</v>
      </c>
    </row>
    <row r="84" spans="2:5" x14ac:dyDescent="0.2">
      <c r="B84" t="s">
        <v>61</v>
      </c>
      <c r="C84" s="156">
        <v>2707.6380007125845</v>
      </c>
      <c r="D84" s="157">
        <v>2603.1605210719185</v>
      </c>
    </row>
    <row r="85" spans="2:5" x14ac:dyDescent="0.2">
      <c r="B85" t="s">
        <v>127</v>
      </c>
      <c r="C85" s="82">
        <v>9264.0640110671029</v>
      </c>
      <c r="D85" s="83">
        <v>42.256256129999379</v>
      </c>
    </row>
    <row r="86" spans="2:5" x14ac:dyDescent="0.2">
      <c r="B86" t="s">
        <v>8</v>
      </c>
      <c r="C86" s="97">
        <v>3196.3846373657216</v>
      </c>
      <c r="D86" s="224">
        <v>18.629541858234877</v>
      </c>
      <c r="E86" t="s">
        <v>164</v>
      </c>
    </row>
    <row r="87" spans="2:5" x14ac:dyDescent="0.2">
      <c r="B87" t="s">
        <v>64</v>
      </c>
      <c r="C87" s="159">
        <v>11521456.407900358</v>
      </c>
      <c r="D87" s="160">
        <v>0</v>
      </c>
    </row>
    <row r="88" spans="2:5" x14ac:dyDescent="0.2">
      <c r="B88" t="s">
        <v>27</v>
      </c>
      <c r="C88" s="159">
        <v>1300.72518350781</v>
      </c>
      <c r="D88" s="167">
        <v>8.5667310151408985E-7</v>
      </c>
    </row>
    <row r="89" spans="2:5" x14ac:dyDescent="0.2">
      <c r="B89" t="s">
        <v>19</v>
      </c>
      <c r="C89" s="158">
        <v>6937.0855114491969</v>
      </c>
      <c r="D89" s="161">
        <v>2.0327138116356192E-5</v>
      </c>
    </row>
  </sheetData>
  <conditionalFormatting sqref="K21:L21">
    <cfRule type="cellIs" dxfId="87" priority="1706" stopIfTrue="1" operator="notEqual">
      <formula>0</formula>
    </cfRule>
  </conditionalFormatting>
  <conditionalFormatting sqref="Q48:R48">
    <cfRule type="cellIs" dxfId="86" priority="1695" stopIfTrue="1" operator="notEqual">
      <formula>0</formula>
    </cfRule>
  </conditionalFormatting>
  <conditionalFormatting sqref="K39:L39">
    <cfRule type="cellIs" dxfId="85" priority="1703" stopIfTrue="1" operator="notEqual">
      <formula>0</formula>
    </cfRule>
  </conditionalFormatting>
  <conditionalFormatting sqref="K41">
    <cfRule type="cellIs" dxfId="84" priority="1702" stopIfTrue="1" operator="notEqual">
      <formula>0</formula>
    </cfRule>
  </conditionalFormatting>
  <conditionalFormatting sqref="Q47:R47">
    <cfRule type="cellIs" dxfId="83" priority="1700" stopIfTrue="1" operator="notEqual">
      <formula>0</formula>
    </cfRule>
  </conditionalFormatting>
  <conditionalFormatting sqref="Q37:R37">
    <cfRule type="cellIs" dxfId="82" priority="1697" stopIfTrue="1" operator="notEqual">
      <formula>0</formula>
    </cfRule>
  </conditionalFormatting>
  <conditionalFormatting sqref="R57">
    <cfRule type="cellIs" dxfId="81" priority="1691" stopIfTrue="1" operator="notEqual">
      <formula>0</formula>
    </cfRule>
  </conditionalFormatting>
  <conditionalFormatting sqref="Q57:Q58">
    <cfRule type="cellIs" dxfId="80" priority="1693" stopIfTrue="1" operator="notEqual">
      <formula>0</formula>
    </cfRule>
  </conditionalFormatting>
  <conditionalFormatting sqref="W59">
    <cfRule type="cellIs" dxfId="79" priority="1638" stopIfTrue="1" operator="notEqual">
      <formula>0</formula>
    </cfRule>
  </conditionalFormatting>
  <conditionalFormatting sqref="K37:L37">
    <cfRule type="cellIs" dxfId="78" priority="1272" stopIfTrue="1" operator="notEqual">
      <formula>0</formula>
    </cfRule>
  </conditionalFormatting>
  <conditionalFormatting sqref="Q21:R21">
    <cfRule type="cellIs" dxfId="77" priority="1255" stopIfTrue="1" operator="notEqual">
      <formula>0</formula>
    </cfRule>
  </conditionalFormatting>
  <conditionalFormatting sqref="Q23:R23">
    <cfRule type="cellIs" dxfId="76" priority="1259" stopIfTrue="1" operator="notEqual">
      <formula>0</formula>
    </cfRule>
  </conditionalFormatting>
  <conditionalFormatting sqref="Q38:R38">
    <cfRule type="cellIs" dxfId="75" priority="1258" stopIfTrue="1" operator="notEqual">
      <formula>0</formula>
    </cfRule>
  </conditionalFormatting>
  <conditionalFormatting sqref="Q34:R34">
    <cfRule type="cellIs" dxfId="74" priority="1257" stopIfTrue="1" operator="notEqual">
      <formula>0</formula>
    </cfRule>
  </conditionalFormatting>
  <conditionalFormatting sqref="Q35:R35">
    <cfRule type="cellIs" dxfId="73" priority="1256" stopIfTrue="1" operator="notEqual">
      <formula>0</formula>
    </cfRule>
  </conditionalFormatting>
  <conditionalFormatting sqref="K23:L23">
    <cfRule type="cellIs" dxfId="72" priority="1254" stopIfTrue="1" operator="notEqual">
      <formula>0</formula>
    </cfRule>
  </conditionalFormatting>
  <conditionalFormatting sqref="K34:L34">
    <cfRule type="cellIs" dxfId="71" priority="1025" stopIfTrue="1" operator="notEqual">
      <formula>0</formula>
    </cfRule>
  </conditionalFormatting>
  <conditionalFormatting sqref="Q33:R33">
    <cfRule type="cellIs" dxfId="70" priority="1019" stopIfTrue="1" operator="notEqual">
      <formula>0</formula>
    </cfRule>
  </conditionalFormatting>
  <conditionalFormatting sqref="Q46:R46">
    <cfRule type="cellIs" dxfId="69" priority="1023" stopIfTrue="1" operator="notEqual">
      <formula>0</formula>
    </cfRule>
  </conditionalFormatting>
  <conditionalFormatting sqref="Q45:R45">
    <cfRule type="cellIs" dxfId="68" priority="1024" stopIfTrue="1" operator="notEqual">
      <formula>0</formula>
    </cfRule>
  </conditionalFormatting>
  <conditionalFormatting sqref="W58">
    <cfRule type="cellIs" dxfId="67" priority="1010" stopIfTrue="1" operator="notEqual">
      <formula>0</formula>
    </cfRule>
  </conditionalFormatting>
  <conditionalFormatting sqref="Q32:R32">
    <cfRule type="cellIs" dxfId="66" priority="1020" stopIfTrue="1" operator="notEqual">
      <formula>0</formula>
    </cfRule>
  </conditionalFormatting>
  <conditionalFormatting sqref="X58">
    <cfRule type="cellIs" dxfId="65" priority="1009" stopIfTrue="1" operator="notEqual">
      <formula>0</formula>
    </cfRule>
  </conditionalFormatting>
  <conditionalFormatting sqref="W55">
    <cfRule type="cellIs" dxfId="64" priority="968" stopIfTrue="1" operator="notEqual">
      <formula>0</formula>
    </cfRule>
  </conditionalFormatting>
  <conditionalFormatting sqref="W56">
    <cfRule type="cellIs" dxfId="63" priority="967" stopIfTrue="1" operator="notEqual">
      <formula>0</formula>
    </cfRule>
  </conditionalFormatting>
  <conditionalFormatting sqref="Y55">
    <cfRule type="cellIs" dxfId="62" priority="965" stopIfTrue="1" operator="notEqual">
      <formula>0</formula>
    </cfRule>
  </conditionalFormatting>
  <conditionalFormatting sqref="Y56">
    <cfRule type="cellIs" dxfId="61" priority="964" stopIfTrue="1" operator="notEqual">
      <formula>0</formula>
    </cfRule>
  </conditionalFormatting>
  <conditionalFormatting sqref="AA59">
    <cfRule type="cellIs" dxfId="60" priority="961" stopIfTrue="1" operator="notEqual">
      <formula>0</formula>
    </cfRule>
  </conditionalFormatting>
  <conditionalFormatting sqref="AA55">
    <cfRule type="cellIs" dxfId="59" priority="959" stopIfTrue="1" operator="notEqual">
      <formula>0</formula>
    </cfRule>
  </conditionalFormatting>
  <conditionalFormatting sqref="AA58">
    <cfRule type="cellIs" dxfId="58" priority="955" stopIfTrue="1" operator="notEqual">
      <formula>0</formula>
    </cfRule>
  </conditionalFormatting>
  <conditionalFormatting sqref="AB58">
    <cfRule type="cellIs" dxfId="57" priority="954" stopIfTrue="1" operator="notEqual">
      <formula>0</formula>
    </cfRule>
  </conditionalFormatting>
  <conditionalFormatting sqref="U58">
    <cfRule type="cellIs" dxfId="56" priority="932" stopIfTrue="1" operator="notEqual">
      <formula>0</formula>
    </cfRule>
  </conditionalFormatting>
  <conditionalFormatting sqref="V58">
    <cfRule type="cellIs" dxfId="55" priority="931" stopIfTrue="1" operator="notEqual">
      <formula>0</formula>
    </cfRule>
  </conditionalFormatting>
  <conditionalFormatting sqref="U57">
    <cfRule type="cellIs" dxfId="54" priority="929" stopIfTrue="1" operator="notEqual">
      <formula>0</formula>
    </cfRule>
  </conditionalFormatting>
  <conditionalFormatting sqref="U55">
    <cfRule type="cellIs" dxfId="53" priority="933" stopIfTrue="1" operator="notEqual">
      <formula>0</formula>
    </cfRule>
  </conditionalFormatting>
  <conditionalFormatting sqref="U56">
    <cfRule type="cellIs" dxfId="52" priority="930" stopIfTrue="1" operator="notEqual">
      <formula>0</formula>
    </cfRule>
  </conditionalFormatting>
  <conditionalFormatting sqref="U59">
    <cfRule type="cellIs" dxfId="51" priority="928" stopIfTrue="1" operator="notEqual">
      <formula>0</formula>
    </cfRule>
  </conditionalFormatting>
  <conditionalFormatting sqref="Z58">
    <cfRule type="cellIs" dxfId="50" priority="906" stopIfTrue="1" operator="notEqual">
      <formula>0</formula>
    </cfRule>
  </conditionalFormatting>
  <conditionalFormatting sqref="AC59">
    <cfRule type="cellIs" dxfId="49" priority="899" stopIfTrue="1" operator="notEqual">
      <formula>0</formula>
    </cfRule>
  </conditionalFormatting>
  <conditionalFormatting sqref="AC55">
    <cfRule type="cellIs" dxfId="48" priority="898" stopIfTrue="1" operator="notEqual">
      <formula>0</formula>
    </cfRule>
  </conditionalFormatting>
  <conditionalFormatting sqref="AC56">
    <cfRule type="cellIs" dxfId="47" priority="894" stopIfTrue="1" operator="notEqual">
      <formula>0</formula>
    </cfRule>
  </conditionalFormatting>
  <conditionalFormatting sqref="AD58">
    <cfRule type="cellIs" dxfId="46" priority="892" stopIfTrue="1" operator="notEqual">
      <formula>0</formula>
    </cfRule>
  </conditionalFormatting>
  <conditionalFormatting sqref="AE59">
    <cfRule type="cellIs" dxfId="45" priority="885" stopIfTrue="1" operator="notEqual">
      <formula>0</formula>
    </cfRule>
  </conditionalFormatting>
  <conditionalFormatting sqref="AE55">
    <cfRule type="cellIs" dxfId="44" priority="884" stopIfTrue="1" operator="notEqual">
      <formula>0</formula>
    </cfRule>
  </conditionalFormatting>
  <conditionalFormatting sqref="AE56">
    <cfRule type="cellIs" dxfId="43" priority="882" stopIfTrue="1" operator="notEqual">
      <formula>0</formula>
    </cfRule>
  </conditionalFormatting>
  <conditionalFormatting sqref="AF58">
    <cfRule type="cellIs" dxfId="42" priority="880" stopIfTrue="1" operator="notEqual">
      <formula>0</formula>
    </cfRule>
  </conditionalFormatting>
  <conditionalFormatting sqref="AI59">
    <cfRule type="cellIs" dxfId="41" priority="873" stopIfTrue="1" operator="notEqual">
      <formula>0</formula>
    </cfRule>
  </conditionalFormatting>
  <conditionalFormatting sqref="AI57">
    <cfRule type="cellIs" dxfId="40" priority="871" stopIfTrue="1" operator="notEqual">
      <formula>0</formula>
    </cfRule>
  </conditionalFormatting>
  <conditionalFormatting sqref="AI55">
    <cfRule type="cellIs" dxfId="39" priority="872" stopIfTrue="1" operator="notEqual">
      <formula>0</formula>
    </cfRule>
  </conditionalFormatting>
  <conditionalFormatting sqref="AI58">
    <cfRule type="cellIs" dxfId="38" priority="867" stopIfTrue="1" operator="notEqual">
      <formula>0</formula>
    </cfRule>
  </conditionalFormatting>
  <conditionalFormatting sqref="AJ58">
    <cfRule type="cellIs" dxfId="37" priority="866" stopIfTrue="1" operator="notEqual">
      <formula>0</formula>
    </cfRule>
  </conditionalFormatting>
  <conditionalFormatting sqref="W57">
    <cfRule type="cellIs" dxfId="36" priority="768" stopIfTrue="1" operator="notEqual">
      <formula>0</formula>
    </cfRule>
  </conditionalFormatting>
  <conditionalFormatting sqref="Y57">
    <cfRule type="cellIs" dxfId="35" priority="767" stopIfTrue="1" operator="notEqual">
      <formula>0</formula>
    </cfRule>
  </conditionalFormatting>
  <conditionalFormatting sqref="AA57">
    <cfRule type="cellIs" dxfId="34" priority="766" stopIfTrue="1" operator="notEqual">
      <formula>0</formula>
    </cfRule>
  </conditionalFormatting>
  <conditionalFormatting sqref="AC57">
    <cfRule type="cellIs" dxfId="33" priority="765" stopIfTrue="1" operator="notEqual">
      <formula>0</formula>
    </cfRule>
  </conditionalFormatting>
  <conditionalFormatting sqref="AE57">
    <cfRule type="cellIs" dxfId="32" priority="764" stopIfTrue="1" operator="notEqual">
      <formula>0</formula>
    </cfRule>
  </conditionalFormatting>
  <conditionalFormatting sqref="AK57">
    <cfRule type="cellIs" dxfId="31" priority="664" stopIfTrue="1" operator="notEqual">
      <formula>0</formula>
    </cfRule>
  </conditionalFormatting>
  <conditionalFormatting sqref="AK58">
    <cfRule type="cellIs" dxfId="30" priority="663" stopIfTrue="1" operator="notEqual">
      <formula>0</formula>
    </cfRule>
  </conditionalFormatting>
  <conditionalFormatting sqref="Y58">
    <cfRule type="cellIs" dxfId="29" priority="702" stopIfTrue="1" operator="notEqual">
      <formula>0</formula>
    </cfRule>
  </conditionalFormatting>
  <conditionalFormatting sqref="AA56">
    <cfRule type="cellIs" dxfId="28" priority="695" stopIfTrue="1" operator="notEqual">
      <formula>0</formula>
    </cfRule>
  </conditionalFormatting>
  <conditionalFormatting sqref="AC58">
    <cfRule type="cellIs" dxfId="27" priority="688" stopIfTrue="1" operator="notEqual">
      <formula>0</formula>
    </cfRule>
  </conditionalFormatting>
  <conditionalFormatting sqref="AE58">
    <cfRule type="cellIs" dxfId="26" priority="681" stopIfTrue="1" operator="notEqual">
      <formula>0</formula>
    </cfRule>
  </conditionalFormatting>
  <conditionalFormatting sqref="AK59">
    <cfRule type="cellIs" dxfId="25" priority="668" stopIfTrue="1" operator="notEqual">
      <formula>0</formula>
    </cfRule>
  </conditionalFormatting>
  <conditionalFormatting sqref="AK56">
    <cfRule type="cellIs" dxfId="24" priority="666" stopIfTrue="1" operator="notEqual">
      <formula>0</formula>
    </cfRule>
  </conditionalFormatting>
  <conditionalFormatting sqref="AK55">
    <cfRule type="cellIs" dxfId="23" priority="667" stopIfTrue="1" operator="notEqual">
      <formula>0</formula>
    </cfRule>
  </conditionalFormatting>
  <conditionalFormatting sqref="AL58">
    <cfRule type="cellIs" dxfId="22" priority="665" stopIfTrue="1" operator="notEqual">
      <formula>0</formula>
    </cfRule>
  </conditionalFormatting>
  <conditionalFormatting sqref="T21:U21">
    <cfRule type="cellIs" dxfId="21" priority="625" stopIfTrue="1" operator="notEqual">
      <formula>0</formula>
    </cfRule>
  </conditionalFormatting>
  <conditionalFormatting sqref="AG58">
    <cfRule type="cellIs" dxfId="20" priority="602" stopIfTrue="1" operator="notEqual">
      <formula>0</formula>
    </cfRule>
  </conditionalFormatting>
  <conditionalFormatting sqref="AH58">
    <cfRule type="cellIs" dxfId="19" priority="601" stopIfTrue="1" operator="notEqual">
      <formula>0</formula>
    </cfRule>
  </conditionalFormatting>
  <conditionalFormatting sqref="AG57">
    <cfRule type="cellIs" dxfId="18" priority="598" stopIfTrue="1" operator="notEqual">
      <formula>0</formula>
    </cfRule>
  </conditionalFormatting>
  <conditionalFormatting sqref="AG59">
    <cfRule type="cellIs" dxfId="17" priority="605" stopIfTrue="1" operator="notEqual">
      <formula>0</formula>
    </cfRule>
  </conditionalFormatting>
  <conditionalFormatting sqref="AG56">
    <cfRule type="cellIs" dxfId="16" priority="477" stopIfTrue="1" operator="notEqual">
      <formula>0</formula>
    </cfRule>
  </conditionalFormatting>
  <conditionalFormatting sqref="AG55">
    <cfRule type="cellIs" dxfId="15" priority="476" stopIfTrue="1" operator="notEqual">
      <formula>0</formula>
    </cfRule>
  </conditionalFormatting>
  <conditionalFormatting sqref="AI56">
    <cfRule type="cellIs" dxfId="14" priority="475" stopIfTrue="1" operator="notEqual">
      <formula>0</formula>
    </cfRule>
  </conditionalFormatting>
  <conditionalFormatting sqref="Y59">
    <cfRule type="cellIs" dxfId="13" priority="354" stopIfTrue="1" operator="notEqual">
      <formula>0</formula>
    </cfRule>
  </conditionalFormatting>
  <conditionalFormatting sqref="K59">
    <cfRule type="cellIs" dxfId="12" priority="6" stopIfTrue="1" operator="notEqual">
      <formula>0</formula>
    </cfRule>
  </conditionalFormatting>
  <conditionalFormatting sqref="K57">
    <cfRule type="cellIs" dxfId="11" priority="4" stopIfTrue="1" operator="notEqual">
      <formula>0</formula>
    </cfRule>
  </conditionalFormatting>
  <conditionalFormatting sqref="K55">
    <cfRule type="cellIs" dxfId="10" priority="5" stopIfTrue="1" operator="notEqual">
      <formula>0</formula>
    </cfRule>
  </conditionalFormatting>
  <conditionalFormatting sqref="K58">
    <cfRule type="cellIs" dxfId="9" priority="3" stopIfTrue="1" operator="notEqual">
      <formula>0</formula>
    </cfRule>
  </conditionalFormatting>
  <conditionalFormatting sqref="L58">
    <cfRule type="cellIs" dxfId="8" priority="2" stopIfTrue="1" operator="notEqual">
      <formula>0</formula>
    </cfRule>
  </conditionalFormatting>
  <conditionalFormatting sqref="K56">
    <cfRule type="cellIs" dxfId="7" priority="1" stopIfTrue="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Resolution">
                <anchor moveWithCells="1" sizeWithCells="1">
                  <from>
                    <xdr:col>7</xdr:col>
                    <xdr:colOff>393700</xdr:colOff>
                    <xdr:row>50</xdr:row>
                    <xdr:rowOff>88900</xdr:rowOff>
                  </from>
                  <to>
                    <xdr:col>8</xdr:col>
                    <xdr:colOff>628650</xdr:colOff>
                    <xdr:row>53</xdr:row>
                    <xdr:rowOff>88900</xdr:rowOff>
                  </to>
                </anchor>
              </controlPr>
            </control>
          </mc:Choice>
        </mc:AlternateContent>
        <mc:AlternateContent xmlns:mc="http://schemas.openxmlformats.org/markup-compatibility/2006">
          <mc:Choice Requires="x14">
            <control shapeId="2052" r:id="rId5" name="Button 4">
              <controlPr defaultSize="0" print="0" autoFill="0" autoPict="0" macro="[0]!Reference">
                <anchor moveWithCells="1" sizeWithCells="1">
                  <from>
                    <xdr:col>11</xdr:col>
                    <xdr:colOff>368300</xdr:colOff>
                    <xdr:row>58</xdr:row>
                    <xdr:rowOff>101600</xdr:rowOff>
                  </from>
                  <to>
                    <xdr:col>12</xdr:col>
                    <xdr:colOff>584200</xdr:colOff>
                    <xdr:row>61</xdr:row>
                    <xdr:rowOff>95250</xdr:rowOff>
                  </to>
                </anchor>
              </controlPr>
            </control>
          </mc:Choice>
        </mc:AlternateContent>
        <mc:AlternateContent xmlns:mc="http://schemas.openxmlformats.org/markup-compatibility/2006">
          <mc:Choice Requires="x14">
            <control shapeId="2056" r:id="rId6" name="Button 8">
              <controlPr defaultSize="0" print="0" autoFill="0" autoPict="0" macro="[0]!Profile">
                <anchor moveWithCells="1" sizeWithCells="1">
                  <from>
                    <xdr:col>11</xdr:col>
                    <xdr:colOff>355600</xdr:colOff>
                    <xdr:row>50</xdr:row>
                    <xdr:rowOff>76200</xdr:rowOff>
                  </from>
                  <to>
                    <xdr:col>12</xdr:col>
                    <xdr:colOff>584200</xdr:colOff>
                    <xdr:row>53</xdr:row>
                    <xdr:rowOff>88900</xdr:rowOff>
                  </to>
                </anchor>
              </controlPr>
            </control>
          </mc:Choice>
        </mc:AlternateContent>
        <mc:AlternateContent xmlns:mc="http://schemas.openxmlformats.org/markup-compatibility/2006">
          <mc:Choice Requires="x14">
            <control shapeId="2065" r:id="rId7" name="Button 17">
              <controlPr defaultSize="0" print="0" autoFill="0" autoPict="0" macro="[0]!_xludf.Save">
                <anchor moveWithCells="1" sizeWithCells="1">
                  <from>
                    <xdr:col>7</xdr:col>
                    <xdr:colOff>393700</xdr:colOff>
                    <xdr:row>54</xdr:row>
                    <xdr:rowOff>57150</xdr:rowOff>
                  </from>
                  <to>
                    <xdr:col>8</xdr:col>
                    <xdr:colOff>628650</xdr:colOff>
                    <xdr:row>57</xdr:row>
                    <xdr:rowOff>50800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1:XFD83"/>
  <sheetViews>
    <sheetView showGridLines="0" workbookViewId="0">
      <pane xSplit="1" ySplit="1" topLeftCell="B2" activePane="bottomRight" state="frozen"/>
      <selection pane="topRight" activeCell="B1" sqref="B1"/>
      <selection pane="bottomLeft" activeCell="A2" sqref="A2"/>
      <selection pane="bottomRight" activeCell="E14"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c r="AV1" s="94"/>
    </row>
    <row r="2" spans="1:49" x14ac:dyDescent="0.2">
      <c r="A2" s="229" t="s">
        <v>155</v>
      </c>
      <c r="B2" s="226">
        <v>5.7716594496607888E-3</v>
      </c>
      <c r="C2" s="227"/>
      <c r="D2" s="226">
        <v>2.6717159326695314E-2</v>
      </c>
      <c r="E2" s="227"/>
      <c r="F2" s="226">
        <v>4.8861046207077478E-2</v>
      </c>
      <c r="G2" s="227"/>
      <c r="H2" s="226">
        <v>7.2285723331902585E-2</v>
      </c>
      <c r="I2" s="227"/>
      <c r="J2" s="226">
        <v>9.7078634488949503E-2</v>
      </c>
      <c r="K2" s="227"/>
      <c r="L2" s="226">
        <v>0.12333046280282915</v>
      </c>
      <c r="M2" s="227"/>
      <c r="N2" s="226">
        <v>0.15113931170757408</v>
      </c>
      <c r="O2" s="227"/>
      <c r="P2" s="226">
        <v>0.18062194220240715</v>
      </c>
      <c r="Q2" s="227"/>
      <c r="R2" s="226">
        <v>0.21193947598337481</v>
      </c>
      <c r="S2" s="227"/>
      <c r="T2" s="226">
        <v>0.24535810430461344</v>
      </c>
      <c r="U2" s="227"/>
      <c r="V2" s="226">
        <v>0.28139263424779037</v>
      </c>
      <c r="W2" s="227"/>
      <c r="X2" s="226">
        <v>0.32112044412942803</v>
      </c>
      <c r="Y2" s="227"/>
      <c r="Z2" s="226">
        <v>0.36687597378761705</v>
      </c>
      <c r="AA2" s="227"/>
      <c r="AB2" s="226">
        <v>0.42378536271769812</v>
      </c>
      <c r="AC2" s="227"/>
      <c r="AD2" s="226">
        <v>0.50332039629236081</v>
      </c>
      <c r="AE2" s="227"/>
      <c r="AF2" s="226">
        <v>0.63248588702621811</v>
      </c>
      <c r="AG2" s="227"/>
      <c r="AH2" s="226">
        <v>0.88131289154790338</v>
      </c>
      <c r="AI2" s="227"/>
      <c r="AJ2" s="226">
        <v>1.4496777135191738</v>
      </c>
      <c r="AK2" s="227"/>
      <c r="AL2" s="226">
        <v>2.9663129992618691</v>
      </c>
      <c r="AM2" s="227"/>
      <c r="AN2" s="226">
        <v>8.8921099499081038</v>
      </c>
      <c r="AO2" s="227"/>
      <c r="AP2" s="226">
        <v>12.346340315430762</v>
      </c>
      <c r="AQ2" s="227"/>
      <c r="AR2" s="226">
        <v>18.629541858234877</v>
      </c>
      <c r="AS2" s="227"/>
      <c r="AT2" s="226"/>
      <c r="AU2" s="227"/>
      <c r="AV2" s="226"/>
      <c r="AW2" s="227"/>
    </row>
    <row r="3" spans="1:49" x14ac:dyDescent="0.2">
      <c r="A3" t="s">
        <v>12</v>
      </c>
      <c r="B3" s="84">
        <v>1000</v>
      </c>
      <c r="C3" s="85">
        <v>1000</v>
      </c>
      <c r="D3" s="84">
        <v>1000.2068551966361</v>
      </c>
      <c r="E3" s="85">
        <v>1010.7045452171062</v>
      </c>
      <c r="F3" s="84">
        <v>1000.705982829497</v>
      </c>
      <c r="G3" s="85">
        <v>1022.2246363463258</v>
      </c>
      <c r="H3" s="84">
        <v>1001.5654859103331</v>
      </c>
      <c r="I3" s="85">
        <v>1034.6523734557722</v>
      </c>
      <c r="J3" s="84">
        <v>1002.8744716097132</v>
      </c>
      <c r="K3" s="85">
        <v>1048.0984734022679</v>
      </c>
      <c r="L3" s="84">
        <v>1004.7522484697943</v>
      </c>
      <c r="M3" s="85">
        <v>1062.6991774426292</v>
      </c>
      <c r="N3" s="84">
        <v>1007.3603572311102</v>
      </c>
      <c r="O3" s="85">
        <v>1078.6278811016944</v>
      </c>
      <c r="P3" s="84">
        <v>1010.9204004995097</v>
      </c>
      <c r="Q3" s="85">
        <v>1096.1141215457847</v>
      </c>
      <c r="R3" s="84">
        <v>1015.7415230950994</v>
      </c>
      <c r="S3" s="85">
        <v>1115.4764142851584</v>
      </c>
      <c r="T3" s="84">
        <v>1022.2622685138375</v>
      </c>
      <c r="U3" s="85">
        <v>1137.1811828086736</v>
      </c>
      <c r="V3" s="84">
        <v>1031.1145396042646</v>
      </c>
      <c r="W3" s="85">
        <v>1161.9495434340831</v>
      </c>
      <c r="X3" s="84">
        <v>1043.2244582269864</v>
      </c>
      <c r="Y3" s="85">
        <v>1190.9577711167426</v>
      </c>
      <c r="Z3" s="84">
        <v>1059.9757612919041</v>
      </c>
      <c r="AA3" s="85">
        <v>1226.2216793186292</v>
      </c>
      <c r="AB3" s="84">
        <v>1083.4956230567641</v>
      </c>
      <c r="AC3" s="85">
        <v>1271.3648327550568</v>
      </c>
      <c r="AD3" s="84">
        <v>1117.2333773752873</v>
      </c>
      <c r="AE3" s="85">
        <v>1333.277676351393</v>
      </c>
      <c r="AF3" s="84">
        <v>1167.3548840425535</v>
      </c>
      <c r="AG3" s="85">
        <v>1426.2003243670142</v>
      </c>
      <c r="AH3" s="84">
        <v>1246.3118810685617</v>
      </c>
      <c r="AI3" s="85">
        <v>1583.1008559036468</v>
      </c>
      <c r="AJ3" s="84">
        <v>1380.2261267226461</v>
      </c>
      <c r="AK3" s="85">
        <v>1887.0668500061583</v>
      </c>
      <c r="AL3" s="84">
        <v>1623.1157391574757</v>
      </c>
      <c r="AM3" s="85">
        <v>2563.2510389961672</v>
      </c>
      <c r="AN3" s="84">
        <v>2175.57743247604</v>
      </c>
      <c r="AO3" s="85">
        <v>4667.6601917805392</v>
      </c>
      <c r="AP3" s="84">
        <v>2399.8409389426715</v>
      </c>
      <c r="AQ3" s="85">
        <v>5734.9472017503931</v>
      </c>
      <c r="AR3" s="84">
        <v>2731.5458862463834</v>
      </c>
      <c r="AS3" s="85">
        <v>7531.3782154127421</v>
      </c>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c r="AU4" s="102"/>
      <c r="AV4" s="101"/>
      <c r="AW4" s="102"/>
    </row>
    <row r="5" spans="1:49" x14ac:dyDescent="0.2">
      <c r="A5" t="s">
        <v>128</v>
      </c>
      <c r="B5" s="41">
        <v>1000</v>
      </c>
      <c r="C5" s="42">
        <v>1000</v>
      </c>
      <c r="D5" s="41">
        <v>1000.2170363739704</v>
      </c>
      <c r="E5" s="42">
        <v>1009.301778599955</v>
      </c>
      <c r="F5" s="41">
        <v>1000.7406055932535</v>
      </c>
      <c r="G5" s="42">
        <v>1019.0929876776947</v>
      </c>
      <c r="H5" s="41">
        <v>1001.6417824903285</v>
      </c>
      <c r="I5" s="42">
        <v>1029.3981173089201</v>
      </c>
      <c r="J5" s="41">
        <v>1003.0132363178229</v>
      </c>
      <c r="K5" s="42">
        <v>1040.2428979482274</v>
      </c>
      <c r="L5" s="41">
        <v>1004.9785340042724</v>
      </c>
      <c r="M5" s="42">
        <v>1051.6560618459753</v>
      </c>
      <c r="N5" s="41">
        <v>1007.7041554324786</v>
      </c>
      <c r="O5" s="42">
        <v>1063.6721309840184</v>
      </c>
      <c r="P5" s="41">
        <v>1011.4171235193637</v>
      </c>
      <c r="Q5" s="42">
        <v>1076.3354325234823</v>
      </c>
      <c r="R5" s="41">
        <v>1016.4318685935812</v>
      </c>
      <c r="S5" s="42">
        <v>1089.708290968252</v>
      </c>
      <c r="T5" s="41">
        <v>1023.190512385685</v>
      </c>
      <c r="U5" s="42">
        <v>1103.8870543366893</v>
      </c>
      <c r="V5" s="41">
        <v>1032.323221265387</v>
      </c>
      <c r="W5" s="42">
        <v>1119.0221645732745</v>
      </c>
      <c r="X5" s="41">
        <v>1044.7412784833562</v>
      </c>
      <c r="Y5" s="42">
        <v>1135.3512021219142</v>
      </c>
      <c r="Z5" s="41">
        <v>1061.7841177300147</v>
      </c>
      <c r="AA5" s="42">
        <v>1153.2293458898566</v>
      </c>
      <c r="AB5" s="41">
        <v>1085.4712466387537</v>
      </c>
      <c r="AC5" s="42">
        <v>1173.1235680007574</v>
      </c>
      <c r="AD5" s="41">
        <v>1119.0084315122988</v>
      </c>
      <c r="AE5" s="42">
        <v>1195.4555516468449</v>
      </c>
      <c r="AF5" s="41">
        <v>1168.0069050081263</v>
      </c>
      <c r="AG5" s="42">
        <v>1220.0330955748711</v>
      </c>
      <c r="AH5" s="41">
        <v>1243.550422149933</v>
      </c>
      <c r="AI5" s="42">
        <v>1244.572377872772</v>
      </c>
      <c r="AJ5" s="41">
        <v>1368.0953166893701</v>
      </c>
      <c r="AK5" s="42">
        <v>1262.8916809513989</v>
      </c>
      <c r="AL5" s="41">
        <v>1585.4253074004107</v>
      </c>
      <c r="AM5" s="42">
        <v>1270.0850317026059</v>
      </c>
      <c r="AN5" s="41">
        <v>2049.3417453058546</v>
      </c>
      <c r="AO5" s="42">
        <v>1271.0466582258744</v>
      </c>
      <c r="AP5" s="41">
        <v>2227.5046861566866</v>
      </c>
      <c r="AQ5" s="42">
        <v>1271.0579081209617</v>
      </c>
      <c r="AR5" s="41">
        <v>2481.3917394536379</v>
      </c>
      <c r="AS5" s="42">
        <v>1271.0608769758969</v>
      </c>
      <c r="AT5" s="41"/>
      <c r="AU5" s="42"/>
      <c r="AV5" s="41"/>
      <c r="AW5" s="42"/>
    </row>
    <row r="6" spans="1:49" x14ac:dyDescent="0.2">
      <c r="A6" t="s">
        <v>77</v>
      </c>
      <c r="B6" s="41">
        <v>1000.0000000000003</v>
      </c>
      <c r="C6" s="42">
        <v>1000.0000000000002</v>
      </c>
      <c r="D6" s="41">
        <v>1000.2336415281178</v>
      </c>
      <c r="E6" s="42">
        <v>1011.5356677230238</v>
      </c>
      <c r="F6" s="41">
        <v>1000.7972998643133</v>
      </c>
      <c r="G6" s="42">
        <v>1023.9093672930866</v>
      </c>
      <c r="H6" s="41">
        <v>1001.7675857447645</v>
      </c>
      <c r="I6" s="42">
        <v>1037.2139525226871</v>
      </c>
      <c r="J6" s="41">
        <v>1003.2444681769613</v>
      </c>
      <c r="K6" s="42">
        <v>1051.5612595783291</v>
      </c>
      <c r="L6" s="41">
        <v>1005.3613841529968</v>
      </c>
      <c r="M6" s="42">
        <v>1067.0892132910108</v>
      </c>
      <c r="N6" s="41">
        <v>1008.2983369979939</v>
      </c>
      <c r="O6" s="42">
        <v>1083.9738154410265</v>
      </c>
      <c r="P6" s="41">
        <v>1012.3011637355334</v>
      </c>
      <c r="Q6" s="42">
        <v>1102.4486931772042</v>
      </c>
      <c r="R6" s="41">
        <v>1017.7110042099266</v>
      </c>
      <c r="S6" s="42">
        <v>1122.8388765875363</v>
      </c>
      <c r="T6" s="41">
        <v>1025.008716603013</v>
      </c>
      <c r="U6" s="42">
        <v>1145.6213374754409</v>
      </c>
      <c r="V6" s="41">
        <v>1034.8818672475822</v>
      </c>
      <c r="W6" s="42">
        <v>1171.5344479987943</v>
      </c>
      <c r="X6" s="41">
        <v>1048.328933973849</v>
      </c>
      <c r="Y6" s="42">
        <v>1201.7829909325803</v>
      </c>
      <c r="Z6" s="41">
        <v>1066.8257954657006</v>
      </c>
      <c r="AA6" s="42">
        <v>1238.4301501224811</v>
      </c>
      <c r="AB6" s="41">
        <v>1092.6144303332851</v>
      </c>
      <c r="AC6" s="42">
        <v>1285.17868305804</v>
      </c>
      <c r="AD6" s="41">
        <v>1129.288293014238</v>
      </c>
      <c r="AE6" s="42">
        <v>1349.054014234536</v>
      </c>
      <c r="AF6" s="41">
        <v>1183.2121870697965</v>
      </c>
      <c r="AG6" s="42">
        <v>1444.5406002515897</v>
      </c>
      <c r="AH6" s="41">
        <v>1267.1565010023046</v>
      </c>
      <c r="AI6" s="42">
        <v>1605.102069287698</v>
      </c>
      <c r="AJ6" s="41">
        <v>1407.7308431942006</v>
      </c>
      <c r="AK6" s="42">
        <v>1914.957052068344</v>
      </c>
      <c r="AL6" s="41">
        <v>1659.7474490048373</v>
      </c>
      <c r="AM6" s="42">
        <v>2602.3915022879273</v>
      </c>
      <c r="AN6" s="41">
        <v>2228.1851544216843</v>
      </c>
      <c r="AO6" s="42">
        <v>4739.5337696463957</v>
      </c>
      <c r="AP6" s="41">
        <v>2458.3209776006215</v>
      </c>
      <c r="AQ6" s="42">
        <v>5823.2799490113939</v>
      </c>
      <c r="AR6" s="41">
        <v>2798.4937312796474</v>
      </c>
      <c r="AS6" s="42">
        <v>7647.3940593539246</v>
      </c>
      <c r="AT6" s="41"/>
      <c r="AU6" s="42"/>
      <c r="AV6" s="41"/>
      <c r="AW6" s="42"/>
    </row>
    <row r="7" spans="1:49" x14ac:dyDescent="0.2">
      <c r="A7" t="s">
        <v>13</v>
      </c>
      <c r="B7" s="33">
        <v>1015.9116825427475</v>
      </c>
      <c r="C7" s="34">
        <v>1015.9116825427475</v>
      </c>
      <c r="D7" s="33">
        <v>1016.1321723306006</v>
      </c>
      <c r="E7" s="34">
        <v>1016.1321723306006</v>
      </c>
      <c r="F7" s="33">
        <v>1016.6640724170901</v>
      </c>
      <c r="G7" s="34">
        <v>1016.6640724170901</v>
      </c>
      <c r="H7" s="33">
        <v>1017.5795885548663</v>
      </c>
      <c r="I7" s="34">
        <v>1017.5795885548663</v>
      </c>
      <c r="J7" s="33">
        <v>1018.9728645202858</v>
      </c>
      <c r="K7" s="34">
        <v>1018.9728645202858</v>
      </c>
      <c r="L7" s="33">
        <v>1020.9694333996241</v>
      </c>
      <c r="M7" s="34">
        <v>1020.9694333996241</v>
      </c>
      <c r="N7" s="33">
        <v>1023.7384240507276</v>
      </c>
      <c r="O7" s="34">
        <v>1023.7384240507276</v>
      </c>
      <c r="P7" s="33">
        <v>1027.5104717071026</v>
      </c>
      <c r="Q7" s="34">
        <v>1027.5104717071026</v>
      </c>
      <c r="R7" s="33">
        <v>1032.6050098129738</v>
      </c>
      <c r="S7" s="34">
        <v>1032.6050098129738</v>
      </c>
      <c r="T7" s="33">
        <v>1039.4711949995171</v>
      </c>
      <c r="U7" s="34">
        <v>1039.4711949995171</v>
      </c>
      <c r="V7" s="33">
        <v>1048.7492206436682</v>
      </c>
      <c r="W7" s="34">
        <v>1048.7492206436682</v>
      </c>
      <c r="X7" s="33">
        <v>1061.3648700458875</v>
      </c>
      <c r="Y7" s="34">
        <v>1061.3648700458875</v>
      </c>
      <c r="Z7" s="33">
        <v>1078.6788895402658</v>
      </c>
      <c r="AA7" s="34">
        <v>1078.6788895402658</v>
      </c>
      <c r="AB7" s="33">
        <v>1102.7429205245498</v>
      </c>
      <c r="AC7" s="34">
        <v>1102.7429205245498</v>
      </c>
      <c r="AD7" s="33">
        <v>1136.8137384371803</v>
      </c>
      <c r="AE7" s="34">
        <v>1136.8137384371803</v>
      </c>
      <c r="AF7" s="33">
        <v>1186.5918600883526</v>
      </c>
      <c r="AG7" s="34">
        <v>1186.5918600883526</v>
      </c>
      <c r="AH7" s="33">
        <v>1263.3374016930823</v>
      </c>
      <c r="AI7" s="34">
        <v>1263.3374016930823</v>
      </c>
      <c r="AJ7" s="33">
        <v>1389.8640150567508</v>
      </c>
      <c r="AK7" s="34">
        <v>1389.8640150567508</v>
      </c>
      <c r="AL7" s="33">
        <v>1610.6520915870037</v>
      </c>
      <c r="AM7" s="34">
        <v>1610.6520915870037</v>
      </c>
      <c r="AN7" s="33">
        <v>2081.9502205787612</v>
      </c>
      <c r="AO7" s="34">
        <v>2081.9502205787612</v>
      </c>
      <c r="AP7" s="33">
        <v>2262.9480335852941</v>
      </c>
      <c r="AQ7" s="34">
        <v>2262.9480335852941</v>
      </c>
      <c r="AR7" s="33">
        <v>2520.8748570760199</v>
      </c>
      <c r="AS7" s="34">
        <v>2520.8748570760199</v>
      </c>
      <c r="AT7" s="33"/>
      <c r="AU7" s="34"/>
      <c r="AV7" s="33"/>
      <c r="AW7" s="34"/>
    </row>
    <row r="8" spans="1:49" x14ac:dyDescent="0.2">
      <c r="B8" s="35">
        <v>1005.7716594496609</v>
      </c>
      <c r="C8" s="36">
        <v>1005.7716594496609</v>
      </c>
      <c r="D8" s="35">
        <v>1036.2674550275269</v>
      </c>
      <c r="E8" s="36">
        <v>1036.2674550275269</v>
      </c>
      <c r="F8" s="35">
        <v>1068.8869372379233</v>
      </c>
      <c r="G8" s="36">
        <v>1068.8869372379233</v>
      </c>
      <c r="H8" s="35">
        <v>1103.8089048150939</v>
      </c>
      <c r="I8" s="36">
        <v>1103.8089048150939</v>
      </c>
      <c r="J8" s="35">
        <v>1141.2282580178692</v>
      </c>
      <c r="K8" s="36">
        <v>1141.2282580178692</v>
      </c>
      <c r="L8" s="35">
        <v>1181.3572906628401</v>
      </c>
      <c r="M8" s="36">
        <v>1181.3572906628401</v>
      </c>
      <c r="N8" s="35">
        <v>1224.4348047434717</v>
      </c>
      <c r="O8" s="36">
        <v>1224.4348047434717</v>
      </c>
      <c r="P8" s="35">
        <v>1270.7452288071415</v>
      </c>
      <c r="Q8" s="36">
        <v>1270.7452288071415</v>
      </c>
      <c r="R8" s="35">
        <v>1320.6604951308022</v>
      </c>
      <c r="S8" s="36">
        <v>1320.6604951308022</v>
      </c>
      <c r="T8" s="35">
        <v>1374.734689355143</v>
      </c>
      <c r="U8" s="36">
        <v>1374.734689355143</v>
      </c>
      <c r="V8" s="35">
        <v>1433.9067592442127</v>
      </c>
      <c r="W8" s="36">
        <v>1433.9067592442127</v>
      </c>
      <c r="X8" s="35">
        <v>1499.9356843901833</v>
      </c>
      <c r="Y8" s="36">
        <v>1499.9356843901833</v>
      </c>
      <c r="Z8" s="35">
        <v>1576.3214851636544</v>
      </c>
      <c r="AA8" s="36">
        <v>1576.3214851636544</v>
      </c>
      <c r="AB8" s="35">
        <v>1670.2761647786385</v>
      </c>
      <c r="AC8" s="36">
        <v>1670.2761647786385</v>
      </c>
      <c r="AD8" s="35">
        <v>1797.1527136516377</v>
      </c>
      <c r="AE8" s="36">
        <v>1797.1527136516377</v>
      </c>
      <c r="AF8" s="35">
        <v>1991.6868102308863</v>
      </c>
      <c r="AG8" s="36">
        <v>1991.6868102308863</v>
      </c>
      <c r="AH8" s="35">
        <v>2341.4300589564746</v>
      </c>
      <c r="AI8" s="36">
        <v>2341.4300589564746</v>
      </c>
      <c r="AJ8" s="35">
        <v>3093.6776054154088</v>
      </c>
      <c r="AK8" s="36">
        <v>3093.6776054154088</v>
      </c>
      <c r="AL8" s="35">
        <v>5037.5547714099685</v>
      </c>
      <c r="AM8" s="36">
        <v>5037.5547714099685</v>
      </c>
      <c r="AN8" s="35">
        <v>12573.333294633616</v>
      </c>
      <c r="AO8" s="36">
        <v>12573.333294633616</v>
      </c>
      <c r="AP8" s="35">
        <v>16963.971402401879</v>
      </c>
      <c r="AQ8" s="36">
        <v>16963.971402401879</v>
      </c>
      <c r="AR8" s="35">
        <v>24950.342688963101</v>
      </c>
      <c r="AS8" s="36">
        <v>24950.342688963101</v>
      </c>
      <c r="AT8" s="35"/>
      <c r="AU8" s="36"/>
      <c r="AV8" s="35"/>
      <c r="AW8" s="36"/>
    </row>
    <row r="9" spans="1:49" x14ac:dyDescent="0.2">
      <c r="A9" t="s">
        <v>14</v>
      </c>
      <c r="B9" s="41">
        <v>1015.9116825427475</v>
      </c>
      <c r="C9" s="42">
        <v>1005.7716594496609</v>
      </c>
      <c r="D9" s="41">
        <v>1016.1321723306006</v>
      </c>
      <c r="E9" s="42">
        <v>1036.2674550275269</v>
      </c>
      <c r="F9" s="41">
        <v>1016.6640724170901</v>
      </c>
      <c r="G9" s="42">
        <v>1068.8869372379233</v>
      </c>
      <c r="H9" s="41">
        <v>1017.5795885548663</v>
      </c>
      <c r="I9" s="42">
        <v>1103.8089048150939</v>
      </c>
      <c r="J9" s="41">
        <v>1018.9728645202858</v>
      </c>
      <c r="K9" s="42">
        <v>1141.2282580178692</v>
      </c>
      <c r="L9" s="41">
        <v>1020.9694333996241</v>
      </c>
      <c r="M9" s="42">
        <v>1181.3572906628401</v>
      </c>
      <c r="N9" s="41">
        <v>1023.7384240507276</v>
      </c>
      <c r="O9" s="42">
        <v>1224.4348047434717</v>
      </c>
      <c r="P9" s="41">
        <v>1027.5104717071026</v>
      </c>
      <c r="Q9" s="42">
        <v>1270.7452288071415</v>
      </c>
      <c r="R9" s="41">
        <v>1032.6050098129738</v>
      </c>
      <c r="S9" s="42">
        <v>1320.6604951308022</v>
      </c>
      <c r="T9" s="41">
        <v>1039.4711949995171</v>
      </c>
      <c r="U9" s="42">
        <v>1374.734689355143</v>
      </c>
      <c r="V9" s="41">
        <v>1048.7492206436682</v>
      </c>
      <c r="W9" s="42">
        <v>1433.9067592442127</v>
      </c>
      <c r="X9" s="41">
        <v>1061.3648700458875</v>
      </c>
      <c r="Y9" s="42">
        <v>1499.9356843901833</v>
      </c>
      <c r="Z9" s="41">
        <v>1078.6788895402658</v>
      </c>
      <c r="AA9" s="42">
        <v>1576.3214851636544</v>
      </c>
      <c r="AB9" s="41">
        <v>1102.7429205245498</v>
      </c>
      <c r="AC9" s="42">
        <v>1670.2761647786385</v>
      </c>
      <c r="AD9" s="41">
        <v>1136.8137384371803</v>
      </c>
      <c r="AE9" s="42">
        <v>1797.1527136516377</v>
      </c>
      <c r="AF9" s="41">
        <v>1186.5918600883526</v>
      </c>
      <c r="AG9" s="42">
        <v>1991.6868102308863</v>
      </c>
      <c r="AH9" s="41">
        <v>1263.3374016930823</v>
      </c>
      <c r="AI9" s="42">
        <v>2341.4300589564746</v>
      </c>
      <c r="AJ9" s="41">
        <v>1389.8640150567508</v>
      </c>
      <c r="AK9" s="42">
        <v>3093.6776054154088</v>
      </c>
      <c r="AL9" s="41">
        <v>1610.6520915870037</v>
      </c>
      <c r="AM9" s="42">
        <v>5037.5547714099685</v>
      </c>
      <c r="AN9" s="41">
        <v>2081.9502205787612</v>
      </c>
      <c r="AO9" s="42">
        <v>12573.333294633616</v>
      </c>
      <c r="AP9" s="41">
        <v>2262.9480335852941</v>
      </c>
      <c r="AQ9" s="42">
        <v>16963.971402401879</v>
      </c>
      <c r="AR9" s="41">
        <v>2520.8748570760199</v>
      </c>
      <c r="AS9" s="42">
        <v>24950.342688963101</v>
      </c>
      <c r="AT9" s="41"/>
      <c r="AU9" s="42"/>
      <c r="AV9" s="41"/>
      <c r="AW9" s="42"/>
    </row>
    <row r="10" spans="1:49" x14ac:dyDescent="0.2">
      <c r="A10" t="s">
        <v>15</v>
      </c>
      <c r="B10" s="41">
        <v>1015.9116825427475</v>
      </c>
      <c r="C10" s="42">
        <v>1005.7716594496609</v>
      </c>
      <c r="D10" s="41">
        <v>1016.1321723306006</v>
      </c>
      <c r="E10" s="42">
        <v>1036.2674550275269</v>
      </c>
      <c r="F10" s="41">
        <v>1016.6640724170901</v>
      </c>
      <c r="G10" s="42">
        <v>1068.8869372379233</v>
      </c>
      <c r="H10" s="41">
        <v>1017.5795885548663</v>
      </c>
      <c r="I10" s="42">
        <v>1103.8089048150939</v>
      </c>
      <c r="J10" s="41">
        <v>1018.9728645202858</v>
      </c>
      <c r="K10" s="42">
        <v>1141.2282580178692</v>
      </c>
      <c r="L10" s="41">
        <v>1020.9694333996241</v>
      </c>
      <c r="M10" s="42">
        <v>1181.3572906628401</v>
      </c>
      <c r="N10" s="41">
        <v>1023.7384240507276</v>
      </c>
      <c r="O10" s="42">
        <v>1224.4348047434717</v>
      </c>
      <c r="P10" s="41">
        <v>1027.5104717071026</v>
      </c>
      <c r="Q10" s="42">
        <v>1270.7452288071415</v>
      </c>
      <c r="R10" s="41">
        <v>1032.6050098129738</v>
      </c>
      <c r="S10" s="42">
        <v>1320.6604951308022</v>
      </c>
      <c r="T10" s="41">
        <v>1039.4711949995171</v>
      </c>
      <c r="U10" s="42">
        <v>1374.734689355143</v>
      </c>
      <c r="V10" s="41">
        <v>1048.7492206436682</v>
      </c>
      <c r="W10" s="42">
        <v>1433.9067592442127</v>
      </c>
      <c r="X10" s="41">
        <v>1061.3648700458875</v>
      </c>
      <c r="Y10" s="42">
        <v>1499.9356843901833</v>
      </c>
      <c r="Z10" s="41">
        <v>1078.6788895402658</v>
      </c>
      <c r="AA10" s="42">
        <v>1576.3214851636544</v>
      </c>
      <c r="AB10" s="41">
        <v>1102.7429205245498</v>
      </c>
      <c r="AC10" s="42">
        <v>1670.2761647786385</v>
      </c>
      <c r="AD10" s="41">
        <v>1136.8137384371803</v>
      </c>
      <c r="AE10" s="42">
        <v>1797.1527136516377</v>
      </c>
      <c r="AF10" s="41">
        <v>1186.5918600883526</v>
      </c>
      <c r="AG10" s="42">
        <v>1991.6868102308863</v>
      </c>
      <c r="AH10" s="41">
        <v>1263.3374016930823</v>
      </c>
      <c r="AI10" s="42">
        <v>2341.4300589564746</v>
      </c>
      <c r="AJ10" s="41">
        <v>1389.8640150567508</v>
      </c>
      <c r="AK10" s="42">
        <v>3093.6776054154088</v>
      </c>
      <c r="AL10" s="41">
        <v>1610.6520915870037</v>
      </c>
      <c r="AM10" s="42">
        <v>5037.5547714099685</v>
      </c>
      <c r="AN10" s="41">
        <v>2081.9502205787612</v>
      </c>
      <c r="AO10" s="42">
        <v>12573.333294633616</v>
      </c>
      <c r="AP10" s="41">
        <v>2262.9480335852941</v>
      </c>
      <c r="AQ10" s="42">
        <v>16963.971402401879</v>
      </c>
      <c r="AR10" s="41">
        <v>2520.8748570760199</v>
      </c>
      <c r="AS10" s="42">
        <v>24950.342688963101</v>
      </c>
      <c r="AT10" s="41"/>
      <c r="AU10" s="42"/>
      <c r="AV10" s="41"/>
      <c r="AW10" s="42"/>
    </row>
    <row r="11" spans="1:49" x14ac:dyDescent="0.2">
      <c r="A11" t="s">
        <v>29</v>
      </c>
      <c r="B11" s="41">
        <v>1015.9116825427475</v>
      </c>
      <c r="C11" s="42">
        <v>1005.7716594496609</v>
      </c>
      <c r="D11" s="41">
        <v>1016.1321723306006</v>
      </c>
      <c r="E11" s="42">
        <v>1036.2674550275269</v>
      </c>
      <c r="F11" s="41">
        <v>1016.6640724170901</v>
      </c>
      <c r="G11" s="42">
        <v>1068.8869372379233</v>
      </c>
      <c r="H11" s="41">
        <v>1017.5795885548663</v>
      </c>
      <c r="I11" s="42">
        <v>1103.8089048150939</v>
      </c>
      <c r="J11" s="41">
        <v>1018.9728645202858</v>
      </c>
      <c r="K11" s="42">
        <v>1141.2282580178692</v>
      </c>
      <c r="L11" s="41">
        <v>1020.9694333996241</v>
      </c>
      <c r="M11" s="42">
        <v>1181.3572906628401</v>
      </c>
      <c r="N11" s="41">
        <v>1023.7384240507276</v>
      </c>
      <c r="O11" s="42">
        <v>1224.4348047434717</v>
      </c>
      <c r="P11" s="41">
        <v>1027.5104717071026</v>
      </c>
      <c r="Q11" s="42">
        <v>1270.7452288071415</v>
      </c>
      <c r="R11" s="41">
        <v>1032.6050098129738</v>
      </c>
      <c r="S11" s="42">
        <v>1320.6604951308022</v>
      </c>
      <c r="T11" s="41">
        <v>1039.4711949995171</v>
      </c>
      <c r="U11" s="42">
        <v>1374.734689355143</v>
      </c>
      <c r="V11" s="41">
        <v>1048.7492206436682</v>
      </c>
      <c r="W11" s="42">
        <v>1433.9067592442127</v>
      </c>
      <c r="X11" s="41">
        <v>1061.3648700458875</v>
      </c>
      <c r="Y11" s="42">
        <v>1499.9356843901833</v>
      </c>
      <c r="Z11" s="41">
        <v>1078.6788895402658</v>
      </c>
      <c r="AA11" s="42">
        <v>1576.3214851636544</v>
      </c>
      <c r="AB11" s="41">
        <v>1102.7429205245498</v>
      </c>
      <c r="AC11" s="42">
        <v>1670.2761647786385</v>
      </c>
      <c r="AD11" s="41">
        <v>1136.8137384371803</v>
      </c>
      <c r="AE11" s="42">
        <v>1797.1527136516377</v>
      </c>
      <c r="AF11" s="41">
        <v>1186.5918600883526</v>
      </c>
      <c r="AG11" s="42">
        <v>1991.6868102308863</v>
      </c>
      <c r="AH11" s="41">
        <v>1263.3374016930823</v>
      </c>
      <c r="AI11" s="42">
        <v>2341.4300589564746</v>
      </c>
      <c r="AJ11" s="41">
        <v>1389.8640150567508</v>
      </c>
      <c r="AK11" s="42">
        <v>3093.6776054154088</v>
      </c>
      <c r="AL11" s="41">
        <v>1610.6520915870037</v>
      </c>
      <c r="AM11" s="42">
        <v>5037.5547714099685</v>
      </c>
      <c r="AN11" s="41">
        <v>2081.9502205787612</v>
      </c>
      <c r="AO11" s="42">
        <v>12573.333294633616</v>
      </c>
      <c r="AP11" s="41">
        <v>2262.9480335852941</v>
      </c>
      <c r="AQ11" s="42">
        <v>16963.971402401879</v>
      </c>
      <c r="AR11" s="41">
        <v>2520.8748570760199</v>
      </c>
      <c r="AS11" s="42">
        <v>24950.342688963101</v>
      </c>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c r="AU12" s="42"/>
      <c r="AV12" s="41"/>
      <c r="AW12" s="42"/>
    </row>
    <row r="13" spans="1:49" x14ac:dyDescent="0.2">
      <c r="A13" t="s">
        <v>17</v>
      </c>
      <c r="B13" s="97">
        <v>1000</v>
      </c>
      <c r="C13" s="98">
        <v>1000</v>
      </c>
      <c r="D13" s="97">
        <v>997.7575516251685</v>
      </c>
      <c r="E13" s="98">
        <v>997.7575516251685</v>
      </c>
      <c r="F13" s="97">
        <v>995.70469845678747</v>
      </c>
      <c r="G13" s="98">
        <v>995.70469845678747</v>
      </c>
      <c r="H13" s="97">
        <v>993.90219543393209</v>
      </c>
      <c r="I13" s="98">
        <v>993.90219543393209</v>
      </c>
      <c r="J13" s="97">
        <v>992.43106097886118</v>
      </c>
      <c r="K13" s="98">
        <v>992.43106097886118</v>
      </c>
      <c r="L13" s="97">
        <v>991.40174124383452</v>
      </c>
      <c r="M13" s="98">
        <v>991.40174124383452</v>
      </c>
      <c r="N13" s="97">
        <v>990.9660424795992</v>
      </c>
      <c r="O13" s="98">
        <v>990.9660424795992</v>
      </c>
      <c r="P13" s="97">
        <v>991.33496065136308</v>
      </c>
      <c r="Q13" s="98">
        <v>991.33496065136308</v>
      </c>
      <c r="R13" s="97">
        <v>992.8063072979304</v>
      </c>
      <c r="S13" s="98">
        <v>992.8063072979304</v>
      </c>
      <c r="T13" s="97">
        <v>995.80694904198219</v>
      </c>
      <c r="U13" s="98">
        <v>995.80694904198219</v>
      </c>
      <c r="V13" s="97">
        <v>1000.9578943974977</v>
      </c>
      <c r="W13" s="98">
        <v>1000.9578943974977</v>
      </c>
      <c r="X13" s="97">
        <v>1009.1774012032954</v>
      </c>
      <c r="Y13" s="98">
        <v>1009.1774012032954</v>
      </c>
      <c r="Z13" s="97">
        <v>1021.8489877963441</v>
      </c>
      <c r="AA13" s="98">
        <v>1021.8489877963441</v>
      </c>
      <c r="AB13" s="97">
        <v>1041.11605290596</v>
      </c>
      <c r="AC13" s="98">
        <v>1041.11605290596</v>
      </c>
      <c r="AD13" s="97">
        <v>1070.4792832493349</v>
      </c>
      <c r="AE13" s="98">
        <v>1070.4792832493349</v>
      </c>
      <c r="AF13" s="97">
        <v>1116.247516991865</v>
      </c>
      <c r="AG13" s="98">
        <v>1116.247516991865</v>
      </c>
      <c r="AH13" s="97">
        <v>1191.3566509189525</v>
      </c>
      <c r="AI13" s="98">
        <v>1191.3566509189525</v>
      </c>
      <c r="AJ13" s="97">
        <v>1323.933064474729</v>
      </c>
      <c r="AK13" s="98">
        <v>1323.933064474729</v>
      </c>
      <c r="AL13" s="97">
        <v>1576.6423379751277</v>
      </c>
      <c r="AM13" s="98">
        <v>1576.6423379751277</v>
      </c>
      <c r="AN13" s="97">
        <v>2205.8470523821511</v>
      </c>
      <c r="AO13" s="98">
        <v>2205.8470523821511</v>
      </c>
      <c r="AP13" s="97">
        <v>2482.9344714506351</v>
      </c>
      <c r="AQ13" s="98">
        <v>2482.9344714506351</v>
      </c>
      <c r="AR13" s="97">
        <v>2915.5459082608313</v>
      </c>
      <c r="AS13" s="98">
        <v>2915.5459082608313</v>
      </c>
      <c r="AT13" s="97"/>
      <c r="AU13" s="98"/>
      <c r="AV13" s="97"/>
      <c r="AW13" s="98"/>
    </row>
    <row r="14" spans="1:49" x14ac:dyDescent="0.2">
      <c r="A14" t="s">
        <v>36</v>
      </c>
      <c r="B14" s="41">
        <v>1457.0034251455234</v>
      </c>
      <c r="C14" s="42">
        <v>1457.0034251455236</v>
      </c>
      <c r="D14" s="41">
        <v>1453.7361701826817</v>
      </c>
      <c r="E14" s="42">
        <v>1453.7361701826819</v>
      </c>
      <c r="F14" s="41">
        <v>1450.7451560850297</v>
      </c>
      <c r="G14" s="42">
        <v>1450.74515608503</v>
      </c>
      <c r="H14" s="41">
        <v>1448.1189030068942</v>
      </c>
      <c r="I14" s="42">
        <v>1448.1189030068945</v>
      </c>
      <c r="J14" s="41">
        <v>1445.9754550670064</v>
      </c>
      <c r="K14" s="42">
        <v>1445.9754550670066</v>
      </c>
      <c r="L14" s="41">
        <v>1444.4757326875026</v>
      </c>
      <c r="M14" s="42">
        <v>1444.4757326875028</v>
      </c>
      <c r="N14" s="41">
        <v>1443.8409180956801</v>
      </c>
      <c r="O14" s="42">
        <v>1443.8409180956803</v>
      </c>
      <c r="P14" s="41">
        <v>1444.3784331355384</v>
      </c>
      <c r="Q14" s="42">
        <v>1444.3784331355387</v>
      </c>
      <c r="R14" s="41">
        <v>1446.5221902391636</v>
      </c>
      <c r="S14" s="42">
        <v>1446.5221902391638</v>
      </c>
      <c r="T14" s="41">
        <v>1450.8941355378815</v>
      </c>
      <c r="U14" s="42">
        <v>1450.8941355378818</v>
      </c>
      <c r="V14" s="41">
        <v>1458.3990805636051</v>
      </c>
      <c r="W14" s="42">
        <v>1458.3990805636054</v>
      </c>
      <c r="X14" s="41">
        <v>1470.3749301326593</v>
      </c>
      <c r="Y14" s="42">
        <v>1470.3749301326595</v>
      </c>
      <c r="Z14" s="41">
        <v>1488.8374752007594</v>
      </c>
      <c r="AA14" s="42">
        <v>1488.8374752007596</v>
      </c>
      <c r="AB14" s="41">
        <v>1516.9096550579716</v>
      </c>
      <c r="AC14" s="42">
        <v>1516.9096550579718</v>
      </c>
      <c r="AD14" s="41">
        <v>1559.6919822416057</v>
      </c>
      <c r="AE14" s="42">
        <v>1559.691982241606</v>
      </c>
      <c r="AF14" s="41">
        <v>1626.3764555673331</v>
      </c>
      <c r="AG14" s="42">
        <v>1626.3764555673333</v>
      </c>
      <c r="AH14" s="41">
        <v>1735.8107209588134</v>
      </c>
      <c r="AI14" s="42">
        <v>1735.8107209588136</v>
      </c>
      <c r="AJ14" s="41">
        <v>1928.9750096030891</v>
      </c>
      <c r="AK14" s="42">
        <v>1928.9750096030893</v>
      </c>
      <c r="AL14" s="41">
        <v>2297.173286659207</v>
      </c>
      <c r="AM14" s="42">
        <v>2297.173286659207</v>
      </c>
      <c r="AN14" s="41">
        <v>3213.9267106679508</v>
      </c>
      <c r="AO14" s="42">
        <v>3213.9267106679513</v>
      </c>
      <c r="AP14" s="41">
        <v>3617.6440293154646</v>
      </c>
      <c r="AQ14" s="42">
        <v>3617.6440293154656</v>
      </c>
      <c r="AR14" s="41">
        <v>4247.9603745050472</v>
      </c>
      <c r="AS14" s="42">
        <v>4247.9603745050472</v>
      </c>
      <c r="AT14" s="41"/>
      <c r="AU14" s="42"/>
      <c r="AV14" s="41"/>
      <c r="AW14" s="42"/>
    </row>
    <row r="15" spans="1:49" x14ac:dyDescent="0.2">
      <c r="A15" t="s">
        <v>18</v>
      </c>
      <c r="B15" s="154">
        <v>1000</v>
      </c>
      <c r="C15" s="155">
        <v>1000</v>
      </c>
      <c r="D15" s="154">
        <v>1000.2170363739704</v>
      </c>
      <c r="E15" s="155">
        <v>1000.2170363739704</v>
      </c>
      <c r="F15" s="154">
        <v>1000.7406055932535</v>
      </c>
      <c r="G15" s="155">
        <v>1000.7406055932535</v>
      </c>
      <c r="H15" s="154">
        <v>1001.6417824903285</v>
      </c>
      <c r="I15" s="155">
        <v>1001.6417824903285</v>
      </c>
      <c r="J15" s="154">
        <v>1003.0132363178229</v>
      </c>
      <c r="K15" s="155">
        <v>1003.0132363178229</v>
      </c>
      <c r="L15" s="154">
        <v>1004.9785340042724</v>
      </c>
      <c r="M15" s="155">
        <v>1004.9785340042724</v>
      </c>
      <c r="N15" s="154">
        <v>1007.7041554324786</v>
      </c>
      <c r="O15" s="155">
        <v>1007.7041554324786</v>
      </c>
      <c r="P15" s="154">
        <v>1011.4171235193637</v>
      </c>
      <c r="Q15" s="155">
        <v>1011.4171235193637</v>
      </c>
      <c r="R15" s="154">
        <v>1016.4318685935812</v>
      </c>
      <c r="S15" s="155">
        <v>1016.4318685935812</v>
      </c>
      <c r="T15" s="154">
        <v>1023.190512385685</v>
      </c>
      <c r="U15" s="155">
        <v>1023.190512385685</v>
      </c>
      <c r="V15" s="154">
        <v>1032.323221265387</v>
      </c>
      <c r="W15" s="155">
        <v>1032.323221265387</v>
      </c>
      <c r="X15" s="154">
        <v>1044.7412784833562</v>
      </c>
      <c r="Y15" s="155">
        <v>1044.7412784833562</v>
      </c>
      <c r="Z15" s="154">
        <v>1061.7841177300147</v>
      </c>
      <c r="AA15" s="155">
        <v>1061.7841177300147</v>
      </c>
      <c r="AB15" s="154">
        <v>1085.4712466387537</v>
      </c>
      <c r="AC15" s="155">
        <v>1085.4712466387537</v>
      </c>
      <c r="AD15" s="154">
        <v>1119.0084315122988</v>
      </c>
      <c r="AE15" s="155">
        <v>1119.0084315122988</v>
      </c>
      <c r="AF15" s="154">
        <v>1168.0069050081263</v>
      </c>
      <c r="AG15" s="155">
        <v>1168.0069050081263</v>
      </c>
      <c r="AH15" s="154">
        <v>1243.550422149933</v>
      </c>
      <c r="AI15" s="155">
        <v>1243.550422149933</v>
      </c>
      <c r="AJ15" s="154">
        <v>1368.0953166893701</v>
      </c>
      <c r="AK15" s="155">
        <v>1368.0953166893701</v>
      </c>
      <c r="AL15" s="154">
        <v>1585.4253074004107</v>
      </c>
      <c r="AM15" s="155">
        <v>1585.4253074004107</v>
      </c>
      <c r="AN15" s="154">
        <v>2049.3417453058546</v>
      </c>
      <c r="AO15" s="155">
        <v>2049.3417453058546</v>
      </c>
      <c r="AP15" s="154">
        <v>2227.5046861566866</v>
      </c>
      <c r="AQ15" s="155">
        <v>2227.5046861566866</v>
      </c>
      <c r="AR15" s="154">
        <v>2481.3917394536379</v>
      </c>
      <c r="AS15" s="155">
        <v>2481.3917394536379</v>
      </c>
      <c r="AT15" s="154"/>
      <c r="AU15" s="155"/>
      <c r="AV15" s="154"/>
      <c r="AW15" s="155"/>
    </row>
    <row r="16" spans="1:49" s="29" customFormat="1" x14ac:dyDescent="0.2">
      <c r="A16" t="s">
        <v>61</v>
      </c>
      <c r="B16" s="41">
        <v>1000</v>
      </c>
      <c r="C16" s="42">
        <v>1000</v>
      </c>
      <c r="D16" s="41">
        <v>998.90529144917787</v>
      </c>
      <c r="E16" s="42">
        <v>999.51485034298992</v>
      </c>
      <c r="F16" s="41">
        <v>998.05377667939547</v>
      </c>
      <c r="G16" s="42">
        <v>999.30244976970732</v>
      </c>
      <c r="H16" s="41">
        <v>997.51088059452798</v>
      </c>
      <c r="I16" s="42">
        <v>999.43086710072771</v>
      </c>
      <c r="J16" s="41">
        <v>997.36288902394244</v>
      </c>
      <c r="K16" s="42">
        <v>999.98937591170966</v>
      </c>
      <c r="L16" s="41">
        <v>997.72617575402046</v>
      </c>
      <c r="M16" s="42">
        <v>1001.0977172933661</v>
      </c>
      <c r="N16" s="41">
        <v>998.75917059390997</v>
      </c>
      <c r="O16" s="42">
        <v>1002.9180902273573</v>
      </c>
      <c r="P16" s="41">
        <v>1000.6800946724816</v>
      </c>
      <c r="Q16" s="42">
        <v>1005.6728381353307</v>
      </c>
      <c r="R16" s="41">
        <v>1003.7942359538129</v>
      </c>
      <c r="S16" s="42">
        <v>1009.6715327357921</v>
      </c>
      <c r="T16" s="41">
        <v>1008.5352941080282</v>
      </c>
      <c r="U16" s="42">
        <v>1015.3518236732772</v>
      </c>
      <c r="V16" s="41">
        <v>1015.5283038833024</v>
      </c>
      <c r="W16" s="42">
        <v>1023.3411618271746</v>
      </c>
      <c r="X16" s="41">
        <v>1025.6881657980953</v>
      </c>
      <c r="Y16" s="42">
        <v>1034.5527800624527</v>
      </c>
      <c r="Z16" s="41">
        <v>1040.3780951433562</v>
      </c>
      <c r="AA16" s="42">
        <v>1050.3388088072793</v>
      </c>
      <c r="AB16" s="41">
        <v>1061.6847771137559</v>
      </c>
      <c r="AC16" s="42">
        <v>1072.7545773773481</v>
      </c>
      <c r="AD16" s="41">
        <v>1092.9741100036574</v>
      </c>
      <c r="AE16" s="42">
        <v>1105.0912130190213</v>
      </c>
      <c r="AF16" s="41">
        <v>1140.2358403450428</v>
      </c>
      <c r="AG16" s="42">
        <v>1153.1617534889201</v>
      </c>
      <c r="AH16" s="41">
        <v>1215.5558318392934</v>
      </c>
      <c r="AI16" s="42">
        <v>1228.5845839034948</v>
      </c>
      <c r="AJ16" s="41">
        <v>1344.4416854192089</v>
      </c>
      <c r="AK16" s="42">
        <v>1355.4459729557852</v>
      </c>
      <c r="AL16" s="41">
        <v>1580.7389576786156</v>
      </c>
      <c r="AM16" s="42">
        <v>1582.9169273218422</v>
      </c>
      <c r="AN16" s="41">
        <v>2131.9236540612528</v>
      </c>
      <c r="AO16" s="42">
        <v>2093.6593624666107</v>
      </c>
      <c r="AP16" s="41">
        <v>2361.618430303316</v>
      </c>
      <c r="AQ16" s="42">
        <v>2299.5602580462673</v>
      </c>
      <c r="AR16" s="41">
        <v>2707.6380007125845</v>
      </c>
      <c r="AS16" s="42">
        <v>2603.1605210719185</v>
      </c>
      <c r="AT16" s="41"/>
      <c r="AU16" s="42"/>
      <c r="AV16" s="41"/>
      <c r="AW16" s="42"/>
    </row>
    <row r="17" spans="1:49" x14ac:dyDescent="0.2">
      <c r="A17" t="s">
        <v>62</v>
      </c>
      <c r="B17" s="35">
        <v>999.99999999998658</v>
      </c>
      <c r="C17" s="36">
        <v>1000.0000000000002</v>
      </c>
      <c r="D17" s="35">
        <v>1000.1973841894217</v>
      </c>
      <c r="E17" s="36">
        <v>1015.84971600122</v>
      </c>
      <c r="F17" s="35">
        <v>1000.6737844311557</v>
      </c>
      <c r="G17" s="36">
        <v>1032.8239586415625</v>
      </c>
      <c r="H17" s="35">
        <v>1001.4945291923877</v>
      </c>
      <c r="I17" s="36">
        <v>1051.0329013668052</v>
      </c>
      <c r="J17" s="35">
        <v>1002.7454263243186</v>
      </c>
      <c r="K17" s="36">
        <v>1070.6042595597585</v>
      </c>
      <c r="L17" s="35">
        <v>1004.5418218442928</v>
      </c>
      <c r="M17" s="36">
        <v>1091.6888070593357</v>
      </c>
      <c r="N17" s="35">
        <v>1007.0406592034936</v>
      </c>
      <c r="O17" s="36">
        <v>1114.4714913191744</v>
      </c>
      <c r="P17" s="35">
        <v>1010.458506595733</v>
      </c>
      <c r="Q17" s="36">
        <v>1139.190626554984</v>
      </c>
      <c r="R17" s="35">
        <v>1015.099600711231</v>
      </c>
      <c r="S17" s="36">
        <v>1166.1733382244888</v>
      </c>
      <c r="T17" s="35">
        <v>1021.399162543792</v>
      </c>
      <c r="U17" s="36">
        <v>1195.9040954139023</v>
      </c>
      <c r="V17" s="35">
        <v>1029.9907154848563</v>
      </c>
      <c r="W17" s="36">
        <v>1229.156342504242</v>
      </c>
      <c r="X17" s="35">
        <v>1041.8141827323307</v>
      </c>
      <c r="Y17" s="36">
        <v>1267.2530745870079</v>
      </c>
      <c r="Z17" s="35">
        <v>1058.2944841880178</v>
      </c>
      <c r="AA17" s="36">
        <v>1312.5870027053959</v>
      </c>
      <c r="AB17" s="35">
        <v>1081.658863241157</v>
      </c>
      <c r="AC17" s="36">
        <v>1369.6905596325366</v>
      </c>
      <c r="AD17" s="35">
        <v>1115.5830372180785</v>
      </c>
      <c r="AE17" s="36">
        <v>1447.5841844576635</v>
      </c>
      <c r="AF17" s="35">
        <v>1166.7485887964258</v>
      </c>
      <c r="AG17" s="36">
        <v>1565.6244332426113</v>
      </c>
      <c r="AH17" s="35">
        <v>1248.8806439882451</v>
      </c>
      <c r="AI17" s="36">
        <v>1770.2562753666034</v>
      </c>
      <c r="AJ17" s="35">
        <v>1391.5204760266743</v>
      </c>
      <c r="AK17" s="36">
        <v>2184.4344916027585</v>
      </c>
      <c r="AL17" s="35">
        <v>1658.2759763661186</v>
      </c>
      <c r="AM17" s="36">
        <v>3166.8442097542738</v>
      </c>
      <c r="AN17" s="35">
        <v>2293.8982221968613</v>
      </c>
      <c r="AO17" s="36">
        <v>6545.7004958247762</v>
      </c>
      <c r="AP17" s="35">
        <v>2561.6769993207972</v>
      </c>
      <c r="AQ17" s="36">
        <v>8380.5729093621376</v>
      </c>
      <c r="AR17" s="35">
        <v>2967.0976627114183</v>
      </c>
      <c r="AS17" s="36">
        <v>11595.917125350888</v>
      </c>
      <c r="AT17" s="35"/>
      <c r="AU17" s="36"/>
      <c r="AV17" s="35"/>
      <c r="AW17" s="36"/>
    </row>
    <row r="18" spans="1:49" x14ac:dyDescent="0.2">
      <c r="A18" t="s">
        <v>19</v>
      </c>
      <c r="B18" s="33">
        <v>27857.010133999996</v>
      </c>
      <c r="C18" s="34">
        <v>1236.7674480000003</v>
      </c>
      <c r="D18" s="33">
        <v>27537.466921970838</v>
      </c>
      <c r="E18" s="34">
        <v>1150.5417662549607</v>
      </c>
      <c r="F18" s="33">
        <v>27177.537570484739</v>
      </c>
      <c r="G18" s="34">
        <v>1064.8494716704693</v>
      </c>
      <c r="H18" s="33">
        <v>26770.628093517756</v>
      </c>
      <c r="I18" s="34">
        <v>979.78647621324831</v>
      </c>
      <c r="J18" s="33">
        <v>26309.009725121676</v>
      </c>
      <c r="K18" s="34">
        <v>895.46664003987564</v>
      </c>
      <c r="L18" s="33">
        <v>25783.593277104323</v>
      </c>
      <c r="M18" s="34">
        <v>812.02948703578522</v>
      </c>
      <c r="N18" s="33">
        <v>25183.861364013082</v>
      </c>
      <c r="O18" s="34">
        <v>729.64137731666233</v>
      </c>
      <c r="P18" s="33">
        <v>24497.928838151493</v>
      </c>
      <c r="Q18" s="34">
        <v>648.49238353330361</v>
      </c>
      <c r="R18" s="33">
        <v>23712.8407715799</v>
      </c>
      <c r="S18" s="34">
        <v>568.79241120028144</v>
      </c>
      <c r="T18" s="33">
        <v>22815.375561678786</v>
      </c>
      <c r="U18" s="34">
        <v>490.76473635740604</v>
      </c>
      <c r="V18" s="33">
        <v>21793.720209695311</v>
      </c>
      <c r="W18" s="34">
        <v>414.62527184822119</v>
      </c>
      <c r="X18" s="33">
        <v>20640.306660238733</v>
      </c>
      <c r="Y18" s="34">
        <v>340.57675663963391</v>
      </c>
      <c r="Z18" s="33">
        <v>19355.967120879621</v>
      </c>
      <c r="AA18" s="34">
        <v>268.83838893500723</v>
      </c>
      <c r="AB18" s="33">
        <v>17954.458420623017</v>
      </c>
      <c r="AC18" s="34">
        <v>199.81351370353065</v>
      </c>
      <c r="AD18" s="33">
        <v>16464.43008399013</v>
      </c>
      <c r="AE18" s="34">
        <v>134.58818882259845</v>
      </c>
      <c r="AF18" s="33">
        <v>14924.475851378691</v>
      </c>
      <c r="AG18" s="34">
        <v>76.061705792057168</v>
      </c>
      <c r="AH18" s="33">
        <v>13371.752712351245</v>
      </c>
      <c r="AI18" s="34">
        <v>30.583122776453635</v>
      </c>
      <c r="AJ18" s="33">
        <v>11834.115140360074</v>
      </c>
      <c r="AK18" s="34">
        <v>6.2596283770342742</v>
      </c>
      <c r="AL18" s="33">
        <v>10273.985159084783</v>
      </c>
      <c r="AM18" s="34">
        <v>0.37466540823186845</v>
      </c>
      <c r="AN18" s="33">
        <v>8264.0942417337119</v>
      </c>
      <c r="AO18" s="34">
        <v>1.5563921953995145E-3</v>
      </c>
      <c r="AP18" s="33">
        <v>7675.5206615272737</v>
      </c>
      <c r="AQ18" s="34">
        <v>2.3975965618435667E-4</v>
      </c>
      <c r="AR18" s="33">
        <v>6937.0855114491969</v>
      </c>
      <c r="AS18" s="34">
        <v>2.0327138116356192E-5</v>
      </c>
      <c r="AT18" s="33"/>
      <c r="AU18" s="34"/>
      <c r="AV18" s="33"/>
      <c r="AW18" s="34"/>
    </row>
    <row r="19" spans="1:49" x14ac:dyDescent="0.2">
      <c r="A19" t="s">
        <v>3</v>
      </c>
      <c r="B19" s="41">
        <v>1886.3937399999966</v>
      </c>
      <c r="C19" s="42">
        <v>262.78711299999782</v>
      </c>
      <c r="D19" s="41">
        <v>1865.8265414592552</v>
      </c>
      <c r="E19" s="42">
        <v>268.84119007137878</v>
      </c>
      <c r="F19" s="41">
        <v>1843.9906387862004</v>
      </c>
      <c r="G19" s="42">
        <v>275.14206291906856</v>
      </c>
      <c r="H19" s="41">
        <v>1820.7102804388878</v>
      </c>
      <c r="I19" s="42">
        <v>281.63686885672439</v>
      </c>
      <c r="J19" s="41">
        <v>1795.794648843618</v>
      </c>
      <c r="K19" s="42">
        <v>288.25160069725035</v>
      </c>
      <c r="L19" s="41">
        <v>1769.0436021650467</v>
      </c>
      <c r="M19" s="42">
        <v>294.88676304116723</v>
      </c>
      <c r="N19" s="41">
        <v>1740.2636280062136</v>
      </c>
      <c r="O19" s="42">
        <v>301.41474509829141</v>
      </c>
      <c r="P19" s="41">
        <v>1709.2979845592959</v>
      </c>
      <c r="Q19" s="42">
        <v>307.67929466601686</v>
      </c>
      <c r="R19" s="41">
        <v>1676.0826147056837</v>
      </c>
      <c r="S19" s="42">
        <v>313.50013814272421</v>
      </c>
      <c r="T19" s="41">
        <v>1640.7465232342643</v>
      </c>
      <c r="U19" s="42">
        <v>318.68655250586681</v>
      </c>
      <c r="V19" s="41">
        <v>1603.7853342444607</v>
      </c>
      <c r="W19" s="42">
        <v>323.06000338987161</v>
      </c>
      <c r="X19" s="41">
        <v>1566.3484615638913</v>
      </c>
      <c r="Y19" s="42">
        <v>326.48093141499231</v>
      </c>
      <c r="Z19" s="41">
        <v>1530.6998241795691</v>
      </c>
      <c r="AA19" s="42">
        <v>328.84370149051296</v>
      </c>
      <c r="AB19" s="41">
        <v>1500.9392024422223</v>
      </c>
      <c r="AC19" s="42">
        <v>329.93010040138267</v>
      </c>
      <c r="AD19" s="41">
        <v>1484.2186969666011</v>
      </c>
      <c r="AE19" s="42">
        <v>328.84570167583706</v>
      </c>
      <c r="AF19" s="41">
        <v>1493.3483227717891</v>
      </c>
      <c r="AG19" s="42">
        <v>322.49056927266378</v>
      </c>
      <c r="AH19" s="41">
        <v>1553.6771430302947</v>
      </c>
      <c r="AI19" s="42">
        <v>302.54861169232851</v>
      </c>
      <c r="AJ19" s="41">
        <v>1718.503475754906</v>
      </c>
      <c r="AK19" s="42">
        <v>255.04935771238902</v>
      </c>
      <c r="AL19" s="41">
        <v>2095.5155168231713</v>
      </c>
      <c r="AM19" s="42">
        <v>177.93707199849842</v>
      </c>
      <c r="AN19" s="41">
        <v>3057.0502885324672</v>
      </c>
      <c r="AO19" s="42">
        <v>89.508857434963531</v>
      </c>
      <c r="AP19" s="41">
        <v>3458.6560995172622</v>
      </c>
      <c r="AQ19" s="42">
        <v>71.612156369266486</v>
      </c>
      <c r="AR19" s="41">
        <v>4053.0962848446989</v>
      </c>
      <c r="AS19" s="42">
        <v>53.710120883408798</v>
      </c>
      <c r="AT19" s="41"/>
      <c r="AU19" s="42"/>
      <c r="AV19" s="41"/>
      <c r="AW19" s="42"/>
    </row>
    <row r="20" spans="1:49" x14ac:dyDescent="0.2">
      <c r="A20" t="s">
        <v>127</v>
      </c>
      <c r="B20" s="82">
        <v>26548.356269999993</v>
      </c>
      <c r="C20" s="83">
        <v>1408.5418709999938</v>
      </c>
      <c r="D20" s="82">
        <v>26247.507114710679</v>
      </c>
      <c r="E20" s="83">
        <v>1338.1147774499941</v>
      </c>
      <c r="F20" s="82">
        <v>25913.194729228097</v>
      </c>
      <c r="G20" s="83">
        <v>1267.6876838999945</v>
      </c>
      <c r="H20" s="82">
        <v>25540.022120929912</v>
      </c>
      <c r="I20" s="83">
        <v>1197.2605903499946</v>
      </c>
      <c r="J20" s="82">
        <v>25121.677374277751</v>
      </c>
      <c r="K20" s="83">
        <v>1126.8334967999949</v>
      </c>
      <c r="L20" s="82">
        <v>24650.756770756176</v>
      </c>
      <c r="M20" s="83">
        <v>1056.4064032499953</v>
      </c>
      <c r="N20" s="82">
        <v>24118.71882973253</v>
      </c>
      <c r="O20" s="83">
        <v>985.97930969999561</v>
      </c>
      <c r="P20" s="82">
        <v>23515.946612656338</v>
      </c>
      <c r="Q20" s="83">
        <v>915.55221614999596</v>
      </c>
      <c r="R20" s="82">
        <v>22832.010970125597</v>
      </c>
      <c r="S20" s="83">
        <v>845.12512259999642</v>
      </c>
      <c r="T20" s="82">
        <v>22056.356571980512</v>
      </c>
      <c r="U20" s="83">
        <v>774.69802904999653</v>
      </c>
      <c r="V20" s="82">
        <v>21179.716124026636</v>
      </c>
      <c r="W20" s="83">
        <v>704.27093549999688</v>
      </c>
      <c r="X20" s="82">
        <v>20196.502441234537</v>
      </c>
      <c r="Y20" s="83">
        <v>633.84384194999711</v>
      </c>
      <c r="Z20" s="82">
        <v>19108.336167318324</v>
      </c>
      <c r="AA20" s="83">
        <v>563.41674839999746</v>
      </c>
      <c r="AB20" s="82">
        <v>17927.995818891402</v>
      </c>
      <c r="AC20" s="83">
        <v>492.98965484999781</v>
      </c>
      <c r="AD20" s="82">
        <v>16681.552672445654</v>
      </c>
      <c r="AE20" s="83">
        <v>422.56256129999809</v>
      </c>
      <c r="AF20" s="82">
        <v>15405.492558396016</v>
      </c>
      <c r="AG20" s="83">
        <v>352.13546774999827</v>
      </c>
      <c r="AH20" s="82">
        <v>14139.66983637036</v>
      </c>
      <c r="AI20" s="83">
        <v>281.70837419999856</v>
      </c>
      <c r="AJ20" s="82">
        <v>12921.799348005836</v>
      </c>
      <c r="AK20" s="83">
        <v>211.28128064999876</v>
      </c>
      <c r="AL20" s="82">
        <v>11732.879189691257</v>
      </c>
      <c r="AM20" s="83">
        <v>140.85418709999902</v>
      </c>
      <c r="AN20" s="82">
        <v>10244.224796643721</v>
      </c>
      <c r="AO20" s="83">
        <v>70.42709354999927</v>
      </c>
      <c r="AP20" s="82">
        <v>9810.1448355137672</v>
      </c>
      <c r="AQ20" s="83">
        <v>56.341674839999328</v>
      </c>
      <c r="AR20" s="82">
        <v>9264.0640110671029</v>
      </c>
      <c r="AS20" s="83">
        <v>42.256256129999379</v>
      </c>
      <c r="AT20" s="82"/>
      <c r="AU20" s="83"/>
      <c r="AV20" s="82"/>
      <c r="AW20" s="83"/>
    </row>
    <row r="21" spans="1:49" x14ac:dyDescent="0.2">
      <c r="A21" t="s">
        <v>76</v>
      </c>
      <c r="B21" s="82">
        <v>24661.96252999999</v>
      </c>
      <c r="C21" s="83">
        <v>1145.7547579999916</v>
      </c>
      <c r="D21" s="82">
        <v>24381.680667822518</v>
      </c>
      <c r="E21" s="83">
        <v>1069.3843072864229</v>
      </c>
      <c r="F21" s="82">
        <v>24069.205177617845</v>
      </c>
      <c r="G21" s="83">
        <v>993.00735526678079</v>
      </c>
      <c r="H21" s="82">
        <v>23719.317106212337</v>
      </c>
      <c r="I21" s="83">
        <v>916.70650081494159</v>
      </c>
      <c r="J21" s="82">
        <v>23325.900172409958</v>
      </c>
      <c r="K21" s="83">
        <v>840.58707855321461</v>
      </c>
      <c r="L21" s="82">
        <v>22881.759903132628</v>
      </c>
      <c r="M21" s="83">
        <v>764.7809212055181</v>
      </c>
      <c r="N21" s="82">
        <v>22378.564700454124</v>
      </c>
      <c r="O21" s="83">
        <v>689.44839972394163</v>
      </c>
      <c r="P21" s="82">
        <v>21806.883094544519</v>
      </c>
      <c r="Q21" s="83">
        <v>614.7786558091035</v>
      </c>
      <c r="R21" s="82">
        <v>21156.39990009995</v>
      </c>
      <c r="S21" s="83">
        <v>540.98573575351304</v>
      </c>
      <c r="T21" s="82">
        <v>20416.517366026455</v>
      </c>
      <c r="U21" s="83">
        <v>468.29831243080008</v>
      </c>
      <c r="V21" s="82">
        <v>19577.623388973796</v>
      </c>
      <c r="W21" s="83">
        <v>396.94496125187891</v>
      </c>
      <c r="X21" s="82">
        <v>18633.24639393363</v>
      </c>
      <c r="Y21" s="83">
        <v>327.14252539050739</v>
      </c>
      <c r="Z21" s="82">
        <v>17583.215663339535</v>
      </c>
      <c r="AA21" s="83">
        <v>259.12242611965877</v>
      </c>
      <c r="AB21" s="82">
        <v>16437.074513235399</v>
      </c>
      <c r="AC21" s="83">
        <v>193.28646245661884</v>
      </c>
      <c r="AD21" s="82">
        <v>15215.40557716464</v>
      </c>
      <c r="AE21" s="83">
        <v>130.69081515003501</v>
      </c>
      <c r="AF21" s="82">
        <v>13945.405179136016</v>
      </c>
      <c r="AG21" s="83">
        <v>74.159467642121271</v>
      </c>
      <c r="AH21" s="82">
        <v>12650.146400097068</v>
      </c>
      <c r="AI21" s="83">
        <v>29.940671272083041</v>
      </c>
      <c r="AJ21" s="82">
        <v>11337.216750848753</v>
      </c>
      <c r="AK21" s="83">
        <v>6.1494961521595437</v>
      </c>
      <c r="AL21" s="82">
        <v>9944.9395683987113</v>
      </c>
      <c r="AM21" s="83">
        <v>0.36878477931446269</v>
      </c>
      <c r="AN21" s="82">
        <v>8049.989562103533</v>
      </c>
      <c r="AO21" s="83">
        <v>1.532740535573444E-3</v>
      </c>
      <c r="AP21" s="82">
        <v>7482.1342131726224</v>
      </c>
      <c r="AQ21" s="83">
        <v>2.3612012558358152E-4</v>
      </c>
      <c r="AR21" s="82">
        <v>6766.0239557975092</v>
      </c>
      <c r="AS21" s="83">
        <v>2.001870504632376E-5</v>
      </c>
      <c r="AT21" s="82"/>
      <c r="AU21" s="83"/>
      <c r="AV21" s="82"/>
      <c r="AW21" s="83"/>
    </row>
    <row r="22" spans="1:49" x14ac:dyDescent="0.2">
      <c r="A22" t="s">
        <v>28</v>
      </c>
      <c r="B22" s="41">
        <v>6533.6044688320717</v>
      </c>
      <c r="C22" s="42">
        <v>379.90788307663411</v>
      </c>
      <c r="D22" s="41">
        <v>6444.5217471522847</v>
      </c>
      <c r="E22" s="42">
        <v>368.11984345508972</v>
      </c>
      <c r="F22" s="41">
        <v>6346.0695962994287</v>
      </c>
      <c r="G22" s="42">
        <v>355.92933563509496</v>
      </c>
      <c r="H22" s="41">
        <v>6236.7594180070364</v>
      </c>
      <c r="I22" s="42">
        <v>343.30111736216594</v>
      </c>
      <c r="J22" s="41">
        <v>6114.8534039780479</v>
      </c>
      <c r="K22" s="42">
        <v>330.19587259230883</v>
      </c>
      <c r="L22" s="41">
        <v>5978.3187348933243</v>
      </c>
      <c r="M22" s="42">
        <v>316.56979831975781</v>
      </c>
      <c r="N22" s="41">
        <v>5824.8175997106346</v>
      </c>
      <c r="O22" s="42">
        <v>302.37498674281863</v>
      </c>
      <c r="P22" s="41">
        <v>5651.7273065383088</v>
      </c>
      <c r="Q22" s="42">
        <v>287.56060570695365</v>
      </c>
      <c r="R22" s="41">
        <v>5456.2185265575954</v>
      </c>
      <c r="S22" s="42">
        <v>272.07529553896944</v>
      </c>
      <c r="T22" s="41">
        <v>5235.451660605484</v>
      </c>
      <c r="U22" s="42">
        <v>255.87144619283475</v>
      </c>
      <c r="V22" s="41">
        <v>4986.9764454192427</v>
      </c>
      <c r="W22" s="42">
        <v>238.91272933468917</v>
      </c>
      <c r="X22" s="41">
        <v>4709.3995715772162</v>
      </c>
      <c r="Y22" s="42">
        <v>221.18328918988709</v>
      </c>
      <c r="Z22" s="41">
        <v>4403.3667100900302</v>
      </c>
      <c r="AA22" s="42">
        <v>202.69583022913471</v>
      </c>
      <c r="AB22" s="41">
        <v>4072.653685771159</v>
      </c>
      <c r="AC22" s="42">
        <v>183.48501760278288</v>
      </c>
      <c r="AD22" s="41">
        <v>3724.7495634063393</v>
      </c>
      <c r="AE22" s="42">
        <v>163.55777934563321</v>
      </c>
      <c r="AF22" s="41">
        <v>3370.0738106223271</v>
      </c>
      <c r="AG22" s="42">
        <v>142.75756530003312</v>
      </c>
      <c r="AH22" s="41">
        <v>3020.1336677145637</v>
      </c>
      <c r="AI22" s="42">
        <v>120.54816187908634</v>
      </c>
      <c r="AJ22" s="41">
        <v>2686.3386135504529</v>
      </c>
      <c r="AK22" s="42">
        <v>96.066205797067312</v>
      </c>
      <c r="AL22" s="41">
        <v>2365.4877121599579</v>
      </c>
      <c r="AM22" s="42">
        <v>68.976539368396061</v>
      </c>
      <c r="AN22" s="41">
        <v>1972.2891231808919</v>
      </c>
      <c r="AO22" s="42">
        <v>38.751994239989997</v>
      </c>
      <c r="AP22" s="41">
        <v>1858.7750483666266</v>
      </c>
      <c r="AQ22" s="42">
        <v>32.079426295605437</v>
      </c>
      <c r="AR22" s="41">
        <v>1716.2204584558103</v>
      </c>
      <c r="AS22" s="42">
        <v>25.070873583364911</v>
      </c>
      <c r="AT22" s="41"/>
      <c r="AU22" s="42"/>
      <c r="AV22" s="41"/>
      <c r="AW22" s="42"/>
    </row>
    <row r="23" spans="1:49" x14ac:dyDescent="0.2">
      <c r="A23" t="s">
        <v>7</v>
      </c>
      <c r="B23" s="116">
        <v>3278.5018080150408</v>
      </c>
      <c r="C23" s="8">
        <v>0</v>
      </c>
      <c r="D23" s="116">
        <v>3242.2558065881753</v>
      </c>
      <c r="E23" s="8">
        <v>0</v>
      </c>
      <c r="F23" s="116">
        <v>3201.1216311346629</v>
      </c>
      <c r="G23" s="8">
        <v>0</v>
      </c>
      <c r="H23" s="116">
        <v>3154.297692455365</v>
      </c>
      <c r="I23" s="8">
        <v>0</v>
      </c>
      <c r="J23" s="116">
        <v>3100.8467467969631</v>
      </c>
      <c r="K23" s="8">
        <v>0</v>
      </c>
      <c r="L23" s="116">
        <v>3039.6689081653485</v>
      </c>
      <c r="M23" s="8">
        <v>0</v>
      </c>
      <c r="N23" s="116">
        <v>2969.4957311621847</v>
      </c>
      <c r="O23" s="8">
        <v>0</v>
      </c>
      <c r="P23" s="116">
        <v>2888.9016357355677</v>
      </c>
      <c r="Q23" s="8">
        <v>0</v>
      </c>
      <c r="R23" s="116">
        <v>2796.3459642247822</v>
      </c>
      <c r="S23" s="8">
        <v>0</v>
      </c>
      <c r="T23" s="116">
        <v>2690.2803918416812</v>
      </c>
      <c r="U23" s="8">
        <v>0</v>
      </c>
      <c r="V23" s="116">
        <v>2569.3708932852301</v>
      </c>
      <c r="W23" s="8">
        <v>0</v>
      </c>
      <c r="X23" s="116">
        <v>2432.873177697787</v>
      </c>
      <c r="Y23" s="8">
        <v>0</v>
      </c>
      <c r="Z23" s="116">
        <v>2281.1927160042337</v>
      </c>
      <c r="AA23" s="8">
        <v>0</v>
      </c>
      <c r="AB23" s="116">
        <v>2116.5350458402313</v>
      </c>
      <c r="AC23" s="8">
        <v>0</v>
      </c>
      <c r="AD23" s="116">
        <v>1943.3409224327436</v>
      </c>
      <c r="AE23" s="8">
        <v>0</v>
      </c>
      <c r="AF23" s="116">
        <v>1768.1004491188394</v>
      </c>
      <c r="AG23" s="8">
        <v>0</v>
      </c>
      <c r="AH23" s="116">
        <v>1598.7962536995294</v>
      </c>
      <c r="AI23" s="8">
        <v>0</v>
      </c>
      <c r="AJ23" s="116">
        <v>1444.4792587425304</v>
      </c>
      <c r="AK23" s="8">
        <v>0</v>
      </c>
      <c r="AL23" s="116">
        <v>1305.978593894318</v>
      </c>
      <c r="AM23" s="8">
        <v>0</v>
      </c>
      <c r="AN23" s="116">
        <v>1142.470540122004</v>
      </c>
      <c r="AO23" s="8">
        <v>0</v>
      </c>
      <c r="AP23" s="116">
        <v>1094.4729924974918</v>
      </c>
      <c r="AQ23" s="8">
        <v>0</v>
      </c>
      <c r="AR23" s="116">
        <v>1033.1260533421273</v>
      </c>
      <c r="AS23" s="8">
        <v>0</v>
      </c>
      <c r="AT23" s="116"/>
      <c r="AU23" s="8"/>
      <c r="AV23" s="116"/>
      <c r="AW23" s="8"/>
    </row>
    <row r="24" spans="1:49" x14ac:dyDescent="0.2">
      <c r="A24" t="s">
        <v>8</v>
      </c>
      <c r="B24" s="97">
        <v>3196.3846373657216</v>
      </c>
      <c r="C24" s="8">
        <v>0</v>
      </c>
      <c r="D24" s="97">
        <v>3196.3846373657216</v>
      </c>
      <c r="E24" s="8">
        <v>0</v>
      </c>
      <c r="F24" s="97">
        <v>3196.3846373657216</v>
      </c>
      <c r="G24" s="8">
        <v>0</v>
      </c>
      <c r="H24" s="97">
        <v>3196.3846373657216</v>
      </c>
      <c r="I24" s="8">
        <v>0</v>
      </c>
      <c r="J24" s="97">
        <v>3196.3846373657216</v>
      </c>
      <c r="K24" s="8">
        <v>0</v>
      </c>
      <c r="L24" s="97">
        <v>3196.3846373657216</v>
      </c>
      <c r="M24" s="8">
        <v>0</v>
      </c>
      <c r="N24" s="97">
        <v>3196.3846373657216</v>
      </c>
      <c r="O24" s="8">
        <v>0</v>
      </c>
      <c r="P24" s="97">
        <v>3196.3846373657216</v>
      </c>
      <c r="Q24" s="8">
        <v>0</v>
      </c>
      <c r="R24" s="97">
        <v>3196.3846373657216</v>
      </c>
      <c r="S24" s="8">
        <v>0</v>
      </c>
      <c r="T24" s="97">
        <v>3196.3846373657216</v>
      </c>
      <c r="U24" s="8">
        <v>0</v>
      </c>
      <c r="V24" s="97">
        <v>3196.3846373657216</v>
      </c>
      <c r="W24" s="8">
        <v>0</v>
      </c>
      <c r="X24" s="97">
        <v>3196.3846373657216</v>
      </c>
      <c r="Y24" s="8">
        <v>0</v>
      </c>
      <c r="Z24" s="97">
        <v>3196.3846373657216</v>
      </c>
      <c r="AA24" s="8">
        <v>0</v>
      </c>
      <c r="AB24" s="97">
        <v>3196.3846373657216</v>
      </c>
      <c r="AC24" s="8">
        <v>0</v>
      </c>
      <c r="AD24" s="97">
        <v>3196.3846373657216</v>
      </c>
      <c r="AE24" s="8">
        <v>0</v>
      </c>
      <c r="AF24" s="97">
        <v>3196.3846373657216</v>
      </c>
      <c r="AG24" s="8">
        <v>0</v>
      </c>
      <c r="AH24" s="97">
        <v>3196.3846373657216</v>
      </c>
      <c r="AI24" s="8">
        <v>0</v>
      </c>
      <c r="AJ24" s="97">
        <v>3196.3846373657216</v>
      </c>
      <c r="AK24" s="8">
        <v>0</v>
      </c>
      <c r="AL24" s="97">
        <v>3196.3846373657216</v>
      </c>
      <c r="AM24" s="8">
        <v>0</v>
      </c>
      <c r="AN24" s="97">
        <v>3196.3846373657216</v>
      </c>
      <c r="AO24" s="8">
        <v>0</v>
      </c>
      <c r="AP24" s="97">
        <v>3196.3846373657216</v>
      </c>
      <c r="AQ24" s="8">
        <v>0</v>
      </c>
      <c r="AR24" s="97">
        <v>3196.3846373657216</v>
      </c>
      <c r="AS24" s="8">
        <v>0</v>
      </c>
      <c r="AT24" s="97"/>
      <c r="AU24" s="8"/>
      <c r="AV24" s="97"/>
      <c r="AW24" s="8"/>
    </row>
    <row r="25" spans="1:49" x14ac:dyDescent="0.2">
      <c r="A25" t="s">
        <v>0</v>
      </c>
      <c r="B25" s="41">
        <v>3195.0476040000012</v>
      </c>
      <c r="C25" s="42">
        <v>91.012690000004255</v>
      </c>
      <c r="D25" s="41">
        <v>3155.7857618865814</v>
      </c>
      <c r="E25" s="42">
        <v>81.137088293231841</v>
      </c>
      <c r="F25" s="41">
        <v>3108.3287884985948</v>
      </c>
      <c r="G25" s="42">
        <v>71.765671072706297</v>
      </c>
      <c r="H25" s="41">
        <v>3051.2935478583813</v>
      </c>
      <c r="I25" s="42">
        <v>62.916928367153204</v>
      </c>
      <c r="J25" s="41">
        <v>2983.053394369223</v>
      </c>
      <c r="K25" s="42">
        <v>54.607835440594044</v>
      </c>
      <c r="L25" s="41">
        <v>2901.6854086921262</v>
      </c>
      <c r="M25" s="42">
        <v>46.853746876055716</v>
      </c>
      <c r="N25" s="41">
        <v>2804.9538933122544</v>
      </c>
      <c r="O25" s="42">
        <v>39.66767908042582</v>
      </c>
      <c r="P25" s="41">
        <v>2690.3225807203139</v>
      </c>
      <c r="Q25" s="42">
        <v>33.059455226248964</v>
      </c>
      <c r="R25" s="41">
        <v>2555.0157978554716</v>
      </c>
      <c r="S25" s="42">
        <v>27.034984833974015</v>
      </c>
      <c r="T25" s="41">
        <v>2396.1893169985265</v>
      </c>
      <c r="U25" s="42">
        <v>21.595765104747716</v>
      </c>
      <c r="V25" s="41">
        <v>2211.2943629569795</v>
      </c>
      <c r="W25" s="42">
        <v>16.738656434441122</v>
      </c>
      <c r="X25" s="41">
        <v>1998.7014826760537</v>
      </c>
      <c r="Y25" s="42">
        <v>12.457860393051384</v>
      </c>
      <c r="Z25" s="41">
        <v>1758.6279441290469</v>
      </c>
      <c r="AA25" s="42">
        <v>8.7504266460229871</v>
      </c>
      <c r="AB25" s="41">
        <v>1494.1923053018327</v>
      </c>
      <c r="AC25" s="42">
        <v>5.6280504872115609</v>
      </c>
      <c r="AD25" s="41">
        <v>1212.0315532863974</v>
      </c>
      <c r="AE25" s="42">
        <v>3.1342845589262271</v>
      </c>
      <c r="AF25" s="41">
        <v>921.78640783270055</v>
      </c>
      <c r="AG25" s="42">
        <v>1.3528755313388756</v>
      </c>
      <c r="AH25" s="41">
        <v>635.65903881096961</v>
      </c>
      <c r="AI25" s="42">
        <v>0.35831203715475268</v>
      </c>
      <c r="AJ25" s="41">
        <v>374.00520417604559</v>
      </c>
      <c r="AK25" s="42">
        <v>3.6325643252979004E-2</v>
      </c>
      <c r="AL25" s="41">
        <v>169.77893649392757</v>
      </c>
      <c r="AM25" s="42">
        <v>6.3869414386906638E-4</v>
      </c>
      <c r="AN25" s="41">
        <v>42.309696640845708</v>
      </c>
      <c r="AO25" s="42">
        <v>2.4128816602477574E-7</v>
      </c>
      <c r="AP25" s="41">
        <v>26.541217767804834</v>
      </c>
      <c r="AQ25" s="42">
        <v>1.6310689338387234E-8</v>
      </c>
      <c r="AR25" s="41">
        <v>14.291765350994002</v>
      </c>
      <c r="AS25" s="42">
        <v>4.6493507567592338E-10</v>
      </c>
      <c r="AT25" s="41"/>
      <c r="AU25" s="42"/>
      <c r="AV25" s="41"/>
      <c r="AW25" s="42"/>
    </row>
    <row r="26" spans="1:49" x14ac:dyDescent="0.2">
      <c r="A26" t="s">
        <v>27</v>
      </c>
      <c r="B26" s="33">
        <v>5036.2953101960647</v>
      </c>
      <c r="C26" s="34">
        <v>74.905331803938267</v>
      </c>
      <c r="D26" s="33">
        <v>4988.4754354409952</v>
      </c>
      <c r="E26" s="34">
        <v>70.037839714888534</v>
      </c>
      <c r="F26" s="33">
        <v>4933.4728643645976</v>
      </c>
      <c r="G26" s="34">
        <v>65.164566499535496</v>
      </c>
      <c r="H26" s="33">
        <v>4870.03629688399</v>
      </c>
      <c r="I26" s="34">
        <v>60.288608183559766</v>
      </c>
      <c r="J26" s="33">
        <v>4796.6892692628926</v>
      </c>
      <c r="K26" s="34">
        <v>55.414129243717468</v>
      </c>
      <c r="L26" s="33">
        <v>4711.683370787845</v>
      </c>
      <c r="M26" s="34">
        <v>50.546813653719475</v>
      </c>
      <c r="N26" s="33">
        <v>4612.98025929904</v>
      </c>
      <c r="O26" s="34">
        <v>45.694065506966908</v>
      </c>
      <c r="P26" s="33">
        <v>4498.256342454677</v>
      </c>
      <c r="Q26" s="34">
        <v>40.865029401035741</v>
      </c>
      <c r="R26" s="33">
        <v>4364.9513493054937</v>
      </c>
      <c r="S26" s="34">
        <v>36.070553432106273</v>
      </c>
      <c r="T26" s="33">
        <v>4210.4127676974313</v>
      </c>
      <c r="U26" s="34">
        <v>31.323021489338146</v>
      </c>
      <c r="V26" s="33">
        <v>4032.2066898392368</v>
      </c>
      <c r="W26" s="34">
        <v>26.635522633229389</v>
      </c>
      <c r="X26" s="33">
        <v>3828.6568879829924</v>
      </c>
      <c r="Y26" s="34">
        <v>22.021840132313034</v>
      </c>
      <c r="Z26" s="33">
        <v>3599.6498045076864</v>
      </c>
      <c r="AA26" s="34">
        <v>17.498738600286085</v>
      </c>
      <c r="AB26" s="33">
        <v>3347.5393642215599</v>
      </c>
      <c r="AC26" s="34">
        <v>13.096774019603556</v>
      </c>
      <c r="AD26" s="33">
        <v>3077.6071351125697</v>
      </c>
      <c r="AE26" s="34">
        <v>8.8918909717802244</v>
      </c>
      <c r="AF26" s="33">
        <v>2797.2436171671111</v>
      </c>
      <c r="AG26" s="34">
        <v>5.0777744552305846</v>
      </c>
      <c r="AH26" s="33">
        <v>2513.8721584220521</v>
      </c>
      <c r="AI26" s="34">
        <v>2.0752083962751819</v>
      </c>
      <c r="AJ26" s="33">
        <v>2233.1589630083008</v>
      </c>
      <c r="AK26" s="34">
        <v>0.43750229361029658</v>
      </c>
      <c r="AL26" s="33">
        <v>1946.6747550733025</v>
      </c>
      <c r="AM26" s="34">
        <v>2.7713100826545906E-2</v>
      </c>
      <c r="AN26" s="33">
        <v>1564.5529844645716</v>
      </c>
      <c r="AO26" s="34">
        <v>1.2949953455841027E-4</v>
      </c>
      <c r="AP26" s="33">
        <v>1448.5421325522318</v>
      </c>
      <c r="AQ26" s="34">
        <v>2.077294976349476E-5</v>
      </c>
      <c r="AR26" s="33">
        <v>1300.72518350781</v>
      </c>
      <c r="AS26" s="34">
        <v>1.856674958189048E-6</v>
      </c>
      <c r="AT26" s="33"/>
      <c r="AU26" s="34"/>
      <c r="AV26" s="33"/>
      <c r="AW26" s="34"/>
    </row>
    <row r="27" spans="1:49" x14ac:dyDescent="0.2">
      <c r="A27" t="s">
        <v>2</v>
      </c>
      <c r="B27" s="35">
        <v>6425.1981589998131</v>
      </c>
      <c r="C27" s="36">
        <v>273.22915400000056</v>
      </c>
      <c r="D27" s="35">
        <v>6354.7964330195764</v>
      </c>
      <c r="E27" s="36">
        <v>255.28560778537701</v>
      </c>
      <c r="F27" s="35">
        <v>6274.9967217939284</v>
      </c>
      <c r="G27" s="36">
        <v>237.33869573692186</v>
      </c>
      <c r="H27" s="35">
        <v>6184.2390159323613</v>
      </c>
      <c r="I27" s="36">
        <v>219.40122275056095</v>
      </c>
      <c r="J27" s="35">
        <v>6080.6937739442756</v>
      </c>
      <c r="K27" s="36">
        <v>201.48978100243878</v>
      </c>
      <c r="L27" s="35">
        <v>5962.2086797507218</v>
      </c>
      <c r="M27" s="36">
        <v>183.62673817434859</v>
      </c>
      <c r="N27" s="35">
        <v>5826.2936498448771</v>
      </c>
      <c r="O27" s="36">
        <v>165.84095219314054</v>
      </c>
      <c r="P27" s="35">
        <v>5670.1377395487534</v>
      </c>
      <c r="Q27" s="36">
        <v>148.1675889794376</v>
      </c>
      <c r="R27" s="35">
        <v>5490.6846428496674</v>
      </c>
      <c r="S27" s="36">
        <v>130.64804322774455</v>
      </c>
      <c r="T27" s="35">
        <v>5284.8321794770209</v>
      </c>
      <c r="U27" s="36">
        <v>113.32965947540768</v>
      </c>
      <c r="V27" s="35">
        <v>5049.8466532170532</v>
      </c>
      <c r="W27" s="36">
        <v>96.262171389546253</v>
      </c>
      <c r="X27" s="35">
        <v>4784.0646709095809</v>
      </c>
      <c r="Y27" s="36">
        <v>79.497900360955626</v>
      </c>
      <c r="Z27" s="35">
        <v>4487.928064572181</v>
      </c>
      <c r="AA27" s="36">
        <v>63.099540908309862</v>
      </c>
      <c r="AB27" s="35">
        <v>4165.1392197267232</v>
      </c>
      <c r="AC27" s="36">
        <v>47.178370353216941</v>
      </c>
      <c r="AD27" s="35">
        <v>3823.2743504709579</v>
      </c>
      <c r="AE27" s="36">
        <v>32.006043713092112</v>
      </c>
      <c r="AF27" s="35">
        <v>3472.9192661622042</v>
      </c>
      <c r="AG27" s="36">
        <v>18.271837962764977</v>
      </c>
      <c r="AH27" s="35">
        <v>3125.6875545261605</v>
      </c>
      <c r="AI27" s="36">
        <v>7.4729070403722861</v>
      </c>
      <c r="AJ27" s="35">
        <v>2793.4749449303636</v>
      </c>
      <c r="AK27" s="36">
        <v>1.5802269566608289</v>
      </c>
      <c r="AL27" s="35">
        <v>2475.2619989328587</v>
      </c>
      <c r="AM27" s="36">
        <v>0.1009196428532073</v>
      </c>
      <c r="AN27" s="35">
        <v>2086.1340883048279</v>
      </c>
      <c r="AO27" s="36">
        <v>4.8291503191643986E-4</v>
      </c>
      <c r="AP27" s="35">
        <v>1972.3975266834354</v>
      </c>
      <c r="AQ27" s="36">
        <v>7.8281002989258829E-5</v>
      </c>
      <c r="AR27" s="35">
        <v>1827.9975891015322</v>
      </c>
      <c r="AS27" s="36">
        <v>7.1081655663676976E-6</v>
      </c>
      <c r="AT27" s="35"/>
      <c r="AU27" s="36"/>
      <c r="AV27" s="35"/>
      <c r="AW27" s="36"/>
    </row>
    <row r="28" spans="1:49" x14ac:dyDescent="0.2">
      <c r="A28" t="s">
        <v>35</v>
      </c>
      <c r="B28" s="41">
        <v>13763.097675999827</v>
      </c>
      <c r="C28" s="42">
        <v>382.36647900000054</v>
      </c>
      <c r="D28" s="41">
        <v>13623.016062998469</v>
      </c>
      <c r="E28" s="42">
        <v>357.3309139072112</v>
      </c>
      <c r="F28" s="41">
        <v>13463.057998130314</v>
      </c>
      <c r="G28" s="42">
        <v>332.28343369157795</v>
      </c>
      <c r="H28" s="41">
        <v>13279.838918305466</v>
      </c>
      <c r="I28" s="42">
        <v>307.24136617741107</v>
      </c>
      <c r="J28" s="41">
        <v>13069.376688834371</v>
      </c>
      <c r="K28" s="42">
        <v>282.22738650543425</v>
      </c>
      <c r="L28" s="41">
        <v>12826.970303682381</v>
      </c>
      <c r="M28" s="42">
        <v>257.27216371866018</v>
      </c>
      <c r="N28" s="41">
        <v>12547.158858119083</v>
      </c>
      <c r="O28" s="42">
        <v>232.41536914156788</v>
      </c>
      <c r="P28" s="41">
        <v>12223.745546787468</v>
      </c>
      <c r="Q28" s="42">
        <v>207.70552396878438</v>
      </c>
      <c r="R28" s="41">
        <v>11849.944352518043</v>
      </c>
      <c r="S28" s="42">
        <v>183.19986714735265</v>
      </c>
      <c r="T28" s="41">
        <v>11418.790602378775</v>
      </c>
      <c r="U28" s="42">
        <v>158.96383575689896</v>
      </c>
      <c r="V28" s="41">
        <v>10924.009159398254</v>
      </c>
      <c r="W28" s="42">
        <v>135.06629238657808</v>
      </c>
      <c r="X28" s="41">
        <v>10361.502939591044</v>
      </c>
      <c r="Y28" s="42">
        <v>111.57971051013604</v>
      </c>
      <c r="Z28" s="41">
        <v>9731.5623178767091</v>
      </c>
      <c r="AA28" s="42">
        <v>88.591288248294532</v>
      </c>
      <c r="AB28" s="41">
        <v>9041.3405660947355</v>
      </c>
      <c r="AC28" s="42">
        <v>66.256895045395908</v>
      </c>
      <c r="AD28" s="41">
        <v>8306.1394814637169</v>
      </c>
      <c r="AE28" s="42">
        <v>44.958862440243266</v>
      </c>
      <c r="AF28" s="41">
        <v>7547.3551508919363</v>
      </c>
      <c r="AG28" s="42">
        <v>25.668563528760409</v>
      </c>
      <c r="AH28" s="41">
        <v>6787.4762355949679</v>
      </c>
      <c r="AI28" s="42">
        <v>10.49590386870239</v>
      </c>
      <c r="AJ28" s="41">
        <v>6046.7091356406327</v>
      </c>
      <c r="AK28" s="42">
        <v>2.217596385031575</v>
      </c>
      <c r="AL28" s="41">
        <v>5311.5615452745933</v>
      </c>
      <c r="AM28" s="42">
        <v>0.14129759233857822</v>
      </c>
      <c r="AN28" s="41">
        <v>4363.9275181226458</v>
      </c>
      <c r="AO28" s="42">
        <v>6.7148456558006387E-4</v>
      </c>
      <c r="AP28" s="41">
        <v>4079.3357669779639</v>
      </c>
      <c r="AQ28" s="42">
        <v>1.085078931094577E-4</v>
      </c>
      <c r="AR28" s="41">
        <v>3715.935125874189</v>
      </c>
      <c r="AS28" s="42">
        <v>9.8054748307513376E-6</v>
      </c>
      <c r="AT28" s="41"/>
      <c r="AU28" s="42"/>
      <c r="AV28" s="41"/>
      <c r="AW28" s="42"/>
    </row>
    <row r="29" spans="1:49" x14ac:dyDescent="0.2">
      <c r="A29" t="s">
        <v>53</v>
      </c>
      <c r="B29" s="35">
        <v>14362.768558000018</v>
      </c>
      <c r="C29" s="36">
        <v>817.26651000000095</v>
      </c>
      <c r="D29" s="35">
        <v>14198.03440514853</v>
      </c>
      <c r="E29" s="36">
        <v>757.5902464397434</v>
      </c>
      <c r="F29" s="35">
        <v>14012.503084875892</v>
      </c>
      <c r="G29" s="36">
        <v>698.59891152671787</v>
      </c>
      <c r="H29" s="35">
        <v>13802.778805990441</v>
      </c>
      <c r="I29" s="36">
        <v>640.37121500032777</v>
      </c>
      <c r="J29" s="35">
        <v>13564.880918286408</v>
      </c>
      <c r="K29" s="36">
        <v>582.99691208488412</v>
      </c>
      <c r="L29" s="35">
        <v>13294.127415772375</v>
      </c>
      <c r="M29" s="36">
        <v>526.5813779832589</v>
      </c>
      <c r="N29" s="35">
        <v>12985.099418161421</v>
      </c>
      <c r="O29" s="36">
        <v>471.24524952262772</v>
      </c>
      <c r="P29" s="35">
        <v>12631.671286783232</v>
      </c>
      <c r="Q29" s="36">
        <v>417.1210398998079</v>
      </c>
      <c r="R29" s="35">
        <v>12227.162445758669</v>
      </c>
      <c r="S29" s="36">
        <v>364.34897075805964</v>
      </c>
      <c r="T29" s="35">
        <v>11764.748267140092</v>
      </c>
      <c r="U29" s="36">
        <v>313.07062806832283</v>
      </c>
      <c r="V29" s="35">
        <v>11238.318480840087</v>
      </c>
      <c r="W29" s="36">
        <v>263.41319599185675</v>
      </c>
      <c r="X29" s="35">
        <v>10643.93110712628</v>
      </c>
      <c r="Y29" s="36">
        <v>215.48337567877246</v>
      </c>
      <c r="Z29" s="35">
        <v>9981.9422298533991</v>
      </c>
      <c r="AA29" s="36">
        <v>169.38524019891625</v>
      </c>
      <c r="AB29" s="35">
        <v>9259.320745351517</v>
      </c>
      <c r="AC29" s="36">
        <v>125.32967911301765</v>
      </c>
      <c r="AD29" s="35">
        <v>8490.6363826633806</v>
      </c>
      <c r="AE29" s="36">
        <v>83.960758430186885</v>
      </c>
      <c r="AF29" s="35">
        <v>7695.4555608534793</v>
      </c>
      <c r="AG29" s="36">
        <v>47.085455473673854</v>
      </c>
      <c r="AH29" s="35">
        <v>6892.3418338672591</v>
      </c>
      <c r="AI29" s="36">
        <v>18.689091689681945</v>
      </c>
      <c r="AJ29" s="35">
        <v>6094.5822227163371</v>
      </c>
      <c r="AK29" s="36">
        <v>3.7336876991884576</v>
      </c>
      <c r="AL29" s="35">
        <v>5281.2845732676969</v>
      </c>
      <c r="AM29" s="36">
        <v>0.21351793698570506</v>
      </c>
      <c r="AN29" s="35">
        <v>4229.4021069052405</v>
      </c>
      <c r="AO29" s="36">
        <v>8.1169874092090169E-4</v>
      </c>
      <c r="AP29" s="35">
        <v>3921.4225115842837</v>
      </c>
      <c r="AQ29" s="36">
        <v>1.2148726766442654E-4</v>
      </c>
      <c r="AR29" s="35">
        <v>3535.5048743390062</v>
      </c>
      <c r="AS29" s="36">
        <v>9.9300273186828517E-6</v>
      </c>
      <c r="AT29" s="35"/>
      <c r="AU29" s="36"/>
      <c r="AV29" s="35"/>
      <c r="AW29" s="36"/>
    </row>
    <row r="30" spans="1:49" x14ac:dyDescent="0.2">
      <c r="A30" t="s">
        <v>48</v>
      </c>
      <c r="B30" s="119">
        <v>2924829.9599999995</v>
      </c>
      <c r="D30" s="119">
        <v>2916035.0727559193</v>
      </c>
      <c r="F30" s="119">
        <v>2903020.5716023073</v>
      </c>
      <c r="H30" s="119">
        <v>2885112.1781563014</v>
      </c>
      <c r="J30" s="119">
        <v>2861530.5759022813</v>
      </c>
      <c r="L30" s="119">
        <v>2831375.5618216801</v>
      </c>
      <c r="N30" s="119">
        <v>2793632.8598541957</v>
      </c>
      <c r="P30" s="119">
        <v>2747202.3372129118</v>
      </c>
      <c r="R30" s="119">
        <v>2690965.3180409661</v>
      </c>
      <c r="T30" s="119">
        <v>2623929.3963789186</v>
      </c>
      <c r="V30" s="119">
        <v>2545507.8841411564</v>
      </c>
      <c r="X30" s="119">
        <v>2455996.0212258608</v>
      </c>
      <c r="Z30" s="119">
        <v>2357326.0050100707</v>
      </c>
      <c r="AB30" s="119">
        <v>2254134.5190002285</v>
      </c>
      <c r="AD30" s="119">
        <v>2155172.3261489174</v>
      </c>
      <c r="AF30" s="119">
        <v>2075528.8867675455</v>
      </c>
      <c r="AH30" s="119">
        <v>2041792.2328828531</v>
      </c>
      <c r="AJ30" s="119">
        <v>2100467.559007016</v>
      </c>
      <c r="AL30" s="119">
        <v>2311762.0214777105</v>
      </c>
      <c r="AN30" s="119">
        <v>2796113.0213443274</v>
      </c>
      <c r="AP30" s="119">
        <v>2966606.4547890131</v>
      </c>
      <c r="AR30" s="119">
        <v>3193154.2809646721</v>
      </c>
      <c r="AT30" s="119"/>
      <c r="AV30" s="119"/>
    </row>
    <row r="31" spans="1:49" x14ac:dyDescent="0.2">
      <c r="A31" t="s">
        <v>47</v>
      </c>
      <c r="B31" s="80">
        <v>1</v>
      </c>
      <c r="D31" s="80">
        <v>0.9854052866733567</v>
      </c>
      <c r="F31" s="80">
        <v>0.96936972552985057</v>
      </c>
      <c r="H31" s="80">
        <v>0.95167247233942498</v>
      </c>
      <c r="J31" s="80">
        <v>0.93205670165836585</v>
      </c>
      <c r="L31" s="80">
        <v>0.91022317708384493</v>
      </c>
      <c r="N31" s="80">
        <v>0.88582915373908311</v>
      </c>
      <c r="P31" s="80">
        <v>0.85849175535916089</v>
      </c>
      <c r="R31" s="80">
        <v>0.82779987013728895</v>
      </c>
      <c r="T31" s="80">
        <v>0.79334315669080779</v>
      </c>
      <c r="V31" s="80">
        <v>0.75477035351508237</v>
      </c>
      <c r="X31" s="80">
        <v>0.7118854866339287</v>
      </c>
      <c r="Z31" s="80">
        <v>0.66478751117693635</v>
      </c>
      <c r="AB31" s="80">
        <v>0.61402071355320575</v>
      </c>
      <c r="AD31" s="80">
        <v>0.56064077525284139</v>
      </c>
      <c r="AF31" s="80">
        <v>0.50606001175502702</v>
      </c>
      <c r="AH31" s="80">
        <v>0.45169195315506255</v>
      </c>
      <c r="AJ31" s="80">
        <v>0.39863470271289164</v>
      </c>
      <c r="AL31" s="80">
        <v>0.34543972875679724</v>
      </c>
      <c r="AN31" s="80">
        <v>0.27748029865320223</v>
      </c>
      <c r="AP31" s="80">
        <v>0.25779695852780221</v>
      </c>
      <c r="AR31" s="80">
        <v>0.23329741121827807</v>
      </c>
      <c r="AT31" s="80"/>
      <c r="AV31" s="80"/>
    </row>
    <row r="32" spans="1:49" x14ac:dyDescent="0.2">
      <c r="A32" t="s">
        <v>64</v>
      </c>
      <c r="B32" s="86">
        <v>14734457.915000005</v>
      </c>
      <c r="D32" s="86">
        <v>14574721.3157077</v>
      </c>
      <c r="F32" s="86">
        <v>14397345.711169673</v>
      </c>
      <c r="H32" s="86">
        <v>14199525.952020541</v>
      </c>
      <c r="J32" s="86">
        <v>13978021.431992587</v>
      </c>
      <c r="L32" s="86">
        <v>13729091.576087646</v>
      </c>
      <c r="N32" s="86">
        <v>13448519.898412712</v>
      </c>
      <c r="P32" s="86">
        <v>13131725.384064408</v>
      </c>
      <c r="R32" s="86">
        <v>12774029.351179998</v>
      </c>
      <c r="T32" s="86">
        <v>12371227.285943778</v>
      </c>
      <c r="V32" s="86">
        <v>11920685.538913449</v>
      </c>
      <c r="X32" s="86">
        <v>11423178.411957813</v>
      </c>
      <c r="Z32" s="86">
        <v>10885714.407230755</v>
      </c>
      <c r="AB32" s="86">
        <v>10325296.292144613</v>
      </c>
      <c r="AD32" s="86">
        <v>9773296.8502865639</v>
      </c>
      <c r="AF32" s="86">
        <v>9281348.495922327</v>
      </c>
      <c r="AH32" s="86">
        <v>8935425.8740041535</v>
      </c>
      <c r="AJ32" s="86">
        <v>8881501.6650717668</v>
      </c>
      <c r="AL32" s="86">
        <v>9305518.5681042075</v>
      </c>
      <c r="AN32" s="86">
        <v>10522480.559207238</v>
      </c>
      <c r="AP32" s="86">
        <v>10956766.608653778</v>
      </c>
      <c r="AR32" s="86">
        <v>11521456.407900358</v>
      </c>
      <c r="AT32" s="86"/>
      <c r="AV32" s="86"/>
    </row>
    <row r="33" spans="1:49 16319:16321" x14ac:dyDescent="0.2">
      <c r="A33" t="s">
        <v>54</v>
      </c>
      <c r="B33" s="117">
        <v>7019665.6909999941</v>
      </c>
      <c r="D33" s="117">
        <v>6929956.4958879855</v>
      </c>
      <c r="F33" s="117">
        <v>6832269.1770561785</v>
      </c>
      <c r="H33" s="117">
        <v>6725337.912868618</v>
      </c>
      <c r="J33" s="117">
        <v>6607698.5496563427</v>
      </c>
      <c r="L33" s="117">
        <v>6477662.7306951052</v>
      </c>
      <c r="N33" s="117">
        <v>6333328.0477624582</v>
      </c>
      <c r="P33" s="117">
        <v>6172625.2583960956</v>
      </c>
      <c r="R33" s="117">
        <v>5993437.6796770897</v>
      </c>
      <c r="T33" s="117">
        <v>5793856.5471085487</v>
      </c>
      <c r="V33" s="117">
        <v>5572666.2379642567</v>
      </c>
      <c r="X33" s="117">
        <v>5330151.9725279147</v>
      </c>
      <c r="Z33" s="117">
        <v>5069332.5052217552</v>
      </c>
      <c r="AB33" s="117">
        <v>4797560.6712282756</v>
      </c>
      <c r="AD33" s="117">
        <v>4528284.7829080569</v>
      </c>
      <c r="AF33" s="117">
        <v>4283230.5114501389</v>
      </c>
      <c r="AH33" s="117">
        <v>4097702.9103119588</v>
      </c>
      <c r="AJ33" s="117">
        <v>4030843.2407428324</v>
      </c>
      <c r="AL33" s="117">
        <v>4157450.8262244025</v>
      </c>
      <c r="AN33" s="117">
        <v>4593449.5144626647</v>
      </c>
      <c r="AP33" s="117">
        <v>4750505.8108627759</v>
      </c>
      <c r="AR33" s="117">
        <v>4951903.8903373592</v>
      </c>
      <c r="AT33" s="117"/>
      <c r="AV33" s="117"/>
    </row>
    <row r="34" spans="1:49 16319:16321" x14ac:dyDescent="0.2">
      <c r="A34" t="s">
        <v>75</v>
      </c>
      <c r="B34" s="117">
        <v>1136879.4410000113</v>
      </c>
      <c r="D34" s="117">
        <v>1102255.1186491791</v>
      </c>
      <c r="F34" s="117">
        <v>1060961.7578660322</v>
      </c>
      <c r="H34" s="117">
        <v>1011863.3269299221</v>
      </c>
      <c r="J34" s="117">
        <v>953614.98026894871</v>
      </c>
      <c r="L34" s="117">
        <v>884608.7903619681</v>
      </c>
      <c r="N34" s="117">
        <v>802943.19928817521</v>
      </c>
      <c r="P34" s="117">
        <v>706404.75672125001</v>
      </c>
      <c r="R34" s="117">
        <v>592468.02984103793</v>
      </c>
      <c r="T34" s="117">
        <v>458352.00636314315</v>
      </c>
      <c r="V34" s="117">
        <v>301187.68175708799</v>
      </c>
      <c r="X34" s="117">
        <v>118329.95009022148</v>
      </c>
      <c r="Z34" s="117">
        <v>-92165.154895011976</v>
      </c>
      <c r="AB34" s="117">
        <v>-331048.94705456065</v>
      </c>
      <c r="AD34" s="117">
        <v>-597898.56079711451</v>
      </c>
      <c r="AF34" s="117">
        <v>-892699.60868041345</v>
      </c>
      <c r="AH34" s="117">
        <v>-1220208.4038744988</v>
      </c>
      <c r="AJ34" s="117">
        <v>-1599511.3036479964</v>
      </c>
      <c r="AL34" s="117">
        <v>-2103673.0136335986</v>
      </c>
      <c r="AN34" s="117">
        <v>-3104249.4490852966</v>
      </c>
      <c r="AP34" s="117">
        <v>-3503727.0381024131</v>
      </c>
      <c r="AR34" s="117">
        <v>-4092514.6403766484</v>
      </c>
      <c r="AT34" s="117"/>
      <c r="AV34" s="117"/>
    </row>
    <row r="35" spans="1:49 16319:16321" x14ac:dyDescent="0.2">
      <c r="A35" t="s">
        <v>78</v>
      </c>
      <c r="B35" s="233">
        <v>1</v>
      </c>
      <c r="D35" s="233">
        <v>1.0018419953881987</v>
      </c>
      <c r="F35" s="233">
        <v>1.0040594691412494</v>
      </c>
      <c r="H35" s="233">
        <v>1.0067262817439782</v>
      </c>
      <c r="J35" s="233">
        <v>1.0099375205559664</v>
      </c>
      <c r="L35" s="233">
        <v>1.0138184842239184</v>
      </c>
      <c r="N35" s="233">
        <v>1.0185366845264188</v>
      </c>
      <c r="P35" s="233">
        <v>1.024319709188537</v>
      </c>
      <c r="R35" s="233">
        <v>1.0314829861151498</v>
      </c>
      <c r="T35" s="233">
        <v>1.0404727932613123</v>
      </c>
      <c r="V35" s="233">
        <v>1.0519332547355595</v>
      </c>
      <c r="X35" s="233">
        <v>1.0668147347936585</v>
      </c>
      <c r="Z35" s="233">
        <v>1.0865545735125011</v>
      </c>
      <c r="AB35" s="233">
        <v>1.1134021579600659</v>
      </c>
      <c r="AD35" s="233">
        <v>1.1510879943851546</v>
      </c>
      <c r="AF35" s="233">
        <v>1.2064460953922529</v>
      </c>
      <c r="AH35" s="233">
        <v>1.2936466238436666</v>
      </c>
      <c r="AJ35" s="233">
        <v>1.4436712153191258</v>
      </c>
      <c r="AL35" s="233">
        <v>1.72602817005158</v>
      </c>
      <c r="AN35" s="233">
        <v>2.4264962381191131</v>
      </c>
      <c r="AP35" s="233">
        <v>2.7350544776217944</v>
      </c>
      <c r="AR35" s="233">
        <v>3.217048789329731</v>
      </c>
      <c r="AT35" s="233"/>
      <c r="AV35" s="233"/>
    </row>
    <row r="36" spans="1:49 16319:16321" x14ac:dyDescent="0.2">
      <c r="A36" t="s">
        <v>21</v>
      </c>
      <c r="B36" s="37">
        <v>0.47195767671988087</v>
      </c>
      <c r="C36" s="38">
        <v>0.31738834428178991</v>
      </c>
      <c r="D36" s="37">
        <v>0.47195700404400115</v>
      </c>
      <c r="E36" s="38">
        <v>0.31971422094075247</v>
      </c>
      <c r="F36" s="37">
        <v>0.47195539066305403</v>
      </c>
      <c r="G36" s="38">
        <v>0.3221427407159303</v>
      </c>
      <c r="H36" s="37">
        <v>0.47195264338231785</v>
      </c>
      <c r="I36" s="38">
        <v>0.32467465932258815</v>
      </c>
      <c r="J36" s="37">
        <v>0.47194853480981391</v>
      </c>
      <c r="K36" s="38">
        <v>0.32730886808723147</v>
      </c>
      <c r="L36" s="37">
        <v>0.4719427977111354</v>
      </c>
      <c r="M36" s="38">
        <v>0.33004143305238531</v>
      </c>
      <c r="N36" s="37">
        <v>0.47193513090904171</v>
      </c>
      <c r="O36" s="38">
        <v>0.33286488897964933</v>
      </c>
      <c r="P36" s="37">
        <v>0.47192521978584062</v>
      </c>
      <c r="Q36" s="38">
        <v>0.33576761388266529</v>
      </c>
      <c r="R36" s="37">
        <v>0.47191278704619533</v>
      </c>
      <c r="S36" s="38">
        <v>0.3387337382796492</v>
      </c>
      <c r="T36" s="37">
        <v>0.47189771057452273</v>
      </c>
      <c r="U36" s="38">
        <v>0.34174501354591325</v>
      </c>
      <c r="V36" s="37">
        <v>0.4718802758217055</v>
      </c>
      <c r="W36" s="38">
        <v>0.34478715378987984</v>
      </c>
      <c r="X36" s="37">
        <v>0.47186168635498127</v>
      </c>
      <c r="Y36" s="38">
        <v>0.34786625485054101</v>
      </c>
      <c r="Z36" s="37">
        <v>0.47184506147844713</v>
      </c>
      <c r="AA36" s="38">
        <v>0.35104590353439707</v>
      </c>
      <c r="AB36" s="37">
        <v>0.47183732369675951</v>
      </c>
      <c r="AC36" s="38">
        <v>0.35452534221352328</v>
      </c>
      <c r="AD36" s="37">
        <v>0.47185279359439403</v>
      </c>
      <c r="AE36" s="38">
        <v>0.35879968302790088</v>
      </c>
      <c r="AF36" s="37">
        <v>0.47192078307838808</v>
      </c>
      <c r="AG36" s="38">
        <v>0.36501066842401542</v>
      </c>
      <c r="AH36" s="37">
        <v>0.47210426254858406</v>
      </c>
      <c r="AI36" s="38">
        <v>0.37582234998442826</v>
      </c>
      <c r="AJ36" s="37">
        <v>0.47254132952535866</v>
      </c>
      <c r="AK36" s="38">
        <v>0.39752150107031742</v>
      </c>
      <c r="AL36" s="37">
        <v>0.47351263603795901</v>
      </c>
      <c r="AM36" s="38">
        <v>0.44426563701930422</v>
      </c>
      <c r="AN36" s="37">
        <v>0.47592385832110407</v>
      </c>
      <c r="AO36" s="38">
        <v>0.56471635428763556</v>
      </c>
      <c r="AP36" s="37">
        <v>0.4769073227966506</v>
      </c>
      <c r="AQ36" s="38">
        <v>0.61530229091371813</v>
      </c>
      <c r="AR36" s="37">
        <v>0.4783468276976478</v>
      </c>
      <c r="AS36" s="38">
        <v>0.6904247664966483</v>
      </c>
      <c r="AT36" s="37"/>
      <c r="AU36" s="38"/>
      <c r="AV36" s="37"/>
      <c r="AW36" s="38"/>
    </row>
    <row r="37" spans="1:49 16319:16321" x14ac:dyDescent="0.2">
      <c r="B37" s="39">
        <v>2.1403217525954137E-2</v>
      </c>
      <c r="C37" s="40">
        <v>0.34962461301992576</v>
      </c>
      <c r="D37" s="39">
        <v>2.0771316481105428E-2</v>
      </c>
      <c r="E37" s="40">
        <v>0.34592888509093067</v>
      </c>
      <c r="F37" s="39">
        <v>2.0140941579473812E-2</v>
      </c>
      <c r="G37" s="40">
        <v>0.3421865939173474</v>
      </c>
      <c r="H37" s="39">
        <v>1.9513716693449382E-2</v>
      </c>
      <c r="I37" s="40">
        <v>0.3384056529386093</v>
      </c>
      <c r="J37" s="39">
        <v>1.889155173760778E-2</v>
      </c>
      <c r="K37" s="40">
        <v>0.33459627932800062</v>
      </c>
      <c r="L37" s="39">
        <v>1.8276743305207874E-2</v>
      </c>
      <c r="M37" s="40">
        <v>0.33077184177381275</v>
      </c>
      <c r="N37" s="39">
        <v>1.7671979749587074E-2</v>
      </c>
      <c r="O37" s="40">
        <v>0.32694915438535133</v>
      </c>
      <c r="P37" s="39">
        <v>1.7080313452419265E-2</v>
      </c>
      <c r="Q37" s="40">
        <v>0.32314855130479103</v>
      </c>
      <c r="R37" s="39">
        <v>1.6505038237308214E-2</v>
      </c>
      <c r="S37" s="40">
        <v>0.3193932643185714</v>
      </c>
      <c r="T37" s="39">
        <v>1.5949283653035346E-2</v>
      </c>
      <c r="U37" s="40">
        <v>0.31570666100078298</v>
      </c>
      <c r="V37" s="39">
        <v>1.5415062123949701E-2</v>
      </c>
      <c r="W37" s="40">
        <v>0.31210512815916669</v>
      </c>
      <c r="X37" s="39">
        <v>1.4901174716772594E-2</v>
      </c>
      <c r="Y37" s="40">
        <v>0.30858169633060162</v>
      </c>
      <c r="Z37" s="39">
        <v>1.4398966603915953E-2</v>
      </c>
      <c r="AA37" s="40">
        <v>0.3050717345677959</v>
      </c>
      <c r="AB37" s="39">
        <v>1.3884225603978661E-2</v>
      </c>
      <c r="AC37" s="40">
        <v>0.30138539247290186</v>
      </c>
      <c r="AD37" s="39">
        <v>1.3302688495571471E-2</v>
      </c>
      <c r="AE37" s="40">
        <v>0.29708099266830107</v>
      </c>
      <c r="AF37" s="39">
        <v>1.2544947247898345E-2</v>
      </c>
      <c r="AG37" s="40">
        <v>0.29122591968261602</v>
      </c>
      <c r="AH37" s="39">
        <v>1.1407445641438939E-2</v>
      </c>
      <c r="AI37" s="40">
        <v>0.28194206869528721</v>
      </c>
      <c r="AJ37" s="39">
        <v>9.5951691779134884E-3</v>
      </c>
      <c r="AK37" s="40">
        <v>0.26594844973718795</v>
      </c>
      <c r="AL37" s="39">
        <v>6.9873392024444522E-3</v>
      </c>
      <c r="AM37" s="40">
        <v>0.23975643082178746</v>
      </c>
      <c r="AN37" s="39">
        <v>3.8328203460252018E-3</v>
      </c>
      <c r="AO37" s="40">
        <v>0.19966627594976358</v>
      </c>
      <c r="AP37" s="39">
        <v>3.1609846818004043E-3</v>
      </c>
      <c r="AQ37" s="40">
        <v>0.18897475234264552</v>
      </c>
      <c r="AR37" s="39">
        <v>2.4773197513877675E-3</v>
      </c>
      <c r="AS37" s="40">
        <v>0.17671138798636046</v>
      </c>
      <c r="AT37" s="39"/>
      <c r="AU37" s="40"/>
      <c r="AV37" s="39"/>
      <c r="AW37" s="40"/>
    </row>
    <row r="38" spans="1:49 16319:16321" x14ac:dyDescent="0.2">
      <c r="A38" t="s">
        <v>22</v>
      </c>
      <c r="B38" s="37">
        <v>0.18079094942242827</v>
      </c>
      <c r="C38" s="38">
        <v>6.0565413429233668E-2</v>
      </c>
      <c r="D38" s="37">
        <v>0.18115229877810321</v>
      </c>
      <c r="E38" s="38">
        <v>6.0873791607638263E-2</v>
      </c>
      <c r="F38" s="37">
        <v>0.18152758878797143</v>
      </c>
      <c r="G38" s="38">
        <v>6.1196035902905038E-2</v>
      </c>
      <c r="H38" s="37">
        <v>0.1819171474001845</v>
      </c>
      <c r="I38" s="38">
        <v>6.153239470763841E-2</v>
      </c>
      <c r="J38" s="37">
        <v>0.18232116371459925</v>
      </c>
      <c r="K38" s="38">
        <v>6.1882963324295194E-2</v>
      </c>
      <c r="L38" s="37">
        <v>0.1827395941345302</v>
      </c>
      <c r="M38" s="38">
        <v>6.2247510048230467E-2</v>
      </c>
      <c r="N38" s="37">
        <v>0.18317207963552556</v>
      </c>
      <c r="O38" s="38">
        <v>6.2625375873023997E-2</v>
      </c>
      <c r="P38" s="37">
        <v>0.18361782223195061</v>
      </c>
      <c r="Q38" s="38">
        <v>6.3015434627594361E-2</v>
      </c>
      <c r="R38" s="37">
        <v>0.18407542948362965</v>
      </c>
      <c r="S38" s="38">
        <v>6.3416024408604887E-2</v>
      </c>
      <c r="T38" s="37">
        <v>0.18454277714232917</v>
      </c>
      <c r="U38" s="38">
        <v>6.3824922959678038E-2</v>
      </c>
      <c r="V38" s="37">
        <v>0.18501690629420123</v>
      </c>
      <c r="W38" s="38">
        <v>6.4239988350202781E-2</v>
      </c>
      <c r="X38" s="37">
        <v>0.18549418625443564</v>
      </c>
      <c r="Y38" s="38">
        <v>6.4660431761684956E-2</v>
      </c>
      <c r="Z38" s="37">
        <v>0.18597106422156923</v>
      </c>
      <c r="AA38" s="38">
        <v>6.5090178041933122E-2</v>
      </c>
      <c r="AB38" s="37">
        <v>0.18644613420232592</v>
      </c>
      <c r="AC38" s="38">
        <v>6.5544986306760186E-2</v>
      </c>
      <c r="AD38" s="37">
        <v>0.18692460774000361</v>
      </c>
      <c r="AE38" s="38">
        <v>6.6067394543073032E-2</v>
      </c>
      <c r="AF38" s="37">
        <v>0.18742659005399562</v>
      </c>
      <c r="AG38" s="38">
        <v>6.6758619233607E-2</v>
      </c>
      <c r="AH38" s="37">
        <v>0.18799870237654293</v>
      </c>
      <c r="AI38" s="38">
        <v>6.7854692650055781E-2</v>
      </c>
      <c r="AJ38" s="37">
        <v>0.18870519143354836</v>
      </c>
      <c r="AK38" s="38">
        <v>6.9892694463369903E-2</v>
      </c>
      <c r="AL38" s="37">
        <v>0.18947611125873129</v>
      </c>
      <c r="AM38" s="38">
        <v>7.3967599403772955E-2</v>
      </c>
      <c r="AN38" s="37">
        <v>0.18931935414816209</v>
      </c>
      <c r="AO38" s="38">
        <v>8.3204949845670936E-2</v>
      </c>
      <c r="AP38" s="37">
        <v>0.18872232861190699</v>
      </c>
      <c r="AQ38" s="38">
        <v>8.6640722188565222E-2</v>
      </c>
      <c r="AR38" s="37">
        <v>0.18750312092319604</v>
      </c>
      <c r="AS38" s="38">
        <v>9.1339712829278122E-2</v>
      </c>
      <c r="AT38" s="37"/>
      <c r="AU38" s="38"/>
      <c r="AV38" s="37"/>
      <c r="AW38" s="38"/>
    </row>
    <row r="39" spans="1:49 16319:16321" x14ac:dyDescent="0.2">
      <c r="A39" t="s">
        <v>23</v>
      </c>
      <c r="B39" s="39">
        <v>0.23064923795097952</v>
      </c>
      <c r="C39" s="40">
        <v>0.22092201281804799</v>
      </c>
      <c r="D39" s="39">
        <v>0.23076909909783264</v>
      </c>
      <c r="E39" s="40">
        <v>0.22188295572818481</v>
      </c>
      <c r="F39" s="39">
        <v>0.23088908277726677</v>
      </c>
      <c r="G39" s="40">
        <v>0.22288473821994742</v>
      </c>
      <c r="H39" s="39">
        <v>0.23100836462741842</v>
      </c>
      <c r="I39" s="40">
        <v>0.22392758838488885</v>
      </c>
      <c r="J39" s="39">
        <v>0.23112590848062234</v>
      </c>
      <c r="K39" s="40">
        <v>0.22501092948975332</v>
      </c>
      <c r="L39" s="39">
        <v>0.23124040996431353</v>
      </c>
      <c r="M39" s="40">
        <v>0.22613309135442314</v>
      </c>
      <c r="N39" s="39">
        <v>0.23135029079259709</v>
      </c>
      <c r="O39" s="40">
        <v>0.22729104646318055</v>
      </c>
      <c r="P39" s="39">
        <v>0.23145375990799871</v>
      </c>
      <c r="Q39" s="40">
        <v>0.22848007585246896</v>
      </c>
      <c r="R39" s="39">
        <v>0.23154900316415539</v>
      </c>
      <c r="S39" s="40">
        <v>0.22969371717187198</v>
      </c>
      <c r="T39" s="39">
        <v>0.23163467834180837</v>
      </c>
      <c r="U39" s="40">
        <v>0.23092461841609138</v>
      </c>
      <c r="V39" s="39">
        <v>0.23171108946193325</v>
      </c>
      <c r="W39" s="40">
        <v>0.23216667657629955</v>
      </c>
      <c r="X39" s="39">
        <v>0.23178263529027657</v>
      </c>
      <c r="Y39" s="40">
        <v>0.23342139124624051</v>
      </c>
      <c r="Z39" s="39">
        <v>0.23186276544823092</v>
      </c>
      <c r="AA39" s="40">
        <v>0.23471179528443176</v>
      </c>
      <c r="AB39" s="39">
        <v>0.23198356208519896</v>
      </c>
      <c r="AC39" s="40">
        <v>0.23611201003760393</v>
      </c>
      <c r="AD39" s="39">
        <v>0.23221419332265117</v>
      </c>
      <c r="AE39" s="40">
        <v>0.23780722508480653</v>
      </c>
      <c r="AF39" s="39">
        <v>0.23269958025637352</v>
      </c>
      <c r="AG39" s="40">
        <v>0.24022387839575687</v>
      </c>
      <c r="AH39" s="39">
        <v>0.23375301815438299</v>
      </c>
      <c r="AI39" s="40">
        <v>0.24434741654720032</v>
      </c>
      <c r="AJ39" s="39">
        <v>0.23605270962788411</v>
      </c>
      <c r="AK39" s="40">
        <v>0.2524474076541775</v>
      </c>
      <c r="AL39" s="39">
        <v>0.24092520678250207</v>
      </c>
      <c r="AM39" s="40">
        <v>0.26935938209366622</v>
      </c>
      <c r="AN39" s="39">
        <v>0.25243348239784608</v>
      </c>
      <c r="AO39" s="40">
        <v>0.3102784975045953</v>
      </c>
      <c r="AP39" s="39">
        <v>0.25697247309486992</v>
      </c>
      <c r="AQ39" s="40">
        <v>0.32649781132930378</v>
      </c>
      <c r="AR39" s="39">
        <v>0.26351089172600567</v>
      </c>
      <c r="AS39" s="40">
        <v>0.349688457159059</v>
      </c>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0.11719492982505279</v>
      </c>
      <c r="E42" s="135"/>
      <c r="F42" s="177">
        <f>10.8%+(1-10.8%)*(1-SUM(F26:G26)/SUM($B$26:$C$26))</f>
        <v>0.12764438326058497</v>
      </c>
      <c r="G42" s="135"/>
      <c r="H42" s="177">
        <f>10.8%+(1-10.8%)*(1-SUM(H26:I26)/SUM($B$26:$C$26))</f>
        <v>0.13956619523365385</v>
      </c>
      <c r="I42" s="135"/>
      <c r="J42" s="177">
        <f>10.8%+(1-10.8%)*(1-SUM(J26:K26)/SUM($B$26:$C$26))</f>
        <v>0.15321730947069068</v>
      </c>
      <c r="K42" s="135"/>
      <c r="L42" s="177">
        <f>10.8%+(1-10.8%)*(1-SUM(L26:M26)/SUM($B$26:$C$26))</f>
        <v>0.16890186434558041</v>
      </c>
      <c r="M42" s="135"/>
      <c r="N42" s="177">
        <f>10.8%+(1-10.8%)*(1-SUM(N26:O26)/SUM($B$26:$C$26))</f>
        <v>0.18697429649310271</v>
      </c>
      <c r="O42" s="135"/>
      <c r="P42" s="177">
        <f>10.8%+(1-10.8%)*(1-SUM(P26:Q26)/SUM($B$26:$C$26))</f>
        <v>0.20783852028337318</v>
      </c>
      <c r="Q42" s="135"/>
      <c r="R42" s="177">
        <f>10.8%+(1-10.8%)*(1-SUM(R26:S26)/SUM($B$26:$C$26))</f>
        <v>0.23193945763283219</v>
      </c>
      <c r="S42" s="135"/>
      <c r="T42" s="177">
        <f>10.8%+(1-10.8%)*(1-SUM(T26:U26)/SUM($B$26:$C$26))</f>
        <v>0.25973786024684969</v>
      </c>
      <c r="U42" s="135"/>
      <c r="V42" s="177">
        <f>10.8%+(1-10.8%)*(1-SUM(V26:W26)/SUM($B$26:$C$26))</f>
        <v>0.2916562062199245</v>
      </c>
      <c r="W42" s="135"/>
      <c r="X42" s="177">
        <f>10.8%+(1-10.8%)*(1-SUM(X26:Y26)/SUM($B$26:$C$26))</f>
        <v>0.32798462317166655</v>
      </c>
      <c r="Y42" s="162"/>
      <c r="Z42" s="177">
        <f>10.8%+(1-10.8%)*(1-SUM(Z26:AA26)/SUM($B$26:$C$26))</f>
        <v>0.36874000329014878</v>
      </c>
      <c r="AA42" s="135"/>
      <c r="AB42" s="177">
        <f>10.8%+(1-10.8%)*(1-SUM(AB26:AC26)/SUM($B$26:$C$26))</f>
        <v>0.41350621013028199</v>
      </c>
      <c r="AC42" s="135"/>
      <c r="AD42" s="177">
        <f>10.8%+(1-10.8%)*(1-SUM(AD26:AE26)/SUM($B$26:$C$26))</f>
        <v>0.4613482576590977</v>
      </c>
      <c r="AE42" s="135"/>
      <c r="AF42" s="177">
        <f>10.8%+(1-10.8%)*(1-SUM(AF26:AG26)/SUM($B$26:$C$26))</f>
        <v>0.51094256390823034</v>
      </c>
      <c r="AG42" s="135"/>
      <c r="AH42" s="177">
        <f>10.8%+(1-10.8%)*(1-SUM(AH26:AI26)/SUM($B$26:$C$26))</f>
        <v>0.56092018130523114</v>
      </c>
      <c r="AI42" s="135"/>
      <c r="AJ42" s="177">
        <f>10.8%+(1-10.8%)*(1-SUM(AJ26:AK26)/SUM($B$26:$C$26))</f>
        <v>0.61019568852814687</v>
      </c>
      <c r="AK42" s="135"/>
      <c r="AL42" s="177">
        <f>10.8%+(1-10.8%)*(1-SUM(AL26:AM26)/SUM($B$26:$C$26))</f>
        <v>0.66026405080982109</v>
      </c>
      <c r="AM42" s="135"/>
      <c r="AN42" s="177">
        <f>10.8%+(1-10.8%)*(1-SUM(AN26:AO26)/SUM($B$26:$C$26))</f>
        <v>0.72695625247262952</v>
      </c>
      <c r="AO42" s="135"/>
      <c r="AP42" s="177">
        <f>10.8%+(1-10.8%)*(1-SUM(AP26:AQ26)/SUM($B$26:$C$26))</f>
        <v>0.74720233243270495</v>
      </c>
      <c r="AQ42" s="135"/>
      <c r="AR42" s="177">
        <f>10.8%+(1-10.8%)*(1-SUM(AR26:AS26)/SUM($B$26:$C$26))</f>
        <v>0.77299915487349791</v>
      </c>
      <c r="AS42" s="135"/>
      <c r="AT42" s="177">
        <f>10.8%+(1-10.8%)*(1-SUM(AT26:AU26)/SUM($B$26:$C$26))</f>
        <v>1</v>
      </c>
      <c r="AU42" s="135"/>
      <c r="AV42" s="177">
        <f>10.8%+(1-10.8%)*(1-SUM(AV26:AW26)/SUM($B$26:$C$26))</f>
        <v>1</v>
      </c>
    </row>
    <row r="43" spans="1:49 16319:16321" x14ac:dyDescent="0.2">
      <c r="A43" t="s">
        <v>108</v>
      </c>
      <c r="B43" s="162">
        <f>SUM(B15:C15*B27:C27)/SUM(B15:C15*B27:C27,B13:C13*B26:C26)</f>
        <v>0.56058995943838341</v>
      </c>
      <c r="C43" s="135"/>
      <c r="D43" s="162">
        <f t="array" ref="D43">SUM(D15:E15*D27:E27)/SUM(D15:E15*D27:E27,D13:E13*D26:E26)</f>
        <v>0.56708932649454358</v>
      </c>
      <c r="E43" s="135"/>
      <c r="F43" s="162">
        <f t="array" ref="F43">SUM(F15:G15*F27:G27)/SUM(F15:G15*F27:G27,F13:G13*F26:G26)</f>
        <v>0.56698921764524546</v>
      </c>
      <c r="G43" s="135"/>
      <c r="H43" s="162">
        <f t="array" ref="H43">SUM(H15:I15*H27:I27)/SUM(H15:I15*H27:I27,H13:I13*H26:I26)</f>
        <v>0.566901070889967</v>
      </c>
      <c r="I43" s="135"/>
      <c r="J43" s="162">
        <f t="array" ref="J43">SUM(J15:K15*J27:K27)/SUM(J15:K15*J27:K27,J13:K13*J26:K26)</f>
        <v>0.56682572242127449</v>
      </c>
      <c r="K43" s="135"/>
      <c r="L43" s="162">
        <f t="array" ref="L43">SUM(L15:M15*L27:M27)/SUM(L15:M15*L27:M27,L13:M13*L26:M26)</f>
        <v>0.56676396118564187</v>
      </c>
      <c r="M43" s="135"/>
      <c r="N43" s="162">
        <f t="array" ref="N43">SUM(N15:O15*N27:O27)/SUM(N15:O15*N27:O27,N13:O13*N26:O26)</f>
        <v>0.56671637530733843</v>
      </c>
      <c r="O43" s="135"/>
      <c r="P43" s="162">
        <f t="array" ref="P43">SUM(P15:Q15*P27:Q27)/SUM(P15:Q15*P27:Q27,P13:Q13*P26:Q26)</f>
        <v>0.56668307665516515</v>
      </c>
      <c r="Q43" s="135"/>
      <c r="R43" s="162">
        <f t="array" ref="R43">SUM(R15:S15*R27:S27)/SUM(R15:S15*R27:S27,R13:S13*R26:S26)</f>
        <v>0.56666323767637483</v>
      </c>
      <c r="S43" s="135"/>
      <c r="T43" s="162">
        <f t="array" ref="T43">SUM(T15:U15*T27:U27)/SUM(T15:U15*T27:U27,T13:U13*T26:U26)</f>
        <v>0.56665426712905675</v>
      </c>
      <c r="U43" s="135"/>
      <c r="V43" s="162">
        <f t="array" ref="V43">SUM(V15:W15*V27:W27)/SUM(V15:W15*V27:W27,V13:W13*V26:W26)</f>
        <v>0.56665033515311147</v>
      </c>
      <c r="W43" s="135"/>
      <c r="X43" s="162">
        <f t="array" ref="X43">SUM(X15:Y15*X27:Y27)/SUM(X15:Y15*X27:Y27,X13:Y13*X26:Y26)</f>
        <v>0.56664003007259478</v>
      </c>
      <c r="Y43" s="135"/>
      <c r="Z43" s="162">
        <f t="array" ref="Z43">SUM(Z15:AA15*Z27:AA27)/SUM(Z15:AA15*Z27:AA27,Z13:AA13*Z26:AA26)</f>
        <v>0.5666028092866886</v>
      </c>
      <c r="AA43" s="135"/>
      <c r="AB43" s="162">
        <f t="array" ref="AB43">SUM(AB15:AC15*AB27:AC27)/SUM(AB15:AC15*AB27:AC27,AB13:AC13*AB26:AC26)</f>
        <v>0.56650451404840252</v>
      </c>
      <c r="AC43" s="135"/>
      <c r="AD43" s="162">
        <f t="array" ref="AD43">SUM(AD15:AE15*AD27:AE27)/SUM(AD15:AE15*AD27:AE27,AD13:AE13*AD26:AE26)</f>
        <v>0.56629308811398815</v>
      </c>
      <c r="AE43" s="135"/>
      <c r="AF43" s="162">
        <f t="array" ref="AF43">SUM(AF15:AG15*AF27:AG27)/SUM(AF15:AG15*AF27:AG27,AF13:AG13*AF26:AG26)</f>
        <v>0.56589472622860382</v>
      </c>
      <c r="AG43" s="135"/>
      <c r="AH43" s="162">
        <f t="array" ref="AH43">SUM(AH15:AI15*AH27:AI27)/SUM(AH15:AI15*AH27:AI27,AH13:AI13*AH26:AI26)</f>
        <v>0.56519438313026082</v>
      </c>
      <c r="AI43" s="135"/>
      <c r="AJ43" s="162">
        <f t="array" ref="AJ43">SUM(AJ15:AK15*AJ27:AK27)/SUM(AJ15:AK15*AJ27:AK27,AJ13:AK13*AJ26:AK26)</f>
        <v>0.56391131973314201</v>
      </c>
      <c r="AK43" s="135"/>
      <c r="AL43" s="162">
        <f t="array" ref="AL43">SUM(AL15:AM15*AL27:AM27)/SUM(AL15:AM15*AL27:AM27,AL13:AM13*AL26:AM26)</f>
        <v>0.56114378443217883</v>
      </c>
      <c r="AM43" s="135"/>
      <c r="AN43" s="162">
        <f t="array" ref="AN43">SUM(AN15:AO15*AN27:AO27)/SUM(AN15:AO15*AN27:AO27,AN13:AO13*AN26:AO26)</f>
        <v>0.55332633895266559</v>
      </c>
      <c r="AO43" s="135"/>
      <c r="AP43" s="162">
        <f t="array" ref="AP43">SUM(AP15:AQ15*AP27:AQ27)/SUM(AP15:AQ15*AP27:AQ27,AP13:AQ13*AP26:AQ26)</f>
        <v>0.54986693926258923</v>
      </c>
      <c r="AQ43" s="135"/>
      <c r="AR43" s="162">
        <f t="array" ref="AR43">SUM(AR15:AS15*AR27:AS27)/SUM(AR15:AS15*AR27:AS27,AR13:AS13*AR26:AS26)</f>
        <v>0.5446462034926266</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0.29754226190682431</v>
      </c>
      <c r="D44" s="193">
        <f>(SUM(D11:E11*D24:E24)+D34)/D32</f>
        <v>0.29847599069571207</v>
      </c>
      <c r="F44" s="193">
        <f>(SUM(F11:G11*F24:G24)+F34)/F32</f>
        <v>0.29940318630797724</v>
      </c>
      <c r="H44" s="193">
        <f>(SUM(H11:I11*H24:I24)+H34)/H32</f>
        <v>0.30032263791713509</v>
      </c>
      <c r="J44" s="193">
        <f>(SUM(J11:K11*J24:K24)+J34)/J32</f>
        <v>0.30123320462772385</v>
      </c>
      <c r="L44" s="193">
        <f>(SUM(L11:M11*L24:M24)+L34)/L32</f>
        <v>0.3021335956215222</v>
      </c>
      <c r="N44" s="193">
        <f>(SUM(N11:O11*N24:O24)+N34)/N32</f>
        <v>0.30302256318079279</v>
      </c>
      <c r="P44" s="193">
        <f>(SUM(P11:Q11*P24:Q24)+P34)/P32</f>
        <v>0.30389939832743196</v>
      </c>
      <c r="R44" s="193">
        <f>(SUM(R11:S11*R24:S24)+R34)/R32</f>
        <v>0.30476451185815429</v>
      </c>
      <c r="T44" s="193">
        <f>(SUM(T11:U11*T24:U24)+T34)/T32</f>
        <v>0.30562058861691588</v>
      </c>
      <c r="V44" s="193">
        <f>(SUM(V11:W11*V24:W24)+V34)/V32</f>
        <v>0.30647512403089389</v>
      </c>
      <c r="X44" s="193">
        <f>(SUM(X11:Y11*X24:Y24)+X34)/X32</f>
        <v>0.30734531044961916</v>
      </c>
      <c r="Z44" s="193">
        <f>(SUM(Z11:AA11*Z24:AA24)+Z34)/Z32</f>
        <v>0.30826708755588944</v>
      </c>
      <c r="AB44" s="193">
        <f>(SUM(AB11:AC11*AB24:AC24)+AB34)/AB32</f>
        <v>0.30931234249458656</v>
      </c>
      <c r="AD44" s="193">
        <f>(SUM(AD11:AE11*AD24:AE24)+AD34)/AD32</f>
        <v>0.31062142640236795</v>
      </c>
      <c r="AF44" s="193">
        <f>(SUM(AF11:AG11*AF24:AG24)+AF34)/AF32</f>
        <v>0.31246584319114251</v>
      </c>
      <c r="AH44" s="193">
        <f>(SUM(AH11:AI11*AH24:AI24)+AH34)/AH32</f>
        <v>0.3153631285672604</v>
      </c>
      <c r="AJ44" s="193">
        <f>(SUM(AJ11:AK11*AJ24:AK24)+AJ34)/AJ32</f>
        <v>0.32010675551496043</v>
      </c>
      <c r="AL44" s="193">
        <f>(SUM(AL11:AM11*AL24:AM24)+AL34)/AL32</f>
        <v>0.32718118455985573</v>
      </c>
      <c r="AN44" s="193">
        <f>(SUM(AN11:AO11*AN24:AO24)+AN34)/AN32</f>
        <v>0.33741704075909668</v>
      </c>
      <c r="AP44" s="193">
        <f>(SUM(AP11:AQ11*AP24:AQ24)+AP34)/AP32</f>
        <v>0.3403855740306605</v>
      </c>
      <c r="AR44" s="193">
        <f>(SUM(AR11:AS11*AR24:AS24)+AR34)/AR32</f>
        <v>0.34415536414161146</v>
      </c>
      <c r="AT44" s="193" t="e">
        <f>(SUM(AT11:AU11*AT24:AU24)+AT34)/AT32</f>
        <v>#DIV/0!</v>
      </c>
      <c r="AV44" s="193" t="e">
        <f>(SUM(AV11:AW11*AV24:AW24)+AV34)/AV32</f>
        <v>#DIV/0!</v>
      </c>
    </row>
    <row r="45" spans="1:49 16319:16321" x14ac:dyDescent="0.2">
      <c r="A45" t="s">
        <v>82</v>
      </c>
      <c r="B45" s="193">
        <f>SUM(B11:C11*B24:C24)/B32</f>
        <v>0.22038438833194082</v>
      </c>
      <c r="D45" s="193">
        <f>SUM(D11:E11*D24:E24)/D32</f>
        <v>0.22284812140251067</v>
      </c>
      <c r="F45" s="193">
        <f>SUM(F11:G11*F24:G24)/F32</f>
        <v>0.2257117032283619</v>
      </c>
      <c r="H45" s="193">
        <f>SUM(H11:I11*H24:I24)/H32</f>
        <v>0.22906227821576514</v>
      </c>
      <c r="J45" s="193">
        <f>SUM(J11:K11*J24:K24)/J32</f>
        <v>0.23301074661329163</v>
      </c>
      <c r="L45" s="193">
        <f>SUM(L11:M11*L24:M24)/L32</f>
        <v>0.23770043298585905</v>
      </c>
      <c r="N45" s="193">
        <f>SUM(N11:O11*N24:O24)/N32</f>
        <v>0.24331761383666878</v>
      </c>
      <c r="P45" s="193">
        <f>SUM(P11:Q11*P24:Q24)/P32</f>
        <v>0.25010564799676444</v>
      </c>
      <c r="R45" s="193">
        <f>SUM(R11:S11*R24:S24)/R32</f>
        <v>0.25838384264618725</v>
      </c>
      <c r="T45" s="193">
        <f>SUM(T11:U11*T24:U24)/T32</f>
        <v>0.26857074741935549</v>
      </c>
      <c r="V45" s="193">
        <f>SUM(V11:W11*V24:W24)/V32</f>
        <v>0.28120915415240816</v>
      </c>
      <c r="X45" s="193">
        <f>SUM(X11:Y11*X24:Y24)/X32</f>
        <v>0.29698655163286519</v>
      </c>
      <c r="Z45" s="193">
        <f>SUM(Z11:AA11*Z24:AA24)/Z32</f>
        <v>0.31673370274044649</v>
      </c>
      <c r="AB45" s="193">
        <f>SUM(AB11:AC11*AB24:AC24)/AB32</f>
        <v>0.34137427444189733</v>
      </c>
      <c r="AD45" s="193">
        <f>SUM(AD11:AE11*AD24:AE24)/AD32</f>
        <v>0.37179817872618415</v>
      </c>
      <c r="AF45" s="193">
        <f>SUM(AF11:AG11*AF24:AG24)/AF32</f>
        <v>0.40864794529328996</v>
      </c>
      <c r="AH45" s="193">
        <f>SUM(AH11:AI11*AH24:AI24)/AH32</f>
        <v>0.45192163412483577</v>
      </c>
      <c r="AJ45" s="193">
        <f>SUM(AJ11:AK11*AJ24:AK24)/AJ32</f>
        <v>0.5002014471523426</v>
      </c>
      <c r="AL45" s="193">
        <f>SUM(AL11:AM11*AL24:AM24)/AL32</f>
        <v>0.55324843682929858</v>
      </c>
      <c r="AN45" s="193">
        <f>SUM(AN11:AO11*AN24:AO24)/AN32</f>
        <v>0.63242822482529659</v>
      </c>
      <c r="AP45" s="193">
        <f>SUM(AP11:AQ11*AP24:AQ24)/AP32</f>
        <v>0.66016303787981556</v>
      </c>
      <c r="AR45" s="193">
        <f>SUM(AR11:AS11*AR24:AS24)/AR32</f>
        <v>0.69936346418444784</v>
      </c>
      <c r="AT45" s="193" t="e">
        <f>SUM(AT11:AU11*AT24:AU24)/AT32</f>
        <v>#DIV/0!</v>
      </c>
      <c r="AV45" s="193" t="e">
        <f>SUM(AV11:AW11*AV24:AW24)/AV32</f>
        <v>#DIV/0!</v>
      </c>
      <c r="XCQ45" s="193"/>
    </row>
    <row r="46" spans="1:49 16319:16321" x14ac:dyDescent="0.2">
      <c r="A46" t="s">
        <v>139</v>
      </c>
      <c r="B46" s="193">
        <f>B34/B32</f>
        <v>7.7157873574883462E-2</v>
      </c>
      <c r="D46" s="193">
        <f>D34/D32</f>
        <v>7.562786929320145E-2</v>
      </c>
      <c r="F46" s="193">
        <f>F34/F32</f>
        <v>7.3691483079615316E-2</v>
      </c>
      <c r="H46" s="193">
        <f>H34/H32</f>
        <v>7.1260359701369999E-2</v>
      </c>
      <c r="J46" s="193">
        <f>J34/J32</f>
        <v>6.8222458014432275E-2</v>
      </c>
      <c r="L46" s="193">
        <f>L34/L32</f>
        <v>6.4433162635663135E-2</v>
      </c>
      <c r="N46" s="193">
        <f>N34/N32</f>
        <v>5.9704949344124042E-2</v>
      </c>
      <c r="P46" s="193">
        <f>P34/P32</f>
        <v>5.3793750330667536E-2</v>
      </c>
      <c r="R46" s="193">
        <f>R34/R32</f>
        <v>4.6380669211967075E-2</v>
      </c>
      <c r="T46" s="193">
        <f>T34/T32</f>
        <v>3.7049841197560399E-2</v>
      </c>
      <c r="V46" s="193">
        <f>V34/V32</f>
        <v>2.5265969878485759E-2</v>
      </c>
      <c r="X46" s="193">
        <f>X34/X32</f>
        <v>1.0358758816753959E-2</v>
      </c>
      <c r="Z46" s="193">
        <f>Z34/Z32</f>
        <v>-8.466615184557106E-3</v>
      </c>
      <c r="AB46" s="193">
        <f>AB34/AB32</f>
        <v>-3.2061931947310753E-2</v>
      </c>
      <c r="AD46" s="193">
        <f>AD34/AD32</f>
        <v>-6.1176752323816246E-2</v>
      </c>
      <c r="AF46" s="193">
        <f>AF34/AF32</f>
        <v>-9.6182102102147393E-2</v>
      </c>
      <c r="AH46" s="193">
        <f>AH34/AH32</f>
        <v>-0.13655850555757534</v>
      </c>
      <c r="AJ46" s="193">
        <f>AJ34/AJ32</f>
        <v>-0.1800946916373822</v>
      </c>
      <c r="AL46" s="193">
        <f>AL34/AL32</f>
        <v>-0.22606725226944285</v>
      </c>
      <c r="AN46" s="193">
        <f>AN34/AN32</f>
        <v>-0.29501118406619992</v>
      </c>
      <c r="AP46" s="193">
        <f>AP34/AP32</f>
        <v>-0.31977746384915506</v>
      </c>
      <c r="AR46" s="193">
        <f>AR34/AR32</f>
        <v>-0.35520810004283637</v>
      </c>
      <c r="AT46" s="193" t="e">
        <f>AT34/AT32</f>
        <v>#DIV/0!</v>
      </c>
      <c r="AV46" s="193" t="e">
        <f>AV34/AV32</f>
        <v>#DIV/0!</v>
      </c>
      <c r="XCS46" s="193"/>
    </row>
    <row r="48" spans="1:49 16319:16321" x14ac:dyDescent="0.2">
      <c r="A48" t="s">
        <v>159</v>
      </c>
      <c r="B48" s="191">
        <f>B24/$B$24</f>
        <v>1</v>
      </c>
      <c r="C48" s="191"/>
      <c r="D48" s="191">
        <f>D24/$B$24</f>
        <v>1</v>
      </c>
      <c r="E48" s="191"/>
      <c r="F48" s="191">
        <f>F24/$B$24</f>
        <v>1</v>
      </c>
      <c r="G48" s="191"/>
      <c r="H48" s="191">
        <f>H24/$B$24</f>
        <v>1</v>
      </c>
      <c r="I48" s="191"/>
      <c r="J48" s="191">
        <f>J24/$B$24</f>
        <v>1</v>
      </c>
      <c r="K48" s="191"/>
      <c r="L48" s="191">
        <f>L24/$B$24</f>
        <v>1</v>
      </c>
      <c r="M48" s="191"/>
      <c r="N48" s="191">
        <f>N24/$B$24</f>
        <v>1</v>
      </c>
      <c r="O48" s="191"/>
      <c r="P48" s="191">
        <f>P24/$B$24</f>
        <v>1</v>
      </c>
      <c r="Q48" s="191"/>
      <c r="R48" s="191">
        <f>R24/$B$24</f>
        <v>1</v>
      </c>
      <c r="S48" s="191"/>
      <c r="T48" s="191">
        <f>T24/$B$24</f>
        <v>1</v>
      </c>
      <c r="U48" s="191"/>
      <c r="V48" s="191">
        <f>V24/$B$24</f>
        <v>1</v>
      </c>
      <c r="W48" s="191"/>
      <c r="X48" s="191">
        <f>X24/$B$24</f>
        <v>1</v>
      </c>
      <c r="Y48" s="191"/>
      <c r="Z48" s="191">
        <f>Z24/$B$24</f>
        <v>1</v>
      </c>
      <c r="AA48" s="191"/>
      <c r="AB48" s="191">
        <f>AB24/$B$24</f>
        <v>1</v>
      </c>
      <c r="AC48" s="191"/>
      <c r="AD48" s="191">
        <f>AD24/$B$24</f>
        <v>1</v>
      </c>
      <c r="AE48" s="191"/>
      <c r="AF48" s="191">
        <f>AF24/$B$24</f>
        <v>1</v>
      </c>
      <c r="AG48" s="191"/>
      <c r="AH48" s="191">
        <f>AH24/$B$24</f>
        <v>1</v>
      </c>
      <c r="AI48" s="191"/>
      <c r="AJ48" s="191">
        <f>AJ24/$B$24</f>
        <v>1</v>
      </c>
      <c r="AK48" s="191"/>
      <c r="AL48" s="191">
        <f>AL24/$B$24</f>
        <v>1</v>
      </c>
      <c r="AM48" s="191"/>
      <c r="AN48" s="191">
        <f>AN24/$B$24</f>
        <v>1</v>
      </c>
      <c r="AO48" s="191"/>
      <c r="AP48" s="191">
        <f>AP24/$B$24</f>
        <v>1</v>
      </c>
      <c r="AQ48" s="191"/>
      <c r="AR48" s="191">
        <f>AR24/$B$24</f>
        <v>1</v>
      </c>
      <c r="AS48" s="191"/>
      <c r="AT48" s="191">
        <f>AT24/$B$24</f>
        <v>0</v>
      </c>
      <c r="AU48" s="191"/>
      <c r="AV48" s="191">
        <f>AV24/$B$24</f>
        <v>0</v>
      </c>
    </row>
    <row r="49" spans="1:48 16321:16384" x14ac:dyDescent="0.2">
      <c r="A49" t="s">
        <v>160</v>
      </c>
      <c r="B49" s="191">
        <f>B13/B35/$B$13*$B$35</f>
        <v>1</v>
      </c>
      <c r="C49" s="191"/>
      <c r="D49" s="191">
        <f>D13/D35/$B$13*$B$35</f>
        <v>0.99592306593072344</v>
      </c>
      <c r="E49" s="191"/>
      <c r="F49" s="191">
        <f>F13/F35/$B$13*$B$35</f>
        <v>0.99167900812527809</v>
      </c>
      <c r="G49" s="191"/>
      <c r="H49" s="191">
        <f>H13/H35/$B$13*$B$35</f>
        <v>0.98726159578566819</v>
      </c>
      <c r="I49" s="191"/>
      <c r="J49" s="191">
        <f>J13/J35/$B$13*$B$35</f>
        <v>0.98266579939770138</v>
      </c>
      <c r="K49" s="191"/>
      <c r="L49" s="191">
        <f>L13/L35/$B$13*$B$35</f>
        <v>0.97788880028435854</v>
      </c>
      <c r="M49" s="191"/>
      <c r="N49" s="191">
        <f>N13/N35/$B$13*$B$35</f>
        <v>0.97293112514681901</v>
      </c>
      <c r="O49" s="191"/>
      <c r="P49" s="191">
        <f>P13/P35/$B$13*$B$35</f>
        <v>0.96779838536612328</v>
      </c>
      <c r="Q49" s="191"/>
      <c r="R49" s="191">
        <f>R13/R35/$B$13*$B$35</f>
        <v>0.96250381311388722</v>
      </c>
      <c r="S49" s="191"/>
      <c r="T49" s="191">
        <f>T13/T35/$B$13*$B$35</f>
        <v>0.95707158850417695</v>
      </c>
      <c r="U49" s="191"/>
      <c r="V49" s="191">
        <f>V13/V35/$B$13*$B$35</f>
        <v>0.95154125976283899</v>
      </c>
      <c r="W49" s="191"/>
      <c r="X49" s="191">
        <f>X13/X35/$B$13*$B$35</f>
        <v>0.94597249952541085</v>
      </c>
      <c r="Y49" s="191"/>
      <c r="Z49" s="191">
        <f>Z13/Z35/$B$13*$B$35</f>
        <v>0.94044883957647574</v>
      </c>
      <c r="AA49" s="191"/>
      <c r="AB49" s="191">
        <f>AB13/AB35/$B$13*$B$35</f>
        <v>0.93507637421275902</v>
      </c>
      <c r="AC49" s="191"/>
      <c r="AD49" s="191">
        <f>AD13/AD35/$B$13*$B$35</f>
        <v>0.92997172107691362</v>
      </c>
      <c r="AE49" s="191"/>
      <c r="AF49" s="191">
        <f>AF13/AF35/$B$13*$B$35</f>
        <v>0.92523613052843312</v>
      </c>
      <c r="AG49" s="191"/>
      <c r="AH49" s="191">
        <f>AH13/AH35/$B$13*$B$35</f>
        <v>0.92092896851476225</v>
      </c>
      <c r="AI49" s="191"/>
      <c r="AJ49" s="191">
        <f>AJ13/AJ35/$B$13*$B$35</f>
        <v>0.91705995826901043</v>
      </c>
      <c r="AK49" s="191"/>
      <c r="AL49" s="191">
        <f>AL13/AL35/$B$13*$B$35</f>
        <v>0.91345110429339738</v>
      </c>
      <c r="AM49" s="191"/>
      <c r="AN49" s="191">
        <f>AN13/AN35/$B$13*$B$35</f>
        <v>0.90906675136327542</v>
      </c>
      <c r="AO49" s="191"/>
      <c r="AP49" s="191">
        <f>AP13/AP35/$B$13*$B$35</f>
        <v>0.90781901851169544</v>
      </c>
      <c r="AQ49" s="191"/>
      <c r="AR49" s="191">
        <f>AR13/AR35/$B$13*$B$35</f>
        <v>0.90627966785305802</v>
      </c>
      <c r="AS49" s="191"/>
      <c r="AT49" s="191" t="e">
        <f>AT13/AT35/$B$13*$B$35</f>
        <v>#DIV/0!</v>
      </c>
      <c r="AU49" s="191"/>
      <c r="AV49" s="191" t="e">
        <f>AV13/AV35/$B$13*$B$35</f>
        <v>#DIV/0!</v>
      </c>
    </row>
    <row r="51" spans="1:48 16321:16384" x14ac:dyDescent="0.2">
      <c r="A51" t="s">
        <v>166</v>
      </c>
      <c r="B51" s="29">
        <f>B30-B10*B23</f>
        <v>-405838.32800000021</v>
      </c>
      <c r="D51" s="29">
        <f>D30-D10*D23</f>
        <v>-378525.3632440269</v>
      </c>
      <c r="F51" s="29">
        <f>F30-F10*F23</f>
        <v>-351444.78220949741</v>
      </c>
      <c r="H51" s="29">
        <f>H30-H10*H23</f>
        <v>-324636.76991199329</v>
      </c>
      <c r="J51" s="29">
        <f>J30-J10*J23</f>
        <v>-298148.11611982947</v>
      </c>
      <c r="L51" s="29">
        <f>L30-L10*L23</f>
        <v>-272033.48107034992</v>
      </c>
      <c r="N51" s="29">
        <f>N30-N10*N23</f>
        <v>-246354.02019114234</v>
      </c>
      <c r="P51" s="29">
        <f>P30-P10*P23</f>
        <v>-221174.3452371615</v>
      </c>
      <c r="R51" s="29">
        <f>R30-R10*R23</f>
        <v>-196555.53378783492</v>
      </c>
      <c r="T51" s="29">
        <f>T30-T10*T23</f>
        <v>-172539.57741252286</v>
      </c>
      <c r="V51" s="29">
        <f>V30-V10*V23</f>
        <v>-149117.83773625409</v>
      </c>
      <c r="X51" s="29">
        <f>X30-X10*X23</f>
        <v>-126170.10285947612</v>
      </c>
      <c r="Z51" s="29">
        <f>Z30-Z10*Z23</f>
        <v>-103348.42071671924</v>
      </c>
      <c r="AB51" s="29">
        <f>AB30-AB10*AB23</f>
        <v>-79859.518842190038</v>
      </c>
      <c r="AD51" s="29">
        <f>AD30-AD10*AD23</f>
        <v>-54044.332939808257</v>
      </c>
      <c r="AF51" s="29">
        <f>AF30-AF10*AF23</f>
        <v>-22484.713975429768</v>
      </c>
      <c r="AH51" s="29">
        <f>AH30-AH10*AH23</f>
        <v>21973.12789745559</v>
      </c>
      <c r="AJ51" s="29">
        <f>AJ30-AJ10*AJ23</f>
        <v>92837.816784923431</v>
      </c>
      <c r="AL51" s="29">
        <f>AL30-AL10*AL23</f>
        <v>208284.86765397293</v>
      </c>
      <c r="AN51" s="29">
        <f>AN30-AN10*AN23</f>
        <v>417546.22833258472</v>
      </c>
      <c r="AP51" s="29">
        <f>AP30-AP10*AP23</f>
        <v>489870.9486046019</v>
      </c>
      <c r="AQ51" s="29"/>
      <c r="AR51" s="29">
        <f>AR30-AR10*AR23</f>
        <v>588772.78890432464</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2023575.7650023685</v>
      </c>
      <c r="F52" s="29">
        <f t="array" ref="F52">Calibration!sL*SUM(F13:G13*F26:G26)</f>
        <v>1995509.250629067</v>
      </c>
      <c r="H52" s="29">
        <f t="array" ref="H52">Calibration!sL*SUM(H13:I13*H26:I26)</f>
        <v>1964675.1037935945</v>
      </c>
      <c r="J52" s="29">
        <f t="array" ref="J52">Calibration!sL*SUM(J13:K13*J26:K26)</f>
        <v>1930642.8785895552</v>
      </c>
      <c r="L52" s="29">
        <f t="array" ref="L52">Calibration!sL*SUM(L13:M13*L26:M26)</f>
        <v>1892917.1792963587</v>
      </c>
      <c r="N52" s="29">
        <f t="array" ref="N52">Calibration!sL*SUM(N13:O13*N26:O26)</f>
        <v>1850941.4276798053</v>
      </c>
      <c r="P52" s="29">
        <f t="array" ref="P52">Calibration!sL*SUM(P13:Q13*P26:Q26)</f>
        <v>1804113.1410339905</v>
      </c>
      <c r="R52" s="29">
        <f t="array" ref="R52">Calibration!sL*SUM(R13:S13*R26:S26)</f>
        <v>1751820.5213813328</v>
      </c>
      <c r="T52" s="29">
        <f t="array" ref="T52">Calibration!sL*SUM(T13:U13*T26:U26)</f>
        <v>1693519.9539718863</v>
      </c>
      <c r="V52" s="29">
        <f t="array" ref="V52">Calibration!sL*SUM(V13:W13*V26:W26)</f>
        <v>1628881.645260416</v>
      </c>
      <c r="X52" s="29">
        <f t="array" ref="X52">Calibration!sL*SUM(X13:Y13*X26:Y26)</f>
        <v>1558031.9326366647</v>
      </c>
      <c r="Z52" s="29">
        <f t="array" ref="Z52">Calibration!sL*SUM(Z13:AA13*Z26:AA26)</f>
        <v>1481919.5078468379</v>
      </c>
      <c r="AB52" s="29">
        <f t="array" ref="AB52">Calibration!sL*SUM(AB13:AC13*AB26:AC26)</f>
        <v>1402788.4715711526</v>
      </c>
      <c r="AD52" s="29">
        <f t="array" ref="AD52">Calibration!sL*SUM(AD13:AE13*AD26:AE26)</f>
        <v>1324695.2015239424</v>
      </c>
      <c r="AF52" s="29">
        <f t="array" ref="AF52">Calibration!sL*SUM(AF13:AG13*AF26:AG26)</f>
        <v>1254151.4940188604</v>
      </c>
      <c r="AH52" s="29">
        <f t="array" ref="AH52">Calibration!sL*SUM(AH13:AI13*AH26:AI26)</f>
        <v>1201752.1206344971</v>
      </c>
      <c r="AJ52" s="29">
        <f t="array" ref="AJ52">Calibration!sL*SUM(AJ13:AK13*AJ26:AK26)</f>
        <v>1185611.2025998454</v>
      </c>
      <c r="AL52" s="29">
        <f t="array" ref="AL52">Calibration!sL*SUM(AL13:AM13*AL26:AM26)</f>
        <v>1230564.3128040852</v>
      </c>
      <c r="AN52" s="29">
        <f t="array" ref="AN52">Calibration!sL*SUM(AN13:AO13*AN26:AO26)</f>
        <v>1383685.0849503819</v>
      </c>
      <c r="AP52" s="29">
        <f t="array" ref="AP52">Calibration!sL*SUM(AP13:AQ13*AP26:AQ26)</f>
        <v>1442008.923454057</v>
      </c>
      <c r="AQ52" s="29"/>
      <c r="AR52" s="29">
        <f t="array" ref="AR52">Calibration!sL*SUM(AR13:AS13*AR26:AS26)</f>
        <v>1520466.9540403103</v>
      </c>
      <c r="AT52" s="29">
        <f t="array" ref="AT52">Calibration!sL*SUM(AT13:AU13*AT26:AU26)</f>
        <v>0</v>
      </c>
      <c r="AV52" s="29">
        <f t="array" ref="AV52">Calibration!sL*SUM(AV13:AW13*AV26:AW26)</f>
        <v>0</v>
      </c>
    </row>
    <row r="53" spans="1:48 16321:16384" x14ac:dyDescent="0.2">
      <c r="A53" t="s">
        <v>168</v>
      </c>
      <c r="B53" s="29">
        <f t="array" ref="B53">Calibration!sK*SUM(B15:C15*B27:C27)</f>
        <v>2740714.4444296514</v>
      </c>
      <c r="D53" s="29">
        <f t="array" ref="D53">Calibration!sK*SUM(D15:E15*D27:E27)</f>
        <v>2705154.2679676982</v>
      </c>
      <c r="F53" s="29">
        <f t="array" ref="F53">Calibration!sK*SUM(F15:G15*F27:G27)</f>
        <v>2666546.8735216171</v>
      </c>
      <c r="H53" s="29">
        <f t="array" ref="H53">Calibration!sK*SUM(H15:I15*H27:I27)</f>
        <v>2624401.61879601</v>
      </c>
      <c r="J53" s="29">
        <f t="array" ref="J53">Calibration!sK*SUM(J15:K15*J27:K27)</f>
        <v>2578150.260776666</v>
      </c>
      <c r="L53" s="29">
        <f t="array" ref="L53">Calibration!sK*SUM(L15:M15*L27:M27)</f>
        <v>2527136.2125340421</v>
      </c>
      <c r="N53" s="29">
        <f t="array" ref="N53">Calibration!sK*SUM(N15:O15*N27:O27)</f>
        <v>2470617.705755638</v>
      </c>
      <c r="P53" s="29">
        <f t="array" ref="P53">Calibration!sK*SUM(P15:Q15*P27:Q27)</f>
        <v>2407785.250592195</v>
      </c>
      <c r="R53" s="29">
        <f t="array" ref="R53">Calibration!sK*SUM(R15:S15*R27:S27)</f>
        <v>2337806.1760637276</v>
      </c>
      <c r="T53" s="29">
        <f t="array" ref="T53">Calibration!sK*SUM(T15:U15*T27:U27)</f>
        <v>2259921.452811623</v>
      </c>
      <c r="V53" s="29">
        <f t="array" ref="V53">Calibration!sK*SUM(V15:W15*V27:W27)</f>
        <v>2173629.913200506</v>
      </c>
      <c r="X53" s="29">
        <f t="array" ref="X53">Calibration!sK*SUM(X15:Y15*X27:Y27)</f>
        <v>2078998.6223066957</v>
      </c>
      <c r="Z53" s="29">
        <f t="array" ref="Z53">Calibration!sK*SUM(Z15:AA15*Z27:AA27)</f>
        <v>1977136.4116333448</v>
      </c>
      <c r="AB53" s="29">
        <f t="array" ref="AB53">Calibration!sK*SUM(AB15:AC15*AB27:AC27)</f>
        <v>1870812.9652962796</v>
      </c>
      <c r="AD53" s="29">
        <f t="array" ref="AD53">Calibration!sK*SUM(AD15:AE15*AD27:AE27)</f>
        <v>1765144.517868066</v>
      </c>
      <c r="AF53" s="29">
        <f t="array" ref="AF53">Calibration!sK*SUM(AF15:AG15*AF27:AG27)</f>
        <v>1668437.6137533435</v>
      </c>
      <c r="AH53" s="29">
        <f t="array" ref="AH53">Calibration!sK*SUM(AH15:AI15*AH27:AI27)</f>
        <v>1594178.604957077</v>
      </c>
      <c r="AJ53" s="29">
        <f t="array" ref="AJ53">Calibration!sK*SUM(AJ15:AK15*AJ27:AK27)</f>
        <v>1564579.6626269098</v>
      </c>
      <c r="AL53" s="29">
        <f t="array" ref="AL53">Calibration!sK*SUM(AL15:AM15*AL27:AM27)</f>
        <v>1605741.4077760277</v>
      </c>
      <c r="AN53" s="29">
        <f t="array" ref="AN53">Calibration!sK*SUM(AN15:AO15*AN27:AO27)</f>
        <v>1749232.9384474254</v>
      </c>
      <c r="AP53" s="29">
        <f t="array" ref="AP53">Calibration!sK*SUM(AP15:AQ15*AP27:AQ27)</f>
        <v>1797645.4195464209</v>
      </c>
      <c r="AQ53" s="29"/>
      <c r="AR53" s="29">
        <f t="array" ref="AR53">Calibration!sK*SUM(AR15:AS15*AR27:AS27)</f>
        <v>1855931.28255921</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0.20007484257096592</v>
      </c>
      <c r="F55" s="193">
        <f>F30/F32</f>
        <v>0.20163581745141407</v>
      </c>
      <c r="H55" s="193">
        <f>H30/H32</f>
        <v>0.20318369697023303</v>
      </c>
      <c r="J55" s="193">
        <f>J30/J32</f>
        <v>0.2047164249836442</v>
      </c>
      <c r="L55" s="193">
        <f>L30/L32</f>
        <v>0.20623182139400748</v>
      </c>
      <c r="N55" s="193">
        <f>N30/N32</f>
        <v>0.20772790470302385</v>
      </c>
      <c r="P55" s="193">
        <f>P30/P32</f>
        <v>0.20920345627595083</v>
      </c>
      <c r="R55" s="193">
        <f>R30/R32</f>
        <v>0.21065908368156275</v>
      </c>
      <c r="T55" s="193">
        <f>T30/T32</f>
        <v>0.21209936053476555</v>
      </c>
      <c r="V55" s="193">
        <f>V30/V32</f>
        <v>0.21353703827113749</v>
      </c>
      <c r="X55" s="193">
        <f>X30/X32</f>
        <v>0.21500110850539791</v>
      </c>
      <c r="Z55" s="193">
        <f>Z30/Z32</f>
        <v>0.21655225526073277</v>
      </c>
      <c r="AB55" s="193">
        <f>AB30/AB32</f>
        <v>0.21831184841786599</v>
      </c>
      <c r="AD55" s="193">
        <f>AD30/AD32</f>
        <v>0.22051640906473902</v>
      </c>
      <c r="AF55" s="193">
        <f>AF30/AF32</f>
        <v>0.22362363482843139</v>
      </c>
      <c r="AH55" s="193">
        <f>AH30/AH32</f>
        <v>0.22850530704116095</v>
      </c>
      <c r="AJ55" s="193">
        <f>AJ30/AJ32</f>
        <v>0.23649914600224795</v>
      </c>
      <c r="AL55" s="193">
        <f>AL30/AL32</f>
        <v>0.24842914498086704</v>
      </c>
      <c r="AN55" s="193">
        <f>AN30/AN32</f>
        <v>0.26572755403170695</v>
      </c>
      <c r="AP55" s="193">
        <f>AP30/AP32</f>
        <v>0.27075564906584337</v>
      </c>
      <c r="AR55" s="193">
        <f>AR30/AR32</f>
        <v>0.27714849303036898</v>
      </c>
      <c r="AT55" s="193" t="e">
        <f>AT30/AT32</f>
        <v>#DIV/0!</v>
      </c>
      <c r="AV55" s="193" t="e">
        <f>AV30/AV32</f>
        <v>#DIV/0!</v>
      </c>
      <c r="XCS55" s="193"/>
      <c r="XFD55" s="193"/>
    </row>
    <row r="56" spans="1:48 16321:16384" x14ac:dyDescent="0.2">
      <c r="A56" t="s">
        <v>170</v>
      </c>
      <c r="B56" s="193">
        <f>(Model!$C$52*B5*B20+B2*C5*C20)/B32</f>
        <v>2.9221206744340551E-2</v>
      </c>
      <c r="D56" s="193">
        <f>(Model!$C$52*D5*D20+D2*E5*E20)/D32</f>
        <v>3.1137186402035572E-2</v>
      </c>
      <c r="F56" s="193">
        <f>(Model!$C$52*F5*F20+F2*G5*G20)/F32</f>
        <v>3.3044359891395057E-2</v>
      </c>
      <c r="H56" s="193">
        <f>(Model!$C$52*H5*H20+H2*I5*I20)/H32</f>
        <v>3.4940675097314675E-2</v>
      </c>
      <c r="J56" s="193">
        <f>(Model!$C$52*J5*J20+J2*K5*K20)/J32</f>
        <v>3.6823975383990029E-2</v>
      </c>
      <c r="L56" s="193">
        <f>(Model!$C$52*L5*L20+L2*M5*M20)/L32</f>
        <v>3.8691924897434005E-2</v>
      </c>
      <c r="N56" s="193">
        <f>(Model!$C$52*N5*N20+N2*O5*O20)/N32</f>
        <v>4.054235638281483E-2</v>
      </c>
      <c r="P56" s="193">
        <f>(Model!$C$52*P5*P20+P2*Q5*Q20)/P32</f>
        <v>4.2373916629857789E-2</v>
      </c>
      <c r="R56" s="193">
        <f>(Model!$C$52*R5*R20+R2*S5*S20)/R32</f>
        <v>4.4187220185777844E-2</v>
      </c>
      <c r="T56" s="193">
        <f>(Model!$C$52*T5*T20+T2*U5*U20)/T32</f>
        <v>4.5987164962524057E-2</v>
      </c>
      <c r="V56" s="193">
        <f>(Model!$C$52*V5*V20+V2*W5*W20)/V32</f>
        <v>4.77876939282805E-2</v>
      </c>
      <c r="X56" s="193">
        <f>(Model!$C$52*X5*X20+X2*Y5*Y20)/X32</f>
        <v>4.9620868736293469E-2</v>
      </c>
      <c r="Z56" s="193">
        <f>(Model!$C$52*Z5*Z20+Z2*AA5*AA20)/Z32</f>
        <v>5.155455633034773E-2</v>
      </c>
      <c r="AB56" s="193">
        <f>(Model!$C$52*AB5*AB20+AB2*AC5*AC20)/AB32</f>
        <v>5.3726069316302076E-2</v>
      </c>
      <c r="AD56" s="193">
        <f>(Model!$C$52*AD5*AD20+AD2*AE5*AE20)/AD32</f>
        <v>5.6406232990251735E-2</v>
      </c>
      <c r="AF56" s="193">
        <f>(Model!$C$52*AF5*AF20+AF2*AG5*AG20)/AF32</f>
        <v>6.012456370786412E-2</v>
      </c>
      <c r="AH56" s="193">
        <f>(Model!$C$52*AH5*AH20+AH2*AI5*AI20)/AH32</f>
        <v>6.5892254064682215E-2</v>
      </c>
      <c r="AJ56" s="193">
        <f>(Model!$C$52*AJ5*AJ20+AJ2*AK5*AK20)/AJ32</f>
        <v>7.5223939856335895E-2</v>
      </c>
      <c r="AL56" s="193">
        <f>(Model!$C$52*AL5*AL20+AL2*AM5*AM20)/AL32</f>
        <v>8.8834028191558195E-2</v>
      </c>
      <c r="AN56" s="193">
        <f>(Model!$C$52*AN5*AN20+AN2*AO5*AO20)/AN32</f>
        <v>0.10739252430871561</v>
      </c>
      <c r="AP56" s="193">
        <f>(Model!$C$52*AP5*AP20+AP2*AQ5*AQ20)/AP32</f>
        <v>0.11243001198402308</v>
      </c>
      <c r="AR56" s="193">
        <f>(Model!$C$52*AR5*AR20+AR2*AS5*AS20)/AR32</f>
        <v>0.11859368102934241</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0.15825852482507125</v>
      </c>
      <c r="F57" s="193">
        <f t="array" ref="F57">SUM(Model!tauL*F13:G13*F26:G26)/F32</f>
        <v>0.15798622257805633</v>
      </c>
      <c r="H57" s="193">
        <f t="array" ref="H57">SUM(Model!tauL*H13:I13*H26:I26)/H32</f>
        <v>0.15771202174014101</v>
      </c>
      <c r="J57" s="193">
        <f t="array" ref="J57">SUM(Model!tauL*J13:K13*J26:K26)/J32</f>
        <v>0.15743603675495338</v>
      </c>
      <c r="L57" s="193">
        <f t="array" ref="L57">SUM(Model!tauL*L13:M13*L26:M26)/L32</f>
        <v>0.15715844168426149</v>
      </c>
      <c r="N57" s="193">
        <f t="array" ref="N57">SUM(Model!tauL*N13:O13*N26:O26)/N32</f>
        <v>0.15687946118378152</v>
      </c>
      <c r="P57" s="193">
        <f t="array" ref="P57">SUM(Model!tauL*P13:Q13*P26:Q26)/P32</f>
        <v>0.15659932325634449</v>
      </c>
      <c r="R57" s="193">
        <f t="array" ref="R57">SUM(Model!tauL*R13:S13*R26:S26)/R32</f>
        <v>0.15631822062940862</v>
      </c>
      <c r="T57" s="193">
        <f t="array" ref="T57">SUM(Model!tauL*T13:U13*T26:U26)/T32</f>
        <v>0.15603622514908042</v>
      </c>
      <c r="V57" s="193">
        <f t="array" ref="V57">SUM(Model!tauL*V13:W13*V26:W26)/V32</f>
        <v>0.15575292126225374</v>
      </c>
      <c r="X57" s="193">
        <f t="array" ref="X57">SUM(Model!tauL*X13:Y13*X26:Y26)/X32</f>
        <v>0.15546667048888982</v>
      </c>
      <c r="Y57" s="193"/>
      <c r="Z57" s="193">
        <f t="array" ref="Z57">SUM(Model!tauL*Z13:AA13*Z26:AA26)/Z32</f>
        <v>0.15517279469880821</v>
      </c>
      <c r="AB57" s="193">
        <f t="array" ref="AB57">SUM(Model!tauL*AB13:AC13*AB26:AC26)/AB32</f>
        <v>0.15485939855812847</v>
      </c>
      <c r="AD57" s="193">
        <f t="array" ref="AD57">SUM(Model!tauL*AD13:AE13*AD26:AE26)/AD32</f>
        <v>0.15449796953046266</v>
      </c>
      <c r="AF57" s="193">
        <f t="array" ref="AF57">SUM(Model!tauL*AF13:AG13*AF26:AG26)/AF32</f>
        <v>0.15402344149491756</v>
      </c>
      <c r="AH57" s="193">
        <f t="array" ref="AH57">SUM(Model!tauL*AH13:AI13*AH26:AI26)/AH32</f>
        <v>0.15330190224682202</v>
      </c>
      <c r="AJ57" s="193">
        <f t="array" ref="AJ57">SUM(Model!tauL*AJ13:AK13*AJ26:AK26)/AJ32</f>
        <v>0.15216115483182513</v>
      </c>
      <c r="AL57" s="193">
        <f t="array" ref="AL57">SUM(Model!tauL*AL13:AM13*AL26:AM26)/AL32</f>
        <v>0.15073414403867064</v>
      </c>
      <c r="AN57" s="193">
        <f t="array" ref="AN57">SUM(Model!tauL*AN13:AO13*AN26:AO26)/AN32</f>
        <v>0.14988805725232396</v>
      </c>
      <c r="AP57" s="193">
        <f t="array" ref="AP57">SUM(Model!tauL*AP13:AQ13*AP26:AQ26)/AP32</f>
        <v>0.15001456954006784</v>
      </c>
      <c r="AR57" s="193">
        <f t="array" ref="AR57">SUM(Model!tauL*AR13:AS13*AR26:AS26)/AR32</f>
        <v>0.15042412974799124</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1.0679131343859094E-2</v>
      </c>
      <c r="F58" s="193">
        <f t="array" ref="F58">SUM(Model!tauY/(1+Model!tauY)*F3:G3*F18:G18)/F32</f>
        <v>1.0605234981962641E-2</v>
      </c>
      <c r="H58" s="193">
        <f t="array" ref="H58">SUM(Model!tauY/(1+Model!tauY)*H3:I3*H18:I18)/H32</f>
        <v>1.0531000132777373E-2</v>
      </c>
      <c r="J58" s="193">
        <f t="array" ref="J58">SUM(Model!tauY/(1+Model!tauY)*J3:K3*J18:K18)/J32</f>
        <v>1.0456412844700775E-2</v>
      </c>
      <c r="L58" s="193">
        <f t="array" ref="L58">SUM(Model!tauY/(1+Model!tauY)*L3:M3*L18:M18)/L32</f>
        <v>1.038145481231198E-2</v>
      </c>
      <c r="N58" s="193">
        <f t="array" ref="N58">SUM(Model!tauY/(1+Model!tauY)*N3:O3*N18:O18)/N32</f>
        <v>1.0306087136427479E-2</v>
      </c>
      <c r="P58" s="193">
        <f t="array" ref="P58">SUM(Model!tauY/(1+Model!tauY)*P3:Q3*P18:Q18)/P32</f>
        <v>1.023021638974852E-2</v>
      </c>
      <c r="R58" s="193">
        <f t="array" ref="R58">SUM(Model!tauY/(1+Model!tauY)*R3:S3*R18:S18)/R32</f>
        <v>1.0153642866376298E-2</v>
      </c>
      <c r="T58" s="193">
        <f t="array" ref="T58">SUM(Model!tauY/(1+Model!tauY)*T3:U3*T18:U18)/T32</f>
        <v>1.0075970423161072E-2</v>
      </c>
      <c r="V58" s="193">
        <f t="array" ref="V58">SUM(Model!tauY/(1+Model!tauY)*V3:W3*V18:W18)/V32</f>
        <v>9.9964230806032818E-3</v>
      </c>
      <c r="X58" s="193">
        <f t="array" ref="X58">SUM(Model!tauY/(1+Model!tauY)*X3:Y3*X18:Y18)/X32</f>
        <v>9.9135692802146177E-3</v>
      </c>
      <c r="Y58" s="193"/>
      <c r="Z58" s="193">
        <f t="array" ref="Z58">SUM(Model!tauY/(1+Model!tauY)*Z3:AA3*Z18:AA18)/Z32</f>
        <v>9.8249042315768382E-3</v>
      </c>
      <c r="AB58" s="193">
        <f t="array" ref="AB58">SUM(Model!tauY/(1+Model!tauY)*AB3:AC3*AB18:AC18)/AB32</f>
        <v>9.7263805434354266E-3</v>
      </c>
      <c r="AD58" s="193">
        <f t="array" ref="AD58">SUM(Model!tauY/(1+Model!tauY)*AD3:AE3*AD18:AE18)/AD32</f>
        <v>9.6122065440246447E-3</v>
      </c>
      <c r="AF58" s="193">
        <f t="array" ref="AF58">SUM(Model!tauY/(1+Model!tauY)*AF3:AG3*AF18:AG18)/AF32</f>
        <v>9.4756296256497032E-3</v>
      </c>
      <c r="AH58" s="193">
        <f t="array" ref="AH58">SUM(Model!tauY/(1+Model!tauY)*AH3:AI3*AH18:AI18)/AH32</f>
        <v>9.3111507296567211E-3</v>
      </c>
      <c r="AJ58" s="193">
        <f t="array" ref="AJ58">SUM(Model!tauY/(1+Model!tauY)*AJ3:AK3*AJ18:AK18)/AJ32</f>
        <v>9.1140513140869333E-3</v>
      </c>
      <c r="AL58" s="193">
        <f t="array" ref="AL58">SUM(Model!tauY/(1+Model!tauY)*AL3:AM3*AL18:AM18)/AL32</f>
        <v>8.8609727506382008E-3</v>
      </c>
      <c r="AN58" s="193">
        <f t="array" ref="AN58">SUM(Model!tauY/(1+Model!tauY)*AN3:AO3*AN18:AO18)/AN32</f>
        <v>8.4469724706674083E-3</v>
      </c>
      <c r="AP58" s="193">
        <f t="array" ref="AP58">SUM(Model!tauY/(1+Model!tauY)*AP3:AQ3*AP18:AQ18)/AP32</f>
        <v>8.3110675417524781E-3</v>
      </c>
      <c r="AR58" s="193">
        <f t="array" ref="AR58">SUM(Model!tauY/(1+Model!tauY)*AR3:AS3*AR18:AS18)/AR32</f>
        <v>8.1306822530352995E-3</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2.4757365393176249E-3</v>
      </c>
      <c r="F59" s="193">
        <f>(F2*G5*G20)/F32</f>
        <v>4.3843620801067035E-3</v>
      </c>
      <c r="H59" s="193">
        <f>(H2*I5*I20)/H32</f>
        <v>6.2740899716706971E-3</v>
      </c>
      <c r="J59" s="193">
        <f>(J2*K5*K20)/J32</f>
        <v>8.1409008396876766E-3</v>
      </c>
      <c r="L59" s="193">
        <f>(L2*M5*M20)/L32</f>
        <v>9.9800637115842143E-3</v>
      </c>
      <c r="N59" s="193">
        <f>(N2*O5*O20)/N32</f>
        <v>1.1786328257400244E-2</v>
      </c>
      <c r="P59" s="193">
        <f>(P2*Q5*Q20)/P32</f>
        <v>1.355437420620831E-2</v>
      </c>
      <c r="R59" s="193">
        <f>(R2*S5*S20)/R32</f>
        <v>1.5279713588538503E-2</v>
      </c>
      <c r="T59" s="193">
        <f>(T2*U5*U20)/T32</f>
        <v>1.6960736729819275E-2</v>
      </c>
      <c r="V59" s="193">
        <f>(V2*W5*W20)/V32</f>
        <v>1.8603298219680438E-2</v>
      </c>
      <c r="X59" s="193">
        <f>(X2*Y5*Y20)/X32</f>
        <v>2.0229888794730286E-2</v>
      </c>
      <c r="Z59" s="193">
        <f>(Z2*AA5*AA20)/Z32</f>
        <v>2.1898167494170315E-2</v>
      </c>
      <c r="AB59" s="193">
        <f>(AB2*AC5*AC20)/AB32</f>
        <v>2.3736954384521704E-2</v>
      </c>
      <c r="AD59" s="193">
        <f>(AD2*AE5*AE20)/AD32</f>
        <v>2.6015243146557048E-2</v>
      </c>
      <c r="AF59" s="193">
        <f>(AF2*AG5*AG20)/AF32</f>
        <v>2.927663387176983E-2</v>
      </c>
      <c r="AH59" s="193">
        <f>(AH2*AI5*AI20)/AH32</f>
        <v>3.4580779743898608E-2</v>
      </c>
      <c r="AJ59" s="193">
        <f>(AJ2*AK5*AK20)/AJ32</f>
        <v>4.3552409187508981E-2</v>
      </c>
      <c r="AL59" s="193">
        <f>(AL2*AM5*AM20)/AL32</f>
        <v>5.7026793695220838E-2</v>
      </c>
      <c r="AN59" s="193">
        <f>(AN2*AO5*AO20)/AN32</f>
        <v>7.5646345345318847E-2</v>
      </c>
      <c r="AP59" s="193">
        <f>(AP2*AQ5*AQ20)/AP32</f>
        <v>8.0695798401755642E-2</v>
      </c>
      <c r="AR59" s="193">
        <f>(AR2*AS5*AS20)/AR32</f>
        <v>8.6846468171823218E-2</v>
      </c>
      <c r="AT59" s="193" t="e">
        <f>(AT2*AU5*AU20)/AT32</f>
        <v>#DIV/0!</v>
      </c>
      <c r="AV59" s="193" t="e">
        <f>(AV2*AW5*AW20)/AV32</f>
        <v>#DIV/0!</v>
      </c>
      <c r="XFD59" s="193"/>
    </row>
    <row r="60" spans="1:48 16321:16384" x14ac:dyDescent="0.2">
      <c r="A60" t="s">
        <v>174</v>
      </c>
      <c r="B60" s="193">
        <f>Model!$C$52*B5*B20/B32</f>
        <v>2.8669464423930927E-2</v>
      </c>
      <c r="D60" s="193">
        <f>Model!$C$52*D5*D20/D32</f>
        <v>2.8661449862717948E-2</v>
      </c>
      <c r="F60" s="193">
        <f>Model!$C$52*F5*F20/F32</f>
        <v>2.8659997811288352E-2</v>
      </c>
      <c r="H60" s="193">
        <f>Model!$C$52*H5*H20/H32</f>
        <v>2.8666585125643979E-2</v>
      </c>
      <c r="J60" s="193">
        <f>Model!$C$52*J5*J20/J32</f>
        <v>2.8683074544302353E-2</v>
      </c>
      <c r="L60" s="193">
        <f>Model!$C$52*L5*L20/L32</f>
        <v>2.8711861185849789E-2</v>
      </c>
      <c r="N60" s="193">
        <f>Model!$C$52*N5*N20/N32</f>
        <v>2.8756028125414584E-2</v>
      </c>
      <c r="P60" s="193">
        <f>Model!$C$52*P5*P20/P32</f>
        <v>2.8819542423649473E-2</v>
      </c>
      <c r="R60" s="193">
        <f>Model!$C$52*R5*R20/R32</f>
        <v>2.8907506597239341E-2</v>
      </c>
      <c r="T60" s="193">
        <f>Model!$C$52*T5*T20/T32</f>
        <v>2.9026428232704779E-2</v>
      </c>
      <c r="V60" s="193">
        <f>Model!$C$52*V5*V20/V32</f>
        <v>2.9184395708600062E-2</v>
      </c>
      <c r="X60" s="193">
        <f>Model!$C$52*X5*X20/X32</f>
        <v>2.939097994156319E-2</v>
      </c>
      <c r="Z60" s="193">
        <f>Model!$C$52*Z5*Z20/Z32</f>
        <v>2.9656388836177411E-2</v>
      </c>
      <c r="AB60" s="193">
        <f>Model!$C$52*AB5*AB20/AB32</f>
        <v>2.9989114931780372E-2</v>
      </c>
      <c r="AD60" s="193">
        <f>Model!$C$52*AD5*AD20/AD32</f>
        <v>3.0390989843694687E-2</v>
      </c>
      <c r="AF60" s="193">
        <f>Model!$C$52*AF5*AF20/AF32</f>
        <v>3.0847929836094287E-2</v>
      </c>
      <c r="AH60" s="193">
        <f>Model!$C$52*AH5*AH20/AH32</f>
        <v>3.1311474320783614E-2</v>
      </c>
      <c r="AJ60" s="193">
        <f>Model!$C$52*AJ5*AJ20/AJ32</f>
        <v>3.1671530668826921E-2</v>
      </c>
      <c r="AL60" s="193">
        <f>Model!$C$52*AL5*AL20/AL32</f>
        <v>3.180723449633735E-2</v>
      </c>
      <c r="AN60" s="193">
        <f>Model!$C$52*AN5*AN20/AN32</f>
        <v>3.1746178963396751E-2</v>
      </c>
      <c r="AP60" s="193">
        <f>Model!$C$52*AP5*AP20/AP32</f>
        <v>3.173421358226744E-2</v>
      </c>
      <c r="AR60" s="193">
        <f>Model!$C$52*AR5*AR20/AR32</f>
        <v>3.1747212857519205E-2</v>
      </c>
      <c r="AT60" s="193" t="e">
        <f>Model!$C$52*AT5*AT20/AT32</f>
        <v>#DIV/0!</v>
      </c>
      <c r="AV60" s="193" t="e">
        <f>Model!$C$52*AV5*AV20/AV32</f>
        <v>#DIV/0!</v>
      </c>
      <c r="XFD60" s="193"/>
    </row>
    <row r="62" spans="1:48 16321:16384" x14ac:dyDescent="0.2">
      <c r="A62" t="s">
        <v>175</v>
      </c>
      <c r="B62">
        <f>B13/B15</f>
        <v>1</v>
      </c>
      <c r="D62">
        <f>D13/D15</f>
        <v>0.99754104893302153</v>
      </c>
      <c r="F62">
        <f>F13/F15</f>
        <v>0.99496781972439241</v>
      </c>
      <c r="H62">
        <f>H13/H15</f>
        <v>0.99227309883464132</v>
      </c>
      <c r="J62">
        <f>J13/J15</f>
        <v>0.98944961546289245</v>
      </c>
      <c r="L62">
        <f>L13/L15</f>
        <v>0.986490464919343</v>
      </c>
      <c r="N62">
        <f>N13/N15</f>
        <v>0.98338985419218017</v>
      </c>
      <c r="P62">
        <f>P13/P15</f>
        <v>0.98014452949133191</v>
      </c>
      <c r="R62">
        <f>R13/R15</f>
        <v>0.9767563748976692</v>
      </c>
      <c r="T62">
        <f>T13/T15</f>
        <v>0.97323708242773388</v>
      </c>
      <c r="V62">
        <f>V13/V15</f>
        <v>0.96961675740526043</v>
      </c>
      <c r="X62">
        <f>X13/X15</f>
        <v>0.96595915370388297</v>
      </c>
      <c r="Z62">
        <f>Z13/Z15</f>
        <v>0.96238865390165396</v>
      </c>
      <c r="AB62">
        <f>AB13/AB15</f>
        <v>0.95913738491909117</v>
      </c>
      <c r="AD62">
        <f>AD13/AD15</f>
        <v>0.95663200839570217</v>
      </c>
      <c r="AF62">
        <f>AF13/AF15</f>
        <v>0.95568571744368147</v>
      </c>
      <c r="AH62">
        <f>AH13/AH15</f>
        <v>0.95802842385695597</v>
      </c>
      <c r="AJ62">
        <f>AJ13/AJ15</f>
        <v>0.96771990103620231</v>
      </c>
      <c r="AL62">
        <f>AL13/AL15</f>
        <v>0.99446018088377541</v>
      </c>
      <c r="AN62">
        <f>AN13/AN15</f>
        <v>1.0763685741701119</v>
      </c>
      <c r="AP62">
        <f>AP13/AP15</f>
        <v>1.114670818374198</v>
      </c>
      <c r="AR62">
        <f>AR13/AR15</f>
        <v>1.1749639776357066</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1.000197522753516</v>
      </c>
      <c r="E65" s="191"/>
      <c r="F65" s="191">
        <f t="array" ref="F65">SQRT((F9:G9*$B$22:$C$22+F10:G10*$B$23:$C$23+F11:G11*$B$24:$C$24+F4:G4*($B$25:$C$25-$B$19:$C$19))/($B$9:$C$9*$B$22:$C$22+$B$10:$C$10*$B$23:$C$23+$B$11:$C$11*$B$24:$C$24+$B$4:$C$4*($B$25:$C$25-$B$19:$C$19))*(F9:G9*F22:G22+F10:G10*F23:G23+F11:G11*F24:G24+F4:G4*(F25:G25-F19:G19))/($B$9:$C$9*F22:G22+$B$10:$C$10*F23:G23+$B$11:$C$11*F24:G24+$B$4:$C$4*(F25:G25-F19:G19)))</f>
        <v>1.0006742943666989</v>
      </c>
      <c r="G65" s="191"/>
      <c r="H65" s="191">
        <f t="array" ref="H65">SQRT((H9:I9*$B$22:$C$22+H10:I10*$B$23:$C$23+H11:I11*$B$24:$C$24+H4:I4*($B$25:$C$25-$B$19:$C$19))/($B$9:$C$9*$B$22:$C$22+$B$10:$C$10*$B$23:$C$23+$B$11:$C$11*$B$24:$C$24+$B$4:$C$4*($B$25:$C$25-$B$19:$C$19))*(H9:I9*H22:I22+H10:I10*H23:I23+H11:I11*H24:I24+H4:I4*(H25:I25-H19:I19))/($B$9:$C$9*H22:I22+$B$10:$C$10*H23:I23+$B$11:$C$11*H24:I24+$B$4:$C$4*(H25:I25-H19:I19)))</f>
        <v>1.0014957574133796</v>
      </c>
      <c r="I65" s="191"/>
      <c r="J65" s="191">
        <f t="array" ref="J65">SQRT((J9:K9*$B$22:$C$22+J10:K10*$B$23:$C$23+J11:K11*$B$24:$C$24+J4:K4*($B$25:$C$25-$B$19:$C$19))/($B$9:$C$9*$B$22:$C$22+$B$10:$C$10*$B$23:$C$23+$B$11:$C$11*$B$24:$C$24+$B$4:$C$4*($B$25:$C$25-$B$19:$C$19))*(J9:K9*J22:K22+J10:K10*J23:K23+J11:K11*J24:K24+J4:K4*(J25:K25-J19:K19))/($B$9:$C$9*J22:K22+$B$10:$C$10*J23:K23+$B$11:$C$11*J24:K24+$B$4:$C$4*(J25:K25-J19:K19)))</f>
        <v>1.002747838006838</v>
      </c>
      <c r="K65" s="191"/>
      <c r="L65" s="191">
        <f t="array" ref="L65">SQRT((L9:M9*$B$22:$C$22+L10:M10*$B$23:$C$23+L11:M11*$B$24:$C$24+L4:M4*($B$25:$C$25-$B$19:$C$19))/($B$9:$C$9*$B$22:$C$22+$B$10:$C$10*$B$23:$C$23+$B$11:$C$11*$B$24:$C$24+$B$4:$C$4*($B$25:$C$25-$B$19:$C$19))*(L9:M9*L22:M22+L10:M10*L23:M23+L11:M11*L24:M24+L4:M4*(L25:M25-L19:M19))/($B$9:$C$9*L22:M22+$B$10:$C$10*L23:M23+$B$11:$C$11*L24:M24+$B$4:$C$4*(L25:M25-L19:M19)))</f>
        <v>1.0045460358317253</v>
      </c>
      <c r="M65" s="191"/>
      <c r="N65" s="191">
        <f t="array" ref="N65">SQRT((N9:O9*$B$22:$C$22+N10:O10*$B$23:$C$23+N11:O11*$B$24:$C$24+N4:O4*($B$25:$C$25-$B$19:$C$19))/($B$9:$C$9*$B$22:$C$22+$B$10:$C$10*$B$23:$C$23+$B$11:$C$11*$B$24:$C$24+$B$4:$C$4*($B$25:$C$25-$B$19:$C$19))*(N9:O9*N22:O22+N10:O10*N23:O23+N11:O11*N24:O24+N4:O4*(N25:O25-N19:O19))/($B$9:$C$9*N22:O22+$B$10:$C$10*N23:O23+$B$11:$C$11*N24:O24+$B$4:$C$4*(N25:O25-N19:O19)))</f>
        <v>1.007047455646239</v>
      </c>
      <c r="O65" s="191"/>
      <c r="P65" s="191">
        <f t="array" ref="P65">SQRT((P9:Q9*$B$22:$C$22+P10:Q10*$B$23:$C$23+P11:Q11*$B$24:$C$24+P4:Q4*($B$25:$C$25-$B$19:$C$19))/($B$9:$C$9*$B$22:$C$22+$B$10:$C$10*$B$23:$C$23+$B$11:$C$11*$B$24:$C$24+$B$4:$C$4*($B$25:$C$25-$B$19:$C$19))*(P9:Q9*P22:Q22+P10:Q10*P23:Q23+P11:Q11*P24:Q24+P4:Q4*(P25:Q25-P19:Q19))/($B$9:$C$9*P22:Q22+$B$10:$C$10*P23:Q23+$B$11:$C$11*P24:Q24+$B$4:$C$4*(P25:Q25-P19:Q19)))</f>
        <v>1.0104688014508802</v>
      </c>
      <c r="Q65" s="191"/>
      <c r="R65" s="191">
        <f t="array" ref="R65">SQRT((R9:S9*$B$22:$C$22+R10:S10*$B$23:$C$23+R11:S11*$B$24:$C$24+R4:S4*($B$25:$C$25-$B$19:$C$19))/($B$9:$C$9*$B$22:$C$22+$B$10:$C$10*$B$23:$C$23+$B$11:$C$11*$B$24:$C$24+$B$4:$C$4*($B$25:$C$25-$B$19:$C$19))*(R9:S9*R22:S22+R10:S10*R23:S23+R11:S11*R24:S24+R4:S4*(R25:S25-R19:S19))/($B$9:$C$9*R22:S22+$B$10:$C$10*R23:S23+$B$11:$C$11*R24:S24+$B$4:$C$4*(R25:S25-R19:S19)))</f>
        <v>1.0151143467974153</v>
      </c>
      <c r="S65" s="191"/>
      <c r="T65" s="191">
        <f t="array" ref="T65">SQRT((T9:U9*$B$22:$C$22+T10:U10*$B$23:$C$23+T11:U11*$B$24:$C$24+T4:U4*($B$25:$C$25-$B$19:$C$19))/($B$9:$C$9*$B$22:$C$22+$B$10:$C$10*$B$23:$C$23+$B$11:$C$11*$B$24:$C$24+$B$4:$C$4*($B$25:$C$25-$B$19:$C$19))*(T9:U9*T22:U22+T10:U10*T23:U23+T11:U11*T24:U24+T4:U4*(T25:U25-T19:U19))/($B$9:$C$9*T22:U22+$B$10:$C$10*T23:U23+$B$11:$C$11*T24:U24+$B$4:$C$4*(T25:U25-T19:U19)))</f>
        <v>1.0214190460501305</v>
      </c>
      <c r="U65" s="191"/>
      <c r="V65" s="191">
        <f t="array" ref="V65">SQRT((V9:W9*$B$22:$C$22+V10:W10*$B$23:$C$23+V11:W11*$B$24:$C$24+V4:W4*($B$25:$C$25-$B$19:$C$19))/($B$9:$C$9*$B$22:$C$22+$B$10:$C$10*$B$23:$C$23+$B$11:$C$11*$B$24:$C$24+$B$4:$C$4*($B$25:$C$25-$B$19:$C$19))*(V9:W9*V22:W22+V10:W10*V23:W23+V11:W11*V24:W24+V4:W4*(V25:W25-V19:W19))/($B$9:$C$9*V22:W22+$B$10:$C$10*V23:W23+$B$11:$C$11*V24:W24+$B$4:$C$4*(V25:W25-V19:W19)))</f>
        <v>1.0300154023638934</v>
      </c>
      <c r="W65" s="191"/>
      <c r="X65" s="191">
        <f t="array" ref="X65">SQRT((X9:Y9*$B$22:$C$22+X10:Y10*$B$23:$C$23+X11:Y11*$B$24:$C$24+X4:Y4*($B$25:$C$25-$B$19:$C$19))/($B$9:$C$9*$B$22:$C$22+$B$10:$C$10*$B$23:$C$23+$B$11:$C$11*$B$24:$C$24+$B$4:$C$4*($B$25:$C$25-$B$19:$C$19))*(X9:Y9*X22:Y22+X10:Y10*X23:Y23+X11:Y11*X24:Y24+X4:Y4*(X25:Y25-X19:Y19))/($B$9:$C$9*X22:Y22+$B$10:$C$10*X23:Y23+$B$11:$C$11*X24:Y24+$B$4:$C$4*(X25:Y25-X19:Y19)))</f>
        <v>1.0418405653941369</v>
      </c>
      <c r="Y65" s="191"/>
      <c r="Z65" s="191">
        <f t="array" ref="Z65">SQRT((Z9:AA9*$B$22:$C$22+Z10:AA10*$B$23:$C$23+Z11:AA11*$B$24:$C$24+Z4:AA4*($B$25:$C$25-$B$19:$C$19))/($B$9:$C$9*$B$22:$C$22+$B$10:$C$10*$B$23:$C$23+$B$11:$C$11*$B$24:$C$24+$B$4:$C$4*($B$25:$C$25-$B$19:$C$19))*(Z9:AA9*Z22:AA22+Z10:AA10*Z23:AA23+Z11:AA11*Z24:AA24+Z4:AA4*(Z25:AA25-Z19:AA19))/($B$9:$C$9*Z22:AA22+$B$10:$C$10*Z23:AA23+$B$11:$C$11*Z24:AA24+$B$4:$C$4*(Z25:AA25-Z19:AA19)))</f>
        <v>1.0583127352432291</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1.0816439790252685</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1.1154781761575507</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1.1664391521127508</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1.2482095679249563</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1.3909090656335328</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1.6649353709454771</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2.4138263874413775</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2.8076971404569684</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3.5839317253566798</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1.0002170363739702</v>
      </c>
      <c r="E66" s="191"/>
      <c r="F66" s="191">
        <f t="array" ref="F66">SQRT((F9:G9*$B$22:$C$22)/($B$9:$C$9*$B$22:$C$22)*(F9:G9*F22:G22)/($B$9:$C$9*F22:G22))</f>
        <v>1.0007406055932535</v>
      </c>
      <c r="G66" s="191"/>
      <c r="H66" s="191">
        <f t="array" ref="H66">SQRT((H9:I9*$B$22:$C$22)/($B$9:$C$9*$B$22:$C$22)*(H9:I9*H22:I22)/($B$9:$C$9*H22:I22))</f>
        <v>1.0016417824903285</v>
      </c>
      <c r="I66" s="191"/>
      <c r="J66" s="191">
        <f t="array" ref="J66">SQRT((J9:K9*$B$22:$C$22)/($B$9:$C$9*$B$22:$C$22)*(J9:K9*J22:K22)/($B$9:$C$9*J22:K22))</f>
        <v>1.003013236317823</v>
      </c>
      <c r="K66" s="191"/>
      <c r="L66" s="191">
        <f t="array" ref="L66">SQRT((L9:M9*$B$22:$C$22)/($B$9:$C$9*$B$22:$C$22)*(L9:M9*L22:M22)/($B$9:$C$9*L22:M22))</f>
        <v>1.0049785340042725</v>
      </c>
      <c r="M66" s="191"/>
      <c r="N66" s="191">
        <f t="array" ref="N66">SQRT((N9:O9*$B$22:$C$22)/($B$9:$C$9*$B$22:$C$22)*(N9:O9*N22:O22)/($B$9:$C$9*N22:O22))</f>
        <v>1.0077041554324786</v>
      </c>
      <c r="O66" s="191"/>
      <c r="P66" s="191">
        <f t="array" ref="P66">SQRT((P9:Q9*$B$22:$C$22)/($B$9:$C$9*$B$22:$C$22)*(P9:Q9*P22:Q22)/($B$9:$C$9*P22:Q22))</f>
        <v>1.0114171235193636</v>
      </c>
      <c r="Q66" s="191"/>
      <c r="R66" s="191">
        <f t="array" ref="R66">SQRT((R9:S9*$B$22:$C$22)/($B$9:$C$9*$B$22:$C$22)*(R9:S9*R22:S22)/($B$9:$C$9*R22:S22))</f>
        <v>1.0164318685935811</v>
      </c>
      <c r="S66" s="191"/>
      <c r="T66" s="191">
        <f t="array" ref="T66">SQRT((T9:U9*$B$22:$C$22)/($B$9:$C$9*$B$22:$C$22)*(T9:U9*T22:U22)/($B$9:$C$9*T22:U22))</f>
        <v>1.023190512385685</v>
      </c>
      <c r="U66" s="191"/>
      <c r="V66" s="191">
        <f t="array" ref="V66">SQRT((V9:W9*$B$22:$C$22)/($B$9:$C$9*$B$22:$C$22)*(V9:W9*V22:W22)/($B$9:$C$9*V22:W22))</f>
        <v>1.0323232212653868</v>
      </c>
      <c r="W66" s="191"/>
      <c r="X66" s="191">
        <f t="array" ref="X66">SQRT((X9:Y9*$B$22:$C$22)/($B$9:$C$9*$B$22:$C$22)*(X9:Y9*X22:Y22)/($B$9:$C$9*X22:Y22))</f>
        <v>1.0447412784833563</v>
      </c>
      <c r="Y66" s="191"/>
      <c r="Z66" s="191">
        <f t="array" ref="Z66">SQRT((Z9:AA9*$B$22:$C$22)/($B$9:$C$9*$B$22:$C$22)*(Z9:AA9*Z22:AA22)/($B$9:$C$9*Z22:AA22))</f>
        <v>1.0617841177300147</v>
      </c>
      <c r="AA66" s="191"/>
      <c r="AB66" s="191">
        <f t="array" ref="AB66">SQRT((AB9:AC9*$B$22:$C$22)/($B$9:$C$9*$B$22:$C$22)*(AB9:AC9*AB22:AC22)/($B$9:$C$9*AB22:AC22))</f>
        <v>1.0854712466387535</v>
      </c>
      <c r="AC66" s="191"/>
      <c r="AD66" s="191">
        <f t="array" ref="AD66">SQRT((AD9:AE9*$B$22:$C$22)/($B$9:$C$9*$B$22:$C$22)*(AD9:AE9*AD22:AE22)/($B$9:$C$9*AD22:AE22))</f>
        <v>1.1190084315122988</v>
      </c>
      <c r="AE66" s="191"/>
      <c r="AF66" s="191">
        <f t="array" ref="AF66">SQRT((AF9:AG9*$B$22:$C$22)/($B$9:$C$9*$B$22:$C$22)*(AF9:AG9*AF22:AG22)/($B$9:$C$9*AF22:AG22))</f>
        <v>1.1680069050081263</v>
      </c>
      <c r="AG66" s="191"/>
      <c r="AH66" s="191">
        <f t="array" ref="AH66">SQRT((AH9:AI9*$B$22:$C$22)/($B$9:$C$9*$B$22:$C$22)*(AH9:AI9*AH22:AI22)/($B$9:$C$9*AH22:AI22))</f>
        <v>1.2435504221499329</v>
      </c>
      <c r="AI66" s="191"/>
      <c r="AJ66" s="191">
        <f t="array" ref="AJ66">SQRT((AJ9:AK9*$B$22:$C$22)/($B$9:$C$9*$B$22:$C$22)*(AJ9:AK9*AJ22:AK22)/($B$9:$C$9*AJ22:AK22))</f>
        <v>1.3680953166893701</v>
      </c>
      <c r="AK66" s="191"/>
      <c r="AL66" s="191">
        <f t="array" ref="AL66">SQRT((AL9:AM9*$B$22:$C$22)/($B$9:$C$9*$B$22:$C$22)*(AL9:AM9*AL22:AM22)/($B$9:$C$9*AL22:AM22))</f>
        <v>1.5854253074004105</v>
      </c>
      <c r="AM66" s="191"/>
      <c r="AN66" s="191">
        <f t="array" ref="AN66">SQRT((AN9:AO9*$B$22:$C$22)/($B$9:$C$9*$B$22:$C$22)*(AN9:AO9*AN22:AO22)/($B$9:$C$9*AN22:AO22))</f>
        <v>2.0493417453058544</v>
      </c>
      <c r="AO66" s="191"/>
      <c r="AP66" s="191">
        <f t="array" ref="AP66">SQRT((AP9:AQ9*$B$22:$C$22)/($B$9:$C$9*$B$22:$C$22)*(AP9:AQ9*AP22:AQ22)/($B$9:$C$9*AP22:AQ22))</f>
        <v>2.2275046861566867</v>
      </c>
      <c r="AQ66" s="191"/>
      <c r="AR66" s="191">
        <f t="array" ref="AR66">SQRT((AR9:AS9*$B$22:$C$22)/($B$9:$C$9*$B$22:$C$22)*(AR9:AS9*AR22:AS22)/($B$9:$C$9*AR22:AS22))</f>
        <v>2.4813917394536378</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1.0002170363739702</v>
      </c>
      <c r="E68" s="191"/>
      <c r="F68" s="191">
        <f>F66/F67</f>
        <v>1.0007406055932535</v>
      </c>
      <c r="G68" s="191"/>
      <c r="H68" s="191">
        <f>H66/H67</f>
        <v>1.0016417824903285</v>
      </c>
      <c r="I68" s="191"/>
      <c r="J68" s="191">
        <f>J66/J67</f>
        <v>1.003013236317823</v>
      </c>
      <c r="K68" s="191"/>
      <c r="L68" s="191">
        <f>L66/L67</f>
        <v>1.0049785340042725</v>
      </c>
      <c r="M68" s="191"/>
      <c r="N68" s="191">
        <f>N66/N67</f>
        <v>1.0077041554324786</v>
      </c>
      <c r="O68" s="191"/>
      <c r="P68" s="191">
        <f>P66/P67</f>
        <v>1.0114171235193636</v>
      </c>
      <c r="Q68" s="191"/>
      <c r="R68" s="191">
        <f>R66/R67</f>
        <v>1.0164318685935811</v>
      </c>
      <c r="S68" s="191"/>
      <c r="T68" s="191">
        <f>T66/T67</f>
        <v>1.023190512385685</v>
      </c>
      <c r="U68" s="191"/>
      <c r="V68" s="191">
        <f>V66/V67</f>
        <v>1.0323232212653868</v>
      </c>
      <c r="W68" s="191"/>
      <c r="X68" s="191">
        <f>X66/X67</f>
        <v>1.0447412784833563</v>
      </c>
      <c r="Y68" s="191"/>
      <c r="Z68" s="191">
        <f>Z66/Z67</f>
        <v>1.0617841177300147</v>
      </c>
      <c r="AA68" s="191"/>
      <c r="AB68" s="191">
        <f>AB66/AB67</f>
        <v>1.0854712466387535</v>
      </c>
      <c r="AC68" s="191"/>
      <c r="AD68" s="191">
        <f>AD66/AD67</f>
        <v>1.1190084315122988</v>
      </c>
      <c r="AE68" s="191"/>
      <c r="AF68" s="191">
        <f>AF66/AF67</f>
        <v>1.1680069050081263</v>
      </c>
      <c r="AG68" s="191"/>
      <c r="AH68" s="191">
        <f>AH66/AH67</f>
        <v>1.2435504221499329</v>
      </c>
      <c r="AI68" s="191"/>
      <c r="AJ68" s="191">
        <f>AJ66/AJ67</f>
        <v>1.3680953166893701</v>
      </c>
      <c r="AK68" s="191"/>
      <c r="AL68" s="191">
        <f>AL66/AL67</f>
        <v>1.5854253074004105</v>
      </c>
      <c r="AM68" s="191"/>
      <c r="AN68" s="191">
        <f>AN66/AN67</f>
        <v>2.0493417453058544</v>
      </c>
      <c r="AO68" s="191"/>
      <c r="AP68" s="191">
        <f>AP66/AP67</f>
        <v>2.2275046861566867</v>
      </c>
      <c r="AQ68" s="191"/>
      <c r="AR68" s="191">
        <f>AR66/AR67</f>
        <v>2.4813917394536378</v>
      </c>
      <c r="AS68" s="191"/>
      <c r="AT68" s="191" t="e">
        <f>AT66/AT67</f>
        <v>#DIV/0!</v>
      </c>
      <c r="AU68" s="191"/>
      <c r="AV68" s="191" t="e">
        <f>AV66/AV67</f>
        <v>#DIV/0!</v>
      </c>
      <c r="XFD68" s="191"/>
    </row>
    <row r="69" spans="1:48 16384:16384" x14ac:dyDescent="0.2">
      <c r="A69" t="s">
        <v>177</v>
      </c>
      <c r="B69" s="191">
        <f>B32/B65/($B$32)</f>
        <v>1</v>
      </c>
      <c r="C69" s="191"/>
      <c r="D69" s="191">
        <f>D32/D65/($B$32)</f>
        <v>0.98896363403441945</v>
      </c>
      <c r="E69" s="191"/>
      <c r="F69" s="191">
        <f>F32/F65/($B$32)</f>
        <v>0.97646240443539412</v>
      </c>
      <c r="G69" s="191"/>
      <c r="H69" s="191">
        <f>H32/H65/($B$32)</f>
        <v>0.96225587046479444</v>
      </c>
      <c r="I69" s="191"/>
      <c r="J69" s="191">
        <f>J32/J65/($B$32)</f>
        <v>0.9460624494825397</v>
      </c>
      <c r="K69" s="191"/>
      <c r="L69" s="191">
        <f>L32/L65/($B$32)</f>
        <v>0.92755099374154693</v>
      </c>
      <c r="M69" s="191"/>
      <c r="N69" s="191">
        <f>N32/N65/($B$32)</f>
        <v>0.90633842088268246</v>
      </c>
      <c r="O69" s="191"/>
      <c r="P69" s="191">
        <f>P32/P65/($B$32)</f>
        <v>0.8819921509744747</v>
      </c>
      <c r="Q69" s="191"/>
      <c r="R69" s="191">
        <f>R32/R65/($B$32)</f>
        <v>0.85404111971651053</v>
      </c>
      <c r="S69" s="191"/>
      <c r="T69" s="191">
        <f>T32/T65/($B$32)</f>
        <v>0.82200540177476222</v>
      </c>
      <c r="U69" s="191"/>
      <c r="V69" s="191">
        <f>V32/V65/($B$32)</f>
        <v>0.78545869200851626</v>
      </c>
      <c r="W69" s="191"/>
      <c r="X69" s="191">
        <f>X32/X65/($B$32)</f>
        <v>0.74413466093234726</v>
      </c>
      <c r="Y69" s="191"/>
      <c r="Z69" s="191">
        <f>Z32/Z65/($B$32)</f>
        <v>0.69808571527918251</v>
      </c>
      <c r="AA69" s="191"/>
      <c r="AB69" s="191">
        <f>AB32/AB65/($B$32)</f>
        <v>0.6478642611380544</v>
      </c>
      <c r="AC69" s="191"/>
      <c r="AD69" s="191">
        <f>AD32/AD65/($B$32)</f>
        <v>0.59462867631681326</v>
      </c>
      <c r="AE69" s="191"/>
      <c r="AF69" s="191">
        <f>AF32/AF65/($B$32)</f>
        <v>0.54002619755590608</v>
      </c>
      <c r="AG69" s="191"/>
      <c r="AH69" s="191">
        <f>AH32/AH65/($B$32)</f>
        <v>0.48584035611962079</v>
      </c>
      <c r="AI69" s="191"/>
      <c r="AJ69" s="191">
        <f>AJ32/AJ65/($B$32)</f>
        <v>0.43336466850998784</v>
      </c>
      <c r="AK69" s="191"/>
      <c r="AL69" s="191">
        <f>AL32/AL65/($B$32)</f>
        <v>0.37932287850034357</v>
      </c>
      <c r="AM69" s="191"/>
      <c r="AN69" s="191">
        <f>AN32/AN65/($B$32)</f>
        <v>0.29585433611279593</v>
      </c>
      <c r="AO69" s="191"/>
      <c r="AP69" s="191">
        <f>AP32/AP65/($B$32)</f>
        <v>0.26484878714009613</v>
      </c>
      <c r="AQ69" s="191"/>
      <c r="AR69" s="191">
        <f>AR32/AR65/($B$32)</f>
        <v>0.21817927318356931</v>
      </c>
      <c r="AS69" s="191"/>
      <c r="AT69" s="191" t="e">
        <f>AT32/AT65/($B$32)</f>
        <v>#DIV/0!</v>
      </c>
      <c r="AU69" s="191"/>
      <c r="AV69" s="191" t="e">
        <f>AV32/AV65/($B$32)</f>
        <v>#DIV/0!</v>
      </c>
    </row>
    <row r="70" spans="1:48 16384:16384" x14ac:dyDescent="0.2">
      <c r="A70" t="s">
        <v>178</v>
      </c>
      <c r="B70" s="138">
        <f>B18/$B$18</f>
        <v>1</v>
      </c>
      <c r="C70" s="138"/>
      <c r="D70" s="138">
        <f>D18/$B$18</f>
        <v>0.98852916337783325</v>
      </c>
      <c r="E70" s="138"/>
      <c r="F70" s="138">
        <f>F18/$B$18</f>
        <v>0.97560856099607229</v>
      </c>
      <c r="G70" s="138"/>
      <c r="H70" s="138">
        <f>H18/$B$18</f>
        <v>0.96100148453633616</v>
      </c>
      <c r="I70" s="138"/>
      <c r="J70" s="138">
        <f>J18/$B$18</f>
        <v>0.94443048979657163</v>
      </c>
      <c r="K70" s="138"/>
      <c r="L70" s="138">
        <f>L18/$B$18</f>
        <v>0.9255692966717548</v>
      </c>
      <c r="M70" s="138"/>
      <c r="N70" s="138">
        <f>N18/$B$18</f>
        <v>0.90404035619298972</v>
      </c>
      <c r="O70" s="138"/>
      <c r="P70" s="138">
        <f>P18/$B$18</f>
        <v>0.87941701999997901</v>
      </c>
      <c r="Q70" s="138"/>
      <c r="R70" s="138">
        <f>R18/$B$18</f>
        <v>0.85123423718175484</v>
      </c>
      <c r="S70" s="138"/>
      <c r="T70" s="138">
        <f>T18/$B$18</f>
        <v>0.81901738384451384</v>
      </c>
      <c r="U70" s="138"/>
      <c r="V70" s="138">
        <f>V18/$B$18</f>
        <v>0.782342401602377</v>
      </c>
      <c r="W70" s="138"/>
      <c r="X70" s="138">
        <f>X18/$B$18</f>
        <v>0.74093761537771263</v>
      </c>
      <c r="Y70" s="138"/>
      <c r="Z70" s="138">
        <f>Z18/$B$18</f>
        <v>0.6948328994307722</v>
      </c>
      <c r="AA70" s="138"/>
      <c r="AB70" s="138">
        <f>AB18/$B$18</f>
        <v>0.64452209100176439</v>
      </c>
      <c r="AC70" s="138"/>
      <c r="AD70" s="138">
        <f>AD18/$B$18</f>
        <v>0.59103363946064646</v>
      </c>
      <c r="AE70" s="138"/>
      <c r="AF70" s="138">
        <f>AF18/$B$18</f>
        <v>0.53575296773012593</v>
      </c>
      <c r="AG70" s="138"/>
      <c r="AH70" s="138">
        <f>AH18/$B$18</f>
        <v>0.48001392281617378</v>
      </c>
      <c r="AI70" s="138"/>
      <c r="AJ70" s="138">
        <f>AJ18/$B$18</f>
        <v>0.42481641365798684</v>
      </c>
      <c r="AK70" s="138"/>
      <c r="AL70" s="138">
        <f>AL18/$B$18</f>
        <v>0.36881148083243842</v>
      </c>
      <c r="AM70" s="138"/>
      <c r="AN70" s="138">
        <f>AN18/$B$18</f>
        <v>0.29666120671174367</v>
      </c>
      <c r="AO70" s="138"/>
      <c r="AP70" s="138">
        <f>AP18/$B$18</f>
        <v>0.27553282368085724</v>
      </c>
      <c r="AQ70" s="138"/>
      <c r="AR70" s="138">
        <f>AR18/$B$18</f>
        <v>0.24902476892099615</v>
      </c>
      <c r="AS70" s="138"/>
      <c r="AT70" s="138">
        <f>AT18/$B$18</f>
        <v>0</v>
      </c>
      <c r="AU70" s="138"/>
      <c r="AV70" s="138">
        <f>AV18/$B$18</f>
        <v>0</v>
      </c>
    </row>
    <row r="71" spans="1:48 16384:16384" x14ac:dyDescent="0.2">
      <c r="A71" t="s">
        <v>179</v>
      </c>
      <c r="B71" s="138">
        <f>C18/$C$18</f>
        <v>1</v>
      </c>
      <c r="D71" s="138">
        <f>E18/$C$18</f>
        <v>0.9302814107175309</v>
      </c>
      <c r="E71" s="138"/>
      <c r="F71" s="138">
        <f>G18/$C$18</f>
        <v>0.86099409666098281</v>
      </c>
      <c r="G71" s="138"/>
      <c r="H71" s="138">
        <f>I18/$C$18</f>
        <v>0.79221560835683325</v>
      </c>
      <c r="I71" s="138"/>
      <c r="J71" s="138">
        <f>K18/$C$18</f>
        <v>0.72403800850996802</v>
      </c>
      <c r="K71" s="138"/>
      <c r="L71" s="138">
        <f>M18/$C$18</f>
        <v>0.65657411047560577</v>
      </c>
      <c r="M71" s="138"/>
      <c r="N71" s="138">
        <f>O18/$C$18</f>
        <v>0.58995842629637363</v>
      </c>
      <c r="O71" s="138"/>
      <c r="P71" s="138">
        <f>Q18/$C$18</f>
        <v>0.52434464100910216</v>
      </c>
      <c r="Q71" s="138"/>
      <c r="R71" s="138">
        <f>S18/$C$18</f>
        <v>0.45990247569992748</v>
      </c>
      <c r="S71" s="138"/>
      <c r="T71" s="138">
        <f>U18/$C$18</f>
        <v>0.39681246231943673</v>
      </c>
      <c r="U71" s="138"/>
      <c r="V71" s="138">
        <f>W18/$C$18</f>
        <v>0.33524917923633862</v>
      </c>
      <c r="W71" s="138"/>
      <c r="X71" s="138">
        <f>Y18/$C$18</f>
        <v>0.27537655295697422</v>
      </c>
      <c r="Y71" s="138"/>
      <c r="Z71" s="138">
        <f>AA18/$C$18</f>
        <v>0.21737181825876062</v>
      </c>
      <c r="AA71" s="138"/>
      <c r="AB71" s="138">
        <f>AC18/$C$18</f>
        <v>0.16156110352568934</v>
      </c>
      <c r="AC71" s="138"/>
      <c r="AD71" s="138">
        <f>AE18/$C$18</f>
        <v>0.1088225511111596</v>
      </c>
      <c r="AE71" s="138"/>
      <c r="AF71" s="138">
        <f>AG18/$C$18</f>
        <v>6.150041053801826E-2</v>
      </c>
      <c r="AG71" s="138"/>
      <c r="AH71" s="138">
        <f>AI18/$C$18</f>
        <v>2.4728272745139092E-2</v>
      </c>
      <c r="AI71" s="138"/>
      <c r="AJ71" s="138">
        <f>AK18/$C$18</f>
        <v>5.0612816396136849E-3</v>
      </c>
      <c r="AK71" s="138"/>
      <c r="AL71" s="138">
        <f>AM18/$C$18</f>
        <v>3.0293925413200912E-4</v>
      </c>
      <c r="AM71" s="138"/>
      <c r="AN71" s="138">
        <f>AO18/$C$18</f>
        <v>1.2584356080170005E-6</v>
      </c>
      <c r="AO71" s="138"/>
      <c r="AP71" s="138">
        <f>AQ18/$C$18</f>
        <v>1.9385993427630754E-7</v>
      </c>
      <c r="AQ71" s="138"/>
      <c r="AR71" s="138">
        <f>AS18/$C$18</f>
        <v>1.6435699491628427E-8</v>
      </c>
      <c r="AS71" s="138"/>
      <c r="AT71" s="138">
        <f>AU18/$C$18</f>
        <v>0</v>
      </c>
      <c r="AU71" s="138"/>
      <c r="AV71" s="138">
        <f>AW18/$C$18</f>
        <v>0</v>
      </c>
      <c r="XFD71" s="138"/>
    </row>
    <row r="72" spans="1:48 16384:16384" x14ac:dyDescent="0.2">
      <c r="A72" t="s">
        <v>180</v>
      </c>
      <c r="B72" s="138">
        <f>C19/$C$19</f>
        <v>1</v>
      </c>
      <c r="D72" s="138">
        <f>E19/$C$19</f>
        <v>1.023037952669243</v>
      </c>
      <c r="E72" s="138"/>
      <c r="F72" s="138">
        <f>G19/$C$19</f>
        <v>1.0470150525192263</v>
      </c>
      <c r="G72" s="138"/>
      <c r="H72" s="138">
        <f>I19/$C$19</f>
        <v>1.0717301379110122</v>
      </c>
      <c r="I72" s="138"/>
      <c r="J72" s="138">
        <f>K19/$C$19</f>
        <v>1.0969015847335435</v>
      </c>
      <c r="K72" s="138"/>
      <c r="L72" s="138">
        <f>M19/$C$19</f>
        <v>1.122150777010019</v>
      </c>
      <c r="M72" s="138"/>
      <c r="N72" s="138">
        <f>O19/$C$19</f>
        <v>1.1469921095342825</v>
      </c>
      <c r="O72" s="138"/>
      <c r="P72" s="138">
        <f>Q19/$C$19</f>
        <v>1.1708309861679533</v>
      </c>
      <c r="Q72" s="138"/>
      <c r="R72" s="138">
        <f>S19/$C$19</f>
        <v>1.1929814006622419</v>
      </c>
      <c r="S72" s="138"/>
      <c r="T72" s="138">
        <f>U19/$C$19</f>
        <v>1.2127175829427734</v>
      </c>
      <c r="U72" s="138"/>
      <c r="V72" s="138">
        <f>W19/$C$19</f>
        <v>1.2293601451828968</v>
      </c>
      <c r="W72" s="138"/>
      <c r="X72" s="138">
        <f>Y19/$C$19</f>
        <v>1.2423780134720497</v>
      </c>
      <c r="Y72" s="138"/>
      <c r="Z72" s="138">
        <f>AA19/$C$19</f>
        <v>1.2513692080879006</v>
      </c>
      <c r="AA72" s="138"/>
      <c r="AB72" s="138">
        <f>AC19/$C$19</f>
        <v>1.2555033488319705</v>
      </c>
      <c r="AC72" s="138"/>
      <c r="AD72" s="138">
        <f>AE19/$C$19</f>
        <v>1.2513768195164114</v>
      </c>
      <c r="AE72" s="138"/>
      <c r="AF72" s="138">
        <f>AG19/$C$19</f>
        <v>1.2271932424352425</v>
      </c>
      <c r="AG72" s="138"/>
      <c r="AH72" s="138">
        <f>AI19/$C$19</f>
        <v>1.1513068819791441</v>
      </c>
      <c r="AI72" s="138"/>
      <c r="AJ72" s="138">
        <f>AK19/$C$19</f>
        <v>0.97055504282811289</v>
      </c>
      <c r="AK72" s="138"/>
      <c r="AL72" s="138">
        <f>AM19/$C$19</f>
        <v>0.67711490859332935</v>
      </c>
      <c r="AM72" s="138"/>
      <c r="AN72" s="138">
        <f>AO19/$C$19</f>
        <v>0.34061357276284804</v>
      </c>
      <c r="AO72" s="138"/>
      <c r="AP72" s="138">
        <f>AQ19/$C$19</f>
        <v>0.27251015299698916</v>
      </c>
      <c r="AQ72" s="138"/>
      <c r="AR72" s="138">
        <f>AS19/$C$19</f>
        <v>0.20438643383326505</v>
      </c>
      <c r="AS72" s="138"/>
      <c r="AT72" s="138">
        <f>AU19/$C$19</f>
        <v>0</v>
      </c>
      <c r="AU72" s="138"/>
      <c r="AV72" s="138">
        <f>AW19/$C$19</f>
        <v>0</v>
      </c>
      <c r="XFD72" s="138"/>
    </row>
    <row r="73" spans="1:48 16384:16384" x14ac:dyDescent="0.2">
      <c r="A73" t="s">
        <v>184</v>
      </c>
      <c r="B73" s="193">
        <f t="array" ref="B73">SUM(B9:C9*B22:C22)/B32</f>
        <v>0.47641153352875115</v>
      </c>
      <c r="D73" s="193">
        <f t="array" ref="D73">SUM(D9:E9*D22:E22)/D32</f>
        <v>0.47547780473986301</v>
      </c>
      <c r="E73" s="138"/>
      <c r="F73" s="193">
        <f t="array" ref="F73">SUM(F9:G9*F22:G22)/F32</f>
        <v>0.47455060912759817</v>
      </c>
      <c r="G73" s="138"/>
      <c r="H73" s="193">
        <f t="array" ref="H73">SUM(H9:I9*H22:I22)/H32</f>
        <v>0.47363115751843998</v>
      </c>
      <c r="I73" s="138"/>
      <c r="J73" s="193">
        <f t="array" ref="J73">SUM(J9:K9*J22:K22)/J32</f>
        <v>0.47272059080785128</v>
      </c>
      <c r="K73" s="138"/>
      <c r="L73" s="193">
        <f t="array" ref="L73">SUM(L9:M9*L22:M22)/L32</f>
        <v>0.47182019981405299</v>
      </c>
      <c r="M73" s="138"/>
      <c r="N73" s="193">
        <f t="array" ref="N73">SUM(N9:O9*N22:O22)/N32</f>
        <v>0.47093123225478245</v>
      </c>
      <c r="O73" s="138"/>
      <c r="P73" s="193">
        <f t="array" ref="P73">SUM(P9:Q9*P22:Q22)/P32</f>
        <v>0.47005439710814306</v>
      </c>
      <c r="Q73" s="138"/>
      <c r="R73" s="193">
        <f t="array" ref="R73">SUM(R9:S9*R22:S22)/R32</f>
        <v>0.46918928357742085</v>
      </c>
      <c r="S73" s="138"/>
      <c r="T73" s="193">
        <f t="array" ref="T73">SUM(T9:U9*T22:U22)/T32</f>
        <v>0.46833320681865914</v>
      </c>
      <c r="U73" s="138"/>
      <c r="V73" s="193">
        <f t="array" ref="V73">SUM(V9:W9*V22:W22)/V32</f>
        <v>0.46747867140468125</v>
      </c>
      <c r="W73" s="138"/>
      <c r="X73" s="193">
        <f t="array" ref="X73">SUM(X9:Y9*X22:Y22)/X32</f>
        <v>0.46660848498595614</v>
      </c>
      <c r="Y73" s="138"/>
      <c r="Z73" s="193">
        <f t="array" ref="Z73">SUM(Z9:AA9*Z22:AA22)/Z32</f>
        <v>0.46568670787968591</v>
      </c>
      <c r="AA73" s="138"/>
      <c r="AB73" s="193">
        <f t="array" ref="AB73">SUM(AB9:AC9*AB22:AC22)/AB32</f>
        <v>0.46464145294098869</v>
      </c>
      <c r="AC73" s="138"/>
      <c r="AD73" s="193">
        <f t="array" ref="AD73">SUM(AD9:AE9*AD22:AE22)/AD32</f>
        <v>0.46333236903320724</v>
      </c>
      <c r="AE73" s="138"/>
      <c r="AF73" s="193">
        <f t="array" ref="AF73">SUM(AF9:AG9*AF22:AG22)/AF32</f>
        <v>0.46148795224443268</v>
      </c>
      <c r="AG73" s="138"/>
      <c r="AH73" s="193">
        <f t="array" ref="AH73">SUM(AH9:AI9*AH22:AI22)/AH32</f>
        <v>0.45859066686831479</v>
      </c>
      <c r="AI73" s="138"/>
      <c r="AJ73" s="193">
        <f t="array" ref="AJ73">SUM(AJ9:AK9*AJ22:AK22)/AJ32</f>
        <v>0.45384703992061481</v>
      </c>
      <c r="AK73" s="138"/>
      <c r="AL73" s="193">
        <f t="array" ref="AL73">SUM(AL9:AM9*AL22:AM22)/AL32</f>
        <v>0.44677261087571951</v>
      </c>
      <c r="AM73" s="138"/>
      <c r="AN73" s="193">
        <f t="array" ref="AN73">SUM(AN9:AO9*AN22:AO22)/AN32</f>
        <v>0.43653675467647862</v>
      </c>
      <c r="AO73" s="138"/>
      <c r="AP73" s="193">
        <f t="array" ref="AP73">SUM(AP9:AQ9*AP22:AQ22)/AP32</f>
        <v>0.43356822140491469</v>
      </c>
      <c r="AQ73" s="138"/>
      <c r="AR73" s="193">
        <f t="array" ref="AR73">SUM(AR9:AS9*AR22:AS22)/AR32</f>
        <v>0.42979843129396367</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0.22604620456442487</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0.22604620456442487</v>
      </c>
      <c r="O74" s="138"/>
      <c r="P74" s="193">
        <f t="array" ref="P74">SUM(P10:Q10*P23:Q23)/P32</f>
        <v>0.22604620456442481</v>
      </c>
      <c r="Q74" s="138"/>
      <c r="R74" s="193">
        <f t="array" ref="R74">SUM(R10:S10*R23:S23)/R32</f>
        <v>0.22604620456442484</v>
      </c>
      <c r="S74" s="138"/>
      <c r="T74" s="193">
        <f t="array" ref="T74">SUM(T10:U10*T23:U23)/T32</f>
        <v>0.22604620456442481</v>
      </c>
      <c r="U74" s="138"/>
      <c r="V74" s="193">
        <f t="array" ref="V74">SUM(V10:W10*V23:W23)/V32</f>
        <v>0.22604620456442484</v>
      </c>
      <c r="W74" s="138"/>
      <c r="X74" s="193">
        <f t="array" ref="X74">SUM(X10:Y10*X23:Y23)/X32</f>
        <v>0.22604620456442479</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0.22604620456442487</v>
      </c>
      <c r="AK74" s="138"/>
      <c r="AL74" s="193">
        <f t="array" ref="AL74">SUM(AL10:AM10*AL23:AM23)/AL32</f>
        <v>0.22604620456442484</v>
      </c>
      <c r="AM74" s="138"/>
      <c r="AN74" s="193">
        <f t="array" ref="AN74">SUM(AN10:AO10*AN23:AO23)/AN32</f>
        <v>0.22604620456442481</v>
      </c>
      <c r="AO74" s="138"/>
      <c r="AP74" s="193">
        <f t="array" ref="AP74">SUM(AP10:AQ10*AP23:AQ23)/AP32</f>
        <v>0.22604620456442484</v>
      </c>
      <c r="AQ74" s="138"/>
      <c r="AR74" s="193">
        <f t="array" ref="AR74">SUM(AR10:AS10*AR23:AS23)/AR32</f>
        <v>0.22604620456442481</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0.22284812140251067</v>
      </c>
      <c r="E75" s="138"/>
      <c r="F75" s="193">
        <f t="array" ref="F75">SUM(F11:G11*F24:G24)/F32</f>
        <v>0.2257117032283619</v>
      </c>
      <c r="G75" s="138"/>
      <c r="H75" s="193">
        <f t="array" ref="H75">SUM(H11:I11*H24:I24)/H32</f>
        <v>0.22906227821576514</v>
      </c>
      <c r="I75" s="138"/>
      <c r="J75" s="193">
        <f t="array" ref="J75">SUM(J11:K11*J24:K24)/J32</f>
        <v>0.23301074661329163</v>
      </c>
      <c r="K75" s="138"/>
      <c r="L75" s="193">
        <f t="array" ref="L75">SUM(L11:M11*L24:M24)/L32</f>
        <v>0.23770043298585905</v>
      </c>
      <c r="M75" s="138"/>
      <c r="N75" s="193">
        <f t="array" ref="N75">SUM(N11:O11*N24:O24)/N32</f>
        <v>0.24331761383666878</v>
      </c>
      <c r="O75" s="138"/>
      <c r="P75" s="193">
        <f t="array" ref="P75">SUM(P11:Q11*P24:Q24)/P32</f>
        <v>0.25010564799676444</v>
      </c>
      <c r="Q75" s="138"/>
      <c r="R75" s="193">
        <f t="array" ref="R75">SUM(R11:S11*R24:S24)/R32</f>
        <v>0.25838384264618725</v>
      </c>
      <c r="S75" s="138"/>
      <c r="T75" s="193">
        <f t="array" ref="T75">SUM(T11:U11*T24:U24)/T32</f>
        <v>0.26857074741935549</v>
      </c>
      <c r="U75" s="138"/>
      <c r="V75" s="193">
        <f t="array" ref="V75">SUM(V11:W11*V24:W24)/V32</f>
        <v>0.28120915415240816</v>
      </c>
      <c r="W75" s="138"/>
      <c r="X75" s="193">
        <f t="array" ref="X75">SUM(X11:Y11*X24:Y24)/X32</f>
        <v>0.29698655163286519</v>
      </c>
      <c r="Y75" s="138"/>
      <c r="Z75" s="193">
        <f t="array" ref="Z75">SUM(Z11:AA11*Z24:AA24)/Z32</f>
        <v>0.31673370274044649</v>
      </c>
      <c r="AA75" s="138"/>
      <c r="AB75" s="193">
        <f t="array" ref="AB75">SUM(AB11:AC11*AB24:AC24)/AB32</f>
        <v>0.34137427444189733</v>
      </c>
      <c r="AC75" s="138"/>
      <c r="AD75" s="193">
        <f t="array" ref="AD75">SUM(AD11:AE11*AD24:AE24)/AD32</f>
        <v>0.37179817872618415</v>
      </c>
      <c r="AE75" s="138"/>
      <c r="AF75" s="193">
        <f t="array" ref="AF75">SUM(AF11:AG11*AF24:AG24)/AF32</f>
        <v>0.40864794529328996</v>
      </c>
      <c r="AG75" s="138"/>
      <c r="AH75" s="193">
        <f t="array" ref="AH75">SUM(AH11:AI11*AH24:AI24)/AH32</f>
        <v>0.45192163412483577</v>
      </c>
      <c r="AI75" s="138"/>
      <c r="AJ75" s="193">
        <f t="array" ref="AJ75">SUM(AJ11:AK11*AJ24:AK24)/AJ32</f>
        <v>0.5002014471523426</v>
      </c>
      <c r="AK75" s="138"/>
      <c r="AL75" s="193">
        <f t="array" ref="AL75">SUM(AL11:AM11*AL24:AM24)/AL32</f>
        <v>0.55324843682929858</v>
      </c>
      <c r="AM75" s="138"/>
      <c r="AN75" s="193">
        <f t="array" ref="AN75">SUM(AN11:AO11*AN24:AO24)/AN32</f>
        <v>0.63242822482529659</v>
      </c>
      <c r="AO75" s="138"/>
      <c r="AP75" s="193">
        <f t="array" ref="AP75">SUM(AP11:AQ11*AP24:AQ24)/AP32</f>
        <v>0.66016303787981556</v>
      </c>
      <c r="AQ75" s="138"/>
      <c r="AR75" s="193">
        <f t="array" ref="AR75">SUM(AR11:AS11*AR24:AS24)/AR32</f>
        <v>0.69936346418444784</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0.22301874374724862</v>
      </c>
      <c r="D76" s="193">
        <f t="array" ref="D76">SUM(D12:E12*D25:E25)/D32</f>
        <v>0.22209157760644557</v>
      </c>
      <c r="E76" s="138"/>
      <c r="F76" s="193">
        <f t="array" ref="F76">SUM(F12:G12*F25:G25)/F32</f>
        <v>0.22088060697911399</v>
      </c>
      <c r="G76" s="138"/>
      <c r="H76" s="193">
        <f t="array" ref="H76">SUM(H12:I12*H25:I25)/H32</f>
        <v>0.21931791855223123</v>
      </c>
      <c r="I76" s="138"/>
      <c r="J76" s="193">
        <f t="array" ref="J76">SUM(J12:K12*J25:K25)/J32</f>
        <v>0.21731696754000429</v>
      </c>
      <c r="K76" s="138"/>
      <c r="L76" s="193">
        <f t="array" ref="L76">SUM(L12:M12*L25:M25)/L32</f>
        <v>0.21476578688598286</v>
      </c>
      <c r="M76" s="138"/>
      <c r="N76" s="193">
        <f t="array" ref="N76">SUM(N12:O12*N25:O25)/N32</f>
        <v>0.2115193042714256</v>
      </c>
      <c r="O76" s="138"/>
      <c r="P76" s="193">
        <f t="array" ref="P76">SUM(P12:Q12*P25:Q25)/P32</f>
        <v>0.20738950566628794</v>
      </c>
      <c r="Q76" s="138"/>
      <c r="R76" s="193">
        <f t="array" ref="R76">SUM(R12:S12*R25:S25)/R32</f>
        <v>0.20213283621827041</v>
      </c>
      <c r="S76" s="138"/>
      <c r="T76" s="193">
        <f t="array" ref="T76">SUM(T12:U12*T25:U25)/T32</f>
        <v>0.19543615408718326</v>
      </c>
      <c r="U76" s="138"/>
      <c r="V76" s="193">
        <f t="array" ref="V76">SUM(V12:W12*V25:W25)/V32</f>
        <v>0.18690477255844984</v>
      </c>
      <c r="W76" s="138"/>
      <c r="X76" s="193">
        <f t="array" ref="X76">SUM(X12:Y12*X25:Y25)/X32</f>
        <v>0.17605952306267211</v>
      </c>
      <c r="Y76" s="138"/>
      <c r="Z76" s="193">
        <f t="array" ref="Z76">SUM(Z12:AA12*Z25:AA25)/Z32</f>
        <v>0.16235759130343361</v>
      </c>
      <c r="AA76" s="138"/>
      <c r="AB76" s="193">
        <f t="array" ref="AB76">SUM(AB12:AC12*AB25:AC25)/AB32</f>
        <v>0.14525688303299281</v>
      </c>
      <c r="AC76" s="138"/>
      <c r="AD76" s="193">
        <f t="array" ref="AD76">SUM(AD12:AE12*AD25:AE25)/AD32</f>
        <v>0.12433530429495689</v>
      </c>
      <c r="AE76" s="138"/>
      <c r="AF76" s="193">
        <f t="array" ref="AF76">SUM(AF12:AG12*AF25:AG25)/AF32</f>
        <v>9.9461762886030189E-2</v>
      </c>
      <c r="AG76" s="138"/>
      <c r="AH76" s="193">
        <f t="array" ref="AH76">SUM(AH12:AI12*AH25:AI25)/AH32</f>
        <v>7.1179299097370446E-2</v>
      </c>
      <c r="AI76" s="138"/>
      <c r="AJ76" s="193">
        <f t="array" ref="AJ76">SUM(AJ12:AK12*AJ25:AK25)/AJ32</f>
        <v>4.2114672036857197E-2</v>
      </c>
      <c r="AK76" s="138"/>
      <c r="AL76" s="193">
        <f t="array" ref="AL76">SUM(AL12:AM12*AL25:AM25)/AL32</f>
        <v>1.8245041793803037E-2</v>
      </c>
      <c r="AM76" s="138"/>
      <c r="AN76" s="193">
        <f t="array" ref="AN76">SUM(AN12:AO12*AN25:AO25)/AN32</f>
        <v>4.020886201126085E-3</v>
      </c>
      <c r="AO76" s="138"/>
      <c r="AP76" s="193">
        <f t="array" ref="AP76">SUM(AP12:AQ12*AP25:AQ25)/AP32</f>
        <v>2.4223585964816456E-3</v>
      </c>
      <c r="AQ76" s="138"/>
      <c r="AR76" s="193">
        <f t="array" ref="AR76">SUM(AR12:AS12*AR25:AS25)/AR32</f>
        <v>1.2404478084609993E-3</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0.14586087017236521</v>
      </c>
      <c r="D77" s="193">
        <f t="array" ref="D77">SUM(D4:E4*D19:E19)/D32</f>
        <v>0.1464637083132441</v>
      </c>
      <c r="E77" s="138"/>
      <c r="F77" s="193">
        <f t="array" ref="F77">SUM(F4:G4*F19:G19)/F32</f>
        <v>0.14718912389949868</v>
      </c>
      <c r="G77" s="138"/>
      <c r="H77" s="193">
        <f t="array" ref="H77">SUM(H4:I4*H19:I19)/H32</f>
        <v>0.14805755885086122</v>
      </c>
      <c r="I77" s="138"/>
      <c r="J77" s="193">
        <f t="array" ref="J77">SUM(J4:K4*J19:K19)/J32</f>
        <v>0.14909450952557202</v>
      </c>
      <c r="K77" s="138"/>
      <c r="L77" s="193">
        <f t="array" ref="L77">SUM(L4:M4*L19:M19)/L32</f>
        <v>0.15033262425031974</v>
      </c>
      <c r="M77" s="138"/>
      <c r="N77" s="193">
        <f t="array" ref="N77">SUM(N4:O4*N19:O19)/N32</f>
        <v>0.15181435492730155</v>
      </c>
      <c r="O77" s="138"/>
      <c r="P77" s="193">
        <f t="array" ref="P77">SUM(P4:Q4*P19:Q19)/P32</f>
        <v>0.15359575533562042</v>
      </c>
      <c r="Q77" s="138"/>
      <c r="R77" s="193">
        <f t="array" ref="R77">SUM(R4:S4*R19:S19)/R32</f>
        <v>0.15575216700630334</v>
      </c>
      <c r="S77" s="138"/>
      <c r="T77" s="193">
        <f t="array" ref="T77">SUM(T4:U4*T19:U19)/T32</f>
        <v>0.15838631288962285</v>
      </c>
      <c r="U77" s="138"/>
      <c r="V77" s="193">
        <f t="array" ref="V77">SUM(V4:W4*V19:W19)/V32</f>
        <v>0.16163880267996408</v>
      </c>
      <c r="W77" s="138"/>
      <c r="X77" s="193">
        <f t="array" ref="X77">SUM(X4:Y4*X19:Y19)/X32</f>
        <v>0.16570076424591818</v>
      </c>
      <c r="Y77" s="138"/>
      <c r="Z77" s="193">
        <f t="array" ref="Z77">SUM(Z4:AA4*Z19:AA19)/Z32</f>
        <v>0.17082420648799071</v>
      </c>
      <c r="AA77" s="138"/>
      <c r="AB77" s="193">
        <f t="array" ref="AB77">SUM(AB4:AC4*AB19:AC19)/AB32</f>
        <v>0.17731881498030355</v>
      </c>
      <c r="AC77" s="138"/>
      <c r="AD77" s="193">
        <f t="array" ref="AD77">SUM(AD4:AE4*AD19:AE19)/AD32</f>
        <v>0.18551205661877312</v>
      </c>
      <c r="AE77" s="138"/>
      <c r="AF77" s="193">
        <f t="array" ref="AF77">SUM(AF4:AG4*AF19:AG19)/AF32</f>
        <v>0.1956438649881776</v>
      </c>
      <c r="AG77" s="138"/>
      <c r="AH77" s="193">
        <f t="array" ref="AH77">SUM(AH4:AI4*AH19:AI19)/AH32</f>
        <v>0.20773780465494579</v>
      </c>
      <c r="AI77" s="138"/>
      <c r="AJ77" s="193">
        <f t="array" ref="AJ77">SUM(AJ4:AK4*AJ19:AK19)/AJ32</f>
        <v>0.22220936367423938</v>
      </c>
      <c r="AK77" s="138"/>
      <c r="AL77" s="193">
        <f t="array" ref="AL77">SUM(AL4:AM4*AL19:AM19)/AL32</f>
        <v>0.24431229406324589</v>
      </c>
      <c r="AM77" s="138"/>
      <c r="AN77" s="193">
        <f t="array" ref="AN77">SUM(AN4:AO4*AN19:AO19)/AN32</f>
        <v>0.29903207026732598</v>
      </c>
      <c r="AO77" s="138"/>
      <c r="AP77" s="193">
        <f t="array" ref="AP77">SUM(AP4:AQ4*AP19:AQ19)/AP32</f>
        <v>0.32219982244563672</v>
      </c>
      <c r="AQ77" s="138"/>
      <c r="AR77" s="193">
        <f t="array" ref="AR77">SUM(AR4:AS4*AR19:AS19)/AR32</f>
        <v>0.35644854785129743</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0.34629614597456704</v>
      </c>
      <c r="E78" s="138"/>
      <c r="F78" s="193">
        <f t="array" ref="F78">SUM(F13:G13*F26:G26)/F32</f>
        <v>0.34570030307267147</v>
      </c>
      <c r="G78" s="138"/>
      <c r="H78" s="193">
        <f t="array" ref="H78">SUM(H13:I13*H26:I26)/H32</f>
        <v>0.34510030573604755</v>
      </c>
      <c r="I78" s="138"/>
      <c r="J78" s="193">
        <f t="array" ref="J78">SUM(J13:K13*J26:K26)/J32</f>
        <v>0.3444964043865123</v>
      </c>
      <c r="K78" s="138"/>
      <c r="L78" s="193">
        <f t="array" ref="L78">SUM(L13:M13*L26:M26)/L32</f>
        <v>0.34388897990035328</v>
      </c>
      <c r="M78" s="138"/>
      <c r="N78" s="193">
        <f t="array" ref="N78">SUM(N13:O13*N26:O26)/N32</f>
        <v>0.34327852386188679</v>
      </c>
      <c r="O78" s="138"/>
      <c r="P78" s="193">
        <f t="array" ref="P78">SUM(P13:Q13*P26:Q26)/P32</f>
        <v>0.34266553517947623</v>
      </c>
      <c r="Q78" s="138"/>
      <c r="R78" s="193">
        <f t="array" ref="R78">SUM(R13:S13*R26:S26)/R32</f>
        <v>0.34205043557306442</v>
      </c>
      <c r="S78" s="138"/>
      <c r="T78" s="193">
        <f t="array" ref="T78">SUM(T13:U13*T26:U26)/T32</f>
        <v>0.34143338225395992</v>
      </c>
      <c r="U78" s="138"/>
      <c r="V78" s="193">
        <f t="array" ref="V78">SUM(V13:W13*V26:W26)/V32</f>
        <v>0.34081346592239964</v>
      </c>
      <c r="W78" s="138"/>
      <c r="X78" s="193">
        <f t="array" ref="X78">SUM(X13:Y13*X26:Y26)/X32</f>
        <v>0.34018710130976515</v>
      </c>
      <c r="Y78" s="138"/>
      <c r="Z78" s="193">
        <f t="array" ref="Z78">SUM(Z13:AA13*Z26:AA26)/Z32</f>
        <v>0.33954405188406767</v>
      </c>
      <c r="AA78" s="138"/>
      <c r="AB78" s="193">
        <f t="array" ref="AB78">SUM(AB13:AC13*AB26:AC26)/AB32</f>
        <v>0.33885828866340922</v>
      </c>
      <c r="AC78" s="138"/>
      <c r="AD78" s="193">
        <f t="array" ref="AD78">SUM(AD13:AE13*AD26:AE26)/AD32</f>
        <v>0.33806742144496182</v>
      </c>
      <c r="AE78" s="138"/>
      <c r="AF78" s="193">
        <f t="array" ref="AF78">SUM(AF13:AG13*AF26:AG26)/AF32</f>
        <v>0.337029074663657</v>
      </c>
      <c r="AG78" s="138"/>
      <c r="AH78" s="193">
        <f t="array" ref="AH78">SUM(AH13:AI13*AH26:AI26)/AH32</f>
        <v>0.33545022599777274</v>
      </c>
      <c r="AI78" s="138"/>
      <c r="AJ78" s="193">
        <f t="array" ref="AJ78">SUM(AJ13:AK13*AJ26:AK26)/AJ32</f>
        <v>0.33295407968413493</v>
      </c>
      <c r="AK78" s="138"/>
      <c r="AL78" s="193">
        <f t="array" ref="AL78">SUM(AL13:AM13*AL26:AM26)/AL32</f>
        <v>0.32983154117646374</v>
      </c>
      <c r="AM78" s="138"/>
      <c r="AN78" s="193">
        <f t="array" ref="AN78">SUM(AN13:AO13*AN26:AO26)/AN32</f>
        <v>0.32798016164669919</v>
      </c>
      <c r="AO78" s="138"/>
      <c r="AP78" s="193">
        <f t="array" ref="AP78">SUM(AP13:AQ13*AP26:AQ26)/AP32</f>
        <v>0.32825699171138328</v>
      </c>
      <c r="AQ78" s="138"/>
      <c r="AR78" s="193">
        <f t="array" ref="AR78">SUM(AR13:AS13*AR26:AS26)/AR32</f>
        <v>0.32915317800975297</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0.45460968782439326</v>
      </c>
      <c r="D79" s="193">
        <f t="array" ref="D79">SUM(D15:E15*D27:E27)/D32</f>
        <v>0.45362902835866009</v>
      </c>
      <c r="F79" s="193">
        <f t="array" ref="F79">SUM(F15:G15*F27:G27)/F32</f>
        <v>0.45266388821309672</v>
      </c>
      <c r="H79" s="193">
        <f t="array" ref="H79">SUM(H15:I15*H27:I27)/H32</f>
        <v>0.45171603930823084</v>
      </c>
      <c r="J79" s="193">
        <f t="array" ref="J79">SUM(J15:K15*J27:K27)/J32</f>
        <v>0.45078720827883845</v>
      </c>
      <c r="L79" s="193">
        <f t="array" ref="L79">SUM(L15:M15*L27:M27)/L32</f>
        <v>0.44987919516070118</v>
      </c>
      <c r="N79" s="193">
        <f t="array" ref="N79">SUM(N15:O15*N27:O27)/N32</f>
        <v>0.44899356836265192</v>
      </c>
      <c r="P79" s="193">
        <f t="array" ref="P79">SUM(P15:Q15*P27:Q27)/P32</f>
        <v>0.44813103130214732</v>
      </c>
      <c r="R79" s="193">
        <f t="array" ref="R79">SUM(R15:S15*R27:S27)/R32</f>
        <v>0.44729047734402122</v>
      </c>
      <c r="T79" s="193">
        <f t="array" ref="T79">SUM(T15:U15*T27:U27)/T32</f>
        <v>0.44646726232362005</v>
      </c>
      <c r="V79" s="193">
        <f t="array" ref="V79">SUM(V15:W15*V27:W27)/V32</f>
        <v>0.44564950744303755</v>
      </c>
      <c r="X79" s="193">
        <f t="array" ref="X79">SUM(X15:Y15*X27:Y27)/X32</f>
        <v>0.44481180241166529</v>
      </c>
      <c r="Z79" s="193">
        <f t="array" ref="Z79">SUM(Z15:AA15*Z27:AA27)/Z32</f>
        <v>0.44390369341678543</v>
      </c>
      <c r="AB79" s="193">
        <f t="array" ref="AB79">SUM(AB15:AC15*AB27:AC27)/AB32</f>
        <v>0.44282987106346028</v>
      </c>
      <c r="AD79" s="193">
        <f t="array" ref="AD79">SUM(AD15:AE15*AD27:AE27)/AD32</f>
        <v>0.44141617030792601</v>
      </c>
      <c r="AF79" s="193">
        <f t="array" ref="AF79">SUM(AF15:AG15*AF27:AG27)/AF32</f>
        <v>0.43934729076409784</v>
      </c>
      <c r="AH79" s="193">
        <f t="array" ref="AH79">SUM(AH15:AI15*AH27:AI27)/AH32</f>
        <v>0.43604446722342421</v>
      </c>
      <c r="AJ79" s="193">
        <f t="array" ref="AJ79">SUM(AJ15:AK15*AJ27:AK27)/AJ32</f>
        <v>0.43054677404219582</v>
      </c>
      <c r="AL79" s="193">
        <f t="array" ref="AL79">SUM(AL15:AM15*AL27:AM27)/AL32</f>
        <v>0.42173931386931895</v>
      </c>
      <c r="AN79" s="193">
        <f t="array" ref="AN79">SUM(AN15:AO15*AN27:AO27)/AN32</f>
        <v>0.40629228432128189</v>
      </c>
      <c r="AP79" s="193">
        <f t="array" ref="AP79">SUM(AP15:AQ15*AP27:AQ27)/AP32</f>
        <v>0.40098735922260642</v>
      </c>
      <c r="AR79" s="193">
        <f t="array" ref="AR79">SUM(AR15:AS15*AR27:AS27)/AR32</f>
        <v>0.39369832895999962</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0.20007484257096592</v>
      </c>
      <c r="F80" s="236">
        <f>F55</f>
        <v>0.20163581745141407</v>
      </c>
      <c r="H80" s="236">
        <f>H55</f>
        <v>0.20318369697023303</v>
      </c>
      <c r="J80" s="236">
        <f>J55</f>
        <v>0.2047164249836442</v>
      </c>
      <c r="L80" s="236">
        <f>L55</f>
        <v>0.20623182139400748</v>
      </c>
      <c r="N80" s="236">
        <f>N55</f>
        <v>0.20772790470302385</v>
      </c>
      <c r="P80" s="236">
        <f>P55</f>
        <v>0.20920345627595083</v>
      </c>
      <c r="R80" s="236">
        <f>R55</f>
        <v>0.21065908368156275</v>
      </c>
      <c r="T80" s="236">
        <f>T55</f>
        <v>0.21209936053476555</v>
      </c>
      <c r="V80" s="236">
        <f>V55</f>
        <v>0.21353703827113749</v>
      </c>
      <c r="X80" s="236">
        <f>X55</f>
        <v>0.21500110850539791</v>
      </c>
      <c r="Z80" s="236">
        <f>Z55</f>
        <v>0.21655225526073277</v>
      </c>
      <c r="AB80" s="236">
        <f>AB55</f>
        <v>0.21831184841786599</v>
      </c>
      <c r="AD80" s="236">
        <f>AD55</f>
        <v>0.22051640906473902</v>
      </c>
      <c r="AF80" s="236">
        <f>AF55</f>
        <v>0.22362363482843139</v>
      </c>
      <c r="AH80" s="236">
        <f>AH55</f>
        <v>0.22850530704116095</v>
      </c>
      <c r="AJ80" s="236">
        <f>AJ55</f>
        <v>0.23649914600224795</v>
      </c>
      <c r="AL80" s="236">
        <f>AL55</f>
        <v>0.24842914498086704</v>
      </c>
      <c r="AN80" s="236">
        <f>AN55</f>
        <v>0.26572755403170695</v>
      </c>
      <c r="AP80" s="236">
        <f>AP55</f>
        <v>0.27075564906584337</v>
      </c>
      <c r="AR80" s="236">
        <f>AR55</f>
        <v>0.27714849303036898</v>
      </c>
      <c r="AT80" s="236" t="e">
        <f>AT55</f>
        <v>#DIV/0!</v>
      </c>
      <c r="AV80" s="236" t="e">
        <f>AV55</f>
        <v>#DIV/0!</v>
      </c>
      <c r="XFD80" s="236"/>
    </row>
    <row r="81" spans="1:48 16384:16384" x14ac:dyDescent="0.2">
      <c r="A81" t="s">
        <v>191</v>
      </c>
      <c r="B81" s="236">
        <f>B51/B$32</f>
        <v>-2.7543485504603994E-2</v>
      </c>
      <c r="D81" s="236">
        <f>D51/D$32</f>
        <v>-2.5971361993458945E-2</v>
      </c>
      <c r="F81" s="236">
        <f>F51/F$32</f>
        <v>-2.4410387113010794E-2</v>
      </c>
      <c r="H81" s="236">
        <f>H51/H$32</f>
        <v>-2.2862507594191808E-2</v>
      </c>
      <c r="J81" s="236">
        <f>J51/J$32</f>
        <v>-2.1329779580780629E-2</v>
      </c>
      <c r="L81" s="236">
        <f>L51/L$32</f>
        <v>-1.9814383170417369E-2</v>
      </c>
      <c r="N81" s="236">
        <f>N51/N$32</f>
        <v>-1.8318299861401013E-2</v>
      </c>
      <c r="P81" s="236">
        <f>P51/P$32</f>
        <v>-1.684274828847401E-2</v>
      </c>
      <c r="R81" s="236">
        <f>R51/R$32</f>
        <v>-1.5387120882862083E-2</v>
      </c>
      <c r="T81" s="236">
        <f>T51/T$32</f>
        <v>-1.3946844029659271E-2</v>
      </c>
      <c r="V81" s="236">
        <f>V51/V$32</f>
        <v>-1.2509166293287351E-2</v>
      </c>
      <c r="X81" s="236">
        <f>X51/X$32</f>
        <v>-1.1045096059026874E-2</v>
      </c>
      <c r="Z81" s="236">
        <f>Z51/Z$32</f>
        <v>-9.4939493036920765E-3</v>
      </c>
      <c r="AB81" s="236">
        <f>AB51/AB$32</f>
        <v>-7.734356146558854E-3</v>
      </c>
      <c r="AD81" s="236">
        <f>AD51/AD$32</f>
        <v>-5.5297954996858219E-3</v>
      </c>
      <c r="AF81" s="236">
        <f>AF51/AF$32</f>
        <v>-2.4225697359934514E-3</v>
      </c>
      <c r="AH81" s="236">
        <f>AH51/AH$32</f>
        <v>2.4591024767361162E-3</v>
      </c>
      <c r="AJ81" s="236">
        <f>AJ51/AJ$32</f>
        <v>1.0452941437823089E-2</v>
      </c>
      <c r="AL81" s="236">
        <f>AL51/AL$32</f>
        <v>2.238294041644219E-2</v>
      </c>
      <c r="AN81" s="236">
        <f>AN51/AN$32</f>
        <v>3.9681349467282134E-2</v>
      </c>
      <c r="AP81" s="236">
        <f>AP51/AP$32</f>
        <v>4.470944450141854E-2</v>
      </c>
      <c r="AR81" s="236">
        <f>AR51/AR$32</f>
        <v>5.110228846594414E-2</v>
      </c>
      <c r="AT81" s="236" t="e">
        <f>AT51/AT$32</f>
        <v>#DIV/0!</v>
      </c>
      <c r="AV81" s="236" t="e">
        <f>AV51/AV$32</f>
        <v>#DIV/0!</v>
      </c>
      <c r="XFD81" s="236"/>
    </row>
    <row r="82" spans="1:48 16384:16384" x14ac:dyDescent="0.2">
      <c r="A82" t="s">
        <v>192</v>
      </c>
      <c r="B82" s="236">
        <f>B52/B$32</f>
        <v>0.13907860278212886</v>
      </c>
      <c r="D82" s="236">
        <f>D52/D$32</f>
        <v>0.13884147224286808</v>
      </c>
      <c r="F82" s="236">
        <f>F52/F$32</f>
        <v>0.13860257929910799</v>
      </c>
      <c r="H82" s="236">
        <f>H52/H$32</f>
        <v>0.1383620207063341</v>
      </c>
      <c r="J82" s="236">
        <f>J52/J$32</f>
        <v>0.1381198968668586</v>
      </c>
      <c r="L82" s="236">
        <f>L52/L$32</f>
        <v>0.13787636048646562</v>
      </c>
      <c r="N82" s="236">
        <f>N52/N$32</f>
        <v>0.13763160865741564</v>
      </c>
      <c r="P82" s="236">
        <f>P52/P$32</f>
        <v>0.13738584140841958</v>
      </c>
      <c r="R82" s="236">
        <f>R52/R$32</f>
        <v>0.13713922782082136</v>
      </c>
      <c r="T82" s="236">
        <f>T52/T$32</f>
        <v>0.13689183092578602</v>
      </c>
      <c r="V82" s="236">
        <f>V52/V$32</f>
        <v>0.13664328615524288</v>
      </c>
      <c r="X82" s="236">
        <f>X52/X$32</f>
        <v>0.13639215605752186</v>
      </c>
      <c r="Z82" s="236">
        <f>Z52/Z$32</f>
        <v>0.13613433647152123</v>
      </c>
      <c r="AB82" s="236">
        <f>AB52/AB$32</f>
        <v>0.13585939152548879</v>
      </c>
      <c r="AD82" s="236">
        <f>AD52/AD$32</f>
        <v>0.13554230694272842</v>
      </c>
      <c r="AF82" s="236">
        <f>AF52/AF$32</f>
        <v>0.13512599969388717</v>
      </c>
      <c r="AH82" s="236">
        <f>AH52/AH$32</f>
        <v>0.13449298752852465</v>
      </c>
      <c r="AJ82" s="236">
        <f>AJ52/AJ$32</f>
        <v>0.13349220067846096</v>
      </c>
      <c r="AL82" s="236">
        <f>AL52/AL$32</f>
        <v>0.13224027267238964</v>
      </c>
      <c r="AN82" s="236">
        <f>AN52/AN$32</f>
        <v>0.13149799395349307</v>
      </c>
      <c r="AP82" s="236">
        <f>AP52/AP$32</f>
        <v>0.13160898419750422</v>
      </c>
      <c r="AR82" s="236">
        <f>AR52/AR$32</f>
        <v>0.13196829465046742</v>
      </c>
      <c r="AT82" s="236" t="e">
        <f>AT52/AT$32</f>
        <v>#DIV/0!</v>
      </c>
      <c r="AV82" s="236" t="e">
        <f>AV52/AV$32</f>
        <v>#DIV/0!</v>
      </c>
    </row>
    <row r="83" spans="1:48 16384:16384" x14ac:dyDescent="0.2">
      <c r="A83" t="s">
        <v>193</v>
      </c>
      <c r="B83" s="236">
        <f>B53/B$32</f>
        <v>0.18600714462929399</v>
      </c>
      <c r="D83" s="236">
        <f>D53/D$32</f>
        <v>0.18560590006288877</v>
      </c>
      <c r="F83" s="236">
        <f>F53/F$32</f>
        <v>0.18521100534891446</v>
      </c>
      <c r="H83" s="236">
        <f>H53/H$32</f>
        <v>0.18482318548265109</v>
      </c>
      <c r="J83" s="236">
        <f>J53/J$32</f>
        <v>0.18444314693035543</v>
      </c>
      <c r="L83" s="236">
        <f>L53/L$32</f>
        <v>0.18407162619088563</v>
      </c>
      <c r="N83" s="236">
        <f>N53/N$32</f>
        <v>0.18370926499110415</v>
      </c>
      <c r="P83" s="236">
        <f>P53/P$32</f>
        <v>0.18335635113981952</v>
      </c>
      <c r="R83" s="236">
        <f>R53/R$32</f>
        <v>0.18301243184851249</v>
      </c>
      <c r="T83" s="236">
        <f>T53/T$32</f>
        <v>0.18267560692053178</v>
      </c>
      <c r="V83" s="236">
        <f>V53/V$32</f>
        <v>0.1823410160518863</v>
      </c>
      <c r="X83" s="236">
        <f>X53/X$32</f>
        <v>0.18199826242146358</v>
      </c>
      <c r="Z83" s="236">
        <f>Z53/Z$32</f>
        <v>0.18162670245326726</v>
      </c>
      <c r="AB83" s="236">
        <f>AB53/AB$32</f>
        <v>0.18118733955553182</v>
      </c>
      <c r="AD83" s="236">
        <f>AD53/AD$32</f>
        <v>0.18060891272491228</v>
      </c>
      <c r="AF83" s="236">
        <f>AF53/AF$32</f>
        <v>0.17976241431795775</v>
      </c>
      <c r="AH83" s="236">
        <f>AH53/AH$32</f>
        <v>0.17841103797805799</v>
      </c>
      <c r="AJ83" s="236">
        <f>AJ53/AJ$32</f>
        <v>0.1761616133879616</v>
      </c>
      <c r="AL83" s="236">
        <f>AL53/AL$32</f>
        <v>0.17255797149015434</v>
      </c>
      <c r="AN83" s="236">
        <f>AN53/AN$32</f>
        <v>0.16623769733808966</v>
      </c>
      <c r="AP83" s="236">
        <f>AP53/AP$32</f>
        <v>0.16406714533159994</v>
      </c>
      <c r="AR83" s="236">
        <f>AR53/AR$32</f>
        <v>0.16108478102530358</v>
      </c>
      <c r="AT83" s="236" t="e">
        <f>AT53/AT$32</f>
        <v>#DIV/0!</v>
      </c>
      <c r="AV83" s="236" t="e">
        <f>AV53/AV$32</f>
        <v>#DIV/0!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7"/>
  <dimension ref="A1:XFD83"/>
  <sheetViews>
    <sheetView showGridLines="0" workbookViewId="0">
      <pane xSplit="1" ySplit="1" topLeftCell="B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c r="AV1" s="94"/>
    </row>
    <row r="2" spans="1:49" x14ac:dyDescent="0.2">
      <c r="A2" s="229" t="s">
        <v>155</v>
      </c>
      <c r="B2" s="226">
        <v>5.7716594496607888E-3</v>
      </c>
      <c r="C2" s="227"/>
      <c r="D2" s="226">
        <v>3.4030524797715483E-2</v>
      </c>
      <c r="E2" s="227"/>
      <c r="F2" s="226">
        <v>6.4933074408364128E-2</v>
      </c>
      <c r="G2" s="227"/>
      <c r="H2" s="226">
        <v>9.8925938511027448E-2</v>
      </c>
      <c r="I2" s="227"/>
      <c r="J2" s="226">
        <v>0.13657451562229669</v>
      </c>
      <c r="K2" s="227"/>
      <c r="L2" s="226">
        <v>0.17860792438195902</v>
      </c>
      <c r="M2" s="227"/>
      <c r="N2" s="226">
        <v>0.22598764537484115</v>
      </c>
      <c r="O2" s="227"/>
      <c r="P2" s="226">
        <v>0.28001332167100962</v>
      </c>
      <c r="Q2" s="227"/>
      <c r="R2" s="226">
        <v>0.34249446459967231</v>
      </c>
      <c r="S2" s="227"/>
      <c r="T2" s="226">
        <v>0.41603413138754441</v>
      </c>
      <c r="U2" s="227"/>
      <c r="V2" s="226">
        <v>0.50452674715596646</v>
      </c>
      <c r="W2" s="227"/>
      <c r="X2" s="226">
        <v>0.61406564861376656</v>
      </c>
      <c r="Y2" s="227"/>
      <c r="Z2" s="226">
        <v>0.75468182799998229</v>
      </c>
      <c r="AA2" s="227"/>
      <c r="AB2" s="226">
        <v>0.94385522373949637</v>
      </c>
      <c r="AC2" s="227"/>
      <c r="AD2" s="226">
        <v>1.2139057313021129</v>
      </c>
      <c r="AE2" s="227"/>
      <c r="AF2" s="226">
        <v>1.6281039254603655</v>
      </c>
      <c r="AG2" s="227"/>
      <c r="AH2" s="226">
        <v>2.3181578903446112</v>
      </c>
      <c r="AI2" s="227"/>
      <c r="AJ2" s="226">
        <v>3.5930140459180113</v>
      </c>
      <c r="AK2" s="227"/>
      <c r="AL2" s="226">
        <v>6.4101686988580662</v>
      </c>
      <c r="AM2" s="227"/>
      <c r="AN2" s="226">
        <v>16.082127990694914</v>
      </c>
      <c r="AO2" s="227"/>
      <c r="AP2" s="226">
        <v>21.403571526760828</v>
      </c>
      <c r="AQ2" s="227"/>
      <c r="AR2" s="226">
        <v>30.809683419613776</v>
      </c>
      <c r="AS2" s="227"/>
      <c r="AT2" s="226"/>
      <c r="AU2" s="227"/>
      <c r="AV2" s="226"/>
      <c r="AW2" s="227"/>
    </row>
    <row r="3" spans="1:49" x14ac:dyDescent="0.2">
      <c r="A3" t="s">
        <v>12</v>
      </c>
      <c r="B3" s="84">
        <v>1000</v>
      </c>
      <c r="C3" s="85">
        <v>1000</v>
      </c>
      <c r="D3" s="84">
        <v>998.91867415017134</v>
      </c>
      <c r="E3" s="85">
        <v>1012.4367901429092</v>
      </c>
      <c r="F3" s="84">
        <v>997.82472238534285</v>
      </c>
      <c r="G3" s="85">
        <v>1026.0332865316548</v>
      </c>
      <c r="H3" s="84">
        <v>996.7162703295412</v>
      </c>
      <c r="I3" s="85">
        <v>1040.9647773949132</v>
      </c>
      <c r="J3" s="84">
        <v>995.59191102571515</v>
      </c>
      <c r="K3" s="85">
        <v>1057.448976495665</v>
      </c>
      <c r="L3" s="84">
        <v>994.45116841505546</v>
      </c>
      <c r="M3" s="85">
        <v>1075.7605772576751</v>
      </c>
      <c r="N3" s="84">
        <v>993.29523349271312</v>
      </c>
      <c r="O3" s="85">
        <v>1096.2538903104294</v>
      </c>
      <c r="P3" s="84">
        <v>992.12815875092178</v>
      </c>
      <c r="Q3" s="85">
        <v>1119.3962470994738</v>
      </c>
      <c r="R3" s="84">
        <v>990.95879810077838</v>
      </c>
      <c r="S3" s="85">
        <v>1145.8208724129659</v>
      </c>
      <c r="T3" s="84">
        <v>989.80394612744522</v>
      </c>
      <c r="U3" s="85">
        <v>1176.4130178194343</v>
      </c>
      <c r="V3" s="84">
        <v>988.69354297491702</v>
      </c>
      <c r="W3" s="85">
        <v>1212.4550598158198</v>
      </c>
      <c r="X3" s="84">
        <v>987.67923381033017</v>
      </c>
      <c r="Y3" s="85">
        <v>1255.8821599339155</v>
      </c>
      <c r="Z3" s="84">
        <v>986.84811770371482</v>
      </c>
      <c r="AA3" s="85">
        <v>1309.7523503079574</v>
      </c>
      <c r="AB3" s="84">
        <v>986.343026619743</v>
      </c>
      <c r="AC3" s="85">
        <v>1379.1455218449739</v>
      </c>
      <c r="AD3" s="84">
        <v>986.3838612372349</v>
      </c>
      <c r="AE3" s="85">
        <v>1472.9351625440734</v>
      </c>
      <c r="AF3" s="84">
        <v>987.25810317494347</v>
      </c>
      <c r="AG3" s="85">
        <v>1607.3502787129223</v>
      </c>
      <c r="AH3" s="84">
        <v>989.20112268596654</v>
      </c>
      <c r="AI3" s="85">
        <v>1813.6354672384807</v>
      </c>
      <c r="AJ3" s="84">
        <v>992.14863626957265</v>
      </c>
      <c r="AK3" s="85">
        <v>2159.474969303606</v>
      </c>
      <c r="AL3" s="84">
        <v>995.63743443924398</v>
      </c>
      <c r="AM3" s="85">
        <v>2838.9632428055384</v>
      </c>
      <c r="AN3" s="84">
        <v>998.90925881532428</v>
      </c>
      <c r="AO3" s="85">
        <v>4820.239048169341</v>
      </c>
      <c r="AP3" s="84">
        <v>999.39655515933464</v>
      </c>
      <c r="AQ3" s="85">
        <v>5802.5010139659607</v>
      </c>
      <c r="AR3" s="84">
        <v>999.72762151661004</v>
      </c>
      <c r="AS3" s="85">
        <v>7442.0211556227014</v>
      </c>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c r="AU4" s="102"/>
      <c r="AV4" s="101"/>
      <c r="AW4" s="102"/>
    </row>
    <row r="5" spans="1:49" x14ac:dyDescent="0.2">
      <c r="A5" t="s">
        <v>128</v>
      </c>
      <c r="B5" s="41">
        <v>1000</v>
      </c>
      <c r="C5" s="42">
        <v>1000</v>
      </c>
      <c r="D5" s="41">
        <v>998.86495489070398</v>
      </c>
      <c r="E5" s="42">
        <v>1010.7886348400802</v>
      </c>
      <c r="F5" s="41">
        <v>997.71580375829831</v>
      </c>
      <c r="G5" s="42">
        <v>1022.2797048477688</v>
      </c>
      <c r="H5" s="41">
        <v>996.55054002274937</v>
      </c>
      <c r="I5" s="42">
        <v>1034.5288081519518</v>
      </c>
      <c r="J5" s="41">
        <v>995.36764221355304</v>
      </c>
      <c r="K5" s="42">
        <v>1047.5958223240775</v>
      </c>
      <c r="L5" s="41">
        <v>994.16656352831501</v>
      </c>
      <c r="M5" s="42">
        <v>1061.5428343880708</v>
      </c>
      <c r="N5" s="41">
        <v>992.94851186775441</v>
      </c>
      <c r="O5" s="42">
        <v>1076.4341927236542</v>
      </c>
      <c r="P5" s="41">
        <v>991.71771697180827</v>
      </c>
      <c r="Q5" s="42">
        <v>1092.3325905480069</v>
      </c>
      <c r="R5" s="41">
        <v>990.48349161628335</v>
      </c>
      <c r="S5" s="42">
        <v>1109.2923375291659</v>
      </c>
      <c r="T5" s="41">
        <v>989.26357083907249</v>
      </c>
      <c r="U5" s="42">
        <v>1127.3500155702252</v>
      </c>
      <c r="V5" s="41">
        <v>988.08965123706912</v>
      </c>
      <c r="W5" s="42">
        <v>1146.502067581443</v>
      </c>
      <c r="X5" s="41">
        <v>987.0165011374977</v>
      </c>
      <c r="Y5" s="42">
        <v>1166.6643230874695</v>
      </c>
      <c r="Z5" s="41">
        <v>986.1365833203912</v>
      </c>
      <c r="AA5" s="42">
        <v>1187.59878363797</v>
      </c>
      <c r="AB5" s="41">
        <v>985.60157419280745</v>
      </c>
      <c r="AC5" s="42">
        <v>1208.7776217327798</v>
      </c>
      <c r="AD5" s="41">
        <v>985.64483488805263</v>
      </c>
      <c r="AE5" s="42">
        <v>1229.1728883111643</v>
      </c>
      <c r="AF5" s="41">
        <v>986.57070881311938</v>
      </c>
      <c r="AG5" s="42">
        <v>1247.0690104182195</v>
      </c>
      <c r="AH5" s="41">
        <v>988.62638136657938</v>
      </c>
      <c r="AI5" s="42">
        <v>1260.3521976680238</v>
      </c>
      <c r="AJ5" s="41">
        <v>991.73932126614056</v>
      </c>
      <c r="AK5" s="42">
        <v>1267.8389730079532</v>
      </c>
      <c r="AL5" s="41">
        <v>995.41555364735632</v>
      </c>
      <c r="AM5" s="42">
        <v>1270.5832580556346</v>
      </c>
      <c r="AN5" s="41">
        <v>998.85506811034975</v>
      </c>
      <c r="AO5" s="42">
        <v>1271.0496292628925</v>
      </c>
      <c r="AP5" s="41">
        <v>999.36667959744852</v>
      </c>
      <c r="AQ5" s="42">
        <v>1271.0581825389079</v>
      </c>
      <c r="AR5" s="41">
        <v>999.7141686722058</v>
      </c>
      <c r="AS5" s="42">
        <v>1271.060831878774</v>
      </c>
      <c r="AT5" s="41"/>
      <c r="AU5" s="42"/>
      <c r="AV5" s="41"/>
      <c r="AW5" s="42"/>
    </row>
    <row r="6" spans="1:49" x14ac:dyDescent="0.2">
      <c r="A6" t="s">
        <v>77</v>
      </c>
      <c r="B6" s="41">
        <v>1000.0000000000003</v>
      </c>
      <c r="C6" s="42">
        <v>1000.0000000000002</v>
      </c>
      <c r="D6" s="41">
        <v>998.77824132285059</v>
      </c>
      <c r="E6" s="42">
        <v>1013.3988978333597</v>
      </c>
      <c r="F6" s="41">
        <v>997.54151507667643</v>
      </c>
      <c r="G6" s="42">
        <v>1027.9914345576537</v>
      </c>
      <c r="H6" s="41">
        <v>996.28767029331652</v>
      </c>
      <c r="I6" s="42">
        <v>1043.955342358488</v>
      </c>
      <c r="J6" s="41">
        <v>995.01507940852423</v>
      </c>
      <c r="K6" s="42">
        <v>1061.5114545061101</v>
      </c>
      <c r="L6" s="41">
        <v>993.72316464397807</v>
      </c>
      <c r="M6" s="42">
        <v>1080.9384936423662</v>
      </c>
      <c r="N6" s="41">
        <v>992.41323554527435</v>
      </c>
      <c r="O6" s="42">
        <v>1102.5961248000278</v>
      </c>
      <c r="P6" s="41">
        <v>991.08984975107114</v>
      </c>
      <c r="Q6" s="42">
        <v>1126.9589112516064</v>
      </c>
      <c r="R6" s="41">
        <v>989.76302547786361</v>
      </c>
      <c r="S6" s="42">
        <v>1154.6700606759164</v>
      </c>
      <c r="T6" s="41">
        <v>988.45182497435212</v>
      </c>
      <c r="U6" s="42">
        <v>1186.6289391552227</v>
      </c>
      <c r="V6" s="41">
        <v>987.19029847246804</v>
      </c>
      <c r="W6" s="42">
        <v>1224.1383890873371</v>
      </c>
      <c r="X6" s="41">
        <v>986.03725969265838</v>
      </c>
      <c r="Y6" s="42">
        <v>1269.1641310791458</v>
      </c>
      <c r="Z6" s="41">
        <v>985.09197910938701</v>
      </c>
      <c r="AA6" s="42">
        <v>1324.8113880857213</v>
      </c>
      <c r="AB6" s="41">
        <v>984.51729013274849</v>
      </c>
      <c r="AC6" s="42">
        <v>1396.2357161091468</v>
      </c>
      <c r="AD6" s="41">
        <v>984.56375758352647</v>
      </c>
      <c r="AE6" s="42">
        <v>1492.4370490073245</v>
      </c>
      <c r="AF6" s="41">
        <v>985.55833677893554</v>
      </c>
      <c r="AG6" s="42">
        <v>1629.8663250649445</v>
      </c>
      <c r="AH6" s="41">
        <v>987.76705544565243</v>
      </c>
      <c r="AI6" s="42">
        <v>1840.1910657281931</v>
      </c>
      <c r="AJ6" s="41">
        <v>991.1130771597235</v>
      </c>
      <c r="AK6" s="42">
        <v>2192.0539259263355</v>
      </c>
      <c r="AL6" s="41">
        <v>995.0666192645341</v>
      </c>
      <c r="AM6" s="42">
        <v>2882.4672253106992</v>
      </c>
      <c r="AN6" s="41">
        <v>998.76760018807704</v>
      </c>
      <c r="AO6" s="42">
        <v>4894.4668964800976</v>
      </c>
      <c r="AP6" s="41">
        <v>999.31826993888467</v>
      </c>
      <c r="AQ6" s="42">
        <v>5891.8750564109996</v>
      </c>
      <c r="AR6" s="41">
        <v>999.6923121583751</v>
      </c>
      <c r="AS6" s="42">
        <v>7556.6602315717046</v>
      </c>
      <c r="AT6" s="41"/>
      <c r="AU6" s="42"/>
      <c r="AV6" s="41"/>
      <c r="AW6" s="42"/>
    </row>
    <row r="7" spans="1:49" x14ac:dyDescent="0.2">
      <c r="A7" t="s">
        <v>13</v>
      </c>
      <c r="B7" s="33">
        <v>1015.9116825427475</v>
      </c>
      <c r="C7" s="34">
        <v>1015.9116825427475</v>
      </c>
      <c r="D7" s="33">
        <v>1014.7585769560006</v>
      </c>
      <c r="E7" s="34">
        <v>1014.7585769560006</v>
      </c>
      <c r="F7" s="33">
        <v>1013.5911408955825</v>
      </c>
      <c r="G7" s="34">
        <v>1013.5911408955825</v>
      </c>
      <c r="H7" s="33">
        <v>1012.4073358533949</v>
      </c>
      <c r="I7" s="34">
        <v>1012.4073358533949</v>
      </c>
      <c r="J7" s="33">
        <v>1011.2056161497782</v>
      </c>
      <c r="K7" s="34">
        <v>1011.2056161497782</v>
      </c>
      <c r="L7" s="33">
        <v>1009.9854262817917</v>
      </c>
      <c r="M7" s="34">
        <v>1009.9854262817917</v>
      </c>
      <c r="N7" s="33">
        <v>1008.7479933698876</v>
      </c>
      <c r="O7" s="34">
        <v>1008.7479933698876</v>
      </c>
      <c r="P7" s="33">
        <v>1007.4976144562819</v>
      </c>
      <c r="Q7" s="34">
        <v>1007.4976144562819</v>
      </c>
      <c r="R7" s="33">
        <v>1006.2437504987137</v>
      </c>
      <c r="S7" s="34">
        <v>1006.2437504987137</v>
      </c>
      <c r="T7" s="33">
        <v>1005.0044187293686</v>
      </c>
      <c r="U7" s="34">
        <v>1005.0044187293686</v>
      </c>
      <c r="V7" s="33">
        <v>1003.8118200913274</v>
      </c>
      <c r="W7" s="34">
        <v>1003.8118200913274</v>
      </c>
      <c r="X7" s="33">
        <v>1002.7215943680509</v>
      </c>
      <c r="Y7" s="34">
        <v>1002.7215943680509</v>
      </c>
      <c r="Z7" s="33">
        <v>1001.8276755779749</v>
      </c>
      <c r="AA7" s="34">
        <v>1001.8276755779749</v>
      </c>
      <c r="AB7" s="33">
        <v>1001.2841535549956</v>
      </c>
      <c r="AC7" s="34">
        <v>1001.2841535549956</v>
      </c>
      <c r="AD7" s="33">
        <v>1001.32810260069</v>
      </c>
      <c r="AE7" s="34">
        <v>1001.32810260069</v>
      </c>
      <c r="AF7" s="33">
        <v>1002.268708737727</v>
      </c>
      <c r="AG7" s="34">
        <v>1002.268708737727</v>
      </c>
      <c r="AH7" s="33">
        <v>1004.3570905002696</v>
      </c>
      <c r="AI7" s="34">
        <v>1004.3570905002696</v>
      </c>
      <c r="AJ7" s="33">
        <v>1007.5195625112872</v>
      </c>
      <c r="AK7" s="34">
        <v>1007.5195625112872</v>
      </c>
      <c r="AL7" s="33">
        <v>1011.2542899351063</v>
      </c>
      <c r="AM7" s="34">
        <v>1011.2542899351063</v>
      </c>
      <c r="AN7" s="33">
        <v>1014.748532860336</v>
      </c>
      <c r="AO7" s="34">
        <v>1014.748532860336</v>
      </c>
      <c r="AP7" s="33">
        <v>1015.2682849470027</v>
      </c>
      <c r="AQ7" s="34">
        <v>1015.2682849470027</v>
      </c>
      <c r="AR7" s="33">
        <v>1015.6213031576046</v>
      </c>
      <c r="AS7" s="34">
        <v>1015.6213031576046</v>
      </c>
      <c r="AT7" s="33"/>
      <c r="AU7" s="34"/>
      <c r="AV7" s="33"/>
      <c r="AW7" s="34"/>
    </row>
    <row r="8" spans="1:49" x14ac:dyDescent="0.2">
      <c r="B8" s="35">
        <v>1005.7716594496609</v>
      </c>
      <c r="C8" s="36">
        <v>1005.7716594496609</v>
      </c>
      <c r="D8" s="35">
        <v>1045.1863025432547</v>
      </c>
      <c r="E8" s="36">
        <v>1045.1863025432547</v>
      </c>
      <c r="F8" s="35">
        <v>1088.6594689888095</v>
      </c>
      <c r="G8" s="36">
        <v>1088.6594689888095</v>
      </c>
      <c r="H8" s="35">
        <v>1136.8705414150784</v>
      </c>
      <c r="I8" s="36">
        <v>1136.8705414150784</v>
      </c>
      <c r="J8" s="35">
        <v>1190.6707143259298</v>
      </c>
      <c r="K8" s="36">
        <v>1190.6707143259298</v>
      </c>
      <c r="L8" s="35">
        <v>1251.1427966806657</v>
      </c>
      <c r="M8" s="36">
        <v>1251.1427966806657</v>
      </c>
      <c r="N8" s="35">
        <v>1319.6950213382406</v>
      </c>
      <c r="O8" s="36">
        <v>1319.6950213382406</v>
      </c>
      <c r="P8" s="35">
        <v>1398.2002675968533</v>
      </c>
      <c r="Q8" s="36">
        <v>1398.2002675968533</v>
      </c>
      <c r="R8" s="35">
        <v>1489.2188227557367</v>
      </c>
      <c r="S8" s="36">
        <v>1489.2188227557367</v>
      </c>
      <c r="T8" s="35">
        <v>1596.3661000677184</v>
      </c>
      <c r="U8" s="36">
        <v>1596.3661000677184</v>
      </c>
      <c r="V8" s="35">
        <v>1724.9430263458985</v>
      </c>
      <c r="W8" s="36">
        <v>1724.9430263458985</v>
      </c>
      <c r="X8" s="35">
        <v>1883.0728073587172</v>
      </c>
      <c r="Y8" s="36">
        <v>1883.0728073587172</v>
      </c>
      <c r="Z8" s="35">
        <v>2083.8580046044285</v>
      </c>
      <c r="AA8" s="36">
        <v>2083.8580046044285</v>
      </c>
      <c r="AB8" s="35">
        <v>2349.6886943446689</v>
      </c>
      <c r="AC8" s="36">
        <v>2349.6886943446689</v>
      </c>
      <c r="AD8" s="35">
        <v>2721.2729021932582</v>
      </c>
      <c r="AE8" s="36">
        <v>2721.2729021932582</v>
      </c>
      <c r="AF8" s="35">
        <v>3277.4269616000961</v>
      </c>
      <c r="AG8" s="36">
        <v>3277.4269616000961</v>
      </c>
      <c r="AH8" s="35">
        <v>4182.0475893053244</v>
      </c>
      <c r="AI8" s="36">
        <v>4182.0475893053244</v>
      </c>
      <c r="AJ8" s="35">
        <v>5823.2022109877953</v>
      </c>
      <c r="AK8" s="36">
        <v>5823.2022109877953</v>
      </c>
      <c r="AL8" s="35">
        <v>9415.2362881369645</v>
      </c>
      <c r="AM8" s="36">
        <v>9415.2362881369645</v>
      </c>
      <c r="AN8" s="35">
        <v>21712.232449594048</v>
      </c>
      <c r="AO8" s="36">
        <v>21712.232449594048</v>
      </c>
      <c r="AP8" s="35">
        <v>28476.242907185046</v>
      </c>
      <c r="AQ8" s="36">
        <v>28476.242907185046</v>
      </c>
      <c r="AR8" s="35">
        <v>40432.042669134731</v>
      </c>
      <c r="AS8" s="36">
        <v>40432.042669134731</v>
      </c>
      <c r="AT8" s="35"/>
      <c r="AU8" s="36"/>
      <c r="AV8" s="35"/>
      <c r="AW8" s="36"/>
    </row>
    <row r="9" spans="1:49" x14ac:dyDescent="0.2">
      <c r="A9" t="s">
        <v>14</v>
      </c>
      <c r="B9" s="41">
        <v>1015.9116825427475</v>
      </c>
      <c r="C9" s="42">
        <v>1005.7716594496609</v>
      </c>
      <c r="D9" s="41">
        <v>1014.7585769560006</v>
      </c>
      <c r="E9" s="42">
        <v>1045.1863025432547</v>
      </c>
      <c r="F9" s="41">
        <v>1013.5911408955825</v>
      </c>
      <c r="G9" s="42">
        <v>1088.6594689888095</v>
      </c>
      <c r="H9" s="41">
        <v>1012.4073358533949</v>
      </c>
      <c r="I9" s="42">
        <v>1136.8705414150784</v>
      </c>
      <c r="J9" s="41">
        <v>1011.2056161497782</v>
      </c>
      <c r="K9" s="42">
        <v>1190.6707143259298</v>
      </c>
      <c r="L9" s="41">
        <v>1009.9854262817917</v>
      </c>
      <c r="M9" s="42">
        <v>1251.1427966806657</v>
      </c>
      <c r="N9" s="41">
        <v>1008.7479933698876</v>
      </c>
      <c r="O9" s="42">
        <v>1319.6950213382406</v>
      </c>
      <c r="P9" s="41">
        <v>1007.4976144562819</v>
      </c>
      <c r="Q9" s="42">
        <v>1398.2002675968533</v>
      </c>
      <c r="R9" s="41">
        <v>1006.2437504987137</v>
      </c>
      <c r="S9" s="42">
        <v>1489.2188227557367</v>
      </c>
      <c r="T9" s="41">
        <v>1005.0044187293686</v>
      </c>
      <c r="U9" s="42">
        <v>1596.3661000677184</v>
      </c>
      <c r="V9" s="41">
        <v>1003.8118200913274</v>
      </c>
      <c r="W9" s="42">
        <v>1724.9430263458985</v>
      </c>
      <c r="X9" s="41">
        <v>1002.7215943680509</v>
      </c>
      <c r="Y9" s="42">
        <v>1883.0728073587172</v>
      </c>
      <c r="Z9" s="41">
        <v>1001.8276755779749</v>
      </c>
      <c r="AA9" s="42">
        <v>2083.8580046044285</v>
      </c>
      <c r="AB9" s="41">
        <v>1001.2841535549956</v>
      </c>
      <c r="AC9" s="42">
        <v>2349.6886943446689</v>
      </c>
      <c r="AD9" s="41">
        <v>1001.32810260069</v>
      </c>
      <c r="AE9" s="42">
        <v>2721.2729021932582</v>
      </c>
      <c r="AF9" s="41">
        <v>1002.268708737727</v>
      </c>
      <c r="AG9" s="42">
        <v>3277.4269616000961</v>
      </c>
      <c r="AH9" s="41">
        <v>1004.3570905002696</v>
      </c>
      <c r="AI9" s="42">
        <v>4182.0475893053244</v>
      </c>
      <c r="AJ9" s="41">
        <v>1007.5195625112872</v>
      </c>
      <c r="AK9" s="42">
        <v>5823.2022109877953</v>
      </c>
      <c r="AL9" s="41">
        <v>1011.2542899351063</v>
      </c>
      <c r="AM9" s="42">
        <v>9415.2362881369645</v>
      </c>
      <c r="AN9" s="41">
        <v>1014.748532860336</v>
      </c>
      <c r="AO9" s="42">
        <v>21712.232449594048</v>
      </c>
      <c r="AP9" s="41">
        <v>1015.2682849470027</v>
      </c>
      <c r="AQ9" s="42">
        <v>28476.242907185046</v>
      </c>
      <c r="AR9" s="41">
        <v>1015.6213031576046</v>
      </c>
      <c r="AS9" s="42">
        <v>40432.042669134731</v>
      </c>
      <c r="AT9" s="41"/>
      <c r="AU9" s="42"/>
      <c r="AV9" s="41"/>
      <c r="AW9" s="42"/>
    </row>
    <row r="10" spans="1:49" x14ac:dyDescent="0.2">
      <c r="A10" t="s">
        <v>15</v>
      </c>
      <c r="B10" s="41">
        <v>1015.9116825427475</v>
      </c>
      <c r="C10" s="42">
        <v>1005.7716594496609</v>
      </c>
      <c r="D10" s="41">
        <v>1014.7585769560006</v>
      </c>
      <c r="E10" s="42">
        <v>1045.1863025432547</v>
      </c>
      <c r="F10" s="41">
        <v>1013.5911408955825</v>
      </c>
      <c r="G10" s="42">
        <v>1088.6594689888095</v>
      </c>
      <c r="H10" s="41">
        <v>1012.4073358533949</v>
      </c>
      <c r="I10" s="42">
        <v>1136.8705414150784</v>
      </c>
      <c r="J10" s="41">
        <v>1011.2056161497782</v>
      </c>
      <c r="K10" s="42">
        <v>1190.6707143259298</v>
      </c>
      <c r="L10" s="41">
        <v>1009.9854262817917</v>
      </c>
      <c r="M10" s="42">
        <v>1251.1427966806657</v>
      </c>
      <c r="N10" s="41">
        <v>1008.7479933698876</v>
      </c>
      <c r="O10" s="42">
        <v>1319.6950213382406</v>
      </c>
      <c r="P10" s="41">
        <v>1007.4976144562819</v>
      </c>
      <c r="Q10" s="42">
        <v>1398.2002675968533</v>
      </c>
      <c r="R10" s="41">
        <v>1006.2437504987137</v>
      </c>
      <c r="S10" s="42">
        <v>1489.2188227557367</v>
      </c>
      <c r="T10" s="41">
        <v>1005.0044187293686</v>
      </c>
      <c r="U10" s="42">
        <v>1596.3661000677184</v>
      </c>
      <c r="V10" s="41">
        <v>1003.8118200913274</v>
      </c>
      <c r="W10" s="42">
        <v>1724.9430263458985</v>
      </c>
      <c r="X10" s="41">
        <v>1002.7215943680509</v>
      </c>
      <c r="Y10" s="42">
        <v>1883.0728073587172</v>
      </c>
      <c r="Z10" s="41">
        <v>1001.8276755779749</v>
      </c>
      <c r="AA10" s="42">
        <v>2083.8580046044285</v>
      </c>
      <c r="AB10" s="41">
        <v>1001.2841535549956</v>
      </c>
      <c r="AC10" s="42">
        <v>2349.6886943446689</v>
      </c>
      <c r="AD10" s="41">
        <v>1001.32810260069</v>
      </c>
      <c r="AE10" s="42">
        <v>2721.2729021932582</v>
      </c>
      <c r="AF10" s="41">
        <v>1002.268708737727</v>
      </c>
      <c r="AG10" s="42">
        <v>3277.4269616000961</v>
      </c>
      <c r="AH10" s="41">
        <v>1004.3570905002696</v>
      </c>
      <c r="AI10" s="42">
        <v>4182.0475893053244</v>
      </c>
      <c r="AJ10" s="41">
        <v>1007.5195625112872</v>
      </c>
      <c r="AK10" s="42">
        <v>5823.2022109877953</v>
      </c>
      <c r="AL10" s="41">
        <v>1011.2542899351063</v>
      </c>
      <c r="AM10" s="42">
        <v>9415.2362881369645</v>
      </c>
      <c r="AN10" s="41">
        <v>1014.748532860336</v>
      </c>
      <c r="AO10" s="42">
        <v>21712.232449594048</v>
      </c>
      <c r="AP10" s="41">
        <v>1015.2682849470027</v>
      </c>
      <c r="AQ10" s="42">
        <v>28476.242907185046</v>
      </c>
      <c r="AR10" s="41">
        <v>1015.6213031576046</v>
      </c>
      <c r="AS10" s="42">
        <v>40432.042669134731</v>
      </c>
      <c r="AT10" s="41"/>
      <c r="AU10" s="42"/>
      <c r="AV10" s="41"/>
      <c r="AW10" s="42"/>
    </row>
    <row r="11" spans="1:49" x14ac:dyDescent="0.2">
      <c r="A11" t="s">
        <v>29</v>
      </c>
      <c r="B11" s="41">
        <v>1015.9116825427475</v>
      </c>
      <c r="C11" s="42">
        <v>1005.7716594496609</v>
      </c>
      <c r="D11" s="41">
        <v>1014.7585769560006</v>
      </c>
      <c r="E11" s="42">
        <v>1045.1863025432547</v>
      </c>
      <c r="F11" s="41">
        <v>1013.5911408955825</v>
      </c>
      <c r="G11" s="42">
        <v>1088.6594689888095</v>
      </c>
      <c r="H11" s="41">
        <v>1012.4073358533949</v>
      </c>
      <c r="I11" s="42">
        <v>1136.8705414150784</v>
      </c>
      <c r="J11" s="41">
        <v>1011.2056161497782</v>
      </c>
      <c r="K11" s="42">
        <v>1190.6707143259298</v>
      </c>
      <c r="L11" s="41">
        <v>1009.9854262817917</v>
      </c>
      <c r="M11" s="42">
        <v>1251.1427966806657</v>
      </c>
      <c r="N11" s="41">
        <v>1008.7479933698876</v>
      </c>
      <c r="O11" s="42">
        <v>1319.6950213382406</v>
      </c>
      <c r="P11" s="41">
        <v>1007.4976144562819</v>
      </c>
      <c r="Q11" s="42">
        <v>1398.2002675968533</v>
      </c>
      <c r="R11" s="41">
        <v>1006.2437504987137</v>
      </c>
      <c r="S11" s="42">
        <v>1489.2188227557367</v>
      </c>
      <c r="T11" s="41">
        <v>1005.0044187293686</v>
      </c>
      <c r="U11" s="42">
        <v>1596.3661000677184</v>
      </c>
      <c r="V11" s="41">
        <v>1003.8118200913274</v>
      </c>
      <c r="W11" s="42">
        <v>1724.9430263458985</v>
      </c>
      <c r="X11" s="41">
        <v>1002.7215943680509</v>
      </c>
      <c r="Y11" s="42">
        <v>1883.0728073587172</v>
      </c>
      <c r="Z11" s="41">
        <v>1001.8276755779749</v>
      </c>
      <c r="AA11" s="42">
        <v>2083.8580046044285</v>
      </c>
      <c r="AB11" s="41">
        <v>1001.2841535549956</v>
      </c>
      <c r="AC11" s="42">
        <v>2349.6886943446689</v>
      </c>
      <c r="AD11" s="41">
        <v>1001.32810260069</v>
      </c>
      <c r="AE11" s="42">
        <v>2721.2729021932582</v>
      </c>
      <c r="AF11" s="41">
        <v>1002.268708737727</v>
      </c>
      <c r="AG11" s="42">
        <v>3277.4269616000961</v>
      </c>
      <c r="AH11" s="41">
        <v>1004.3570905002696</v>
      </c>
      <c r="AI11" s="42">
        <v>4182.0475893053244</v>
      </c>
      <c r="AJ11" s="41">
        <v>1007.5195625112872</v>
      </c>
      <c r="AK11" s="42">
        <v>5823.2022109877953</v>
      </c>
      <c r="AL11" s="41">
        <v>1011.2542899351063</v>
      </c>
      <c r="AM11" s="42">
        <v>9415.2362881369645</v>
      </c>
      <c r="AN11" s="41">
        <v>1014.748532860336</v>
      </c>
      <c r="AO11" s="42">
        <v>21712.232449594048</v>
      </c>
      <c r="AP11" s="41">
        <v>1015.2682849470027</v>
      </c>
      <c r="AQ11" s="42">
        <v>28476.242907185046</v>
      </c>
      <c r="AR11" s="41">
        <v>1015.6213031576046</v>
      </c>
      <c r="AS11" s="42">
        <v>40432.042669134731</v>
      </c>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c r="AU12" s="42"/>
      <c r="AV12" s="41"/>
      <c r="AW12" s="42"/>
    </row>
    <row r="13" spans="1:49" x14ac:dyDescent="0.2">
      <c r="A13" t="s">
        <v>17</v>
      </c>
      <c r="B13" s="97">
        <v>1000</v>
      </c>
      <c r="C13" s="98">
        <v>1000</v>
      </c>
      <c r="D13" s="97">
        <v>998.66785548125449</v>
      </c>
      <c r="E13" s="98">
        <v>998.66785548125449</v>
      </c>
      <c r="F13" s="97">
        <v>997.23030139774846</v>
      </c>
      <c r="G13" s="98">
        <v>997.23030139774846</v>
      </c>
      <c r="H13" s="97">
        <v>995.67500637208786</v>
      </c>
      <c r="I13" s="98">
        <v>995.67500637208786</v>
      </c>
      <c r="J13" s="97">
        <v>993.98755085382413</v>
      </c>
      <c r="K13" s="98">
        <v>993.98755085382413</v>
      </c>
      <c r="L13" s="97">
        <v>992.15113587822702</v>
      </c>
      <c r="M13" s="98">
        <v>992.15113587822702</v>
      </c>
      <c r="N13" s="97">
        <v>990.14574870199476</v>
      </c>
      <c r="O13" s="98">
        <v>990.14574870199476</v>
      </c>
      <c r="P13" s="97">
        <v>987.94742019587807</v>
      </c>
      <c r="Q13" s="98">
        <v>987.94742019587807</v>
      </c>
      <c r="R13" s="97">
        <v>985.52705421440737</v>
      </c>
      <c r="S13" s="98">
        <v>985.52705421440737</v>
      </c>
      <c r="T13" s="97">
        <v>982.84852643956549</v>
      </c>
      <c r="U13" s="98">
        <v>982.84852643956549</v>
      </c>
      <c r="V13" s="97">
        <v>979.86611691553321</v>
      </c>
      <c r="W13" s="98">
        <v>979.86611691553321</v>
      </c>
      <c r="X13" s="97">
        <v>976.5202828522697</v>
      </c>
      <c r="Y13" s="98">
        <v>976.5202828522697</v>
      </c>
      <c r="Z13" s="97">
        <v>972.73043333914791</v>
      </c>
      <c r="AA13" s="98">
        <v>972.73043333914791</v>
      </c>
      <c r="AB13" s="97">
        <v>968.38199235571369</v>
      </c>
      <c r="AC13" s="98">
        <v>968.38199235571369</v>
      </c>
      <c r="AD13" s="97">
        <v>963.30013673580265</v>
      </c>
      <c r="AE13" s="98">
        <v>963.30013673580265</v>
      </c>
      <c r="AF13" s="97">
        <v>957.19045981027421</v>
      </c>
      <c r="AG13" s="98">
        <v>957.19045981027421</v>
      </c>
      <c r="AH13" s="97">
        <v>949.49627119298054</v>
      </c>
      <c r="AI13" s="98">
        <v>949.49627119298054</v>
      </c>
      <c r="AJ13" s="97">
        <v>939.06214038257758</v>
      </c>
      <c r="AK13" s="98">
        <v>939.06214038257758</v>
      </c>
      <c r="AL13" s="97">
        <v>923.25282493037525</v>
      </c>
      <c r="AM13" s="98">
        <v>923.25282493037525</v>
      </c>
      <c r="AN13" s="97">
        <v>894.04247826894743</v>
      </c>
      <c r="AO13" s="98">
        <v>894.04247826894743</v>
      </c>
      <c r="AP13" s="97">
        <v>884.31259663412482</v>
      </c>
      <c r="AQ13" s="98">
        <v>884.31259663412482</v>
      </c>
      <c r="AR13" s="97">
        <v>871.67464556437005</v>
      </c>
      <c r="AS13" s="98">
        <v>871.67464556437005</v>
      </c>
      <c r="AT13" s="97"/>
      <c r="AU13" s="98"/>
      <c r="AV13" s="97"/>
      <c r="AW13" s="98"/>
    </row>
    <row r="14" spans="1:49" x14ac:dyDescent="0.2">
      <c r="A14" t="s">
        <v>36</v>
      </c>
      <c r="B14" s="41">
        <v>1457.0034251455234</v>
      </c>
      <c r="C14" s="42">
        <v>1457.0034251455236</v>
      </c>
      <c r="D14" s="41">
        <v>1455.0624860189223</v>
      </c>
      <c r="E14" s="42">
        <v>1455.0624860189225</v>
      </c>
      <c r="F14" s="41">
        <v>1452.9679647954219</v>
      </c>
      <c r="G14" s="42">
        <v>1452.9679647954222</v>
      </c>
      <c r="H14" s="41">
        <v>1450.7018946159228</v>
      </c>
      <c r="I14" s="42">
        <v>1450.701894615923</v>
      </c>
      <c r="J14" s="41">
        <v>1448.2432661460318</v>
      </c>
      <c r="K14" s="42">
        <v>1448.2432661460321</v>
      </c>
      <c r="L14" s="41">
        <v>1445.5676032365982</v>
      </c>
      <c r="M14" s="42">
        <v>1445.5676032365984</v>
      </c>
      <c r="N14" s="41">
        <v>1442.6457472520849</v>
      </c>
      <c r="O14" s="42">
        <v>1442.6457472520851</v>
      </c>
      <c r="P14" s="41">
        <v>1439.4427750890779</v>
      </c>
      <c r="Q14" s="42">
        <v>1439.4427750890782</v>
      </c>
      <c r="R14" s="41">
        <v>1435.9162935639692</v>
      </c>
      <c r="S14" s="42">
        <v>1435.9162935639695</v>
      </c>
      <c r="T14" s="41">
        <v>1432.0136694216774</v>
      </c>
      <c r="U14" s="42">
        <v>1432.0136694216776</v>
      </c>
      <c r="V14" s="41">
        <v>1427.6682885299756</v>
      </c>
      <c r="W14" s="42">
        <v>1427.6682885299758</v>
      </c>
      <c r="X14" s="41">
        <v>1422.7933968398322</v>
      </c>
      <c r="Y14" s="42">
        <v>1422.7933968398324</v>
      </c>
      <c r="Z14" s="41">
        <v>1417.2715731184276</v>
      </c>
      <c r="AA14" s="42">
        <v>1417.2715731184278</v>
      </c>
      <c r="AB14" s="41">
        <v>1410.9358797115208</v>
      </c>
      <c r="AC14" s="42">
        <v>1410.935879711521</v>
      </c>
      <c r="AD14" s="41">
        <v>1403.5315986672153</v>
      </c>
      <c r="AE14" s="42">
        <v>1403.5315986672156</v>
      </c>
      <c r="AF14" s="41">
        <v>1394.6297784601879</v>
      </c>
      <c r="AG14" s="42">
        <v>1394.6297784601882</v>
      </c>
      <c r="AH14" s="41">
        <v>1383.4193192910752</v>
      </c>
      <c r="AI14" s="42">
        <v>1383.4193192910755</v>
      </c>
      <c r="AJ14" s="41">
        <v>1368.2167549619016</v>
      </c>
      <c r="AK14" s="42">
        <v>1368.2167549619019</v>
      </c>
      <c r="AL14" s="41">
        <v>1345.182528198837</v>
      </c>
      <c r="AM14" s="42">
        <v>1345.1825281988372</v>
      </c>
      <c r="AN14" s="41">
        <v>1302.6229530634484</v>
      </c>
      <c r="AO14" s="42">
        <v>1302.6229530634487</v>
      </c>
      <c r="AP14" s="41">
        <v>1288.4464821952513</v>
      </c>
      <c r="AQ14" s="42">
        <v>1288.4464821952515</v>
      </c>
      <c r="AR14" s="41">
        <v>1270.0329441997972</v>
      </c>
      <c r="AS14" s="42">
        <v>1270.0329441997974</v>
      </c>
      <c r="AT14" s="41"/>
      <c r="AU14" s="42"/>
      <c r="AV14" s="41"/>
      <c r="AW14" s="42"/>
    </row>
    <row r="15" spans="1:49" x14ac:dyDescent="0.2">
      <c r="A15" t="s">
        <v>18</v>
      </c>
      <c r="B15" s="154">
        <v>1000</v>
      </c>
      <c r="C15" s="155">
        <v>1000</v>
      </c>
      <c r="D15" s="154">
        <v>995.63736463687439</v>
      </c>
      <c r="E15" s="155">
        <v>995.63736463687439</v>
      </c>
      <c r="F15" s="154">
        <v>991.17392136045612</v>
      </c>
      <c r="G15" s="155">
        <v>991.17392136045612</v>
      </c>
      <c r="H15" s="154">
        <v>986.59727987578196</v>
      </c>
      <c r="I15" s="155">
        <v>986.59727987578196</v>
      </c>
      <c r="J15" s="154">
        <v>981.89372958081583</v>
      </c>
      <c r="K15" s="155">
        <v>981.89372958081583</v>
      </c>
      <c r="L15" s="154">
        <v>977.04808033959296</v>
      </c>
      <c r="M15" s="155">
        <v>977.04808033959296</v>
      </c>
      <c r="N15" s="154">
        <v>972.04377000998863</v>
      </c>
      <c r="O15" s="155">
        <v>972.04377000998863</v>
      </c>
      <c r="P15" s="154">
        <v>966.86288650465212</v>
      </c>
      <c r="Q15" s="155">
        <v>966.86288650465212</v>
      </c>
      <c r="R15" s="154">
        <v>961.48640901718807</v>
      </c>
      <c r="S15" s="155">
        <v>961.48640901718807</v>
      </c>
      <c r="T15" s="154">
        <v>955.8947424032674</v>
      </c>
      <c r="U15" s="155">
        <v>955.8947424032674</v>
      </c>
      <c r="V15" s="154">
        <v>950.06852317449625</v>
      </c>
      <c r="W15" s="155">
        <v>950.06852317449625</v>
      </c>
      <c r="X15" s="154">
        <v>943.98980850666771</v>
      </c>
      <c r="Y15" s="155">
        <v>943.98980850666771</v>
      </c>
      <c r="Z15" s="154">
        <v>937.64299152150795</v>
      </c>
      <c r="AA15" s="155">
        <v>937.64299152150795</v>
      </c>
      <c r="AB15" s="154">
        <v>931.01221599132498</v>
      </c>
      <c r="AC15" s="155">
        <v>931.01221599132498</v>
      </c>
      <c r="AD15" s="154">
        <v>924.0627054393434</v>
      </c>
      <c r="AE15" s="155">
        <v>924.0627054393434</v>
      </c>
      <c r="AF15" s="154">
        <v>916.6659658292084</v>
      </c>
      <c r="AG15" s="155">
        <v>916.6659658292084</v>
      </c>
      <c r="AH15" s="154">
        <v>908.38231897110234</v>
      </c>
      <c r="AI15" s="155">
        <v>908.38231897110234</v>
      </c>
      <c r="AJ15" s="154">
        <v>898.01914501291628</v>
      </c>
      <c r="AK15" s="155">
        <v>898.01914501291628</v>
      </c>
      <c r="AL15" s="154">
        <v>882.80995282413221</v>
      </c>
      <c r="AM15" s="155">
        <v>882.80995282413221</v>
      </c>
      <c r="AN15" s="154">
        <v>854.87094826468763</v>
      </c>
      <c r="AO15" s="155">
        <v>854.87094826468763</v>
      </c>
      <c r="AP15" s="154">
        <v>845.56730989033019</v>
      </c>
      <c r="AQ15" s="155">
        <v>845.56730989033019</v>
      </c>
      <c r="AR15" s="154">
        <v>833.48306500493004</v>
      </c>
      <c r="AS15" s="155">
        <v>833.48306500493004</v>
      </c>
      <c r="AT15" s="154"/>
      <c r="AU15" s="155"/>
      <c r="AV15" s="154"/>
      <c r="AW15" s="155"/>
    </row>
    <row r="16" spans="1:49" s="29" customFormat="1" x14ac:dyDescent="0.2">
      <c r="A16" t="s">
        <v>61</v>
      </c>
      <c r="B16" s="41">
        <v>1000</v>
      </c>
      <c r="C16" s="42">
        <v>1000</v>
      </c>
      <c r="D16" s="41">
        <v>997.25240577791624</v>
      </c>
      <c r="E16" s="42">
        <v>996.50206354788963</v>
      </c>
      <c r="F16" s="41">
        <v>994.4001710066309</v>
      </c>
      <c r="G16" s="42">
        <v>992.90144052528615</v>
      </c>
      <c r="H16" s="41">
        <v>991.43092998050224</v>
      </c>
      <c r="I16" s="42">
        <v>989.18575451828508</v>
      </c>
      <c r="J16" s="41">
        <v>988.33058666434295</v>
      </c>
      <c r="K16" s="42">
        <v>985.34108937263466</v>
      </c>
      <c r="L16" s="41">
        <v>985.08308886441989</v>
      </c>
      <c r="M16" s="42">
        <v>981.35179385435356</v>
      </c>
      <c r="N16" s="41">
        <v>981.67003570469319</v>
      </c>
      <c r="O16" s="42">
        <v>977.20032118924814</v>
      </c>
      <c r="P16" s="41">
        <v>978.07029973468764</v>
      </c>
      <c r="Q16" s="42">
        <v>972.86703604548939</v>
      </c>
      <c r="R16" s="41">
        <v>974.25952622132525</v>
      </c>
      <c r="S16" s="42">
        <v>968.33005723558881</v>
      </c>
      <c r="T16" s="41">
        <v>970.20938740425186</v>
      </c>
      <c r="U16" s="42">
        <v>963.56510443976651</v>
      </c>
      <c r="V16" s="41">
        <v>965.88662014359682</v>
      </c>
      <c r="W16" s="42">
        <v>958.54535374863406</v>
      </c>
      <c r="X16" s="41">
        <v>961.25137554981472</v>
      </c>
      <c r="Y16" s="42">
        <v>953.24110068089385</v>
      </c>
      <c r="Z16" s="41">
        <v>956.25386861207517</v>
      </c>
      <c r="AA16" s="42">
        <v>947.61838240795601</v>
      </c>
      <c r="AB16" s="41">
        <v>950.82637398051975</v>
      </c>
      <c r="AC16" s="42">
        <v>941.63347903392412</v>
      </c>
      <c r="AD16" s="41">
        <v>944.86059248492984</v>
      </c>
      <c r="AE16" s="42">
        <v>935.21211077842315</v>
      </c>
      <c r="AF16" s="41">
        <v>938.1409969287098</v>
      </c>
      <c r="AG16" s="42">
        <v>928.17901259568839</v>
      </c>
      <c r="AH16" s="41">
        <v>930.16662826848676</v>
      </c>
      <c r="AI16" s="42">
        <v>920.06156174899843</v>
      </c>
      <c r="AJ16" s="41">
        <v>919.76455811671553</v>
      </c>
      <c r="AK16" s="42">
        <v>909.67769738651168</v>
      </c>
      <c r="AL16" s="41">
        <v>904.23709765965634</v>
      </c>
      <c r="AM16" s="42">
        <v>894.29790832822641</v>
      </c>
      <c r="AN16" s="41">
        <v>875.6244918913917</v>
      </c>
      <c r="AO16" s="42">
        <v>865.9977625504323</v>
      </c>
      <c r="AP16" s="41">
        <v>866.09502454604842</v>
      </c>
      <c r="AQ16" s="42">
        <v>856.57304815716645</v>
      </c>
      <c r="AR16" s="41">
        <v>853.71741948028728</v>
      </c>
      <c r="AS16" s="42">
        <v>844.33152101624682</v>
      </c>
      <c r="AT16" s="41"/>
      <c r="AU16" s="42"/>
      <c r="AV16" s="41"/>
      <c r="AW16" s="42"/>
    </row>
    <row r="17" spans="1:49" x14ac:dyDescent="0.2">
      <c r="A17" t="s">
        <v>62</v>
      </c>
      <c r="B17" s="35">
        <v>999.99999999998658</v>
      </c>
      <c r="C17" s="36">
        <v>1000.0000000000002</v>
      </c>
      <c r="D17" s="35">
        <v>998.96863297638936</v>
      </c>
      <c r="E17" s="36">
        <v>1019.1057576982311</v>
      </c>
      <c r="F17" s="35">
        <v>997.926014874781</v>
      </c>
      <c r="G17" s="36">
        <v>1040.0528358414056</v>
      </c>
      <c r="H17" s="35">
        <v>996.87039347213408</v>
      </c>
      <c r="I17" s="36">
        <v>1063.1314310035339</v>
      </c>
      <c r="J17" s="35">
        <v>995.80047572995318</v>
      </c>
      <c r="K17" s="36">
        <v>1088.7033213661575</v>
      </c>
      <c r="L17" s="35">
        <v>994.71584488975907</v>
      </c>
      <c r="M17" s="36">
        <v>1117.226309674269</v>
      </c>
      <c r="N17" s="35">
        <v>993.61768025010713</v>
      </c>
      <c r="O17" s="36">
        <v>1149.292973245281</v>
      </c>
      <c r="P17" s="35">
        <v>992.50986677536753</v>
      </c>
      <c r="Q17" s="36">
        <v>1185.6874578116451</v>
      </c>
      <c r="R17" s="35">
        <v>991.40083543960384</v>
      </c>
      <c r="S17" s="36">
        <v>1227.4760818618106</v>
      </c>
      <c r="T17" s="35">
        <v>990.30650201250944</v>
      </c>
      <c r="U17" s="36">
        <v>1276.1558672056105</v>
      </c>
      <c r="V17" s="35">
        <v>989.25517352195641</v>
      </c>
      <c r="W17" s="36">
        <v>1333.9066567158784</v>
      </c>
      <c r="X17" s="35">
        <v>988.29559301102131</v>
      </c>
      <c r="Y17" s="36">
        <v>1404.0403141439106</v>
      </c>
      <c r="Z17" s="35">
        <v>987.5098670906209</v>
      </c>
      <c r="AA17" s="36">
        <v>1491.8395307360479</v>
      </c>
      <c r="AB17" s="35">
        <v>987.03260322146843</v>
      </c>
      <c r="AC17" s="36">
        <v>1606.1969208331484</v>
      </c>
      <c r="AD17" s="35">
        <v>987.07118162486665</v>
      </c>
      <c r="AE17" s="36">
        <v>1762.9492720956537</v>
      </c>
      <c r="AF17" s="35">
        <v>987.89739935639659</v>
      </c>
      <c r="AG17" s="36">
        <v>1991.8976223078062</v>
      </c>
      <c r="AH17" s="35">
        <v>989.7356399015581</v>
      </c>
      <c r="AI17" s="36">
        <v>2352.7653401651014</v>
      </c>
      <c r="AJ17" s="35">
        <v>992.52929624647334</v>
      </c>
      <c r="AK17" s="36">
        <v>2981.3702651170356</v>
      </c>
      <c r="AL17" s="35">
        <v>995.84377667577132</v>
      </c>
      <c r="AM17" s="36">
        <v>4287.3120076716987</v>
      </c>
      <c r="AN17" s="35">
        <v>998.95965333776451</v>
      </c>
      <c r="AO17" s="36">
        <v>8455.5356029584746</v>
      </c>
      <c r="AP17" s="35">
        <v>999.42433777937129</v>
      </c>
      <c r="AQ17" s="36">
        <v>10657.062845456156</v>
      </c>
      <c r="AR17" s="35">
        <v>999.74013188960544</v>
      </c>
      <c r="AS17" s="36">
        <v>14469.327792442369</v>
      </c>
      <c r="AT17" s="35"/>
      <c r="AU17" s="36"/>
      <c r="AV17" s="35"/>
      <c r="AW17" s="36"/>
    </row>
    <row r="18" spans="1:49" x14ac:dyDescent="0.2">
      <c r="A18" t="s">
        <v>19</v>
      </c>
      <c r="B18" s="33">
        <v>27857.010133999996</v>
      </c>
      <c r="C18" s="34">
        <v>1236.7674480000003</v>
      </c>
      <c r="D18" s="33">
        <v>27860.436458414668</v>
      </c>
      <c r="E18" s="34">
        <v>1146.571199087728</v>
      </c>
      <c r="F18" s="33">
        <v>27861.252827036144</v>
      </c>
      <c r="G18" s="34">
        <v>1056.4776895455464</v>
      </c>
      <c r="H18" s="33">
        <v>27859.153512656045</v>
      </c>
      <c r="I18" s="34">
        <v>966.51545347077183</v>
      </c>
      <c r="J18" s="33">
        <v>27853.75699888487</v>
      </c>
      <c r="K18" s="34">
        <v>876.73741879167619</v>
      </c>
      <c r="L18" s="33">
        <v>27844.582741470094</v>
      </c>
      <c r="M18" s="34">
        <v>787.22757012934358</v>
      </c>
      <c r="N18" s="33">
        <v>27831.004966364464</v>
      </c>
      <c r="O18" s="34">
        <v>698.12507356085439</v>
      </c>
      <c r="P18" s="33">
        <v>27812.194565932306</v>
      </c>
      <c r="Q18" s="34">
        <v>609.64762484234245</v>
      </c>
      <c r="R18" s="33">
        <v>27787.026780600183</v>
      </c>
      <c r="S18" s="34">
        <v>522.13123159221618</v>
      </c>
      <c r="T18" s="33">
        <v>27753.932870697419</v>
      </c>
      <c r="U18" s="34">
        <v>436.09514207097556</v>
      </c>
      <c r="V18" s="33">
        <v>27710.672328405621</v>
      </c>
      <c r="W18" s="34">
        <v>352.33271395500617</v>
      </c>
      <c r="X18" s="33">
        <v>27653.962072808441</v>
      </c>
      <c r="Y18" s="34">
        <v>272.05074865332233</v>
      </c>
      <c r="Z18" s="33">
        <v>27578.876314164459</v>
      </c>
      <c r="AA18" s="34">
        <v>197.06713452789174</v>
      </c>
      <c r="AB18" s="33">
        <v>27477.914487003163</v>
      </c>
      <c r="AC18" s="34">
        <v>130.03579739943632</v>
      </c>
      <c r="AD18" s="33">
        <v>27339.711968329662</v>
      </c>
      <c r="AE18" s="34">
        <v>74.523860635334188</v>
      </c>
      <c r="AF18" s="33">
        <v>27147.803827135413</v>
      </c>
      <c r="AG18" s="34">
        <v>34.353436651829966</v>
      </c>
      <c r="AH18" s="33">
        <v>26880.278843218828</v>
      </c>
      <c r="AI18" s="34">
        <v>11.300513127333016</v>
      </c>
      <c r="AJ18" s="33">
        <v>26507.374989161639</v>
      </c>
      <c r="AK18" s="34">
        <v>2.1881139841572117</v>
      </c>
      <c r="AL18" s="33">
        <v>25968.835136002588</v>
      </c>
      <c r="AM18" s="34">
        <v>0.16587448540968286</v>
      </c>
      <c r="AN18" s="33">
        <v>25059.425053530693</v>
      </c>
      <c r="AO18" s="34">
        <v>1.2032828172387933E-3</v>
      </c>
      <c r="AP18" s="33">
        <v>24772.273790780557</v>
      </c>
      <c r="AQ18" s="34">
        <v>2.1831841615232628E-4</v>
      </c>
      <c r="AR18" s="33">
        <v>24406.890592941127</v>
      </c>
      <c r="AS18" s="34">
        <v>2.2363775921509162E-5</v>
      </c>
      <c r="AT18" s="33"/>
      <c r="AU18" s="34"/>
      <c r="AV18" s="33"/>
      <c r="AW18" s="34"/>
    </row>
    <row r="19" spans="1:49" x14ac:dyDescent="0.2">
      <c r="A19" t="s">
        <v>3</v>
      </c>
      <c r="B19" s="41">
        <v>1886.3937399999966</v>
      </c>
      <c r="C19" s="42">
        <v>262.78711299999782</v>
      </c>
      <c r="D19" s="41">
        <v>1880.9604636173401</v>
      </c>
      <c r="E19" s="42">
        <v>272.02592408039874</v>
      </c>
      <c r="F19" s="41">
        <v>1875.285171300281</v>
      </c>
      <c r="G19" s="42">
        <v>282.10074988581516</v>
      </c>
      <c r="H19" s="41">
        <v>1869.339160456477</v>
      </c>
      <c r="I19" s="42">
        <v>293.06488270479281</v>
      </c>
      <c r="J19" s="41">
        <v>1863.0914131629179</v>
      </c>
      <c r="K19" s="42">
        <v>304.96074985246184</v>
      </c>
      <c r="L19" s="41">
        <v>1856.5095676856665</v>
      </c>
      <c r="M19" s="42">
        <v>317.8086549932388</v>
      </c>
      <c r="N19" s="41">
        <v>1849.5608059218127</v>
      </c>
      <c r="O19" s="42">
        <v>331.59078054262716</v>
      </c>
      <c r="P19" s="41">
        <v>1842.2143848927631</v>
      </c>
      <c r="Q19" s="42">
        <v>346.2234209787938</v>
      </c>
      <c r="R19" s="41">
        <v>1834.445812945627</v>
      </c>
      <c r="S19" s="42">
        <v>361.51281007844113</v>
      </c>
      <c r="T19" s="41">
        <v>1826.2435695208965</v>
      </c>
      <c r="U19" s="42">
        <v>377.08327801896525</v>
      </c>
      <c r="V19" s="41">
        <v>1817.6212365936774</v>
      </c>
      <c r="W19" s="42">
        <v>392.25849807753974</v>
      </c>
      <c r="X19" s="41">
        <v>1808.637256761479</v>
      </c>
      <c r="Y19" s="42">
        <v>405.86699951287022</v>
      </c>
      <c r="Z19" s="41">
        <v>1799.4253761393779</v>
      </c>
      <c r="AA19" s="42">
        <v>415.9318859280711</v>
      </c>
      <c r="AB19" s="41">
        <v>1790.2339295871832</v>
      </c>
      <c r="AC19" s="42">
        <v>419.22161372122974</v>
      </c>
      <c r="AD19" s="41">
        <v>1781.4392549308784</v>
      </c>
      <c r="AE19" s="42">
        <v>410.79875871252204</v>
      </c>
      <c r="AF19" s="41">
        <v>1773.3878733999775</v>
      </c>
      <c r="AG19" s="42">
        <v>384.29795896491436</v>
      </c>
      <c r="AH19" s="41">
        <v>1765.7143030416532</v>
      </c>
      <c r="AI19" s="42">
        <v>334.63361416646779</v>
      </c>
      <c r="AJ19" s="41">
        <v>1755.8881415625424</v>
      </c>
      <c r="AK19" s="42">
        <v>263.15286880337817</v>
      </c>
      <c r="AL19" s="41">
        <v>1737.2342806603176</v>
      </c>
      <c r="AM19" s="42">
        <v>178.49624829325788</v>
      </c>
      <c r="AN19" s="41">
        <v>1691.8095241944063</v>
      </c>
      <c r="AO19" s="42">
        <v>89.510531200119786</v>
      </c>
      <c r="AP19" s="41">
        <v>1674.693318953884</v>
      </c>
      <c r="AQ19" s="42">
        <v>71.612280044907394</v>
      </c>
      <c r="AR19" s="41">
        <v>1651.5116701653624</v>
      </c>
      <c r="AS19" s="42">
        <v>53.710105637550456</v>
      </c>
      <c r="AT19" s="41"/>
      <c r="AU19" s="42"/>
      <c r="AV19" s="41"/>
      <c r="AW19" s="42"/>
    </row>
    <row r="20" spans="1:49" x14ac:dyDescent="0.2">
      <c r="A20" t="s">
        <v>127</v>
      </c>
      <c r="B20" s="82">
        <v>26548.356269999993</v>
      </c>
      <c r="C20" s="83">
        <v>1408.5418709999938</v>
      </c>
      <c r="D20" s="82">
        <v>26532.086545739563</v>
      </c>
      <c r="E20" s="83">
        <v>1338.1147774499941</v>
      </c>
      <c r="F20" s="82">
        <v>26513.002154513859</v>
      </c>
      <c r="G20" s="83">
        <v>1267.6876838999945</v>
      </c>
      <c r="H20" s="82">
        <v>26490.779450274396</v>
      </c>
      <c r="I20" s="83">
        <v>1197.2605903499946</v>
      </c>
      <c r="J20" s="82">
        <v>26465.031662835678</v>
      </c>
      <c r="K20" s="83">
        <v>1126.8334967999949</v>
      </c>
      <c r="L20" s="82">
        <v>26435.295971031112</v>
      </c>
      <c r="M20" s="83">
        <v>1056.4064032499953</v>
      </c>
      <c r="N20" s="82">
        <v>26401.004169691874</v>
      </c>
      <c r="O20" s="83">
        <v>985.97930969999561</v>
      </c>
      <c r="P20" s="82">
        <v>26361.451278567158</v>
      </c>
      <c r="Q20" s="83">
        <v>915.55221614999596</v>
      </c>
      <c r="R20" s="82">
        <v>26315.746565203528</v>
      </c>
      <c r="S20" s="83">
        <v>845.12512259999642</v>
      </c>
      <c r="T20" s="82">
        <v>26262.735326265512</v>
      </c>
      <c r="U20" s="83">
        <v>774.69802904999653</v>
      </c>
      <c r="V20" s="82">
        <v>26200.885988544753</v>
      </c>
      <c r="W20" s="83">
        <v>704.27093549999688</v>
      </c>
      <c r="X20" s="82">
        <v>26128.106441204971</v>
      </c>
      <c r="Y20" s="83">
        <v>633.84384194999734</v>
      </c>
      <c r="Z20" s="82">
        <v>26041.439700743351</v>
      </c>
      <c r="AA20" s="83">
        <v>563.41674839999757</v>
      </c>
      <c r="AB20" s="82">
        <v>25936.555399324789</v>
      </c>
      <c r="AC20" s="83">
        <v>492.98965484999775</v>
      </c>
      <c r="AD20" s="82">
        <v>25806.874375350111</v>
      </c>
      <c r="AE20" s="83">
        <v>422.56256129999798</v>
      </c>
      <c r="AF20" s="82">
        <v>25642.041021500107</v>
      </c>
      <c r="AG20" s="83">
        <v>352.13546774999827</v>
      </c>
      <c r="AH20" s="82">
        <v>25425.021849006585</v>
      </c>
      <c r="AI20" s="83">
        <v>281.70837419999856</v>
      </c>
      <c r="AJ20" s="82">
        <v>25125.057869364282</v>
      </c>
      <c r="AK20" s="83">
        <v>211.28128064999876</v>
      </c>
      <c r="AL20" s="82">
        <v>24674.867902484802</v>
      </c>
      <c r="AM20" s="83">
        <v>140.85418709999902</v>
      </c>
      <c r="AN20" s="82">
        <v>23864.470403759926</v>
      </c>
      <c r="AO20" s="83">
        <v>70.427093549999285</v>
      </c>
      <c r="AP20" s="82">
        <v>23598.850427654535</v>
      </c>
      <c r="AQ20" s="83">
        <v>56.341674839999335</v>
      </c>
      <c r="AR20" s="82">
        <v>23256.012001798772</v>
      </c>
      <c r="AS20" s="83">
        <v>42.256256129999379</v>
      </c>
      <c r="AT20" s="82"/>
      <c r="AU20" s="83"/>
      <c r="AV20" s="82"/>
      <c r="AW20" s="83"/>
    </row>
    <row r="21" spans="1:49" x14ac:dyDescent="0.2">
      <c r="A21" t="s">
        <v>76</v>
      </c>
      <c r="B21" s="82">
        <v>24661.96252999999</v>
      </c>
      <c r="C21" s="83">
        <v>1145.7547579999916</v>
      </c>
      <c r="D21" s="82">
        <v>24651.128696704895</v>
      </c>
      <c r="E21" s="83">
        <v>1066.238792001149</v>
      </c>
      <c r="F21" s="82">
        <v>24637.727564304743</v>
      </c>
      <c r="G21" s="83">
        <v>986.22470619317437</v>
      </c>
      <c r="H21" s="82">
        <v>24621.464400065506</v>
      </c>
      <c r="I21" s="83">
        <v>905.72429625964401</v>
      </c>
      <c r="J21" s="82">
        <v>24601.983688823355</v>
      </c>
      <c r="K21" s="83">
        <v>824.77231263083263</v>
      </c>
      <c r="L21" s="82">
        <v>24578.855211171183</v>
      </c>
      <c r="M21" s="83">
        <v>743.43921005892412</v>
      </c>
      <c r="N21" s="82">
        <v>24551.543776024126</v>
      </c>
      <c r="O21" s="83">
        <v>661.84814897060096</v>
      </c>
      <c r="P21" s="82">
        <v>24519.375210229478</v>
      </c>
      <c r="Q21" s="83">
        <v>580.20222875170987</v>
      </c>
      <c r="R21" s="82">
        <v>24481.483047644233</v>
      </c>
      <c r="S21" s="83">
        <v>498.82482079113521</v>
      </c>
      <c r="T21" s="82">
        <v>24436.723317200544</v>
      </c>
      <c r="U21" s="83">
        <v>418.22057507352065</v>
      </c>
      <c r="V21" s="82">
        <v>24383.549047230445</v>
      </c>
      <c r="W21" s="83">
        <v>339.16874585050118</v>
      </c>
      <c r="X21" s="82">
        <v>24319.806080663679</v>
      </c>
      <c r="Y21" s="83">
        <v>262.86273933876095</v>
      </c>
      <c r="Z21" s="82">
        <v>24242.397158388503</v>
      </c>
      <c r="AA21" s="83">
        <v>191.10735411510544</v>
      </c>
      <c r="AB21" s="82">
        <v>24146.732758682498</v>
      </c>
      <c r="AC21" s="83">
        <v>126.54975990928183</v>
      </c>
      <c r="AD21" s="82">
        <v>24025.841897527684</v>
      </c>
      <c r="AE21" s="83">
        <v>72.76935996545248</v>
      </c>
      <c r="AF21" s="82">
        <v>23869.006871251062</v>
      </c>
      <c r="AG21" s="83">
        <v>33.646491836451077</v>
      </c>
      <c r="AH21" s="82">
        <v>23659.55911858426</v>
      </c>
      <c r="AI21" s="83">
        <v>11.095677542143708</v>
      </c>
      <c r="AJ21" s="82">
        <v>23369.300870238287</v>
      </c>
      <c r="AK21" s="83">
        <v>2.1522159403762902</v>
      </c>
      <c r="AL21" s="82">
        <v>22937.673289188271</v>
      </c>
      <c r="AM21" s="83">
        <v>0.16330582454349113</v>
      </c>
      <c r="AN21" s="82">
        <v>22172.663272417394</v>
      </c>
      <c r="AO21" s="83">
        <v>1.1850006156309718E-3</v>
      </c>
      <c r="AP21" s="82">
        <v>21924.157832707231</v>
      </c>
      <c r="AQ21" s="83">
        <v>2.1500416763581173E-4</v>
      </c>
      <c r="AR21" s="82">
        <v>21604.500476964848</v>
      </c>
      <c r="AS21" s="83">
        <v>2.2024418342692124E-5</v>
      </c>
      <c r="AT21" s="82"/>
      <c r="AU21" s="83"/>
      <c r="AV21" s="82"/>
      <c r="AW21" s="83"/>
    </row>
    <row r="22" spans="1:49" x14ac:dyDescent="0.2">
      <c r="A22" t="s">
        <v>28</v>
      </c>
      <c r="B22" s="41">
        <v>6533.6044688320717</v>
      </c>
      <c r="C22" s="42">
        <v>379.90788307663411</v>
      </c>
      <c r="D22" s="41">
        <v>6515.4802875428832</v>
      </c>
      <c r="E22" s="42">
        <v>369.96392403160553</v>
      </c>
      <c r="F22" s="41">
        <v>6496.349677139342</v>
      </c>
      <c r="G22" s="42">
        <v>359.71899696423242</v>
      </c>
      <c r="H22" s="41">
        <v>6476.0902944590889</v>
      </c>
      <c r="I22" s="42">
        <v>349.14914810955116</v>
      </c>
      <c r="J22" s="41">
        <v>6454.5539166737653</v>
      </c>
      <c r="K22" s="42">
        <v>338.22557428115834</v>
      </c>
      <c r="L22" s="41">
        <v>6431.5586545049255</v>
      </c>
      <c r="M22" s="42">
        <v>326.91338332214184</v>
      </c>
      <c r="N22" s="41">
        <v>6406.8758179179158</v>
      </c>
      <c r="O22" s="42">
        <v>315.16885858519169</v>
      </c>
      <c r="P22" s="41">
        <v>6380.211964473212</v>
      </c>
      <c r="Q22" s="42">
        <v>302.93637466316005</v>
      </c>
      <c r="R22" s="41">
        <v>6351.1821863634068</v>
      </c>
      <c r="S22" s="42">
        <v>290.14354145313769</v>
      </c>
      <c r="T22" s="41">
        <v>6319.2641320508437</v>
      </c>
      <c r="U22" s="42">
        <v>276.6937327957915</v>
      </c>
      <c r="V22" s="41">
        <v>6283.7291266756283</v>
      </c>
      <c r="W22" s="42">
        <v>262.45540128387051</v>
      </c>
      <c r="X22" s="41">
        <v>6243.5250300899615</v>
      </c>
      <c r="Y22" s="42">
        <v>247.24603742335063</v>
      </c>
      <c r="Z22" s="41">
        <v>6197.0763819808963</v>
      </c>
      <c r="AA22" s="42">
        <v>230.8093084526175</v>
      </c>
      <c r="AB22" s="41">
        <v>6141.9477282285607</v>
      </c>
      <c r="AC22" s="42">
        <v>212.78737386716412</v>
      </c>
      <c r="AD22" s="41">
        <v>6074.2884378103799</v>
      </c>
      <c r="AE22" s="42">
        <v>192.70346533958138</v>
      </c>
      <c r="AF22" s="41">
        <v>5988.00525183021</v>
      </c>
      <c r="AG22" s="42">
        <v>170.0060557611512</v>
      </c>
      <c r="AH22" s="41">
        <v>5873.5797582958839</v>
      </c>
      <c r="AI22" s="42">
        <v>144.24936411855197</v>
      </c>
      <c r="AJ22" s="41">
        <v>5715.1318958718402</v>
      </c>
      <c r="AK22" s="42">
        <v>115.29029662732337</v>
      </c>
      <c r="AL22" s="41">
        <v>5477.66896104637</v>
      </c>
      <c r="AM22" s="42">
        <v>83.008927687313886</v>
      </c>
      <c r="AN22" s="41">
        <v>5039.9660569741245</v>
      </c>
      <c r="AO22" s="42">
        <v>46.358728103047525</v>
      </c>
      <c r="AP22" s="41">
        <v>4890.5973291843993</v>
      </c>
      <c r="AQ22" s="42">
        <v>38.241270646128456</v>
      </c>
      <c r="AR22" s="41">
        <v>4692.1232728620234</v>
      </c>
      <c r="AS22" s="42">
        <v>29.736141461118653</v>
      </c>
      <c r="AT22" s="41"/>
      <c r="AU22" s="42"/>
      <c r="AV22" s="41"/>
      <c r="AW22" s="42"/>
    </row>
    <row r="23" spans="1:49" x14ac:dyDescent="0.2">
      <c r="A23" t="s">
        <v>7</v>
      </c>
      <c r="B23" s="116">
        <v>3278.5018080150408</v>
      </c>
      <c r="C23" s="8">
        <v>0</v>
      </c>
      <c r="D23" s="116">
        <v>3281.4726857320265</v>
      </c>
      <c r="E23" s="8">
        <v>0</v>
      </c>
      <c r="F23" s="116">
        <v>3284.2029295191237</v>
      </c>
      <c r="G23" s="8">
        <v>0</v>
      </c>
      <c r="H23" s="116">
        <v>3286.6657896649626</v>
      </c>
      <c r="I23" s="8">
        <v>0</v>
      </c>
      <c r="J23" s="116">
        <v>3288.8296842153868</v>
      </c>
      <c r="K23" s="8">
        <v>0</v>
      </c>
      <c r="L23" s="116">
        <v>3290.658159837586</v>
      </c>
      <c r="M23" s="8">
        <v>0</v>
      </c>
      <c r="N23" s="116">
        <v>3292.1075999520272</v>
      </c>
      <c r="O23" s="8">
        <v>0</v>
      </c>
      <c r="P23" s="116">
        <v>3293.1263038351908</v>
      </c>
      <c r="Q23" s="8">
        <v>0</v>
      </c>
      <c r="R23" s="116">
        <v>3293.6528126729218</v>
      </c>
      <c r="S23" s="8">
        <v>0</v>
      </c>
      <c r="T23" s="116">
        <v>3293.6127812583991</v>
      </c>
      <c r="U23" s="8">
        <v>0</v>
      </c>
      <c r="V23" s="116">
        <v>3292.916615568196</v>
      </c>
      <c r="W23" s="8">
        <v>0</v>
      </c>
      <c r="X23" s="116">
        <v>3291.4559026358666</v>
      </c>
      <c r="Y23" s="8">
        <v>0</v>
      </c>
      <c r="Z23" s="116">
        <v>3289.0981428204109</v>
      </c>
      <c r="AA23" s="8">
        <v>0</v>
      </c>
      <c r="AB23" s="116">
        <v>3285.6784620385265</v>
      </c>
      <c r="AC23" s="8">
        <v>0</v>
      </c>
      <c r="AD23" s="116">
        <v>3280.9748102233584</v>
      </c>
      <c r="AE23" s="8">
        <v>0</v>
      </c>
      <c r="AF23" s="116">
        <v>3274.6187215905884</v>
      </c>
      <c r="AG23" s="8">
        <v>0</v>
      </c>
      <c r="AH23" s="116">
        <v>3265.809882461821</v>
      </c>
      <c r="AI23" s="8">
        <v>0</v>
      </c>
      <c r="AJ23" s="116">
        <v>3252.6649011731042</v>
      </c>
      <c r="AK23" s="8">
        <v>0</v>
      </c>
      <c r="AL23" s="116">
        <v>3231.0873394806713</v>
      </c>
      <c r="AM23" s="8">
        <v>0</v>
      </c>
      <c r="AN23" s="116">
        <v>3191.4742256965565</v>
      </c>
      <c r="AO23" s="8">
        <v>0</v>
      </c>
      <c r="AP23" s="116">
        <v>3179.3773565275405</v>
      </c>
      <c r="AQ23" s="8">
        <v>0</v>
      </c>
      <c r="AR23" s="116">
        <v>3164.8872919723249</v>
      </c>
      <c r="AS23" s="8">
        <v>0</v>
      </c>
      <c r="AT23" s="116"/>
      <c r="AU23" s="8"/>
      <c r="AV23" s="116"/>
      <c r="AW23" s="8"/>
    </row>
    <row r="24" spans="1:49" x14ac:dyDescent="0.2">
      <c r="A24" t="s">
        <v>8</v>
      </c>
      <c r="B24" s="97">
        <v>3196.3846373657216</v>
      </c>
      <c r="C24" s="8">
        <v>0</v>
      </c>
      <c r="D24" s="97">
        <v>3218.7252948369473</v>
      </c>
      <c r="E24" s="8">
        <v>0</v>
      </c>
      <c r="F24" s="97">
        <v>3240.96893364169</v>
      </c>
      <c r="G24" s="8">
        <v>0</v>
      </c>
      <c r="H24" s="97">
        <v>3263.107734422852</v>
      </c>
      <c r="I24" s="8">
        <v>0</v>
      </c>
      <c r="J24" s="97">
        <v>3285.1346014043966</v>
      </c>
      <c r="K24" s="8">
        <v>0</v>
      </c>
      <c r="L24" s="97">
        <v>3307.0472982693573</v>
      </c>
      <c r="M24" s="8">
        <v>0</v>
      </c>
      <c r="N24" s="97">
        <v>3328.8498026786251</v>
      </c>
      <c r="O24" s="8">
        <v>0</v>
      </c>
      <c r="P24" s="97">
        <v>3350.5600227321588</v>
      </c>
      <c r="Q24" s="8">
        <v>0</v>
      </c>
      <c r="R24" s="97">
        <v>3372.2203286876747</v>
      </c>
      <c r="S24" s="8">
        <v>0</v>
      </c>
      <c r="T24" s="97">
        <v>3393.916080618782</v>
      </c>
      <c r="U24" s="8">
        <v>0</v>
      </c>
      <c r="V24" s="97">
        <v>3415.8086221696954</v>
      </c>
      <c r="W24" s="8">
        <v>0</v>
      </c>
      <c r="X24" s="97">
        <v>3438.1929052141695</v>
      </c>
      <c r="Y24" s="8">
        <v>0</v>
      </c>
      <c r="Z24" s="97">
        <v>3461.595911525957</v>
      </c>
      <c r="AA24" s="8">
        <v>0</v>
      </c>
      <c r="AB24" s="97">
        <v>3486.9367809509586</v>
      </c>
      <c r="AC24" s="8">
        <v>0</v>
      </c>
      <c r="AD24" s="97">
        <v>3515.7365488317796</v>
      </c>
      <c r="AE24" s="8">
        <v>0</v>
      </c>
      <c r="AF24" s="97">
        <v>3550.2088328992463</v>
      </c>
      <c r="AG24" s="8">
        <v>0</v>
      </c>
      <c r="AH24" s="97">
        <v>3592.7612955909276</v>
      </c>
      <c r="AI24" s="8">
        <v>0</v>
      </c>
      <c r="AJ24" s="97">
        <v>3644.981854064913</v>
      </c>
      <c r="AK24" s="8">
        <v>0</v>
      </c>
      <c r="AL24" s="97">
        <v>3709.4284268113365</v>
      </c>
      <c r="AM24" s="8">
        <v>0</v>
      </c>
      <c r="AN24" s="97">
        <v>3805.9511149818641</v>
      </c>
      <c r="AO24" s="8">
        <v>0</v>
      </c>
      <c r="AP24" s="97">
        <v>3837.3617883807433</v>
      </c>
      <c r="AQ24" s="8">
        <v>0</v>
      </c>
      <c r="AR24" s="97">
        <v>3879.9603268517403</v>
      </c>
      <c r="AS24" s="8">
        <v>0</v>
      </c>
      <c r="AT24" s="97"/>
      <c r="AU24" s="8"/>
      <c r="AV24" s="97"/>
      <c r="AW24" s="8"/>
    </row>
    <row r="25" spans="1:49" x14ac:dyDescent="0.2">
      <c r="A25" t="s">
        <v>0</v>
      </c>
      <c r="B25" s="41">
        <v>3195.0476040000012</v>
      </c>
      <c r="C25" s="42">
        <v>91.012690000004255</v>
      </c>
      <c r="D25" s="41">
        <v>3209.29927894916</v>
      </c>
      <c r="E25" s="42">
        <v>80.305124573656215</v>
      </c>
      <c r="F25" s="41">
        <v>3223.4907817092521</v>
      </c>
      <c r="G25" s="42">
        <v>70.15012244048701</v>
      </c>
      <c r="H25" s="41">
        <v>3237.6101778789684</v>
      </c>
      <c r="I25" s="42">
        <v>60.572928097588189</v>
      </c>
      <c r="J25" s="41">
        <v>3251.6304050502372</v>
      </c>
      <c r="K25" s="42">
        <v>51.599531969833826</v>
      </c>
      <c r="L25" s="41">
        <v>3265.5000582840635</v>
      </c>
      <c r="M25" s="42">
        <v>43.256532264691835</v>
      </c>
      <c r="N25" s="41">
        <v>3279.1275812201975</v>
      </c>
      <c r="O25" s="42">
        <v>35.571530427072389</v>
      </c>
      <c r="P25" s="41">
        <v>3292.3574922090356</v>
      </c>
      <c r="Q25" s="42">
        <v>28.573102862864008</v>
      </c>
      <c r="R25" s="41">
        <v>3304.9319325004863</v>
      </c>
      <c r="S25" s="42">
        <v>22.290851553921794</v>
      </c>
      <c r="T25" s="41">
        <v>3316.4285173532671</v>
      </c>
      <c r="U25" s="42">
        <v>16.755441160216272</v>
      </c>
      <c r="V25" s="41">
        <v>3326.1597406456954</v>
      </c>
      <c r="W25" s="42">
        <v>11.997873339410013</v>
      </c>
      <c r="X25" s="41">
        <v>3333.0091279561639</v>
      </c>
      <c r="Y25" s="42">
        <v>8.0476348955921271</v>
      </c>
      <c r="Z25" s="41">
        <v>3335.1711839733853</v>
      </c>
      <c r="AA25" s="42">
        <v>4.9280075060839925</v>
      </c>
      <c r="AB25" s="41">
        <v>3329.7734392679163</v>
      </c>
      <c r="AC25" s="42">
        <v>2.6450656495637008</v>
      </c>
      <c r="AD25" s="41">
        <v>3312.4774786997987</v>
      </c>
      <c r="AE25" s="42">
        <v>1.1651309260323726</v>
      </c>
      <c r="AF25" s="41">
        <v>3277.5905991439822</v>
      </c>
      <c r="AG25" s="42">
        <v>0.37874069763243529</v>
      </c>
      <c r="AH25" s="41">
        <v>3219.8689661108274</v>
      </c>
      <c r="AI25" s="42">
        <v>7.6862068506530087E-2</v>
      </c>
      <c r="AJ25" s="41">
        <v>3137.6362500089449</v>
      </c>
      <c r="AK25" s="42">
        <v>7.4044217621337107E-3</v>
      </c>
      <c r="AL25" s="41">
        <v>3031.0313765183423</v>
      </c>
      <c r="AM25" s="42">
        <v>1.8791195676330253E-4</v>
      </c>
      <c r="AN25" s="41">
        <v>2886.7540201898669</v>
      </c>
      <c r="AO25" s="42">
        <v>1.6402396783197381E-7</v>
      </c>
      <c r="AP25" s="41">
        <v>2848.1136147219208</v>
      </c>
      <c r="AQ25" s="42">
        <v>1.4172399193811605E-8</v>
      </c>
      <c r="AR25" s="41">
        <v>2802.3896462534235</v>
      </c>
      <c r="AS25" s="42">
        <v>5.3653176076187097E-10</v>
      </c>
      <c r="AT25" s="41"/>
      <c r="AU25" s="42"/>
      <c r="AV25" s="41"/>
      <c r="AW25" s="42"/>
    </row>
    <row r="26" spans="1:49" x14ac:dyDescent="0.2">
      <c r="A26" t="s">
        <v>27</v>
      </c>
      <c r="B26" s="33">
        <v>5036.2953101960647</v>
      </c>
      <c r="C26" s="34">
        <v>74.905331803938267</v>
      </c>
      <c r="D26" s="33">
        <v>5041.3424438396205</v>
      </c>
      <c r="E26" s="34">
        <v>69.858198160379928</v>
      </c>
      <c r="F26" s="33">
        <v>5046.4167545805094</v>
      </c>
      <c r="G26" s="34">
        <v>64.783887419497418</v>
      </c>
      <c r="H26" s="33">
        <v>5051.5204125873479</v>
      </c>
      <c r="I26" s="34">
        <v>59.680229412656523</v>
      </c>
      <c r="J26" s="33">
        <v>5056.6547224719225</v>
      </c>
      <c r="K26" s="34">
        <v>54.545919528085335</v>
      </c>
      <c r="L26" s="33">
        <v>5061.8196932082101</v>
      </c>
      <c r="M26" s="34">
        <v>49.380948791795582</v>
      </c>
      <c r="N26" s="33">
        <v>5067.0127590406673</v>
      </c>
      <c r="O26" s="34">
        <v>44.187882959333614</v>
      </c>
      <c r="P26" s="33">
        <v>5072.2273265878448</v>
      </c>
      <c r="Q26" s="34">
        <v>38.973315412159081</v>
      </c>
      <c r="R26" s="33">
        <v>5077.4502961350245</v>
      </c>
      <c r="S26" s="34">
        <v>33.750345864978527</v>
      </c>
      <c r="T26" s="33">
        <v>5082.6579524582367</v>
      </c>
      <c r="U26" s="34">
        <v>28.542689541775069</v>
      </c>
      <c r="V26" s="33">
        <v>5087.8097986989105</v>
      </c>
      <c r="W26" s="34">
        <v>23.390843301096869</v>
      </c>
      <c r="X26" s="33">
        <v>5092.8387276371668</v>
      </c>
      <c r="Y26" s="34">
        <v>18.361914362843368</v>
      </c>
      <c r="Z26" s="33">
        <v>5097.636182767721</v>
      </c>
      <c r="AA26" s="34">
        <v>13.564459232283701</v>
      </c>
      <c r="AB26" s="33">
        <v>5102.0328530806892</v>
      </c>
      <c r="AC26" s="34">
        <v>9.1677889193146491</v>
      </c>
      <c r="AD26" s="33">
        <v>5105.7844992325136</v>
      </c>
      <c r="AE26" s="34">
        <v>5.416142767488906</v>
      </c>
      <c r="AF26" s="33">
        <v>5108.6017213099694</v>
      </c>
      <c r="AG26" s="34">
        <v>2.5989206900333892</v>
      </c>
      <c r="AH26" s="33">
        <v>5110.2970322706142</v>
      </c>
      <c r="AI26" s="34">
        <v>0.90360972939073803</v>
      </c>
      <c r="AJ26" s="33">
        <v>5111.01102845062</v>
      </c>
      <c r="AK26" s="34">
        <v>0.18961354938693947</v>
      </c>
      <c r="AL26" s="33">
        <v>5111.1843157491166</v>
      </c>
      <c r="AM26" s="34">
        <v>1.6326250887482126E-2</v>
      </c>
      <c r="AN26" s="33">
        <v>5111.2004898046607</v>
      </c>
      <c r="AO26" s="34">
        <v>1.5219534487282142E-4</v>
      </c>
      <c r="AP26" s="33">
        <v>5111.2006118155359</v>
      </c>
      <c r="AQ26" s="34">
        <v>3.0184465316349475E-5</v>
      </c>
      <c r="AR26" s="33">
        <v>5111.2006385129789</v>
      </c>
      <c r="AS26" s="34">
        <v>3.4870224359738681E-6</v>
      </c>
      <c r="AT26" s="33"/>
      <c r="AU26" s="34"/>
      <c r="AV26" s="33"/>
      <c r="AW26" s="34"/>
    </row>
    <row r="27" spans="1:49" x14ac:dyDescent="0.2">
      <c r="A27" t="s">
        <v>2</v>
      </c>
      <c r="B27" s="35">
        <v>6425.1981589998131</v>
      </c>
      <c r="C27" s="36">
        <v>273.22915400000056</v>
      </c>
      <c r="D27" s="35">
        <v>6443.3759413404368</v>
      </c>
      <c r="E27" s="36">
        <v>255.05142147644594</v>
      </c>
      <c r="F27" s="35">
        <v>6461.6854807428444</v>
      </c>
      <c r="G27" s="36">
        <v>236.7418889915383</v>
      </c>
      <c r="H27" s="35">
        <v>6480.1351874500833</v>
      </c>
      <c r="I27" s="36">
        <v>218.29212835945151</v>
      </c>
      <c r="J27" s="35">
        <v>6498.730325019782</v>
      </c>
      <c r="K27" s="36">
        <v>199.69701704289747</v>
      </c>
      <c r="L27" s="35">
        <v>6517.4716237841194</v>
      </c>
      <c r="M27" s="36">
        <v>180.95569390946827</v>
      </c>
      <c r="N27" s="35">
        <v>6536.3503244312824</v>
      </c>
      <c r="O27" s="36">
        <v>162.07699663365784</v>
      </c>
      <c r="P27" s="35">
        <v>6555.3428883122479</v>
      </c>
      <c r="Q27" s="36">
        <v>143.08442735318022</v>
      </c>
      <c r="R27" s="35">
        <v>6574.4020830561112</v>
      </c>
      <c r="S27" s="36">
        <v>124.02525614593237</v>
      </c>
      <c r="T27" s="35">
        <v>6593.4411597031803</v>
      </c>
      <c r="U27" s="36">
        <v>104.98617903289878</v>
      </c>
      <c r="V27" s="35">
        <v>6612.3113229298115</v>
      </c>
      <c r="W27" s="36">
        <v>86.116001435014965</v>
      </c>
      <c r="X27" s="35">
        <v>6630.7650704235239</v>
      </c>
      <c r="Y27" s="36">
        <v>67.662259836104411</v>
      </c>
      <c r="Z27" s="35">
        <v>6648.4004533052448</v>
      </c>
      <c r="AA27" s="36">
        <v>50.026859119267378</v>
      </c>
      <c r="AB27" s="35">
        <v>6664.58918923694</v>
      </c>
      <c r="AC27" s="36">
        <v>33.838117810699224</v>
      </c>
      <c r="AD27" s="35">
        <v>6678.4230544705579</v>
      </c>
      <c r="AE27" s="36">
        <v>20.004258336464886</v>
      </c>
      <c r="AF27" s="35">
        <v>6688.8235040574782</v>
      </c>
      <c r="AG27" s="36">
        <v>9.6038076016714555</v>
      </c>
      <c r="AH27" s="35">
        <v>6695.0871875264147</v>
      </c>
      <c r="AI27" s="36">
        <v>3.3401225384320985</v>
      </c>
      <c r="AJ27" s="35">
        <v>6697.7263319175054</v>
      </c>
      <c r="AK27" s="36">
        <v>0.70098105359868335</v>
      </c>
      <c r="AL27" s="35">
        <v>6698.366954741783</v>
      </c>
      <c r="AM27" s="36">
        <v>6.0358270689452272E-2</v>
      </c>
      <c r="AN27" s="35">
        <v>6698.4267503329511</v>
      </c>
      <c r="AO27" s="36">
        <v>5.6266897421483283E-4</v>
      </c>
      <c r="AP27" s="35">
        <v>6698.4272014200769</v>
      </c>
      <c r="AQ27" s="36">
        <v>1.1159255461831935E-4</v>
      </c>
      <c r="AR27" s="35">
        <v>6698.4273001086767</v>
      </c>
      <c r="AS27" s="36">
        <v>1.2891590262692571E-5</v>
      </c>
      <c r="AT27" s="35"/>
      <c r="AU27" s="36"/>
      <c r="AV27" s="35"/>
      <c r="AW27" s="36"/>
    </row>
    <row r="28" spans="1:49" x14ac:dyDescent="0.2">
      <c r="A28" t="s">
        <v>35</v>
      </c>
      <c r="B28" s="41">
        <v>13763.097675999827</v>
      </c>
      <c r="C28" s="42">
        <v>382.36647900000054</v>
      </c>
      <c r="D28" s="41">
        <v>13788.619639347236</v>
      </c>
      <c r="E28" s="42">
        <v>356.83495457020388</v>
      </c>
      <c r="F28" s="41">
        <v>13814.293697107925</v>
      </c>
      <c r="G28" s="42">
        <v>331.1318586775044</v>
      </c>
      <c r="H28" s="41">
        <v>13840.131034675964</v>
      </c>
      <c r="I28" s="42">
        <v>305.24564325955043</v>
      </c>
      <c r="J28" s="41">
        <v>13866.138406582395</v>
      </c>
      <c r="K28" s="42">
        <v>279.16932771696884</v>
      </c>
      <c r="L28" s="41">
        <v>13892.316146635309</v>
      </c>
      <c r="M28" s="42">
        <v>252.90208334062973</v>
      </c>
      <c r="N28" s="41">
        <v>13918.651403875523</v>
      </c>
      <c r="O28" s="42">
        <v>226.45653248356646</v>
      </c>
      <c r="P28" s="41">
        <v>13945.110826265403</v>
      </c>
      <c r="Q28" s="42">
        <v>199.86583215419952</v>
      </c>
      <c r="R28" s="41">
        <v>13971.628189337815</v>
      </c>
      <c r="S28" s="42">
        <v>173.19638944261581</v>
      </c>
      <c r="T28" s="41">
        <v>13998.082867646492</v>
      </c>
      <c r="U28" s="42">
        <v>146.56950267372304</v>
      </c>
      <c r="V28" s="41">
        <v>14024.268768393546</v>
      </c>
      <c r="W28" s="42">
        <v>120.19302694057984</v>
      </c>
      <c r="X28" s="41">
        <v>14049.84409423927</v>
      </c>
      <c r="Y28" s="42">
        <v>94.412309907769853</v>
      </c>
      <c r="Z28" s="41">
        <v>14074.255157140484</v>
      </c>
      <c r="AA28" s="42">
        <v>69.787435051365605</v>
      </c>
      <c r="AB28" s="41">
        <v>14096.637965088121</v>
      </c>
      <c r="AC28" s="42">
        <v>47.19337657521347</v>
      </c>
      <c r="AD28" s="41">
        <v>14115.74539410639</v>
      </c>
      <c r="AE28" s="42">
        <v>27.894117596546959</v>
      </c>
      <c r="AF28" s="41">
        <v>14130.098767498064</v>
      </c>
      <c r="AG28" s="42">
        <v>13.389675470307814</v>
      </c>
      <c r="AH28" s="41">
        <v>14138.738229471946</v>
      </c>
      <c r="AI28" s="42">
        <v>4.6564051710935175</v>
      </c>
      <c r="AJ28" s="41">
        <v>14142.377289112323</v>
      </c>
      <c r="AK28" s="42">
        <v>0.97718878259427289</v>
      </c>
      <c r="AL28" s="41">
        <v>14143.260532402426</v>
      </c>
      <c r="AM28" s="42">
        <v>8.4140495962260614E-2</v>
      </c>
      <c r="AN28" s="41">
        <v>14143.342972187516</v>
      </c>
      <c r="AO28" s="42">
        <v>7.843698199939841E-4</v>
      </c>
      <c r="AP28" s="41">
        <v>14143.343594092707</v>
      </c>
      <c r="AQ28" s="42">
        <v>1.5556184572129418E-4</v>
      </c>
      <c r="AR28" s="41">
        <v>14143.343730158711</v>
      </c>
      <c r="AS28" s="42">
        <v>1.7971087372811756E-5</v>
      </c>
      <c r="AT28" s="41"/>
      <c r="AU28" s="42"/>
      <c r="AV28" s="41"/>
      <c r="AW28" s="42"/>
    </row>
    <row r="29" spans="1:49" x14ac:dyDescent="0.2">
      <c r="A29" t="s">
        <v>53</v>
      </c>
      <c r="B29" s="35">
        <v>14362.768558000018</v>
      </c>
      <c r="C29" s="36">
        <v>817.26651000000095</v>
      </c>
      <c r="D29" s="35">
        <v>14364.434561257725</v>
      </c>
      <c r="E29" s="36">
        <v>754.18997360278149</v>
      </c>
      <c r="F29" s="35">
        <v>14364.751906213323</v>
      </c>
      <c r="G29" s="36">
        <v>691.52872839343831</v>
      </c>
      <c r="H29" s="35">
        <v>14363.562734371157</v>
      </c>
      <c r="I29" s="36">
        <v>629.33054713011347</v>
      </c>
      <c r="J29" s="35">
        <v>14360.670142255127</v>
      </c>
      <c r="K29" s="36">
        <v>567.66238091179309</v>
      </c>
      <c r="L29" s="35">
        <v>14355.826273508908</v>
      </c>
      <c r="M29" s="36">
        <v>506.61504268341213</v>
      </c>
      <c r="N29" s="35">
        <v>14348.708561607322</v>
      </c>
      <c r="O29" s="36">
        <v>446.31878766782654</v>
      </c>
      <c r="P29" s="35">
        <v>14338.889933588624</v>
      </c>
      <c r="Q29" s="36">
        <v>386.95822135374567</v>
      </c>
      <c r="R29" s="35">
        <v>14325.791439278399</v>
      </c>
      <c r="S29" s="36">
        <v>328.79704989072525</v>
      </c>
      <c r="T29" s="35">
        <v>14308.606183900813</v>
      </c>
      <c r="U29" s="36">
        <v>272.21758459495135</v>
      </c>
      <c r="V29" s="35">
        <v>14286.182526563251</v>
      </c>
      <c r="W29" s="36">
        <v>217.77437535059994</v>
      </c>
      <c r="X29" s="35">
        <v>14256.83396964536</v>
      </c>
      <c r="Y29" s="36">
        <v>166.27390824424475</v>
      </c>
      <c r="Z29" s="35">
        <v>14218.031415881474</v>
      </c>
      <c r="AA29" s="36">
        <v>118.8821937201852</v>
      </c>
      <c r="AB29" s="35">
        <v>14165.924896723767</v>
      </c>
      <c r="AC29" s="36">
        <v>77.233638150877184</v>
      </c>
      <c r="AD29" s="35">
        <v>14094.680734928379</v>
      </c>
      <c r="AE29" s="36">
        <v>43.424184527126904</v>
      </c>
      <c r="AF29" s="35">
        <v>13995.841110855119</v>
      </c>
      <c r="AG29" s="36">
        <v>19.536029722961754</v>
      </c>
      <c r="AH29" s="35">
        <v>13858.128513934576</v>
      </c>
      <c r="AI29" s="36">
        <v>6.2237736621087825</v>
      </c>
      <c r="AJ29" s="35">
        <v>13666.177550469092</v>
      </c>
      <c r="AK29" s="36">
        <v>1.1537140447827336</v>
      </c>
      <c r="AL29" s="35">
        <v>13388.857824722885</v>
      </c>
      <c r="AM29" s="36">
        <v>8.213675116943929E-2</v>
      </c>
      <c r="AN29" s="35">
        <v>12920.273154609564</v>
      </c>
      <c r="AO29" s="36">
        <v>5.3652824465833904E-4</v>
      </c>
      <c r="AP29" s="35">
        <v>12772.262661551893</v>
      </c>
      <c r="AQ29" s="36">
        <v>9.4264988185597834E-5</v>
      </c>
      <c r="AR29" s="35">
        <v>12583.902758595154</v>
      </c>
      <c r="AS29" s="36">
        <v>9.2787734311388548E-6</v>
      </c>
      <c r="AT29" s="35"/>
      <c r="AU29" s="36"/>
      <c r="AV29" s="35"/>
      <c r="AW29" s="36"/>
    </row>
    <row r="30" spans="1:49" x14ac:dyDescent="0.2">
      <c r="A30" t="s">
        <v>48</v>
      </c>
      <c r="B30" s="119">
        <v>2924829.9599999995</v>
      </c>
      <c r="D30" s="119">
        <v>2957474.4766331636</v>
      </c>
      <c r="F30" s="119">
        <v>2990015.1587073607</v>
      </c>
      <c r="H30" s="119">
        <v>3022451.5780304568</v>
      </c>
      <c r="J30" s="119">
        <v>3054790.4625747176</v>
      </c>
      <c r="L30" s="119">
        <v>3087051.3870440912</v>
      </c>
      <c r="N30" s="119">
        <v>3119276.5912968107</v>
      </c>
      <c r="P30" s="119">
        <v>3151546.7620043186</v>
      </c>
      <c r="R30" s="119">
        <v>3184008.6085572643</v>
      </c>
      <c r="T30" s="119">
        <v>3216918.5568446168</v>
      </c>
      <c r="V30" s="119">
        <v>3250720.608247234</v>
      </c>
      <c r="X30" s="119">
        <v>3286178.2032744805</v>
      </c>
      <c r="Z30" s="119">
        <v>3324596.6483045826</v>
      </c>
      <c r="AB30" s="119">
        <v>3368181.9470548825</v>
      </c>
      <c r="AD30" s="119">
        <v>3420509.9752867217</v>
      </c>
      <c r="AF30" s="119">
        <v>3486754.4877330172</v>
      </c>
      <c r="AH30" s="119">
        <v>3572682.7898904695</v>
      </c>
      <c r="AJ30" s="119">
        <v>3682531.5994043723</v>
      </c>
      <c r="AL30" s="119">
        <v>3822423.5507289041</v>
      </c>
      <c r="AN30" s="119">
        <v>4030989.3079892374</v>
      </c>
      <c r="AP30" s="119">
        <v>4096046.5329158362</v>
      </c>
      <c r="AR30" s="119">
        <v>4181448.7473844667</v>
      </c>
      <c r="AT30" s="119"/>
      <c r="AV30" s="119"/>
    </row>
    <row r="31" spans="1:49" x14ac:dyDescent="0.2">
      <c r="A31" t="s">
        <v>47</v>
      </c>
      <c r="B31" s="80">
        <v>1</v>
      </c>
      <c r="D31" s="80">
        <v>0.99592821022423927</v>
      </c>
      <c r="F31" s="80">
        <v>0.99161453014221479</v>
      </c>
      <c r="H31" s="80">
        <v>0.98702908946360357</v>
      </c>
      <c r="J31" s="80">
        <v>0.98213567979907657</v>
      </c>
      <c r="L31" s="80">
        <v>0.97688985247949134</v>
      </c>
      <c r="N31" s="80">
        <v>0.97123574009961455</v>
      </c>
      <c r="P31" s="80">
        <v>0.96510170693301178</v>
      </c>
      <c r="R31" s="80">
        <v>0.95839375711513497</v>
      </c>
      <c r="T31" s="80">
        <v>0.95098455507061874</v>
      </c>
      <c r="V31" s="80">
        <v>0.94269653338831139</v>
      </c>
      <c r="X31" s="80">
        <v>0.93327334218609792</v>
      </c>
      <c r="Z31" s="80">
        <v>0.92233102582491966</v>
      </c>
      <c r="AB31" s="80">
        <v>0.90927485082995574</v>
      </c>
      <c r="AD31" s="80">
        <v>0.89316048297168638</v>
      </c>
      <c r="AF31" s="80">
        <v>0.87248190715597118</v>
      </c>
      <c r="AH31" s="80">
        <v>0.84485964802056868</v>
      </c>
      <c r="AJ31" s="80">
        <v>0.80629161400974658</v>
      </c>
      <c r="AL31" s="80">
        <v>0.74803836549103897</v>
      </c>
      <c r="AN31" s="80">
        <v>0.64076343889366105</v>
      </c>
      <c r="AP31" s="80">
        <v>0.60463820005360902</v>
      </c>
      <c r="AR31" s="80">
        <v>0.55733706296314267</v>
      </c>
      <c r="AT31" s="80"/>
      <c r="AV31" s="80"/>
    </row>
    <row r="32" spans="1:49" x14ac:dyDescent="0.2">
      <c r="A32" t="s">
        <v>64</v>
      </c>
      <c r="B32" s="86">
        <v>14734457.915000005</v>
      </c>
      <c r="D32" s="86">
        <v>14731070.399124397</v>
      </c>
      <c r="F32" s="86">
        <v>14726365.349413151</v>
      </c>
      <c r="H32" s="86">
        <v>14720196.529585404</v>
      </c>
      <c r="J32" s="86">
        <v>14712403.836406181</v>
      </c>
      <c r="L32" s="86">
        <v>14702820.5614662</v>
      </c>
      <c r="N32" s="86">
        <v>14691274.917924494</v>
      </c>
      <c r="P32" s="86">
        <v>14677604.968463805</v>
      </c>
      <c r="R32" s="86">
        <v>14661681.957681626</v>
      </c>
      <c r="T32" s="86">
        <v>14643446.038505878</v>
      </c>
      <c r="V32" s="86">
        <v>14622977.756480761</v>
      </c>
      <c r="X32" s="86">
        <v>14600616.351169594</v>
      </c>
      <c r="Z32" s="86">
        <v>14577150.514511185</v>
      </c>
      <c r="AB32" s="86">
        <v>14554094.301452784</v>
      </c>
      <c r="AD32" s="86">
        <v>14533897.119538987</v>
      </c>
      <c r="AF32" s="86">
        <v>14519367.330326388</v>
      </c>
      <c r="AH32" s="86">
        <v>14510481.686683426</v>
      </c>
      <c r="AJ32" s="86">
        <v>14497582.582908358</v>
      </c>
      <c r="AL32" s="86">
        <v>14454792.282405213</v>
      </c>
      <c r="AN32" s="86">
        <v>14326910.705833809</v>
      </c>
      <c r="AP32" s="86">
        <v>14279916.80807483</v>
      </c>
      <c r="AR32" s="86">
        <v>14219778.482959522</v>
      </c>
      <c r="AT32" s="86"/>
      <c r="AV32" s="86"/>
    </row>
    <row r="33" spans="1:49 16319:16321" x14ac:dyDescent="0.2">
      <c r="A33" t="s">
        <v>54</v>
      </c>
      <c r="B33" s="117">
        <v>7019665.6909999941</v>
      </c>
      <c r="D33" s="117">
        <v>6998320.7306048777</v>
      </c>
      <c r="F33" s="117">
        <v>6976253.9731285851</v>
      </c>
      <c r="H33" s="117">
        <v>6953378.7028052714</v>
      </c>
      <c r="J33" s="117">
        <v>6929596.4564147005</v>
      </c>
      <c r="L33" s="117">
        <v>6904795.8340085056</v>
      </c>
      <c r="N33" s="117">
        <v>6878849.8986504897</v>
      </c>
      <c r="P33" s="117">
        <v>6851614.0540510388</v>
      </c>
      <c r="R33" s="117">
        <v>6822924.6065399572</v>
      </c>
      <c r="T33" s="117">
        <v>6792592.8709655041</v>
      </c>
      <c r="V33" s="117">
        <v>6760402.1857805774</v>
      </c>
      <c r="X33" s="117">
        <v>6726099.6624477459</v>
      </c>
      <c r="Z33" s="117">
        <v>6689376.4520952869</v>
      </c>
      <c r="AB33" s="117">
        <v>6649819.0189133286</v>
      </c>
      <c r="AD33" s="117">
        <v>6606754.434469318</v>
      </c>
      <c r="AF33" s="117">
        <v>6558772.7224534787</v>
      </c>
      <c r="AH33" s="117">
        <v>6502429.1823341474</v>
      </c>
      <c r="AJ33" s="117">
        <v>6429465.8976487648</v>
      </c>
      <c r="AL33" s="117">
        <v>6320864.9039034545</v>
      </c>
      <c r="AN33" s="117">
        <v>6120849.6426212806</v>
      </c>
      <c r="AP33" s="117">
        <v>6054236.0747659961</v>
      </c>
      <c r="AR33" s="117">
        <v>5967713.2933316296</v>
      </c>
      <c r="AT33" s="117"/>
      <c r="AV33" s="117"/>
    </row>
    <row r="34" spans="1:49 16319:16321" x14ac:dyDescent="0.2">
      <c r="A34" t="s">
        <v>75</v>
      </c>
      <c r="B34" s="117">
        <v>1136879.4410000113</v>
      </c>
      <c r="D34" s="117">
        <v>1136618.0158250774</v>
      </c>
      <c r="F34" s="117">
        <v>1136254.9829636428</v>
      </c>
      <c r="H34" s="117">
        <v>1135779.0628152867</v>
      </c>
      <c r="J34" s="117">
        <v>1135177.7740046913</v>
      </c>
      <c r="L34" s="117">
        <v>1134438.3678698498</v>
      </c>
      <c r="N34" s="117">
        <v>1133547.5251828299</v>
      </c>
      <c r="P34" s="117">
        <v>1132492.7892003425</v>
      </c>
      <c r="R34" s="117">
        <v>1131264.1610303398</v>
      </c>
      <c r="T34" s="117">
        <v>1129857.1109736215</v>
      </c>
      <c r="V34" s="117">
        <v>1128277.8793138883</v>
      </c>
      <c r="X34" s="117">
        <v>1126552.506577407</v>
      </c>
      <c r="Z34" s="117">
        <v>1124741.9294120204</v>
      </c>
      <c r="AB34" s="117">
        <v>1122962.9616090669</v>
      </c>
      <c r="AD34" s="117">
        <v>1121404.5959824307</v>
      </c>
      <c r="AF34" s="117">
        <v>1120283.5074767228</v>
      </c>
      <c r="AH34" s="117">
        <v>1119597.9109712129</v>
      </c>
      <c r="AJ34" s="117">
        <v>1118602.6440647864</v>
      </c>
      <c r="AL34" s="117">
        <v>1115301.0354767237</v>
      </c>
      <c r="AN34" s="117">
        <v>1105433.9649593646</v>
      </c>
      <c r="AP34" s="117">
        <v>1101808.0157373017</v>
      </c>
      <c r="AR34" s="117">
        <v>1097167.8704510471</v>
      </c>
      <c r="AT34" s="117"/>
      <c r="AV34" s="117"/>
    </row>
    <row r="35" spans="1:49 16319:16321" x14ac:dyDescent="0.2">
      <c r="A35" t="s">
        <v>78</v>
      </c>
      <c r="B35" s="233">
        <v>1</v>
      </c>
      <c r="D35" s="233">
        <v>1.0010354967970865</v>
      </c>
      <c r="F35" s="233">
        <v>1.0022217985238726</v>
      </c>
      <c r="H35" s="233">
        <v>1.0035817399640221</v>
      </c>
      <c r="J35" s="233">
        <v>1.0051446461496283</v>
      </c>
      <c r="L35" s="233">
        <v>1.0069488340936821</v>
      </c>
      <c r="N35" s="233">
        <v>1.009045613073418</v>
      </c>
      <c r="P35" s="233">
        <v>1.0115052253197183</v>
      </c>
      <c r="R35" s="233">
        <v>1.0144263585272146</v>
      </c>
      <c r="T35" s="233">
        <v>1.0179516702774727</v>
      </c>
      <c r="V35" s="233">
        <v>1.0222939356084102</v>
      </c>
      <c r="X35" s="233">
        <v>1.0277817644620038</v>
      </c>
      <c r="Z35" s="233">
        <v>1.0349423532577069</v>
      </c>
      <c r="AB35" s="233">
        <v>1.0446555946956524</v>
      </c>
      <c r="AD35" s="233">
        <v>1.0584448937705517</v>
      </c>
      <c r="AF35" s="233">
        <v>1.0790269690711616</v>
      </c>
      <c r="AH35" s="233">
        <v>1.1114386680294959</v>
      </c>
      <c r="AJ35" s="233">
        <v>1.1663057115186106</v>
      </c>
      <c r="AL35" s="233">
        <v>1.2741805823308563</v>
      </c>
      <c r="AN35" s="233">
        <v>1.5845962014133916</v>
      </c>
      <c r="AP35" s="233">
        <v>1.7338319548610552</v>
      </c>
      <c r="AR35" s="233">
        <v>1.9744581950941029</v>
      </c>
      <c r="AT35" s="233"/>
      <c r="AV35" s="233"/>
    </row>
    <row r="36" spans="1:49 16319:16321" x14ac:dyDescent="0.2">
      <c r="A36" t="s">
        <v>21</v>
      </c>
      <c r="B36" s="37">
        <v>0.47195767671988087</v>
      </c>
      <c r="C36" s="38">
        <v>0.31738834428178991</v>
      </c>
      <c r="D36" s="37">
        <v>0.47196123021489311</v>
      </c>
      <c r="E36" s="38">
        <v>0.32040093764827632</v>
      </c>
      <c r="F36" s="37">
        <v>0.47196488966180677</v>
      </c>
      <c r="G36" s="38">
        <v>0.32366757905848803</v>
      </c>
      <c r="H36" s="37">
        <v>0.47196866432478718</v>
      </c>
      <c r="I36" s="38">
        <v>0.32722514415736786</v>
      </c>
      <c r="J36" s="37">
        <v>0.47197256265094961</v>
      </c>
      <c r="K36" s="38">
        <v>0.33111900591028626</v>
      </c>
      <c r="L36" s="37">
        <v>0.47197658975566897</v>
      </c>
      <c r="M36" s="38">
        <v>0.33540575011406282</v>
      </c>
      <c r="N36" s="37">
        <v>0.47198074529102019</v>
      </c>
      <c r="O36" s="38">
        <v>0.34015751100672792</v>
      </c>
      <c r="P36" s="37">
        <v>0.4719850179062493</v>
      </c>
      <c r="Q36" s="38">
        <v>0.34546815197537151</v>
      </c>
      <c r="R36" s="37">
        <v>0.47198937741765223</v>
      </c>
      <c r="S36" s="38">
        <v>0.3514630029816993</v>
      </c>
      <c r="T36" s="37">
        <v>0.47199376060496634</v>
      </c>
      <c r="U36" s="38">
        <v>0.35831454494895898</v>
      </c>
      <c r="V36" s="37">
        <v>0.47199804868936102</v>
      </c>
      <c r="W36" s="38">
        <v>0.36626843009840709</v>
      </c>
      <c r="X36" s="37">
        <v>0.4720020294214462</v>
      </c>
      <c r="Y36" s="38">
        <v>0.37568868201642663</v>
      </c>
      <c r="Z36" s="37">
        <v>0.47200533684811885</v>
      </c>
      <c r="AA36" s="38">
        <v>0.38713947261991849</v>
      </c>
      <c r="AB36" s="37">
        <v>0.47200736711362173</v>
      </c>
      <c r="AC36" s="38">
        <v>0.40153838259289648</v>
      </c>
      <c r="AD36" s="37">
        <v>0.47200720241517641</v>
      </c>
      <c r="AE36" s="38">
        <v>0.42045081565359615</v>
      </c>
      <c r="AF36" s="37">
        <v>0.47200370012332227</v>
      </c>
      <c r="AG36" s="38">
        <v>0.44666157403038886</v>
      </c>
      <c r="AH36" s="37">
        <v>0.47199607950274797</v>
      </c>
      <c r="AI36" s="38">
        <v>0.48534821435957365</v>
      </c>
      <c r="AJ36" s="37">
        <v>0.47198494226333426</v>
      </c>
      <c r="AK36" s="38">
        <v>0.54721302093670854</v>
      </c>
      <c r="AL36" s="37">
        <v>0.4719724033966049</v>
      </c>
      <c r="AM36" s="38">
        <v>0.66099734754930017</v>
      </c>
      <c r="AN36" s="37">
        <v>0.47196126134119615</v>
      </c>
      <c r="AO36" s="38">
        <v>0.95518444860183627</v>
      </c>
      <c r="AP36" s="37">
        <v>0.47195965194559814</v>
      </c>
      <c r="AQ36" s="38">
        <v>1.0872119707473153</v>
      </c>
      <c r="AR36" s="37">
        <v>0.47195856585312729</v>
      </c>
      <c r="AS36" s="38">
        <v>1.2937832100861286</v>
      </c>
      <c r="AT36" s="37"/>
      <c r="AU36" s="38"/>
      <c r="AV36" s="37"/>
      <c r="AW36" s="38"/>
    </row>
    <row r="37" spans="1:49 16319:16321" x14ac:dyDescent="0.2">
      <c r="B37" s="39">
        <v>2.1403217525954137E-2</v>
      </c>
      <c r="C37" s="40">
        <v>0.34962461301992576</v>
      </c>
      <c r="D37" s="39">
        <v>2.0566582701961537E-2</v>
      </c>
      <c r="E37" s="40">
        <v>0.3446422665630044</v>
      </c>
      <c r="F37" s="39">
        <v>1.9716309839686131E-2</v>
      </c>
      <c r="G37" s="40">
        <v>0.33947485359076146</v>
      </c>
      <c r="H37" s="39">
        <v>1.8851721435759968E-2</v>
      </c>
      <c r="I37" s="40">
        <v>0.33410580509288457</v>
      </c>
      <c r="J37" s="39">
        <v>1.7971949169478633E-2</v>
      </c>
      <c r="K37" s="40">
        <v>0.32851526067185682</v>
      </c>
      <c r="L37" s="39">
        <v>1.7075890081285058E-2</v>
      </c>
      <c r="M37" s="40">
        <v>0.32267919265647799</v>
      </c>
      <c r="N37" s="39">
        <v>1.6162067217939158E-2</v>
      </c>
      <c r="O37" s="40">
        <v>0.31656766873196618</v>
      </c>
      <c r="P37" s="39">
        <v>1.5228501547022915E-2</v>
      </c>
      <c r="Q37" s="40">
        <v>0.31014276429971577</v>
      </c>
      <c r="R37" s="39">
        <v>1.4272498600953989E-2</v>
      </c>
      <c r="S37" s="40">
        <v>0.3033552674007633</v>
      </c>
      <c r="T37" s="39">
        <v>1.3290340124933794E-2</v>
      </c>
      <c r="U37" s="40">
        <v>0.29613966355605048</v>
      </c>
      <c r="V37" s="39">
        <v>1.227687504113825E-2</v>
      </c>
      <c r="W37" s="40">
        <v>0.28840659609123187</v>
      </c>
      <c r="X37" s="39">
        <v>1.1224977173019013E-2</v>
      </c>
      <c r="Y37" s="40">
        <v>0.28003121931955949</v>
      </c>
      <c r="Z37" s="39">
        <v>1.0124946799018696E-2</v>
      </c>
      <c r="AA37" s="40">
        <v>0.27083553278006861</v>
      </c>
      <c r="AB37" s="39">
        <v>8.9642785535651911E-3</v>
      </c>
      <c r="AC37" s="40">
        <v>0.26056365508581675</v>
      </c>
      <c r="AD37" s="39">
        <v>7.72917677755531E-3</v>
      </c>
      <c r="AE37" s="40">
        <v>0.24885491620954336</v>
      </c>
      <c r="AF37" s="39">
        <v>6.4111317611257141E-3</v>
      </c>
      <c r="AG37" s="40">
        <v>0.23523890668254727</v>
      </c>
      <c r="AH37" s="39">
        <v>5.0216003873378061E-3</v>
      </c>
      <c r="AI37" s="40">
        <v>0.21919290214122142</v>
      </c>
      <c r="AJ37" s="39">
        <v>3.6047687370790449E-3</v>
      </c>
      <c r="AK37" s="40">
        <v>0.20018489241954496</v>
      </c>
      <c r="AL37" s="39">
        <v>2.2263551450808433E-3</v>
      </c>
      <c r="AM37" s="40">
        <v>0.17730088543175188</v>
      </c>
      <c r="AN37" s="39">
        <v>9.6044453280361196E-4</v>
      </c>
      <c r="AO37" s="40">
        <v>0.14764516680437004</v>
      </c>
      <c r="AP37" s="39">
        <v>7.3067065813108847E-4</v>
      </c>
      <c r="AQ37" s="40">
        <v>0.14015658379070275</v>
      </c>
      <c r="AR37" s="39">
        <v>5.1297446825119869E-4</v>
      </c>
      <c r="AS37" s="40">
        <v>0.13169910188216846</v>
      </c>
      <c r="AT37" s="39"/>
      <c r="AU37" s="40"/>
      <c r="AV37" s="39"/>
      <c r="AW37" s="40"/>
    </row>
    <row r="38" spans="1:49 16319:16321" x14ac:dyDescent="0.2">
      <c r="A38" t="s">
        <v>22</v>
      </c>
      <c r="B38" s="37">
        <v>0.18079094942242827</v>
      </c>
      <c r="C38" s="38">
        <v>6.0565413429233668E-2</v>
      </c>
      <c r="D38" s="37">
        <v>0.18094987317820671</v>
      </c>
      <c r="E38" s="38">
        <v>6.0927919884925387E-2</v>
      </c>
      <c r="F38" s="37">
        <v>0.18112669900053963</v>
      </c>
      <c r="G38" s="38">
        <v>6.132063938554614E-2</v>
      </c>
      <c r="H38" s="37">
        <v>0.18132354273766821</v>
      </c>
      <c r="I38" s="38">
        <v>6.1747827412737065E-2</v>
      </c>
      <c r="J38" s="37">
        <v>0.18154300415108693</v>
      </c>
      <c r="K38" s="38">
        <v>6.2214658983371314E-2</v>
      </c>
      <c r="L38" s="37">
        <v>0.18178831193866057</v>
      </c>
      <c r="M38" s="38">
        <v>6.272766689774617E-2</v>
      </c>
      <c r="N38" s="37">
        <v>0.18206359293041965</v>
      </c>
      <c r="O38" s="38">
        <v>6.329508082835221E-2</v>
      </c>
      <c r="P38" s="37">
        <v>0.18237422129934736</v>
      </c>
      <c r="Q38" s="38">
        <v>6.3927609694596529E-2</v>
      </c>
      <c r="R38" s="37">
        <v>0.18272736900660067</v>
      </c>
      <c r="S38" s="38">
        <v>6.4639584500736216E-2</v>
      </c>
      <c r="T38" s="37">
        <v>0.18313289061185642</v>
      </c>
      <c r="U38" s="38">
        <v>6.545060191734417E-2</v>
      </c>
      <c r="V38" s="37">
        <v>0.18360470429595116</v>
      </c>
      <c r="W38" s="38">
        <v>6.6388508289593404E-2</v>
      </c>
      <c r="X38" s="37">
        <v>0.18416307631537718</v>
      </c>
      <c r="Y38" s="38">
        <v>6.7494445259704786E-2</v>
      </c>
      <c r="Z38" s="37">
        <v>0.18483842940872774</v>
      </c>
      <c r="AA38" s="38">
        <v>6.8831666248051454E-2</v>
      </c>
      <c r="AB38" s="37">
        <v>0.18567758683046745</v>
      </c>
      <c r="AC38" s="38">
        <v>7.0502039458823593E-2</v>
      </c>
      <c r="AD38" s="37">
        <v>0.18675341222127934</v>
      </c>
      <c r="AE38" s="38">
        <v>7.2676626268620023E-2</v>
      </c>
      <c r="AF38" s="37">
        <v>0.1881773477456655</v>
      </c>
      <c r="AG38" s="38">
        <v>7.5652422096027697E-2</v>
      </c>
      <c r="AH38" s="37">
        <v>0.19011324480957922</v>
      </c>
      <c r="AI38" s="38">
        <v>7.9961831751262688E-2</v>
      </c>
      <c r="AJ38" s="37">
        <v>0.19281468008584082</v>
      </c>
      <c r="AK38" s="38">
        <v>8.6656157201962347E-2</v>
      </c>
      <c r="AL38" s="37">
        <v>0.19681993008084872</v>
      </c>
      <c r="AM38" s="38">
        <v>9.8425329532501368E-2</v>
      </c>
      <c r="AN38" s="37">
        <v>0.20396319863230578</v>
      </c>
      <c r="AO38" s="38">
        <v>0.12648343572466889</v>
      </c>
      <c r="AP38" s="37">
        <v>0.20632747138931432</v>
      </c>
      <c r="AQ38" s="38">
        <v>0.13825890572277241</v>
      </c>
      <c r="AR38" s="37">
        <v>0.20941629655976013</v>
      </c>
      <c r="AS38" s="38">
        <v>0.15592279444278009</v>
      </c>
      <c r="AT38" s="37"/>
      <c r="AU38" s="38"/>
      <c r="AV38" s="37"/>
      <c r="AW38" s="38"/>
    </row>
    <row r="39" spans="1:49 16319:16321" x14ac:dyDescent="0.2">
      <c r="A39" t="s">
        <v>23</v>
      </c>
      <c r="B39" s="39">
        <v>0.23064923795097952</v>
      </c>
      <c r="C39" s="40">
        <v>0.22092201281804799</v>
      </c>
      <c r="D39" s="39">
        <v>0.2312733309457666</v>
      </c>
      <c r="E39" s="40">
        <v>0.22244708543122152</v>
      </c>
      <c r="F39" s="39">
        <v>0.23192372291573771</v>
      </c>
      <c r="G39" s="40">
        <v>0.22408602787757403</v>
      </c>
      <c r="H39" s="39">
        <v>0.23260344879130099</v>
      </c>
      <c r="I39" s="40">
        <v>0.22585477301533166</v>
      </c>
      <c r="J39" s="39">
        <v>0.23331611334442098</v>
      </c>
      <c r="K39" s="40">
        <v>0.22777289158950337</v>
      </c>
      <c r="L39" s="39">
        <v>0.23406605458222141</v>
      </c>
      <c r="M39" s="40">
        <v>0.22986452809285726</v>
      </c>
      <c r="N39" s="39">
        <v>0.23485858064884385</v>
      </c>
      <c r="O39" s="40">
        <v>0.23216040043794511</v>
      </c>
      <c r="P39" s="39">
        <v>0.2357003102639737</v>
      </c>
      <c r="Q39" s="40">
        <v>0.23470021291427565</v>
      </c>
      <c r="R39" s="39">
        <v>0.23659969578487261</v>
      </c>
      <c r="S39" s="40">
        <v>0.23753655909017896</v>
      </c>
      <c r="T39" s="39">
        <v>0.23756781391744772</v>
      </c>
      <c r="U39" s="40">
        <v>0.24074145502820579</v>
      </c>
      <c r="V39" s="39">
        <v>0.23861966409785271</v>
      </c>
      <c r="W39" s="40">
        <v>0.24441670621029021</v>
      </c>
      <c r="X39" s="39">
        <v>0.23977631317226025</v>
      </c>
      <c r="Y39" s="40">
        <v>0.24871190456574438</v>
      </c>
      <c r="Z39" s="39">
        <v>0.24106857645576513</v>
      </c>
      <c r="AA39" s="40">
        <v>0.25385693682061872</v>
      </c>
      <c r="AB39" s="39">
        <v>0.24254348678424043</v>
      </c>
      <c r="AC39" s="40">
        <v>0.26022155812031728</v>
      </c>
      <c r="AD39" s="39">
        <v>0.24427554548514802</v>
      </c>
      <c r="AE39" s="40">
        <v>0.26842756354707981</v>
      </c>
      <c r="AF39" s="39">
        <v>0.24638543679808486</v>
      </c>
      <c r="AG39" s="40">
        <v>0.27955886041345657</v>
      </c>
      <c r="AH39" s="39">
        <v>0.24907060029309946</v>
      </c>
      <c r="AI39" s="40">
        <v>0.29557264354246066</v>
      </c>
      <c r="AJ39" s="39">
        <v>0.25267407031650918</v>
      </c>
      <c r="AK39" s="40">
        <v>0.32035856389294903</v>
      </c>
      <c r="AL39" s="39">
        <v>0.25793867609623056</v>
      </c>
      <c r="AM39" s="40">
        <v>0.36387917370400402</v>
      </c>
      <c r="AN39" s="39">
        <v>0.26730169331595222</v>
      </c>
      <c r="AO39" s="40">
        <v>0.46761157572747947</v>
      </c>
      <c r="AP39" s="39">
        <v>0.27040017634202862</v>
      </c>
      <c r="AQ39" s="40">
        <v>0.51114586018459574</v>
      </c>
      <c r="AR39" s="39">
        <v>0.27444820447738527</v>
      </c>
      <c r="AS39" s="40">
        <v>0.5764496258565005</v>
      </c>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0.10800000000000051</v>
      </c>
      <c r="E42" s="135"/>
      <c r="F42" s="177">
        <f>10.8%+(1-10.8%)*(1-SUM(F26:G26)/SUM($B$26:$C$26))</f>
        <v>0.10799999999999942</v>
      </c>
      <c r="G42" s="135"/>
      <c r="H42" s="177">
        <f>10.8%+(1-10.8%)*(1-SUM(H26:I26)/SUM($B$26:$C$26))</f>
        <v>0.10799999999999982</v>
      </c>
      <c r="I42" s="135"/>
      <c r="J42" s="177">
        <f>10.8%+(1-10.8%)*(1-SUM(J26:K26)/SUM($B$26:$C$26))</f>
        <v>0.10799999999999922</v>
      </c>
      <c r="K42" s="135"/>
      <c r="L42" s="177">
        <f>10.8%+(1-10.8%)*(1-SUM(L26:M26)/SUM($B$26:$C$26))</f>
        <v>0.10799999999999961</v>
      </c>
      <c r="M42" s="135"/>
      <c r="N42" s="177">
        <f>10.8%+(1-10.8%)*(1-SUM(N26:O26)/SUM($B$26:$C$26))</f>
        <v>0.10800000000000051</v>
      </c>
      <c r="O42" s="135"/>
      <c r="P42" s="177">
        <f>10.8%+(1-10.8%)*(1-SUM(P26:Q26)/SUM($B$26:$C$26))</f>
        <v>0.10800000000000001</v>
      </c>
      <c r="Q42" s="135"/>
      <c r="R42" s="177">
        <f>10.8%+(1-10.8%)*(1-SUM(R26:S26)/SUM($B$26:$C$26))</f>
        <v>0.10800000000000001</v>
      </c>
      <c r="S42" s="135"/>
      <c r="T42" s="177">
        <f>10.8%+(1-10.8%)*(1-SUM(T26:U26)/SUM($B$26:$C$26))</f>
        <v>0.10799999999999862</v>
      </c>
      <c r="U42" s="135"/>
      <c r="V42" s="177">
        <f>10.8%+(1-10.8%)*(1-SUM(V26:W26)/SUM($B$26:$C$26))</f>
        <v>0.10799999999999942</v>
      </c>
      <c r="W42" s="135"/>
      <c r="X42" s="177">
        <f>10.8%+(1-10.8%)*(1-SUM(X26:Y26)/SUM($B$26:$C$26))</f>
        <v>0.10799999999999882</v>
      </c>
      <c r="Y42" s="162"/>
      <c r="Z42" s="177">
        <f>10.8%+(1-10.8%)*(1-SUM(Z26:AA26)/SUM($B$26:$C$26))</f>
        <v>0.10799999999999982</v>
      </c>
      <c r="AA42" s="135"/>
      <c r="AB42" s="177">
        <f>10.8%+(1-10.8%)*(1-SUM(AB26:AC26)/SUM($B$26:$C$26))</f>
        <v>0.10800000000000001</v>
      </c>
      <c r="AC42" s="135"/>
      <c r="AD42" s="177">
        <f>10.8%+(1-10.8%)*(1-SUM(AD26:AE26)/SUM($B$26:$C$26))</f>
        <v>0.10800000000000021</v>
      </c>
      <c r="AE42" s="135"/>
      <c r="AF42" s="177">
        <f>10.8%+(1-10.8%)*(1-SUM(AF26:AG26)/SUM($B$26:$C$26))</f>
        <v>0.10800000000000021</v>
      </c>
      <c r="AG42" s="135"/>
      <c r="AH42" s="177">
        <f>10.8%+(1-10.8%)*(1-SUM(AH26:AI26)/SUM($B$26:$C$26))</f>
        <v>0.10799999999999961</v>
      </c>
      <c r="AI42" s="135"/>
      <c r="AJ42" s="177">
        <f>10.8%+(1-10.8%)*(1-SUM(AJ26:AK26)/SUM($B$26:$C$26))</f>
        <v>0.10799999999999942</v>
      </c>
      <c r="AK42" s="135"/>
      <c r="AL42" s="177">
        <f>10.8%+(1-10.8%)*(1-SUM(AL26:AM26)/SUM($B$26:$C$26))</f>
        <v>0.10799999999999982</v>
      </c>
      <c r="AM42" s="135"/>
      <c r="AN42" s="177">
        <f>10.8%+(1-10.8%)*(1-SUM(AN26:AO26)/SUM($B$26:$C$26))</f>
        <v>0.10799999999999961</v>
      </c>
      <c r="AO42" s="135"/>
      <c r="AP42" s="177">
        <f>10.8%+(1-10.8%)*(1-SUM(AP26:AQ26)/SUM($B$26:$C$26))</f>
        <v>0.1080000000000003</v>
      </c>
      <c r="AQ42" s="135"/>
      <c r="AR42" s="177">
        <f>10.8%+(1-10.8%)*(1-SUM(AR26:AS26)/SUM($B$26:$C$26))</f>
        <v>0.1080000000000003</v>
      </c>
      <c r="AS42" s="135"/>
      <c r="AT42" s="177">
        <f>10.8%+(1-10.8%)*(1-SUM(AT26:AU26)/SUM($B$26:$C$26))</f>
        <v>1</v>
      </c>
      <c r="AU42" s="135"/>
      <c r="AV42" s="177">
        <f>10.8%+(1-10.8%)*(1-SUM(AV26:AW26)/SUM($B$26:$C$26))</f>
        <v>1</v>
      </c>
    </row>
    <row r="43" spans="1:49 16319:16321" x14ac:dyDescent="0.2">
      <c r="A43" t="s">
        <v>108</v>
      </c>
      <c r="B43" s="162">
        <f>SUM(B15:C15*B27:C27)/SUM(B15:C15*B27:C27,B13:C13*B26:C26)</f>
        <v>0.56058995943838341</v>
      </c>
      <c r="C43" s="135"/>
      <c r="D43" s="162">
        <f t="array" ref="D43">SUM(D15:E15*D27:E27)/SUM(D15:E15*D27:E27,D13:E13*D26:E26)</f>
        <v>0.56645432440609833</v>
      </c>
      <c r="E43" s="135"/>
      <c r="F43" s="162">
        <f t="array" ref="F43">SUM(F15:G15*F27:G27)/SUM(F15:G15*F27:G27,F13:G13*F26:G26)</f>
        <v>0.56570451106854514</v>
      </c>
      <c r="G43" s="135"/>
      <c r="H43" s="162">
        <f t="array" ref="H43">SUM(H15:I15*H27:I27)/SUM(H15:I15*H27:I27,H13:I13*H26:I26)</f>
        <v>0.56495078539877408</v>
      </c>
      <c r="I43" s="135"/>
      <c r="J43" s="162">
        <f t="array" ref="J43">SUM(J15:K15*J27:K27)/SUM(J15:K15*J27:K27,J13:K13*J26:K26)</f>
        <v>0.56419298352168523</v>
      </c>
      <c r="K43" s="135"/>
      <c r="L43" s="162">
        <f t="array" ref="L43">SUM(L15:M15*L27:M27)/SUM(L15:M15*L27:M27,L13:M13*L26:M26)</f>
        <v>0.56343110042508926</v>
      </c>
      <c r="M43" s="135"/>
      <c r="N43" s="162">
        <f t="array" ref="N43">SUM(N15:O15*N27:O27)/SUM(N15:O15*N27:O27,N13:O13*N26:O26)</f>
        <v>0.56266553724039625</v>
      </c>
      <c r="O43" s="135"/>
      <c r="P43" s="162">
        <f t="array" ref="P43">SUM(P15:Q15*P27:Q27)/SUM(P15:Q15*P27:Q27,P13:Q13*P26:Q26)</f>
        <v>0.56189727872183637</v>
      </c>
      <c r="Q43" s="135"/>
      <c r="R43" s="162">
        <f t="array" ref="R43">SUM(R15:S15*R27:S27)/SUM(R15:S15*R27:S27,R13:S13*R26:S26)</f>
        <v>0.56112825710107672</v>
      </c>
      <c r="S43" s="135"/>
      <c r="T43" s="162">
        <f t="array" ref="T43">SUM(T15:U15*T27:U27)/SUM(T15:U15*T27:U27,T13:U13*T26:U26)</f>
        <v>0.56036197159503831</v>
      </c>
      <c r="U43" s="135"/>
      <c r="V43" s="162">
        <f t="array" ref="V43">SUM(V15:W15*V27:W27)/SUM(V15:W15*V27:W27,V13:W13*V26:W26)</f>
        <v>0.55960437740021829</v>
      </c>
      <c r="W43" s="135"/>
      <c r="X43" s="162">
        <f t="array" ref="X43">SUM(X15:Y15*X27:Y27)/SUM(X15:Y15*X27:Y27,X13:Y13*X26:Y26)</f>
        <v>0.55886531921145088</v>
      </c>
      <c r="Y43" s="135"/>
      <c r="Z43" s="162">
        <f t="array" ref="Z43">SUM(Z15:AA15*Z27:AA27)/SUM(Z15:AA15*Z27:AA27,Z13:AA13*Z26:AA26)</f>
        <v>0.5581607085401552</v>
      </c>
      <c r="AA43" s="135"/>
      <c r="AB43" s="162">
        <f t="array" ref="AB43">SUM(AB15:AC15*AB27:AC27)/SUM(AB15:AC15*AB27:AC27,AB13:AC13*AB26:AC26)</f>
        <v>0.55751533508812168</v>
      </c>
      <c r="AC43" s="135"/>
      <c r="AD43" s="162">
        <f t="array" ref="AD43">SUM(AD15:AE15*AD27:AE27)/SUM(AD15:AE15*AD27:AE27,AD13:AE13*AD26:AE26)</f>
        <v>0.55696492758416161</v>
      </c>
      <c r="AE43" s="135"/>
      <c r="AF43" s="162">
        <f t="array" ref="AF43">SUM(AF15:AG15*AF27:AG27)/SUM(AF15:AG15*AF27:AG27,AF13:AG13*AF26:AG26)</f>
        <v>0.55655178275850403</v>
      </c>
      <c r="AG43" s="135"/>
      <c r="AH43" s="162">
        <f t="array" ref="AH43">SUM(AH15:AI15*AH27:AI27)/SUM(AH15:AI15*AH27:AI27,AH13:AI13*AH26:AI26)</f>
        <v>0.55630323776791679</v>
      </c>
      <c r="AI43" s="135"/>
      <c r="AJ43" s="162">
        <f t="array" ref="AJ43">SUM(AJ15:AK15*AJ27:AK27)/SUM(AJ15:AK15*AJ27:AK27,AJ13:AK13*AJ26:AK26)</f>
        <v>0.5561985771309893</v>
      </c>
      <c r="AK43" s="135"/>
      <c r="AL43" s="162">
        <f t="array" ref="AL43">SUM(AL15:AM15*AL27:AM27)/SUM(AL15:AM15*AL27:AM27,AL13:AM13*AL26:AM26)</f>
        <v>0.55617317734295613</v>
      </c>
      <c r="AM43" s="135"/>
      <c r="AN43" s="162">
        <f t="array" ref="AN43">SUM(AN15:AO15*AN27:AO27)/SUM(AN15:AO15*AN27:AO27,AN13:AO13*AN26:AO26)</f>
        <v>0.55617080664028173</v>
      </c>
      <c r="AO43" s="135"/>
      <c r="AP43" s="162">
        <f t="array" ref="AP43">SUM(AP15:AQ15*AP27:AQ27)/SUM(AP15:AQ15*AP27:AQ27,AP13:AQ13*AP26:AQ26)</f>
        <v>0.55617078875702508</v>
      </c>
      <c r="AQ43" s="135"/>
      <c r="AR43" s="162">
        <f t="array" ref="AR43">SUM(AR15:AS15*AR27:AS27)/SUM(AR15:AS15*AR27:AS27,AR13:AS13*AR26:AS26)</f>
        <v>0.55617078484340943</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0.29754226190682431</v>
      </c>
      <c r="D44" s="193">
        <f>(SUM(D11:E11*D24:E24)+D34)/D32</f>
        <v>0.29888168315914126</v>
      </c>
      <c r="F44" s="193">
        <f>(SUM(F11:G11*F24:G24)+F34)/F32</f>
        <v>0.30022835079240046</v>
      </c>
      <c r="H44" s="193">
        <f>(SUM(H11:I11*H24:I24)+H34)/H32</f>
        <v>0.30158383156790425</v>
      </c>
      <c r="J44" s="193">
        <f>(SUM(J11:K11*J24:K24)+J34)/J32</f>
        <v>0.30295010810697864</v>
      </c>
      <c r="L44" s="193">
        <f>(SUM(L11:M11*L24:M24)+L34)/L32</f>
        <v>0.30432990217356404</v>
      </c>
      <c r="N44" s="193">
        <f>(SUM(N11:O11*N24:O24)+N34)/N32</f>
        <v>0.30572690994875057</v>
      </c>
      <c r="P44" s="193">
        <f>(SUM(P11:Q11*P24:Q24)+P34)/P32</f>
        <v>0.30714643355518889</v>
      </c>
      <c r="R44" s="193">
        <f>(SUM(R11:S11*R24:S24)+R34)/R32</f>
        <v>0.30859623098743527</v>
      </c>
      <c r="T44" s="193">
        <f>(SUM(T11:U11*T24:U24)+T34)/T32</f>
        <v>0.31008805965835801</v>
      </c>
      <c r="V44" s="193">
        <f>(SUM(V11:W11*V24:W24)+V34)/V32</f>
        <v>0.31164014780765387</v>
      </c>
      <c r="X44" s="193">
        <f>(SUM(X11:Y11*X24:Y24)+X34)/X32</f>
        <v>0.31328148539922895</v>
      </c>
      <c r="Z44" s="193">
        <f>(SUM(Z11:AA11*Z24:AA24)+Z34)/Z32</f>
        <v>0.31505914071988278</v>
      </c>
      <c r="AB44" s="193">
        <f>(SUM(AB11:AC11*AB24:AC24)+AB34)/AB32</f>
        <v>0.3170501309973458</v>
      </c>
      <c r="AD44" s="193">
        <f>(SUM(AD11:AE11*AD24:AE24)+AD34)/AD32</f>
        <v>0.31937823458428971</v>
      </c>
      <c r="AF44" s="193">
        <f>(SUM(AF11:AG11*AF24:AG24)+AF34)/AF32</f>
        <v>0.32222800234579863</v>
      </c>
      <c r="AH44" s="193">
        <f>(SUM(AH11:AI11*AH24:AI24)+AH34)/AH32</f>
        <v>0.32583433787810734</v>
      </c>
      <c r="AJ44" s="193">
        <f>(SUM(AJ11:AK11*AJ24:AK24)+AJ34)/AJ32</f>
        <v>0.33046841703678898</v>
      </c>
      <c r="AL44" s="193">
        <f>(SUM(AL11:AM11*AL24:AM24)+AL34)/AL32</f>
        <v>0.3366687220556282</v>
      </c>
      <c r="AN44" s="193">
        <f>(SUM(AN11:AO11*AN24:AO24)+AN34)/AN32</f>
        <v>0.346726337381487</v>
      </c>
      <c r="AP44" s="193">
        <f>(SUM(AP11:AQ11*AP24:AQ24)+AP34)/AP32</f>
        <v>0.3499852138159314</v>
      </c>
      <c r="AR44" s="193">
        <f>(SUM(AR11:AS11*AR24:AS24)+AR34)/AR32</f>
        <v>0.35427684333093262</v>
      </c>
      <c r="AT44" s="193" t="e">
        <f>(SUM(AT11:AU11*AT24:AU24)+AT34)/AT32</f>
        <v>#DIV/0!</v>
      </c>
      <c r="AV44" s="193" t="e">
        <f>(SUM(AV11:AW11*AV24:AW24)+AV34)/AV32</f>
        <v>#DIV/0!</v>
      </c>
    </row>
    <row r="45" spans="1:49 16319:16321" x14ac:dyDescent="0.2">
      <c r="A45" t="s">
        <v>82</v>
      </c>
      <c r="B45" s="193">
        <f>SUM(B11:C11*B24:C24)/B32</f>
        <v>0.22038438833194082</v>
      </c>
      <c r="D45" s="193">
        <f>SUM(D11:E11*D24:E24)/D32</f>
        <v>0.22172381309067443</v>
      </c>
      <c r="F45" s="193">
        <f>SUM(F11:G11*F24:G24)/F32</f>
        <v>0.22307048080862185</v>
      </c>
      <c r="H45" s="193">
        <f>SUM(H11:I11*H24:I24)/H32</f>
        <v>0.22442595799382936</v>
      </c>
      <c r="J45" s="193">
        <f>SUM(J11:K11*J24:K24)/J32</f>
        <v>0.22579223597219755</v>
      </c>
      <c r="L45" s="193">
        <f>SUM(L11:M11*L24:M24)/L32</f>
        <v>0.22717202874871681</v>
      </c>
      <c r="N45" s="193">
        <f>SUM(N11:O11*N24:O24)/N32</f>
        <v>0.22856903689038077</v>
      </c>
      <c r="P45" s="193">
        <f>SUM(P11:Q11*P24:Q24)/P32</f>
        <v>0.22998855993523468</v>
      </c>
      <c r="R45" s="193">
        <f>SUM(R11:S11*R24:S24)/R32</f>
        <v>0.23143836026731354</v>
      </c>
      <c r="T45" s="193">
        <f>SUM(T11:U11*T24:U24)/T32</f>
        <v>0.23293018930444065</v>
      </c>
      <c r="V45" s="193">
        <f>SUM(V11:W11*V24:W24)/V32</f>
        <v>0.23448227352901413</v>
      </c>
      <c r="X45" s="193">
        <f>SUM(X11:Y11*X24:Y24)/X32</f>
        <v>0.23612361209567048</v>
      </c>
      <c r="Z45" s="193">
        <f>SUM(Z11:AA11*Z24:AA24)/Z32</f>
        <v>0.23790126762991448</v>
      </c>
      <c r="AB45" s="193">
        <f>SUM(AB11:AC11*AB24:AC24)/AB32</f>
        <v>0.23989225786902796</v>
      </c>
      <c r="AD45" s="193">
        <f>SUM(AD11:AE11*AD24:AE24)/AD32</f>
        <v>0.24222036104500036</v>
      </c>
      <c r="AF45" s="193">
        <f>SUM(AF11:AG11*AF24:AG24)/AF32</f>
        <v>0.24507012886622881</v>
      </c>
      <c r="AH45" s="193">
        <f>SUM(AH11:AI11*AH24:AI24)/AH32</f>
        <v>0.24867646433909921</v>
      </c>
      <c r="AJ45" s="193">
        <f>SUM(AJ11:AK11*AJ24:AK24)/AJ32</f>
        <v>0.25331054346250487</v>
      </c>
      <c r="AL45" s="193">
        <f>SUM(AL11:AM11*AL24:AM24)/AL32</f>
        <v>0.25951084848076539</v>
      </c>
      <c r="AN45" s="193">
        <f>SUM(AN11:AO11*AN24:AO24)/AN32</f>
        <v>0.26956846380660388</v>
      </c>
      <c r="AP45" s="193">
        <f>SUM(AP11:AQ11*AP24:AQ24)/AP32</f>
        <v>0.27282734024104721</v>
      </c>
      <c r="AR45" s="193">
        <f>SUM(AR11:AS11*AR24:AS24)/AR32</f>
        <v>0.27711896975604861</v>
      </c>
      <c r="AT45" s="193" t="e">
        <f>SUM(AT11:AU11*AT24:AU24)/AT32</f>
        <v>#DIV/0!</v>
      </c>
      <c r="AV45" s="193" t="e">
        <f>SUM(AV11:AW11*AV24:AW24)/AV32</f>
        <v>#DIV/0!</v>
      </c>
      <c r="XCQ45" s="193"/>
    </row>
    <row r="46" spans="1:49 16319:16321" x14ac:dyDescent="0.2">
      <c r="A46" t="s">
        <v>139</v>
      </c>
      <c r="B46" s="193">
        <f>B34/B32</f>
        <v>7.7157873574883462E-2</v>
      </c>
      <c r="D46" s="193">
        <f>D34/D32</f>
        <v>7.7157870068466791E-2</v>
      </c>
      <c r="F46" s="193">
        <f>F34/F32</f>
        <v>7.7157869983778646E-2</v>
      </c>
      <c r="H46" s="193">
        <f>H34/H32</f>
        <v>7.7157873574074901E-2</v>
      </c>
      <c r="J46" s="193">
        <f>J34/J32</f>
        <v>7.7157872134781119E-2</v>
      </c>
      <c r="L46" s="193">
        <f>L34/L32</f>
        <v>7.7157873424847187E-2</v>
      </c>
      <c r="N46" s="193">
        <f>N34/N32</f>
        <v>7.7157873058369783E-2</v>
      </c>
      <c r="P46" s="193">
        <f>P34/P32</f>
        <v>7.7157873619954229E-2</v>
      </c>
      <c r="R46" s="193">
        <f>R34/R32</f>
        <v>7.7157870720121702E-2</v>
      </c>
      <c r="T46" s="193">
        <f>T34/T32</f>
        <v>7.7157870353917371E-2</v>
      </c>
      <c r="V46" s="193">
        <f>V34/V32</f>
        <v>7.7157874278639765E-2</v>
      </c>
      <c r="X46" s="193">
        <f>X34/X32</f>
        <v>7.715787330355843E-2</v>
      </c>
      <c r="Z46" s="193">
        <f>Z34/Z32</f>
        <v>7.7157873089968312E-2</v>
      </c>
      <c r="AB46" s="193">
        <f>AB34/AB32</f>
        <v>7.7157873128317803E-2</v>
      </c>
      <c r="AD46" s="193">
        <f>AD34/AD32</f>
        <v>7.7157873539289337E-2</v>
      </c>
      <c r="AF46" s="193">
        <f>AF34/AF32</f>
        <v>7.7157873479569816E-2</v>
      </c>
      <c r="AH46" s="193">
        <f>AH34/AH32</f>
        <v>7.7157873539008118E-2</v>
      </c>
      <c r="AJ46" s="193">
        <f>AJ34/AJ32</f>
        <v>7.7157873574284108E-2</v>
      </c>
      <c r="AL46" s="193">
        <f>AL34/AL32</f>
        <v>7.7157873574862784E-2</v>
      </c>
      <c r="AN46" s="193">
        <f>AN34/AN32</f>
        <v>7.7157873574883129E-2</v>
      </c>
      <c r="AP46" s="193">
        <f>AP34/AP32</f>
        <v>7.7157873574884198E-2</v>
      </c>
      <c r="AR46" s="193">
        <f>AR34/AR32</f>
        <v>7.7157873574884031E-2</v>
      </c>
      <c r="AT46" s="193" t="e">
        <f>AT34/AT32</f>
        <v>#DIV/0!</v>
      </c>
      <c r="AV46" s="193" t="e">
        <f>AV34/AV32</f>
        <v>#DIV/0!</v>
      </c>
      <c r="XCS46" s="193"/>
    </row>
    <row r="48" spans="1:49 16319:16321" x14ac:dyDescent="0.2">
      <c r="A48" t="s">
        <v>159</v>
      </c>
      <c r="B48" s="191">
        <f>B24/$B$24</f>
        <v>1</v>
      </c>
      <c r="C48" s="191"/>
      <c r="D48" s="191">
        <f>D24/$B$24</f>
        <v>1.0069893520354414</v>
      </c>
      <c r="E48" s="191"/>
      <c r="F48" s="191">
        <f>F24/$B$24</f>
        <v>1.0139483514451852</v>
      </c>
      <c r="G48" s="191"/>
      <c r="H48" s="191">
        <f>H24/$B$24</f>
        <v>1.0208745519162925</v>
      </c>
      <c r="I48" s="191"/>
      <c r="J48" s="191">
        <f>J24/$B$24</f>
        <v>1.0277657335106634</v>
      </c>
      <c r="K48" s="191"/>
      <c r="L48" s="191">
        <f>L24/$B$24</f>
        <v>1.0346211965887928</v>
      </c>
      <c r="M48" s="191"/>
      <c r="N48" s="191">
        <f>N24/$B$24</f>
        <v>1.0414421855756615</v>
      </c>
      <c r="O48" s="191"/>
      <c r="P48" s="191">
        <f>P24/$B$24</f>
        <v>1.0482343030823411</v>
      </c>
      <c r="Q48" s="191"/>
      <c r="R48" s="191">
        <f>R24/$B$24</f>
        <v>1.0550108047906483</v>
      </c>
      <c r="S48" s="191"/>
      <c r="T48" s="191">
        <f>T24/$B$24</f>
        <v>1.0617983958951369</v>
      </c>
      <c r="U48" s="191"/>
      <c r="V48" s="191">
        <f>V24/$B$24</f>
        <v>1.0686475533134869</v>
      </c>
      <c r="W48" s="191"/>
      <c r="X48" s="191">
        <f>X24/$B$24</f>
        <v>1.0756505537605552</v>
      </c>
      <c r="Y48" s="191"/>
      <c r="Z48" s="191">
        <f>Z24/$B$24</f>
        <v>1.082972265308723</v>
      </c>
      <c r="AA48" s="191"/>
      <c r="AB48" s="191">
        <f>AB24/$B$24</f>
        <v>1.0909002440409341</v>
      </c>
      <c r="AC48" s="191"/>
      <c r="AD48" s="191">
        <f>AD24/$B$24</f>
        <v>1.0999103511300974</v>
      </c>
      <c r="AE48" s="191"/>
      <c r="AF48" s="191">
        <f>AF24/$B$24</f>
        <v>1.1106951245470653</v>
      </c>
      <c r="AG48" s="191"/>
      <c r="AH48" s="191">
        <f>AH24/$B$24</f>
        <v>1.1240078098209974</v>
      </c>
      <c r="AI48" s="191"/>
      <c r="AJ48" s="191">
        <f>AJ24/$B$24</f>
        <v>1.1403451923323282</v>
      </c>
      <c r="AK48" s="191"/>
      <c r="AL48" s="191">
        <f>AL24/$B$24</f>
        <v>1.1605075257364634</v>
      </c>
      <c r="AM48" s="191"/>
      <c r="AN48" s="191">
        <f>AN24/$B$24</f>
        <v>1.1907049829017176</v>
      </c>
      <c r="AO48" s="191"/>
      <c r="AP48" s="191">
        <f>AP24/$B$24</f>
        <v>1.2005319208214187</v>
      </c>
      <c r="AQ48" s="191"/>
      <c r="AR48" s="191">
        <f>AR24/$B$24</f>
        <v>1.2138590210624285</v>
      </c>
      <c r="AS48" s="191"/>
      <c r="AT48" s="191">
        <f>AT24/$B$24</f>
        <v>0</v>
      </c>
      <c r="AU48" s="191"/>
      <c r="AV48" s="191">
        <f>AV24/$B$24</f>
        <v>0</v>
      </c>
    </row>
    <row r="49" spans="1:48 16321:16384" x14ac:dyDescent="0.2">
      <c r="A49" t="s">
        <v>160</v>
      </c>
      <c r="B49" s="191">
        <f>B13/B35/$B$13*$B$35</f>
        <v>1</v>
      </c>
      <c r="C49" s="191"/>
      <c r="D49" s="191">
        <f>D13/D35/$B$13*$B$35</f>
        <v>0.99763480783308134</v>
      </c>
      <c r="E49" s="191"/>
      <c r="F49" s="191">
        <f>F13/F35/$B$13*$B$35</f>
        <v>0.99501956838947636</v>
      </c>
      <c r="G49" s="191"/>
      <c r="H49" s="191">
        <f>H13/H35/$B$13*$B$35</f>
        <v>0.99212148519938426</v>
      </c>
      <c r="I49" s="191"/>
      <c r="J49" s="191">
        <f>J13/J35/$B$13*$B$35</f>
        <v>0.98890001022385854</v>
      </c>
      <c r="K49" s="191"/>
      <c r="L49" s="191">
        <f>L13/L35/$B$13*$B$35</f>
        <v>0.98530441893924636</v>
      </c>
      <c r="M49" s="191"/>
      <c r="N49" s="191">
        <f>N13/N35/$B$13*$B$35</f>
        <v>0.98126956390617781</v>
      </c>
      <c r="O49" s="191"/>
      <c r="P49" s="191">
        <f>P13/P35/$B$13*$B$35</f>
        <v>0.9767101498498002</v>
      </c>
      <c r="Q49" s="191"/>
      <c r="R49" s="191">
        <f>R13/R35/$B$13*$B$35</f>
        <v>0.97151167842802866</v>
      </c>
      <c r="S49" s="191"/>
      <c r="T49" s="191">
        <f>T13/T35/$B$13*$B$35</f>
        <v>0.96551590329594061</v>
      </c>
      <c r="U49" s="191"/>
      <c r="V49" s="191">
        <f>V13/V35/$B$13*$B$35</f>
        <v>0.95849743677915256</v>
      </c>
      <c r="W49" s="191"/>
      <c r="X49" s="191">
        <f>X13/X35/$B$13*$B$35</f>
        <v>0.9501241573043796</v>
      </c>
      <c r="Y49" s="191"/>
      <c r="Z49" s="191">
        <f>Z13/Z35/$B$13*$B$35</f>
        <v>0.93988851676353435</v>
      </c>
      <c r="AA49" s="191"/>
      <c r="AB49" s="191">
        <f>AB13/AB35/$B$13*$B$35</f>
        <v>0.92698684358057737</v>
      </c>
      <c r="AC49" s="191"/>
      <c r="AD49" s="191">
        <f>AD13/AD35/$B$13*$B$35</f>
        <v>0.910108917720024</v>
      </c>
      <c r="AE49" s="191"/>
      <c r="AF49" s="191">
        <f>AF13/AF35/$B$13*$B$35</f>
        <v>0.88708668758690479</v>
      </c>
      <c r="AG49" s="191"/>
      <c r="AH49" s="191">
        <f>AH13/AH35/$B$13*$B$35</f>
        <v>0.85429479691971844</v>
      </c>
      <c r="AI49" s="191"/>
      <c r="AJ49" s="191">
        <f>AJ13/AJ35/$B$13*$B$35</f>
        <v>0.80515951444656286</v>
      </c>
      <c r="AK49" s="191"/>
      <c r="AL49" s="191">
        <f>AL13/AL35/$B$13*$B$35</f>
        <v>0.72458553970542428</v>
      </c>
      <c r="AM49" s="191"/>
      <c r="AN49" s="191">
        <f>AN13/AN35/$B$13*$B$35</f>
        <v>0.56420839420888425</v>
      </c>
      <c r="AO49" s="191"/>
      <c r="AP49" s="191">
        <f>AP13/AP35/$B$13*$B$35</f>
        <v>0.51003362474363401</v>
      </c>
      <c r="AQ49" s="191"/>
      <c r="AR49" s="191">
        <f>AR13/AR35/$B$13*$B$35</f>
        <v>0.44147536156004863</v>
      </c>
      <c r="AS49" s="191"/>
      <c r="AT49" s="191" t="e">
        <f>AT13/AT35/$B$13*$B$35</f>
        <v>#DIV/0!</v>
      </c>
      <c r="AU49" s="191"/>
      <c r="AV49" s="191" t="e">
        <f>AV13/AV35/$B$13*$B$35</f>
        <v>#DIV/0!</v>
      </c>
    </row>
    <row r="51" spans="1:48 16321:16384" x14ac:dyDescent="0.2">
      <c r="A51" t="s">
        <v>166</v>
      </c>
      <c r="B51" s="29">
        <f>B30-B10*B23</f>
        <v>-405838.32800000021</v>
      </c>
      <c r="D51" s="29">
        <f>D30-D10*D23</f>
        <v>-372428.07626025332</v>
      </c>
      <c r="F51" s="29">
        <f>F30-F10*F23</f>
        <v>-338823.83555654204</v>
      </c>
      <c r="H51" s="29">
        <f>H30-H10*H23</f>
        <v>-304992.97792474227</v>
      </c>
      <c r="J51" s="29">
        <f>J30-J10*J23</f>
        <v>-270892.58466398297</v>
      </c>
      <c r="L51" s="29">
        <f>L30-L10*L23</f>
        <v>-236465.39726712927</v>
      </c>
      <c r="N51" s="29">
        <f>N30-N10*N23</f>
        <v>-201630.34411255317</v>
      </c>
      <c r="P51" s="29">
        <f>P30-P10*P23</f>
        <v>-166270.13321286906</v>
      </c>
      <c r="R51" s="29">
        <f>R30-R10*R23</f>
        <v>-130208.95050737355</v>
      </c>
      <c r="T51" s="29">
        <f>T30-T10*T23</f>
        <v>-93176.841903599445</v>
      </c>
      <c r="V51" s="29">
        <f>V30-V10*V23</f>
        <v>-54748.013035250362</v>
      </c>
      <c r="X51" s="29">
        <f>X30-X10*X23</f>
        <v>-14235.70720868744</v>
      </c>
      <c r="Z51" s="29">
        <f>Z30-Z10*Z23</f>
        <v>29487.101134976372</v>
      </c>
      <c r="AB51" s="29">
        <f>AB30-AB10*AB23</f>
        <v>78284.169338756707</v>
      </c>
      <c r="AD51" s="29">
        <f>AD30-AD10*AD23</f>
        <v>135177.69388510706</v>
      </c>
      <c r="AF51" s="29">
        <f>AF30-AF10*AF23</f>
        <v>204706.61003603181</v>
      </c>
      <c r="AH51" s="29">
        <f>AH30-AH10*AH23</f>
        <v>292643.47821408743</v>
      </c>
      <c r="AJ51" s="29">
        <f>AJ30-AJ10*AJ23</f>
        <v>405408.08117862698</v>
      </c>
      <c r="AL51" s="29">
        <f>AL30-AL10*AL23</f>
        <v>554972.61752406601</v>
      </c>
      <c r="AN51" s="29">
        <f>AN30-AN10*AN23</f>
        <v>792445.51980208</v>
      </c>
      <c r="AP51" s="29">
        <f>AP30-AP10*AP23</f>
        <v>868125.53695478477</v>
      </c>
      <c r="AQ51" s="29"/>
      <c r="AR51" s="29">
        <f>AR30-AR10*AR23</f>
        <v>967121.79156459169</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2046517.9253198875</v>
      </c>
      <c r="F52" s="29">
        <f t="array" ref="F52">Calibration!sL*SUM(F13:G13*F26:G26)</f>
        <v>2043572.020748751</v>
      </c>
      <c r="H52" s="29">
        <f t="array" ref="H52">Calibration!sL*SUM(H13:I13*H26:I26)</f>
        <v>2040384.8358086264</v>
      </c>
      <c r="J52" s="29">
        <f t="array" ref="J52">Calibration!sL*SUM(J13:K13*J26:K26)</f>
        <v>2036926.8212672039</v>
      </c>
      <c r="L52" s="29">
        <f t="array" ref="L52">Calibration!sL*SUM(L13:M13*L26:M26)</f>
        <v>2033163.5518826344</v>
      </c>
      <c r="N52" s="29">
        <f t="array" ref="N52">Calibration!sL*SUM(N13:O13*N26:O26)</f>
        <v>2029054.0165843444</v>
      </c>
      <c r="P52" s="29">
        <f t="array" ref="P52">Calibration!sL*SUM(P13:Q13*P26:Q26)</f>
        <v>2024549.0966864869</v>
      </c>
      <c r="R52" s="29">
        <f t="array" ref="R52">Calibration!sL*SUM(R13:S13*R26:S26)</f>
        <v>2019589.1669763955</v>
      </c>
      <c r="T52" s="29">
        <f t="array" ref="T52">Calibration!sL*SUM(T13:U13*T26:U26)</f>
        <v>2014100.1997741461</v>
      </c>
      <c r="V52" s="29">
        <f t="array" ref="V52">Calibration!sL*SUM(V13:W13*V26:W26)</f>
        <v>2007988.5035599556</v>
      </c>
      <c r="X52" s="29">
        <f t="array" ref="X52">Calibration!sL*SUM(X13:Y13*X26:Y26)</f>
        <v>2001132.0604011698</v>
      </c>
      <c r="Z52" s="29">
        <f t="array" ref="Z52">Calibration!sL*SUM(Z13:AA13*Z26:AA26)</f>
        <v>1993365.7195499036</v>
      </c>
      <c r="AB52" s="29">
        <f t="array" ref="AB52">Calibration!sL*SUM(AB13:AC13*AB26:AC26)</f>
        <v>1984454.6863460701</v>
      </c>
      <c r="AD52" s="29">
        <f t="array" ref="AD52">Calibration!sL*SUM(AD13:AE13*AD26:AE26)</f>
        <v>1974040.704797596</v>
      </c>
      <c r="AF52" s="29">
        <f t="array" ref="AF52">Calibration!sL*SUM(AF13:AG13*AF26:AG26)</f>
        <v>1961520.4626796781</v>
      </c>
      <c r="AH52" s="29">
        <f t="array" ref="AH52">Calibration!sL*SUM(AH13:AI13*AH26:AI26)</f>
        <v>1945753.1634323278</v>
      </c>
      <c r="AJ52" s="29">
        <f t="array" ref="AJ52">Calibration!sL*SUM(AJ13:AK13*AJ26:AK26)</f>
        <v>1924371.0436199987</v>
      </c>
      <c r="AL52" s="29">
        <f t="array" ref="AL52">Calibration!sL*SUM(AL13:AM13*AL26:AM26)</f>
        <v>1891973.8384006736</v>
      </c>
      <c r="AN52" s="29">
        <f t="array" ref="AN52">Calibration!sL*SUM(AN13:AO13*AN26:AO26)</f>
        <v>1832114.5991958508</v>
      </c>
      <c r="AP52" s="29">
        <f t="array" ref="AP52">Calibration!sL*SUM(AP13:AQ13*AP26:AQ26)</f>
        <v>1812175.6604710124</v>
      </c>
      <c r="AQ52" s="29"/>
      <c r="AR52" s="29">
        <f t="array" ref="AR52">Calibration!sL*SUM(AR13:AS13*AR26:AS26)</f>
        <v>1786277.3667974817</v>
      </c>
      <c r="AT52" s="29">
        <f t="array" ref="AT52">Calibration!sL*SUM(AT13:AU13*AT26:AU26)</f>
        <v>0</v>
      </c>
      <c r="AV52" s="29">
        <f t="array" ref="AV52">Calibration!sL*SUM(AV13:AW13*AV26:AW26)</f>
        <v>0</v>
      </c>
    </row>
    <row r="53" spans="1:48 16321:16384" x14ac:dyDescent="0.2">
      <c r="A53" t="s">
        <v>168</v>
      </c>
      <c r="B53" s="29">
        <f t="array" ref="B53">Calibration!sK*SUM(B15:C15*B27:C27)</f>
        <v>2740714.4444296514</v>
      </c>
      <c r="D53" s="29">
        <f t="array" ref="D53">Calibration!sK*SUM(D15:E15*D27:E27)</f>
        <v>2728757.7269682777</v>
      </c>
      <c r="F53" s="29">
        <f t="array" ref="F53">Calibration!sK*SUM(F15:G15*F27:G27)</f>
        <v>2716524.7062230953</v>
      </c>
      <c r="H53" s="29">
        <f t="array" ref="H53">Calibration!sK*SUM(H15:I15*H27:I27)</f>
        <v>2703981.4169247709</v>
      </c>
      <c r="J53" s="29">
        <f t="array" ref="J53">Calibration!sK*SUM(J15:K15*J27:K27)</f>
        <v>2691090.3392330385</v>
      </c>
      <c r="L53" s="29">
        <f t="array" ref="L53">Calibration!sK*SUM(L15:M15*L27:M27)</f>
        <v>2677809.788565401</v>
      </c>
      <c r="N53" s="29">
        <f t="array" ref="N53">Calibration!sK*SUM(N15:O15*N27:O27)</f>
        <v>2664094.4042918878</v>
      </c>
      <c r="P53" s="29">
        <f t="array" ref="P53">Calibration!sK*SUM(P15:Q15*P27:Q27)</f>
        <v>2649895.0798807628</v>
      </c>
      <c r="R53" s="29">
        <f t="array" ref="R53">Calibration!sK*SUM(R15:S15*R27:S27)</f>
        <v>2635159.6996241547</v>
      </c>
      <c r="T53" s="29">
        <f t="array" ref="T53">Calibration!sK*SUM(T15:U15*T27:U27)</f>
        <v>2619834.5379247554</v>
      </c>
      <c r="V53" s="29">
        <f t="array" ref="V53">Calibration!sK*SUM(V15:W15*V27:W27)</f>
        <v>2603866.5290801884</v>
      </c>
      <c r="X53" s="29">
        <f t="array" ref="X53">Calibration!sK*SUM(X15:Y15*X27:Y27)</f>
        <v>2587206.5102350512</v>
      </c>
      <c r="Z53" s="29">
        <f t="array" ref="Z53">Calibration!sK*SUM(Z15:AA15*Z27:AA27)</f>
        <v>2569811.6903605154</v>
      </c>
      <c r="AB53" s="29">
        <f t="array" ref="AB53">Calibration!sK*SUM(AB15:AC15*AB27:AC27)</f>
        <v>2551638.626040516</v>
      </c>
      <c r="AD53" s="29">
        <f t="array" ref="AD53">Calibration!sK*SUM(AD15:AE15*AD27:AE27)</f>
        <v>2532592.0042834594</v>
      </c>
      <c r="AF53" s="29">
        <f t="array" ref="AF53">Calibration!sK*SUM(AF15:AG15*AF27:AG27)</f>
        <v>2512319.6527623381</v>
      </c>
      <c r="AH53" s="29">
        <f t="array" ref="AH53">Calibration!sK*SUM(AH15:AI15*AH27:AI27)</f>
        <v>2489616.5415777587</v>
      </c>
      <c r="AJ53" s="29">
        <f t="array" ref="AJ53">Calibration!sK*SUM(AJ15:AK15*AJ27:AK27)</f>
        <v>2461214.0421007168</v>
      </c>
      <c r="AL53" s="29">
        <f t="array" ref="AL53">Calibration!sK*SUM(AL15:AM15*AL27:AM27)</f>
        <v>2419529.9893959309</v>
      </c>
      <c r="AN53" s="29">
        <f t="array" ref="AN53">Calibration!sK*SUM(AN15:AO15*AN27:AO27)</f>
        <v>2342957.1560330414</v>
      </c>
      <c r="AP53" s="29">
        <f t="array" ref="AP53">Calibration!sK*SUM(AP15:AQ15*AP27:AQ27)</f>
        <v>2317458.5399583858</v>
      </c>
      <c r="AQ53" s="29"/>
      <c r="AR53" s="29">
        <f t="array" ref="AR53">Calibration!sK*SUM(AR15:AS15*AR27:AS27)</f>
        <v>2284339.0754466644</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0.20076439773235716</v>
      </c>
      <c r="F55" s="193">
        <f>F30/F32</f>
        <v>0.20303823026002227</v>
      </c>
      <c r="H55" s="193">
        <f>H30/H32</f>
        <v>0.20532684954007094</v>
      </c>
      <c r="J55" s="193">
        <f>J30/J32</f>
        <v>0.2076336740441809</v>
      </c>
      <c r="L55" s="193">
        <f>L30/L32</f>
        <v>0.2099632090413163</v>
      </c>
      <c r="N55" s="193">
        <f>N30/N32</f>
        <v>0.21232170854627813</v>
      </c>
      <c r="P55" s="193">
        <f>P30/P32</f>
        <v>0.21471805303220173</v>
      </c>
      <c r="R55" s="193">
        <f>R30/R32</f>
        <v>0.21716530325424782</v>
      </c>
      <c r="T55" s="193">
        <f>T30/T32</f>
        <v>0.21968316394826215</v>
      </c>
      <c r="V55" s="193">
        <f>V30/V32</f>
        <v>0.22230223299126242</v>
      </c>
      <c r="X55" s="193">
        <f>X30/X32</f>
        <v>0.22507119728621858</v>
      </c>
      <c r="Z55" s="193">
        <f>Z30/Z32</f>
        <v>0.22806903482234273</v>
      </c>
      <c r="AB55" s="193">
        <f>AB30/AB32</f>
        <v>0.2314250462647251</v>
      </c>
      <c r="AD55" s="193">
        <f>AD30/AD32</f>
        <v>0.2353470612289032</v>
      </c>
      <c r="AF55" s="193">
        <f>AF30/AF32</f>
        <v>0.24014507026420392</v>
      </c>
      <c r="AH55" s="193">
        <f>AH30/AH32</f>
        <v>0.24621393466001859</v>
      </c>
      <c r="AJ55" s="193">
        <f>AJ30/AJ32</f>
        <v>0.25401004466398563</v>
      </c>
      <c r="AL55" s="193">
        <f>AL30/AL32</f>
        <v>0.26443988097855048</v>
      </c>
      <c r="AN55" s="193">
        <f>AN30/AN32</f>
        <v>0.28135788592217925</v>
      </c>
      <c r="AP55" s="193">
        <f>AP30/AP32</f>
        <v>0.28683966356160107</v>
      </c>
      <c r="AR55" s="193">
        <f>AR30/AR32</f>
        <v>0.29405864179919305</v>
      </c>
      <c r="AT55" s="193" t="e">
        <f>AT30/AT32</f>
        <v>#DIV/0!</v>
      </c>
      <c r="AV55" s="193" t="e">
        <f>AV30/AV32</f>
        <v>#DIV/0!</v>
      </c>
      <c r="XCS55" s="193"/>
      <c r="XFD55" s="193"/>
    </row>
    <row r="56" spans="1:48 16321:16384" x14ac:dyDescent="0.2">
      <c r="A56" t="s">
        <v>170</v>
      </c>
      <c r="B56" s="193">
        <f>(Model!$C$52*B5*B20+B2*C5*C20)/B32</f>
        <v>2.9221206744340551E-2</v>
      </c>
      <c r="D56" s="193">
        <f>(Model!$C$52*D5*D20+D2*E5*E20)/D32</f>
        <v>3.1750509022953316E-2</v>
      </c>
      <c r="F56" s="193">
        <f>(Model!$C$52*F5*F20+F2*G5*G20)/F32</f>
        <v>3.4295744075530515E-2</v>
      </c>
      <c r="H56" s="193">
        <f>(Model!$C$52*H5*H20+H2*I5*I20)/H32</f>
        <v>3.6860146807903872E-2</v>
      </c>
      <c r="J56" s="193">
        <f>(Model!$C$52*J5*J20+J2*K5*K20)/J32</f>
        <v>3.944794263463218E-2</v>
      </c>
      <c r="L56" s="193">
        <f>(Model!$C$52*L5*L20+L2*M5*M20)/L32</f>
        <v>4.2064781410449184E-2</v>
      </c>
      <c r="N56" s="193">
        <f>(Model!$C$52*N5*N20+N2*O5*O20)/N32</f>
        <v>4.4718536992980215E-2</v>
      </c>
      <c r="P56" s="193">
        <f>(Model!$C$52*P5*P20+P2*Q5*Q20)/P32</f>
        <v>4.7420463337439739E-2</v>
      </c>
      <c r="R56" s="193">
        <f>(Model!$C$52*R5*R20+R2*S5*S20)/R32</f>
        <v>5.0187174846785469E-2</v>
      </c>
      <c r="T56" s="193">
        <f>(Model!$C$52*T5*T20+T2*U5*U20)/T32</f>
        <v>5.3043768260852657E-2</v>
      </c>
      <c r="V56" s="193">
        <f>(Model!$C$52*V5*V20+V2*W5*W20)/V32</f>
        <v>5.6029211180364295E-2</v>
      </c>
      <c r="X56" s="193">
        <f>(Model!$C$52*X5*X20+X2*Y5*Y20)/X32</f>
        <v>5.9205408380157767E-2</v>
      </c>
      <c r="Z56" s="193">
        <f>(Model!$C$52*Z5*Z20+Z2*AA5*AA20)/Z32</f>
        <v>6.2672474154372826E-2</v>
      </c>
      <c r="AB56" s="193">
        <f>(Model!$C$52*AB5*AB20+AB2*AC5*AC20)/AB32</f>
        <v>6.6593593820292243E-2</v>
      </c>
      <c r="AD56" s="193">
        <f>(Model!$C$52*AD5*AD20+AD2*AE5*AE20)/AD32</f>
        <v>7.1229465484866306E-2</v>
      </c>
      <c r="AF56" s="193">
        <f>(Model!$C$52*AF5*AF20+AF2*AG5*AG20)/AF32</f>
        <v>7.6965461334363452E-2</v>
      </c>
      <c r="AH56" s="193">
        <f>(Model!$C$52*AH5*AH20+AH2*AI5*AI20)/AH32</f>
        <v>8.4285257272513875E-2</v>
      </c>
      <c r="AJ56" s="193">
        <f>(Model!$C$52*AJ5*AJ20+AJ2*AK5*AK20)/AJ32</f>
        <v>9.3735796671732333E-2</v>
      </c>
      <c r="AL56" s="193">
        <f>(Model!$C$52*AL5*AL20+AL2*AM5*AM20)/AL32</f>
        <v>0.10640258105115101</v>
      </c>
      <c r="AN56" s="193">
        <f>(Model!$C$52*AN5*AN20+AN2*AO5*AO20)/AN32</f>
        <v>0.12695704267624894</v>
      </c>
      <c r="AP56" s="193">
        <f>(Model!$C$52*AP5*AP20+AP2*AQ5*AQ20)/AP32</f>
        <v>0.13361739452451948</v>
      </c>
      <c r="AR56" s="193">
        <f>(Model!$C$52*AR5*AR20+AR2*AS5*AS20)/AR32</f>
        <v>0.14238850427595431</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0.15835404118007174</v>
      </c>
      <c r="F57" s="193">
        <f t="array" ref="F57">SUM(Model!tauL*F13:G13*F26:G26)/F32</f>
        <v>0.1581766160537772</v>
      </c>
      <c r="H57" s="193">
        <f t="array" ref="H57">SUM(Model!tauL*H13:I13*H26:I26)/H32</f>
        <v>0.15799610546263937</v>
      </c>
      <c r="J57" s="193">
        <f t="array" ref="J57">SUM(Model!tauL*J13:K13*J26:K26)/J32</f>
        <v>0.15781187965275784</v>
      </c>
      <c r="L57" s="193">
        <f t="array" ref="L57">SUM(Model!tauL*L13:M13*L26:M26)/L32</f>
        <v>0.15762299004922189</v>
      </c>
      <c r="N57" s="193">
        <f t="array" ref="N57">SUM(Model!tauL*N13:O13*N26:O26)/N32</f>
        <v>0.15742801737869616</v>
      </c>
      <c r="P57" s="193">
        <f t="array" ref="P57">SUM(Model!tauL*P13:Q13*P26:Q26)/P32</f>
        <v>0.15722478924514011</v>
      </c>
      <c r="R57" s="193">
        <f t="array" ref="R57">SUM(Model!tauL*R13:S13*R26:S26)/R32</f>
        <v>0.15700993760182358</v>
      </c>
      <c r="T57" s="193">
        <f t="array" ref="T57">SUM(Model!tauL*T13:U13*T26:U26)/T32</f>
        <v>0.15677820378736773</v>
      </c>
      <c r="V57" s="193">
        <f t="array" ref="V57">SUM(Model!tauL*V13:W13*V26:W26)/V32</f>
        <v>0.15652124930781347</v>
      </c>
      <c r="X57" s="193">
        <f t="array" ref="X57">SUM(Model!tauL*X13:Y13*X26:Y26)/X32</f>
        <v>0.15622569430350469</v>
      </c>
      <c r="Y57" s="193"/>
      <c r="Z57" s="193">
        <f t="array" ref="Z57">SUM(Model!tauL*Z13:AA13*Z26:AA26)/Z32</f>
        <v>0.15586989767125009</v>
      </c>
      <c r="AB57" s="193">
        <f t="array" ref="AB57">SUM(Model!tauL*AB13:AC13*AB26:AC26)/AB32</f>
        <v>0.1554189265454195</v>
      </c>
      <c r="AD57" s="193">
        <f t="array" ref="AD57">SUM(Model!tauL*AD13:AE13*AD26:AE26)/AD32</f>
        <v>0.15481816833748233</v>
      </c>
      <c r="AF57" s="193">
        <f t="array" ref="AF57">SUM(Model!tauL*AF13:AG13*AF26:AG26)/AF32</f>
        <v>0.15399018947950416</v>
      </c>
      <c r="AH57" s="193">
        <f t="array" ref="AH57">SUM(Model!tauL*AH13:AI13*AH26:AI26)/AH32</f>
        <v>0.15284590890273236</v>
      </c>
      <c r="AJ57" s="193">
        <f t="array" ref="AJ57">SUM(Model!tauL*AJ13:AK13*AJ26:AK26)/AJ32</f>
        <v>0.15130076542147694</v>
      </c>
      <c r="AL57" s="193">
        <f t="array" ref="AL57">SUM(Model!tauL*AL13:AM13*AL26:AM26)/AL32</f>
        <v>0.14919393707577994</v>
      </c>
      <c r="AN57" s="193">
        <f t="array" ref="AN57">SUM(Model!tauL*AN13:AO13*AN26:AO26)/AN32</f>
        <v>0.14576323032626748</v>
      </c>
      <c r="AP57" s="193">
        <f t="array" ref="AP57">SUM(Model!tauL*AP13:AQ13*AP26:AQ26)/AP32</f>
        <v>0.14465135918480634</v>
      </c>
      <c r="AR57" s="193">
        <f t="array" ref="AR57">SUM(Model!tauL*AR13:AS13*AR26:AS26)/AR32</f>
        <v>0.14318712448097562</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1.065984752933209E-2</v>
      </c>
      <c r="F58" s="193">
        <f t="array" ref="F58">SUM(Model!tauY/(1+Model!tauY)*F3:G3*F18:G18)/F32</f>
        <v>1.0565870130714554E-2</v>
      </c>
      <c r="H58" s="193">
        <f t="array" ref="H58">SUM(Model!tauY/(1+Model!tauY)*H3:I3*H18:I18)/H32</f>
        <v>1.0470597269527716E-2</v>
      </c>
      <c r="J58" s="193">
        <f t="array" ref="J58">SUM(Model!tauY/(1+Model!tauY)*J3:K3*J18:K18)/J32</f>
        <v>1.0373851756790908E-2</v>
      </c>
      <c r="L58" s="193">
        <f t="array" ref="L58">SUM(Model!tauY/(1+Model!tauY)*L3:M3*L18:M18)/L32</f>
        <v>1.0275437581645229E-2</v>
      </c>
      <c r="N58" s="193">
        <f t="array" ref="N58">SUM(Model!tauY/(1+Model!tauY)*N3:O3*N18:O18)/N32</f>
        <v>1.0175154174601752E-2</v>
      </c>
      <c r="P58" s="193">
        <f t="array" ref="P58">SUM(Model!tauY/(1+Model!tauY)*P3:Q3*P18:Q18)/P32</f>
        <v>1.0072800449621873E-2</v>
      </c>
      <c r="R58" s="193">
        <f t="array" ref="R58">SUM(Model!tauY/(1+Model!tauY)*R3:S3*R18:S18)/R32</f>
        <v>9.968190805638771E-3</v>
      </c>
      <c r="T58" s="193">
        <f t="array" ref="T58">SUM(Model!tauY/(1+Model!tauY)*T3:U3*T18:U18)/T32</f>
        <v>9.861191900041746E-3</v>
      </c>
      <c r="V58" s="193">
        <f t="array" ref="V58">SUM(Model!tauY/(1+Model!tauY)*V3:W3*V18:W18)/V32</f>
        <v>9.7517725030846526E-3</v>
      </c>
      <c r="X58" s="193">
        <f t="array" ref="X58">SUM(Model!tauY/(1+Model!tauY)*X3:Y3*X18:Y18)/X32</f>
        <v>9.6400946025561231E-3</v>
      </c>
      <c r="Y58" s="193"/>
      <c r="Z58" s="193">
        <f t="array" ref="Z58">SUM(Model!tauY/(1+Model!tauY)*Z3:AA3*Z18:AA18)/Z32</f>
        <v>9.5266629967198004E-3</v>
      </c>
      <c r="AB58" s="193">
        <f t="array" ref="AB58">SUM(Model!tauY/(1+Model!tauY)*AB3:AC3*AB18:AC18)/AB32</f>
        <v>9.4125258990133531E-3</v>
      </c>
      <c r="AD58" s="193">
        <f t="array" ref="AD58">SUM(Model!tauY/(1+Model!tauY)*AD3:AE3*AD18:AE18)/AD32</f>
        <v>9.2994274065545807E-3</v>
      </c>
      <c r="AF58" s="193">
        <f t="array" ref="AF58">SUM(Model!tauY/(1+Model!tauY)*AF3:AG3*AF18:AG18)/AF32</f>
        <v>9.1894194503362794E-3</v>
      </c>
      <c r="AH58" s="193">
        <f t="array" ref="AH58">SUM(Model!tauY/(1+Model!tauY)*AH3:AI3*AH18:AI18)/AH32</f>
        <v>9.0827684847723644E-3</v>
      </c>
      <c r="AJ58" s="193">
        <f t="array" ref="AJ58">SUM(Model!tauY/(1+Model!tauY)*AJ3:AK3*AJ18:AK18)/AJ32</f>
        <v>8.9734825707763564E-3</v>
      </c>
      <c r="AL58" s="193">
        <f t="array" ref="AL58">SUM(Model!tauY/(1+Model!tauY)*AL3:AM3*AL18:AM18)/AL32</f>
        <v>8.8433628516195184E-3</v>
      </c>
      <c r="AN58" s="193">
        <f t="array" ref="AN58">SUM(Model!tauY/(1+Model!tauY)*AN3:AO3*AN18:AO18)/AN32</f>
        <v>8.6376129196628123E-3</v>
      </c>
      <c r="AP58" s="193">
        <f t="array" ref="AP58">SUM(Model!tauY/(1+Model!tauY)*AP3:AQ3*AP18:AQ18)/AP32</f>
        <v>8.5709098522752138E-3</v>
      </c>
      <c r="AR58" s="193">
        <f t="array" ref="AR58">SUM(Model!tauY/(1+Model!tauY)*AR3:AS3*AR18:AS18)/AR32</f>
        <v>8.4830130422631003E-3</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3.1245541713090883E-3</v>
      </c>
      <c r="F59" s="193">
        <f>(F2*G5*G20)/F32</f>
        <v>5.7141601111463068E-3</v>
      </c>
      <c r="H59" s="193">
        <f>(H2*I5*I20)/H32</f>
        <v>8.3239190276968109E-3</v>
      </c>
      <c r="J59" s="193">
        <f>(J2*K5*K20)/J32</f>
        <v>1.0958207961895564E-2</v>
      </c>
      <c r="L59" s="193">
        <f>(L2*M5*M20)/L32</f>
        <v>1.3622870073433118E-2</v>
      </c>
      <c r="N59" s="193">
        <f>(N2*O5*O20)/N32</f>
        <v>1.6326026516720018E-2</v>
      </c>
      <c r="P59" s="193">
        <f>(P2*Q5*Q20)/P32</f>
        <v>1.9079259196061599E-2</v>
      </c>
      <c r="R59" s="193">
        <f>(R2*S5*S20)/R32</f>
        <v>2.1899630501660588E-2</v>
      </c>
      <c r="T59" s="193">
        <f>(T2*U5*U20)/T32</f>
        <v>2.4812864082505822E-2</v>
      </c>
      <c r="V59" s="193">
        <f>(V2*W5*W20)/V32</f>
        <v>2.7858837094928337E-2</v>
      </c>
      <c r="X59" s="193">
        <f>(X2*Y5*Y20)/X32</f>
        <v>3.1100817606216101E-2</v>
      </c>
      <c r="Z59" s="193">
        <f>(Z2*AA5*AA20)/Z32</f>
        <v>3.4641026413067134E-2</v>
      </c>
      <c r="AB59" s="193">
        <f>(AB2*AC5*AC20)/AB32</f>
        <v>3.8645988149556769E-2</v>
      </c>
      <c r="AD59" s="193">
        <f>(AD2*AE5*AE20)/AD32</f>
        <v>4.3381730199131878E-2</v>
      </c>
      <c r="AF59" s="193">
        <f>(AF2*AG5*AG20)/AF32</f>
        <v>4.9241887099724359E-2</v>
      </c>
      <c r="AH59" s="193">
        <f>(AH2*AI5*AI20)/AH32</f>
        <v>5.6722173423168785E-2</v>
      </c>
      <c r="AJ59" s="193">
        <f>(AJ2*AK5*AK20)/AJ32</f>
        <v>6.6387825228254468E-2</v>
      </c>
      <c r="AL59" s="193">
        <f>(AL2*AM5*AM20)/AL32</f>
        <v>7.9365269271981481E-2</v>
      </c>
      <c r="AN59" s="193">
        <f>(AN2*AO5*AO20)/AN32</f>
        <v>0.10048314841341903</v>
      </c>
      <c r="AP59" s="193">
        <f>(AP2*AQ5*AQ20)/AP32</f>
        <v>0.10733855752236517</v>
      </c>
      <c r="AR59" s="193">
        <f>(AR2*AS5*AS20)/AR32</f>
        <v>0.11637287323430467</v>
      </c>
      <c r="AT59" s="193" t="e">
        <f>(AT2*AU5*AU20)/AT32</f>
        <v>#DIV/0!</v>
      </c>
      <c r="AV59" s="193" t="e">
        <f>(AV2*AW5*AW20)/AV32</f>
        <v>#DIV/0!</v>
      </c>
      <c r="XFD59" s="193"/>
    </row>
    <row r="60" spans="1:48 16321:16384" x14ac:dyDescent="0.2">
      <c r="A60" t="s">
        <v>174</v>
      </c>
      <c r="B60" s="193">
        <f>Model!$C$52*B5*B20/B32</f>
        <v>2.8669464423930927E-2</v>
      </c>
      <c r="D60" s="193">
        <f>Model!$C$52*D5*D20/D32</f>
        <v>2.8625954851644226E-2</v>
      </c>
      <c r="F60" s="193">
        <f>Model!$C$52*F5*F20/F32</f>
        <v>2.8581583964384205E-2</v>
      </c>
      <c r="H60" s="193">
        <f>Model!$C$52*H5*H20/H32</f>
        <v>2.8536227780207063E-2</v>
      </c>
      <c r="J60" s="193">
        <f>Model!$C$52*J5*J20/J32</f>
        <v>2.8489734672736619E-2</v>
      </c>
      <c r="L60" s="193">
        <f>Model!$C$52*L5*L20/L32</f>
        <v>2.8441911337016068E-2</v>
      </c>
      <c r="N60" s="193">
        <f>Model!$C$52*N5*N20/N32</f>
        <v>2.8392510476260197E-2</v>
      </c>
      <c r="P60" s="193">
        <f>Model!$C$52*P5*P20/P32</f>
        <v>2.834120414137814E-2</v>
      </c>
      <c r="R60" s="193">
        <f>Model!$C$52*R5*R20/R32</f>
        <v>2.8287544345124881E-2</v>
      </c>
      <c r="T60" s="193">
        <f>Model!$C$52*T5*T20/T32</f>
        <v>2.8230904178346838E-2</v>
      </c>
      <c r="V60" s="193">
        <f>Model!$C$52*V5*V20/V32</f>
        <v>2.8170374085435958E-2</v>
      </c>
      <c r="X60" s="193">
        <f>Model!$C$52*X5*X20/X32</f>
        <v>2.8104590773941666E-2</v>
      </c>
      <c r="Z60" s="193">
        <f>Model!$C$52*Z5*Z20/Z32</f>
        <v>2.8031447741305698E-2</v>
      </c>
      <c r="AB60" s="193">
        <f>Model!$C$52*AB5*AB20/AB32</f>
        <v>2.7947605670735468E-2</v>
      </c>
      <c r="AD60" s="193">
        <f>Model!$C$52*AD5*AD20/AD32</f>
        <v>2.7847735285734421E-2</v>
      </c>
      <c r="AF60" s="193">
        <f>Model!$C$52*AF5*AF20/AF32</f>
        <v>2.7723574234639097E-2</v>
      </c>
      <c r="AH60" s="193">
        <f>Model!$C$52*AH5*AH20/AH32</f>
        <v>2.7563083849345096E-2</v>
      </c>
      <c r="AJ60" s="193">
        <f>Model!$C$52*AJ5*AJ20/AJ32</f>
        <v>2.7347971443477878E-2</v>
      </c>
      <c r="AL60" s="193">
        <f>Model!$C$52*AL5*AL20/AL32</f>
        <v>2.7037311779169529E-2</v>
      </c>
      <c r="AN60" s="193">
        <f>Model!$C$52*AN5*AN20/AN32</f>
        <v>2.6473894262829915E-2</v>
      </c>
      <c r="AP60" s="193">
        <f>Model!$C$52*AP5*AP20/AP32</f>
        <v>2.6278837002154314E-2</v>
      </c>
      <c r="AR60" s="193">
        <f>Model!$C$52*AR5*AR20/AR32</f>
        <v>2.6015631041649633E-2</v>
      </c>
      <c r="AT60" s="193" t="e">
        <f>Model!$C$52*AT5*AT20/AT32</f>
        <v>#DIV/0!</v>
      </c>
      <c r="AV60" s="193" t="e">
        <f>Model!$C$52*AV5*AV20/AV32</f>
        <v>#DIV/0!</v>
      </c>
      <c r="XFD60" s="193"/>
    </row>
    <row r="62" spans="1:48 16321:16384" x14ac:dyDescent="0.2">
      <c r="A62" t="s">
        <v>175</v>
      </c>
      <c r="B62">
        <f>B13/B15</f>
        <v>1</v>
      </c>
      <c r="D62">
        <f>D13/D15</f>
        <v>1.003043769701718</v>
      </c>
      <c r="F62">
        <f>F13/F15</f>
        <v>1.0061103101148783</v>
      </c>
      <c r="H62">
        <f>H13/H15</f>
        <v>1.0092010455344544</v>
      </c>
      <c r="J62">
        <f>J13/J15</f>
        <v>1.0123168331853707</v>
      </c>
      <c r="L62">
        <f>L13/L15</f>
        <v>1.0154578427024643</v>
      </c>
      <c r="N62">
        <f>N13/N15</f>
        <v>1.0186225962765239</v>
      </c>
      <c r="P62">
        <f>P13/P15</f>
        <v>1.0218071600280878</v>
      </c>
      <c r="R62">
        <f>R13/R15</f>
        <v>1.0250036245668757</v>
      </c>
      <c r="T62">
        <f>T13/T15</f>
        <v>1.02819743936297</v>
      </c>
      <c r="V62">
        <f>V13/V15</f>
        <v>1.0313636259008701</v>
      </c>
      <c r="X62">
        <f>X13/X15</f>
        <v>1.0344606202868474</v>
      </c>
      <c r="Z62">
        <f>Z13/Z15</f>
        <v>1.0374208970097496</v>
      </c>
      <c r="AB62">
        <f>AB13/AB15</f>
        <v>1.0401388679144217</v>
      </c>
      <c r="AD62">
        <f>AD13/AD15</f>
        <v>1.0424618708941444</v>
      </c>
      <c r="AF62">
        <f>AF13/AF15</f>
        <v>1.0442085726880976</v>
      </c>
      <c r="AH62">
        <f>AH13/AH15</f>
        <v>1.0452606257995496</v>
      </c>
      <c r="AJ62">
        <f>AJ13/AJ15</f>
        <v>1.0457039202310892</v>
      </c>
      <c r="AL62">
        <f>AL13/AL15</f>
        <v>1.0458115271320461</v>
      </c>
      <c r="AN62">
        <f>AN13/AN15</f>
        <v>1.0458215711784036</v>
      </c>
      <c r="AP62">
        <f>AP13/AP15</f>
        <v>1.0458216469470891</v>
      </c>
      <c r="AR62">
        <f>AR13/AR15</f>
        <v>1.0458216635261979</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0.99896789768428307</v>
      </c>
      <c r="E65" s="191"/>
      <c r="F65" s="191">
        <f t="array" ref="F65">SQRT((F9:G9*$B$22:$C$22+F10:G10*$B$23:$C$23+F11:G11*$B$24:$C$24+F4:G4*($B$25:$C$25-$B$19:$C$19))/($B$9:$C$9*$B$22:$C$22+$B$10:$C$10*$B$23:$C$23+$B$11:$C$11*$B$24:$C$24+$B$4:$C$4*($B$25:$C$25-$B$19:$C$19))*(F9:G9*F22:G22+F10:G10*F23:G23+F11:G11*F24:G24+F4:G4*(F25:G25-F19:G19))/($B$9:$C$9*F22:G22+$B$10:$C$10*F23:G23+$B$11:$C$11*F24:G24+$B$4:$C$4*(F25:G25-F19:G19)))</f>
        <v>0.99792434069185021</v>
      </c>
      <c r="G65" s="191"/>
      <c r="H65" s="191">
        <f t="array" ref="H65">SQRT((H9:I9*$B$22:$C$22+H10:I10*$B$23:$C$23+H11:I11*$B$24:$C$24+H4:I4*($B$25:$C$25-$B$19:$C$19))/($B$9:$C$9*$B$22:$C$22+$B$10:$C$10*$B$23:$C$23+$B$11:$C$11*$B$24:$C$24+$B$4:$C$4*($B$25:$C$25-$B$19:$C$19))*(H9:I9*H22:I22+H10:I10*H23:I23+H11:I11*H24:I24+H4:I4*(H25:I25-H19:I19))/($B$9:$C$9*H22:I22+$B$10:$C$10*H23:I23+$B$11:$C$11*H24:I24+$B$4:$C$4*(H25:I25-H19:I19)))</f>
        <v>0.99686756306409297</v>
      </c>
      <c r="I65" s="191"/>
      <c r="J65" s="191">
        <f t="array" ref="J65">SQRT((J9:K9*$B$22:$C$22+J10:K10*$B$23:$C$23+J11:K11*$B$24:$C$24+J4:K4*($B$25:$C$25-$B$19:$C$19))/($B$9:$C$9*$B$22:$C$22+$B$10:$C$10*$B$23:$C$23+$B$11:$C$11*$B$24:$C$24+$B$4:$C$4*($B$25:$C$25-$B$19:$C$19))*(J9:K9*J22:K22+J10:K10*J23:K23+J11:K11*J24:K24+J4:K4*(J25:K25-J19:K19))/($B$9:$C$9*J22:K22+$B$10:$C$10*J23:K23+$B$11:$C$11*J24:K24+$B$4:$C$4*(J25:K25-J19:K19)))</f>
        <v>0.99579624876393169</v>
      </c>
      <c r="K65" s="191"/>
      <c r="L65" s="191">
        <f t="array" ref="L65">SQRT((L9:M9*$B$22:$C$22+L10:M10*$B$23:$C$23+L11:M11*$B$24:$C$24+L4:M4*($B$25:$C$25-$B$19:$C$19))/($B$9:$C$9*$B$22:$C$22+$B$10:$C$10*$B$23:$C$23+$B$11:$C$11*$B$24:$C$24+$B$4:$C$4*($B$25:$C$25-$B$19:$C$19))*(L9:M9*L22:M22+L10:M10*L23:M23+L11:M11*L24:M24+L4:M4*(L25:M25-L19:M19))/($B$9:$C$9*L22:M22+$B$10:$C$10*L23:M23+$B$11:$C$11*L24:M24+$B$4:$C$4*(L25:M25-L19:M19)))</f>
        <v>0.9947099711365216</v>
      </c>
      <c r="M65" s="191"/>
      <c r="N65" s="191">
        <f t="array" ref="N65">SQRT((N9:O9*$B$22:$C$22+N10:O10*$B$23:$C$23+N11:O11*$B$24:$C$24+N4:O4*($B$25:$C$25-$B$19:$C$19))/($B$9:$C$9*$B$22:$C$22+$B$10:$C$10*$B$23:$C$23+$B$11:$C$11*$B$24:$C$24+$B$4:$C$4*($B$25:$C$25-$B$19:$C$19))*(N9:O9*N22:O22+N10:O10*N23:O23+N11:O11*N24:O24+N4:O4*(N25:O25-N19:O19))/($B$9:$C$9*N22:O22+$B$10:$C$10*N23:O23+$B$11:$C$11*N24:O24+$B$4:$C$4*(N25:O25-N19:O19)))</f>
        <v>0.99360989036433423</v>
      </c>
      <c r="O65" s="191"/>
      <c r="P65" s="191">
        <f t="array" ref="P65">SQRT((P9:Q9*$B$22:$C$22+P10:Q10*$B$23:$C$23+P11:Q11*$B$24:$C$24+P4:Q4*($B$25:$C$25-$B$19:$C$19))/($B$9:$C$9*$B$22:$C$22+$B$10:$C$10*$B$23:$C$23+$B$11:$C$11*$B$24:$C$24+$B$4:$C$4*($B$25:$C$25-$B$19:$C$19))*(P9:Q9*P22:Q22+P10:Q10*P23:Q23+P11:Q11*P24:Q24+P4:Q4*(P25:Q25-P19:Q19))/($B$9:$C$9*P22:Q22+$B$10:$C$10*P23:Q23+$B$11:$C$11*P24:Q24+$B$4:$C$4*(P25:Q25-P19:Q19)))</f>
        <v>0.99249988295154956</v>
      </c>
      <c r="Q65" s="191"/>
      <c r="R65" s="191">
        <f t="array" ref="R65">SQRT((R9:S9*$B$22:$C$22+R10:S10*$B$23:$C$23+R11:S11*$B$24:$C$24+R4:S4*($B$25:$C$25-$B$19:$C$19))/($B$9:$C$9*$B$22:$C$22+$B$10:$C$10*$B$23:$C$23+$B$11:$C$11*$B$24:$C$24+$B$4:$C$4*($B$25:$C$25-$B$19:$C$19))*(R9:S9*R22:S22+R10:S10*R23:S23+R11:S11*R24:S24+R4:S4*(R25:S25-R19:S19))/($B$9:$C$9*R22:S22+$B$10:$C$10*R23:S23+$B$11:$C$11*R24:S24+$B$4:$C$4*(R25:S25-R19:S19)))</f>
        <v>0.99138837446961359</v>
      </c>
      <c r="S65" s="191"/>
      <c r="T65" s="191">
        <f t="array" ref="T65">SQRT((T9:U9*$B$22:$C$22+T10:U10*$B$23:$C$23+T11:U11*$B$24:$C$24+T4:U4*($B$25:$C$25-$B$19:$C$19))/($B$9:$C$9*$B$22:$C$22+$B$10:$C$10*$B$23:$C$23+$B$11:$C$11*$B$24:$C$24+$B$4:$C$4*($B$25:$C$25-$B$19:$C$19))*(T9:U9*T22:U22+T10:U10*T23:U23+T11:U11*T24:U24+T4:U4*(T25:U25-T19:U19))/($B$9:$C$9*T22:U22+$B$10:$C$10*T23:U23+$B$11:$C$11*T24:U24+$B$4:$C$4*(T25:U25-T19:U19)))</f>
        <v>0.99029130302064017</v>
      </c>
      <c r="U65" s="191"/>
      <c r="V65" s="191">
        <f t="array" ref="V65">SQRT((V9:W9*$B$22:$C$22+V10:W10*$B$23:$C$23+V11:W11*$B$24:$C$24+V4:W4*($B$25:$C$25-$B$19:$C$19))/($B$9:$C$9*$B$22:$C$22+$B$10:$C$10*$B$23:$C$23+$B$11:$C$11*$B$24:$C$24+$B$4:$C$4*($B$25:$C$25-$B$19:$C$19))*(V9:W9*V22:W22+V10:W10*V23:W23+V11:W11*V24:W24+V4:W4*(V25:W25-V19:W19))/($B$9:$C$9*V22:W22+$B$10:$C$10*V23:W23+$B$11:$C$11*V24:W24+$B$4:$C$4*(V25:W25-V19:W19)))</f>
        <v>0.98923703074602198</v>
      </c>
      <c r="W65" s="191"/>
      <c r="X65" s="191">
        <f t="array" ref="X65">SQRT((X9:Y9*$B$22:$C$22+X10:Y10*$B$23:$C$23+X11:Y11*$B$24:$C$24+X4:Y4*($B$25:$C$25-$B$19:$C$19))/($B$9:$C$9*$B$22:$C$22+$B$10:$C$10*$B$23:$C$23+$B$11:$C$11*$B$24:$C$24+$B$4:$C$4*($B$25:$C$25-$B$19:$C$19))*(X9:Y9*X22:Y22+X10:Y10*X23:Y23+X11:Y11*X24:Y24+X4:Y4*(X25:Y25-X19:Y19))/($B$9:$C$9*X22:Y22+$B$10:$C$10*X23:Y23+$B$11:$C$11*X24:Y24+$B$4:$C$4*(X25:Y25-X19:Y19)))</f>
        <v>0.98827442168211832</v>
      </c>
      <c r="Y65" s="191"/>
      <c r="Z65" s="191">
        <f t="array" ref="Z65">SQRT((Z9:AA9*$B$22:$C$22+Z10:AA10*$B$23:$C$23+Z11:AA11*$B$24:$C$24+Z4:AA4*($B$25:$C$25-$B$19:$C$19))/($B$9:$C$9*$B$22:$C$22+$B$10:$C$10*$B$23:$C$23+$B$11:$C$11*$B$24:$C$24+$B$4:$C$4*($B$25:$C$25-$B$19:$C$19))*(Z9:AA9*Z22:AA22+Z10:AA10*Z23:AA23+Z11:AA11*Z24:AA24+Z4:AA4*(Z25:AA25-Z19:AA19))/($B$9:$C$9*Z22:AA22+$B$10:$C$10*Z23:AA23+$B$11:$C$11*Z24:AA24+$B$4:$C$4*(Z25:AA25-Z19:AA19)))</f>
        <v>0.98748582802355289</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0.98700628796600787</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0.98704387345826206</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0.98787126960264726</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0.98971348655050251</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0.99251351586930248</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0.99583529839306251</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0.99895760730810113</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0.99942321202566298</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0.99973962566267416</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0.99886495489070404</v>
      </c>
      <c r="E66" s="191"/>
      <c r="F66" s="191">
        <f t="array" ref="F66">SQRT((F9:G9*$B$22:$C$22)/($B$9:$C$9*$B$22:$C$22)*(F9:G9*F22:G22)/($B$9:$C$9*F22:G22))</f>
        <v>0.99771580375829827</v>
      </c>
      <c r="G66" s="191"/>
      <c r="H66" s="191">
        <f t="array" ref="H66">SQRT((H9:I9*$B$22:$C$22)/($B$9:$C$9*$B$22:$C$22)*(H9:I9*H22:I22)/($B$9:$C$9*H22:I22))</f>
        <v>0.99655054002274945</v>
      </c>
      <c r="I66" s="191"/>
      <c r="J66" s="191">
        <f t="array" ref="J66">SQRT((J9:K9*$B$22:$C$22)/($B$9:$C$9*$B$22:$C$22)*(J9:K9*J22:K22)/($B$9:$C$9*J22:K22))</f>
        <v>0.99536764221355301</v>
      </c>
      <c r="K66" s="191"/>
      <c r="L66" s="191">
        <f t="array" ref="L66">SQRT((L9:M9*$B$22:$C$22)/($B$9:$C$9*$B$22:$C$22)*(L9:M9*L22:M22)/($B$9:$C$9*L22:M22))</f>
        <v>0.99416656352831501</v>
      </c>
      <c r="M66" s="191"/>
      <c r="N66" s="191">
        <f t="array" ref="N66">SQRT((N9:O9*$B$22:$C$22)/($B$9:$C$9*$B$22:$C$22)*(N9:O9*N22:O22)/($B$9:$C$9*N22:O22))</f>
        <v>0.99294851186775424</v>
      </c>
      <c r="O66" s="191"/>
      <c r="P66" s="191">
        <f t="array" ref="P66">SQRT((P9:Q9*$B$22:$C$22)/($B$9:$C$9*$B$22:$C$22)*(P9:Q9*P22:Q22)/($B$9:$C$9*P22:Q22))</f>
        <v>0.99171771697180822</v>
      </c>
      <c r="Q66" s="191"/>
      <c r="R66" s="191">
        <f t="array" ref="R66">SQRT((R9:S9*$B$22:$C$22)/($B$9:$C$9*$B$22:$C$22)*(R9:S9*R22:S22)/($B$9:$C$9*R22:S22))</f>
        <v>0.99048349161628324</v>
      </c>
      <c r="S66" s="191"/>
      <c r="T66" s="191">
        <f t="array" ref="T66">SQRT((T9:U9*$B$22:$C$22)/($B$9:$C$9*$B$22:$C$22)*(T9:U9*T22:U22)/($B$9:$C$9*T22:U22))</f>
        <v>0.98926357083907246</v>
      </c>
      <c r="U66" s="191"/>
      <c r="V66" s="191">
        <f t="array" ref="V66">SQRT((V9:W9*$B$22:$C$22)/($B$9:$C$9*$B$22:$C$22)*(V9:W9*V22:W22)/($B$9:$C$9*V22:W22))</f>
        <v>0.98808965123706904</v>
      </c>
      <c r="W66" s="191"/>
      <c r="X66" s="191">
        <f t="array" ref="X66">SQRT((X9:Y9*$B$22:$C$22)/($B$9:$C$9*$B$22:$C$22)*(X9:Y9*X22:Y22)/($B$9:$C$9*X22:Y22))</f>
        <v>0.98701650113749761</v>
      </c>
      <c r="Y66" s="191"/>
      <c r="Z66" s="191">
        <f t="array" ref="Z66">SQRT((Z9:AA9*$B$22:$C$22)/($B$9:$C$9*$B$22:$C$22)*(Z9:AA9*Z22:AA22)/($B$9:$C$9*Z22:AA22))</f>
        <v>0.98613658332039111</v>
      </c>
      <c r="AA66" s="191"/>
      <c r="AB66" s="191">
        <f t="array" ref="AB66">SQRT((AB9:AC9*$B$22:$C$22)/($B$9:$C$9*$B$22:$C$22)*(AB9:AC9*AB22:AC22)/($B$9:$C$9*AB22:AC22))</f>
        <v>0.98560157419280736</v>
      </c>
      <c r="AC66" s="191"/>
      <c r="AD66" s="191">
        <f t="array" ref="AD66">SQRT((AD9:AE9*$B$22:$C$22)/($B$9:$C$9*$B$22:$C$22)*(AD9:AE9*AD22:AE22)/($B$9:$C$9*AD22:AE22))</f>
        <v>0.98564483488805255</v>
      </c>
      <c r="AE66" s="191"/>
      <c r="AF66" s="191">
        <f t="array" ref="AF66">SQRT((AF9:AG9*$B$22:$C$22)/($B$9:$C$9*$B$22:$C$22)*(AF9:AG9*AF22:AG22)/($B$9:$C$9*AF22:AG22))</f>
        <v>0.98657070881311926</v>
      </c>
      <c r="AG66" s="191"/>
      <c r="AH66" s="191">
        <f t="array" ref="AH66">SQRT((AH9:AI9*$B$22:$C$22)/($B$9:$C$9*$B$22:$C$22)*(AH9:AI9*AH22:AI22)/($B$9:$C$9*AH22:AI22))</f>
        <v>0.98862638136657932</v>
      </c>
      <c r="AI66" s="191"/>
      <c r="AJ66" s="191">
        <f t="array" ref="AJ66">SQRT((AJ9:AK9*$B$22:$C$22)/($B$9:$C$9*$B$22:$C$22)*(AJ9:AK9*AJ22:AK22)/($B$9:$C$9*AJ22:AK22))</f>
        <v>0.99173932126614051</v>
      </c>
      <c r="AK66" s="191"/>
      <c r="AL66" s="191">
        <f t="array" ref="AL66">SQRT((AL9:AM9*$B$22:$C$22)/($B$9:$C$9*$B$22:$C$22)*(AL9:AM9*AL22:AM22)/($B$9:$C$9*AL22:AM22))</f>
        <v>0.99541555364735634</v>
      </c>
      <c r="AM66" s="191"/>
      <c r="AN66" s="191">
        <f t="array" ref="AN66">SQRT((AN9:AO9*$B$22:$C$22)/($B$9:$C$9*$B$22:$C$22)*(AN9:AO9*AN22:AO22)/($B$9:$C$9*AN22:AO22))</f>
        <v>0.99885506811034974</v>
      </c>
      <c r="AO66" s="191"/>
      <c r="AP66" s="191">
        <f t="array" ref="AP66">SQRT((AP9:AQ9*$B$22:$C$22)/($B$9:$C$9*$B$22:$C$22)*(AP9:AQ9*AP22:AQ22)/($B$9:$C$9*AP22:AQ22))</f>
        <v>0.99936667959744852</v>
      </c>
      <c r="AQ66" s="191"/>
      <c r="AR66" s="191">
        <f t="array" ref="AR66">SQRT((AR9:AS9*$B$22:$C$22)/($B$9:$C$9*$B$22:$C$22)*(AR9:AS9*AR22:AS22)/($B$9:$C$9*AR22:AS22))</f>
        <v>0.99971416867220586</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0.99886495489070404</v>
      </c>
      <c r="E68" s="191"/>
      <c r="F68" s="191">
        <f>F66/F67</f>
        <v>0.99771580375829827</v>
      </c>
      <c r="G68" s="191"/>
      <c r="H68" s="191">
        <f>H66/H67</f>
        <v>0.99655054002274945</v>
      </c>
      <c r="I68" s="191"/>
      <c r="J68" s="191">
        <f>J66/J67</f>
        <v>0.99536764221355301</v>
      </c>
      <c r="K68" s="191"/>
      <c r="L68" s="191">
        <f>L66/L67</f>
        <v>0.99416656352831501</v>
      </c>
      <c r="M68" s="191"/>
      <c r="N68" s="191">
        <f>N66/N67</f>
        <v>0.99294851186775424</v>
      </c>
      <c r="O68" s="191"/>
      <c r="P68" s="191">
        <f>P66/P67</f>
        <v>0.99171771697180822</v>
      </c>
      <c r="Q68" s="191"/>
      <c r="R68" s="191">
        <f>R66/R67</f>
        <v>0.99048349161628324</v>
      </c>
      <c r="S68" s="191"/>
      <c r="T68" s="191">
        <f>T66/T67</f>
        <v>0.98926357083907246</v>
      </c>
      <c r="U68" s="191"/>
      <c r="V68" s="191">
        <f>V66/V67</f>
        <v>0.98808965123706904</v>
      </c>
      <c r="W68" s="191"/>
      <c r="X68" s="191">
        <f>X66/X67</f>
        <v>0.98701650113749761</v>
      </c>
      <c r="Y68" s="191"/>
      <c r="Z68" s="191">
        <f>Z66/Z67</f>
        <v>0.98613658332039111</v>
      </c>
      <c r="AA68" s="191"/>
      <c r="AB68" s="191">
        <f>AB66/AB67</f>
        <v>0.98560157419280736</v>
      </c>
      <c r="AC68" s="191"/>
      <c r="AD68" s="191">
        <f>AD66/AD67</f>
        <v>0.98564483488805255</v>
      </c>
      <c r="AE68" s="191"/>
      <c r="AF68" s="191">
        <f>AF66/AF67</f>
        <v>0.98657070881311926</v>
      </c>
      <c r="AG68" s="191"/>
      <c r="AH68" s="191">
        <f>AH66/AH67</f>
        <v>0.98862638136657932</v>
      </c>
      <c r="AI68" s="191"/>
      <c r="AJ68" s="191">
        <f>AJ66/AJ67</f>
        <v>0.99173932126614051</v>
      </c>
      <c r="AK68" s="191"/>
      <c r="AL68" s="191">
        <f>AL66/AL67</f>
        <v>0.99541555364735634</v>
      </c>
      <c r="AM68" s="191"/>
      <c r="AN68" s="191">
        <f>AN66/AN67</f>
        <v>0.99885506811034974</v>
      </c>
      <c r="AO68" s="191"/>
      <c r="AP68" s="191">
        <f>AP66/AP67</f>
        <v>0.99936667959744852</v>
      </c>
      <c r="AQ68" s="191"/>
      <c r="AR68" s="191">
        <f>AR66/AR67</f>
        <v>0.99971416867220586</v>
      </c>
      <c r="AS68" s="191"/>
      <c r="AT68" s="191" t="e">
        <f>AT66/AT67</f>
        <v>#DIV/0!</v>
      </c>
      <c r="AU68" s="191"/>
      <c r="AV68" s="191" t="e">
        <f>AV66/AV67</f>
        <v>#DIV/0!</v>
      </c>
      <c r="XFD68" s="191"/>
    </row>
    <row r="69" spans="1:48 16384:16384" x14ac:dyDescent="0.2">
      <c r="A69" t="s">
        <v>177</v>
      </c>
      <c r="B69" s="191">
        <f>B32/B65/($B$32)</f>
        <v>1</v>
      </c>
      <c r="C69" s="191"/>
      <c r="D69" s="191">
        <f>D32/D65/($B$32)</f>
        <v>1.0008030267778896</v>
      </c>
      <c r="E69" s="191"/>
      <c r="F69" s="191">
        <f>F32/F65/($B$32)</f>
        <v>1.0015296070157165</v>
      </c>
      <c r="G69" s="191"/>
      <c r="H69" s="191">
        <f>H32/H65/($B$32)</f>
        <v>1.0021713450800136</v>
      </c>
      <c r="I69" s="191"/>
      <c r="J69" s="191">
        <f>J32/J65/($B$32)</f>
        <v>1.0027184098392965</v>
      </c>
      <c r="K69" s="191"/>
      <c r="L69" s="191">
        <f>L32/L65/($B$32)</f>
        <v>1.0031595753115845</v>
      </c>
      <c r="M69" s="191"/>
      <c r="N69" s="191">
        <f>N32/N65/($B$32)</f>
        <v>1.0034816085451426</v>
      </c>
      <c r="O69" s="191"/>
      <c r="P69" s="191">
        <f>P32/P65/($B$32)</f>
        <v>1.0036691332167664</v>
      </c>
      <c r="Q69" s="191"/>
      <c r="R69" s="191">
        <f>R32/R65/($B$32)</f>
        <v>1.003704358466039</v>
      </c>
      <c r="S69" s="191"/>
      <c r="T69" s="191">
        <f>T32/T65/($B$32)</f>
        <v>1.0035665180066486</v>
      </c>
      <c r="U69" s="191"/>
      <c r="V69" s="191">
        <f>V32/V65/($B$32)</f>
        <v>1.0032318039662491</v>
      </c>
      <c r="W69" s="191"/>
      <c r="X69" s="191">
        <f>X32/X65/($B$32)</f>
        <v>1.0026733491857744</v>
      </c>
      <c r="Y69" s="191"/>
      <c r="Z69" s="191">
        <f>Z32/Z65/($B$32)</f>
        <v>1.0018613067060465</v>
      </c>
      <c r="AA69" s="191"/>
      <c r="AB69" s="191">
        <f>AB32/AB65/($B$32)</f>
        <v>1.0007626822241102</v>
      </c>
      <c r="AC69" s="191"/>
      <c r="AD69" s="191">
        <f>AD32/AD65/($B$32)</f>
        <v>0.99933583685340899</v>
      </c>
      <c r="AE69" s="191"/>
      <c r="AF69" s="191">
        <f>AF32/AF65/($B$32)</f>
        <v>0.99750062188815525</v>
      </c>
      <c r="AG69" s="191"/>
      <c r="AH69" s="191">
        <f>AH32/AH65/($B$32)</f>
        <v>0.9950345905177379</v>
      </c>
      <c r="AI69" s="191"/>
      <c r="AJ69" s="191">
        <f>AJ32/AJ65/($B$32)</f>
        <v>0.99134540752136469</v>
      </c>
      <c r="AK69" s="191"/>
      <c r="AL69" s="191">
        <f>AL32/AL65/($B$32)</f>
        <v>0.9851223591605256</v>
      </c>
      <c r="AM69" s="191"/>
      <c r="AN69" s="191">
        <f>AN32/AN65/($B$32)</f>
        <v>0.97335515423786112</v>
      </c>
      <c r="AO69" s="191"/>
      <c r="AP69" s="191">
        <f>AP32/AP65/($B$32)</f>
        <v>0.96971046564702046</v>
      </c>
      <c r="AQ69" s="191"/>
      <c r="AR69" s="191">
        <f>AR32/AR65/($B$32)</f>
        <v>0.96532101789487423</v>
      </c>
      <c r="AS69" s="191"/>
      <c r="AT69" s="191" t="e">
        <f>AT32/AT65/($B$32)</f>
        <v>#DIV/0!</v>
      </c>
      <c r="AU69" s="191"/>
      <c r="AV69" s="191" t="e">
        <f>AV32/AV65/($B$32)</f>
        <v>#DIV/0!</v>
      </c>
    </row>
    <row r="70" spans="1:48 16384:16384" x14ac:dyDescent="0.2">
      <c r="A70" t="s">
        <v>178</v>
      </c>
      <c r="B70" s="138">
        <f>B18/$B$18</f>
        <v>1</v>
      </c>
      <c r="C70" s="138"/>
      <c r="D70" s="138">
        <f>D18/$B$18</f>
        <v>1.0001229968470482</v>
      </c>
      <c r="E70" s="138"/>
      <c r="F70" s="138">
        <f>F18/$B$18</f>
        <v>1.0001523025269308</v>
      </c>
      <c r="G70" s="138"/>
      <c r="H70" s="138">
        <f>H18/$B$18</f>
        <v>1.0000769421644942</v>
      </c>
      <c r="I70" s="138"/>
      <c r="J70" s="138">
        <f>J18/$B$18</f>
        <v>0.99988322023435117</v>
      </c>
      <c r="K70" s="138"/>
      <c r="L70" s="138">
        <f>L18/$B$18</f>
        <v>0.9995538863478125</v>
      </c>
      <c r="M70" s="138"/>
      <c r="N70" s="138">
        <f>N18/$B$18</f>
        <v>0.99906647671410387</v>
      </c>
      <c r="O70" s="138"/>
      <c r="P70" s="138">
        <f>P18/$B$18</f>
        <v>0.99839122835321825</v>
      </c>
      <c r="Q70" s="138"/>
      <c r="R70" s="138">
        <f>R18/$B$18</f>
        <v>0.997487765088099</v>
      </c>
      <c r="S70" s="138"/>
      <c r="T70" s="138">
        <f>T18/$B$18</f>
        <v>0.99629977291867478</v>
      </c>
      <c r="U70" s="138"/>
      <c r="V70" s="138">
        <f>V18/$B$18</f>
        <v>0.99474682297596007</v>
      </c>
      <c r="W70" s="138"/>
      <c r="X70" s="138">
        <f>X18/$B$18</f>
        <v>0.99271106051170466</v>
      </c>
      <c r="Y70" s="138"/>
      <c r="Z70" s="138">
        <f>Z18/$B$18</f>
        <v>0.99001566146195752</v>
      </c>
      <c r="AA70" s="138"/>
      <c r="AB70" s="138">
        <f>AB18/$B$18</f>
        <v>0.98639137347571482</v>
      </c>
      <c r="AC70" s="138"/>
      <c r="AD70" s="138">
        <f>AD18/$B$18</f>
        <v>0.98143023378381289</v>
      </c>
      <c r="AE70" s="138"/>
      <c r="AF70" s="138">
        <f>AF18/$B$18</f>
        <v>0.97454119076479839</v>
      </c>
      <c r="AG70" s="138"/>
      <c r="AH70" s="138">
        <f>AH18/$B$18</f>
        <v>0.96493768404854585</v>
      </c>
      <c r="AI70" s="138"/>
      <c r="AJ70" s="138">
        <f>AJ18/$B$18</f>
        <v>0.95155132807339204</v>
      </c>
      <c r="AK70" s="138"/>
      <c r="AL70" s="138">
        <f>AL18/$B$18</f>
        <v>0.93221903610923218</v>
      </c>
      <c r="AM70" s="138"/>
      <c r="AN70" s="138">
        <f>AN18/$B$18</f>
        <v>0.89957339043163143</v>
      </c>
      <c r="AO70" s="138"/>
      <c r="AP70" s="138">
        <f>AP18/$B$18</f>
        <v>0.88926534727233841</v>
      </c>
      <c r="AQ70" s="138"/>
      <c r="AR70" s="138">
        <f>AR18/$B$18</f>
        <v>0.87614896485793592</v>
      </c>
      <c r="AS70" s="138"/>
      <c r="AT70" s="138">
        <f>AT18/$B$18</f>
        <v>0</v>
      </c>
      <c r="AU70" s="138"/>
      <c r="AV70" s="138">
        <f>AV18/$B$18</f>
        <v>0</v>
      </c>
    </row>
    <row r="71" spans="1:48 16384:16384" x14ac:dyDescent="0.2">
      <c r="A71" t="s">
        <v>179</v>
      </c>
      <c r="B71" s="138">
        <f>C18/$C$18</f>
        <v>1</v>
      </c>
      <c r="D71" s="138">
        <f>E18/$C$18</f>
        <v>0.9270709711367886</v>
      </c>
      <c r="E71" s="138"/>
      <c r="F71" s="138">
        <f>G18/$C$18</f>
        <v>0.85422501316152533</v>
      </c>
      <c r="G71" s="138"/>
      <c r="H71" s="138">
        <f>I18/$C$18</f>
        <v>0.78148519758806878</v>
      </c>
      <c r="I71" s="138"/>
      <c r="J71" s="138">
        <f>K18/$C$18</f>
        <v>0.7088943197926697</v>
      </c>
      <c r="K71" s="138"/>
      <c r="L71" s="138">
        <f>M18/$C$18</f>
        <v>0.63652028633384872</v>
      </c>
      <c r="M71" s="138"/>
      <c r="N71" s="138">
        <f>O18/$C$18</f>
        <v>0.56447562125750117</v>
      </c>
      <c r="O71" s="138"/>
      <c r="P71" s="138">
        <f>Q18/$C$18</f>
        <v>0.49293634452314783</v>
      </c>
      <c r="Q71" s="138"/>
      <c r="R71" s="138">
        <f>S18/$C$18</f>
        <v>0.4221741382638784</v>
      </c>
      <c r="S71" s="138"/>
      <c r="T71" s="138">
        <f>U18/$C$18</f>
        <v>0.35260884556445365</v>
      </c>
      <c r="U71" s="138"/>
      <c r="V71" s="138">
        <f>W18/$C$18</f>
        <v>0.284881943266513</v>
      </c>
      <c r="W71" s="138"/>
      <c r="X71" s="138">
        <f>Y18/$C$18</f>
        <v>0.2199692020462381</v>
      </c>
      <c r="Y71" s="138"/>
      <c r="Z71" s="138">
        <f>AA18/$C$18</f>
        <v>0.15934049270667067</v>
      </c>
      <c r="AA71" s="138"/>
      <c r="AB71" s="138">
        <f>AC18/$C$18</f>
        <v>0.10514167203359018</v>
      </c>
      <c r="AC71" s="138"/>
      <c r="AD71" s="138">
        <f>AE18/$C$18</f>
        <v>6.0256971313279721E-2</v>
      </c>
      <c r="AE71" s="138"/>
      <c r="AF71" s="138">
        <f>AG18/$C$18</f>
        <v>2.7776795635576883E-2</v>
      </c>
      <c r="AG71" s="138"/>
      <c r="AH71" s="138">
        <f>AI18/$C$18</f>
        <v>9.1371366101260874E-3</v>
      </c>
      <c r="AI71" s="138"/>
      <c r="AJ71" s="138">
        <f>AK18/$C$18</f>
        <v>1.7692202262403103E-3</v>
      </c>
      <c r="AK71" s="138"/>
      <c r="AL71" s="138">
        <f>AM18/$C$18</f>
        <v>1.3411938168159389E-4</v>
      </c>
      <c r="AM71" s="138"/>
      <c r="AN71" s="138">
        <f>AO18/$C$18</f>
        <v>9.7292568557221028E-7</v>
      </c>
      <c r="AO71" s="138"/>
      <c r="AP71" s="138">
        <f>AQ18/$C$18</f>
        <v>1.765234171592833E-7</v>
      </c>
      <c r="AQ71" s="138"/>
      <c r="AR71" s="138">
        <f>AS18/$C$18</f>
        <v>1.8082442222807561E-8</v>
      </c>
      <c r="AS71" s="138"/>
      <c r="AT71" s="138">
        <f>AU18/$C$18</f>
        <v>0</v>
      </c>
      <c r="AU71" s="138"/>
      <c r="AV71" s="138">
        <f>AW18/$C$18</f>
        <v>0</v>
      </c>
      <c r="XFD71" s="138"/>
    </row>
    <row r="72" spans="1:48 16384:16384" x14ac:dyDescent="0.2">
      <c r="A72" t="s">
        <v>180</v>
      </c>
      <c r="B72" s="138">
        <f>C19/$C$19</f>
        <v>1</v>
      </c>
      <c r="D72" s="138">
        <f>E19/$C$19</f>
        <v>1.0351570173092963</v>
      </c>
      <c r="E72" s="138"/>
      <c r="F72" s="138">
        <f>G19/$C$19</f>
        <v>1.0734953729858796</v>
      </c>
      <c r="G72" s="138"/>
      <c r="H72" s="138">
        <f>I19/$C$19</f>
        <v>1.1152178634604324</v>
      </c>
      <c r="I72" s="138"/>
      <c r="J72" s="138">
        <f>K19/$C$19</f>
        <v>1.1604859400105529</v>
      </c>
      <c r="K72" s="138"/>
      <c r="L72" s="138">
        <f>M19/$C$19</f>
        <v>1.2093768654220172</v>
      </c>
      <c r="M72" s="138"/>
      <c r="N72" s="138">
        <f>O19/$C$19</f>
        <v>1.2618228373422173</v>
      </c>
      <c r="O72" s="138"/>
      <c r="P72" s="138">
        <f>Q19/$C$19</f>
        <v>1.3175053259890894</v>
      </c>
      <c r="Q72" s="138"/>
      <c r="R72" s="138">
        <f>S19/$C$19</f>
        <v>1.3756869808088501</v>
      </c>
      <c r="S72" s="138"/>
      <c r="T72" s="138">
        <f>U19/$C$19</f>
        <v>1.4349382422682515</v>
      </c>
      <c r="U72" s="138"/>
      <c r="V72" s="138">
        <f>W19/$C$19</f>
        <v>1.4926854425983325</v>
      </c>
      <c r="W72" s="138"/>
      <c r="X72" s="138">
        <f>Y19/$C$19</f>
        <v>1.544470711974653</v>
      </c>
      <c r="Y72" s="138"/>
      <c r="Z72" s="138">
        <f>AA19/$C$19</f>
        <v>1.5827712446769586</v>
      </c>
      <c r="AA72" s="138"/>
      <c r="AB72" s="138">
        <f>AC19/$C$19</f>
        <v>1.5952898486358926</v>
      </c>
      <c r="AC72" s="138"/>
      <c r="AD72" s="138">
        <f>AE19/$C$19</f>
        <v>1.5632378392639272</v>
      </c>
      <c r="AE72" s="138"/>
      <c r="AF72" s="138">
        <f>AG19/$C$19</f>
        <v>1.4623927124041183</v>
      </c>
      <c r="AG72" s="138"/>
      <c r="AH72" s="138">
        <f>AI19/$C$19</f>
        <v>1.2734019196994282</v>
      </c>
      <c r="AI72" s="138"/>
      <c r="AJ72" s="138">
        <f>AK19/$C$19</f>
        <v>1.00139183310477</v>
      </c>
      <c r="AK72" s="138"/>
      <c r="AL72" s="138">
        <f>AM19/$C$19</f>
        <v>0.67924277661690113</v>
      </c>
      <c r="AM72" s="138"/>
      <c r="AN72" s="138">
        <f>AO19/$C$19</f>
        <v>0.34061994204457252</v>
      </c>
      <c r="AO72" s="138"/>
      <c r="AP72" s="138">
        <f>AQ19/$C$19</f>
        <v>0.2725106236275292</v>
      </c>
      <c r="AQ72" s="138"/>
      <c r="AR72" s="138">
        <f>AS19/$C$19</f>
        <v>0.20438637581726049</v>
      </c>
      <c r="AS72" s="138"/>
      <c r="AT72" s="138">
        <f>AU19/$C$19</f>
        <v>0</v>
      </c>
      <c r="AU72" s="138"/>
      <c r="AV72" s="138">
        <f>AW19/$C$19</f>
        <v>0</v>
      </c>
      <c r="XFD72" s="138"/>
    </row>
    <row r="73" spans="1:48 16384:16384" x14ac:dyDescent="0.2">
      <c r="A73" t="s">
        <v>184</v>
      </c>
      <c r="B73" s="193">
        <f t="array" ref="B73">SUM(B9:C9*B22:C22)/B32</f>
        <v>0.47641153352875115</v>
      </c>
      <c r="D73" s="193">
        <f t="array" ref="D73">SUM(D9:E9*D22:E22)/D32</f>
        <v>0.47507211227643392</v>
      </c>
      <c r="E73" s="138"/>
      <c r="F73" s="193">
        <f t="array" ref="F73">SUM(F9:G9*F22:G22)/F32</f>
        <v>0.47372544464317456</v>
      </c>
      <c r="G73" s="138"/>
      <c r="H73" s="193">
        <f t="array" ref="H73">SUM(H9:I9*H22:I22)/H32</f>
        <v>0.47236996386767099</v>
      </c>
      <c r="I73" s="138"/>
      <c r="J73" s="193">
        <f t="array" ref="J73">SUM(J9:K9*J22:K22)/J32</f>
        <v>0.47100368732859671</v>
      </c>
      <c r="K73" s="138"/>
      <c r="L73" s="193">
        <f t="array" ref="L73">SUM(L9:M9*L22:M22)/L32</f>
        <v>0.4696238932620112</v>
      </c>
      <c r="M73" s="138"/>
      <c r="N73" s="193">
        <f t="array" ref="N73">SUM(N9:O9*N22:O22)/N32</f>
        <v>0.46822688548682445</v>
      </c>
      <c r="O73" s="138"/>
      <c r="P73" s="193">
        <f t="array" ref="P73">SUM(P9:Q9*P22:Q22)/P32</f>
        <v>0.46680736188038641</v>
      </c>
      <c r="Q73" s="138"/>
      <c r="R73" s="193">
        <f t="array" ref="R73">SUM(R9:S9*R22:S22)/R32</f>
        <v>0.46535756444813986</v>
      </c>
      <c r="S73" s="138"/>
      <c r="T73" s="193">
        <f t="array" ref="T73">SUM(T9:U9*T22:U22)/T32</f>
        <v>0.46386573577721701</v>
      </c>
      <c r="U73" s="138"/>
      <c r="V73" s="193">
        <f t="array" ref="V73">SUM(V9:W9*V22:W22)/V32</f>
        <v>0.46231364762792121</v>
      </c>
      <c r="W73" s="138"/>
      <c r="X73" s="193">
        <f t="array" ref="X73">SUM(X9:Y9*X22:Y22)/X32</f>
        <v>0.46067231003634629</v>
      </c>
      <c r="Y73" s="138"/>
      <c r="Z73" s="193">
        <f t="array" ref="Z73">SUM(Z9:AA9*Z22:AA22)/Z32</f>
        <v>0.45889465471569235</v>
      </c>
      <c r="AA73" s="138"/>
      <c r="AB73" s="193">
        <f t="array" ref="AB73">SUM(AB9:AC9*AB22:AC22)/AB32</f>
        <v>0.45690366443822938</v>
      </c>
      <c r="AC73" s="138"/>
      <c r="AD73" s="193">
        <f t="array" ref="AD73">SUM(AD9:AE9*AD22:AE22)/AD32</f>
        <v>0.45457556085128553</v>
      </c>
      <c r="AE73" s="138"/>
      <c r="AF73" s="193">
        <f t="array" ref="AF73">SUM(AF9:AG9*AF22:AG22)/AF32</f>
        <v>0.45172579308977651</v>
      </c>
      <c r="AG73" s="138"/>
      <c r="AH73" s="193">
        <f t="array" ref="AH73">SUM(AH9:AI9*AH22:AI22)/AH32</f>
        <v>0.44811945755746774</v>
      </c>
      <c r="AI73" s="138"/>
      <c r="AJ73" s="193">
        <f t="array" ref="AJ73">SUM(AJ9:AK9*AJ22:AK22)/AJ32</f>
        <v>0.44348537839878638</v>
      </c>
      <c r="AK73" s="138"/>
      <c r="AL73" s="193">
        <f t="array" ref="AL73">SUM(AL9:AM9*AL22:AM22)/AL32</f>
        <v>0.43728507337994693</v>
      </c>
      <c r="AM73" s="138"/>
      <c r="AN73" s="193">
        <f t="array" ref="AN73">SUM(AN9:AO9*AN22:AO22)/AN32</f>
        <v>0.42722745805408824</v>
      </c>
      <c r="AO73" s="138"/>
      <c r="AP73" s="193">
        <f t="array" ref="AP73">SUM(AP9:AQ9*AP22:AQ22)/AP32</f>
        <v>0.42396858161964379</v>
      </c>
      <c r="AQ73" s="138"/>
      <c r="AR73" s="193">
        <f t="array" ref="AR73">SUM(AR9:AS9*AR22:AS22)/AR32</f>
        <v>0.41967695210464245</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0.22604620456442487</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0.22604620456442481</v>
      </c>
      <c r="AG74" s="138"/>
      <c r="AH74" s="193">
        <f t="array" ref="AH74">SUM(AH10:AI10*AH23:AI23)/AH32</f>
        <v>0.22604620456442484</v>
      </c>
      <c r="AI74" s="138"/>
      <c r="AJ74" s="193">
        <f t="array" ref="AJ74">SUM(AJ10:AK10*AJ23:AK23)/AJ32</f>
        <v>0.22604620456442484</v>
      </c>
      <c r="AK74" s="138"/>
      <c r="AL74" s="193">
        <f t="array" ref="AL74">SUM(AL10:AM10*AL23:AM23)/AL32</f>
        <v>0.22604620456442484</v>
      </c>
      <c r="AM74" s="138"/>
      <c r="AN74" s="193">
        <f t="array" ref="AN74">SUM(AN10:AO10*AN23:AO23)/AN32</f>
        <v>0.22604620456442481</v>
      </c>
      <c r="AO74" s="138"/>
      <c r="AP74" s="193">
        <f t="array" ref="AP74">SUM(AP10:AQ10*AP23:AQ23)/AP32</f>
        <v>0.22604620456442481</v>
      </c>
      <c r="AQ74" s="138"/>
      <c r="AR74" s="193">
        <f t="array" ref="AR74">SUM(AR10:AS10*AR23:AS23)/AR32</f>
        <v>0.22604620456442484</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0.22172381309067443</v>
      </c>
      <c r="E75" s="138"/>
      <c r="F75" s="193">
        <f t="array" ref="F75">SUM(F11:G11*F24:G24)/F32</f>
        <v>0.22307048080862185</v>
      </c>
      <c r="G75" s="138"/>
      <c r="H75" s="193">
        <f t="array" ref="H75">SUM(H11:I11*H24:I24)/H32</f>
        <v>0.22442595799382936</v>
      </c>
      <c r="I75" s="138"/>
      <c r="J75" s="193">
        <f t="array" ref="J75">SUM(J11:K11*J24:K24)/J32</f>
        <v>0.22579223597219755</v>
      </c>
      <c r="K75" s="138"/>
      <c r="L75" s="193">
        <f t="array" ref="L75">SUM(L11:M11*L24:M24)/L32</f>
        <v>0.22717202874871681</v>
      </c>
      <c r="M75" s="138"/>
      <c r="N75" s="193">
        <f t="array" ref="N75">SUM(N11:O11*N24:O24)/N32</f>
        <v>0.22856903689038077</v>
      </c>
      <c r="O75" s="138"/>
      <c r="P75" s="193">
        <f t="array" ref="P75">SUM(P11:Q11*P24:Q24)/P32</f>
        <v>0.22998855993523468</v>
      </c>
      <c r="Q75" s="138"/>
      <c r="R75" s="193">
        <f t="array" ref="R75">SUM(R11:S11*R24:S24)/R32</f>
        <v>0.23143836026731354</v>
      </c>
      <c r="S75" s="138"/>
      <c r="T75" s="193">
        <f t="array" ref="T75">SUM(T11:U11*T24:U24)/T32</f>
        <v>0.23293018930444065</v>
      </c>
      <c r="U75" s="138"/>
      <c r="V75" s="193">
        <f t="array" ref="V75">SUM(V11:W11*V24:W24)/V32</f>
        <v>0.23448227352901413</v>
      </c>
      <c r="W75" s="138"/>
      <c r="X75" s="193">
        <f t="array" ref="X75">SUM(X11:Y11*X24:Y24)/X32</f>
        <v>0.23612361209567048</v>
      </c>
      <c r="Y75" s="138"/>
      <c r="Z75" s="193">
        <f t="array" ref="Z75">SUM(Z11:AA11*Z24:AA24)/Z32</f>
        <v>0.23790126762991448</v>
      </c>
      <c r="AA75" s="138"/>
      <c r="AB75" s="193">
        <f t="array" ref="AB75">SUM(AB11:AC11*AB24:AC24)/AB32</f>
        <v>0.23989225786902796</v>
      </c>
      <c r="AC75" s="138"/>
      <c r="AD75" s="193">
        <f t="array" ref="AD75">SUM(AD11:AE11*AD24:AE24)/AD32</f>
        <v>0.24222036104500036</v>
      </c>
      <c r="AE75" s="138"/>
      <c r="AF75" s="193">
        <f t="array" ref="AF75">SUM(AF11:AG11*AF24:AG24)/AF32</f>
        <v>0.24507012886622881</v>
      </c>
      <c r="AG75" s="138"/>
      <c r="AH75" s="193">
        <f t="array" ref="AH75">SUM(AH11:AI11*AH24:AI24)/AH32</f>
        <v>0.24867646433909921</v>
      </c>
      <c r="AI75" s="138"/>
      <c r="AJ75" s="193">
        <f t="array" ref="AJ75">SUM(AJ11:AK11*AJ24:AK24)/AJ32</f>
        <v>0.25331054346250487</v>
      </c>
      <c r="AK75" s="138"/>
      <c r="AL75" s="193">
        <f t="array" ref="AL75">SUM(AL11:AM11*AL24:AM24)/AL32</f>
        <v>0.25951084848076539</v>
      </c>
      <c r="AM75" s="138"/>
      <c r="AN75" s="193">
        <f t="array" ref="AN75">SUM(AN11:AO11*AN24:AO24)/AN32</f>
        <v>0.26956846380660388</v>
      </c>
      <c r="AO75" s="138"/>
      <c r="AP75" s="193">
        <f t="array" ref="AP75">SUM(AP11:AQ11*AP24:AQ24)/AP32</f>
        <v>0.27282734024104721</v>
      </c>
      <c r="AQ75" s="138"/>
      <c r="AR75" s="193">
        <f t="array" ref="AR75">SUM(AR11:AS11*AR24:AS24)/AR32</f>
        <v>0.27711896975604861</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0.22301874374724862</v>
      </c>
      <c r="D76" s="193">
        <f t="array" ref="D76">SUM(D12:E12*D25:E25)/D32</f>
        <v>0.22331061588833001</v>
      </c>
      <c r="E76" s="138"/>
      <c r="F76" s="193">
        <f t="array" ref="F76">SUM(F12:G12*F25:G25)/F32</f>
        <v>0.2236560635296877</v>
      </c>
      <c r="G76" s="138"/>
      <c r="H76" s="193">
        <f t="array" ref="H76">SUM(H12:I12*H25:I25)/H32</f>
        <v>0.22405836086139877</v>
      </c>
      <c r="I76" s="138"/>
      <c r="J76" s="193">
        <f t="array" ref="J76">SUM(J12:K12*J25:K25)/J32</f>
        <v>0.22452006985059456</v>
      </c>
      <c r="K76" s="138"/>
      <c r="L76" s="193">
        <f t="array" ref="L76">SUM(L12:M12*L25:M25)/L32</f>
        <v>0.22504230237431383</v>
      </c>
      <c r="M76" s="138"/>
      <c r="N76" s="193">
        <f t="array" ref="N76">SUM(N12:O12*N25:O25)/N32</f>
        <v>0.22562365282560196</v>
      </c>
      <c r="O76" s="138"/>
      <c r="P76" s="193">
        <f t="array" ref="P76">SUM(P12:Q12*P25:Q25)/P32</f>
        <v>0.22625834406956902</v>
      </c>
      <c r="Q76" s="138"/>
      <c r="R76" s="193">
        <f t="array" ref="R76">SUM(R12:S12*R25:S25)/R32</f>
        <v>0.22693322591895343</v>
      </c>
      <c r="S76" s="138"/>
      <c r="T76" s="193">
        <f t="array" ref="T76">SUM(T12:U12*T25:U25)/T32</f>
        <v>0.22762292084449678</v>
      </c>
      <c r="U76" s="138"/>
      <c r="V76" s="193">
        <f t="array" ref="V76">SUM(V12:W12*V25:W25)/V32</f>
        <v>0.2282816584676583</v>
      </c>
      <c r="W76" s="138"/>
      <c r="X76" s="193">
        <f t="array" ref="X76">SUM(X12:Y12*X25:Y25)/X32</f>
        <v>0.2288298440623103</v>
      </c>
      <c r="Y76" s="138"/>
      <c r="Z76" s="193">
        <f t="array" ref="Z76">SUM(Z12:AA12*Z25:AA25)/Z32</f>
        <v>0.22913251723335679</v>
      </c>
      <c r="AA76" s="138"/>
      <c r="AB76" s="193">
        <f t="array" ref="AB76">SUM(AB12:AC12*AB25:AC25)/AB32</f>
        <v>0.22896776919913453</v>
      </c>
      <c r="AC76" s="138"/>
      <c r="AD76" s="193">
        <f t="array" ref="AD76">SUM(AD12:AE12*AD25:AE25)/AD32</f>
        <v>0.22799408736498195</v>
      </c>
      <c r="AE76" s="138"/>
      <c r="AF76" s="193">
        <f t="array" ref="AF76">SUM(AF12:AG12*AF25:AG25)/AF32</f>
        <v>0.22576530128795411</v>
      </c>
      <c r="AG76" s="138"/>
      <c r="AH76" s="193">
        <f t="array" ref="AH76">SUM(AH12:AI12*AH25:AI25)/AH32</f>
        <v>0.22190482009527954</v>
      </c>
      <c r="AI76" s="138"/>
      <c r="AJ76" s="193">
        <f t="array" ref="AJ76">SUM(AJ12:AK12*AJ25:AK25)/AJ32</f>
        <v>0.21642529963097232</v>
      </c>
      <c r="AK76" s="138"/>
      <c r="AL76" s="193">
        <f t="array" ref="AL76">SUM(AL12:AM12*AL25:AM25)/AL32</f>
        <v>0.2096904268987495</v>
      </c>
      <c r="AM76" s="138"/>
      <c r="AN76" s="193">
        <f t="array" ref="AN76">SUM(AN12:AO12*AN25:AO25)/AN32</f>
        <v>0.20149172976826238</v>
      </c>
      <c r="AO76" s="138"/>
      <c r="AP76" s="193">
        <f t="array" ref="AP76">SUM(AP12:AQ12*AP25:AQ25)/AP32</f>
        <v>0.19944889406677616</v>
      </c>
      <c r="AQ76" s="138"/>
      <c r="AR76" s="193">
        <f t="array" ref="AR76">SUM(AR12:AS12*AR25:AS25)/AR32</f>
        <v>0.19707688482012881</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0.14586087017236521</v>
      </c>
      <c r="D77" s="193">
        <f t="array" ref="D77">SUM(D4:E4*D19:E19)/D32</f>
        <v>0.14615274581986323</v>
      </c>
      <c r="E77" s="138"/>
      <c r="F77" s="193">
        <f t="array" ref="F77">SUM(F4:G4*F19:G19)/F32</f>
        <v>0.14649819354590904</v>
      </c>
      <c r="G77" s="138"/>
      <c r="H77" s="193">
        <f t="array" ref="H77">SUM(H4:I4*H19:I19)/H32</f>
        <v>0.14690048728732388</v>
      </c>
      <c r="I77" s="138"/>
      <c r="J77" s="193">
        <f t="array" ref="J77">SUM(J4:K4*J19:K19)/J32</f>
        <v>0.14736219771581344</v>
      </c>
      <c r="K77" s="138"/>
      <c r="L77" s="193">
        <f t="array" ref="L77">SUM(L4:M4*L19:M19)/L32</f>
        <v>0.14788442894946663</v>
      </c>
      <c r="M77" s="138"/>
      <c r="N77" s="193">
        <f t="array" ref="N77">SUM(N4:O4*N19:O19)/N32</f>
        <v>0.14846577976723219</v>
      </c>
      <c r="O77" s="138"/>
      <c r="P77" s="193">
        <f t="array" ref="P77">SUM(P4:Q4*P19:Q19)/P32</f>
        <v>0.1491004704496148</v>
      </c>
      <c r="Q77" s="138"/>
      <c r="R77" s="193">
        <f t="array" ref="R77">SUM(R4:S4*R19:S19)/R32</f>
        <v>0.14977535519883176</v>
      </c>
      <c r="S77" s="138"/>
      <c r="T77" s="193">
        <f t="array" ref="T77">SUM(T4:U4*T19:U19)/T32</f>
        <v>0.1504650504905794</v>
      </c>
      <c r="U77" s="138"/>
      <c r="V77" s="193">
        <f t="array" ref="V77">SUM(V4:W4*V19:W19)/V32</f>
        <v>0.15112378418901856</v>
      </c>
      <c r="W77" s="138"/>
      <c r="X77" s="193">
        <f t="array" ref="X77">SUM(X4:Y4*X19:Y19)/X32</f>
        <v>0.15167197075875188</v>
      </c>
      <c r="Y77" s="138"/>
      <c r="Z77" s="193">
        <f t="array" ref="Z77">SUM(Z4:AA4*Z19:AA19)/Z32</f>
        <v>0.15197464414338846</v>
      </c>
      <c r="AA77" s="138"/>
      <c r="AB77" s="193">
        <f t="array" ref="AB77">SUM(AB4:AC4*AB19:AC19)/AB32</f>
        <v>0.15180989607081674</v>
      </c>
      <c r="AC77" s="138"/>
      <c r="AD77" s="193">
        <f t="array" ref="AD77">SUM(AD4:AE4*AD19:AE19)/AD32</f>
        <v>0.15083621382569259</v>
      </c>
      <c r="AE77" s="138"/>
      <c r="AF77" s="193">
        <f t="array" ref="AF77">SUM(AF4:AG4*AF19:AG19)/AF32</f>
        <v>0.14860742780838429</v>
      </c>
      <c r="AG77" s="138"/>
      <c r="AH77" s="193">
        <f t="array" ref="AH77">SUM(AH4:AI4*AH19:AI19)/AH32</f>
        <v>0.14474694655627143</v>
      </c>
      <c r="AI77" s="138"/>
      <c r="AJ77" s="193">
        <f t="array" ref="AJ77">SUM(AJ4:AK4*AJ19:AK19)/AJ32</f>
        <v>0.13926742605668821</v>
      </c>
      <c r="AK77" s="138"/>
      <c r="AL77" s="193">
        <f t="array" ref="AL77">SUM(AL4:AM4*AL19:AM19)/AL32</f>
        <v>0.13253255332388675</v>
      </c>
      <c r="AM77" s="138"/>
      <c r="AN77" s="193">
        <f t="array" ref="AN77">SUM(AN4:AO4*AN19:AO19)/AN32</f>
        <v>0.12433385619337922</v>
      </c>
      <c r="AO77" s="138"/>
      <c r="AP77" s="193">
        <f t="array" ref="AP77">SUM(AP4:AQ4*AP19:AQ19)/AP32</f>
        <v>0.12229102049189196</v>
      </c>
      <c r="AQ77" s="138"/>
      <c r="AR77" s="193">
        <f t="array" ref="AR77">SUM(AR4:AS4*AR19:AS19)/AR32</f>
        <v>0.11991901124524477</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0.34650515174945828</v>
      </c>
      <c r="E78" s="138"/>
      <c r="F78" s="193">
        <f t="array" ref="F78">SUM(F13:G13*F26:G26)/F32</f>
        <v>0.34611691587083643</v>
      </c>
      <c r="G78" s="138"/>
      <c r="H78" s="193">
        <f t="array" ref="H78">SUM(H13:I13*H26:I26)/H32</f>
        <v>0.34572192847860767</v>
      </c>
      <c r="I78" s="138"/>
      <c r="J78" s="193">
        <f t="array" ref="J78">SUM(J13:K13*J26:K26)/J32</f>
        <v>0.34531881156581234</v>
      </c>
      <c r="K78" s="138"/>
      <c r="L78" s="193">
        <f t="array" ref="L78">SUM(L13:M13*L26:M26)/L32</f>
        <v>0.34490548949174743</v>
      </c>
      <c r="M78" s="138"/>
      <c r="N78" s="193">
        <f t="array" ref="N78">SUM(N13:O13*N26:O26)/N32</f>
        <v>0.3444788566487581</v>
      </c>
      <c r="O78" s="138"/>
      <c r="P78" s="193">
        <f t="array" ref="P78">SUM(P13:Q13*P26:Q26)/P32</f>
        <v>0.34403415947063215</v>
      </c>
      <c r="Q78" s="138"/>
      <c r="R78" s="193">
        <f t="array" ref="R78">SUM(R13:S13*R26:S26)/R32</f>
        <v>0.3435640281072882</v>
      </c>
      <c r="S78" s="138"/>
      <c r="T78" s="193">
        <f t="array" ref="T78">SUM(T13:U13*T26:U26)/T32</f>
        <v>0.34305695572729011</v>
      </c>
      <c r="U78" s="138"/>
      <c r="V78" s="193">
        <f t="array" ref="V78">SUM(V13:W13*V26:W26)/V32</f>
        <v>0.34249469630992924</v>
      </c>
      <c r="W78" s="138"/>
      <c r="X78" s="193">
        <f t="array" ref="X78">SUM(X13:Y13*X26:Y26)/X32</f>
        <v>0.34184797248238968</v>
      </c>
      <c r="Y78" s="138"/>
      <c r="Z78" s="193">
        <f t="array" ref="Z78">SUM(Z13:AA13*Z26:AA26)/Z32</f>
        <v>0.34106942988800693</v>
      </c>
      <c r="AA78" s="138"/>
      <c r="AB78" s="193">
        <f t="array" ref="AB78">SUM(AB13:AC13*AB26:AC26)/AB32</f>
        <v>0.3400826295687599</v>
      </c>
      <c r="AC78" s="138"/>
      <c r="AD78" s="193">
        <f t="array" ref="AD78">SUM(AD13:AE13*AD26:AE26)/AD32</f>
        <v>0.33876807003838905</v>
      </c>
      <c r="AE78" s="138"/>
      <c r="AF78" s="193">
        <f t="array" ref="AF78">SUM(AF13:AG13*AF26:AG26)/AF32</f>
        <v>0.33695631368729706</v>
      </c>
      <c r="AG78" s="138"/>
      <c r="AH78" s="193">
        <f t="array" ref="AH78">SUM(AH13:AI13*AH26:AI26)/AH32</f>
        <v>0.33445243622421811</v>
      </c>
      <c r="AI78" s="138"/>
      <c r="AJ78" s="193">
        <f t="array" ref="AJ78">SUM(AJ13:AK13*AJ26:AK26)/AJ32</f>
        <v>0.33107140361868914</v>
      </c>
      <c r="AK78" s="138"/>
      <c r="AL78" s="193">
        <f t="array" ref="AL78">SUM(AL13:AM13*AL26:AM26)/AL32</f>
        <v>0.32646131049952681</v>
      </c>
      <c r="AM78" s="138"/>
      <c r="AN78" s="193">
        <f t="array" ref="AN78">SUM(AN13:AO13*AN26:AO26)/AN32</f>
        <v>0.3189543498056982</v>
      </c>
      <c r="AO78" s="138"/>
      <c r="AP78" s="193">
        <f t="array" ref="AP78">SUM(AP13:AQ13*AP26:AQ26)/AP32</f>
        <v>0.31652138961266013</v>
      </c>
      <c r="AQ78" s="138"/>
      <c r="AR78" s="193">
        <f t="array" ref="AR78">SUM(AR13:AS13*AR26:AS26)/AR32</f>
        <v>0.31331739895686916</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0.45460968782439326</v>
      </c>
      <c r="D79" s="193">
        <f t="array" ref="D79">SUM(D15:E15*D27:E27)/D32</f>
        <v>0.45273047959386181</v>
      </c>
      <c r="F79" s="193">
        <f t="array" ref="F79">SUM(F15:G15*F27:G27)/F32</f>
        <v>0.45084488707679737</v>
      </c>
      <c r="H79" s="193">
        <f t="array" ref="H79">SUM(H15:I15*H27:I27)/H32</f>
        <v>0.44895121854799419</v>
      </c>
      <c r="J79" s="193">
        <f t="array" ref="J79">SUM(J15:K15*J27:K27)/J32</f>
        <v>0.44704753066584146</v>
      </c>
      <c r="L79" s="193">
        <f t="array" ref="L79">SUM(L15:M15*L27:M27)/L32</f>
        <v>0.44513129468500817</v>
      </c>
      <c r="N79" s="193">
        <f t="array" ref="N79">SUM(N15:O15*N27:O27)/N32</f>
        <v>0.44319942160783804</v>
      </c>
      <c r="P79" s="193">
        <f t="array" ref="P79">SUM(P15:Q15*P27:Q27)/P32</f>
        <v>0.44124779099731604</v>
      </c>
      <c r="R79" s="193">
        <f t="array" ref="R79">SUM(R15:S15*R27:S27)/R32</f>
        <v>0.43927066942395498</v>
      </c>
      <c r="T79" s="193">
        <f t="array" ref="T79">SUM(T15:U15*T27:U27)/T32</f>
        <v>0.4372598812213363</v>
      </c>
      <c r="V79" s="193">
        <f t="array" ref="V79">SUM(V15:W15*V27:W27)/V32</f>
        <v>0.43520307981255979</v>
      </c>
      <c r="X79" s="193">
        <f t="array" ref="X79">SUM(X15:Y15*X27:Y27)/X32</f>
        <v>0.43308083581561174</v>
      </c>
      <c r="Z79" s="193">
        <f t="array" ref="Z79">SUM(Z15:AA15*Z27:AA27)/Z32</f>
        <v>0.43086153342923794</v>
      </c>
      <c r="AB79" s="193">
        <f t="array" ref="AB79">SUM(AB15:AC15*AB27:AC27)/AB32</f>
        <v>0.42849232124109021</v>
      </c>
      <c r="AD79" s="193">
        <f t="array" ref="AD79">SUM(AD15:AE15*AD27:AE27)/AD32</f>
        <v>0.42588486859039959</v>
      </c>
      <c r="AF79" s="193">
        <f t="array" ref="AF79">SUM(AF15:AG15*AF27:AG27)/AF32</f>
        <v>0.42289861544819485</v>
      </c>
      <c r="AH79" s="193">
        <f t="array" ref="AH79">SUM(AH15:AI15*AH27:AI27)/AH32</f>
        <v>0.41933362825302728</v>
      </c>
      <c r="AJ79" s="193">
        <f t="array" ref="AJ79">SUM(AJ15:AK15*AJ27:AK27)/AJ32</f>
        <v>0.414918551705104</v>
      </c>
      <c r="AL79" s="193">
        <f t="array" ref="AL79">SUM(AL15:AM15*AL27:AM27)/AL32</f>
        <v>0.40909880852417546</v>
      </c>
      <c r="AN79" s="193">
        <f t="array" ref="AN79">SUM(AN15:AO15*AN27:AO27)/AN32</f>
        <v>0.39968776427261027</v>
      </c>
      <c r="AP79" s="193">
        <f t="array" ref="AP79">SUM(AP15:AQ15*AP27:AQ27)/AP32</f>
        <v>0.39663894682896267</v>
      </c>
      <c r="AR79" s="193">
        <f t="array" ref="AR79">SUM(AR15:AS15*AR27:AS27)/AR32</f>
        <v>0.39262395924399945</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0.20076439773235716</v>
      </c>
      <c r="F80" s="236">
        <f>F55</f>
        <v>0.20303823026002227</v>
      </c>
      <c r="H80" s="236">
        <f>H55</f>
        <v>0.20532684954007094</v>
      </c>
      <c r="J80" s="236">
        <f>J55</f>
        <v>0.2076336740441809</v>
      </c>
      <c r="L80" s="236">
        <f>L55</f>
        <v>0.2099632090413163</v>
      </c>
      <c r="N80" s="236">
        <f>N55</f>
        <v>0.21232170854627813</v>
      </c>
      <c r="P80" s="236">
        <f>P55</f>
        <v>0.21471805303220173</v>
      </c>
      <c r="R80" s="236">
        <f>R55</f>
        <v>0.21716530325424782</v>
      </c>
      <c r="T80" s="236">
        <f>T55</f>
        <v>0.21968316394826215</v>
      </c>
      <c r="V80" s="236">
        <f>V55</f>
        <v>0.22230223299126242</v>
      </c>
      <c r="X80" s="236">
        <f>X55</f>
        <v>0.22507119728621858</v>
      </c>
      <c r="Z80" s="236">
        <f>Z55</f>
        <v>0.22806903482234273</v>
      </c>
      <c r="AB80" s="236">
        <f>AB55</f>
        <v>0.2314250462647251</v>
      </c>
      <c r="AD80" s="236">
        <f>AD55</f>
        <v>0.2353470612289032</v>
      </c>
      <c r="AF80" s="236">
        <f>AF55</f>
        <v>0.24014507026420392</v>
      </c>
      <c r="AH80" s="236">
        <f>AH55</f>
        <v>0.24621393466001859</v>
      </c>
      <c r="AJ80" s="236">
        <f>AJ55</f>
        <v>0.25401004466398563</v>
      </c>
      <c r="AL80" s="236">
        <f>AL55</f>
        <v>0.26443988097855048</v>
      </c>
      <c r="AN80" s="236">
        <f>AN55</f>
        <v>0.28135788592217925</v>
      </c>
      <c r="AP80" s="236">
        <f>AP55</f>
        <v>0.28683966356160107</v>
      </c>
      <c r="AR80" s="236">
        <f>AR55</f>
        <v>0.29405864179919305</v>
      </c>
      <c r="AT80" s="236" t="e">
        <f>AT55</f>
        <v>#DIV/0!</v>
      </c>
      <c r="AV80" s="236" t="e">
        <f>AV55</f>
        <v>#DIV/0!</v>
      </c>
      <c r="XFD80" s="236"/>
    </row>
    <row r="81" spans="1:48 16384:16384" x14ac:dyDescent="0.2">
      <c r="A81" t="s">
        <v>191</v>
      </c>
      <c r="B81" s="236">
        <f>B51/B$32</f>
        <v>-2.7543485504603994E-2</v>
      </c>
      <c r="D81" s="236">
        <f>D51/D$32</f>
        <v>-2.5281806832067693E-2</v>
      </c>
      <c r="F81" s="236">
        <f>F51/F$32</f>
        <v>-2.3007974304402563E-2</v>
      </c>
      <c r="H81" s="236">
        <f>H51/H$32</f>
        <v>-2.0719355024353906E-2</v>
      </c>
      <c r="J81" s="236">
        <f>J51/J$32</f>
        <v>-1.8412530520243948E-2</v>
      </c>
      <c r="L81" s="236">
        <f>L51/L$32</f>
        <v>-1.6082995523108552E-2</v>
      </c>
      <c r="N81" s="236">
        <f>N51/N$32</f>
        <v>-1.3724496018146699E-2</v>
      </c>
      <c r="P81" s="236">
        <f>P51/P$32</f>
        <v>-1.1328151532223128E-2</v>
      </c>
      <c r="R81" s="236">
        <f>R51/R$32</f>
        <v>-8.8809013101770213E-3</v>
      </c>
      <c r="T81" s="236">
        <f>T51/T$32</f>
        <v>-6.3630406161626829E-3</v>
      </c>
      <c r="V81" s="236">
        <f>V51/V$32</f>
        <v>-3.7439715731624208E-3</v>
      </c>
      <c r="X81" s="236">
        <f>X51/X$32</f>
        <v>-9.7500727820624348E-4</v>
      </c>
      <c r="Z81" s="236">
        <f>Z51/Z$32</f>
        <v>2.0228302579178769E-3</v>
      </c>
      <c r="AB81" s="236">
        <f>AB51/AB$32</f>
        <v>5.3788417003002662E-3</v>
      </c>
      <c r="AD81" s="236">
        <f>AD51/AD$32</f>
        <v>9.3008566644783627E-3</v>
      </c>
      <c r="AF81" s="236">
        <f>AF51/AF$32</f>
        <v>1.4098865699779091E-2</v>
      </c>
      <c r="AH81" s="236">
        <f>AH51/AH$32</f>
        <v>2.016773009559376E-2</v>
      </c>
      <c r="AJ81" s="236">
        <f>AJ51/AJ$32</f>
        <v>2.7963840099560801E-2</v>
      </c>
      <c r="AL81" s="236">
        <f>AL51/AL$32</f>
        <v>3.8393676414125617E-2</v>
      </c>
      <c r="AN81" s="236">
        <f>AN51/AN$32</f>
        <v>5.5311681357754411E-2</v>
      </c>
      <c r="AP81" s="236">
        <f>AP51/AP$32</f>
        <v>6.0793458997176225E-2</v>
      </c>
      <c r="AR81" s="236">
        <f>AR51/AR$32</f>
        <v>6.8012437234768186E-2</v>
      </c>
      <c r="AT81" s="236" t="e">
        <f>AT51/AT$32</f>
        <v>#DIV/0!</v>
      </c>
      <c r="AV81" s="236" t="e">
        <f>AV51/AV$32</f>
        <v>#DIV/0!</v>
      </c>
      <c r="XFD81" s="236"/>
    </row>
    <row r="82" spans="1:48 16384:16384" x14ac:dyDescent="0.2">
      <c r="A82" t="s">
        <v>192</v>
      </c>
      <c r="B82" s="236">
        <f>B52/B$32</f>
        <v>0.13907860278212886</v>
      </c>
      <c r="D82" s="236">
        <f>D52/D$32</f>
        <v>0.13892526950665654</v>
      </c>
      <c r="F82" s="236">
        <f>F52/F$32</f>
        <v>0.13876961302132762</v>
      </c>
      <c r="H82" s="236">
        <f>H52/H$32</f>
        <v>0.1386112496329622</v>
      </c>
      <c r="J82" s="236">
        <f>J52/J$32</f>
        <v>0.13844962685341614</v>
      </c>
      <c r="L82" s="236">
        <f>L52/L$32</f>
        <v>0.1382839124903176</v>
      </c>
      <c r="N82" s="236">
        <f>N52/N$32</f>
        <v>0.13811286140379425</v>
      </c>
      <c r="P82" s="236">
        <f>P52/P$32</f>
        <v>0.13793456773338827</v>
      </c>
      <c r="R82" s="236">
        <f>R52/R$32</f>
        <v>0.13774607666470912</v>
      </c>
      <c r="T82" s="236">
        <f>T52/T$32</f>
        <v>0.13754277473198184</v>
      </c>
      <c r="V82" s="236">
        <f>V52/V$32</f>
        <v>0.13731734650762459</v>
      </c>
      <c r="X82" s="236">
        <f>X52/X$32</f>
        <v>0.13705805373352389</v>
      </c>
      <c r="Z82" s="236">
        <f>Z52/Z$32</f>
        <v>0.13674591049640042</v>
      </c>
      <c r="AB82" s="236">
        <f>AB52/AB$32</f>
        <v>0.13635026991325613</v>
      </c>
      <c r="AD82" s="236">
        <f>AD52/AD$32</f>
        <v>0.13582321992246305</v>
      </c>
      <c r="AF82" s="236">
        <f>AF52/AF$32</f>
        <v>0.13509682743425599</v>
      </c>
      <c r="AH82" s="236">
        <f>AH52/AH$32</f>
        <v>0.13409294091304952</v>
      </c>
      <c r="AJ82" s="236">
        <f>AJ52/AJ$32</f>
        <v>0.13273737415289485</v>
      </c>
      <c r="AL82" s="236">
        <f>AL52/AL$32</f>
        <v>0.1308890367593617</v>
      </c>
      <c r="AN82" s="236">
        <f>AN52/AN$32</f>
        <v>0.12787925023151206</v>
      </c>
      <c r="AP82" s="236">
        <f>AP52/AP$32</f>
        <v>0.12690379676765945</v>
      </c>
      <c r="AR82" s="236">
        <f>AR52/AR$32</f>
        <v>0.1256192119264089</v>
      </c>
      <c r="AT82" s="236" t="e">
        <f>AT52/AT$32</f>
        <v>#DIV/0!</v>
      </c>
      <c r="AV82" s="236" t="e">
        <f>AV52/AV$32</f>
        <v>#DIV/0!</v>
      </c>
    </row>
    <row r="83" spans="1:48 16384:16384" x14ac:dyDescent="0.2">
      <c r="A83" t="s">
        <v>193</v>
      </c>
      <c r="B83" s="236">
        <f>B53/B$32</f>
        <v>0.18600714462929399</v>
      </c>
      <c r="D83" s="236">
        <f>D53/D$32</f>
        <v>0.18523825173834435</v>
      </c>
      <c r="F83" s="236">
        <f>F53/F$32</f>
        <v>0.18446674666613166</v>
      </c>
      <c r="H83" s="236">
        <f>H53/H$32</f>
        <v>0.18369193722992561</v>
      </c>
      <c r="J83" s="236">
        <f>J53/J$32</f>
        <v>0.18291302829615605</v>
      </c>
      <c r="L83" s="236">
        <f>L53/L$32</f>
        <v>0.1821289852086968</v>
      </c>
      <c r="N83" s="236">
        <f>N53/N$32</f>
        <v>0.18133854407975758</v>
      </c>
      <c r="P83" s="236">
        <f>P53/P$32</f>
        <v>0.18054001899998728</v>
      </c>
      <c r="R83" s="236">
        <f>R53/R$32</f>
        <v>0.17973106409142423</v>
      </c>
      <c r="T83" s="236">
        <f>T53/T$32</f>
        <v>0.17890833421557553</v>
      </c>
      <c r="V83" s="236">
        <f>V53/V$32</f>
        <v>0.17806677767297979</v>
      </c>
      <c r="X83" s="236">
        <f>X53/X$32</f>
        <v>0.17719844477851793</v>
      </c>
      <c r="Z83" s="236">
        <f>Z53/Z$32</f>
        <v>0.17629039967738089</v>
      </c>
      <c r="AB83" s="236">
        <f>AB53/AB$32</f>
        <v>0.1753210177967455</v>
      </c>
      <c r="AD83" s="236">
        <f>AD53/AD$32</f>
        <v>0.1742541579490548</v>
      </c>
      <c r="AF83" s="236">
        <f>AF53/AF$32</f>
        <v>0.17303230888820431</v>
      </c>
      <c r="AH83" s="236">
        <f>AH53/AH$32</f>
        <v>0.17157366621829875</v>
      </c>
      <c r="AJ83" s="236">
        <f>AJ53/AJ$32</f>
        <v>0.16976720277505555</v>
      </c>
      <c r="AL83" s="236">
        <f>AL53/AL$32</f>
        <v>0.16738600888378397</v>
      </c>
      <c r="AN83" s="236">
        <f>AN53/AN$32</f>
        <v>0.16353540579261144</v>
      </c>
      <c r="AP83" s="236">
        <f>AP53/AP$32</f>
        <v>0.16228795805364482</v>
      </c>
      <c r="AR83" s="236">
        <f>AR53/AR$32</f>
        <v>0.16064519416980619</v>
      </c>
      <c r="AT83" s="236" t="e">
        <f>AT53/AT$32</f>
        <v>#DIV/0!</v>
      </c>
      <c r="AV83" s="236" t="e">
        <f>AV53/AV$32</f>
        <v>#DIV/0!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5"/>
  <dimension ref="A1:XFD83"/>
  <sheetViews>
    <sheetView showGridLines="0" workbookViewId="0">
      <pane ySplit="1" topLeftCell="A2" activePane="bottomLeft" state="frozen"/>
      <selection pane="bottomLeft" activeCell="H60"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c r="AV1" s="94"/>
    </row>
    <row r="2" spans="1:49" x14ac:dyDescent="0.2">
      <c r="A2" s="229" t="s">
        <v>155</v>
      </c>
      <c r="B2" s="226">
        <v>5.7716594496607888E-3</v>
      </c>
      <c r="C2" s="227"/>
      <c r="D2" s="226">
        <v>3.4654696648731206E-2</v>
      </c>
      <c r="E2" s="227"/>
      <c r="F2" s="226">
        <v>6.6251622726582401E-2</v>
      </c>
      <c r="G2" s="227"/>
      <c r="H2" s="226">
        <v>0.10102354423165226</v>
      </c>
      <c r="I2" s="227"/>
      <c r="J2" s="226">
        <v>0.1395553001544734</v>
      </c>
      <c r="K2" s="227"/>
      <c r="L2" s="226">
        <v>0.18260290693931522</v>
      </c>
      <c r="M2" s="227"/>
      <c r="N2" s="226">
        <v>0.23116606602031667</v>
      </c>
      <c r="O2" s="227"/>
      <c r="P2" s="226">
        <v>0.28660065178561139</v>
      </c>
      <c r="Q2" s="227"/>
      <c r="R2" s="226">
        <v>0.35080195535122949</v>
      </c>
      <c r="S2" s="227"/>
      <c r="T2" s="226">
        <v>0.4265092389857259</v>
      </c>
      <c r="U2" s="227"/>
      <c r="V2" s="226">
        <v>0.51784297389900669</v>
      </c>
      <c r="W2" s="227"/>
      <c r="X2" s="226">
        <v>0.63129050926655439</v>
      </c>
      <c r="Y2" s="227"/>
      <c r="Z2" s="226">
        <v>0.77760685736776392</v>
      </c>
      <c r="AA2" s="227"/>
      <c r="AB2" s="226">
        <v>0.97567126877863508</v>
      </c>
      <c r="AC2" s="227"/>
      <c r="AD2" s="226">
        <v>1.2606206682056842</v>
      </c>
      <c r="AE2" s="227"/>
      <c r="AF2" s="226">
        <v>1.7015161737605411</v>
      </c>
      <c r="AG2" s="227"/>
      <c r="AH2" s="226">
        <v>2.442356610214361</v>
      </c>
      <c r="AI2" s="227"/>
      <c r="AJ2" s="226">
        <v>3.8230956946858967</v>
      </c>
      <c r="AK2" s="227"/>
      <c r="AL2" s="226">
        <v>6.915971227941542</v>
      </c>
      <c r="AM2" s="227"/>
      <c r="AN2" s="226">
        <v>17.849179483407472</v>
      </c>
      <c r="AO2" s="227"/>
      <c r="AP2" s="226">
        <v>24.012354079528027</v>
      </c>
      <c r="AQ2" s="227"/>
      <c r="AR2" s="226">
        <v>35.091461200133594</v>
      </c>
      <c r="AS2" s="227"/>
      <c r="AT2" s="226"/>
      <c r="AU2" s="227"/>
      <c r="AV2" s="226"/>
      <c r="AW2" s="227"/>
    </row>
    <row r="3" spans="1:49" x14ac:dyDescent="0.2">
      <c r="A3" t="s">
        <v>12</v>
      </c>
      <c r="B3" s="84">
        <v>1000</v>
      </c>
      <c r="C3" s="85">
        <v>1000</v>
      </c>
      <c r="D3" s="84">
        <v>998.88310211992996</v>
      </c>
      <c r="E3" s="85">
        <v>1012.7049172628734</v>
      </c>
      <c r="F3" s="84">
        <v>997.75218552323429</v>
      </c>
      <c r="G3" s="85">
        <v>1026.5967789526849</v>
      </c>
      <c r="H3" s="84">
        <v>996.60518646562139</v>
      </c>
      <c r="I3" s="85">
        <v>1041.8555493755175</v>
      </c>
      <c r="J3" s="84">
        <v>995.44054165574346</v>
      </c>
      <c r="K3" s="85">
        <v>1058.705119159782</v>
      </c>
      <c r="L3" s="84">
        <v>994.25768032858468</v>
      </c>
      <c r="M3" s="85">
        <v>1077.4285849929688</v>
      </c>
      <c r="N3" s="84">
        <v>993.0578143356197</v>
      </c>
      <c r="O3" s="85">
        <v>1098.3920261335566</v>
      </c>
      <c r="P3" s="84">
        <v>991.84520957050836</v>
      </c>
      <c r="Q3" s="85">
        <v>1122.0798557958265</v>
      </c>
      <c r="R3" s="84">
        <v>990.62925480246088</v>
      </c>
      <c r="S3" s="85">
        <v>1149.1509442697463</v>
      </c>
      <c r="T3" s="84">
        <v>989.42780491833014</v>
      </c>
      <c r="U3" s="85">
        <v>1180.5306010352911</v>
      </c>
      <c r="V3" s="84">
        <v>988.27272190178167</v>
      </c>
      <c r="W3" s="85">
        <v>1217.5663086523336</v>
      </c>
      <c r="X3" s="84">
        <v>987.21897464491656</v>
      </c>
      <c r="Y3" s="85">
        <v>1262.3037876596518</v>
      </c>
      <c r="Z3" s="84">
        <v>986.35919202972536</v>
      </c>
      <c r="AA3" s="85">
        <v>1317.9970782370544</v>
      </c>
      <c r="AB3" s="84">
        <v>985.84472749852705</v>
      </c>
      <c r="AC3" s="85">
        <v>1390.0876940923395</v>
      </c>
      <c r="AD3" s="84">
        <v>985.90600421564739</v>
      </c>
      <c r="AE3" s="85">
        <v>1488.1322876531701</v>
      </c>
      <c r="AF3" s="84">
        <v>986.83446651414704</v>
      </c>
      <c r="AG3" s="85">
        <v>1629.6498886628358</v>
      </c>
      <c r="AH3" s="84">
        <v>988.84162429205674</v>
      </c>
      <c r="AI3" s="85">
        <v>1848.3667788852986</v>
      </c>
      <c r="AJ3" s="84">
        <v>991.80391557621874</v>
      </c>
      <c r="AK3" s="85">
        <v>2217.7733317382108</v>
      </c>
      <c r="AL3" s="84">
        <v>995.19878160991004</v>
      </c>
      <c r="AM3" s="85">
        <v>2952.2477060690112</v>
      </c>
      <c r="AN3" s="84">
        <v>998.14805042902776</v>
      </c>
      <c r="AO3" s="85">
        <v>5150.5171982290694</v>
      </c>
      <c r="AP3" s="84">
        <v>998.49194778886465</v>
      </c>
      <c r="AQ3" s="85">
        <v>6265.6986250351683</v>
      </c>
      <c r="AR3" s="84">
        <v>998.60361560276021</v>
      </c>
      <c r="AS3" s="85">
        <v>8156.9505701366024</v>
      </c>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c r="AU4" s="102"/>
      <c r="AV4" s="101"/>
      <c r="AW4" s="102"/>
    </row>
    <row r="5" spans="1:49" x14ac:dyDescent="0.2">
      <c r="A5" t="s">
        <v>128</v>
      </c>
      <c r="B5" s="41">
        <v>1000</v>
      </c>
      <c r="C5" s="42">
        <v>1000</v>
      </c>
      <c r="D5" s="41">
        <v>998.8276014684044</v>
      </c>
      <c r="E5" s="42">
        <v>1011.018320499786</v>
      </c>
      <c r="F5" s="41">
        <v>997.63957632825657</v>
      </c>
      <c r="G5" s="42">
        <v>1022.7490448584556</v>
      </c>
      <c r="H5" s="41">
        <v>996.43371367101338</v>
      </c>
      <c r="I5" s="42">
        <v>1035.2472038768994</v>
      </c>
      <c r="J5" s="41">
        <v>995.2083215153757</v>
      </c>
      <c r="K5" s="42">
        <v>1048.5717630056572</v>
      </c>
      <c r="L5" s="41">
        <v>993.96274665386363</v>
      </c>
      <c r="M5" s="42">
        <v>1062.7833093697855</v>
      </c>
      <c r="N5" s="41">
        <v>992.69821208867393</v>
      </c>
      <c r="O5" s="42">
        <v>1077.9439364000534</v>
      </c>
      <c r="P5" s="41">
        <v>991.41916642074113</v>
      </c>
      <c r="Q5" s="42">
        <v>1094.1129895794923</v>
      </c>
      <c r="R5" s="41">
        <v>990.13548311944339</v>
      </c>
      <c r="S5" s="42">
        <v>1111.3396779140983</v>
      </c>
      <c r="T5" s="41">
        <v>988.86601874341318</v>
      </c>
      <c r="U5" s="42">
        <v>1129.6528810235045</v>
      </c>
      <c r="V5" s="41">
        <v>987.64451343642452</v>
      </c>
      <c r="W5" s="42">
        <v>1149.0369511288143</v>
      </c>
      <c r="X5" s="41">
        <v>986.52928197978417</v>
      </c>
      <c r="Y5" s="42">
        <v>1169.3883337215238</v>
      </c>
      <c r="Z5" s="41">
        <v>985.61870018039224</v>
      </c>
      <c r="AA5" s="42">
        <v>1190.4361778235175</v>
      </c>
      <c r="AB5" s="41">
        <v>985.0735660195611</v>
      </c>
      <c r="AC5" s="42">
        <v>1211.5985391275833</v>
      </c>
      <c r="AD5" s="41">
        <v>985.13850648558787</v>
      </c>
      <c r="AE5" s="42">
        <v>1231.7658862951214</v>
      </c>
      <c r="AF5" s="41">
        <v>986.12212611965811</v>
      </c>
      <c r="AG5" s="42">
        <v>1249.1412037416883</v>
      </c>
      <c r="AH5" s="41">
        <v>988.24625715442176</v>
      </c>
      <c r="AI5" s="42">
        <v>1261.6494201608159</v>
      </c>
      <c r="AJ5" s="41">
        <v>991.37559053487769</v>
      </c>
      <c r="AK5" s="42">
        <v>1268.3832990686005</v>
      </c>
      <c r="AL5" s="41">
        <v>994.95382718040355</v>
      </c>
      <c r="AM5" s="42">
        <v>1270.6977182113869</v>
      </c>
      <c r="AN5" s="41">
        <v>998.05553610502977</v>
      </c>
      <c r="AO5" s="42">
        <v>1271.0539963179615</v>
      </c>
      <c r="AP5" s="41">
        <v>998.41679879497553</v>
      </c>
      <c r="AQ5" s="42">
        <v>1271.0595182658067</v>
      </c>
      <c r="AR5" s="41">
        <v>998.53408706487573</v>
      </c>
      <c r="AS5" s="42">
        <v>1271.0610984709892</v>
      </c>
      <c r="AT5" s="41"/>
      <c r="AU5" s="42"/>
      <c r="AV5" s="41"/>
      <c r="AW5" s="42"/>
    </row>
    <row r="6" spans="1:49" x14ac:dyDescent="0.2">
      <c r="A6" t="s">
        <v>77</v>
      </c>
      <c r="B6" s="41">
        <v>1000.0000000000003</v>
      </c>
      <c r="C6" s="42">
        <v>1000.0000000000002</v>
      </c>
      <c r="D6" s="41">
        <v>998.73803782947232</v>
      </c>
      <c r="E6" s="42">
        <v>1013.6872146645657</v>
      </c>
      <c r="F6" s="41">
        <v>997.45948614792769</v>
      </c>
      <c r="G6" s="42">
        <v>1028.5950207620349</v>
      </c>
      <c r="H6" s="41">
        <v>996.1619753534701</v>
      </c>
      <c r="I6" s="42">
        <v>1044.9057979945758</v>
      </c>
      <c r="J6" s="41">
        <v>994.84369582979946</v>
      </c>
      <c r="K6" s="42">
        <v>1062.8465539961423</v>
      </c>
      <c r="L6" s="41">
        <v>993.50395689752156</v>
      </c>
      <c r="M6" s="42">
        <v>1082.7044531737172</v>
      </c>
      <c r="N6" s="41">
        <v>992.14408590837536</v>
      </c>
      <c r="O6" s="42">
        <v>1104.8510293756785</v>
      </c>
      <c r="P6" s="41">
        <v>990.76887720827665</v>
      </c>
      <c r="Q6" s="42">
        <v>1129.7781255095215</v>
      </c>
      <c r="R6" s="41">
        <v>989.38895255970783</v>
      </c>
      <c r="S6" s="42">
        <v>1158.1549434126425</v>
      </c>
      <c r="T6" s="41">
        <v>988.02457913980788</v>
      </c>
      <c r="U6" s="42">
        <v>1190.9214994093913</v>
      </c>
      <c r="V6" s="41">
        <v>986.71200025821611</v>
      </c>
      <c r="W6" s="42">
        <v>1229.4467327439231</v>
      </c>
      <c r="X6" s="41">
        <v>985.51383281629796</v>
      </c>
      <c r="Y6" s="42">
        <v>1275.8085940365872</v>
      </c>
      <c r="Z6" s="41">
        <v>984.53568557027268</v>
      </c>
      <c r="AA6" s="42">
        <v>1333.3111775112636</v>
      </c>
      <c r="AB6" s="41">
        <v>983.95016741241147</v>
      </c>
      <c r="AC6" s="42">
        <v>1407.4766864054006</v>
      </c>
      <c r="AD6" s="41">
        <v>984.01991616300268</v>
      </c>
      <c r="AE6" s="42">
        <v>1507.9972095507433</v>
      </c>
      <c r="AF6" s="41">
        <v>985.07644904769768</v>
      </c>
      <c r="AG6" s="42">
        <v>1652.6302350846731</v>
      </c>
      <c r="AH6" s="41">
        <v>987.35857844936436</v>
      </c>
      <c r="AI6" s="42">
        <v>1875.5586668656033</v>
      </c>
      <c r="AJ6" s="41">
        <v>990.7220298779157</v>
      </c>
      <c r="AK6" s="42">
        <v>2251.3199225883754</v>
      </c>
      <c r="AL6" s="41">
        <v>994.56994127903965</v>
      </c>
      <c r="AM6" s="42">
        <v>2997.5301716726012</v>
      </c>
      <c r="AN6" s="41">
        <v>997.90711532293199</v>
      </c>
      <c r="AO6" s="42">
        <v>5229.8394107513113</v>
      </c>
      <c r="AP6" s="41">
        <v>998.2959060844845</v>
      </c>
      <c r="AQ6" s="42">
        <v>6362.211689533704</v>
      </c>
      <c r="AR6" s="41">
        <v>998.42213629324954</v>
      </c>
      <c r="AS6" s="42">
        <v>8282.604592839898</v>
      </c>
      <c r="AT6" s="41"/>
      <c r="AU6" s="42"/>
      <c r="AV6" s="41"/>
      <c r="AW6" s="42"/>
    </row>
    <row r="7" spans="1:49" x14ac:dyDescent="0.2">
      <c r="A7" t="s">
        <v>13</v>
      </c>
      <c r="B7" s="33">
        <v>1015.9116825427475</v>
      </c>
      <c r="C7" s="34">
        <v>1015.9116825427475</v>
      </c>
      <c r="D7" s="33">
        <v>1014.7206291779034</v>
      </c>
      <c r="E7" s="34">
        <v>1014.7206291779034</v>
      </c>
      <c r="F7" s="33">
        <v>1013.5137005588729</v>
      </c>
      <c r="G7" s="34">
        <v>1013.5137005588729</v>
      </c>
      <c r="H7" s="33">
        <v>1012.2886505978374</v>
      </c>
      <c r="I7" s="34">
        <v>1012.2886505978374</v>
      </c>
      <c r="J7" s="33">
        <v>1011.0437603912289</v>
      </c>
      <c r="K7" s="34">
        <v>1011.0437603912289</v>
      </c>
      <c r="L7" s="33">
        <v>1009.7783663379372</v>
      </c>
      <c r="M7" s="34">
        <v>1009.7783663379372</v>
      </c>
      <c r="N7" s="33">
        <v>1008.4937109001819</v>
      </c>
      <c r="O7" s="34">
        <v>1008.4937109001819</v>
      </c>
      <c r="P7" s="33">
        <v>1007.1943134636233</v>
      </c>
      <c r="Q7" s="34">
        <v>1007.1943134636233</v>
      </c>
      <c r="R7" s="33">
        <v>1005.8902046011499</v>
      </c>
      <c r="S7" s="34">
        <v>1005.8902046011499</v>
      </c>
      <c r="T7" s="33">
        <v>1004.6005409109689</v>
      </c>
      <c r="U7" s="34">
        <v>1004.6005409109689</v>
      </c>
      <c r="V7" s="33">
        <v>1003.3595993993112</v>
      </c>
      <c r="W7" s="34">
        <v>1003.3595993993112</v>
      </c>
      <c r="X7" s="33">
        <v>1002.226622733771</v>
      </c>
      <c r="Y7" s="34">
        <v>1002.226622733771</v>
      </c>
      <c r="Z7" s="33">
        <v>1001.301552045858</v>
      </c>
      <c r="AA7" s="34">
        <v>1001.301552045858</v>
      </c>
      <c r="AB7" s="33">
        <v>1000.7477438833165</v>
      </c>
      <c r="AC7" s="34">
        <v>1000.7477438833165</v>
      </c>
      <c r="AD7" s="33">
        <v>1000.8137176614229</v>
      </c>
      <c r="AE7" s="34">
        <v>1000.8137176614229</v>
      </c>
      <c r="AF7" s="33">
        <v>1001.8129883388533</v>
      </c>
      <c r="AG7" s="34">
        <v>1001.8129883388533</v>
      </c>
      <c r="AH7" s="33">
        <v>1003.9709178723213</v>
      </c>
      <c r="AI7" s="34">
        <v>1003.9709178723213</v>
      </c>
      <c r="AJ7" s="33">
        <v>1007.1500442120974</v>
      </c>
      <c r="AK7" s="34">
        <v>1007.1500442120974</v>
      </c>
      <c r="AL7" s="33">
        <v>1010.7852166231897</v>
      </c>
      <c r="AM7" s="34">
        <v>1010.7852166231897</v>
      </c>
      <c r="AN7" s="33">
        <v>1013.9362789555646</v>
      </c>
      <c r="AO7" s="34">
        <v>1013.9362789555646</v>
      </c>
      <c r="AP7" s="33">
        <v>1014.3032899427474</v>
      </c>
      <c r="AQ7" s="34">
        <v>1014.3032899427474</v>
      </c>
      <c r="AR7" s="33">
        <v>1014.4224444663641</v>
      </c>
      <c r="AS7" s="34">
        <v>1014.4224444663641</v>
      </c>
      <c r="AT7" s="33"/>
      <c r="AU7" s="34"/>
      <c r="AV7" s="33"/>
      <c r="AW7" s="34"/>
    </row>
    <row r="8" spans="1:49" x14ac:dyDescent="0.2">
      <c r="B8" s="35">
        <v>1005.7716594496609</v>
      </c>
      <c r="C8" s="36">
        <v>1005.7716594496609</v>
      </c>
      <c r="D8" s="35">
        <v>1046.0548537030156</v>
      </c>
      <c r="E8" s="36">
        <v>1046.0548537030156</v>
      </c>
      <c r="F8" s="35">
        <v>1090.5078287223905</v>
      </c>
      <c r="G8" s="36">
        <v>1090.5078287223905</v>
      </c>
      <c r="H8" s="35">
        <v>1139.8315455684517</v>
      </c>
      <c r="I8" s="36">
        <v>1139.8315455684517</v>
      </c>
      <c r="J8" s="35">
        <v>1194.9055101254171</v>
      </c>
      <c r="K8" s="36">
        <v>1194.9055101254171</v>
      </c>
      <c r="L8" s="35">
        <v>1256.8506311072938</v>
      </c>
      <c r="M8" s="36">
        <v>1256.8506311072938</v>
      </c>
      <c r="N8" s="35">
        <v>1327.1279955681082</v>
      </c>
      <c r="O8" s="36">
        <v>1327.1279955681082</v>
      </c>
      <c r="P8" s="35">
        <v>1407.6864855200786</v>
      </c>
      <c r="Q8" s="36">
        <v>1407.6864855200786</v>
      </c>
      <c r="R8" s="35">
        <v>1501.1998099857694</v>
      </c>
      <c r="S8" s="36">
        <v>1501.1998099857694</v>
      </c>
      <c r="T8" s="35">
        <v>1611.4602716268721</v>
      </c>
      <c r="U8" s="36">
        <v>1611.4602716268721</v>
      </c>
      <c r="V8" s="35">
        <v>1744.057663021207</v>
      </c>
      <c r="W8" s="36">
        <v>1744.057663021207</v>
      </c>
      <c r="X8" s="35">
        <v>1907.6120904469522</v>
      </c>
      <c r="Y8" s="36">
        <v>1907.6120904469522</v>
      </c>
      <c r="Z8" s="35">
        <v>2116.1275129577557</v>
      </c>
      <c r="AA8" s="36">
        <v>2116.1275129577557</v>
      </c>
      <c r="AB8" s="35">
        <v>2393.7204230485331</v>
      </c>
      <c r="AC8" s="36">
        <v>2393.7204230485331</v>
      </c>
      <c r="AD8" s="35">
        <v>2784.5554209494439</v>
      </c>
      <c r="AE8" s="36">
        <v>2784.5554209494439</v>
      </c>
      <c r="AF8" s="35">
        <v>3374.5751652188819</v>
      </c>
      <c r="AG8" s="36">
        <v>3374.5751652188819</v>
      </c>
      <c r="AH8" s="35">
        <v>4343.0472212637005</v>
      </c>
      <c r="AI8" s="36">
        <v>4343.0472212637005</v>
      </c>
      <c r="AJ8" s="35">
        <v>6117.5340289492615</v>
      </c>
      <c r="AK8" s="36">
        <v>6117.5340289492615</v>
      </c>
      <c r="AL8" s="35">
        <v>10058.806576772307</v>
      </c>
      <c r="AM8" s="36">
        <v>10058.806576772307</v>
      </c>
      <c r="AN8" s="35">
        <v>23958.324909699597</v>
      </c>
      <c r="AO8" s="36">
        <v>23958.324909699597</v>
      </c>
      <c r="AP8" s="35">
        <v>31792.190727018678</v>
      </c>
      <c r="AQ8" s="36">
        <v>31792.190727018678</v>
      </c>
      <c r="AR8" s="35">
        <v>45874.452318464893</v>
      </c>
      <c r="AS8" s="36">
        <v>45874.452318464893</v>
      </c>
      <c r="AT8" s="35"/>
      <c r="AU8" s="36"/>
      <c r="AV8" s="35"/>
      <c r="AW8" s="36"/>
    </row>
    <row r="9" spans="1:49" x14ac:dyDescent="0.2">
      <c r="A9" t="s">
        <v>14</v>
      </c>
      <c r="B9" s="41">
        <v>1015.9116825427475</v>
      </c>
      <c r="C9" s="42">
        <v>1005.7716594496609</v>
      </c>
      <c r="D9" s="41">
        <v>1014.7206291779034</v>
      </c>
      <c r="E9" s="42">
        <v>1046.0548537030156</v>
      </c>
      <c r="F9" s="41">
        <v>1013.5137005588729</v>
      </c>
      <c r="G9" s="42">
        <v>1090.5078287223905</v>
      </c>
      <c r="H9" s="41">
        <v>1012.2886505978374</v>
      </c>
      <c r="I9" s="42">
        <v>1139.8315455684517</v>
      </c>
      <c r="J9" s="41">
        <v>1011.0437603912289</v>
      </c>
      <c r="K9" s="42">
        <v>1194.9055101254171</v>
      </c>
      <c r="L9" s="41">
        <v>1009.7783663379372</v>
      </c>
      <c r="M9" s="42">
        <v>1256.8506311072938</v>
      </c>
      <c r="N9" s="41">
        <v>1008.4937109001819</v>
      </c>
      <c r="O9" s="42">
        <v>1327.1279955681082</v>
      </c>
      <c r="P9" s="41">
        <v>1007.1943134636233</v>
      </c>
      <c r="Q9" s="42">
        <v>1407.6864855200786</v>
      </c>
      <c r="R9" s="41">
        <v>1005.8902046011499</v>
      </c>
      <c r="S9" s="42">
        <v>1501.1998099857694</v>
      </c>
      <c r="T9" s="41">
        <v>1004.6005409109689</v>
      </c>
      <c r="U9" s="42">
        <v>1611.4602716268721</v>
      </c>
      <c r="V9" s="41">
        <v>1003.3595993993112</v>
      </c>
      <c r="W9" s="42">
        <v>1744.057663021207</v>
      </c>
      <c r="X9" s="41">
        <v>1002.226622733771</v>
      </c>
      <c r="Y9" s="42">
        <v>1907.6120904469522</v>
      </c>
      <c r="Z9" s="41">
        <v>1001.301552045858</v>
      </c>
      <c r="AA9" s="42">
        <v>2116.1275129577557</v>
      </c>
      <c r="AB9" s="41">
        <v>1000.7477438833165</v>
      </c>
      <c r="AC9" s="42">
        <v>2393.7204230485331</v>
      </c>
      <c r="AD9" s="41">
        <v>1000.8137176614229</v>
      </c>
      <c r="AE9" s="42">
        <v>2784.5554209494439</v>
      </c>
      <c r="AF9" s="41">
        <v>1001.8129883388533</v>
      </c>
      <c r="AG9" s="42">
        <v>3374.5751652188819</v>
      </c>
      <c r="AH9" s="41">
        <v>1003.9709178723213</v>
      </c>
      <c r="AI9" s="42">
        <v>4343.0472212637005</v>
      </c>
      <c r="AJ9" s="41">
        <v>1007.1500442120974</v>
      </c>
      <c r="AK9" s="42">
        <v>6117.5340289492615</v>
      </c>
      <c r="AL9" s="41">
        <v>1010.7852166231897</v>
      </c>
      <c r="AM9" s="42">
        <v>10058.806576772307</v>
      </c>
      <c r="AN9" s="41">
        <v>1013.9362789555646</v>
      </c>
      <c r="AO9" s="42">
        <v>23958.324909699597</v>
      </c>
      <c r="AP9" s="41">
        <v>1014.3032899427474</v>
      </c>
      <c r="AQ9" s="42">
        <v>31792.190727018678</v>
      </c>
      <c r="AR9" s="41">
        <v>1014.4224444663641</v>
      </c>
      <c r="AS9" s="42">
        <v>45874.452318464893</v>
      </c>
      <c r="AT9" s="41"/>
      <c r="AU9" s="42"/>
      <c r="AV9" s="41"/>
      <c r="AW9" s="42"/>
    </row>
    <row r="10" spans="1:49" x14ac:dyDescent="0.2">
      <c r="A10" t="s">
        <v>15</v>
      </c>
      <c r="B10" s="41">
        <v>1015.9116825427475</v>
      </c>
      <c r="C10" s="42">
        <v>1005.7716594496609</v>
      </c>
      <c r="D10" s="41">
        <v>1014.7206291779034</v>
      </c>
      <c r="E10" s="42">
        <v>1046.0548537030156</v>
      </c>
      <c r="F10" s="41">
        <v>1013.5137005588729</v>
      </c>
      <c r="G10" s="42">
        <v>1090.5078287223905</v>
      </c>
      <c r="H10" s="41">
        <v>1012.2886505978374</v>
      </c>
      <c r="I10" s="42">
        <v>1139.8315455684517</v>
      </c>
      <c r="J10" s="41">
        <v>1011.0437603912289</v>
      </c>
      <c r="K10" s="42">
        <v>1194.9055101254171</v>
      </c>
      <c r="L10" s="41">
        <v>1009.7783663379372</v>
      </c>
      <c r="M10" s="42">
        <v>1256.8506311072938</v>
      </c>
      <c r="N10" s="41">
        <v>1008.4937109001819</v>
      </c>
      <c r="O10" s="42">
        <v>1327.1279955681082</v>
      </c>
      <c r="P10" s="41">
        <v>1007.1943134636233</v>
      </c>
      <c r="Q10" s="42">
        <v>1407.6864855200786</v>
      </c>
      <c r="R10" s="41">
        <v>1005.8902046011499</v>
      </c>
      <c r="S10" s="42">
        <v>1501.1998099857694</v>
      </c>
      <c r="T10" s="41">
        <v>1004.6005409109689</v>
      </c>
      <c r="U10" s="42">
        <v>1611.4602716268721</v>
      </c>
      <c r="V10" s="41">
        <v>1003.3595993993112</v>
      </c>
      <c r="W10" s="42">
        <v>1744.057663021207</v>
      </c>
      <c r="X10" s="41">
        <v>1002.226622733771</v>
      </c>
      <c r="Y10" s="42">
        <v>1907.6120904469522</v>
      </c>
      <c r="Z10" s="41">
        <v>1001.301552045858</v>
      </c>
      <c r="AA10" s="42">
        <v>2116.1275129577557</v>
      </c>
      <c r="AB10" s="41">
        <v>1000.7477438833165</v>
      </c>
      <c r="AC10" s="42">
        <v>2393.7204230485331</v>
      </c>
      <c r="AD10" s="41">
        <v>1000.8137176614229</v>
      </c>
      <c r="AE10" s="42">
        <v>2784.5554209494439</v>
      </c>
      <c r="AF10" s="41">
        <v>1001.8129883388533</v>
      </c>
      <c r="AG10" s="42">
        <v>3374.5751652188819</v>
      </c>
      <c r="AH10" s="41">
        <v>1003.9709178723213</v>
      </c>
      <c r="AI10" s="42">
        <v>4343.0472212637005</v>
      </c>
      <c r="AJ10" s="41">
        <v>1007.1500442120974</v>
      </c>
      <c r="AK10" s="42">
        <v>6117.5340289492615</v>
      </c>
      <c r="AL10" s="41">
        <v>1010.7852166231897</v>
      </c>
      <c r="AM10" s="42">
        <v>10058.806576772307</v>
      </c>
      <c r="AN10" s="41">
        <v>1013.9362789555646</v>
      </c>
      <c r="AO10" s="42">
        <v>23958.324909699597</v>
      </c>
      <c r="AP10" s="41">
        <v>1014.3032899427474</v>
      </c>
      <c r="AQ10" s="42">
        <v>31792.190727018678</v>
      </c>
      <c r="AR10" s="41">
        <v>1014.4224444663641</v>
      </c>
      <c r="AS10" s="42">
        <v>45874.452318464893</v>
      </c>
      <c r="AT10" s="41"/>
      <c r="AU10" s="42"/>
      <c r="AV10" s="41"/>
      <c r="AW10" s="42"/>
    </row>
    <row r="11" spans="1:49" x14ac:dyDescent="0.2">
      <c r="A11" t="s">
        <v>29</v>
      </c>
      <c r="B11" s="41">
        <v>1015.9116825427475</v>
      </c>
      <c r="C11" s="42">
        <v>1005.7716594496609</v>
      </c>
      <c r="D11" s="41">
        <v>1014.7206291779034</v>
      </c>
      <c r="E11" s="42">
        <v>1046.0548537030156</v>
      </c>
      <c r="F11" s="41">
        <v>1013.5137005588729</v>
      </c>
      <c r="G11" s="42">
        <v>1090.5078287223905</v>
      </c>
      <c r="H11" s="41">
        <v>1012.2886505978374</v>
      </c>
      <c r="I11" s="42">
        <v>1139.8315455684517</v>
      </c>
      <c r="J11" s="41">
        <v>1011.0437603912289</v>
      </c>
      <c r="K11" s="42">
        <v>1194.9055101254171</v>
      </c>
      <c r="L11" s="41">
        <v>1009.7783663379372</v>
      </c>
      <c r="M11" s="42">
        <v>1256.8506311072938</v>
      </c>
      <c r="N11" s="41">
        <v>1008.4937109001819</v>
      </c>
      <c r="O11" s="42">
        <v>1327.1279955681082</v>
      </c>
      <c r="P11" s="41">
        <v>1007.1943134636233</v>
      </c>
      <c r="Q11" s="42">
        <v>1407.6864855200786</v>
      </c>
      <c r="R11" s="41">
        <v>1005.8902046011499</v>
      </c>
      <c r="S11" s="42">
        <v>1501.1998099857694</v>
      </c>
      <c r="T11" s="41">
        <v>1004.6005409109689</v>
      </c>
      <c r="U11" s="42">
        <v>1611.4602716268721</v>
      </c>
      <c r="V11" s="41">
        <v>1003.3595993993112</v>
      </c>
      <c r="W11" s="42">
        <v>1744.057663021207</v>
      </c>
      <c r="X11" s="41">
        <v>1002.226622733771</v>
      </c>
      <c r="Y11" s="42">
        <v>1907.6120904469522</v>
      </c>
      <c r="Z11" s="41">
        <v>1001.301552045858</v>
      </c>
      <c r="AA11" s="42">
        <v>2116.1275129577557</v>
      </c>
      <c r="AB11" s="41">
        <v>1000.7477438833165</v>
      </c>
      <c r="AC11" s="42">
        <v>2393.7204230485331</v>
      </c>
      <c r="AD11" s="41">
        <v>1000.8137176614229</v>
      </c>
      <c r="AE11" s="42">
        <v>2784.5554209494439</v>
      </c>
      <c r="AF11" s="41">
        <v>1001.8129883388533</v>
      </c>
      <c r="AG11" s="42">
        <v>3374.5751652188819</v>
      </c>
      <c r="AH11" s="41">
        <v>1003.9709178723213</v>
      </c>
      <c r="AI11" s="42">
        <v>4343.0472212637005</v>
      </c>
      <c r="AJ11" s="41">
        <v>1007.1500442120974</v>
      </c>
      <c r="AK11" s="42">
        <v>6117.5340289492615</v>
      </c>
      <c r="AL11" s="41">
        <v>1010.7852166231897</v>
      </c>
      <c r="AM11" s="42">
        <v>10058.806576772307</v>
      </c>
      <c r="AN11" s="41">
        <v>1013.9362789555646</v>
      </c>
      <c r="AO11" s="42">
        <v>23958.324909699597</v>
      </c>
      <c r="AP11" s="41">
        <v>1014.3032899427474</v>
      </c>
      <c r="AQ11" s="42">
        <v>31792.190727018678</v>
      </c>
      <c r="AR11" s="41">
        <v>1014.4224444663641</v>
      </c>
      <c r="AS11" s="42">
        <v>45874.452318464893</v>
      </c>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c r="AU12" s="42"/>
      <c r="AV12" s="41"/>
      <c r="AW12" s="42"/>
    </row>
    <row r="13" spans="1:49" x14ac:dyDescent="0.2">
      <c r="A13" t="s">
        <v>17</v>
      </c>
      <c r="B13" s="97">
        <v>1000</v>
      </c>
      <c r="C13" s="98">
        <v>1000</v>
      </c>
      <c r="D13" s="97">
        <v>998.60416736847958</v>
      </c>
      <c r="E13" s="98">
        <v>998.60416736847958</v>
      </c>
      <c r="F13" s="97">
        <v>997.10073527365205</v>
      </c>
      <c r="G13" s="98">
        <v>997.10073527365205</v>
      </c>
      <c r="H13" s="97">
        <v>995.47710380425258</v>
      </c>
      <c r="I13" s="98">
        <v>995.47710380425258</v>
      </c>
      <c r="J13" s="97">
        <v>993.71853774117346</v>
      </c>
      <c r="K13" s="98">
        <v>993.71853774117346</v>
      </c>
      <c r="L13" s="97">
        <v>991.80787004632361</v>
      </c>
      <c r="M13" s="98">
        <v>991.80787004632361</v>
      </c>
      <c r="N13" s="97">
        <v>989.72464352603538</v>
      </c>
      <c r="O13" s="98">
        <v>989.72464352603538</v>
      </c>
      <c r="P13" s="97">
        <v>987.44432970288142</v>
      </c>
      <c r="Q13" s="98">
        <v>987.44432970288142</v>
      </c>
      <c r="R13" s="97">
        <v>984.93710737198114</v>
      </c>
      <c r="S13" s="98">
        <v>984.93710737198114</v>
      </c>
      <c r="T13" s="97">
        <v>982.16585067787537</v>
      </c>
      <c r="U13" s="98">
        <v>982.16585067787537</v>
      </c>
      <c r="V13" s="97">
        <v>979.08339117569949</v>
      </c>
      <c r="W13" s="98">
        <v>979.08339117569949</v>
      </c>
      <c r="X13" s="97">
        <v>975.62796578100017</v>
      </c>
      <c r="Y13" s="98">
        <v>975.62796578100017</v>
      </c>
      <c r="Z13" s="97">
        <v>971.71545540237685</v>
      </c>
      <c r="AA13" s="98">
        <v>971.71545540237685</v>
      </c>
      <c r="AB13" s="97">
        <v>967.22535558763536</v>
      </c>
      <c r="AC13" s="98">
        <v>967.22535558763536</v>
      </c>
      <c r="AD13" s="97">
        <v>961.97249309041626</v>
      </c>
      <c r="AE13" s="98">
        <v>961.97249309041626</v>
      </c>
      <c r="AF13" s="97">
        <v>955.64369320794117</v>
      </c>
      <c r="AG13" s="98">
        <v>955.64369320794117</v>
      </c>
      <c r="AH13" s="97">
        <v>947.64810213805288</v>
      </c>
      <c r="AI13" s="98">
        <v>947.64810213805288</v>
      </c>
      <c r="AJ13" s="97">
        <v>936.77077559605391</v>
      </c>
      <c r="AK13" s="98">
        <v>936.77077559605391</v>
      </c>
      <c r="AL13" s="97">
        <v>920.25798793334843</v>
      </c>
      <c r="AM13" s="98">
        <v>920.25798793334843</v>
      </c>
      <c r="AN13" s="97">
        <v>889.66445889687839</v>
      </c>
      <c r="AO13" s="98">
        <v>889.66445889687839</v>
      </c>
      <c r="AP13" s="97">
        <v>879.43418586125097</v>
      </c>
      <c r="AQ13" s="98">
        <v>879.43418586125097</v>
      </c>
      <c r="AR13" s="97">
        <v>866.10628637363061</v>
      </c>
      <c r="AS13" s="98">
        <v>866.10628637363061</v>
      </c>
      <c r="AT13" s="97"/>
      <c r="AU13" s="98"/>
      <c r="AV13" s="97"/>
      <c r="AW13" s="98"/>
    </row>
    <row r="14" spans="1:49" x14ac:dyDescent="0.2">
      <c r="A14" t="s">
        <v>36</v>
      </c>
      <c r="B14" s="41">
        <v>1457.0034251455234</v>
      </c>
      <c r="C14" s="42">
        <v>1457.0034251455236</v>
      </c>
      <c r="D14" s="41">
        <v>1454.9696922204682</v>
      </c>
      <c r="E14" s="42">
        <v>1454.9696922204685</v>
      </c>
      <c r="F14" s="41">
        <v>1452.7791865088307</v>
      </c>
      <c r="G14" s="42">
        <v>1452.7791865088309</v>
      </c>
      <c r="H14" s="41">
        <v>1450.4135498967416</v>
      </c>
      <c r="I14" s="42">
        <v>1450.4135498967419</v>
      </c>
      <c r="J14" s="41">
        <v>1447.8513131194907</v>
      </c>
      <c r="K14" s="42">
        <v>1447.8513131194909</v>
      </c>
      <c r="L14" s="41">
        <v>1445.0674637437796</v>
      </c>
      <c r="M14" s="42">
        <v>1445.0674637437799</v>
      </c>
      <c r="N14" s="41">
        <v>1442.0321955683655</v>
      </c>
      <c r="O14" s="42">
        <v>1442.0321955683658</v>
      </c>
      <c r="P14" s="41">
        <v>1438.7097705176236</v>
      </c>
      <c r="Q14" s="42">
        <v>1438.7097705176238</v>
      </c>
      <c r="R14" s="41">
        <v>1435.0567389939006</v>
      </c>
      <c r="S14" s="42">
        <v>1435.0567389939008</v>
      </c>
      <c r="T14" s="41">
        <v>1431.0190084986309</v>
      </c>
      <c r="U14" s="42">
        <v>1431.0190084986311</v>
      </c>
      <c r="V14" s="41">
        <v>1426.5278544460884</v>
      </c>
      <c r="W14" s="42">
        <v>1426.5278544460887</v>
      </c>
      <c r="X14" s="41">
        <v>1421.4932878106765</v>
      </c>
      <c r="Y14" s="42">
        <v>1421.4932878106767</v>
      </c>
      <c r="Z14" s="41">
        <v>1415.792746788105</v>
      </c>
      <c r="AA14" s="42">
        <v>1415.7927467881052</v>
      </c>
      <c r="AB14" s="41">
        <v>1409.2506559787814</v>
      </c>
      <c r="AC14" s="42">
        <v>1409.2506559787817</v>
      </c>
      <c r="AD14" s="41">
        <v>1401.5972173285147</v>
      </c>
      <c r="AE14" s="42">
        <v>1401.5972173285149</v>
      </c>
      <c r="AF14" s="41">
        <v>1392.3761342226878</v>
      </c>
      <c r="AG14" s="42">
        <v>1392.3761342226881</v>
      </c>
      <c r="AH14" s="41">
        <v>1380.7265306477977</v>
      </c>
      <c r="AI14" s="42">
        <v>1380.726530647798</v>
      </c>
      <c r="AJ14" s="41">
        <v>1364.878228619679</v>
      </c>
      <c r="AK14" s="42">
        <v>1364.878228619679</v>
      </c>
      <c r="AL14" s="41">
        <v>1340.8190404364163</v>
      </c>
      <c r="AM14" s="42">
        <v>1340.8190404364166</v>
      </c>
      <c r="AN14" s="41">
        <v>1296.2441638429905</v>
      </c>
      <c r="AO14" s="42">
        <v>1296.2441638429907</v>
      </c>
      <c r="AP14" s="41">
        <v>1281.3386209899074</v>
      </c>
      <c r="AQ14" s="42">
        <v>1281.3386209899077</v>
      </c>
      <c r="AR14" s="41">
        <v>1261.9198257864493</v>
      </c>
      <c r="AS14" s="42">
        <v>1261.9198257864493</v>
      </c>
      <c r="AT14" s="41"/>
      <c r="AU14" s="42"/>
      <c r="AV14" s="41"/>
      <c r="AW14" s="42"/>
    </row>
    <row r="15" spans="1:49" x14ac:dyDescent="0.2">
      <c r="A15" t="s">
        <v>18</v>
      </c>
      <c r="B15" s="154">
        <v>1000</v>
      </c>
      <c r="C15" s="155">
        <v>1000</v>
      </c>
      <c r="D15" s="154">
        <v>995.55715642799703</v>
      </c>
      <c r="E15" s="155">
        <v>995.55715642799703</v>
      </c>
      <c r="F15" s="154">
        <v>991.01074770707442</v>
      </c>
      <c r="G15" s="155">
        <v>991.01074770707442</v>
      </c>
      <c r="H15" s="154">
        <v>986.34804718185501</v>
      </c>
      <c r="I15" s="155">
        <v>986.34804718185501</v>
      </c>
      <c r="J15" s="154">
        <v>981.55501961928383</v>
      </c>
      <c r="K15" s="155">
        <v>981.55501961928383</v>
      </c>
      <c r="L15" s="154">
        <v>976.61616080302576</v>
      </c>
      <c r="M15" s="155">
        <v>976.61616080302576</v>
      </c>
      <c r="N15" s="154">
        <v>971.51463916679643</v>
      </c>
      <c r="O15" s="155">
        <v>971.51463916679643</v>
      </c>
      <c r="P15" s="154">
        <v>966.23234035004259</v>
      </c>
      <c r="Q15" s="155">
        <v>966.23234035004259</v>
      </c>
      <c r="R15" s="154">
        <v>960.75014766810955</v>
      </c>
      <c r="S15" s="155">
        <v>960.75014766810955</v>
      </c>
      <c r="T15" s="154">
        <v>955.04852529098605</v>
      </c>
      <c r="U15" s="155">
        <v>955.04852529098605</v>
      </c>
      <c r="V15" s="154">
        <v>949.10837513998047</v>
      </c>
      <c r="W15" s="155">
        <v>949.10837513998047</v>
      </c>
      <c r="X15" s="154">
        <v>942.91225704500687</v>
      </c>
      <c r="Y15" s="155">
        <v>942.91225704500687</v>
      </c>
      <c r="Z15" s="154">
        <v>936.44517147167153</v>
      </c>
      <c r="AA15" s="155">
        <v>936.44517147167153</v>
      </c>
      <c r="AB15" s="154">
        <v>929.69120428451117</v>
      </c>
      <c r="AC15" s="155">
        <v>929.69120428451117</v>
      </c>
      <c r="AD15" s="154">
        <v>922.61173653159324</v>
      </c>
      <c r="AE15" s="155">
        <v>922.61173653159324</v>
      </c>
      <c r="AF15" s="154">
        <v>915.06120371894224</v>
      </c>
      <c r="AG15" s="155">
        <v>915.06120371894224</v>
      </c>
      <c r="AH15" s="154">
        <v>906.55260217346517</v>
      </c>
      <c r="AI15" s="155">
        <v>906.55260217346517</v>
      </c>
      <c r="AJ15" s="154">
        <v>895.80985191311822</v>
      </c>
      <c r="AK15" s="155">
        <v>895.80985191311822</v>
      </c>
      <c r="AL15" s="154">
        <v>879.94413256157475</v>
      </c>
      <c r="AM15" s="155">
        <v>879.94413256157475</v>
      </c>
      <c r="AN15" s="154">
        <v>850.6847170469016</v>
      </c>
      <c r="AO15" s="155">
        <v>850.6847170469016</v>
      </c>
      <c r="AP15" s="154">
        <v>840.90263528074058</v>
      </c>
      <c r="AQ15" s="155">
        <v>840.90263528074058</v>
      </c>
      <c r="AR15" s="154">
        <v>828.15867722673181</v>
      </c>
      <c r="AS15" s="155">
        <v>828.15867722673181</v>
      </c>
      <c r="AT15" s="154"/>
      <c r="AU15" s="155"/>
      <c r="AV15" s="154"/>
      <c r="AW15" s="155"/>
    </row>
    <row r="16" spans="1:49" s="29" customFormat="1" x14ac:dyDescent="0.2">
      <c r="A16" t="s">
        <v>61</v>
      </c>
      <c r="B16" s="41">
        <v>1000</v>
      </c>
      <c r="C16" s="42">
        <v>1000</v>
      </c>
      <c r="D16" s="41">
        <v>997.18099782009494</v>
      </c>
      <c r="E16" s="42">
        <v>996.42656750460719</v>
      </c>
      <c r="F16" s="41">
        <v>994.25488437896934</v>
      </c>
      <c r="G16" s="42">
        <v>992.74784659514853</v>
      </c>
      <c r="H16" s="41">
        <v>991.20899250563514</v>
      </c>
      <c r="I16" s="42">
        <v>988.95114333670949</v>
      </c>
      <c r="J16" s="41">
        <v>988.02890487385002</v>
      </c>
      <c r="K16" s="42">
        <v>985.02221890836415</v>
      </c>
      <c r="L16" s="41">
        <v>984.69822513127451</v>
      </c>
      <c r="M16" s="42">
        <v>980.94509205291104</v>
      </c>
      <c r="N16" s="41">
        <v>981.19818875900637</v>
      </c>
      <c r="O16" s="42">
        <v>976.7018962419894</v>
      </c>
      <c r="P16" s="41">
        <v>977.50727567628758</v>
      </c>
      <c r="Q16" s="42">
        <v>972.27269195657857</v>
      </c>
      <c r="R16" s="41">
        <v>973.60070163582191</v>
      </c>
      <c r="S16" s="42">
        <v>967.63532328598217</v>
      </c>
      <c r="T16" s="41">
        <v>969.44963759017548</v>
      </c>
      <c r="U16" s="42">
        <v>962.76526848340586</v>
      </c>
      <c r="V16" s="41">
        <v>965.02018247922445</v>
      </c>
      <c r="W16" s="42">
        <v>957.63548414078537</v>
      </c>
      <c r="X16" s="41">
        <v>960.2715576649565</v>
      </c>
      <c r="Y16" s="42">
        <v>952.21599916952198</v>
      </c>
      <c r="Z16" s="41">
        <v>955.15241344815661</v>
      </c>
      <c r="AA16" s="42">
        <v>946.47229118373423</v>
      </c>
      <c r="AB16" s="41">
        <v>949.59188688748566</v>
      </c>
      <c r="AC16" s="42">
        <v>940.35892740230543</v>
      </c>
      <c r="AD16" s="41">
        <v>943.47442727513453</v>
      </c>
      <c r="AE16" s="42">
        <v>933.79595297850653</v>
      </c>
      <c r="AF16" s="41">
        <v>936.56655929113731</v>
      </c>
      <c r="AG16" s="42">
        <v>926.59055914249132</v>
      </c>
      <c r="AH16" s="41">
        <v>928.3269260690721</v>
      </c>
      <c r="AI16" s="42">
        <v>918.22651761977215</v>
      </c>
      <c r="AJ16" s="41">
        <v>917.51172004953753</v>
      </c>
      <c r="AK16" s="42">
        <v>907.44506589975344</v>
      </c>
      <c r="AL16" s="41">
        <v>901.30291527159068</v>
      </c>
      <c r="AM16" s="42">
        <v>891.39543730893843</v>
      </c>
      <c r="AN16" s="41">
        <v>871.33664891964725</v>
      </c>
      <c r="AO16" s="42">
        <v>861.75705317397967</v>
      </c>
      <c r="AP16" s="41">
        <v>861.31710994738717</v>
      </c>
      <c r="AQ16" s="42">
        <v>851.84766100981426</v>
      </c>
      <c r="AR16" s="41">
        <v>848.26377273761409</v>
      </c>
      <c r="AS16" s="42">
        <v>838.93783227897961</v>
      </c>
      <c r="AT16" s="41"/>
      <c r="AU16" s="42"/>
      <c r="AV16" s="41"/>
      <c r="AW16" s="42"/>
    </row>
    <row r="17" spans="1:49" x14ac:dyDescent="0.2">
      <c r="A17" t="s">
        <v>62</v>
      </c>
      <c r="B17" s="35">
        <v>999.99999999998658</v>
      </c>
      <c r="C17" s="36">
        <v>1000.0000000000002</v>
      </c>
      <c r="D17" s="35">
        <v>998.93471736500203</v>
      </c>
      <c r="E17" s="36">
        <v>1019.5250619888901</v>
      </c>
      <c r="F17" s="35">
        <v>997.8569101581927</v>
      </c>
      <c r="G17" s="36">
        <v>1040.9376825807528</v>
      </c>
      <c r="H17" s="35">
        <v>996.7646500113143</v>
      </c>
      <c r="I17" s="36">
        <v>1064.536439355626</v>
      </c>
      <c r="J17" s="35">
        <v>995.65650103201585</v>
      </c>
      <c r="K17" s="36">
        <v>1090.6941530785336</v>
      </c>
      <c r="L17" s="35">
        <v>994.53196269534169</v>
      </c>
      <c r="M17" s="36">
        <v>1119.8835511120915</v>
      </c>
      <c r="N17" s="35">
        <v>993.39224041761634</v>
      </c>
      <c r="O17" s="36">
        <v>1152.7180147758627</v>
      </c>
      <c r="P17" s="35">
        <v>992.24142760836389</v>
      </c>
      <c r="Q17" s="36">
        <v>1190.0117409100869</v>
      </c>
      <c r="R17" s="35">
        <v>991.0884657774086</v>
      </c>
      <c r="S17" s="36">
        <v>1232.8760194436577</v>
      </c>
      <c r="T17" s="35">
        <v>989.95027470251409</v>
      </c>
      <c r="U17" s="36">
        <v>1282.8780600931659</v>
      </c>
      <c r="V17" s="35">
        <v>988.8569691904579</v>
      </c>
      <c r="W17" s="36">
        <v>1342.3120194144683</v>
      </c>
      <c r="X17" s="35">
        <v>987.86041003168748</v>
      </c>
      <c r="Y17" s="36">
        <v>1414.6851088885012</v>
      </c>
      <c r="Z17" s="35">
        <v>987.04787550881622</v>
      </c>
      <c r="AA17" s="36">
        <v>1505.6301688471933</v>
      </c>
      <c r="AB17" s="35">
        <v>986.56193730410052</v>
      </c>
      <c r="AC17" s="36">
        <v>1624.697996358135</v>
      </c>
      <c r="AD17" s="35">
        <v>986.61980678554517</v>
      </c>
      <c r="AE17" s="36">
        <v>1789.0062319602175</v>
      </c>
      <c r="AF17" s="35">
        <v>987.49696548785812</v>
      </c>
      <c r="AG17" s="36">
        <v>2030.8902543645531</v>
      </c>
      <c r="AH17" s="35">
        <v>989.39532573125848</v>
      </c>
      <c r="AI17" s="36">
        <v>2415.2724272537444</v>
      </c>
      <c r="AJ17" s="35">
        <v>992.20225584220839</v>
      </c>
      <c r="AK17" s="36">
        <v>3090.835499202185</v>
      </c>
      <c r="AL17" s="35">
        <v>995.42658232360031</v>
      </c>
      <c r="AM17" s="36">
        <v>4513.879610268059</v>
      </c>
      <c r="AN17" s="35">
        <v>998.23408436028069</v>
      </c>
      <c r="AO17" s="36">
        <v>9190.0646737872339</v>
      </c>
      <c r="AP17" s="35">
        <v>998.5618326224627</v>
      </c>
      <c r="AQ17" s="36">
        <v>11721.310197192683</v>
      </c>
      <c r="AR17" s="35">
        <v>998.66827364542564</v>
      </c>
      <c r="AS17" s="36">
        <v>16179.641445302586</v>
      </c>
      <c r="AT17" s="35"/>
      <c r="AU17" s="36"/>
      <c r="AV17" s="35"/>
      <c r="AW17" s="36"/>
    </row>
    <row r="18" spans="1:49" x14ac:dyDescent="0.2">
      <c r="A18" t="s">
        <v>19</v>
      </c>
      <c r="B18" s="33">
        <v>27857.010133999996</v>
      </c>
      <c r="C18" s="34">
        <v>1236.7674480000003</v>
      </c>
      <c r="D18" s="33">
        <v>27859.668404371663</v>
      </c>
      <c r="E18" s="34">
        <v>1145.955961594834</v>
      </c>
      <c r="F18" s="33">
        <v>27859.692528451651</v>
      </c>
      <c r="G18" s="34">
        <v>1055.2364821447816</v>
      </c>
      <c r="H18" s="33">
        <v>27856.774065455371</v>
      </c>
      <c r="I18" s="34">
        <v>964.63697814557963</v>
      </c>
      <c r="J18" s="33">
        <v>27850.526285197237</v>
      </c>
      <c r="K18" s="34">
        <v>874.21147248380123</v>
      </c>
      <c r="L18" s="33">
        <v>27840.45982155994</v>
      </c>
      <c r="M18" s="34">
        <v>784.04702596075879</v>
      </c>
      <c r="N18" s="33">
        <v>27825.934133320236</v>
      </c>
      <c r="O18" s="34">
        <v>694.28935651570055</v>
      </c>
      <c r="P18" s="33">
        <v>27806.095906935592</v>
      </c>
      <c r="Q18" s="34">
        <v>605.16786789698699</v>
      </c>
      <c r="R18" s="33">
        <v>27779.781344802017</v>
      </c>
      <c r="S18" s="34">
        <v>517.03790549254688</v>
      </c>
      <c r="T18" s="33">
        <v>27745.358542147864</v>
      </c>
      <c r="U18" s="34">
        <v>430.44977008159668</v>
      </c>
      <c r="V18" s="33">
        <v>27700.484856458152</v>
      </c>
      <c r="W18" s="34">
        <v>346.24519853813985</v>
      </c>
      <c r="X18" s="33">
        <v>27641.71118248492</v>
      </c>
      <c r="Y18" s="34">
        <v>265.70504237855818</v>
      </c>
      <c r="Z18" s="33">
        <v>27563.843950179449</v>
      </c>
      <c r="AA18" s="34">
        <v>190.7553106017119</v>
      </c>
      <c r="AB18" s="33">
        <v>27458.962345068805</v>
      </c>
      <c r="AC18" s="34">
        <v>124.19394463225169</v>
      </c>
      <c r="AD18" s="33">
        <v>27315.10855534035</v>
      </c>
      <c r="AE18" s="34">
        <v>69.725941590512278</v>
      </c>
      <c r="AF18" s="33">
        <v>27115.198583258094</v>
      </c>
      <c r="AG18" s="34">
        <v>31.145061092356936</v>
      </c>
      <c r="AH18" s="33">
        <v>26837.082894722451</v>
      </c>
      <c r="AI18" s="34">
        <v>9.7816601190206658</v>
      </c>
      <c r="AJ18" s="33">
        <v>26450.993401670206</v>
      </c>
      <c r="AK18" s="34">
        <v>1.773396179500434</v>
      </c>
      <c r="AL18" s="33">
        <v>25894.800828874282</v>
      </c>
      <c r="AM18" s="34">
        <v>0.12135963452335316</v>
      </c>
      <c r="AN18" s="33">
        <v>24953.918669353021</v>
      </c>
      <c r="AO18" s="34">
        <v>7.0813040421490803E-4</v>
      </c>
      <c r="AP18" s="33">
        <v>24655.888251541972</v>
      </c>
      <c r="AQ18" s="34">
        <v>1.1810165323823924E-4</v>
      </c>
      <c r="AR18" s="33">
        <v>24275.886964925307</v>
      </c>
      <c r="AS18" s="34">
        <v>1.0736152820230175E-5</v>
      </c>
      <c r="AT18" s="33"/>
      <c r="AU18" s="34"/>
      <c r="AV18" s="33"/>
      <c r="AW18" s="34"/>
    </row>
    <row r="19" spans="1:49" x14ac:dyDescent="0.2">
      <c r="A19" t="s">
        <v>3</v>
      </c>
      <c r="B19" s="41">
        <v>1886.3937399999966</v>
      </c>
      <c r="C19" s="42">
        <v>262.78711299999782</v>
      </c>
      <c r="D19" s="41">
        <v>1880.7222654069103</v>
      </c>
      <c r="E19" s="42">
        <v>272.52082361077004</v>
      </c>
      <c r="F19" s="41">
        <v>1874.8002471451557</v>
      </c>
      <c r="G19" s="42">
        <v>283.13852476828862</v>
      </c>
      <c r="H19" s="41">
        <v>1868.5978959604049</v>
      </c>
      <c r="I19" s="42">
        <v>294.6969250124846</v>
      </c>
      <c r="J19" s="41">
        <v>1862.0831336143333</v>
      </c>
      <c r="K19" s="42">
        <v>307.24098283175186</v>
      </c>
      <c r="L19" s="41">
        <v>1855.2226477777363</v>
      </c>
      <c r="M19" s="42">
        <v>320.79186821926226</v>
      </c>
      <c r="N19" s="41">
        <v>1847.9829157770421</v>
      </c>
      <c r="O19" s="42">
        <v>335.32968119258834</v>
      </c>
      <c r="P19" s="41">
        <v>1840.3329194011353</v>
      </c>
      <c r="Q19" s="42">
        <v>350.76373970492824</v>
      </c>
      <c r="R19" s="41">
        <v>1832.2486531170427</v>
      </c>
      <c r="S19" s="42">
        <v>366.88513959002108</v>
      </c>
      <c r="T19" s="41">
        <v>1823.7203109280883</v>
      </c>
      <c r="U19" s="42">
        <v>383.28974212026975</v>
      </c>
      <c r="V19" s="41">
        <v>1814.7652002082157</v>
      </c>
      <c r="W19" s="42">
        <v>399.25075273059861</v>
      </c>
      <c r="X19" s="41">
        <v>1805.4486462452764</v>
      </c>
      <c r="Y19" s="42">
        <v>413.51037057159016</v>
      </c>
      <c r="Z19" s="41">
        <v>1795.9159831674142</v>
      </c>
      <c r="AA19" s="42">
        <v>423.94863488996356</v>
      </c>
      <c r="AB19" s="41">
        <v>1786.4321140089392</v>
      </c>
      <c r="AC19" s="42">
        <v>427.11265997623599</v>
      </c>
      <c r="AD19" s="41">
        <v>1777.3872480791365</v>
      </c>
      <c r="AE19" s="42">
        <v>417.78298576786312</v>
      </c>
      <c r="AF19" s="41">
        <v>1769.102569809548</v>
      </c>
      <c r="AG19" s="42">
        <v>389.43632819398948</v>
      </c>
      <c r="AH19" s="41">
        <v>1761.0659393431101</v>
      </c>
      <c r="AI19" s="42">
        <v>337.39878489855244</v>
      </c>
      <c r="AJ19" s="41">
        <v>1750.4410050271924</v>
      </c>
      <c r="AK19" s="42">
        <v>264.05805230928883</v>
      </c>
      <c r="AL19" s="41">
        <v>1730.1471975484978</v>
      </c>
      <c r="AM19" s="42">
        <v>178.6249279658372</v>
      </c>
      <c r="AN19" s="41">
        <v>1681.115157213922</v>
      </c>
      <c r="AO19" s="42">
        <v>89.512991542138209</v>
      </c>
      <c r="AP19" s="41">
        <v>1662.6313702873722</v>
      </c>
      <c r="AQ19" s="42">
        <v>71.61288209678338</v>
      </c>
      <c r="AR19" s="41">
        <v>1637.5162643039478</v>
      </c>
      <c r="AS19" s="42">
        <v>53.710195759769434</v>
      </c>
      <c r="AT19" s="41"/>
      <c r="AU19" s="42"/>
      <c r="AV19" s="41"/>
      <c r="AW19" s="42"/>
    </row>
    <row r="20" spans="1:49" x14ac:dyDescent="0.2">
      <c r="A20" t="s">
        <v>127</v>
      </c>
      <c r="B20" s="82">
        <v>26548.356269999993</v>
      </c>
      <c r="C20" s="83">
        <v>1408.5418709999938</v>
      </c>
      <c r="D20" s="82">
        <v>26530.710856727699</v>
      </c>
      <c r="E20" s="83">
        <v>1338.1147774499941</v>
      </c>
      <c r="F20" s="82">
        <v>26510.196946725286</v>
      </c>
      <c r="G20" s="83">
        <v>1267.6876838999945</v>
      </c>
      <c r="H20" s="82">
        <v>26486.484538813405</v>
      </c>
      <c r="I20" s="83">
        <v>1197.2605903499946</v>
      </c>
      <c r="J20" s="82">
        <v>26459.178699257867</v>
      </c>
      <c r="K20" s="83">
        <v>1126.8334967999951</v>
      </c>
      <c r="L20" s="82">
        <v>26427.806168748124</v>
      </c>
      <c r="M20" s="83">
        <v>1056.4064032499953</v>
      </c>
      <c r="N20" s="82">
        <v>26391.784910122868</v>
      </c>
      <c r="O20" s="83">
        <v>985.97930969999561</v>
      </c>
      <c r="P20" s="82">
        <v>26350.39101745985</v>
      </c>
      <c r="Q20" s="83">
        <v>915.55221614999596</v>
      </c>
      <c r="R20" s="82">
        <v>26302.707341343172</v>
      </c>
      <c r="S20" s="83">
        <v>845.12512259999642</v>
      </c>
      <c r="T20" s="82">
        <v>26247.540785372974</v>
      </c>
      <c r="U20" s="83">
        <v>774.69802904999653</v>
      </c>
      <c r="V20" s="82">
        <v>26183.302441356456</v>
      </c>
      <c r="W20" s="83">
        <v>704.27093549999688</v>
      </c>
      <c r="X20" s="82">
        <v>26107.811576055308</v>
      </c>
      <c r="Y20" s="83">
        <v>633.84384194999723</v>
      </c>
      <c r="Z20" s="82">
        <v>26017.971675109402</v>
      </c>
      <c r="AA20" s="83">
        <v>563.41674839999746</v>
      </c>
      <c r="AB20" s="82">
        <v>25909.228283433655</v>
      </c>
      <c r="AC20" s="83">
        <v>492.98965484999781</v>
      </c>
      <c r="AD20" s="82">
        <v>25774.649065283393</v>
      </c>
      <c r="AE20" s="83">
        <v>422.56256129999804</v>
      </c>
      <c r="AF20" s="82">
        <v>25603.356132198805</v>
      </c>
      <c r="AG20" s="83">
        <v>352.13546774999821</v>
      </c>
      <c r="AH20" s="82">
        <v>25377.60022730922</v>
      </c>
      <c r="AI20" s="83">
        <v>281.70837419999856</v>
      </c>
      <c r="AJ20" s="82">
        <v>25065.497316829347</v>
      </c>
      <c r="AK20" s="83">
        <v>211.28128064999879</v>
      </c>
      <c r="AL20" s="82">
        <v>24597.019778850638</v>
      </c>
      <c r="AM20" s="83">
        <v>140.85418709999902</v>
      </c>
      <c r="AN20" s="82">
        <v>23751.625580516633</v>
      </c>
      <c r="AO20" s="83">
        <v>70.427093549999285</v>
      </c>
      <c r="AP20" s="82">
        <v>23473.481201842766</v>
      </c>
      <c r="AQ20" s="83">
        <v>56.341674839999328</v>
      </c>
      <c r="AR20" s="82">
        <v>23113.46852115641</v>
      </c>
      <c r="AS20" s="83">
        <v>42.256256129999379</v>
      </c>
      <c r="AT20" s="82"/>
      <c r="AU20" s="83"/>
      <c r="AV20" s="82"/>
      <c r="AW20" s="83"/>
    </row>
    <row r="21" spans="1:49" x14ac:dyDescent="0.2">
      <c r="A21" t="s">
        <v>76</v>
      </c>
      <c r="B21" s="82">
        <v>24661.96252999999</v>
      </c>
      <c r="C21" s="83">
        <v>1145.7547579999916</v>
      </c>
      <c r="D21" s="82">
        <v>24649.991380678097</v>
      </c>
      <c r="E21" s="83">
        <v>1065.7505053739808</v>
      </c>
      <c r="F21" s="82">
        <v>24635.407997476908</v>
      </c>
      <c r="G21" s="83">
        <v>985.21548550278078</v>
      </c>
      <c r="H21" s="82">
        <v>24617.912409710152</v>
      </c>
      <c r="I21" s="83">
        <v>904.16168206657915</v>
      </c>
      <c r="J21" s="82">
        <v>24597.142033904016</v>
      </c>
      <c r="K21" s="83">
        <v>822.6255630377417</v>
      </c>
      <c r="L21" s="82">
        <v>24572.657200123813</v>
      </c>
      <c r="M21" s="83">
        <v>740.68162745194468</v>
      </c>
      <c r="N21" s="82">
        <v>24543.909623989784</v>
      </c>
      <c r="O21" s="83">
        <v>658.4606169387589</v>
      </c>
      <c r="P21" s="82">
        <v>24510.206503811289</v>
      </c>
      <c r="Q21" s="83">
        <v>576.17843970038791</v>
      </c>
      <c r="R21" s="82">
        <v>24470.65446303401</v>
      </c>
      <c r="S21" s="83">
        <v>494.17913529601583</v>
      </c>
      <c r="T21" s="82">
        <v>24424.069356912518</v>
      </c>
      <c r="U21" s="83">
        <v>412.99968257195331</v>
      </c>
      <c r="V21" s="82">
        <v>24368.842978740435</v>
      </c>
      <c r="W21" s="83">
        <v>333.46911126195567</v>
      </c>
      <c r="X21" s="82">
        <v>24302.725303512718</v>
      </c>
      <c r="Y21" s="83">
        <v>256.85606513210951</v>
      </c>
      <c r="Z21" s="82">
        <v>24222.467291055254</v>
      </c>
      <c r="AA21" s="83">
        <v>185.07539603521593</v>
      </c>
      <c r="AB21" s="82">
        <v>24123.237710711834</v>
      </c>
      <c r="AC21" s="83">
        <v>120.92062161730586</v>
      </c>
      <c r="AD21" s="82">
        <v>23997.69725125374</v>
      </c>
      <c r="AE21" s="83">
        <v>68.113634066767617</v>
      </c>
      <c r="AF21" s="82">
        <v>23834.630741370234</v>
      </c>
      <c r="AG21" s="83">
        <v>30.51536125938317</v>
      </c>
      <c r="AH21" s="82">
        <v>23616.802456386675</v>
      </c>
      <c r="AI21" s="83">
        <v>9.6069580336346494</v>
      </c>
      <c r="AJ21" s="82">
        <v>23315.19891845078</v>
      </c>
      <c r="AK21" s="83">
        <v>1.7445736345085001</v>
      </c>
      <c r="AL21" s="82">
        <v>22866.920489677457</v>
      </c>
      <c r="AM21" s="83">
        <v>0.11948714019079837</v>
      </c>
      <c r="AN21" s="82">
        <v>22070.517292370747</v>
      </c>
      <c r="AO21" s="83">
        <v>6.9737576279554697E-4</v>
      </c>
      <c r="AP21" s="82">
        <v>21810.854331989813</v>
      </c>
      <c r="AQ21" s="83">
        <v>1.1630913771916774E-4</v>
      </c>
      <c r="AR21" s="82">
        <v>21475.956056000261</v>
      </c>
      <c r="AS21" s="83">
        <v>1.0573259957341522E-5</v>
      </c>
      <c r="AT21" s="82"/>
      <c r="AU21" s="83"/>
      <c r="AV21" s="82"/>
      <c r="AW21" s="83"/>
    </row>
    <row r="22" spans="1:49" x14ac:dyDescent="0.2">
      <c r="A22" t="s">
        <v>28</v>
      </c>
      <c r="B22" s="41">
        <v>6533.6044688320717</v>
      </c>
      <c r="C22" s="42">
        <v>379.90788307663411</v>
      </c>
      <c r="D22" s="41">
        <v>6533.8767014149089</v>
      </c>
      <c r="E22" s="42">
        <v>370.81533196461493</v>
      </c>
      <c r="F22" s="41">
        <v>6533.239611229943</v>
      </c>
      <c r="G22" s="42">
        <v>361.37709087786288</v>
      </c>
      <c r="H22" s="41">
        <v>6531.5839037480264</v>
      </c>
      <c r="I22" s="42">
        <v>351.5671243591799</v>
      </c>
      <c r="J22" s="41">
        <v>6528.7785473985559</v>
      </c>
      <c r="K22" s="42">
        <v>341.35423931136273</v>
      </c>
      <c r="L22" s="41">
        <v>6524.6668057585066</v>
      </c>
      <c r="M22" s="42">
        <v>330.7008448973283</v>
      </c>
      <c r="N22" s="41">
        <v>6519.0559157846592</v>
      </c>
      <c r="O22" s="42">
        <v>319.56003903065061</v>
      </c>
      <c r="P22" s="41">
        <v>6511.7066211115107</v>
      </c>
      <c r="Q22" s="42">
        <v>307.87239431066365</v>
      </c>
      <c r="R22" s="41">
        <v>6502.3169007211527</v>
      </c>
      <c r="S22" s="42">
        <v>295.56085069482174</v>
      </c>
      <c r="T22" s="41">
        <v>6490.494467718755</v>
      </c>
      <c r="U22" s="42">
        <v>282.52286137102794</v>
      </c>
      <c r="V22" s="41">
        <v>6475.7180563595703</v>
      </c>
      <c r="W22" s="42">
        <v>268.61912083390092</v>
      </c>
      <c r="X22" s="41">
        <v>6457.2720926152324</v>
      </c>
      <c r="Y22" s="42">
        <v>253.65658269788975</v>
      </c>
      <c r="Z22" s="41">
        <v>6434.1340272508132</v>
      </c>
      <c r="AA22" s="42">
        <v>237.36433553804534</v>
      </c>
      <c r="AB22" s="41">
        <v>6404.7745283659742</v>
      </c>
      <c r="AC22" s="42">
        <v>219.36437118754714</v>
      </c>
      <c r="AD22" s="41">
        <v>6366.7805256611955</v>
      </c>
      <c r="AE22" s="42">
        <v>199.15436907416091</v>
      </c>
      <c r="AF22" s="41">
        <v>6316.1116961835323</v>
      </c>
      <c r="AG22" s="42">
        <v>176.15779357323925</v>
      </c>
      <c r="AH22" s="41">
        <v>6245.5491305528531</v>
      </c>
      <c r="AI22" s="42">
        <v>149.91258990255679</v>
      </c>
      <c r="AJ22" s="41">
        <v>6141.0261818536137</v>
      </c>
      <c r="AK22" s="42">
        <v>120.24392599083045</v>
      </c>
      <c r="AL22" s="41">
        <v>5970.1696094107128</v>
      </c>
      <c r="AM22" s="42">
        <v>86.929194073385375</v>
      </c>
      <c r="AN22" s="41">
        <v>5624.4660688211352</v>
      </c>
      <c r="AO22" s="42">
        <v>48.744470567914291</v>
      </c>
      <c r="AP22" s="41">
        <v>5500.5774753156411</v>
      </c>
      <c r="AQ22" s="42">
        <v>40.237245491178093</v>
      </c>
      <c r="AR22" s="41">
        <v>5332.5450096487293</v>
      </c>
      <c r="AS22" s="42">
        <v>31.306522797755015</v>
      </c>
      <c r="AT22" s="41"/>
      <c r="AU22" s="42"/>
      <c r="AV22" s="41"/>
      <c r="AW22" s="42"/>
    </row>
    <row r="23" spans="1:49" x14ac:dyDescent="0.2">
      <c r="A23" t="s">
        <v>7</v>
      </c>
      <c r="B23" s="116">
        <v>3278.5018080150408</v>
      </c>
      <c r="C23" s="8">
        <v>0</v>
      </c>
      <c r="D23" s="116">
        <v>3281.5490050280637</v>
      </c>
      <c r="E23" s="8">
        <v>0</v>
      </c>
      <c r="F23" s="116">
        <v>3284.3611991412481</v>
      </c>
      <c r="G23" s="8">
        <v>0</v>
      </c>
      <c r="H23" s="116">
        <v>3286.9124645872339</v>
      </c>
      <c r="I23" s="8">
        <v>0</v>
      </c>
      <c r="J23" s="116">
        <v>3289.1722142909143</v>
      </c>
      <c r="K23" s="8">
        <v>0</v>
      </c>
      <c r="L23" s="116">
        <v>3291.1053431753544</v>
      </c>
      <c r="M23" s="8">
        <v>0</v>
      </c>
      <c r="N23" s="116">
        <v>3292.6700402828656</v>
      </c>
      <c r="O23" s="8">
        <v>0</v>
      </c>
      <c r="P23" s="116">
        <v>3293.8171404267418</v>
      </c>
      <c r="Q23" s="8">
        <v>0</v>
      </c>
      <c r="R23" s="116">
        <v>3294.4889169667081</v>
      </c>
      <c r="S23" s="8">
        <v>0</v>
      </c>
      <c r="T23" s="116">
        <v>3294.616679109904</v>
      </c>
      <c r="U23" s="8">
        <v>0</v>
      </c>
      <c r="V23" s="116">
        <v>3294.1197928844458</v>
      </c>
      <c r="W23" s="8">
        <v>0</v>
      </c>
      <c r="X23" s="116">
        <v>3292.9045587297378</v>
      </c>
      <c r="Y23" s="8">
        <v>0</v>
      </c>
      <c r="Z23" s="116">
        <v>3290.8637763785314</v>
      </c>
      <c r="AA23" s="8">
        <v>0</v>
      </c>
      <c r="AB23" s="116">
        <v>3287.8768693571155</v>
      </c>
      <c r="AC23" s="8">
        <v>0</v>
      </c>
      <c r="AD23" s="116">
        <v>3283.7996276467939</v>
      </c>
      <c r="AE23" s="8">
        <v>0</v>
      </c>
      <c r="AF23" s="116">
        <v>3278.3941977963982</v>
      </c>
      <c r="AG23" s="8">
        <v>0</v>
      </c>
      <c r="AH23" s="116">
        <v>3271.0672434721378</v>
      </c>
      <c r="AI23" s="8">
        <v>0</v>
      </c>
      <c r="AJ23" s="116">
        <v>3260.3197968030054</v>
      </c>
      <c r="AK23" s="8">
        <v>0</v>
      </c>
      <c r="AL23" s="116">
        <v>3243.164265984843</v>
      </c>
      <c r="AM23" s="8">
        <v>0</v>
      </c>
      <c r="AN23" s="116">
        <v>3215.1723015405987</v>
      </c>
      <c r="AO23" s="8">
        <v>0</v>
      </c>
      <c r="AP23" s="116">
        <v>3208.3020518222634</v>
      </c>
      <c r="AQ23" s="8">
        <v>0</v>
      </c>
      <c r="AR23" s="116">
        <v>3201.9096773923484</v>
      </c>
      <c r="AS23" s="8">
        <v>0</v>
      </c>
      <c r="AT23" s="116"/>
      <c r="AU23" s="8"/>
      <c r="AV23" s="116"/>
      <c r="AW23" s="8"/>
    </row>
    <row r="24" spans="1:49" x14ac:dyDescent="0.2">
      <c r="A24" t="s">
        <v>8</v>
      </c>
      <c r="B24" s="97">
        <v>3196.3846373657216</v>
      </c>
      <c r="C24" s="8">
        <v>0</v>
      </c>
      <c r="D24" s="97">
        <v>3199.3555130368832</v>
      </c>
      <c r="E24" s="8">
        <v>0</v>
      </c>
      <c r="F24" s="97">
        <v>3202.0972699952126</v>
      </c>
      <c r="G24" s="8">
        <v>0</v>
      </c>
      <c r="H24" s="97">
        <v>3204.5846306257604</v>
      </c>
      <c r="I24" s="8">
        <v>0</v>
      </c>
      <c r="J24" s="97">
        <v>3206.7877812767142</v>
      </c>
      <c r="K24" s="8">
        <v>0</v>
      </c>
      <c r="L24" s="97">
        <v>3208.6724893205023</v>
      </c>
      <c r="M24" s="8">
        <v>0</v>
      </c>
      <c r="N24" s="97">
        <v>3210.1979948600424</v>
      </c>
      <c r="O24" s="8">
        <v>0</v>
      </c>
      <c r="P24" s="97">
        <v>3211.3163643136031</v>
      </c>
      <c r="Q24" s="8">
        <v>0</v>
      </c>
      <c r="R24" s="97">
        <v>3211.9713145292048</v>
      </c>
      <c r="S24" s="8">
        <v>0</v>
      </c>
      <c r="T24" s="97">
        <v>3212.0958766007689</v>
      </c>
      <c r="U24" s="8">
        <v>0</v>
      </c>
      <c r="V24" s="97">
        <v>3211.6114361897066</v>
      </c>
      <c r="W24" s="8">
        <v>0</v>
      </c>
      <c r="X24" s="97">
        <v>3210.4266401772825</v>
      </c>
      <c r="Y24" s="8">
        <v>0</v>
      </c>
      <c r="Z24" s="97">
        <v>3208.4369734511743</v>
      </c>
      <c r="AA24" s="8">
        <v>0</v>
      </c>
      <c r="AB24" s="97">
        <v>3205.5248799853325</v>
      </c>
      <c r="AC24" s="8">
        <v>0</v>
      </c>
      <c r="AD24" s="97">
        <v>3201.5497616442153</v>
      </c>
      <c r="AE24" s="8">
        <v>0</v>
      </c>
      <c r="AF24" s="97">
        <v>3196.2797224828591</v>
      </c>
      <c r="AG24" s="8">
        <v>0</v>
      </c>
      <c r="AH24" s="97">
        <v>3189.1362875721411</v>
      </c>
      <c r="AI24" s="8">
        <v>0</v>
      </c>
      <c r="AJ24" s="97">
        <v>3178.6580339596117</v>
      </c>
      <c r="AK24" s="8">
        <v>0</v>
      </c>
      <c r="AL24" s="97">
        <v>3161.9322005266199</v>
      </c>
      <c r="AM24" s="8">
        <v>0</v>
      </c>
      <c r="AN24" s="97">
        <v>3134.6391213809743</v>
      </c>
      <c r="AO24" s="8">
        <v>0</v>
      </c>
      <c r="AP24" s="97">
        <v>3127.9431859403026</v>
      </c>
      <c r="AQ24" s="8">
        <v>0</v>
      </c>
      <c r="AR24" s="97">
        <v>3121.7109223575526</v>
      </c>
      <c r="AS24" s="8">
        <v>0</v>
      </c>
      <c r="AT24" s="97"/>
      <c r="AU24" s="8"/>
      <c r="AV24" s="97"/>
      <c r="AW24" s="8"/>
    </row>
    <row r="25" spans="1:49" x14ac:dyDescent="0.2">
      <c r="A25" t="s">
        <v>0</v>
      </c>
      <c r="B25" s="41">
        <v>3195.0476040000012</v>
      </c>
      <c r="C25" s="42">
        <v>91.012690000004255</v>
      </c>
      <c r="D25" s="41">
        <v>3209.6679728486847</v>
      </c>
      <c r="E25" s="42">
        <v>80.177065707942148</v>
      </c>
      <c r="F25" s="41">
        <v>3224.2477027495911</v>
      </c>
      <c r="G25" s="42">
        <v>69.913994012558021</v>
      </c>
      <c r="H25" s="41">
        <v>3238.7772573619491</v>
      </c>
      <c r="I25" s="42">
        <v>60.248712905121572</v>
      </c>
      <c r="J25" s="41">
        <v>3253.231281954927</v>
      </c>
      <c r="K25" s="42">
        <v>51.207120386074514</v>
      </c>
      <c r="L25" s="41">
        <v>3267.5588425789861</v>
      </c>
      <c r="M25" s="42">
        <v>42.815600787544497</v>
      </c>
      <c r="N25" s="41">
        <v>3281.6665552440732</v>
      </c>
      <c r="O25" s="42">
        <v>35.101439448558608</v>
      </c>
      <c r="P25" s="41">
        <v>3295.3932439951109</v>
      </c>
      <c r="Q25" s="42">
        <v>28.092778975870704</v>
      </c>
      <c r="R25" s="41">
        <v>3308.4689051035934</v>
      </c>
      <c r="S25" s="42">
        <v>21.818655002868507</v>
      </c>
      <c r="T25" s="41">
        <v>3320.4483524667453</v>
      </c>
      <c r="U25" s="42">
        <v>16.309002095192444</v>
      </c>
      <c r="V25" s="41">
        <v>3330.6037674386744</v>
      </c>
      <c r="W25" s="42">
        <v>11.593836607374339</v>
      </c>
      <c r="X25" s="41">
        <v>3337.7498093936847</v>
      </c>
      <c r="Y25" s="42">
        <v>7.7011956975106122</v>
      </c>
      <c r="Z25" s="41">
        <v>3339.9674074131553</v>
      </c>
      <c r="AA25" s="42">
        <v>4.6519255132426727</v>
      </c>
      <c r="AB25" s="41">
        <v>3334.2094666246412</v>
      </c>
      <c r="AC25" s="42">
        <v>2.4476286674669434</v>
      </c>
      <c r="AD25" s="41">
        <v>3315.9174932328483</v>
      </c>
      <c r="AE25" s="42">
        <v>1.0462660522453728</v>
      </c>
      <c r="AF25" s="41">
        <v>3279.2791132556658</v>
      </c>
      <c r="AG25" s="42">
        <v>0.32495696252451323</v>
      </c>
      <c r="AH25" s="41">
        <v>3219.3721400260106</v>
      </c>
      <c r="AI25" s="42">
        <v>6.1669986897390172E-2</v>
      </c>
      <c r="AJ25" s="41">
        <v>3135.3176271642637</v>
      </c>
      <c r="AK25" s="42">
        <v>5.3944981158010972E-3</v>
      </c>
      <c r="AL25" s="41">
        <v>3027.7224662758517</v>
      </c>
      <c r="AM25" s="42">
        <v>1.175647133569026E-4</v>
      </c>
      <c r="AN25" s="41">
        <v>2883.3790254647079</v>
      </c>
      <c r="AO25" s="42">
        <v>7.404978120051327E-8</v>
      </c>
      <c r="AP25" s="41">
        <v>2845.0192969162304</v>
      </c>
      <c r="AQ25" s="42">
        <v>5.6388673004212921E-9</v>
      </c>
      <c r="AR25" s="41">
        <v>2799.9185707666393</v>
      </c>
      <c r="AS25" s="42">
        <v>1.7846426478476287E-10</v>
      </c>
      <c r="AT25" s="41"/>
      <c r="AU25" s="42"/>
      <c r="AV25" s="41"/>
      <c r="AW25" s="42"/>
    </row>
    <row r="26" spans="1:49" x14ac:dyDescent="0.2">
      <c r="A26" t="s">
        <v>27</v>
      </c>
      <c r="B26" s="33">
        <v>5036.2953101960647</v>
      </c>
      <c r="C26" s="34">
        <v>74.905331803938267</v>
      </c>
      <c r="D26" s="33">
        <v>5041.370336564999</v>
      </c>
      <c r="E26" s="34">
        <v>69.830305435003496</v>
      </c>
      <c r="F26" s="33">
        <v>5046.4744761658967</v>
      </c>
      <c r="G26" s="34">
        <v>64.72616583411228</v>
      </c>
      <c r="H26" s="33">
        <v>5051.6100900141073</v>
      </c>
      <c r="I26" s="34">
        <v>59.590551985897555</v>
      </c>
      <c r="J26" s="33">
        <v>5056.7786000201531</v>
      </c>
      <c r="K26" s="34">
        <v>54.422041979856182</v>
      </c>
      <c r="L26" s="33">
        <v>5061.9800305783183</v>
      </c>
      <c r="M26" s="34">
        <v>49.220611421683849</v>
      </c>
      <c r="N26" s="33">
        <v>5067.2116408450693</v>
      </c>
      <c r="O26" s="34">
        <v>43.989001154934947</v>
      </c>
      <c r="P26" s="33">
        <v>5072.4663602531373</v>
      </c>
      <c r="Q26" s="34">
        <v>38.734281746867893</v>
      </c>
      <c r="R26" s="33">
        <v>5077.7301370490068</v>
      </c>
      <c r="S26" s="34">
        <v>33.470504950998524</v>
      </c>
      <c r="T26" s="33">
        <v>5082.9775460902983</v>
      </c>
      <c r="U26" s="34">
        <v>28.223095909707304</v>
      </c>
      <c r="V26" s="33">
        <v>5088.1651984885666</v>
      </c>
      <c r="W26" s="34">
        <v>23.035443511439272</v>
      </c>
      <c r="X26" s="33">
        <v>5093.2212566829185</v>
      </c>
      <c r="Y26" s="34">
        <v>17.979385317085509</v>
      </c>
      <c r="Z26" s="33">
        <v>5098.0297707360551</v>
      </c>
      <c r="AA26" s="34">
        <v>13.17087126394946</v>
      </c>
      <c r="AB26" s="33">
        <v>5102.410756747332</v>
      </c>
      <c r="AC26" s="34">
        <v>8.7898852526724518</v>
      </c>
      <c r="AD26" s="33">
        <v>5106.1079595041138</v>
      </c>
      <c r="AE26" s="34">
        <v>5.0926824958878081</v>
      </c>
      <c r="AF26" s="33">
        <v>5108.8288517868259</v>
      </c>
      <c r="AG26" s="34">
        <v>2.3717902131848541</v>
      </c>
      <c r="AH26" s="33">
        <v>5110.4113975671844</v>
      </c>
      <c r="AI26" s="34">
        <v>0.78924443281985535</v>
      </c>
      <c r="AJ26" s="33">
        <v>5111.0450084849936</v>
      </c>
      <c r="AK26" s="34">
        <v>0.15563351500974767</v>
      </c>
      <c r="AL26" s="33">
        <v>5111.188471483345</v>
      </c>
      <c r="AM26" s="34">
        <v>1.2170516655393437E-2</v>
      </c>
      <c r="AN26" s="33">
        <v>5111.2005495035828</v>
      </c>
      <c r="AO26" s="34">
        <v>9.2496424068078467E-5</v>
      </c>
      <c r="AP26" s="33">
        <v>5111.2006250476261</v>
      </c>
      <c r="AQ26" s="34">
        <v>1.6952377278262918E-5</v>
      </c>
      <c r="AR26" s="33">
        <v>5111.2006402488187</v>
      </c>
      <c r="AS26" s="34">
        <v>1.7511841350169936E-6</v>
      </c>
      <c r="AT26" s="33"/>
      <c r="AU26" s="34"/>
      <c r="AV26" s="33"/>
      <c r="AW26" s="34"/>
    </row>
    <row r="27" spans="1:49" x14ac:dyDescent="0.2">
      <c r="A27" t="s">
        <v>2</v>
      </c>
      <c r="B27" s="35">
        <v>6425.1981589998131</v>
      </c>
      <c r="C27" s="36">
        <v>273.22915400000056</v>
      </c>
      <c r="D27" s="35">
        <v>6443.476491747625</v>
      </c>
      <c r="E27" s="36">
        <v>254.95086794186568</v>
      </c>
      <c r="F27" s="35">
        <v>6461.8939494809601</v>
      </c>
      <c r="G27" s="36">
        <v>236.53342133512618</v>
      </c>
      <c r="H27" s="35">
        <v>6480.4596780949887</v>
      </c>
      <c r="I27" s="36">
        <v>217.96763734536344</v>
      </c>
      <c r="J27" s="35">
        <v>6499.1794065462063</v>
      </c>
      <c r="K27" s="36">
        <v>199.24793473802382</v>
      </c>
      <c r="L27" s="35">
        <v>6518.0539770173364</v>
      </c>
      <c r="M27" s="36">
        <v>180.3733399886336</v>
      </c>
      <c r="N27" s="35">
        <v>6537.0740408210904</v>
      </c>
      <c r="O27" s="36">
        <v>161.35327898119812</v>
      </c>
      <c r="P27" s="35">
        <v>6556.2143607561939</v>
      </c>
      <c r="Q27" s="36">
        <v>142.21295507199881</v>
      </c>
      <c r="R27" s="35">
        <v>6575.4242630022036</v>
      </c>
      <c r="S27" s="36">
        <v>123.00307339139161</v>
      </c>
      <c r="T27" s="35">
        <v>6594.6107516745569</v>
      </c>
      <c r="U27" s="36">
        <v>103.81658746319974</v>
      </c>
      <c r="V27" s="35">
        <v>6613.6143780780085</v>
      </c>
      <c r="W27" s="36">
        <v>84.812942182922313</v>
      </c>
      <c r="X27" s="35">
        <v>6632.1701329135039</v>
      </c>
      <c r="Y27" s="36">
        <v>66.257202307599286</v>
      </c>
      <c r="Z27" s="35">
        <v>6649.8486247139181</v>
      </c>
      <c r="AA27" s="36">
        <v>48.578687166410603</v>
      </c>
      <c r="AB27" s="35">
        <v>6665.9818370579733</v>
      </c>
      <c r="AC27" s="36">
        <v>32.445466436562725</v>
      </c>
      <c r="AD27" s="35">
        <v>6679.6166543574027</v>
      </c>
      <c r="AE27" s="36">
        <v>18.810658119108279</v>
      </c>
      <c r="AF27" s="35">
        <v>6689.6624658586434</v>
      </c>
      <c r="AG27" s="36">
        <v>8.7648455650190495</v>
      </c>
      <c r="AH27" s="35">
        <v>6695.5098732317938</v>
      </c>
      <c r="AI27" s="36">
        <v>2.9174419466102552</v>
      </c>
      <c r="AJ27" s="35">
        <v>6697.8519495586952</v>
      </c>
      <c r="AK27" s="36">
        <v>0.57536416598761497</v>
      </c>
      <c r="AL27" s="35">
        <v>6698.3823184311959</v>
      </c>
      <c r="AM27" s="36">
        <v>4.4994514843596782E-2</v>
      </c>
      <c r="AN27" s="35">
        <v>6698.4269710423932</v>
      </c>
      <c r="AO27" s="36">
        <v>3.4196098375929818E-4</v>
      </c>
      <c r="AP27" s="35">
        <v>6698.4272503268821</v>
      </c>
      <c r="AQ27" s="36">
        <v>6.2673265152536661E-5</v>
      </c>
      <c r="AR27" s="35">
        <v>6698.4273065720081</v>
      </c>
      <c r="AS27" s="36">
        <v>6.4741585944982334E-6</v>
      </c>
      <c r="AT27" s="35"/>
      <c r="AU27" s="36"/>
      <c r="AV27" s="35"/>
      <c r="AW27" s="36"/>
    </row>
    <row r="28" spans="1:49" x14ac:dyDescent="0.2">
      <c r="A28" t="s">
        <v>35</v>
      </c>
      <c r="B28" s="41">
        <v>13763.097675999827</v>
      </c>
      <c r="C28" s="42">
        <v>382.36647900000054</v>
      </c>
      <c r="D28" s="41">
        <v>13788.760724101872</v>
      </c>
      <c r="E28" s="42">
        <v>356.69376016331779</v>
      </c>
      <c r="F28" s="41">
        <v>13814.585828146532</v>
      </c>
      <c r="G28" s="42">
        <v>330.8392865048412</v>
      </c>
      <c r="H28" s="41">
        <v>13840.585159935023</v>
      </c>
      <c r="I28" s="42">
        <v>304.79048386268295</v>
      </c>
      <c r="J28" s="41">
        <v>13866.766080676362</v>
      </c>
      <c r="K28" s="42">
        <v>278.53974271523072</v>
      </c>
      <c r="L28" s="41">
        <v>13893.129028499856</v>
      </c>
      <c r="M28" s="42">
        <v>252.0861003639742</v>
      </c>
      <c r="N28" s="41">
        <v>13919.660282105786</v>
      </c>
      <c r="O28" s="42">
        <v>225.44302348459328</v>
      </c>
      <c r="P28" s="41">
        <v>13946.324081412944</v>
      </c>
      <c r="Q28" s="42">
        <v>198.6460666919522</v>
      </c>
      <c r="R28" s="41">
        <v>13973.049383380227</v>
      </c>
      <c r="S28" s="42">
        <v>171.76646058019955</v>
      </c>
      <c r="T28" s="41">
        <v>13999.70688034014</v>
      </c>
      <c r="U28" s="42">
        <v>144.93425350234475</v>
      </c>
      <c r="V28" s="41">
        <v>14026.075749906164</v>
      </c>
      <c r="W28" s="42">
        <v>118.37215457368903</v>
      </c>
      <c r="X28" s="41">
        <v>14051.790070244026</v>
      </c>
      <c r="Y28" s="42">
        <v>92.449931314958491</v>
      </c>
      <c r="Z28" s="41">
        <v>14076.258426089071</v>
      </c>
      <c r="AA28" s="42">
        <v>67.765851821950093</v>
      </c>
      <c r="AB28" s="41">
        <v>14098.562311638674</v>
      </c>
      <c r="AC28" s="42">
        <v>45.250185948631518</v>
      </c>
      <c r="AD28" s="41">
        <v>14117.393162136254</v>
      </c>
      <c r="AE28" s="42">
        <v>26.229310042980011</v>
      </c>
      <c r="AF28" s="41">
        <v>14131.256154989534</v>
      </c>
      <c r="AG28" s="42">
        <v>12.219846306054247</v>
      </c>
      <c r="AH28" s="41">
        <v>14139.321104454531</v>
      </c>
      <c r="AI28" s="42">
        <v>4.067128583513103</v>
      </c>
      <c r="AJ28" s="41">
        <v>14142.550484200918</v>
      </c>
      <c r="AK28" s="42">
        <v>0.80207354909059614</v>
      </c>
      <c r="AL28" s="41">
        <v>14143.281714273058</v>
      </c>
      <c r="AM28" s="42">
        <v>6.2723138864625286E-2</v>
      </c>
      <c r="AN28" s="41">
        <v>14143.343276476937</v>
      </c>
      <c r="AO28" s="42">
        <v>4.7669924031605305E-4</v>
      </c>
      <c r="AP28" s="41">
        <v>14143.343661525078</v>
      </c>
      <c r="AQ28" s="42">
        <v>8.7367557556522956E-5</v>
      </c>
      <c r="AR28" s="41">
        <v>14143.343739051183</v>
      </c>
      <c r="AS28" s="42">
        <v>9.0250842256107057E-6</v>
      </c>
      <c r="AT28" s="41"/>
      <c r="AU28" s="42"/>
      <c r="AV28" s="41"/>
      <c r="AW28" s="42"/>
    </row>
    <row r="29" spans="1:49" x14ac:dyDescent="0.2">
      <c r="A29" t="s">
        <v>53</v>
      </c>
      <c r="B29" s="35">
        <v>14362.768558000018</v>
      </c>
      <c r="C29" s="36">
        <v>817.26651000000095</v>
      </c>
      <c r="D29" s="35">
        <v>14364.035225458525</v>
      </c>
      <c r="E29" s="36">
        <v>753.70795512067502</v>
      </c>
      <c r="F29" s="35">
        <v>14363.940513306499</v>
      </c>
      <c r="G29" s="36">
        <v>690.57058885220567</v>
      </c>
      <c r="H29" s="35">
        <v>14362.325136437905</v>
      </c>
      <c r="I29" s="36">
        <v>627.90283895833818</v>
      </c>
      <c r="J29" s="35">
        <v>14358.98947640446</v>
      </c>
      <c r="K29" s="36">
        <v>565.77347395583217</v>
      </c>
      <c r="L29" s="35">
        <v>14353.681106957829</v>
      </c>
      <c r="M29" s="36">
        <v>504.27647375944053</v>
      </c>
      <c r="N29" s="35">
        <v>14346.069838611476</v>
      </c>
      <c r="O29" s="36">
        <v>443.5475312584195</v>
      </c>
      <c r="P29" s="35">
        <v>14335.716131554313</v>
      </c>
      <c r="Q29" s="36">
        <v>383.77994996495221</v>
      </c>
      <c r="R29" s="35">
        <v>14322.020963238012</v>
      </c>
      <c r="S29" s="36">
        <v>325.25082872065997</v>
      </c>
      <c r="T29" s="35">
        <v>14304.144997599687</v>
      </c>
      <c r="U29" s="36">
        <v>268.36288207043771</v>
      </c>
      <c r="V29" s="35">
        <v>14280.884183588982</v>
      </c>
      <c r="W29" s="36">
        <v>213.70113015620367</v>
      </c>
      <c r="X29" s="35">
        <v>14250.466872849602</v>
      </c>
      <c r="Y29" s="36">
        <v>162.11691462129849</v>
      </c>
      <c r="Z29" s="35">
        <v>14210.226673032254</v>
      </c>
      <c r="AA29" s="36">
        <v>114.83904984682343</v>
      </c>
      <c r="AB29" s="35">
        <v>14156.098124568565</v>
      </c>
      <c r="AC29" s="36">
        <v>73.580843583166086</v>
      </c>
      <c r="AD29" s="35">
        <v>14081.943139204943</v>
      </c>
      <c r="AE29" s="36">
        <v>40.503338778909523</v>
      </c>
      <c r="AF29" s="35">
        <v>13978.98520010816</v>
      </c>
      <c r="AG29" s="36">
        <v>17.642102548813003</v>
      </c>
      <c r="AH29" s="35">
        <v>13835.820902671356</v>
      </c>
      <c r="AI29" s="36">
        <v>5.3599859021961098</v>
      </c>
      <c r="AJ29" s="35">
        <v>13637.075109022353</v>
      </c>
      <c r="AK29" s="36">
        <v>0.92890288382891395</v>
      </c>
      <c r="AL29" s="35">
        <v>13350.647192932976</v>
      </c>
      <c r="AM29" s="36">
        <v>5.9576075610352983E-2</v>
      </c>
      <c r="AN29" s="35">
        <v>12865.811227220833</v>
      </c>
      <c r="AO29" s="36">
        <v>3.1200495426225255E-4</v>
      </c>
      <c r="AP29" s="35">
        <v>12712.180704885488</v>
      </c>
      <c r="AQ29" s="36">
        <v>5.0341595244451783E-5</v>
      </c>
      <c r="AR29" s="35">
        <v>12516.267318290522</v>
      </c>
      <c r="AS29" s="36">
        <v>4.3925387122084943E-6</v>
      </c>
      <c r="AT29" s="35"/>
      <c r="AU29" s="36"/>
      <c r="AV29" s="35"/>
      <c r="AW29" s="36"/>
    </row>
    <row r="30" spans="1:49" x14ac:dyDescent="0.2">
      <c r="A30" t="s">
        <v>48</v>
      </c>
      <c r="B30" s="119">
        <v>2924829.9599999995</v>
      </c>
      <c r="D30" s="119">
        <v>2958128.9737734557</v>
      </c>
      <c r="F30" s="119">
        <v>2991354.9309396679</v>
      </c>
      <c r="H30" s="119">
        <v>3024511.5711676921</v>
      </c>
      <c r="J30" s="119">
        <v>3057611.4110979908</v>
      </c>
      <c r="L30" s="119">
        <v>3090682.4235437131</v>
      </c>
      <c r="N30" s="119">
        <v>3123779.2360292492</v>
      </c>
      <c r="P30" s="119">
        <v>3157001.3888457557</v>
      </c>
      <c r="R30" s="119">
        <v>3190524.9351423876</v>
      </c>
      <c r="T30" s="119">
        <v>3224653.0109016132</v>
      </c>
      <c r="V30" s="119">
        <v>3259905.5981937805</v>
      </c>
      <c r="X30" s="119">
        <v>3297172.5999543737</v>
      </c>
      <c r="Z30" s="119">
        <v>3337973.6258567357</v>
      </c>
      <c r="AB30" s="119">
        <v>3384878.2362778047</v>
      </c>
      <c r="AD30" s="119">
        <v>3442055.7396075604</v>
      </c>
      <c r="AF30" s="119">
        <v>3515540.4225519844</v>
      </c>
      <c r="AH30" s="119">
        <v>3612156.4128998979</v>
      </c>
      <c r="AJ30" s="119">
        <v>3737831.3040815643</v>
      </c>
      <c r="AL30" s="119">
        <v>3904225.3783441037</v>
      </c>
      <c r="AN30" s="119">
        <v>4176237.806472701</v>
      </c>
      <c r="AP30" s="119">
        <v>4268443.6927598491</v>
      </c>
      <c r="AR30" s="119">
        <v>4394933.9988009948</v>
      </c>
      <c r="AT30" s="119"/>
      <c r="AV30" s="119"/>
    </row>
    <row r="31" spans="1:49" x14ac:dyDescent="0.2">
      <c r="A31" t="s">
        <v>47</v>
      </c>
      <c r="B31" s="80">
        <v>1</v>
      </c>
      <c r="D31" s="80">
        <v>0.99871146090762042</v>
      </c>
      <c r="F31" s="80">
        <v>0.99718591306103588</v>
      </c>
      <c r="H31" s="80">
        <v>0.99539420954026292</v>
      </c>
      <c r="J31" s="80">
        <v>0.993301212847019</v>
      </c>
      <c r="L31" s="80">
        <v>0.99086437190928689</v>
      </c>
      <c r="N31" s="80">
        <v>0.98803081290952954</v>
      </c>
      <c r="P31" s="80">
        <v>0.9847338760838753</v>
      </c>
      <c r="R31" s="80">
        <v>0.98088770673317505</v>
      </c>
      <c r="T31" s="80">
        <v>0.97637839017066086</v>
      </c>
      <c r="V31" s="80">
        <v>0.97105044105716121</v>
      </c>
      <c r="X31" s="80">
        <v>0.96468392965740457</v>
      </c>
      <c r="Z31" s="80">
        <v>0.95695483663214631</v>
      </c>
      <c r="AB31" s="80">
        <v>0.94736500451134009</v>
      </c>
      <c r="AD31" s="80">
        <v>0.93511659919578916</v>
      </c>
      <c r="AF31" s="80">
        <v>0.91889055473130399</v>
      </c>
      <c r="AH31" s="80">
        <v>0.89644449971780527</v>
      </c>
      <c r="AJ31" s="80">
        <v>0.86366061078222556</v>
      </c>
      <c r="AL31" s="80">
        <v>0.8112305481637585</v>
      </c>
      <c r="AN31" s="80">
        <v>0.7079909438740849</v>
      </c>
      <c r="AP31" s="80">
        <v>0.67179827417172999</v>
      </c>
      <c r="AR31" s="80">
        <v>0.62352482855324232</v>
      </c>
      <c r="AT31" s="80"/>
      <c r="AV31" s="80"/>
    </row>
    <row r="32" spans="1:49" x14ac:dyDescent="0.2">
      <c r="A32" t="s">
        <v>64</v>
      </c>
      <c r="B32" s="86">
        <v>14734457.915000005</v>
      </c>
      <c r="D32" s="86">
        <v>14730862.115011385</v>
      </c>
      <c r="F32" s="86">
        <v>14725949.853163345</v>
      </c>
      <c r="H32" s="86">
        <v>14719575.539088147</v>
      </c>
      <c r="J32" s="86">
        <v>14711580.981945839</v>
      </c>
      <c r="L32" s="86">
        <v>14701803.922261851</v>
      </c>
      <c r="N32" s="86">
        <v>14690080.880116314</v>
      </c>
      <c r="P32" s="86">
        <v>14676264.526623853</v>
      </c>
      <c r="R32" s="86">
        <v>14660251.151438281</v>
      </c>
      <c r="T32" s="86">
        <v>14642022.874508383</v>
      </c>
      <c r="V32" s="86">
        <v>14621730.641886875</v>
      </c>
      <c r="X32" s="86">
        <v>14599832.017704824</v>
      </c>
      <c r="Z32" s="86">
        <v>14577316.231470613</v>
      </c>
      <c r="AB32" s="86">
        <v>14556030.106833778</v>
      </c>
      <c r="AD32" s="86">
        <v>14538937.823500218</v>
      </c>
      <c r="AF32" s="86">
        <v>14529498.049196869</v>
      </c>
      <c r="AH32" s="86">
        <v>14528252.704702349</v>
      </c>
      <c r="AJ32" s="86">
        <v>14526371.870844061</v>
      </c>
      <c r="AL32" s="86">
        <v>14502090.408705724</v>
      </c>
      <c r="AN32" s="86">
        <v>14421741.103359047</v>
      </c>
      <c r="AP32" s="86">
        <v>14396133.44786738</v>
      </c>
      <c r="AR32" s="86">
        <v>14369137.708636573</v>
      </c>
      <c r="AT32" s="86"/>
      <c r="AV32" s="86"/>
    </row>
    <row r="33" spans="1:49 16319:16321" x14ac:dyDescent="0.2">
      <c r="A33" t="s">
        <v>54</v>
      </c>
      <c r="B33" s="117">
        <v>7019665.6909999941</v>
      </c>
      <c r="D33" s="117">
        <v>7017952.6552596586</v>
      </c>
      <c r="F33" s="117">
        <v>7015612.4017387033</v>
      </c>
      <c r="H33" s="117">
        <v>7012575.5549210226</v>
      </c>
      <c r="J33" s="117">
        <v>7008766.874781237</v>
      </c>
      <c r="L33" s="117">
        <v>7004108.9536351142</v>
      </c>
      <c r="N33" s="117">
        <v>6998523.9661378665</v>
      </c>
      <c r="P33" s="117">
        <v>6991941.6884627687</v>
      </c>
      <c r="R33" s="117">
        <v>6984312.7705502138</v>
      </c>
      <c r="T33" s="117">
        <v>6975628.6199756684</v>
      </c>
      <c r="V33" s="117">
        <v>6965961.1109762099</v>
      </c>
      <c r="X33" s="117">
        <v>6955528.3654307462</v>
      </c>
      <c r="Z33" s="117">
        <v>6944801.5885842992</v>
      </c>
      <c r="AB33" s="117">
        <v>6934660.6347444095</v>
      </c>
      <c r="AD33" s="117">
        <v>6926517.66543255</v>
      </c>
      <c r="AF33" s="117">
        <v>6922020.4483876154</v>
      </c>
      <c r="AH33" s="117">
        <v>6921427.1502265688</v>
      </c>
      <c r="AJ33" s="117">
        <v>6920531.0995848766</v>
      </c>
      <c r="AL33" s="117">
        <v>6908963.1309842784</v>
      </c>
      <c r="AN33" s="117">
        <v>6870686.0603497112</v>
      </c>
      <c r="AP33" s="117">
        <v>6858484.01278303</v>
      </c>
      <c r="AR33" s="117">
        <v>6845622.9312573215</v>
      </c>
      <c r="AT33" s="117"/>
      <c r="AV33" s="117"/>
    </row>
    <row r="34" spans="1:49 16319:16321" x14ac:dyDescent="0.2">
      <c r="A34" t="s">
        <v>75</v>
      </c>
      <c r="B34" s="117">
        <v>1136879.4410000113</v>
      </c>
      <c r="D34" s="117">
        <v>1136601.9495389464</v>
      </c>
      <c r="F34" s="117">
        <v>1136222.9248487051</v>
      </c>
      <c r="H34" s="117">
        <v>1135731.1492941808</v>
      </c>
      <c r="J34" s="117">
        <v>1135114.2858949162</v>
      </c>
      <c r="L34" s="117">
        <v>1134359.9273695322</v>
      </c>
      <c r="N34" s="117">
        <v>1133455.3977230014</v>
      </c>
      <c r="P34" s="117">
        <v>1132389.3638649182</v>
      </c>
      <c r="R34" s="117">
        <v>1131153.7673993981</v>
      </c>
      <c r="T34" s="117">
        <v>1129747.3015135797</v>
      </c>
      <c r="V34" s="117">
        <v>1128181.6511072344</v>
      </c>
      <c r="X34" s="117">
        <v>1126491.9882743289</v>
      </c>
      <c r="Z34" s="117">
        <v>1124754.7148690203</v>
      </c>
      <c r="AB34" s="117">
        <v>1123112.3213069332</v>
      </c>
      <c r="AD34" s="117">
        <v>1121793.525438094</v>
      </c>
      <c r="AF34" s="117">
        <v>1121065.1722146529</v>
      </c>
      <c r="AH34" s="117">
        <v>1120969.0857712454</v>
      </c>
      <c r="AJ34" s="117">
        <v>1120823.9643258983</v>
      </c>
      <c r="AL34" s="117">
        <v>1118950.4583262298</v>
      </c>
      <c r="AN34" s="117">
        <v>1112750.8767826976</v>
      </c>
      <c r="AP34" s="117">
        <v>1110775.0445377138</v>
      </c>
      <c r="AR34" s="117">
        <v>1108692.1107031007</v>
      </c>
      <c r="AT34" s="117"/>
      <c r="AV34" s="117"/>
    </row>
    <row r="35" spans="1:49 16319:16321" x14ac:dyDescent="0.2">
      <c r="A35" t="s">
        <v>78</v>
      </c>
      <c r="B35" s="233">
        <v>1</v>
      </c>
      <c r="D35" s="233">
        <v>1.0010460974357707</v>
      </c>
      <c r="F35" s="233">
        <v>1.0022451294194323</v>
      </c>
      <c r="H35" s="233">
        <v>1.00362039875764</v>
      </c>
      <c r="J35" s="233">
        <v>1.0052019498507812</v>
      </c>
      <c r="L35" s="233">
        <v>1.0070292011717921</v>
      </c>
      <c r="N35" s="233">
        <v>1.0091551660450988</v>
      </c>
      <c r="P35" s="233">
        <v>1.0116527524026995</v>
      </c>
      <c r="R35" s="233">
        <v>1.0146248762864938</v>
      </c>
      <c r="T35" s="233">
        <v>1.0182210461307082</v>
      </c>
      <c r="V35" s="233">
        <v>1.0226654084203848</v>
      </c>
      <c r="X35" s="233">
        <v>1.0283060378213689</v>
      </c>
      <c r="Z35" s="233">
        <v>1.0357044984035573</v>
      </c>
      <c r="AB35" s="233">
        <v>1.045803074854657</v>
      </c>
      <c r="AD35" s="233">
        <v>1.0602394602943628</v>
      </c>
      <c r="AF35" s="233">
        <v>1.0819363422183526</v>
      </c>
      <c r="AH35" s="233">
        <v>1.1163105390732841</v>
      </c>
      <c r="AJ35" s="233">
        <v>1.1748887150689311</v>
      </c>
      <c r="AL35" s="233">
        <v>1.291419314432936</v>
      </c>
      <c r="AN35" s="233">
        <v>1.6343146057066789</v>
      </c>
      <c r="AP35" s="233">
        <v>1.8019283475085088</v>
      </c>
      <c r="AR35" s="233">
        <v>2.0749392492995131</v>
      </c>
      <c r="AT35" s="233"/>
      <c r="AV35" s="233"/>
    </row>
    <row r="36" spans="1:49 16319:16321" x14ac:dyDescent="0.2">
      <c r="A36" t="s">
        <v>21</v>
      </c>
      <c r="B36" s="37">
        <v>0.47195767671988087</v>
      </c>
      <c r="C36" s="38">
        <v>0.31738834428178991</v>
      </c>
      <c r="D36" s="37">
        <v>0.47196134817754787</v>
      </c>
      <c r="E36" s="38">
        <v>0.32046872135016452</v>
      </c>
      <c r="F36" s="37">
        <v>0.47196513461849587</v>
      </c>
      <c r="G36" s="38">
        <v>0.32380931688190867</v>
      </c>
      <c r="H36" s="37">
        <v>0.47196904634455661</v>
      </c>
      <c r="I36" s="38">
        <v>0.32744799898835003</v>
      </c>
      <c r="J36" s="37">
        <v>0.4719730928340849</v>
      </c>
      <c r="K36" s="38">
        <v>0.33143142777736034</v>
      </c>
      <c r="L36" s="37">
        <v>0.47197728007066381</v>
      </c>
      <c r="M36" s="38">
        <v>0.33581790138985379</v>
      </c>
      <c r="N36" s="37">
        <v>0.47198160817808726</v>
      </c>
      <c r="O36" s="38">
        <v>0.34068190285726052</v>
      </c>
      <c r="P36" s="37">
        <v>0.47198606552933764</v>
      </c>
      <c r="Q36" s="38">
        <v>0.34612063619378008</v>
      </c>
      <c r="R36" s="37">
        <v>0.47199062025880578</v>
      </c>
      <c r="S36" s="38">
        <v>0.35226434838063242</v>
      </c>
      <c r="T36" s="37">
        <v>0.47199520505717185</v>
      </c>
      <c r="U36" s="38">
        <v>0.35929306238301228</v>
      </c>
      <c r="V36" s="37">
        <v>0.4719996928064028</v>
      </c>
      <c r="W36" s="38">
        <v>0.36746446920761688</v>
      </c>
      <c r="X36" s="37">
        <v>0.47200385594738348</v>
      </c>
      <c r="Y36" s="38">
        <v>0.37716267882988064</v>
      </c>
      <c r="Z36" s="37">
        <v>0.47200730190853651</v>
      </c>
      <c r="AA36" s="38">
        <v>0.38898677085232541</v>
      </c>
      <c r="AB36" s="37">
        <v>0.47200938515963065</v>
      </c>
      <c r="AC36" s="38">
        <v>0.40391729020275668</v>
      </c>
      <c r="AD36" s="37">
        <v>0.47200913620567758</v>
      </c>
      <c r="AE36" s="38">
        <v>0.42363510848096164</v>
      </c>
      <c r="AF36" s="37">
        <v>0.47200539151547938</v>
      </c>
      <c r="AG36" s="38">
        <v>0.4511339370482299</v>
      </c>
      <c r="AH36" s="37">
        <v>0.47199747262163139</v>
      </c>
      <c r="AI36" s="38">
        <v>0.49196822957169339</v>
      </c>
      <c r="AJ36" s="37">
        <v>0.47198621880459984</v>
      </c>
      <c r="AK36" s="38">
        <v>0.5576558066385181</v>
      </c>
      <c r="AL36" s="37">
        <v>0.47197394222239797</v>
      </c>
      <c r="AM36" s="38">
        <v>0.67957263213922825</v>
      </c>
      <c r="AN36" s="37">
        <v>0.47196380118341241</v>
      </c>
      <c r="AO36" s="38">
        <v>1.0011018578526953</v>
      </c>
      <c r="AP36" s="37">
        <v>0.4719626498328599</v>
      </c>
      <c r="AQ36" s="38">
        <v>1.1480249041311488</v>
      </c>
      <c r="AR36" s="37">
        <v>0.47196227736039925</v>
      </c>
      <c r="AS36" s="38">
        <v>1.3807225843950051</v>
      </c>
      <c r="AT36" s="37"/>
      <c r="AU36" s="38"/>
      <c r="AV36" s="37"/>
      <c r="AW36" s="38"/>
    </row>
    <row r="37" spans="1:49 16319:16321" x14ac:dyDescent="0.2">
      <c r="B37" s="39">
        <v>2.1403217525954137E-2</v>
      </c>
      <c r="C37" s="40">
        <v>0.34962461301992576</v>
      </c>
      <c r="D37" s="39">
        <v>2.054862592599227E-2</v>
      </c>
      <c r="E37" s="40">
        <v>0.34453467197879434</v>
      </c>
      <c r="F37" s="39">
        <v>1.9681171610041903E-2</v>
      </c>
      <c r="G37" s="40">
        <v>0.3392597133955339</v>
      </c>
      <c r="H37" s="39">
        <v>1.8800231637351804E-2</v>
      </c>
      <c r="I37" s="40">
        <v>0.33378322728907261</v>
      </c>
      <c r="J37" s="39">
        <v>1.7904986323696716E-2</v>
      </c>
      <c r="K37" s="40">
        <v>0.32808534365183484</v>
      </c>
      <c r="L37" s="39">
        <v>1.6994371625793543E-2</v>
      </c>
      <c r="M37" s="40">
        <v>0.32214191311772078</v>
      </c>
      <c r="N37" s="39">
        <v>1.6066934131214506E-2</v>
      </c>
      <c r="O37" s="40">
        <v>0.31592270013794543</v>
      </c>
      <c r="P37" s="39">
        <v>1.5120693072846561E-2</v>
      </c>
      <c r="Q37" s="40">
        <v>0.3093891738276161</v>
      </c>
      <c r="R37" s="39">
        <v>1.415291620723012E-2</v>
      </c>
      <c r="S37" s="40">
        <v>0.30249104297673168</v>
      </c>
      <c r="T37" s="39">
        <v>1.3159793386464742E-2</v>
      </c>
      <c r="U37" s="40">
        <v>0.2951609458987472</v>
      </c>
      <c r="V37" s="39">
        <v>1.2136008856531591E-2</v>
      </c>
      <c r="W37" s="40">
        <v>0.28730647769259071</v>
      </c>
      <c r="X37" s="39">
        <v>1.107417878788162E-2</v>
      </c>
      <c r="Y37" s="40">
        <v>0.27879785642218557</v>
      </c>
      <c r="Z37" s="39">
        <v>9.964267185619935E-3</v>
      </c>
      <c r="AA37" s="40">
        <v>0.26944940522060573</v>
      </c>
      <c r="AB37" s="39">
        <v>8.7934778893449354E-3</v>
      </c>
      <c r="AC37" s="40">
        <v>0.25899417112679857</v>
      </c>
      <c r="AD37" s="39">
        <v>7.5482687084098988E-3</v>
      </c>
      <c r="AE37" s="40">
        <v>0.24705888061484557</v>
      </c>
      <c r="AF37" s="39">
        <v>6.2221786897404853E-3</v>
      </c>
      <c r="AG37" s="40">
        <v>0.2331690314709404</v>
      </c>
      <c r="AH37" s="39">
        <v>4.8319282085305003E-3</v>
      </c>
      <c r="AI37" s="40">
        <v>0.21682677181729779</v>
      </c>
      <c r="AJ37" s="39">
        <v>3.4284916245633187E-3</v>
      </c>
      <c r="AK37" s="40">
        <v>0.19755604832814033</v>
      </c>
      <c r="AL37" s="39">
        <v>2.0816463162302728E-3</v>
      </c>
      <c r="AM37" s="40">
        <v>0.17449196300356201</v>
      </c>
      <c r="AN37" s="39">
        <v>8.6890424020469889E-4</v>
      </c>
      <c r="AO37" s="40">
        <v>0.14479559375964882</v>
      </c>
      <c r="AP37" s="39">
        <v>6.5316702303466626E-4</v>
      </c>
      <c r="AQ37" s="40">
        <v>0.13733299375964844</v>
      </c>
      <c r="AR37" s="39">
        <v>4.5105383631190767E-4</v>
      </c>
      <c r="AS37" s="40">
        <v>0.1289264285542974</v>
      </c>
      <c r="AT37" s="39"/>
      <c r="AU37" s="40"/>
      <c r="AV37" s="39"/>
      <c r="AW37" s="40"/>
    </row>
    <row r="38" spans="1:49 16319:16321" x14ac:dyDescent="0.2">
      <c r="A38" t="s">
        <v>22</v>
      </c>
      <c r="B38" s="37">
        <v>0.18079094942242827</v>
      </c>
      <c r="C38" s="38">
        <v>6.0565413429233668E-2</v>
      </c>
      <c r="D38" s="37">
        <v>0.18095586291234969</v>
      </c>
      <c r="E38" s="38">
        <v>6.0936290551532386E-2</v>
      </c>
      <c r="F38" s="37">
        <v>0.18113891497589915</v>
      </c>
      <c r="G38" s="38">
        <v>6.133806680238682E-2</v>
      </c>
      <c r="H38" s="37">
        <v>0.18134225011640914</v>
      </c>
      <c r="I38" s="38">
        <v>6.1775106424444323E-2</v>
      </c>
      <c r="J38" s="37">
        <v>0.1815685114255047</v>
      </c>
      <c r="K38" s="38">
        <v>6.225271995714355E-2</v>
      </c>
      <c r="L38" s="37">
        <v>0.18182099229044588</v>
      </c>
      <c r="M38" s="38">
        <v>6.2777626586070764E-2</v>
      </c>
      <c r="N38" s="37">
        <v>0.18210391847285098</v>
      </c>
      <c r="O38" s="38">
        <v>6.3358311260443737E-2</v>
      </c>
      <c r="P38" s="37">
        <v>0.18242281754440498</v>
      </c>
      <c r="Q38" s="38">
        <v>6.4005846644622791E-2</v>
      </c>
      <c r="R38" s="37">
        <v>0.18278510093453706</v>
      </c>
      <c r="S38" s="38">
        <v>6.4735108577993805E-2</v>
      </c>
      <c r="T38" s="37">
        <v>0.18320100417404112</v>
      </c>
      <c r="U38" s="38">
        <v>6.5566525693247071E-2</v>
      </c>
      <c r="V38" s="37">
        <v>0.18368505911918365</v>
      </c>
      <c r="W38" s="38">
        <v>6.6529279275772707E-2</v>
      </c>
      <c r="X38" s="37">
        <v>0.18425853678372203</v>
      </c>
      <c r="Y38" s="38">
        <v>6.7666707248520044E-2</v>
      </c>
      <c r="Z38" s="37">
        <v>0.1849535130132989</v>
      </c>
      <c r="AA38" s="38">
        <v>6.9045895615716918E-2</v>
      </c>
      <c r="AB38" s="37">
        <v>0.18581950376080558</v>
      </c>
      <c r="AC38" s="38">
        <v>7.0775473624740834E-2</v>
      </c>
      <c r="AD38" s="37">
        <v>0.18693346757744528</v>
      </c>
      <c r="AE38" s="38">
        <v>7.3038561828195916E-2</v>
      </c>
      <c r="AF38" s="37">
        <v>0.18841200207699021</v>
      </c>
      <c r="AG38" s="38">
        <v>7.6153012066715653E-2</v>
      </c>
      <c r="AH38" s="37">
        <v>0.1904235053271067</v>
      </c>
      <c r="AI38" s="38">
        <v>8.068614358059234E-2</v>
      </c>
      <c r="AJ38" s="37">
        <v>0.19322695865790299</v>
      </c>
      <c r="AK38" s="38">
        <v>8.7760150162040876E-2</v>
      </c>
      <c r="AL38" s="37">
        <v>0.19738280689087434</v>
      </c>
      <c r="AM38" s="38">
        <v>0.10028471742844176</v>
      </c>
      <c r="AN38" s="37">
        <v>0.20482556736793678</v>
      </c>
      <c r="AO38" s="38">
        <v>0.13062060817827426</v>
      </c>
      <c r="AP38" s="37">
        <v>0.20730141915402189</v>
      </c>
      <c r="AQ38" s="38">
        <v>0.14354055860730353</v>
      </c>
      <c r="AR38" s="37">
        <v>0.21054640135842076</v>
      </c>
      <c r="AS38" s="38">
        <v>0.16311095457930055</v>
      </c>
      <c r="AT38" s="37"/>
      <c r="AU38" s="38"/>
      <c r="AV38" s="37"/>
      <c r="AW38" s="38"/>
    </row>
    <row r="39" spans="1:49 16319:16321" x14ac:dyDescent="0.2">
      <c r="A39" t="s">
        <v>23</v>
      </c>
      <c r="B39" s="39">
        <v>0.23064923795097952</v>
      </c>
      <c r="C39" s="40">
        <v>0.22092201281804799</v>
      </c>
      <c r="D39" s="39">
        <v>0.23128331601881277</v>
      </c>
      <c r="E39" s="40">
        <v>0.22247876575208789</v>
      </c>
      <c r="F39" s="39">
        <v>0.23194419474952083</v>
      </c>
      <c r="G39" s="40">
        <v>0.22415205059473398</v>
      </c>
      <c r="H39" s="39">
        <v>0.23263496565926051</v>
      </c>
      <c r="I39" s="40">
        <v>0.22595820218750576</v>
      </c>
      <c r="J39" s="39">
        <v>0.23335930315976</v>
      </c>
      <c r="K39" s="40">
        <v>0.22791731864593642</v>
      </c>
      <c r="L39" s="39">
        <v>0.2341216351595489</v>
      </c>
      <c r="M39" s="40">
        <v>0.23005423656522</v>
      </c>
      <c r="N39" s="39">
        <v>0.2349273885829139</v>
      </c>
      <c r="O39" s="40">
        <v>0.23240062297793457</v>
      </c>
      <c r="P39" s="39">
        <v>0.23578334702934317</v>
      </c>
      <c r="Q39" s="40">
        <v>0.23499753145553096</v>
      </c>
      <c r="R39" s="39">
        <v>0.23669820080252563</v>
      </c>
      <c r="S39" s="40">
        <v>0.2378995274518895</v>
      </c>
      <c r="T39" s="39">
        <v>0.23768338555281995</v>
      </c>
      <c r="U39" s="40">
        <v>0.24118165388616683</v>
      </c>
      <c r="V39" s="39">
        <v>0.23875446268717915</v>
      </c>
      <c r="W39" s="40">
        <v>0.24495052217620841</v>
      </c>
      <c r="X39" s="39">
        <v>0.23993341400354248</v>
      </c>
      <c r="Y39" s="40">
        <v>0.24936373700127454</v>
      </c>
      <c r="Z39" s="39">
        <v>0.24125258569643823</v>
      </c>
      <c r="AA39" s="40">
        <v>0.25466492656574374</v>
      </c>
      <c r="AB39" s="39">
        <v>0.24276160742305247</v>
      </c>
      <c r="AC39" s="40">
        <v>0.26124837674361961</v>
      </c>
      <c r="AD39" s="39">
        <v>0.24453926810594634</v>
      </c>
      <c r="AE39" s="40">
        <v>0.26977990816645891</v>
      </c>
      <c r="AF39" s="39">
        <v>0.24671264882378857</v>
      </c>
      <c r="AG39" s="40">
        <v>0.28142007938362856</v>
      </c>
      <c r="AH39" s="39">
        <v>0.24948724492513585</v>
      </c>
      <c r="AI39" s="40">
        <v>0.29825631959315591</v>
      </c>
      <c r="AJ39" s="39">
        <v>0.25321740653928598</v>
      </c>
      <c r="AK39" s="40">
        <v>0.32444197897713706</v>
      </c>
      <c r="AL39" s="39">
        <v>0.25867672675675074</v>
      </c>
      <c r="AM39" s="40">
        <v>0.37075354602306843</v>
      </c>
      <c r="AN39" s="39">
        <v>0.26843186674600406</v>
      </c>
      <c r="AO39" s="40">
        <v>0.48290679474273446</v>
      </c>
      <c r="AP39" s="39">
        <v>0.27167657404952605</v>
      </c>
      <c r="AQ39" s="40">
        <v>0.53067220850930608</v>
      </c>
      <c r="AR39" s="39">
        <v>0.27592925095796261</v>
      </c>
      <c r="AS39" s="40">
        <v>0.60302407230073618</v>
      </c>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0.10800000000000021</v>
      </c>
      <c r="E42" s="135"/>
      <c r="F42" s="177">
        <f>10.8%+(1-10.8%)*(1-SUM(F26:G26)/SUM($B$26:$C$26))</f>
        <v>0.10799999999999903</v>
      </c>
      <c r="G42" s="135"/>
      <c r="H42" s="177">
        <f>10.8%+(1-10.8%)*(1-SUM(H26:I26)/SUM($B$26:$C$26))</f>
        <v>0.10799999999999961</v>
      </c>
      <c r="I42" s="135"/>
      <c r="J42" s="177">
        <f>10.8%+(1-10.8%)*(1-SUM(J26:K26)/SUM($B$26:$C$26))</f>
        <v>0.10799999999999903</v>
      </c>
      <c r="K42" s="135"/>
      <c r="L42" s="177">
        <f>10.8%+(1-10.8%)*(1-SUM(L26:M26)/SUM($B$26:$C$26))</f>
        <v>0.10800000000000021</v>
      </c>
      <c r="M42" s="135"/>
      <c r="N42" s="177">
        <f>10.8%+(1-10.8%)*(1-SUM(N26:O26)/SUM($B$26:$C$26))</f>
        <v>0.10799999999999982</v>
      </c>
      <c r="O42" s="135"/>
      <c r="P42" s="177">
        <f>10.8%+(1-10.8%)*(1-SUM(P26:Q26)/SUM($B$26:$C$26))</f>
        <v>0.10799999999999961</v>
      </c>
      <c r="Q42" s="135"/>
      <c r="R42" s="177">
        <f>10.8%+(1-10.8%)*(1-SUM(R26:S26)/SUM($B$26:$C$26))</f>
        <v>0.10799999999999961</v>
      </c>
      <c r="S42" s="135"/>
      <c r="T42" s="177">
        <f>10.8%+(1-10.8%)*(1-SUM(T26:U26)/SUM($B$26:$C$26))</f>
        <v>0.10799999999999961</v>
      </c>
      <c r="U42" s="135"/>
      <c r="V42" s="177">
        <f>10.8%+(1-10.8%)*(1-SUM(V26:W26)/SUM($B$26:$C$26))</f>
        <v>0.10799999999999961</v>
      </c>
      <c r="W42" s="135"/>
      <c r="X42" s="177">
        <f>10.8%+(1-10.8%)*(1-SUM(X26:Y26)/SUM($B$26:$C$26))</f>
        <v>0.10799999999999982</v>
      </c>
      <c r="Y42" s="162"/>
      <c r="Z42" s="177">
        <f>10.8%+(1-10.8%)*(1-SUM(Z26:AA26)/SUM($B$26:$C$26))</f>
        <v>0.10799999999999982</v>
      </c>
      <c r="AA42" s="135"/>
      <c r="AB42" s="177">
        <f>10.8%+(1-10.8%)*(1-SUM(AB26:AC26)/SUM($B$26:$C$26))</f>
        <v>0.10799999999999982</v>
      </c>
      <c r="AC42" s="135"/>
      <c r="AD42" s="177">
        <f>10.8%+(1-10.8%)*(1-SUM(AD26:AE26)/SUM($B$26:$C$26))</f>
        <v>0.1080000000000003</v>
      </c>
      <c r="AE42" s="135"/>
      <c r="AF42" s="177">
        <f>10.8%+(1-10.8%)*(1-SUM(AF26:AG26)/SUM($B$26:$C$26))</f>
        <v>0.10799999999999882</v>
      </c>
      <c r="AG42" s="135"/>
      <c r="AH42" s="177">
        <f>10.8%+(1-10.8%)*(1-SUM(AH26:AI26)/SUM($B$26:$C$26))</f>
        <v>0.10799999999999982</v>
      </c>
      <c r="AI42" s="135"/>
      <c r="AJ42" s="177">
        <f>10.8%+(1-10.8%)*(1-SUM(AJ26:AK26)/SUM($B$26:$C$26))</f>
        <v>0.10800000000000001</v>
      </c>
      <c r="AK42" s="135"/>
      <c r="AL42" s="177">
        <f>10.8%+(1-10.8%)*(1-SUM(AL26:AM26)/SUM($B$26:$C$26))</f>
        <v>0.10800000000000051</v>
      </c>
      <c r="AM42" s="135"/>
      <c r="AN42" s="177">
        <f>10.8%+(1-10.8%)*(1-SUM(AN26:AO26)/SUM($B$26:$C$26))</f>
        <v>0.10799999999999942</v>
      </c>
      <c r="AO42" s="135"/>
      <c r="AP42" s="177">
        <f>10.8%+(1-10.8%)*(1-SUM(AP26:AQ26)/SUM($B$26:$C$26))</f>
        <v>0.10800000000000001</v>
      </c>
      <c r="AQ42" s="135"/>
      <c r="AR42" s="177">
        <f>10.8%+(1-10.8%)*(1-SUM(AR26:AS26)/SUM($B$26:$C$26))</f>
        <v>0.10800000000000021</v>
      </c>
      <c r="AS42" s="135"/>
      <c r="AT42" s="177">
        <f>10.8%+(1-10.8%)*(1-SUM(AT26:AU26)/SUM($B$26:$C$26))</f>
        <v>1</v>
      </c>
      <c r="AU42" s="135"/>
      <c r="AV42" s="177">
        <f>10.8%+(1-10.8%)*(1-SUM(AV26:AW26)/SUM($B$26:$C$26))</f>
        <v>1</v>
      </c>
    </row>
    <row r="43" spans="1:49 16319:16321" x14ac:dyDescent="0.2">
      <c r="A43" t="s">
        <v>108</v>
      </c>
      <c r="B43" s="162">
        <f>SUM(B15:C15*B27:C27)/SUM(B15:C15*B27:C27,B13:C13*B26:C26)</f>
        <v>0.56058995943838341</v>
      </c>
      <c r="C43" s="135"/>
      <c r="D43" s="162">
        <f t="array" ref="D43">SUM(D15:E15*D27:E27)/SUM(D15:E15*D27:E27,D13:E13*D26:E26)</f>
        <v>0.56645020147348635</v>
      </c>
      <c r="E43" s="135"/>
      <c r="F43" s="162">
        <f t="array" ref="F43">SUM(F15:G15*F27:G27)/SUM(F15:G15*F27:G27,F13:G13*F26:G26)</f>
        <v>0.56569598446838576</v>
      </c>
      <c r="G43" s="135"/>
      <c r="H43" s="162">
        <f t="array" ref="H43">SUM(H15:I15*H27:I27)/SUM(H15:I15*H27:I27,H13:I13*H26:I26)</f>
        <v>0.56493754548518504</v>
      </c>
      <c r="I43" s="135"/>
      <c r="J43" s="162">
        <f t="array" ref="J43">SUM(J15:K15*J27:K27)/SUM(J15:K15*J27:K27,J13:K13*J26:K26)</f>
        <v>0.56417470513937773</v>
      </c>
      <c r="K43" s="135"/>
      <c r="L43" s="162">
        <f t="array" ref="L43">SUM(L15:M15*L27:M27)/SUM(L15:M15*L27:M27,L13:M13*L26:M26)</f>
        <v>0.56340745643489554</v>
      </c>
      <c r="M43" s="135"/>
      <c r="N43" s="162">
        <f t="array" ref="N43">SUM(N15:O15*N27:O27)/SUM(N15:O15*N27:O27,N13:O13*N26:O26)</f>
        <v>0.56263622712325956</v>
      </c>
      <c r="O43" s="135"/>
      <c r="P43" s="162">
        <f t="array" ref="P43">SUM(P15:Q15*P27:Q27)/SUM(P15:Q15*P27:Q27,P13:Q13*P26:Q26)</f>
        <v>0.56186207338628824</v>
      </c>
      <c r="Q43" s="135"/>
      <c r="R43" s="162">
        <f t="array" ref="R43">SUM(R15:S15*R27:S27)/SUM(R15:S15*R27:S27,R13:S13*R26:S26)</f>
        <v>0.56108706734517355</v>
      </c>
      <c r="S43" s="135"/>
      <c r="T43" s="162">
        <f t="array" ref="T43">SUM(T15:U15*T27:U27)/SUM(T15:U15*T27:U27,T13:U13*T26:U26)</f>
        <v>0.56031496045621265</v>
      </c>
      <c r="U43" s="135"/>
      <c r="V43" s="162">
        <f t="array" ref="V43">SUM(V15:W15*V27:W27)/SUM(V15:W15*V27:W27,V13:W13*V26:W26)</f>
        <v>0.55955213168634987</v>
      </c>
      <c r="W43" s="135"/>
      <c r="X43" s="162">
        <f t="array" ref="X43">SUM(X15:Y15*X27:Y27)/SUM(X15:Y15*X27:Y27,X13:Y13*X26:Y26)</f>
        <v>0.55880912141175942</v>
      </c>
      <c r="Y43" s="135"/>
      <c r="Z43" s="162">
        <f t="array" ref="Z43">SUM(Z15:AA15*Z27:AA27)/SUM(Z15:AA15*Z27:AA27,Z13:AA13*Z26:AA26)</f>
        <v>0.55810292037924536</v>
      </c>
      <c r="AA43" s="135"/>
      <c r="AB43" s="162">
        <f t="array" ref="AB43">SUM(AB15:AC15*AB27:AC27)/SUM(AB15:AC15*AB27:AC27,AB13:AC13*AB26:AC26)</f>
        <v>0.55745988017015002</v>
      </c>
      <c r="AC43" s="135"/>
      <c r="AD43" s="162">
        <f t="array" ref="AD43">SUM(AD15:AE15*AD27:AE27)/SUM(AD15:AE15*AD27:AE27,AD13:AE13*AD26:AE26)</f>
        <v>0.55691748463776602</v>
      </c>
      <c r="AE43" s="135"/>
      <c r="AF43" s="162">
        <f t="array" ref="AF43">SUM(AF15:AG15*AF27:AG27)/SUM(AF15:AG15*AF27:AG27,AF13:AG13*AF26:AG26)</f>
        <v>0.5565184806259541</v>
      </c>
      <c r="AG43" s="135"/>
      <c r="AH43" s="162">
        <f t="array" ref="AH43">SUM(AH15:AI15*AH27:AI27)/SUM(AH15:AI15*AH27:AI27,AH13:AI13*AH26:AI26)</f>
        <v>0.55628647325531533</v>
      </c>
      <c r="AI43" s="135"/>
      <c r="AJ43" s="162">
        <f t="array" ref="AJ43">SUM(AJ15:AK15*AJ27:AK27)/SUM(AJ15:AK15*AJ27:AK27,AJ13:AK13*AJ26:AK26)</f>
        <v>0.5561935964602378</v>
      </c>
      <c r="AK43" s="135"/>
      <c r="AL43" s="162">
        <f t="array" ref="AL43">SUM(AL15:AM15*AL27:AM27)/SUM(AL15:AM15*AL27:AM27,AL13:AM13*AL26:AM26)</f>
        <v>0.55617256821537009</v>
      </c>
      <c r="AM43" s="135"/>
      <c r="AN43" s="162">
        <f t="array" ref="AN43">SUM(AN15:AO15*AN27:AO27)/SUM(AN15:AO15*AN27:AO27,AN13:AO13*AN26:AO26)</f>
        <v>0.55617079789001078</v>
      </c>
      <c r="AO43" s="135"/>
      <c r="AP43" s="162">
        <f t="array" ref="AP43">SUM(AP15:AQ15*AP27:AQ27)/SUM(AP15:AQ15*AP27:AQ27,AP13:AQ13*AP26:AQ26)</f>
        <v>0.5561707868170811</v>
      </c>
      <c r="AQ43" s="135"/>
      <c r="AR43" s="162">
        <f t="array" ref="AR43">SUM(AR15:AS15*AR27:AS27)/SUM(AR15:AS15*AR27:AS27,AR13:AS13*AR26:AS26)</f>
        <v>0.55617078459067248</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0.29754226190682431</v>
      </c>
      <c r="D44" s="193">
        <f>(SUM(D11:E11*D24:E24)+D34)/D32</f>
        <v>0.29754225886243313</v>
      </c>
      <c r="F44" s="193">
        <f>(SUM(F11:G11*F24:G24)+F34)/F32</f>
        <v>0.29754225854366795</v>
      </c>
      <c r="H44" s="193">
        <f>(SUM(H11:I11*H24:I24)+H34)/H32</f>
        <v>0.29754226194407074</v>
      </c>
      <c r="J44" s="193">
        <f>(SUM(J11:K11*J24:K24)+J34)/J32</f>
        <v>0.29754226064659173</v>
      </c>
      <c r="L44" s="193">
        <f>(SUM(L11:M11*L24:M24)+L34)/L32</f>
        <v>0.29754226181218679</v>
      </c>
      <c r="N44" s="193">
        <f>(SUM(N11:O11*N24:O24)+N34)/N32</f>
        <v>0.29754226147249918</v>
      </c>
      <c r="P44" s="193">
        <f>(SUM(P11:Q11*P24:Q24)+P34)/P32</f>
        <v>0.2975422619844808</v>
      </c>
      <c r="R44" s="193">
        <f>(SUM(R11:S11*R24:S24)+R34)/R32</f>
        <v>0.29754225934364398</v>
      </c>
      <c r="T44" s="193">
        <f>(SUM(T11:U11*T24:U24)+T34)/T32</f>
        <v>0.29754225860345013</v>
      </c>
      <c r="V44" s="193">
        <f>(SUM(V11:W11*V24:W24)+V34)/V32</f>
        <v>0.29754226238347392</v>
      </c>
      <c r="X44" s="193">
        <f>(SUM(X11:Y11*X24:Y24)+X34)/X32</f>
        <v>0.29754226159080466</v>
      </c>
      <c r="Z44" s="193">
        <f>(SUM(Z11:AA11*Z24:AA24)+Z34)/Z32</f>
        <v>0.29754226135694023</v>
      </c>
      <c r="AB44" s="193">
        <f>(SUM(AB11:AC11*AB24:AC24)+AB34)/AB32</f>
        <v>0.29754226125712369</v>
      </c>
      <c r="AD44" s="193">
        <f>(SUM(AD11:AE11*AD24:AE24)+AD34)/AD32</f>
        <v>0.29754226183394056</v>
      </c>
      <c r="AF44" s="193">
        <f>(SUM(AF11:AG11*AF24:AG24)+AF34)/AF32</f>
        <v>0.29754226181275761</v>
      </c>
      <c r="AH44" s="193">
        <f>(SUM(AH11:AI11*AH24:AI24)+AH34)/AH32</f>
        <v>0.29754226192843047</v>
      </c>
      <c r="AJ44" s="193">
        <f>(SUM(AJ11:AK11*AJ24:AK24)+AJ34)/AJ32</f>
        <v>0.29754226190770905</v>
      </c>
      <c r="AL44" s="193">
        <f>(SUM(AL11:AM11*AL24:AM24)+AL34)/AL32</f>
        <v>0.29754226190681088</v>
      </c>
      <c r="AN44" s="193">
        <f>(SUM(AN11:AO11*AN24:AO24)+AN34)/AN32</f>
        <v>0.29754210484230681</v>
      </c>
      <c r="AP44" s="193">
        <f>(SUM(AP11:AQ11*AP24:AQ24)+AP34)/AP32</f>
        <v>0.29754226190682515</v>
      </c>
      <c r="AR44" s="193">
        <f>(SUM(AR11:AS11*AR24:AS24)+AR34)/AR32</f>
        <v>0.29754226190682631</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0.22038438849035899</v>
      </c>
      <c r="F45" s="193">
        <f>SUM(F11:G11*F24:G24)/F32</f>
        <v>0.22038438851298683</v>
      </c>
      <c r="H45" s="193">
        <f>SUM(H11:I11*H24:I24)/H32</f>
        <v>0.22038438831665377</v>
      </c>
      <c r="J45" s="193">
        <f>SUM(J11:K11*J24:K24)/J32</f>
        <v>0.22038438840376912</v>
      </c>
      <c r="L45" s="193">
        <f>SUM(L11:M11*L24:M24)/L32</f>
        <v>0.22038438830444301</v>
      </c>
      <c r="N45" s="193">
        <f>SUM(N11:O11*N24:O24)/N32</f>
        <v>0.22038438828085566</v>
      </c>
      <c r="P45" s="193">
        <f>SUM(P11:Q11*P24:Q24)/P32</f>
        <v>0.22038438834363178</v>
      </c>
      <c r="R45" s="193">
        <f>SUM(R11:S11*R24:S24)/R32</f>
        <v>0.22038438832801521</v>
      </c>
      <c r="T45" s="193">
        <f>SUM(T11:U11*T24:U24)/T32</f>
        <v>0.22038438832854029</v>
      </c>
      <c r="V45" s="193">
        <f>SUM(V11:W11*V24:W24)/V32</f>
        <v>0.2203843883439035</v>
      </c>
      <c r="X45" s="193">
        <f>SUM(X11:Y11*X24:Y24)/X32</f>
        <v>0.22038438834210822</v>
      </c>
      <c r="Z45" s="193">
        <f>SUM(Z11:AA11*Z24:AA24)/Z32</f>
        <v>0.22038438832947482</v>
      </c>
      <c r="AB45" s="193">
        <f>SUM(AB11:AC11*AB24:AC24)/AB32</f>
        <v>0.22038438832996798</v>
      </c>
      <c r="AD45" s="193">
        <f>SUM(AD11:AE11*AD24:AE24)/AD32</f>
        <v>0.22038438833200788</v>
      </c>
      <c r="AF45" s="193">
        <f>SUM(AF11:AG11*AF24:AG24)/AF32</f>
        <v>0.22038438833228868</v>
      </c>
      <c r="AH45" s="193">
        <f>SUM(AH11:AI11*AH24:AI24)/AH32</f>
        <v>0.22038438833166807</v>
      </c>
      <c r="AJ45" s="193">
        <f>SUM(AJ11:AK11*AJ24:AK24)/AJ32</f>
        <v>0.22038438833189145</v>
      </c>
      <c r="AL45" s="193">
        <f>SUM(AL11:AM11*AL24:AM24)/AL32</f>
        <v>0.22038438833194232</v>
      </c>
      <c r="AN45" s="193">
        <f>SUM(AN11:AO11*AN24:AO24)/AN32</f>
        <v>0.22038423126742196</v>
      </c>
      <c r="AP45" s="193">
        <f>SUM(AP11:AQ11*AP24:AQ24)/AP32</f>
        <v>0.22038438833194088</v>
      </c>
      <c r="AR45" s="193">
        <f>SUM(AR11:AS11*AR24:AS24)/AR32</f>
        <v>0.22038438833194079</v>
      </c>
      <c r="AT45" s="193" t="e">
        <f>SUM(AT11:AU11*AT24:AU24)/AT32</f>
        <v>#DIV/0!</v>
      </c>
      <c r="AV45" s="193" t="e">
        <f>SUM(AV11:AW11*AV24:AW24)/AV32</f>
        <v>#DIV/0!</v>
      </c>
      <c r="XCQ45" s="193"/>
    </row>
    <row r="46" spans="1:49 16319:16321" x14ac:dyDescent="0.2">
      <c r="A46" t="s">
        <v>139</v>
      </c>
      <c r="B46" s="193">
        <f>B34/B32</f>
        <v>7.7157873574883462E-2</v>
      </c>
      <c r="D46" s="193">
        <f>D34/D32</f>
        <v>7.7157870372074139E-2</v>
      </c>
      <c r="F46" s="193">
        <f>F34/F32</f>
        <v>7.7157870030681114E-2</v>
      </c>
      <c r="H46" s="193">
        <f>H34/H32</f>
        <v>7.715787362741694E-2</v>
      </c>
      <c r="J46" s="193">
        <f>J34/J32</f>
        <v>7.7157872242822625E-2</v>
      </c>
      <c r="L46" s="193">
        <f>L34/L32</f>
        <v>7.7157873507743849E-2</v>
      </c>
      <c r="N46" s="193">
        <f>N34/N32</f>
        <v>7.7157873191643508E-2</v>
      </c>
      <c r="P46" s="193">
        <f>P34/P32</f>
        <v>7.7157873640849028E-2</v>
      </c>
      <c r="R46" s="193">
        <f>R34/R32</f>
        <v>7.7157871015628779E-2</v>
      </c>
      <c r="T46" s="193">
        <f>T34/T32</f>
        <v>7.7157870274909793E-2</v>
      </c>
      <c r="V46" s="193">
        <f>V34/V32</f>
        <v>7.7157874039570404E-2</v>
      </c>
      <c r="X46" s="193">
        <f>X34/X32</f>
        <v>7.715787324869644E-2</v>
      </c>
      <c r="Z46" s="193">
        <f>Z34/Z32</f>
        <v>7.7157873027465421E-2</v>
      </c>
      <c r="AB46" s="193">
        <f>AB34/AB32</f>
        <v>7.7157872927155688E-2</v>
      </c>
      <c r="AD46" s="193">
        <f>AD34/AD32</f>
        <v>7.7157873501932664E-2</v>
      </c>
      <c r="AF46" s="193">
        <f>AF34/AF32</f>
        <v>7.7157873480468986E-2</v>
      </c>
      <c r="AH46" s="193">
        <f>AH34/AH32</f>
        <v>7.7157873596762405E-2</v>
      </c>
      <c r="AJ46" s="193">
        <f>AJ34/AJ32</f>
        <v>7.7157873575817548E-2</v>
      </c>
      <c r="AL46" s="193">
        <f>AL34/AL32</f>
        <v>7.715787357486853E-2</v>
      </c>
      <c r="AN46" s="193">
        <f>AN34/AN32</f>
        <v>7.715787357488485E-2</v>
      </c>
      <c r="AP46" s="193">
        <f>AP34/AP32</f>
        <v>7.7157873574884239E-2</v>
      </c>
      <c r="AR46" s="193">
        <f>AR34/AR32</f>
        <v>7.7157873574885502E-2</v>
      </c>
      <c r="AT46" s="193" t="e">
        <f>AT34/AT32</f>
        <v>#DIV/0!</v>
      </c>
      <c r="AV46" s="193" t="e">
        <f>AV34/AV32</f>
        <v>#DIV/0!</v>
      </c>
      <c r="XCS46" s="193"/>
    </row>
    <row r="48" spans="1:49 16319:16321" x14ac:dyDescent="0.2">
      <c r="A48" t="s">
        <v>159</v>
      </c>
      <c r="B48" s="191">
        <f>B24/$B$24</f>
        <v>1</v>
      </c>
      <c r="C48" s="191"/>
      <c r="D48" s="191">
        <f>D24/$B$24</f>
        <v>1.0009294487391887</v>
      </c>
      <c r="E48" s="191"/>
      <c r="F48" s="191">
        <f>F24/$B$24</f>
        <v>1.0017872168958362</v>
      </c>
      <c r="G48" s="191"/>
      <c r="H48" s="191">
        <f>H24/$B$24</f>
        <v>1.0025653962805918</v>
      </c>
      <c r="I48" s="191"/>
      <c r="J48" s="191">
        <f>J24/$B$24</f>
        <v>1.0032546595892684</v>
      </c>
      <c r="K48" s="191"/>
      <c r="L48" s="191">
        <f>L24/$B$24</f>
        <v>1.0038442970258135</v>
      </c>
      <c r="M48" s="191"/>
      <c r="N48" s="191">
        <f>N24/$B$24</f>
        <v>1.0043215567153099</v>
      </c>
      <c r="O48" s="191"/>
      <c r="P48" s="191">
        <f>P24/$B$24</f>
        <v>1.0046714424707621</v>
      </c>
      <c r="Q48" s="191"/>
      <c r="R48" s="191">
        <f>R24/$B$24</f>
        <v>1.0048763459132155</v>
      </c>
      <c r="S48" s="191"/>
      <c r="T48" s="191">
        <f>T24/$B$24</f>
        <v>1.0049153155885506</v>
      </c>
      <c r="U48" s="191"/>
      <c r="V48" s="191">
        <f>V24/$B$24</f>
        <v>1.0047637567287691</v>
      </c>
      <c r="W48" s="191"/>
      <c r="X48" s="191">
        <f>X24/$B$24</f>
        <v>1.0043930891944011</v>
      </c>
      <c r="Y48" s="191"/>
      <c r="Z48" s="191">
        <f>Z24/$B$24</f>
        <v>1.0037706150707149</v>
      </c>
      <c r="AA48" s="191"/>
      <c r="AB48" s="191">
        <f>AB24/$B$24</f>
        <v>1.0028595565479703</v>
      </c>
      <c r="AC48" s="191"/>
      <c r="AD48" s="191">
        <f>AD24/$B$24</f>
        <v>1.0016159270126985</v>
      </c>
      <c r="AE48" s="191"/>
      <c r="AF48" s="191">
        <f>AF24/$B$24</f>
        <v>0.99996717701567073</v>
      </c>
      <c r="AG48" s="191"/>
      <c r="AH48" s="191">
        <f>AH24/$B$24</f>
        <v>0.99773232867257355</v>
      </c>
      <c r="AI48" s="191"/>
      <c r="AJ48" s="191">
        <f>AJ24/$B$24</f>
        <v>0.99445417075314213</v>
      </c>
      <c r="AK48" s="191"/>
      <c r="AL48" s="191">
        <f>AL24/$B$24</f>
        <v>0.98922143585713906</v>
      </c>
      <c r="AM48" s="191"/>
      <c r="AN48" s="191">
        <f>AN24/$B$24</f>
        <v>0.98068270155508119</v>
      </c>
      <c r="AO48" s="191"/>
      <c r="AP48" s="191">
        <f>AP24/$B$24</f>
        <v>0.97858785497047551</v>
      </c>
      <c r="AQ48" s="191"/>
      <c r="AR48" s="191">
        <f>AR24/$B$24</f>
        <v>0.97663806973189848</v>
      </c>
      <c r="AS48" s="191"/>
      <c r="AT48" s="191">
        <f>AT24/$B$24</f>
        <v>0</v>
      </c>
      <c r="AU48" s="191"/>
      <c r="AV48" s="191">
        <f>AV24/$B$24</f>
        <v>0</v>
      </c>
    </row>
    <row r="49" spans="1:48 16321:16384" x14ac:dyDescent="0.2">
      <c r="A49" t="s">
        <v>160</v>
      </c>
      <c r="B49" s="191">
        <f>B13/B35/$B$13*$B$35</f>
        <v>1</v>
      </c>
      <c r="C49" s="191"/>
      <c r="D49" s="191">
        <f>D13/D35/$B$13*$B$35</f>
        <v>0.99756062176003057</v>
      </c>
      <c r="E49" s="191"/>
      <c r="F49" s="191">
        <f>F13/F35/$B$13*$B$35</f>
        <v>0.99486712981208469</v>
      </c>
      <c r="G49" s="191"/>
      <c r="H49" s="191">
        <f>H13/H35/$B$13*$B$35</f>
        <v>0.99188608067007433</v>
      </c>
      <c r="I49" s="191"/>
      <c r="J49" s="191">
        <f>J13/J35/$B$13*$B$35</f>
        <v>0.98857601488804081</v>
      </c>
      <c r="K49" s="191"/>
      <c r="L49" s="191">
        <f>L13/L35/$B$13*$B$35</f>
        <v>0.98488491584180804</v>
      </c>
      <c r="M49" s="191"/>
      <c r="N49" s="191">
        <f>N13/N35/$B$13*$B$35</f>
        <v>0.98074575330648894</v>
      </c>
      <c r="O49" s="191"/>
      <c r="P49" s="191">
        <f>P13/P35/$B$13*$B$35</f>
        <v>0.97607042273910438</v>
      </c>
      <c r="Q49" s="191"/>
      <c r="R49" s="191">
        <f>R13/R35/$B$13*$B$35</f>
        <v>0.97074015273194436</v>
      </c>
      <c r="S49" s="191"/>
      <c r="T49" s="191">
        <f>T13/T35/$B$13*$B$35</f>
        <v>0.96459001157966207</v>
      </c>
      <c r="U49" s="191"/>
      <c r="V49" s="191">
        <f>V13/V35/$B$13*$B$35</f>
        <v>0.95738389419859005</v>
      </c>
      <c r="W49" s="191"/>
      <c r="X49" s="191">
        <f>X13/X35/$B$13*$B$35</f>
        <v>0.94877198994963052</v>
      </c>
      <c r="Y49" s="191"/>
      <c r="Z49" s="191">
        <f>Z13/Z35/$B$13*$B$35</f>
        <v>0.93821689188391699</v>
      </c>
      <c r="AA49" s="191"/>
      <c r="AB49" s="191">
        <f>AB13/AB35/$B$13*$B$35</f>
        <v>0.92486375192773063</v>
      </c>
      <c r="AC49" s="191"/>
      <c r="AD49" s="191">
        <f>AD13/AD35/$B$13*$B$35</f>
        <v>0.90731625176763009</v>
      </c>
      <c r="AE49" s="191"/>
      <c r="AF49" s="191">
        <f>AF13/AF35/$B$13*$B$35</f>
        <v>0.88327164539877945</v>
      </c>
      <c r="AG49" s="191"/>
      <c r="AH49" s="191">
        <f>AH13/AH35/$B$13*$B$35</f>
        <v>0.84891082630533254</v>
      </c>
      <c r="AI49" s="191"/>
      <c r="AJ49" s="191">
        <f>AJ13/AJ35/$B$13*$B$35</f>
        <v>0.79732723923652049</v>
      </c>
      <c r="AK49" s="191"/>
      <c r="AL49" s="191">
        <f>AL13/AL35/$B$13*$B$35</f>
        <v>0.71259425784369268</v>
      </c>
      <c r="AM49" s="191"/>
      <c r="AN49" s="191">
        <f>AN13/AN35/$B$13*$B$35</f>
        <v>0.54436548250279315</v>
      </c>
      <c r="AO49" s="191"/>
      <c r="AP49" s="191">
        <f>AP13/AP35/$B$13*$B$35</f>
        <v>0.48805169588303965</v>
      </c>
      <c r="AQ49" s="191"/>
      <c r="AR49" s="191">
        <f>AR13/AR35/$B$13*$B$35</f>
        <v>0.41741284072101043</v>
      </c>
      <c r="AS49" s="191"/>
      <c r="AT49" s="191" t="e">
        <f>AT13/AT35/$B$13*$B$35</f>
        <v>#DIV/0!</v>
      </c>
      <c r="AU49" s="191"/>
      <c r="AV49" s="191" t="e">
        <f>AV13/AV35/$B$13*$B$35</f>
        <v>#DIV/0!</v>
      </c>
    </row>
    <row r="51" spans="1:48 16321:16384" x14ac:dyDescent="0.2">
      <c r="A51" t="s">
        <v>166</v>
      </c>
      <c r="B51" s="29">
        <f>B30-B10*B23</f>
        <v>-405838.32800000021</v>
      </c>
      <c r="D51" s="29">
        <f>D30-D10*D23</f>
        <v>-371726.49728674395</v>
      </c>
      <c r="F51" s="29">
        <f>F30-F10*F23</f>
        <v>-337390.14197395556</v>
      </c>
      <c r="H51" s="29">
        <f>H30-H10*H23</f>
        <v>-302792.61224253103</v>
      </c>
      <c r="J51" s="29">
        <f>J30-J10*J23</f>
        <v>-267885.63301304029</v>
      </c>
      <c r="L51" s="29">
        <f>L30-L10*L23</f>
        <v>-232604.55333395256</v>
      </c>
      <c r="N51" s="29">
        <f>N30-N10*N23</f>
        <v>-196857.7916654693</v>
      </c>
      <c r="P51" s="29">
        <f>P30-P10*P23</f>
        <v>-160512.50458107144</v>
      </c>
      <c r="R51" s="29">
        <f>R30-R10*R23</f>
        <v>-123369.19560147496</v>
      </c>
      <c r="T51" s="29">
        <f>T30-T10*T23</f>
        <v>-85120.687026496511</v>
      </c>
      <c r="V51" s="29">
        <f>V30-V10*V23</f>
        <v>-45281.11756809894</v>
      </c>
      <c r="X51" s="29">
        <f>X30-X10*X23</f>
        <v>-3064.0149259702303</v>
      </c>
      <c r="Z51" s="29">
        <f>Z30-Z10*Z23</f>
        <v>42826.618997418787</v>
      </c>
      <c r="AB51" s="29">
        <f>AB30-AB10*AB23</f>
        <v>94542.87710252963</v>
      </c>
      <c r="AD51" s="29">
        <f>AD30-AD10*AD23</f>
        <v>155584.0262071765</v>
      </c>
      <c r="AF51" s="29">
        <f>AF30-AF10*AF23</f>
        <v>231202.53430481721</v>
      </c>
      <c r="AH51" s="29">
        <f>AH30-AH10*AH23</f>
        <v>328100.03004909214</v>
      </c>
      <c r="AJ51" s="29">
        <f>AJ30-AJ10*AJ23</f>
        <v>454200.0765858409</v>
      </c>
      <c r="AL51" s="29">
        <f>AL30-AL10*AL23</f>
        <v>626082.88320602616</v>
      </c>
      <c r="AN51" s="29">
        <f>AN30-AN10*AN23</f>
        <v>916257.96684762789</v>
      </c>
      <c r="AP51" s="29">
        <f>AP30-AP10*AP23</f>
        <v>1014252.3664664607</v>
      </c>
      <c r="AQ51" s="29"/>
      <c r="AR51" s="29">
        <f>AR30-AR10*AR23</f>
        <v>1146844.9569001412</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2046387.4125936518</v>
      </c>
      <c r="F52" s="29">
        <f t="array" ref="F52">Calibration!sL*SUM(F13:G13*F26:G26)</f>
        <v>2043306.5076514571</v>
      </c>
      <c r="H52" s="29">
        <f t="array" ref="H52">Calibration!sL*SUM(H13:I13*H26:I26)</f>
        <v>2039979.2844030028</v>
      </c>
      <c r="J52" s="29">
        <f t="array" ref="J52">Calibration!sL*SUM(J13:K13*J26:K26)</f>
        <v>2036375.5467326695</v>
      </c>
      <c r="L52" s="29">
        <f t="array" ref="L52">Calibration!sL*SUM(L13:M13*L26:M26)</f>
        <v>2032460.1151250722</v>
      </c>
      <c r="N52" s="29">
        <f t="array" ref="N52">Calibration!sL*SUM(N13:O13*N26:O26)</f>
        <v>2028191.0677207015</v>
      </c>
      <c r="P52" s="29">
        <f t="array" ref="P52">Calibration!sL*SUM(P13:Q13*P26:Q26)</f>
        <v>2023518.1395906673</v>
      </c>
      <c r="R52" s="29">
        <f t="array" ref="R52">Calibration!sL*SUM(R13:S13*R26:S26)</f>
        <v>2018380.2196958922</v>
      </c>
      <c r="T52" s="29">
        <f t="array" ref="T52">Calibration!sL*SUM(T13:U13*T26:U26)</f>
        <v>2012701.2279580266</v>
      </c>
      <c r="V52" s="29">
        <f t="array" ref="V52">Calibration!sL*SUM(V13:W13*V26:W26)</f>
        <v>2006384.5045442788</v>
      </c>
      <c r="X52" s="29">
        <f t="array" ref="X52">Calibration!sL*SUM(X13:Y13*X26:Y26)</f>
        <v>1999303.4815885026</v>
      </c>
      <c r="Z52" s="29">
        <f t="array" ref="Z52">Calibration!sL*SUM(Z13:AA13*Z26:AA26)</f>
        <v>1991285.7782260631</v>
      </c>
      <c r="AB52" s="29">
        <f t="array" ref="AB52">Calibration!sL*SUM(AB13:AC13*AB26:AC26)</f>
        <v>1982084.4509710511</v>
      </c>
      <c r="AD52" s="29">
        <f t="array" ref="AD52">Calibration!sL*SUM(AD13:AE13*AD26:AE26)</f>
        <v>1971320.0339521214</v>
      </c>
      <c r="AF52" s="29">
        <f t="array" ref="AF52">Calibration!sL*SUM(AF13:AG13*AF26:AG26)</f>
        <v>1958350.7545924664</v>
      </c>
      <c r="AH52" s="29">
        <f t="array" ref="AH52">Calibration!sL*SUM(AH13:AI13*AH26:AI26)</f>
        <v>1941965.8070263197</v>
      </c>
      <c r="AJ52" s="29">
        <f t="array" ref="AJ52">Calibration!sL*SUM(AJ13:AK13*AJ26:AK26)</f>
        <v>1919675.4693273739</v>
      </c>
      <c r="AL52" s="29">
        <f t="array" ref="AL52">Calibration!sL*SUM(AL13:AM13*AL26:AM26)</f>
        <v>1885836.6752145467</v>
      </c>
      <c r="AN52" s="29">
        <f t="array" ref="AN52">Calibration!sL*SUM(AN13:AO13*AN26:AO26)</f>
        <v>1823142.9525436026</v>
      </c>
      <c r="AP52" s="29">
        <f t="array" ref="AP52">Calibration!sL*SUM(AP13:AQ13*AP26:AQ26)</f>
        <v>1802178.5878317333</v>
      </c>
      <c r="AQ52" s="29"/>
      <c r="AR52" s="29">
        <f t="array" ref="AR52">Calibration!sL*SUM(AR13:AS13*AR26:AS26)</f>
        <v>1774866.4188672754</v>
      </c>
      <c r="AT52" s="29">
        <f t="array" ref="AT52">Calibration!sL*SUM(AT13:AU13*AT26:AU26)</f>
        <v>0</v>
      </c>
      <c r="AV52" s="29">
        <f t="array" ref="AV52">Calibration!sL*SUM(AV13:AW13*AV26:AW26)</f>
        <v>0</v>
      </c>
    </row>
    <row r="53" spans="1:48 16321:16384" x14ac:dyDescent="0.2">
      <c r="A53" t="s">
        <v>168</v>
      </c>
      <c r="B53" s="29">
        <f t="array" ref="B53">Calibration!sK*SUM(B15:C15*B27:C27)</f>
        <v>2740714.4444296514</v>
      </c>
      <c r="D53" s="29">
        <f t="array" ref="D53">Calibration!sK*SUM(D15:E15*D27:E27)</f>
        <v>2728537.8978960984</v>
      </c>
      <c r="F53" s="29">
        <f t="array" ref="F53">Calibration!sK*SUM(F15:G15*F27:G27)</f>
        <v>2716077.4942691433</v>
      </c>
      <c r="H53" s="29">
        <f t="array" ref="H53">Calibration!sK*SUM(H15:I15*H27:I27)</f>
        <v>2703298.3411312229</v>
      </c>
      <c r="J53" s="29">
        <f t="array" ref="J53">Calibration!sK*SUM(J15:K15*J27:K27)</f>
        <v>2690162.031632334</v>
      </c>
      <c r="L53" s="29">
        <f t="array" ref="L53">Calibration!sK*SUM(L15:M15*L27:M27)</f>
        <v>2676626.0201771054</v>
      </c>
      <c r="N53" s="29">
        <f t="array" ref="N53">Calibration!sK*SUM(N15:O15*N27:O27)</f>
        <v>2662644.2072433038</v>
      </c>
      <c r="P53" s="29">
        <f t="array" ref="P53">Calibration!sK*SUM(P15:Q15*P27:Q27)</f>
        <v>2648166.932990605</v>
      </c>
      <c r="R53" s="29">
        <f t="array" ref="R53">Calibration!sK*SUM(R15:S15*R27:S27)</f>
        <v>2633141.8163979696</v>
      </c>
      <c r="T53" s="29">
        <f t="array" ref="T53">Calibration!sK*SUM(T15:U15*T27:U27)</f>
        <v>2617515.298610053</v>
      </c>
      <c r="V53" s="29">
        <f t="array" ref="V53">Calibration!sK*SUM(V15:W15*V27:W27)</f>
        <v>2601235.0358950486</v>
      </c>
      <c r="X53" s="29">
        <f t="array" ref="X53">Calibration!sK*SUM(X15:Y15*X27:Y27)</f>
        <v>2584253.2512859884</v>
      </c>
      <c r="Z53" s="29">
        <f t="array" ref="Z53">Calibration!sK*SUM(Z15:AA15*Z27:AA27)</f>
        <v>2566528.8074398772</v>
      </c>
      <c r="AB53" s="29">
        <f t="array" ref="AB53">Calibration!sK*SUM(AB15:AC15*AB27:AC27)</f>
        <v>2548018.1088260403</v>
      </c>
      <c r="AD53" s="29">
        <f t="array" ref="AD53">Calibration!sK*SUM(AD15:AE15*AD27:AE27)</f>
        <v>2528615.3127149185</v>
      </c>
      <c r="AF53" s="29">
        <f t="array" ref="AF53">Calibration!sK*SUM(AF15:AG15*AF27:AG27)</f>
        <v>2507921.4579795711</v>
      </c>
      <c r="AH53" s="29">
        <f t="array" ref="AH53">Calibration!sK*SUM(AH15:AI15*AH27:AI27)</f>
        <v>2484601.8122201934</v>
      </c>
      <c r="AJ53" s="29">
        <f t="array" ref="AJ53">Calibration!sK*SUM(AJ15:AK15*AJ27:AK27)</f>
        <v>2455159.0008663549</v>
      </c>
      <c r="AL53" s="29">
        <f t="array" ref="AL53">Calibration!sK*SUM(AL15:AM15*AL27:AM27)</f>
        <v>2411675.5943832677</v>
      </c>
      <c r="AN53" s="29">
        <f t="array" ref="AN53">Calibration!sK*SUM(AN15:AO15*AN27:AO27)</f>
        <v>2331483.8916672347</v>
      </c>
      <c r="AP53" s="29">
        <f t="array" ref="AP53">Calibration!sK*SUM(AP15:AQ15*AP27:AQ27)</f>
        <v>2304673.9988729996</v>
      </c>
      <c r="AQ53" s="29"/>
      <c r="AR53" s="29">
        <f t="array" ref="AR53">Calibration!sK*SUM(AR15:AS15*AR27:AS27)</f>
        <v>2269746.4489707639</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0.20081166673598788</v>
      </c>
      <c r="F55" s="193">
        <f>F30/F32</f>
        <v>0.20313493939388108</v>
      </c>
      <c r="H55" s="193">
        <f>H30/H32</f>
        <v>0.20547546110524975</v>
      </c>
      <c r="J55" s="193">
        <f>J30/J32</f>
        <v>0.20783703769501824</v>
      </c>
      <c r="L55" s="193">
        <f>L30/L32</f>
        <v>0.21022470710983446</v>
      </c>
      <c r="N55" s="193">
        <f>N30/N32</f>
        <v>0.21264547564591188</v>
      </c>
      <c r="P55" s="193">
        <f>P30/P32</f>
        <v>0.21510932724868218</v>
      </c>
      <c r="R55" s="193">
        <f>R30/R32</f>
        <v>0.21763098750387869</v>
      </c>
      <c r="T55" s="193">
        <f>T30/T32</f>
        <v>0.2202327532567718</v>
      </c>
      <c r="V55" s="193">
        <f>V30/V32</f>
        <v>0.2229493674883552</v>
      </c>
      <c r="X55" s="193">
        <f>X30/X32</f>
        <v>0.22583633811375234</v>
      </c>
      <c r="Z55" s="193">
        <f>Z30/Z32</f>
        <v>0.2289840991890171</v>
      </c>
      <c r="AB55" s="193">
        <f>AB30/AB32</f>
        <v>0.23254130497357717</v>
      </c>
      <c r="AD55" s="193">
        <f>AD30/AD32</f>
        <v>0.23674740076568351</v>
      </c>
      <c r="AF55" s="193">
        <f>AF30/AF32</f>
        <v>0.24195883509866392</v>
      </c>
      <c r="AH55" s="193">
        <f>AH30/AH32</f>
        <v>0.24862978957756934</v>
      </c>
      <c r="AJ55" s="193">
        <f>AJ30/AJ32</f>
        <v>0.25731348042822588</v>
      </c>
      <c r="AL55" s="193">
        <f>AL30/AL32</f>
        <v>0.26921811051463068</v>
      </c>
      <c r="AN55" s="193">
        <f>AN30/AN32</f>
        <v>0.28957930783405827</v>
      </c>
      <c r="AP55" s="193">
        <f>AP30/AP32</f>
        <v>0.29649931408437796</v>
      </c>
      <c r="AR55" s="193">
        <f>AR30/AR32</f>
        <v>0.30585927199788887</v>
      </c>
      <c r="AT55" s="193" t="e">
        <f>AT30/AT32</f>
        <v>#DIV/0!</v>
      </c>
      <c r="AV55" s="193" t="e">
        <f>AV30/AV32</f>
        <v>#DIV/0!</v>
      </c>
      <c r="XCS55" s="193"/>
      <c r="XFD55" s="193"/>
    </row>
    <row r="56" spans="1:48 16321:16384" x14ac:dyDescent="0.2">
      <c r="A56" t="s">
        <v>170</v>
      </c>
      <c r="B56" s="193">
        <f>(Model!$C$52*B5*B20+B2*C5*C20)/B32</f>
        <v>2.9221206744340551E-2</v>
      </c>
      <c r="D56" s="193">
        <f>(Model!$C$52*D5*D20+D2*E5*E20)/D32</f>
        <v>3.1806436172604202E-2</v>
      </c>
      <c r="F56" s="193">
        <f>(Model!$C$52*F5*F20+F2*G5*G20)/F32</f>
        <v>3.4410217374326015E-2</v>
      </c>
      <c r="H56" s="193">
        <f>(Model!$C$52*H5*H20+H2*I5*I20)/H32</f>
        <v>3.7036139459559032E-2</v>
      </c>
      <c r="J56" s="193">
        <f>(Model!$C$52*J5*J20+J2*K5*K20)/J32</f>
        <v>3.9688900579803843E-2</v>
      </c>
      <c r="L56" s="193">
        <f>(Model!$C$52*L5*L20+L2*M5*M20)/L32</f>
        <v>4.2374806254290666E-2</v>
      </c>
      <c r="N56" s="193">
        <f>(Model!$C$52*N5*N20+N2*O5*O20)/N32</f>
        <v>4.5102660716115558E-2</v>
      </c>
      <c r="P56" s="193">
        <f>(Model!$C$52*P5*P20+P2*Q5*Q20)/P32</f>
        <v>4.788508688960267E-2</v>
      </c>
      <c r="R56" s="193">
        <f>(Model!$C$52*R5*R20+R2*S5*S20)/R32</f>
        <v>5.0740769213809912E-2</v>
      </c>
      <c r="T56" s="193">
        <f>(Model!$C$52*T5*T20+T2*U5*U20)/T32</f>
        <v>5.3698027584854841E-2</v>
      </c>
      <c r="V56" s="193">
        <f>(Model!$C$52*V5*V20+V2*W5*W20)/V32</f>
        <v>5.6800980841850014E-2</v>
      </c>
      <c r="X56" s="193">
        <f>(Model!$C$52*X5*X20+X2*Y5*Y20)/X32</f>
        <v>6.0119992871658881E-2</v>
      </c>
      <c r="Z56" s="193">
        <f>(Model!$C$52*Z5*Z20+Z2*AA5*AA20)/Z32</f>
        <v>6.3769351156501008E-2</v>
      </c>
      <c r="AB56" s="193">
        <f>(Model!$C$52*AB5*AB20+AB2*AC5*AC20)/AB32</f>
        <v>6.7936085918628417E-2</v>
      </c>
      <c r="AD56" s="193">
        <f>(Model!$C$52*AD5*AD20+AD2*AE5*AE20)/AD32</f>
        <v>7.2919617847948495E-2</v>
      </c>
      <c r="AF56" s="193">
        <f>(Model!$C$52*AF5*AF20+AF2*AG5*AG20)/AF32</f>
        <v>7.9161675903827861E-2</v>
      </c>
      <c r="AH56" s="193">
        <f>(Model!$C$52*AH5*AH20+AH2*AI5*AI20)/AH32</f>
        <v>8.7216938194566787E-2</v>
      </c>
      <c r="AJ56" s="193">
        <f>(Model!$C$52*AJ5*AJ20+AJ2*AK5*AK20)/AJ32</f>
        <v>9.7748378963422408E-2</v>
      </c>
      <c r="AL56" s="193">
        <f>(Model!$C$52*AL5*AL20+AL2*AM5*AM20)/AL32</f>
        <v>0.11220774955953589</v>
      </c>
      <c r="AN56" s="193">
        <f>(Model!$C$52*AN5*AN20+AN2*AO5*AO20)/AN32</f>
        <v>0.13694546275534453</v>
      </c>
      <c r="AP56" s="193">
        <f>(Model!$C$52*AP5*AP20+AP2*AQ5*AQ20)/AP32</f>
        <v>0.14535311923931607</v>
      </c>
      <c r="AR56" s="193">
        <f>(Model!$C$52*AR5*AR20+AR2*AS5*AS20)/AR32</f>
        <v>0.15672529681146041</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0.15834618132995468</v>
      </c>
      <c r="F57" s="193">
        <f t="array" ref="F57">SUM(Model!tauL*F13:G13*F26:G26)/F32</f>
        <v>0.15816052721369953</v>
      </c>
      <c r="H57" s="193">
        <f t="array" ref="H57">SUM(Model!tauL*H13:I13*H26:I26)/H32</f>
        <v>0.15797136603309811</v>
      </c>
      <c r="J57" s="193">
        <f t="array" ref="J57">SUM(Model!tauL*J13:K13*J26:K26)/J32</f>
        <v>0.1577779938074263</v>
      </c>
      <c r="L57" s="193">
        <f t="array" ref="L57">SUM(Model!tauL*L13:M13*L26:M26)/L32</f>
        <v>0.1575793513876953</v>
      </c>
      <c r="N57" s="193">
        <f t="array" ref="N57">SUM(Model!tauL*N13:O13*N26:O26)/N32</f>
        <v>0.15737385445640267</v>
      </c>
      <c r="P57" s="193">
        <f t="array" ref="P57">SUM(Model!tauL*P13:Q13*P26:Q26)/P32</f>
        <v>0.1571590786347947</v>
      </c>
      <c r="R57" s="193">
        <f t="array" ref="R57">SUM(Model!tauL*R13:S13*R26:S26)/R32</f>
        <v>0.1569312644345148</v>
      </c>
      <c r="T57" s="193">
        <f t="array" ref="T57">SUM(Model!tauL*T13:U13*T26:U26)/T32</f>
        <v>0.15668453519570158</v>
      </c>
      <c r="V57" s="193">
        <f t="array" ref="V57">SUM(Model!tauL*V13:W13*V26:W26)/V32</f>
        <v>0.15640955807074253</v>
      </c>
      <c r="X57" s="193">
        <f t="array" ref="X57">SUM(Model!tauL*X13:Y13*X26:Y26)/X32</f>
        <v>0.15609132471113721</v>
      </c>
      <c r="Y57" s="193"/>
      <c r="Z57" s="193">
        <f t="array" ref="Z57">SUM(Model!tauL*Z13:AA13*Z26:AA26)/Z32</f>
        <v>0.15570548795039585</v>
      </c>
      <c r="AB57" s="193">
        <f t="array" ref="AB57">SUM(Model!tauL*AB13:AC13*AB26:AC26)/AB32</f>
        <v>0.15521264950384939</v>
      </c>
      <c r="AD57" s="193">
        <f t="array" ref="AD57">SUM(Model!tauL*AD13:AE13*AD26:AE26)/AD32</f>
        <v>0.15455119211892193</v>
      </c>
      <c r="AF57" s="193">
        <f t="array" ref="AF57">SUM(Model!tauL*AF13:AG13*AF26:AG26)/AF32</f>
        <v>0.15363415345378664</v>
      </c>
      <c r="AH57" s="193">
        <f t="array" ref="AH57">SUM(Model!tauL*AH13:AI13*AH26:AI26)/AH32</f>
        <v>0.15236180061205179</v>
      </c>
      <c r="AJ57" s="193">
        <f t="array" ref="AJ57">SUM(Model!tauL*AJ13:AK13*AJ26:AK26)/AJ32</f>
        <v>0.15063245717474502</v>
      </c>
      <c r="AL57" s="193">
        <f t="array" ref="AL57">SUM(Model!tauL*AL13:AM13*AL26:AM26)/AL32</f>
        <v>0.14822497039898955</v>
      </c>
      <c r="AN57" s="193">
        <f t="array" ref="AN57">SUM(Model!tauL*AN13:AO13*AN26:AO26)/AN32</f>
        <v>0.14409567014489791</v>
      </c>
      <c r="AP57" s="193">
        <f t="array" ref="AP57">SUM(Model!tauL*AP13:AQ13*AP26:AQ26)/AP32</f>
        <v>0.14269207869537676</v>
      </c>
      <c r="AR57" s="193">
        <f t="array" ref="AR57">SUM(Model!tauL*AR13:AS13*AR26:AS26)/AR32</f>
        <v>0.14079358537590728</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1.0659049233429007E-2</v>
      </c>
      <c r="F58" s="193">
        <f t="array" ref="F58">SUM(Model!tauY/(1+Model!tauY)*F3:G3*F18:G18)/F32</f>
        <v>1.0564194805855567E-2</v>
      </c>
      <c r="H58" s="193">
        <f t="array" ref="H58">SUM(Model!tauY/(1+Model!tauY)*H3:I3*H18:I18)/H32</f>
        <v>1.046795561259257E-2</v>
      </c>
      <c r="J58" s="193">
        <f t="array" ref="J58">SUM(Model!tauY/(1+Model!tauY)*J3:K3*J18:K18)/J32</f>
        <v>1.0370143307788095E-2</v>
      </c>
      <c r="L58" s="193">
        <f t="array" ref="L58">SUM(Model!tauY/(1+Model!tauY)*L3:M3*L18:M18)/L32</f>
        <v>1.0270549467848457E-2</v>
      </c>
      <c r="N58" s="193">
        <f t="array" ref="N58">SUM(Model!tauY/(1+Model!tauY)*N3:O3*N18:O18)/N32</f>
        <v>1.0168960473393631E-2</v>
      </c>
      <c r="P58" s="193">
        <f t="array" ref="P58">SUM(Model!tauY/(1+Model!tauY)*P3:Q3*P18:Q18)/P32</f>
        <v>1.006516172428481E-2</v>
      </c>
      <c r="R58" s="193">
        <f t="array" ref="R58">SUM(Model!tauY/(1+Model!tauY)*R3:S3*R18:S18)/R32</f>
        <v>9.9589538555539744E-3</v>
      </c>
      <c r="T58" s="193">
        <f t="array" ref="T58">SUM(Model!tauY/(1+Model!tauY)*T3:U3*T18:U18)/T32</f>
        <v>9.850190476215416E-3</v>
      </c>
      <c r="V58" s="193">
        <f t="array" ref="V58">SUM(Model!tauY/(1+Model!tauY)*V3:W3*V18:W18)/V32</f>
        <v>9.7388285757627046E-3</v>
      </c>
      <c r="X58" s="193">
        <f t="array" ref="X58">SUM(Model!tauY/(1+Model!tauY)*X3:Y3*X18:Y18)/X32</f>
        <v>9.6250205309562804E-3</v>
      </c>
      <c r="Y58" s="193"/>
      <c r="Z58" s="193">
        <f t="array" ref="Z58">SUM(Model!tauY/(1+Model!tauY)*Z3:AA3*Z18:AA18)/Z32</f>
        <v>9.5092600821202519E-3</v>
      </c>
      <c r="AB58" s="193">
        <f t="array" ref="AB58">SUM(Model!tauY/(1+Model!tauY)*AB3:AC3*AB18:AC18)/AB32</f>
        <v>9.3925695510993605E-3</v>
      </c>
      <c r="AD58" s="193">
        <f t="array" ref="AD58">SUM(Model!tauY/(1+Model!tauY)*AD3:AE3*AD18:AE18)/AD32</f>
        <v>9.2765907988131037E-3</v>
      </c>
      <c r="AF58" s="193">
        <f t="array" ref="AF58">SUM(Model!tauY/(1+Model!tauY)*AF3:AG3*AF18:AG18)/AF32</f>
        <v>9.1630057410494146E-3</v>
      </c>
      <c r="AH58" s="193">
        <f t="array" ref="AH58">SUM(Model!tauY/(1+Model!tauY)*AH3:AI3*AH18:AI18)/AH32</f>
        <v>9.0510507709507734E-3</v>
      </c>
      <c r="AJ58" s="193">
        <f t="array" ref="AJ58">SUM(Model!tauY/(1+Model!tauY)*AJ3:AK3*AJ18:AK18)/AJ32</f>
        <v>8.9326442900584495E-3</v>
      </c>
      <c r="AL58" s="193">
        <f t="array" ref="AL58">SUM(Model!tauY/(1+Model!tauY)*AL3:AM3*AL18:AM18)/AL32</f>
        <v>8.7853905561052666E-3</v>
      </c>
      <c r="AN58" s="193">
        <f t="array" ref="AN58">SUM(Model!tauY/(1+Model!tauY)*AN3:AO3*AN18:AO18)/AN32</f>
        <v>8.5381749338158449E-3</v>
      </c>
      <c r="AP58" s="193">
        <f t="array" ref="AP58">SUM(Model!tauY/(1+Model!tauY)*AP3:AQ3*AP18:AQ18)/AP32</f>
        <v>8.4541161496850675E-3</v>
      </c>
      <c r="AR58" s="193">
        <f t="array" ref="AR58">SUM(Model!tauY/(1+Model!tauY)*AR3:AS3*AR18:AS18)/AR32</f>
        <v>8.3403898105211833E-3</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3.182631299093042E-3</v>
      </c>
      <c r="F59" s="193">
        <f>(F2*G5*G20)/F32</f>
        <v>5.8330346522197374E-3</v>
      </c>
      <c r="H59" s="193">
        <f>(H2*I5*I20)/H32</f>
        <v>8.5066794448306685E-3</v>
      </c>
      <c r="J59" s="193">
        <f>(J2*K5*K20)/J32</f>
        <v>1.1208432878095431E-2</v>
      </c>
      <c r="L59" s="193">
        <f>(L2*M5*M20)/L32</f>
        <v>1.3944816733315525E-2</v>
      </c>
      <c r="N59" s="193">
        <f>(N2*O5*O20)/N32</f>
        <v>1.672491313368563E-2</v>
      </c>
      <c r="P59" s="193">
        <f>(P2*Q5*Q20)/P32</f>
        <v>1.9561715354305405E-2</v>
      </c>
      <c r="R59" s="193">
        <f>(R2*S5*S20)/R32</f>
        <v>2.2474416605175108E-2</v>
      </c>
      <c r="T59" s="193">
        <f>(T2*U5*U20)/T32</f>
        <v>2.5492053869959761E-2</v>
      </c>
      <c r="V59" s="193">
        <f>(V2*W5*W20)/V32</f>
        <v>2.8659794361541605E-2</v>
      </c>
      <c r="X59" s="193">
        <f>(X2*Y5*Y20)/X32</f>
        <v>3.204958670854386E-2</v>
      </c>
      <c r="Z59" s="193">
        <f>(Z2*AA5*AA20)/Z32</f>
        <v>3.5778190839917644E-2</v>
      </c>
      <c r="AB59" s="193">
        <f>(AB2*AC5*AC20)/AB32</f>
        <v>4.0036593443923775E-2</v>
      </c>
      <c r="AD59" s="193">
        <f>(AD2*AE5*AE20)/AD32</f>
        <v>4.5130581813396589E-2</v>
      </c>
      <c r="AF59" s="193">
        <f>(AF2*AG5*AG20)/AF32</f>
        <v>5.1511805821665951E-2</v>
      </c>
      <c r="AH59" s="193">
        <f>(AH2*AI5*AI20)/AH32</f>
        <v>5.974948140399438E-2</v>
      </c>
      <c r="AJ59" s="193">
        <f>(AJ2*AK5*AK20)/AJ32</f>
        <v>7.0529295641288819E-2</v>
      </c>
      <c r="AL59" s="193">
        <f>(AL2*AM5*AM20)/AL32</f>
        <v>8.5356103467387853E-2</v>
      </c>
      <c r="AN59" s="193">
        <f>(AN2*AO5*AO20)/AN32</f>
        <v>0.11079096064474173</v>
      </c>
      <c r="AP59" s="193">
        <f>(AP2*AQ5*AQ20)/AP32</f>
        <v>0.11944954918205834</v>
      </c>
      <c r="AR59" s="193">
        <f>(AR2*AS5*AS20)/AR32</f>
        <v>0.13116808829285456</v>
      </c>
      <c r="AT59" s="193" t="e">
        <f>(AT2*AU5*AU20)/AT32</f>
        <v>#DIV/0!</v>
      </c>
      <c r="AV59" s="193" t="e">
        <f>(AV2*AW5*AW20)/AV32</f>
        <v>#DIV/0!</v>
      </c>
      <c r="XFD59" s="193"/>
    </row>
    <row r="60" spans="1:48 16321:16384" x14ac:dyDescent="0.2">
      <c r="A60" t="s">
        <v>174</v>
      </c>
      <c r="B60" s="193">
        <f>Model!$C$52*B5*B20/B32</f>
        <v>2.8669464423930927E-2</v>
      </c>
      <c r="D60" s="193">
        <f>Model!$C$52*D5*D20/D32</f>
        <v>2.8623804873511158E-2</v>
      </c>
      <c r="F60" s="193">
        <f>Model!$C$52*F5*F20/F32</f>
        <v>2.8577182722106281E-2</v>
      </c>
      <c r="H60" s="193">
        <f>Model!$C$52*H5*H20/H32</f>
        <v>2.8529460014728364E-2</v>
      </c>
      <c r="J60" s="193">
        <f>Model!$C$52*J5*J20/J32</f>
        <v>2.8480467701708412E-2</v>
      </c>
      <c r="L60" s="193">
        <f>Model!$C$52*L5*L20/L32</f>
        <v>2.8429989520975137E-2</v>
      </c>
      <c r="N60" s="193">
        <f>Model!$C$52*N5*N20/N32</f>
        <v>2.8377747582429929E-2</v>
      </c>
      <c r="P60" s="193">
        <f>Model!$C$52*P5*P20/P32</f>
        <v>2.8323371535297272E-2</v>
      </c>
      <c r="R60" s="193">
        <f>Model!$C$52*R5*R20/R32</f>
        <v>2.8266352608634807E-2</v>
      </c>
      <c r="T60" s="193">
        <f>Model!$C$52*T5*T20/T32</f>
        <v>2.8205973714895072E-2</v>
      </c>
      <c r="V60" s="193">
        <f>Model!$C$52*V5*V20/V32</f>
        <v>2.814118648030841E-2</v>
      </c>
      <c r="X60" s="193">
        <f>Model!$C$52*X5*X20/X32</f>
        <v>2.8070406163115024E-2</v>
      </c>
      <c r="Z60" s="193">
        <f>Model!$C$52*Z5*Z20/Z32</f>
        <v>2.7991160316583358E-2</v>
      </c>
      <c r="AB60" s="193">
        <f>Model!$C$52*AB5*AB20/AB32</f>
        <v>2.7899492474704642E-2</v>
      </c>
      <c r="AD60" s="193">
        <f>Model!$C$52*AD5*AD20/AD32</f>
        <v>2.7789036034551916E-2</v>
      </c>
      <c r="AF60" s="193">
        <f>Model!$C$52*AF5*AF20/AF32</f>
        <v>2.7649870082161913E-2</v>
      </c>
      <c r="AH60" s="193">
        <f>Model!$C$52*AH5*AH20/AH32</f>
        <v>2.7467456790572411E-2</v>
      </c>
      <c r="AJ60" s="193">
        <f>Model!$C$52*AJ5*AJ20/AJ32</f>
        <v>2.7219083322133582E-2</v>
      </c>
      <c r="AL60" s="193">
        <f>Model!$C$52*AL5*AL20/AL32</f>
        <v>2.6851646092148025E-2</v>
      </c>
      <c r="AN60" s="193">
        <f>Model!$C$52*AN5*AN20/AN32</f>
        <v>2.6154502110602804E-2</v>
      </c>
      <c r="AP60" s="193">
        <f>Model!$C$52*AP5*AP20/AP32</f>
        <v>2.5903570057257744E-2</v>
      </c>
      <c r="AR60" s="193">
        <f>Model!$C$52*AR5*AR20/AR32</f>
        <v>2.555720851860583E-2</v>
      </c>
      <c r="AT60" s="193" t="e">
        <f>Model!$C$52*AT5*AT20/AT32</f>
        <v>#DIV/0!</v>
      </c>
      <c r="AV60" s="193" t="e">
        <f>Model!$C$52*AV5*AV20/AV32</f>
        <v>#DIV/0!</v>
      </c>
      <c r="XFD60" s="193"/>
    </row>
    <row r="62" spans="1:48 16321:16384" x14ac:dyDescent="0.2">
      <c r="A62" t="s">
        <v>175</v>
      </c>
      <c r="B62">
        <f>B13/B15</f>
        <v>1</v>
      </c>
      <c r="D62">
        <f>D13/D15</f>
        <v>1.0030606087463778</v>
      </c>
      <c r="F62">
        <f>F13/F15</f>
        <v>1.0061452285766508</v>
      </c>
      <c r="H62">
        <f>H13/H15</f>
        <v>1.0092554110574667</v>
      </c>
      <c r="J62">
        <f>J13/J15</f>
        <v>1.0123920899784176</v>
      </c>
      <c r="L62">
        <f>L13/L15</f>
        <v>1.015555455513665</v>
      </c>
      <c r="N62">
        <f>N13/N15</f>
        <v>1.0187439320264453</v>
      </c>
      <c r="P62">
        <f>P13/P15</f>
        <v>1.0219533009474246</v>
      </c>
      <c r="R62">
        <f>R13/R15</f>
        <v>1.0251750777895554</v>
      </c>
      <c r="T62">
        <f>T13/T15</f>
        <v>1.0283936623834136</v>
      </c>
      <c r="V62">
        <f>V13/V15</f>
        <v>1.0315822900954785</v>
      </c>
      <c r="X62">
        <f>X13/X15</f>
        <v>1.0346964508007575</v>
      </c>
      <c r="Z62">
        <f>Z13/Z15</f>
        <v>1.0376640138741666</v>
      </c>
      <c r="AB62">
        <f>AB13/AB15</f>
        <v>1.0403727077659193</v>
      </c>
      <c r="AD62">
        <f>AD13/AD15</f>
        <v>1.0426623193704356</v>
      </c>
      <c r="AF62">
        <f>AF13/AF15</f>
        <v>1.044349481022762</v>
      </c>
      <c r="AH62">
        <f>AH13/AH15</f>
        <v>1.0453316220879638</v>
      </c>
      <c r="AJ62">
        <f>AJ13/AJ15</f>
        <v>1.0457250203215094</v>
      </c>
      <c r="AL62">
        <f>AL13/AL15</f>
        <v>1.0458141078279792</v>
      </c>
      <c r="AN62">
        <f>AN13/AN15</f>
        <v>1.0458216082514007</v>
      </c>
      <c r="AP62">
        <f>AP13/AP15</f>
        <v>1.045821655164211</v>
      </c>
      <c r="AR62">
        <f>AR13/AR15</f>
        <v>1.0458216646041487</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0.99893395759561687</v>
      </c>
      <c r="E65" s="191"/>
      <c r="F65" s="191">
        <f t="array" ref="F65">SQRT((F9:G9*$B$22:$C$22+F10:G10*$B$23:$C$23+F11:G11*$B$24:$C$24+F4:G4*($B$25:$C$25-$B$19:$C$19))/($B$9:$C$9*$B$22:$C$22+$B$10:$C$10*$B$23:$C$23+$B$11:$C$11*$B$24:$C$24+$B$4:$C$4*($B$25:$C$25-$B$19:$C$19))*(F9:G9*F22:G22+F10:G10*F23:G23+F11:G11*F24:G24+F4:G4*(F25:G25-F19:G19))/($B$9:$C$9*F22:G22+$B$10:$C$10*F23:G23+$B$11:$C$11*F24:G24+$B$4:$C$4*(F25:G25-F19:G19)))</f>
        <v>0.99785517760815878</v>
      </c>
      <c r="G65" s="191"/>
      <c r="H65" s="191">
        <f t="array" ref="H65">SQRT((H9:I9*$B$22:$C$22+H10:I10*$B$23:$C$23+H11:I11*$B$24:$C$24+H4:I4*($B$25:$C$25-$B$19:$C$19))/($B$9:$C$9*$B$22:$C$22+$B$10:$C$10*$B$23:$C$23+$B$11:$C$11*$B$24:$C$24+$B$4:$C$4*($B$25:$C$25-$B$19:$C$19))*(H9:I9*H22:I22+H10:I10*H23:I23+H11:I11*H24:I24+H4:I4*(H25:I25-H19:I19))/($B$9:$C$9*H22:I22+$B$10:$C$10*H23:I23+$B$11:$C$11*H24:I24+$B$4:$C$4*(H25:I25-H19:I19)))</f>
        <v>0.99676171722921658</v>
      </c>
      <c r="I65" s="191"/>
      <c r="J65" s="191">
        <f t="array" ref="J65">SQRT((J9:K9*$B$22:$C$22+J10:K10*$B$23:$C$23+J11:K11*$B$24:$C$24+J4:K4*($B$25:$C$25-$B$19:$C$19))/($B$9:$C$9*$B$22:$C$22+$B$10:$C$10*$B$23:$C$23+$B$11:$C$11*$B$24:$C$24+$B$4:$C$4*($B$25:$C$25-$B$19:$C$19))*(J9:K9*J22:K22+J10:K10*J23:K23+J11:K11*J24:K24+J4:K4*(J25:K25-J19:K19))/($B$9:$C$9*J22:K22+$B$10:$C$10*J23:K23+$B$11:$C$11*J24:K24+$B$4:$C$4*(J25:K25-J19:K19)))</f>
        <v>0.99565211575030843</v>
      </c>
      <c r="K65" s="191"/>
      <c r="L65" s="191">
        <f t="array" ref="L65">SQRT((L9:M9*$B$22:$C$22+L10:M10*$B$23:$C$23+L11:M11*$B$24:$C$24+L4:M4*($B$25:$C$25-$B$19:$C$19))/($B$9:$C$9*$B$22:$C$22+$B$10:$C$10*$B$23:$C$23+$B$11:$C$11*$B$24:$C$24+$B$4:$C$4*($B$25:$C$25-$B$19:$C$19))*(L9:M9*L22:M22+L10:M10*L23:M23+L11:M11*L24:M24+L4:M4*(L25:M25-L19:M19))/($B$9:$C$9*L22:M22+$B$10:$C$10*L23:M23+$B$11:$C$11*L24:M24+$B$4:$C$4*(L25:M25-L19:M19)))</f>
        <v>0.99452586099814833</v>
      </c>
      <c r="M65" s="191"/>
      <c r="N65" s="191">
        <f t="array" ref="N65">SQRT((N9:O9*$B$22:$C$22+N10:O10*$B$23:$C$23+N11:O11*$B$24:$C$24+N4:O4*($B$25:$C$25-$B$19:$C$19))/($B$9:$C$9*$B$22:$C$22+$B$10:$C$10*$B$23:$C$23+$B$11:$C$11*$B$24:$C$24+$B$4:$C$4*($B$25:$C$25-$B$19:$C$19))*(N9:O9*N22:O22+N10:O10*N23:O23+N11:O11*N24:O24+N4:O4*(N25:O25-N19:O19))/($B$9:$C$9*N22:O22+$B$10:$C$10*N23:O23+$B$11:$C$11*N24:O24+$B$4:$C$4*(N25:O25-N19:O19)))</f>
        <v>0.99338413769548062</v>
      </c>
      <c r="O65" s="191"/>
      <c r="P65" s="191">
        <f t="array" ref="P65">SQRT((P9:Q9*$B$22:$C$22+P10:Q10*$B$23:$C$23+P11:Q11*$B$24:$C$24+P4:Q4*($B$25:$C$25-$B$19:$C$19))/($B$9:$C$9*$B$22:$C$22+$B$10:$C$10*$B$23:$C$23+$B$11:$C$11*$B$24:$C$24+$B$4:$C$4*($B$25:$C$25-$B$19:$C$19))*(P9:Q9*P22:Q22+P10:Q10*P23:Q23+P11:Q11*P24:Q24+P4:Q4*(P25:Q25-P19:Q19))/($B$9:$C$9*P22:Q22+$B$10:$C$10*P23:Q23+$B$11:$C$11*P24:Q24+$B$4:$C$4*(P25:Q25-P19:Q19)))</f>
        <v>0.99223102923725504</v>
      </c>
      <c r="Q65" s="191"/>
      <c r="R65" s="191">
        <f t="array" ref="R65">SQRT((R9:S9*$B$22:$C$22+R10:S10*$B$23:$C$23+R11:S11*$B$24:$C$24+R4:S4*($B$25:$C$25-$B$19:$C$19))/($B$9:$C$9*$B$22:$C$22+$B$10:$C$10*$B$23:$C$23+$B$11:$C$11*$B$24:$C$24+$B$4:$C$4*($B$25:$C$25-$B$19:$C$19))*(R9:S9*R22:S22+R10:S10*R23:S23+R11:S11*R24:S24+R4:S4*(R25:S25-R19:S19))/($B$9:$C$9*R22:S22+$B$10:$C$10*R23:S23+$B$11:$C$11*R24:S24+$B$4:$C$4*(R25:S25-R19:S19)))</f>
        <v>0.99107547132313423</v>
      </c>
      <c r="S65" s="191"/>
      <c r="T65" s="191">
        <f t="array" ref="T65">SQRT((T9:U9*$B$22:$C$22+T10:U10*$B$23:$C$23+T11:U11*$B$24:$C$24+T4:U4*($B$25:$C$25-$B$19:$C$19))/($B$9:$C$9*$B$22:$C$22+$B$10:$C$10*$B$23:$C$23+$B$11:$C$11*$B$24:$C$24+$B$4:$C$4*($B$25:$C$25-$B$19:$C$19))*(T9:U9*T22:U22+T10:U10*T23:U23+T11:U11*T24:U24+T4:U4*(T25:U25-T19:U19))/($B$9:$C$9*T22:U22+$B$10:$C$10*T23:U23+$B$11:$C$11*T24:U24+$B$4:$C$4*(T25:U25-T19:U19)))</f>
        <v>0.98993440632132246</v>
      </c>
      <c r="U65" s="191"/>
      <c r="V65" s="191">
        <f t="array" ref="V65">SQRT((V9:W9*$B$22:$C$22+V10:W10*$B$23:$C$23+V11:W11*$B$24:$C$24+V4:W4*($B$25:$C$25-$B$19:$C$19))/($B$9:$C$9*$B$22:$C$22+$B$10:$C$10*$B$23:$C$23+$B$11:$C$11*$B$24:$C$24+$B$4:$C$4*($B$25:$C$25-$B$19:$C$19))*(V9:W9*V22:W22+V10:W10*V23:W23+V11:W11*V24:W24+V4:W4*(V25:W25-V19:W19))/($B$9:$C$9*V22:W22+$B$10:$C$10*V23:W23+$B$11:$C$11*V24:W24+$B$4:$C$4*(V25:W25-V19:W19)))</f>
        <v>0.98883800907255504</v>
      </c>
      <c r="W65" s="191"/>
      <c r="X65" s="191">
        <f t="array" ref="X65">SQRT((X9:Y9*$B$22:$C$22+X10:Y10*$B$23:$C$23+X11:Y11*$B$24:$C$24+X4:Y4*($B$25:$C$25-$B$19:$C$19))/($B$9:$C$9*$B$22:$C$22+$B$10:$C$10*$B$23:$C$23+$B$11:$C$11*$B$24:$C$24+$B$4:$C$4*($B$25:$C$25-$B$19:$C$19))*(X9:Y9*X22:Y22+X10:Y10*X23:Y23+X11:Y11*X24:Y24+X4:Y4*(X25:Y25-X19:Y19))/($B$9:$C$9*X22:Y22+$B$10:$C$10*X23:Y23+$B$11:$C$11*X24:Y24+$B$4:$C$4*(X25:Y25-X19:Y19)))</f>
        <v>0.98783827006428093</v>
      </c>
      <c r="Y65" s="191"/>
      <c r="Z65" s="191">
        <f t="array" ref="Z65">SQRT((Z9:AA9*$B$22:$C$22+Z10:AA10*$B$23:$C$23+Z11:AA11*$B$24:$C$24+Z4:AA4*($B$25:$C$25-$B$19:$C$19))/($B$9:$C$9*$B$22:$C$22+$B$10:$C$10*$B$23:$C$23+$B$11:$C$11*$B$24:$C$24+$B$4:$C$4*($B$25:$C$25-$B$19:$C$19))*(Z9:AA9*Z22:AA22+Z10:AA10*Z23:AA23+Z11:AA11*Z24:AA24+Z4:AA4*(Z25:AA25-Z19:AA19))/($B$9:$C$9*Z22:AA22+$B$10:$C$10*Z23:AA23+$B$11:$C$11*Z24:AA24+$B$4:$C$4*(Z25:AA25-Z19:AA19)))</f>
        <v>0.98702273453680656</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0.9865344378157791</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0.98659132811942407</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0.9874698012369425</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0.98937233023018367</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0.99218572041012543</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0.99541720800031486</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0.99823058086331651</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0.99855899056427344</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0.99866564530407131</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0.99882760146840421</v>
      </c>
      <c r="E66" s="191"/>
      <c r="F66" s="191">
        <f t="array" ref="F66">SQRT((F9:G9*$B$22:$C$22)/($B$9:$C$9*$B$22:$C$22)*(F9:G9*F22:G22)/($B$9:$C$9*F22:G22))</f>
        <v>0.99763957632825651</v>
      </c>
      <c r="G66" s="191"/>
      <c r="H66" s="191">
        <f t="array" ref="H66">SQRT((H9:I9*$B$22:$C$22)/($B$9:$C$9*$B$22:$C$22)*(H9:I9*H22:I22)/($B$9:$C$9*H22:I22))</f>
        <v>0.9964337136710133</v>
      </c>
      <c r="I66" s="191"/>
      <c r="J66" s="191">
        <f t="array" ref="J66">SQRT((J9:K9*$B$22:$C$22)/($B$9:$C$9*$B$22:$C$22)*(J9:K9*J22:K22)/($B$9:$C$9*J22:K22))</f>
        <v>0.99520832151537575</v>
      </c>
      <c r="K66" s="191"/>
      <c r="L66" s="191">
        <f t="array" ref="L66">SQRT((L9:M9*$B$22:$C$22)/($B$9:$C$9*$B$22:$C$22)*(L9:M9*L22:M22)/($B$9:$C$9*L22:M22))</f>
        <v>0.99396274665386364</v>
      </c>
      <c r="M66" s="191"/>
      <c r="N66" s="191">
        <f t="array" ref="N66">SQRT((N9:O9*$B$22:$C$22)/($B$9:$C$9*$B$22:$C$22)*(N9:O9*N22:O22)/($B$9:$C$9*N22:O22))</f>
        <v>0.99269821208867393</v>
      </c>
      <c r="O66" s="191"/>
      <c r="P66" s="191">
        <f t="array" ref="P66">SQRT((P9:Q9*$B$22:$C$22)/($B$9:$C$9*$B$22:$C$22)*(P9:Q9*P22:Q22)/($B$9:$C$9*P22:Q22))</f>
        <v>0.99141916642074113</v>
      </c>
      <c r="Q66" s="191"/>
      <c r="R66" s="191">
        <f t="array" ref="R66">SQRT((R9:S9*$B$22:$C$22)/($B$9:$C$9*$B$22:$C$22)*(R9:S9*R22:S22)/($B$9:$C$9*R22:S22))</f>
        <v>0.99013548311944333</v>
      </c>
      <c r="S66" s="191"/>
      <c r="T66" s="191">
        <f t="array" ref="T66">SQRT((T9:U9*$B$22:$C$22)/($B$9:$C$9*$B$22:$C$22)*(T9:U9*T22:U22)/($B$9:$C$9*T22:U22))</f>
        <v>0.98886601874341307</v>
      </c>
      <c r="U66" s="191"/>
      <c r="V66" s="191">
        <f t="array" ref="V66">SQRT((V9:W9*$B$22:$C$22)/($B$9:$C$9*$B$22:$C$22)*(V9:W9*V22:W22)/($B$9:$C$9*V22:W22))</f>
        <v>0.98764451343642445</v>
      </c>
      <c r="W66" s="191"/>
      <c r="X66" s="191">
        <f t="array" ref="X66">SQRT((X9:Y9*$B$22:$C$22)/($B$9:$C$9*$B$22:$C$22)*(X9:Y9*X22:Y22)/($B$9:$C$9*X22:Y22))</f>
        <v>0.98652928197978407</v>
      </c>
      <c r="Y66" s="191"/>
      <c r="Z66" s="191">
        <f t="array" ref="Z66">SQRT((Z9:AA9*$B$22:$C$22)/($B$9:$C$9*$B$22:$C$22)*(Z9:AA9*Z22:AA22)/($B$9:$C$9*Z22:AA22))</f>
        <v>0.98561870018039222</v>
      </c>
      <c r="AA66" s="191"/>
      <c r="AB66" s="191">
        <f t="array" ref="AB66">SQRT((AB9:AC9*$B$22:$C$22)/($B$9:$C$9*$B$22:$C$22)*(AB9:AC9*AB22:AC22)/($B$9:$C$9*AB22:AC22))</f>
        <v>0.98507356601956109</v>
      </c>
      <c r="AC66" s="191"/>
      <c r="AD66" s="191">
        <f t="array" ref="AD66">SQRT((AD9:AE9*$B$22:$C$22)/($B$9:$C$9*$B$22:$C$22)*(AD9:AE9*AD22:AE22)/($B$9:$C$9*AD22:AE22))</f>
        <v>0.98513850648558776</v>
      </c>
      <c r="AE66" s="191"/>
      <c r="AF66" s="191">
        <f t="array" ref="AF66">SQRT((AF9:AG9*$B$22:$C$22)/($B$9:$C$9*$B$22:$C$22)*(AF9:AG9*AF22:AG22)/($B$9:$C$9*AF22:AG22))</f>
        <v>0.9861221261196581</v>
      </c>
      <c r="AG66" s="191"/>
      <c r="AH66" s="191">
        <f t="array" ref="AH66">SQRT((AH9:AI9*$B$22:$C$22)/($B$9:$C$9*$B$22:$C$22)*(AH9:AI9*AH22:AI22)/($B$9:$C$9*AH22:AI22))</f>
        <v>0.98824625715442171</v>
      </c>
      <c r="AI66" s="191"/>
      <c r="AJ66" s="191">
        <f t="array" ref="AJ66">SQRT((AJ9:AK9*$B$22:$C$22)/($B$9:$C$9*$B$22:$C$22)*(AJ9:AK9*AJ22:AK22)/($B$9:$C$9*AJ22:AK22))</f>
        <v>0.99137559053487767</v>
      </c>
      <c r="AK66" s="191"/>
      <c r="AL66" s="191">
        <f t="array" ref="AL66">SQRT((AL9:AM9*$B$22:$C$22)/($B$9:$C$9*$B$22:$C$22)*(AL9:AM9*AL22:AM22)/($B$9:$C$9*AL22:AM22))</f>
        <v>0.9949538271804037</v>
      </c>
      <c r="AM66" s="191"/>
      <c r="AN66" s="191">
        <f t="array" ref="AN66">SQRT((AN9:AO9*$B$22:$C$22)/($B$9:$C$9*$B$22:$C$22)*(AN9:AO9*AN22:AO22)/($B$9:$C$9*AN22:AO22))</f>
        <v>0.99805553610502984</v>
      </c>
      <c r="AO66" s="191"/>
      <c r="AP66" s="191">
        <f t="array" ref="AP66">SQRT((AP9:AQ9*$B$22:$C$22)/($B$9:$C$9*$B$22:$C$22)*(AP9:AQ9*AP22:AQ22)/($B$9:$C$9*AP22:AQ22))</f>
        <v>0.99841679879497558</v>
      </c>
      <c r="AQ66" s="191"/>
      <c r="AR66" s="191">
        <f t="array" ref="AR66">SQRT((AR9:AS9*$B$22:$C$22)/($B$9:$C$9*$B$22:$C$22)*(AR9:AS9*AR22:AS22)/($B$9:$C$9*AR22:AS22))</f>
        <v>0.99853408706487556</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0.99882760146840421</v>
      </c>
      <c r="E68" s="191"/>
      <c r="F68" s="191">
        <f>F66/F67</f>
        <v>0.99763957632825651</v>
      </c>
      <c r="G68" s="191"/>
      <c r="H68" s="191">
        <f>H66/H67</f>
        <v>0.9964337136710133</v>
      </c>
      <c r="I68" s="191"/>
      <c r="J68" s="191">
        <f>J66/J67</f>
        <v>0.99520832151537575</v>
      </c>
      <c r="K68" s="191"/>
      <c r="L68" s="191">
        <f>L66/L67</f>
        <v>0.99396274665386364</v>
      </c>
      <c r="M68" s="191"/>
      <c r="N68" s="191">
        <f>N66/N67</f>
        <v>0.99269821208867393</v>
      </c>
      <c r="O68" s="191"/>
      <c r="P68" s="191">
        <f>P66/P67</f>
        <v>0.99141916642074113</v>
      </c>
      <c r="Q68" s="191"/>
      <c r="R68" s="191">
        <f>R66/R67</f>
        <v>0.99013548311944333</v>
      </c>
      <c r="S68" s="191"/>
      <c r="T68" s="191">
        <f>T66/T67</f>
        <v>0.98886601874341307</v>
      </c>
      <c r="U68" s="191"/>
      <c r="V68" s="191">
        <f>V66/V67</f>
        <v>0.98764451343642445</v>
      </c>
      <c r="W68" s="191"/>
      <c r="X68" s="191">
        <f>X66/X67</f>
        <v>0.98652928197978407</v>
      </c>
      <c r="Y68" s="191"/>
      <c r="Z68" s="191">
        <f>Z66/Z67</f>
        <v>0.98561870018039222</v>
      </c>
      <c r="AA68" s="191"/>
      <c r="AB68" s="191">
        <f>AB66/AB67</f>
        <v>0.98507356601956109</v>
      </c>
      <c r="AC68" s="191"/>
      <c r="AD68" s="191">
        <f>AD66/AD67</f>
        <v>0.98513850648558776</v>
      </c>
      <c r="AE68" s="191"/>
      <c r="AF68" s="191">
        <f>AF66/AF67</f>
        <v>0.9861221261196581</v>
      </c>
      <c r="AG68" s="191"/>
      <c r="AH68" s="191">
        <f>AH66/AH67</f>
        <v>0.98824625715442171</v>
      </c>
      <c r="AI68" s="191"/>
      <c r="AJ68" s="191">
        <f>AJ66/AJ67</f>
        <v>0.99137559053487767</v>
      </c>
      <c r="AK68" s="191"/>
      <c r="AL68" s="191">
        <f>AL66/AL67</f>
        <v>0.9949538271804037</v>
      </c>
      <c r="AM68" s="191"/>
      <c r="AN68" s="191">
        <f>AN66/AN67</f>
        <v>0.99805553610502984</v>
      </c>
      <c r="AO68" s="191"/>
      <c r="AP68" s="191">
        <f>AP66/AP67</f>
        <v>0.99841679879497558</v>
      </c>
      <c r="AQ68" s="191"/>
      <c r="AR68" s="191">
        <f>AR66/AR67</f>
        <v>0.99853408706487556</v>
      </c>
      <c r="AS68" s="191"/>
      <c r="AT68" s="191" t="e">
        <f>AT66/AT67</f>
        <v>#DIV/0!</v>
      </c>
      <c r="AU68" s="191"/>
      <c r="AV68" s="191" t="e">
        <f>AV66/AV67</f>
        <v>#DIV/0!</v>
      </c>
      <c r="XFD68" s="191"/>
    </row>
    <row r="69" spans="1:48 16384:16384" x14ac:dyDescent="0.2">
      <c r="A69" t="s">
        <v>177</v>
      </c>
      <c r="B69" s="191">
        <f>B32/B65/($B$32)</f>
        <v>1</v>
      </c>
      <c r="C69" s="191"/>
      <c r="D69" s="191">
        <f>D32/D65/($B$32)</f>
        <v>1.0008228794333576</v>
      </c>
      <c r="E69" s="191"/>
      <c r="F69" s="191">
        <f>F32/F65/($B$32)</f>
        <v>1.0015707652182519</v>
      </c>
      <c r="G69" s="191"/>
      <c r="H69" s="191">
        <f>H32/H65/($B$32)</f>
        <v>1.0022354829800186</v>
      </c>
      <c r="I69" s="191"/>
      <c r="J69" s="191">
        <f>J32/J65/($B$32)</f>
        <v>1.0028074763287012</v>
      </c>
      <c r="K69" s="191"/>
      <c r="L69" s="191">
        <f>L32/L65/($B$32)</f>
        <v>1.0032759065789116</v>
      </c>
      <c r="M69" s="191"/>
      <c r="N69" s="191">
        <f>N32/N65/($B$32)</f>
        <v>1.0036280791209171</v>
      </c>
      <c r="O69" s="191"/>
      <c r="P69" s="191">
        <f>P32/P65/($B$32)</f>
        <v>1.0038494006117999</v>
      </c>
      <c r="Q69" s="191"/>
      <c r="R69" s="191">
        <f>R32/R65/($B$32)</f>
        <v>1.0039232682506813</v>
      </c>
      <c r="S69" s="191"/>
      <c r="T69" s="191">
        <f>T32/T65/($B$32)</f>
        <v>1.0038307598666394</v>
      </c>
      <c r="U69" s="191"/>
      <c r="V69" s="191">
        <f>V32/V65/($B$32)</f>
        <v>1.0035510391735565</v>
      </c>
      <c r="W69" s="191"/>
      <c r="X69" s="191">
        <f>X32/X65/($B$32)</f>
        <v>1.0030621642125876</v>
      </c>
      <c r="Y69" s="191"/>
      <c r="Z69" s="191">
        <f>Z32/Z65/($B$32)</f>
        <v>1.0023427569585006</v>
      </c>
      <c r="AA69" s="191"/>
      <c r="AB69" s="191">
        <f>AB32/AB65/($B$32)</f>
        <v>1.0013745103329301</v>
      </c>
      <c r="AC69" s="191"/>
      <c r="AD69" s="191">
        <f>AD32/AD65/($B$32)</f>
        <v>1.0001409806530615</v>
      </c>
      <c r="AE69" s="191"/>
      <c r="AF69" s="191">
        <f>AF32/AF65/($B$32)</f>
        <v>0.99860244577788138</v>
      </c>
      <c r="AG69" s="191"/>
      <c r="AH69" s="191">
        <f>AH32/AH65/($B$32)</f>
        <v>0.99659674050562552</v>
      </c>
      <c r="AI69" s="191"/>
      <c r="AJ69" s="191">
        <f>AJ32/AJ65/($B$32)</f>
        <v>0.99364218866501253</v>
      </c>
      <c r="AK69" s="191"/>
      <c r="AL69" s="191">
        <f>AL32/AL65/($B$32)</f>
        <v>0.98876093925697595</v>
      </c>
      <c r="AM69" s="191"/>
      <c r="AN69" s="191">
        <f>AN32/AN65/($B$32)</f>
        <v>0.98051143270099861</v>
      </c>
      <c r="AO69" s="191"/>
      <c r="AP69" s="191">
        <f>AP32/AP65/($B$32)</f>
        <v>0.97844850703026676</v>
      </c>
      <c r="AQ69" s="191"/>
      <c r="AR69" s="191">
        <f>AR32/AR65/($B$32)</f>
        <v>0.97650941327376406</v>
      </c>
      <c r="AS69" s="191"/>
      <c r="AT69" s="191" t="e">
        <f>AT32/AT65/($B$32)</f>
        <v>#DIV/0!</v>
      </c>
      <c r="AU69" s="191"/>
      <c r="AV69" s="191" t="e">
        <f>AV32/AV65/($B$32)</f>
        <v>#DIV/0!</v>
      </c>
    </row>
    <row r="70" spans="1:48 16384:16384" x14ac:dyDescent="0.2">
      <c r="A70" t="s">
        <v>178</v>
      </c>
      <c r="B70" s="138">
        <f>B18/$B$18</f>
        <v>1</v>
      </c>
      <c r="C70" s="138"/>
      <c r="D70" s="138">
        <f>D18/$B$18</f>
        <v>1.0000954255449124</v>
      </c>
      <c r="E70" s="138"/>
      <c r="F70" s="138">
        <f>F18/$B$18</f>
        <v>1.0000962915416534</v>
      </c>
      <c r="G70" s="138"/>
      <c r="H70" s="138">
        <f>H18/$B$18</f>
        <v>0.99999152570417682</v>
      </c>
      <c r="I70" s="138"/>
      <c r="J70" s="138">
        <f>J18/$B$18</f>
        <v>0.99976724534429318</v>
      </c>
      <c r="K70" s="138"/>
      <c r="L70" s="138">
        <f>L18/$B$18</f>
        <v>0.99940588338947922</v>
      </c>
      <c r="M70" s="138"/>
      <c r="N70" s="138">
        <f>N18/$B$18</f>
        <v>0.998884445942681</v>
      </c>
      <c r="O70" s="138"/>
      <c r="P70" s="138">
        <f>P18/$B$18</f>
        <v>0.99817230108976185</v>
      </c>
      <c r="Q70" s="138"/>
      <c r="R70" s="138">
        <f>R18/$B$18</f>
        <v>0.99722767128178913</v>
      </c>
      <c r="S70" s="138"/>
      <c r="T70" s="138">
        <f>T18/$B$18</f>
        <v>0.99599197504272508</v>
      </c>
      <c r="U70" s="138"/>
      <c r="V70" s="138">
        <f>V18/$B$18</f>
        <v>0.99438111711239241</v>
      </c>
      <c r="W70" s="138"/>
      <c r="X70" s="138">
        <f>X18/$B$18</f>
        <v>0.99227128286634392</v>
      </c>
      <c r="Y70" s="138"/>
      <c r="Z70" s="138">
        <f>Z18/$B$18</f>
        <v>0.98947603556841401</v>
      </c>
      <c r="AA70" s="138"/>
      <c r="AB70" s="138">
        <f>AB18/$B$18</f>
        <v>0.98571103693409767</v>
      </c>
      <c r="AC70" s="138"/>
      <c r="AD70" s="138">
        <f>AD18/$B$18</f>
        <v>0.98054703013521738</v>
      </c>
      <c r="AE70" s="138"/>
      <c r="AF70" s="138">
        <f>AF18/$B$18</f>
        <v>0.97337074053627504</v>
      </c>
      <c r="AG70" s="138"/>
      <c r="AH70" s="138">
        <f>AH18/$B$18</f>
        <v>0.96338705286850923</v>
      </c>
      <c r="AI70" s="138"/>
      <c r="AJ70" s="138">
        <f>AJ18/$B$18</f>
        <v>0.94952736400760684</v>
      </c>
      <c r="AK70" s="138"/>
      <c r="AL70" s="138">
        <f>AL18/$B$18</f>
        <v>0.9295613816526993</v>
      </c>
      <c r="AM70" s="138"/>
      <c r="AN70" s="138">
        <f>AN18/$B$18</f>
        <v>0.8957859637239497</v>
      </c>
      <c r="AO70" s="138"/>
      <c r="AP70" s="138">
        <f>AP18/$B$18</f>
        <v>0.88508738493256334</v>
      </c>
      <c r="AQ70" s="138"/>
      <c r="AR70" s="138">
        <f>AR18/$B$18</f>
        <v>0.87144624811318627</v>
      </c>
      <c r="AS70" s="138"/>
      <c r="AT70" s="138">
        <f>AT18/$B$18</f>
        <v>0</v>
      </c>
      <c r="AU70" s="138"/>
      <c r="AV70" s="138">
        <f>AV18/$B$18</f>
        <v>0</v>
      </c>
    </row>
    <row r="71" spans="1:48 16384:16384" x14ac:dyDescent="0.2">
      <c r="A71" t="s">
        <v>179</v>
      </c>
      <c r="B71" s="138">
        <f>C18/$C$18</f>
        <v>1</v>
      </c>
      <c r="D71" s="138">
        <f>E18/$C$18</f>
        <v>0.92657351505166208</v>
      </c>
      <c r="E71" s="138"/>
      <c r="F71" s="138">
        <f>G18/$C$18</f>
        <v>0.85322142319578687</v>
      </c>
      <c r="G71" s="138"/>
      <c r="H71" s="138">
        <f>I18/$C$18</f>
        <v>0.7799663386237341</v>
      </c>
      <c r="I71" s="138"/>
      <c r="J71" s="138">
        <f>K18/$C$18</f>
        <v>0.70685194205062962</v>
      </c>
      <c r="K71" s="138"/>
      <c r="L71" s="138">
        <f>M18/$C$18</f>
        <v>0.63394862730956891</v>
      </c>
      <c r="M71" s="138"/>
      <c r="N71" s="138">
        <f>O18/$C$18</f>
        <v>0.56137421601647808</v>
      </c>
      <c r="O71" s="138"/>
      <c r="P71" s="138">
        <f>Q18/$C$18</f>
        <v>0.48931419473856241</v>
      </c>
      <c r="Q71" s="138"/>
      <c r="R71" s="138">
        <f>S18/$C$18</f>
        <v>0.41805588134508109</v>
      </c>
      <c r="S71" s="138"/>
      <c r="T71" s="138">
        <f>U18/$C$18</f>
        <v>0.34804422672806035</v>
      </c>
      <c r="U71" s="138"/>
      <c r="V71" s="138">
        <f>W18/$C$18</f>
        <v>0.27995982518626233</v>
      </c>
      <c r="W71" s="138"/>
      <c r="X71" s="138">
        <f>Y18/$C$18</f>
        <v>0.21483832130950306</v>
      </c>
      <c r="Y71" s="138"/>
      <c r="Z71" s="138">
        <f>AA18/$C$18</f>
        <v>0.15423700786286529</v>
      </c>
      <c r="AA71" s="138"/>
      <c r="AB71" s="138">
        <f>AC18/$C$18</f>
        <v>0.10041818680875537</v>
      </c>
      <c r="AC71" s="138"/>
      <c r="AD71" s="138">
        <f>AE18/$C$18</f>
        <v>5.6377568558476698E-2</v>
      </c>
      <c r="AE71" s="138"/>
      <c r="AF71" s="138">
        <f>AG18/$C$18</f>
        <v>2.5182633277357192E-2</v>
      </c>
      <c r="AG71" s="138"/>
      <c r="AH71" s="138">
        <f>AI18/$C$18</f>
        <v>7.9090536663450929E-3</v>
      </c>
      <c r="AI71" s="138"/>
      <c r="AJ71" s="138">
        <f>AK18/$C$18</f>
        <v>1.4338962287277419E-3</v>
      </c>
      <c r="AK71" s="138"/>
      <c r="AL71" s="138">
        <f>AM18/$C$18</f>
        <v>9.8126478603237894E-5</v>
      </c>
      <c r="AM71" s="138"/>
      <c r="AN71" s="138">
        <f>AO18/$C$18</f>
        <v>5.725655258472714E-7</v>
      </c>
      <c r="AO71" s="138"/>
      <c r="AP71" s="138">
        <f>AQ18/$C$18</f>
        <v>9.5492207067079294E-8</v>
      </c>
      <c r="AQ71" s="138"/>
      <c r="AR71" s="138">
        <f>AS18/$C$18</f>
        <v>8.6808177540505355E-9</v>
      </c>
      <c r="AS71" s="138"/>
      <c r="AT71" s="138">
        <f>AU18/$C$18</f>
        <v>0</v>
      </c>
      <c r="AU71" s="138"/>
      <c r="AV71" s="138">
        <f>AW18/$C$18</f>
        <v>0</v>
      </c>
      <c r="XFD71" s="138"/>
    </row>
    <row r="72" spans="1:48 16384:16384" x14ac:dyDescent="0.2">
      <c r="A72" t="s">
        <v>180</v>
      </c>
      <c r="B72" s="138">
        <f>C19/$C$19</f>
        <v>1</v>
      </c>
      <c r="D72" s="138">
        <f>E19/$C$19</f>
        <v>1.0370402889991501</v>
      </c>
      <c r="E72" s="138"/>
      <c r="F72" s="138">
        <f>G19/$C$19</f>
        <v>1.0774444817173776</v>
      </c>
      <c r="G72" s="138"/>
      <c r="H72" s="138">
        <f>I19/$C$19</f>
        <v>1.1214283746573488</v>
      </c>
      <c r="I72" s="138"/>
      <c r="J72" s="138">
        <f>K19/$C$19</f>
        <v>1.16916305112631</v>
      </c>
      <c r="K72" s="138"/>
      <c r="L72" s="138">
        <f>M19/$C$19</f>
        <v>1.2207290706042535</v>
      </c>
      <c r="M72" s="138"/>
      <c r="N72" s="138">
        <f>O19/$C$19</f>
        <v>1.2760507064613595</v>
      </c>
      <c r="O72" s="138"/>
      <c r="P72" s="138">
        <f>Q19/$C$19</f>
        <v>1.3347828807150492</v>
      </c>
      <c r="Q72" s="138"/>
      <c r="R72" s="138">
        <f>S19/$C$19</f>
        <v>1.3961306374640379</v>
      </c>
      <c r="S72" s="138"/>
      <c r="T72" s="138">
        <f>U19/$C$19</f>
        <v>1.4585560826960069</v>
      </c>
      <c r="U72" s="138"/>
      <c r="V72" s="138">
        <f>W19/$C$19</f>
        <v>1.519293500250912</v>
      </c>
      <c r="W72" s="138"/>
      <c r="X72" s="138">
        <f>Y19/$C$19</f>
        <v>1.5735565030222529</v>
      </c>
      <c r="Y72" s="138"/>
      <c r="Z72" s="138">
        <f>AA19/$C$19</f>
        <v>1.6132778736755142</v>
      </c>
      <c r="AA72" s="138"/>
      <c r="AB72" s="138">
        <f>AC19/$C$19</f>
        <v>1.6253181333752829</v>
      </c>
      <c r="AC72" s="138"/>
      <c r="AD72" s="138">
        <f>AE19/$C$19</f>
        <v>1.5898153490040685</v>
      </c>
      <c r="AE72" s="138"/>
      <c r="AF72" s="138">
        <f>AG19/$C$19</f>
        <v>1.4819460655743522</v>
      </c>
      <c r="AG72" s="138"/>
      <c r="AH72" s="138">
        <f>AI19/$C$19</f>
        <v>1.2839243943387559</v>
      </c>
      <c r="AI72" s="138"/>
      <c r="AJ72" s="138">
        <f>AK19/$C$19</f>
        <v>1.0048363836977463</v>
      </c>
      <c r="AK72" s="138"/>
      <c r="AL72" s="138">
        <f>AM19/$C$19</f>
        <v>0.67973244930712673</v>
      </c>
      <c r="AM72" s="138"/>
      <c r="AN72" s="138">
        <f>AO19/$C$19</f>
        <v>0.34062930453571727</v>
      </c>
      <c r="AO72" s="138"/>
      <c r="AP72" s="138">
        <f>AQ19/$C$19</f>
        <v>0.27251291465264499</v>
      </c>
      <c r="AQ72" s="138"/>
      <c r="AR72" s="138">
        <f>AS19/$C$19</f>
        <v>0.20438671876489575</v>
      </c>
      <c r="AS72" s="138"/>
      <c r="AT72" s="138">
        <f>AU19/$C$19</f>
        <v>0</v>
      </c>
      <c r="AU72" s="138"/>
      <c r="AV72" s="138">
        <f>AW19/$C$19</f>
        <v>0</v>
      </c>
      <c r="XFD72" s="138"/>
    </row>
    <row r="73" spans="1:48 16384:16384" x14ac:dyDescent="0.2">
      <c r="A73" t="s">
        <v>184</v>
      </c>
      <c r="B73" s="193">
        <f t="array" ref="B73">SUM(B9:C9*B22:C22)/B32</f>
        <v>0.47641153352875115</v>
      </c>
      <c r="D73" s="193">
        <f t="array" ref="D73">SUM(D9:E9*D22:E22)/D32</f>
        <v>0.47641153657314222</v>
      </c>
      <c r="E73" s="138"/>
      <c r="F73" s="193">
        <f t="array" ref="F73">SUM(F9:G9*F22:G22)/F32</f>
        <v>0.47641153689190718</v>
      </c>
      <c r="G73" s="138"/>
      <c r="H73" s="193">
        <f t="array" ref="H73">SUM(H9:I9*H22:I22)/H32</f>
        <v>0.47641153349150461</v>
      </c>
      <c r="I73" s="138"/>
      <c r="J73" s="193">
        <f t="array" ref="J73">SUM(J9:K9*J22:K22)/J32</f>
        <v>0.47641153478898357</v>
      </c>
      <c r="K73" s="138"/>
      <c r="L73" s="193">
        <f t="array" ref="L73">SUM(L9:M9*L22:M22)/L32</f>
        <v>0.47641153362338834</v>
      </c>
      <c r="M73" s="138"/>
      <c r="N73" s="193">
        <f t="array" ref="N73">SUM(N9:O9*N22:O22)/N32</f>
        <v>0.47641153396307612</v>
      </c>
      <c r="O73" s="138"/>
      <c r="P73" s="193">
        <f t="array" ref="P73">SUM(P9:Q9*P22:Q22)/P32</f>
        <v>0.47641153345109427</v>
      </c>
      <c r="Q73" s="138"/>
      <c r="R73" s="193">
        <f t="array" ref="R73">SUM(R9:S9*R22:S22)/R32</f>
        <v>0.47641153609193115</v>
      </c>
      <c r="S73" s="138"/>
      <c r="T73" s="193">
        <f t="array" ref="T73">SUM(T9:U9*T22:U22)/T32</f>
        <v>0.47641153683212528</v>
      </c>
      <c r="U73" s="138"/>
      <c r="V73" s="193">
        <f t="array" ref="V73">SUM(V9:W9*V22:W22)/V32</f>
        <v>0.4764115330521011</v>
      </c>
      <c r="W73" s="138"/>
      <c r="X73" s="193">
        <f t="array" ref="X73">SUM(X9:Y9*X22:Y22)/X32</f>
        <v>0.47641153384477053</v>
      </c>
      <c r="Y73" s="138"/>
      <c r="Z73" s="193">
        <f t="array" ref="Z73">SUM(Z9:AA9*Z22:AA22)/Z32</f>
        <v>0.47641153407863496</v>
      </c>
      <c r="AA73" s="138"/>
      <c r="AB73" s="193">
        <f t="array" ref="AB73">SUM(AB9:AC9*AB22:AC22)/AB32</f>
        <v>0.47641153417845167</v>
      </c>
      <c r="AC73" s="138"/>
      <c r="AD73" s="193">
        <f t="array" ref="AD73">SUM(AD9:AE9*AD22:AE22)/AD32</f>
        <v>0.47641153360163457</v>
      </c>
      <c r="AE73" s="138"/>
      <c r="AF73" s="193">
        <f t="array" ref="AF73">SUM(AF9:AG9*AF22:AG22)/AF32</f>
        <v>0.47641153362281752</v>
      </c>
      <c r="AG73" s="138"/>
      <c r="AH73" s="193">
        <f t="array" ref="AH73">SUM(AH9:AI9*AH22:AI22)/AH32</f>
        <v>0.47641153350714477</v>
      </c>
      <c r="AI73" s="138"/>
      <c r="AJ73" s="193">
        <f t="array" ref="AJ73">SUM(AJ9:AK9*AJ22:AK22)/AJ32</f>
        <v>0.47641153352786614</v>
      </c>
      <c r="AK73" s="138"/>
      <c r="AL73" s="193">
        <f t="array" ref="AL73">SUM(AL9:AM9*AL22:AM22)/AL32</f>
        <v>0.4764115335287642</v>
      </c>
      <c r="AM73" s="138"/>
      <c r="AN73" s="193">
        <f t="array" ref="AN73">SUM(AN9:AO9*AN22:AO22)/AN32</f>
        <v>0.47641169059326854</v>
      </c>
      <c r="AO73" s="138"/>
      <c r="AP73" s="193">
        <f t="array" ref="AP73">SUM(AP9:AQ9*AP22:AQ22)/AP32</f>
        <v>0.47641153352875021</v>
      </c>
      <c r="AQ73" s="138"/>
      <c r="AR73" s="193">
        <f t="array" ref="AR73">SUM(AR9:AS9*AR22:AS22)/AR32</f>
        <v>0.47641153352874882</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0.22604620456442487</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0.22604620456442481</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0.22604620456442481</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0.22604620456442484</v>
      </c>
      <c r="AK74" s="138"/>
      <c r="AL74" s="193">
        <f t="array" ref="AL74">SUM(AL10:AM10*AL23:AM23)/AL32</f>
        <v>0.22604620456442484</v>
      </c>
      <c r="AM74" s="138"/>
      <c r="AN74" s="193">
        <f t="array" ref="AN74">SUM(AN10:AO10*AN23:AO23)/AN32</f>
        <v>0.22604620456442484</v>
      </c>
      <c r="AO74" s="138"/>
      <c r="AP74" s="193">
        <f t="array" ref="AP74">SUM(AP10:AQ10*AP23:AQ23)/AP32</f>
        <v>0.22604620456442484</v>
      </c>
      <c r="AQ74" s="138"/>
      <c r="AR74" s="193">
        <f t="array" ref="AR74">SUM(AR10:AS10*AR23:AS23)/AR32</f>
        <v>0.22604620456442484</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0.22038438849035899</v>
      </c>
      <c r="E75" s="138"/>
      <c r="F75" s="193">
        <f t="array" ref="F75">SUM(F11:G11*F24:G24)/F32</f>
        <v>0.22038438851298683</v>
      </c>
      <c r="G75" s="138"/>
      <c r="H75" s="193">
        <f t="array" ref="H75">SUM(H11:I11*H24:I24)/H32</f>
        <v>0.22038438831665377</v>
      </c>
      <c r="I75" s="138"/>
      <c r="J75" s="193">
        <f t="array" ref="J75">SUM(J11:K11*J24:K24)/J32</f>
        <v>0.22038438840376912</v>
      </c>
      <c r="K75" s="138"/>
      <c r="L75" s="193">
        <f t="array" ref="L75">SUM(L11:M11*L24:M24)/L32</f>
        <v>0.22038438830444301</v>
      </c>
      <c r="M75" s="138"/>
      <c r="N75" s="193">
        <f t="array" ref="N75">SUM(N11:O11*N24:O24)/N32</f>
        <v>0.22038438828085566</v>
      </c>
      <c r="O75" s="138"/>
      <c r="P75" s="193">
        <f t="array" ref="P75">SUM(P11:Q11*P24:Q24)/P32</f>
        <v>0.22038438834363178</v>
      </c>
      <c r="Q75" s="138"/>
      <c r="R75" s="193">
        <f t="array" ref="R75">SUM(R11:S11*R24:S24)/R32</f>
        <v>0.22038438832801521</v>
      </c>
      <c r="S75" s="138"/>
      <c r="T75" s="193">
        <f t="array" ref="T75">SUM(T11:U11*T24:U24)/T32</f>
        <v>0.22038438832854029</v>
      </c>
      <c r="U75" s="138"/>
      <c r="V75" s="193">
        <f t="array" ref="V75">SUM(V11:W11*V24:W24)/V32</f>
        <v>0.2203843883439035</v>
      </c>
      <c r="W75" s="138"/>
      <c r="X75" s="193">
        <f t="array" ref="X75">SUM(X11:Y11*X24:Y24)/X32</f>
        <v>0.22038438834210822</v>
      </c>
      <c r="Y75" s="138"/>
      <c r="Z75" s="193">
        <f t="array" ref="Z75">SUM(Z11:AA11*Z24:AA24)/Z32</f>
        <v>0.22038438832947482</v>
      </c>
      <c r="AA75" s="138"/>
      <c r="AB75" s="193">
        <f t="array" ref="AB75">SUM(AB11:AC11*AB24:AC24)/AB32</f>
        <v>0.22038438832996798</v>
      </c>
      <c r="AC75" s="138"/>
      <c r="AD75" s="193">
        <f t="array" ref="AD75">SUM(AD11:AE11*AD24:AE24)/AD32</f>
        <v>0.22038438833200788</v>
      </c>
      <c r="AE75" s="138"/>
      <c r="AF75" s="193">
        <f t="array" ref="AF75">SUM(AF11:AG11*AF24:AG24)/AF32</f>
        <v>0.22038438833228868</v>
      </c>
      <c r="AG75" s="138"/>
      <c r="AH75" s="193">
        <f t="array" ref="AH75">SUM(AH11:AI11*AH24:AI24)/AH32</f>
        <v>0.22038438833166807</v>
      </c>
      <c r="AI75" s="138"/>
      <c r="AJ75" s="193">
        <f t="array" ref="AJ75">SUM(AJ11:AK11*AJ24:AK24)/AJ32</f>
        <v>0.22038438833189145</v>
      </c>
      <c r="AK75" s="138"/>
      <c r="AL75" s="193">
        <f t="array" ref="AL75">SUM(AL11:AM11*AL24:AM24)/AL32</f>
        <v>0.22038438833194232</v>
      </c>
      <c r="AM75" s="138"/>
      <c r="AN75" s="193">
        <f t="array" ref="AN75">SUM(AN11:AO11*AN24:AO24)/AN32</f>
        <v>0.22038423126742196</v>
      </c>
      <c r="AO75" s="138"/>
      <c r="AP75" s="193">
        <f t="array" ref="AP75">SUM(AP11:AQ11*AP24:AQ24)/AP32</f>
        <v>0.22038438833194088</v>
      </c>
      <c r="AQ75" s="138"/>
      <c r="AR75" s="193">
        <f t="array" ref="AR75">SUM(AR11:AS11*AR24:AS24)/AR32</f>
        <v>0.22038438833194079</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0.22301874374724862</v>
      </c>
      <c r="D76" s="193">
        <f t="array" ref="D76">SUM(D12:E12*D25:E25)/D32</f>
        <v>0.22333010877918219</v>
      </c>
      <c r="E76" s="138"/>
      <c r="F76" s="193">
        <f t="array" ref="F76">SUM(F12:G12*F25:G25)/F32</f>
        <v>0.22369773967785964</v>
      </c>
      <c r="G76" s="138"/>
      <c r="H76" s="193">
        <f t="array" ref="H76">SUM(H12:I12*H25:I25)/H32</f>
        <v>0.22412507490494116</v>
      </c>
      <c r="I76" s="138"/>
      <c r="J76" s="193">
        <f t="array" ref="J76">SUM(J12:K12*J25:K25)/J32</f>
        <v>0.22461477161402521</v>
      </c>
      <c r="K76" s="138"/>
      <c r="L76" s="193">
        <f t="array" ref="L76">SUM(L12:M12*L25:M25)/L32</f>
        <v>0.2251679087049907</v>
      </c>
      <c r="M76" s="138"/>
      <c r="N76" s="193">
        <f t="array" ref="N76">SUM(N12:O12*N25:O25)/N32</f>
        <v>0.22578282732139526</v>
      </c>
      <c r="O76" s="138"/>
      <c r="P76" s="193">
        <f t="array" ref="P76">SUM(P12:Q12*P25:Q25)/P32</f>
        <v>0.2264531289240479</v>
      </c>
      <c r="Q76" s="138"/>
      <c r="R76" s="193">
        <f t="array" ref="R76">SUM(R12:S12*R25:S25)/R32</f>
        <v>0.22716442751935639</v>
      </c>
      <c r="S76" s="138"/>
      <c r="T76" s="193">
        <f t="array" ref="T76">SUM(T12:U12*T25:U25)/T32</f>
        <v>0.22788909586879552</v>
      </c>
      <c r="U76" s="138"/>
      <c r="V76" s="193">
        <f t="array" ref="V76">SUM(V12:W12*V25:W25)/V32</f>
        <v>0.22857742943722778</v>
      </c>
      <c r="W76" s="138"/>
      <c r="X76" s="193">
        <f t="array" ref="X76">SUM(X12:Y12*X25:Y25)/X32</f>
        <v>0.22914311623820444</v>
      </c>
      <c r="Y76" s="138"/>
      <c r="Z76" s="193">
        <f t="array" ref="Z76">SUM(Z12:AA12*Z25:AA25)/Z32</f>
        <v>0.22943999291898332</v>
      </c>
      <c r="AA76" s="138"/>
      <c r="AB76" s="193">
        <f t="array" ref="AB76">SUM(AB12:AC12*AB25:AC25)/AB32</f>
        <v>0.22922851016401866</v>
      </c>
      <c r="AC76" s="138"/>
      <c r="AD76" s="193">
        <f t="array" ref="AD76">SUM(AD12:AE12*AD25:AE25)/AD32</f>
        <v>0.22814347234662988</v>
      </c>
      <c r="AE76" s="138"/>
      <c r="AF76" s="193">
        <f t="array" ref="AF76">SUM(AF12:AG12*AF25:AG25)/AF32</f>
        <v>0.22572039716124076</v>
      </c>
      <c r="AG76" s="138"/>
      <c r="AH76" s="193">
        <f t="array" ref="AH76">SUM(AH12:AI12*AH25:AI25)/AH32</f>
        <v>0.22159814228526437</v>
      </c>
      <c r="AI76" s="138"/>
      <c r="AJ76" s="193">
        <f t="array" ref="AJ76">SUM(AJ12:AK12*AJ25:AK25)/AJ32</f>
        <v>0.21583662111495983</v>
      </c>
      <c r="AK76" s="138"/>
      <c r="AL76" s="193">
        <f t="array" ref="AL76">SUM(AL12:AM12*AL25:AM25)/AL32</f>
        <v>0.20877835529304095</v>
      </c>
      <c r="AM76" s="138"/>
      <c r="AN76" s="193">
        <f t="array" ref="AN76">SUM(AN12:AO12*AN25:AO25)/AN32</f>
        <v>0.19993279624657623</v>
      </c>
      <c r="AO76" s="138"/>
      <c r="AP76" s="193">
        <f t="array" ref="AP76">SUM(AP12:AQ12*AP25:AQ25)/AP32</f>
        <v>0.19762384859966173</v>
      </c>
      <c r="AQ76" s="138"/>
      <c r="AR76" s="193">
        <f t="array" ref="AR76">SUM(AR12:AS12*AR25:AS25)/AR32</f>
        <v>0.19485640875192714</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0.14586087017236521</v>
      </c>
      <c r="D77" s="193">
        <f t="array" ref="D77">SUM(D4:E4*D19:E19)/D32</f>
        <v>0.14617223840710808</v>
      </c>
      <c r="E77" s="138"/>
      <c r="F77" s="193">
        <f t="array" ref="F77">SUM(F4:G4*F19:G19)/F32</f>
        <v>0.14653986964717852</v>
      </c>
      <c r="G77" s="138"/>
      <c r="H77" s="193">
        <f t="array" ref="H77">SUM(H4:I4*H19:I19)/H32</f>
        <v>0.14696720127752422</v>
      </c>
      <c r="I77" s="138"/>
      <c r="J77" s="193">
        <f t="array" ref="J77">SUM(J4:K4*J19:K19)/J32</f>
        <v>0.1474568993712026</v>
      </c>
      <c r="K77" s="138"/>
      <c r="L77" s="193">
        <f t="array" ref="L77">SUM(L4:M4*L19:M19)/L32</f>
        <v>0.14801003519724687</v>
      </c>
      <c r="M77" s="138"/>
      <c r="N77" s="193">
        <f t="array" ref="N77">SUM(N4:O4*N19:O19)/N32</f>
        <v>0.14862495412975177</v>
      </c>
      <c r="O77" s="138"/>
      <c r="P77" s="193">
        <f t="array" ref="P77">SUM(P4:Q4*P19:Q19)/P32</f>
        <v>0.14929525528319884</v>
      </c>
      <c r="Q77" s="138"/>
      <c r="R77" s="193">
        <f t="array" ref="R77">SUM(R4:S4*R19:S19)/R32</f>
        <v>0.15000655650372757</v>
      </c>
      <c r="S77" s="138"/>
      <c r="T77" s="193">
        <f t="array" ref="T77">SUM(T4:U4*T19:U19)/T32</f>
        <v>0.15073122559388574</v>
      </c>
      <c r="U77" s="138"/>
      <c r="V77" s="193">
        <f t="array" ref="V77">SUM(V4:W4*V19:W19)/V32</f>
        <v>0.15141955539765739</v>
      </c>
      <c r="W77" s="138"/>
      <c r="X77" s="193">
        <f t="array" ref="X77">SUM(X4:Y4*X19:Y19)/X32</f>
        <v>0.151985242989508</v>
      </c>
      <c r="Y77" s="138"/>
      <c r="Z77" s="193">
        <f t="array" ref="Z77">SUM(Z4:AA4*Z19:AA19)/Z32</f>
        <v>0.15228211989151788</v>
      </c>
      <c r="AA77" s="138"/>
      <c r="AB77" s="193">
        <f t="array" ref="AB77">SUM(AB4:AC4*AB19:AC19)/AB32</f>
        <v>0.15207063723686295</v>
      </c>
      <c r="AC77" s="138"/>
      <c r="AD77" s="193">
        <f t="array" ref="AD77">SUM(AD4:AE4*AD19:AE19)/AD32</f>
        <v>0.15098559884469726</v>
      </c>
      <c r="AE77" s="138"/>
      <c r="AF77" s="193">
        <f t="array" ref="AF77">SUM(AF4:AG4*AF19:AG19)/AF32</f>
        <v>0.14856252368077177</v>
      </c>
      <c r="AG77" s="138"/>
      <c r="AH77" s="193">
        <f t="array" ref="AH77">SUM(AH4:AI4*AH19:AI19)/AH32</f>
        <v>0.14444026868850196</v>
      </c>
      <c r="AI77" s="138"/>
      <c r="AJ77" s="193">
        <f t="array" ref="AJ77">SUM(AJ4:AK4*AJ19:AK19)/AJ32</f>
        <v>0.13867874753914228</v>
      </c>
      <c r="AK77" s="138"/>
      <c r="AL77" s="193">
        <f t="array" ref="AL77">SUM(AL4:AM4*AL19:AM19)/AL32</f>
        <v>0.13162048171817242</v>
      </c>
      <c r="AM77" s="138"/>
      <c r="AN77" s="193">
        <f t="array" ref="AN77">SUM(AN4:AO4*AN19:AO19)/AN32</f>
        <v>0.12277492267169138</v>
      </c>
      <c r="AO77" s="138"/>
      <c r="AP77" s="193">
        <f t="array" ref="AP77">SUM(AP4:AQ4*AP19:AQ19)/AP32</f>
        <v>0.12046597502477747</v>
      </c>
      <c r="AQ77" s="138"/>
      <c r="AR77" s="193">
        <f t="array" ref="AR77">SUM(AR4:AS4*AR19:AS19)/AR32</f>
        <v>0.11769853517704165</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0.34648795308160457</v>
      </c>
      <c r="E78" s="138"/>
      <c r="F78" s="193">
        <f t="array" ref="F78">SUM(F13:G13*F26:G26)/F32</f>
        <v>0.3460817107953546</v>
      </c>
      <c r="G78" s="138"/>
      <c r="H78" s="193">
        <f t="array" ref="H78">SUM(H13:I13*H26:I26)/H32</f>
        <v>0.3456677944652064</v>
      </c>
      <c r="I78" s="138"/>
      <c r="J78" s="193">
        <f t="array" ref="J78">SUM(J13:K13*J26:K26)/J32</f>
        <v>0.34524466366348383</v>
      </c>
      <c r="K78" s="138"/>
      <c r="L78" s="193">
        <f t="array" ref="L78">SUM(L13:M13*L26:M26)/L32</f>
        <v>0.34481000079488988</v>
      </c>
      <c r="M78" s="138"/>
      <c r="N78" s="193">
        <f t="array" ref="N78">SUM(N13:O13*N26:O26)/N32</f>
        <v>0.34436033910750286</v>
      </c>
      <c r="O78" s="138"/>
      <c r="P78" s="193">
        <f t="array" ref="P78">SUM(P13:Q13*P26:Q26)/P32</f>
        <v>0.34389037365475017</v>
      </c>
      <c r="Q78" s="138"/>
      <c r="R78" s="193">
        <f t="array" ref="R78">SUM(R13:S13*R26:S26)/R32</f>
        <v>0.34339187804674165</v>
      </c>
      <c r="S78" s="138"/>
      <c r="T78" s="193">
        <f t="array" ref="T78">SUM(T13:U13*T26:U26)/T32</f>
        <v>0.34285199316790371</v>
      </c>
      <c r="U78" s="138"/>
      <c r="V78" s="193">
        <f t="array" ref="V78">SUM(V13:W13*V26:W26)/V32</f>
        <v>0.34225029718527178</v>
      </c>
      <c r="W78" s="138"/>
      <c r="X78" s="193">
        <f t="array" ref="X78">SUM(X13:Y13*X26:Y26)/X32</f>
        <v>0.3415539493198177</v>
      </c>
      <c r="Y78" s="138"/>
      <c r="Z78" s="193">
        <f t="array" ref="Z78">SUM(Z13:AA13*Z26:AA26)/Z32</f>
        <v>0.34070967389536438</v>
      </c>
      <c r="AA78" s="138"/>
      <c r="AB78" s="193">
        <f t="array" ref="AB78">SUM(AB13:AC13*AB26:AC26)/AB32</f>
        <v>0.33963126086948936</v>
      </c>
      <c r="AC78" s="138"/>
      <c r="AD78" s="193">
        <f t="array" ref="AD78">SUM(AD13:AE13*AD26:AE26)/AD32</f>
        <v>0.33818388137836886</v>
      </c>
      <c r="AE78" s="138"/>
      <c r="AF78" s="193">
        <f t="array" ref="AF78">SUM(AF13:AG13*AF26:AG26)/AF32</f>
        <v>0.3361772472599413</v>
      </c>
      <c r="AG78" s="138"/>
      <c r="AH78" s="193">
        <f t="array" ref="AH78">SUM(AH13:AI13*AH26:AI26)/AH32</f>
        <v>0.3333931262408707</v>
      </c>
      <c r="AI78" s="138"/>
      <c r="AJ78" s="193">
        <f t="array" ref="AJ78">SUM(AJ13:AK13*AJ26:AK26)/AJ32</f>
        <v>0.32960903329505509</v>
      </c>
      <c r="AK78" s="138"/>
      <c r="AL78" s="193">
        <f t="array" ref="AL78">SUM(AL13:AM13*AL26:AM26)/AL32</f>
        <v>0.32434104919846146</v>
      </c>
      <c r="AM78" s="138"/>
      <c r="AN78" s="193">
        <f t="array" ref="AN78">SUM(AN13:AO13*AN26:AO26)/AN32</f>
        <v>0.31530544896685103</v>
      </c>
      <c r="AO78" s="138"/>
      <c r="AP78" s="193">
        <f t="array" ref="AP78">SUM(AP13:AQ13*AP26:AQ26)/AP32</f>
        <v>0.31223415590362236</v>
      </c>
      <c r="AQ78" s="138"/>
      <c r="AR78" s="193">
        <f t="array" ref="AR78">SUM(AR13:AS13*AR26:AS26)/AR32</f>
        <v>0.30807993469868306</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0.45460968782439326</v>
      </c>
      <c r="D79" s="193">
        <f t="array" ref="D79">SUM(D15:E15*D27:E27)/D32</f>
        <v>0.45270040834584319</v>
      </c>
      <c r="F79" s="193">
        <f t="array" ref="F79">SUM(F15:G15*F27:G27)/F32</f>
        <v>0.45078338466486079</v>
      </c>
      <c r="H79" s="193">
        <f t="array" ref="H79">SUM(H15:I15*H27:I27)/H32</f>
        <v>0.44885674075513987</v>
      </c>
      <c r="J79" s="193">
        <f t="array" ref="J79">SUM(J15:K15*J27:K27)/J32</f>
        <v>0.44691831479304134</v>
      </c>
      <c r="L79" s="193">
        <f t="array" ref="L79">SUM(L15:M15*L27:M27)/L32</f>
        <v>0.44496528482785247</v>
      </c>
      <c r="N79" s="193">
        <f t="array" ref="N79">SUM(N15:O15*N27:O27)/N32</f>
        <v>0.44299417094368004</v>
      </c>
      <c r="P79" s="193">
        <f t="array" ref="P79">SUM(P15:Q15*P27:Q27)/P32</f>
        <v>0.44100030292423531</v>
      </c>
      <c r="R79" s="193">
        <f t="array" ref="R79">SUM(R15:S15*R27:S27)/R32</f>
        <v>0.43897713525548138</v>
      </c>
      <c r="T79" s="193">
        <f t="array" ref="T79">SUM(T15:U15*T27:U27)/T32</f>
        <v>0.43691525459573038</v>
      </c>
      <c r="V79" s="193">
        <f t="array" ref="V79">SUM(V15:W15*V27:W27)/V32</f>
        <v>0.43480034105632326</v>
      </c>
      <c r="X79" s="193">
        <f t="array" ref="X79">SUM(X15:Y15*X27:Y27)/X32</f>
        <v>0.43260971973143403</v>
      </c>
      <c r="Z79" s="193">
        <f t="array" ref="Z79">SUM(Z15:AA15*Z27:AA27)/Z32</f>
        <v>0.43030622462057194</v>
      </c>
      <c r="AB79" s="193">
        <f t="array" ref="AB79">SUM(AB15:AC15*AB27:AC27)/AB32</f>
        <v>0.4278274296557279</v>
      </c>
      <c r="AD79" s="193">
        <f t="array" ref="AD79">SUM(AD15:AE15*AD27:AE27)/AD32</f>
        <v>0.42506871752387576</v>
      </c>
      <c r="AF79" s="193">
        <f t="array" ref="AF79">SUM(AF15:AG15*AF27:AG27)/AF32</f>
        <v>0.42186391696814235</v>
      </c>
      <c r="AH79" s="193">
        <f t="array" ref="AH79">SUM(AH15:AI15*AH27:AI27)/AH32</f>
        <v>0.41797708482034635</v>
      </c>
      <c r="AJ79" s="193">
        <f t="array" ref="AJ79">SUM(AJ15:AK15*AJ27:AK27)/AJ32</f>
        <v>0.41307748647149511</v>
      </c>
      <c r="AL79" s="193">
        <f t="array" ref="AL79">SUM(AL15:AM15*AL27:AM27)/AL32</f>
        <v>0.40644084027215144</v>
      </c>
      <c r="AN79" s="193">
        <f t="array" ref="AN79">SUM(AN15:AO15*AN27:AO27)/AN32</f>
        <v>0.39511524320002561</v>
      </c>
      <c r="AP79" s="193">
        <f t="array" ref="AP79">SUM(AP15:AQ15*AP27:AQ27)/AP32</f>
        <v>0.39126653001210798</v>
      </c>
      <c r="AR79" s="193">
        <f t="array" ref="AR79">SUM(AR15:AS15*AR27:AS27)/AR32</f>
        <v>0.3860607933166012</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0.20081166673598788</v>
      </c>
      <c r="F80" s="236">
        <f>F55</f>
        <v>0.20313493939388108</v>
      </c>
      <c r="H80" s="236">
        <f>H55</f>
        <v>0.20547546110524975</v>
      </c>
      <c r="J80" s="236">
        <f>J55</f>
        <v>0.20783703769501824</v>
      </c>
      <c r="L80" s="236">
        <f>L55</f>
        <v>0.21022470710983446</v>
      </c>
      <c r="N80" s="236">
        <f>N55</f>
        <v>0.21264547564591188</v>
      </c>
      <c r="P80" s="236">
        <f>P55</f>
        <v>0.21510932724868218</v>
      </c>
      <c r="R80" s="236">
        <f>R55</f>
        <v>0.21763098750387869</v>
      </c>
      <c r="T80" s="236">
        <f>T55</f>
        <v>0.2202327532567718</v>
      </c>
      <c r="V80" s="236">
        <f>V55</f>
        <v>0.2229493674883552</v>
      </c>
      <c r="X80" s="236">
        <f>X55</f>
        <v>0.22583633811375234</v>
      </c>
      <c r="Z80" s="236">
        <f>Z55</f>
        <v>0.2289840991890171</v>
      </c>
      <c r="AB80" s="236">
        <f>AB55</f>
        <v>0.23254130497357717</v>
      </c>
      <c r="AD80" s="236">
        <f>AD55</f>
        <v>0.23674740076568351</v>
      </c>
      <c r="AF80" s="236">
        <f>AF55</f>
        <v>0.24195883509866392</v>
      </c>
      <c r="AH80" s="236">
        <f>AH55</f>
        <v>0.24862978957756934</v>
      </c>
      <c r="AJ80" s="236">
        <f>AJ55</f>
        <v>0.25731348042822588</v>
      </c>
      <c r="AL80" s="236">
        <f>AL55</f>
        <v>0.26921811051463068</v>
      </c>
      <c r="AN80" s="236">
        <f>AN55</f>
        <v>0.28957930783405827</v>
      </c>
      <c r="AP80" s="236">
        <f>AP55</f>
        <v>0.29649931408437796</v>
      </c>
      <c r="AR80" s="236">
        <f>AR55</f>
        <v>0.30585927199788887</v>
      </c>
      <c r="AT80" s="236" t="e">
        <f>AT55</f>
        <v>#DIV/0!</v>
      </c>
      <c r="AV80" s="236" t="e">
        <f>AV55</f>
        <v>#DIV/0!</v>
      </c>
      <c r="XFD80" s="236"/>
    </row>
    <row r="81" spans="1:48 16384:16384" x14ac:dyDescent="0.2">
      <c r="A81" t="s">
        <v>191</v>
      </c>
      <c r="B81" s="236">
        <f>B51/B$32</f>
        <v>-2.7543485504603994E-2</v>
      </c>
      <c r="D81" s="236">
        <f>D51/D$32</f>
        <v>-2.523453782843698E-2</v>
      </c>
      <c r="F81" s="236">
        <f>F51/F$32</f>
        <v>-2.2911265170543774E-2</v>
      </c>
      <c r="H81" s="236">
        <f>H51/H$32</f>
        <v>-2.0570743459175082E-2</v>
      </c>
      <c r="J81" s="236">
        <f>J51/J$32</f>
        <v>-1.8209166869406594E-2</v>
      </c>
      <c r="L81" s="236">
        <f>L51/L$32</f>
        <v>-1.5821497454590369E-2</v>
      </c>
      <c r="N81" s="236">
        <f>N51/N$32</f>
        <v>-1.340072891851298E-2</v>
      </c>
      <c r="P81" s="236">
        <f>P51/P$32</f>
        <v>-1.0936877315742683E-2</v>
      </c>
      <c r="R81" s="236">
        <f>R51/R$32</f>
        <v>-8.4152170605461627E-3</v>
      </c>
      <c r="T81" s="236">
        <f>T51/T$32</f>
        <v>-5.8134513076530418E-3</v>
      </c>
      <c r="V81" s="236">
        <f>V51/V$32</f>
        <v>-3.0968370760696487E-3</v>
      </c>
      <c r="X81" s="236">
        <f>X51/X$32</f>
        <v>-2.0986645067248594E-4</v>
      </c>
      <c r="Z81" s="236">
        <f>Z51/Z$32</f>
        <v>2.9378946245922446E-3</v>
      </c>
      <c r="AB81" s="236">
        <f>AB51/AB$32</f>
        <v>6.495100409152325E-3</v>
      </c>
      <c r="AD81" s="236">
        <f>AD51/AD$32</f>
        <v>1.0701196201258669E-2</v>
      </c>
      <c r="AF81" s="236">
        <f>AF51/AF$32</f>
        <v>1.5912630534239077E-2</v>
      </c>
      <c r="AH81" s="236">
        <f>AH51/AH$32</f>
        <v>2.2583585013144506E-2</v>
      </c>
      <c r="AJ81" s="236">
        <f>AJ51/AJ$32</f>
        <v>3.1267275863801042E-2</v>
      </c>
      <c r="AL81" s="236">
        <f>AL51/AL$32</f>
        <v>4.3171905950205869E-2</v>
      </c>
      <c r="AN81" s="236">
        <f>AN51/AN$32</f>
        <v>6.3533103269633462E-2</v>
      </c>
      <c r="AP81" s="236">
        <f>AP51/AP$32</f>
        <v>7.0453109519953108E-2</v>
      </c>
      <c r="AR81" s="236">
        <f>AR51/AR$32</f>
        <v>7.9813067433464002E-2</v>
      </c>
      <c r="AT81" s="236" t="e">
        <f>AT51/AT$32</f>
        <v>#DIV/0!</v>
      </c>
      <c r="AV81" s="236" t="e">
        <f>AV51/AV$32</f>
        <v>#DIV/0!</v>
      </c>
      <c r="XFD81" s="236"/>
    </row>
    <row r="82" spans="1:48 16384:16384" x14ac:dyDescent="0.2">
      <c r="A82" t="s">
        <v>192</v>
      </c>
      <c r="B82" s="236">
        <f>B52/B$32</f>
        <v>0.13907860278212886</v>
      </c>
      <c r="D82" s="236">
        <f>D52/D$32</f>
        <v>0.13891837399715354</v>
      </c>
      <c r="F82" s="236">
        <f>F52/F$32</f>
        <v>0.13875549815297827</v>
      </c>
      <c r="H82" s="236">
        <f>H52/H$32</f>
        <v>0.13858954553314357</v>
      </c>
      <c r="J82" s="236">
        <f>J52/J$32</f>
        <v>0.13841989852971781</v>
      </c>
      <c r="L82" s="236">
        <f>L52/L$32</f>
        <v>0.13824562794280426</v>
      </c>
      <c r="N82" s="236">
        <f>N52/N$32</f>
        <v>0.13806534383796004</v>
      </c>
      <c r="P82" s="236">
        <f>P52/P$32</f>
        <v>0.13787691928827342</v>
      </c>
      <c r="R82" s="236">
        <f>R52/R$32</f>
        <v>0.13767705606447772</v>
      </c>
      <c r="T82" s="236">
        <f>T52/T$32</f>
        <v>0.13746059852577608</v>
      </c>
      <c r="V82" s="236">
        <f>V52/V$32</f>
        <v>0.13721935889015688</v>
      </c>
      <c r="X82" s="236">
        <f>X52/X$32</f>
        <v>0.13694017021319158</v>
      </c>
      <c r="Z82" s="236">
        <f>Z52/Z$32</f>
        <v>0.13660167253058042</v>
      </c>
      <c r="AB82" s="236">
        <f>AB52/AB$32</f>
        <v>0.13616930141141301</v>
      </c>
      <c r="AD82" s="236">
        <f>AD52/AD$32</f>
        <v>0.13558899954615325</v>
      </c>
      <c r="AF82" s="236">
        <f>AF52/AF$32</f>
        <v>0.13478447417532885</v>
      </c>
      <c r="AH82" s="236">
        <f>AH52/AH$32</f>
        <v>0.13366822882959387</v>
      </c>
      <c r="AJ82" s="236">
        <f>AJ52/AJ$32</f>
        <v>0.13215106197166562</v>
      </c>
      <c r="AL82" s="236">
        <f>AL52/AL$32</f>
        <v>0.13003895452771852</v>
      </c>
      <c r="AN82" s="236">
        <f>AN52/AN$32</f>
        <v>0.12641628631919929</v>
      </c>
      <c r="AP82" s="236">
        <f>AP52/AP$32</f>
        <v>0.1251849042909994</v>
      </c>
      <c r="AR82" s="236">
        <f>AR52/AR$32</f>
        <v>0.12351934088574373</v>
      </c>
      <c r="AT82" s="236" t="e">
        <f>AT52/AT$32</f>
        <v>#DIV/0!</v>
      </c>
      <c r="AV82" s="236" t="e">
        <f>AV52/AV$32</f>
        <v>#DIV/0!</v>
      </c>
    </row>
    <row r="83" spans="1:48 16384:16384" x14ac:dyDescent="0.2">
      <c r="A83" t="s">
        <v>193</v>
      </c>
      <c r="B83" s="236">
        <f>B53/B$32</f>
        <v>0.18600714462929399</v>
      </c>
      <c r="D83" s="236">
        <f>D53/D$32</f>
        <v>0.18522594784969174</v>
      </c>
      <c r="F83" s="236">
        <f>F53/F$32</f>
        <v>0.18444158246849462</v>
      </c>
      <c r="H83" s="236">
        <f>H53/H$32</f>
        <v>0.18365328089472122</v>
      </c>
      <c r="J83" s="236">
        <f>J53/J$32</f>
        <v>0.18286015860115379</v>
      </c>
      <c r="L83" s="236">
        <f>L53/L$32</f>
        <v>0.18206106096436842</v>
      </c>
      <c r="N83" s="236">
        <f>N53/N$32</f>
        <v>0.1812545641492902</v>
      </c>
      <c r="P83" s="236">
        <f>P53/P$32</f>
        <v>0.18043875730003572</v>
      </c>
      <c r="R83" s="236">
        <f>R53/R$32</f>
        <v>0.17961096226783527</v>
      </c>
      <c r="T83" s="236">
        <f>T53/T$32</f>
        <v>0.17876732750958349</v>
      </c>
      <c r="V83" s="236">
        <f>V53/V$32</f>
        <v>0.17790199392972608</v>
      </c>
      <c r="X83" s="236">
        <f>X53/X$32</f>
        <v>0.17700568391144048</v>
      </c>
      <c r="Z83" s="236">
        <f>Z53/Z$32</f>
        <v>0.17606319069206036</v>
      </c>
      <c r="AB83" s="236">
        <f>AB53/AB$32</f>
        <v>0.17504897215277085</v>
      </c>
      <c r="AD83" s="236">
        <f>AD53/AD$32</f>
        <v>0.17392022329359957</v>
      </c>
      <c r="AF83" s="236">
        <f>AF53/AF$32</f>
        <v>0.17260895383224878</v>
      </c>
      <c r="AH83" s="236">
        <f>AH53/AH$32</f>
        <v>0.17101862575779703</v>
      </c>
      <c r="AJ83" s="236">
        <f>AJ53/AJ$32</f>
        <v>0.16901391639257937</v>
      </c>
      <c r="AL83" s="236">
        <f>AL53/AL$32</f>
        <v>0.16629848017879678</v>
      </c>
      <c r="AN83" s="236">
        <f>AN53/AN$32</f>
        <v>0.16166452267848547</v>
      </c>
      <c r="AP83" s="236">
        <f>AP53/AP$32</f>
        <v>0.16008979127756073</v>
      </c>
      <c r="AR83" s="236">
        <f>AR53/AR$32</f>
        <v>0.15795982298969355</v>
      </c>
      <c r="AT83" s="236" t="e">
        <f>AT53/AT$32</f>
        <v>#DIV/0!</v>
      </c>
      <c r="AV83" s="236" t="e">
        <f>AV53/AV$32</f>
        <v>#DIV/0!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4"/>
  <dimension ref="A1:XFD83"/>
  <sheetViews>
    <sheetView showGridLines="0" workbookViewId="0">
      <pane ySplit="1" topLeftCell="A10" activePane="bottomLeft" state="frozen"/>
      <selection pane="bottomLeft" activeCell="B31" sqref="B31"/>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c r="AV1" s="94"/>
    </row>
    <row r="2" spans="1:49" x14ac:dyDescent="0.2">
      <c r="A2" s="229" t="s">
        <v>155</v>
      </c>
      <c r="B2" s="226">
        <v>5.7716594496607888E-3</v>
      </c>
      <c r="C2" s="227"/>
      <c r="D2" s="226">
        <v>3.5614000680927273E-2</v>
      </c>
      <c r="E2" s="227"/>
      <c r="F2" s="226">
        <v>6.8201219848250255E-2</v>
      </c>
      <c r="G2" s="227"/>
      <c r="H2" s="226">
        <v>0.10399609077879797</v>
      </c>
      <c r="I2" s="227"/>
      <c r="J2" s="226">
        <v>0.14358448722503217</v>
      </c>
      <c r="K2" s="227"/>
      <c r="L2" s="226">
        <v>0.18772219125556466</v>
      </c>
      <c r="M2" s="227"/>
      <c r="N2" s="226">
        <v>0.23740658789366578</v>
      </c>
      <c r="O2" s="227"/>
      <c r="P2" s="226">
        <v>0.29398783892428537</v>
      </c>
      <c r="Q2" s="227"/>
      <c r="R2" s="226">
        <v>0.35934833067002675</v>
      </c>
      <c r="S2" s="227"/>
      <c r="T2" s="226">
        <v>0.43620542488526409</v>
      </c>
      <c r="U2" s="227"/>
      <c r="V2" s="226">
        <v>0.52863656482237864</v>
      </c>
      <c r="W2" s="227"/>
      <c r="X2" s="226">
        <v>0.64305115149451308</v>
      </c>
      <c r="Y2" s="227"/>
      <c r="Z2" s="226">
        <v>0.79005931686503161</v>
      </c>
      <c r="AA2" s="227"/>
      <c r="AB2" s="226">
        <v>0.98827838871685847</v>
      </c>
      <c r="AC2" s="227"/>
      <c r="AD2" s="226">
        <v>1.2724188093620861</v>
      </c>
      <c r="AE2" s="227"/>
      <c r="AF2" s="226">
        <v>1.7110695799208442</v>
      </c>
      <c r="AG2" s="227"/>
      <c r="AH2" s="226">
        <v>2.4483425594243164</v>
      </c>
      <c r="AI2" s="227"/>
      <c r="AJ2" s="226">
        <v>3.8255650605302067</v>
      </c>
      <c r="AK2" s="227"/>
      <c r="AL2" s="226">
        <v>6.9164752100307734</v>
      </c>
      <c r="AM2" s="227"/>
      <c r="AN2" s="226">
        <v>17.84920924279011</v>
      </c>
      <c r="AO2" s="227"/>
      <c r="AP2" s="226">
        <v>24.012360031555041</v>
      </c>
      <c r="AQ2" s="227"/>
      <c r="AR2" s="226">
        <v>35.091462429304485</v>
      </c>
      <c r="AS2" s="227"/>
      <c r="AT2" s="226"/>
      <c r="AU2" s="227"/>
      <c r="AV2" s="226"/>
      <c r="AW2" s="227"/>
    </row>
    <row r="3" spans="1:49" x14ac:dyDescent="0.2">
      <c r="A3" t="s">
        <v>12</v>
      </c>
      <c r="B3" s="84">
        <v>1000</v>
      </c>
      <c r="C3" s="85">
        <v>1000</v>
      </c>
      <c r="D3" s="84">
        <v>998.95205334843342</v>
      </c>
      <c r="E3" s="85">
        <v>1012.0888378680996</v>
      </c>
      <c r="F3" s="84">
        <v>997.88636263563365</v>
      </c>
      <c r="G3" s="85">
        <v>1025.3588387002223</v>
      </c>
      <c r="H3" s="84">
        <v>996.80080672455017</v>
      </c>
      <c r="I3" s="85">
        <v>1039.9889727105895</v>
      </c>
      <c r="J3" s="84">
        <v>995.69362292406561</v>
      </c>
      <c r="K3" s="85">
        <v>1056.201220592741</v>
      </c>
      <c r="L3" s="84">
        <v>994.56385066440305</v>
      </c>
      <c r="M3" s="85">
        <v>1074.2752351614822</v>
      </c>
      <c r="N3" s="84">
        <v>993.41206505687319</v>
      </c>
      <c r="O3" s="85">
        <v>1094.5712156056493</v>
      </c>
      <c r="P3" s="84">
        <v>992.24157298494629</v>
      </c>
      <c r="Q3" s="85">
        <v>1117.563717307155</v>
      </c>
      <c r="R3" s="84">
        <v>991.06036438901549</v>
      </c>
      <c r="S3" s="85">
        <v>1143.8955689194654</v>
      </c>
      <c r="T3" s="84">
        <v>989.88434804501662</v>
      </c>
      <c r="U3" s="85">
        <v>1174.4652908789085</v>
      </c>
      <c r="V3" s="84">
        <v>988.74264833881</v>
      </c>
      <c r="W3" s="85">
        <v>1210.5762126124232</v>
      </c>
      <c r="X3" s="84">
        <v>987.68646674716058</v>
      </c>
      <c r="Y3" s="85">
        <v>1254.1997569742819</v>
      </c>
      <c r="Z3" s="84">
        <v>986.80334631950984</v>
      </c>
      <c r="AA3" s="85">
        <v>1308.4637087906763</v>
      </c>
      <c r="AB3" s="84">
        <v>986.23842787272145</v>
      </c>
      <c r="AC3" s="85">
        <v>1378.59485738017</v>
      </c>
      <c r="AD3" s="84">
        <v>986.21719308221941</v>
      </c>
      <c r="AE3" s="85">
        <v>1473.798921614512</v>
      </c>
      <c r="AF3" s="84">
        <v>987.03603595341031</v>
      </c>
      <c r="AG3" s="85">
        <v>1611.0879761137555</v>
      </c>
      <c r="AH3" s="84">
        <v>988.9345192604693</v>
      </c>
      <c r="AI3" s="85">
        <v>1823.5885166675232</v>
      </c>
      <c r="AJ3" s="84">
        <v>991.82858454501479</v>
      </c>
      <c r="AK3" s="85">
        <v>2183.9059601974518</v>
      </c>
      <c r="AL3" s="84">
        <v>995.20133694850767</v>
      </c>
      <c r="AM3" s="85">
        <v>2903.4154432635146</v>
      </c>
      <c r="AN3" s="84">
        <v>998.14807313216386</v>
      </c>
      <c r="AO3" s="85">
        <v>5064.9053162330774</v>
      </c>
      <c r="AP3" s="84">
        <v>998.49195327820075</v>
      </c>
      <c r="AQ3" s="85">
        <v>6163.3238026207737</v>
      </c>
      <c r="AR3" s="84">
        <v>998.60361623902327</v>
      </c>
      <c r="AS3" s="85">
        <v>8027.7139520578421</v>
      </c>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c r="AU4" s="102"/>
      <c r="AV4" s="101"/>
      <c r="AW4" s="102"/>
    </row>
    <row r="5" spans="1:49" x14ac:dyDescent="0.2">
      <c r="A5" t="s">
        <v>128</v>
      </c>
      <c r="B5" s="41">
        <v>1000</v>
      </c>
      <c r="C5" s="42">
        <v>1000</v>
      </c>
      <c r="D5" s="41">
        <v>998.90000483330675</v>
      </c>
      <c r="E5" s="42">
        <v>1010.4903690291555</v>
      </c>
      <c r="F5" s="41">
        <v>997.78057718535206</v>
      </c>
      <c r="G5" s="42">
        <v>1021.7172215711968</v>
      </c>
      <c r="H5" s="41">
        <v>996.63944052894465</v>
      </c>
      <c r="I5" s="42">
        <v>1033.740231084495</v>
      </c>
      <c r="J5" s="41">
        <v>995.4746875542038</v>
      </c>
      <c r="K5" s="42">
        <v>1046.6236061483737</v>
      </c>
      <c r="L5" s="41">
        <v>994.2852482875652</v>
      </c>
      <c r="M5" s="42">
        <v>1060.4339789303426</v>
      </c>
      <c r="N5" s="41">
        <v>993.07166651539012</v>
      </c>
      <c r="O5" s="42">
        <v>1075.2402001158794</v>
      </c>
      <c r="P5" s="41">
        <v>991.83736788964154</v>
      </c>
      <c r="Q5" s="42">
        <v>1091.1090015939083</v>
      </c>
      <c r="R5" s="41">
        <v>990.59073247380638</v>
      </c>
      <c r="S5" s="42">
        <v>1108.0996440563974</v>
      </c>
      <c r="T5" s="41">
        <v>989.34853552863149</v>
      </c>
      <c r="U5" s="42">
        <v>1126.2502313158543</v>
      </c>
      <c r="V5" s="41">
        <v>988.14158530499901</v>
      </c>
      <c r="W5" s="42">
        <v>1145.5591211881645</v>
      </c>
      <c r="X5" s="41">
        <v>987.02415645097165</v>
      </c>
      <c r="Y5" s="42">
        <v>1165.9399983111612</v>
      </c>
      <c r="Z5" s="41">
        <v>986.0891679472586</v>
      </c>
      <c r="AA5" s="42">
        <v>1187.1469497780329</v>
      </c>
      <c r="AB5" s="41">
        <v>985.49075511447586</v>
      </c>
      <c r="AC5" s="42">
        <v>1208.6322446759807</v>
      </c>
      <c r="AD5" s="41">
        <v>985.46825648935328</v>
      </c>
      <c r="AE5" s="42">
        <v>1229.3249315916214</v>
      </c>
      <c r="AF5" s="41">
        <v>986.33558229497817</v>
      </c>
      <c r="AG5" s="42">
        <v>1247.4306729265886</v>
      </c>
      <c r="AH5" s="41">
        <v>988.34449128910785</v>
      </c>
      <c r="AI5" s="42">
        <v>1260.7433225891614</v>
      </c>
      <c r="AJ5" s="41">
        <v>991.4016228540662</v>
      </c>
      <c r="AK5" s="42">
        <v>1268.0810836422381</v>
      </c>
      <c r="AL5" s="41">
        <v>994.95651734066473</v>
      </c>
      <c r="AM5" s="42">
        <v>1270.6527217830737</v>
      </c>
      <c r="AN5" s="41">
        <v>998.05555995738723</v>
      </c>
      <c r="AO5" s="42">
        <v>1271.0530753223136</v>
      </c>
      <c r="AP5" s="41">
        <v>998.41680456081701</v>
      </c>
      <c r="AQ5" s="42">
        <v>1271.0592889303941</v>
      </c>
      <c r="AR5" s="41">
        <v>998.53408773313799</v>
      </c>
      <c r="AS5" s="42">
        <v>1271.0610634512068</v>
      </c>
      <c r="AT5" s="41"/>
      <c r="AU5" s="42"/>
      <c r="AV5" s="41"/>
      <c r="AW5" s="42"/>
    </row>
    <row r="6" spans="1:49" x14ac:dyDescent="0.2">
      <c r="A6" t="s">
        <v>77</v>
      </c>
      <c r="B6" s="41">
        <v>1000.0000000000003</v>
      </c>
      <c r="C6" s="42">
        <v>1000.0000000000002</v>
      </c>
      <c r="D6" s="41">
        <v>998.81596579961138</v>
      </c>
      <c r="E6" s="42">
        <v>1013.0247112415552</v>
      </c>
      <c r="F6" s="41">
        <v>997.61121902027128</v>
      </c>
      <c r="G6" s="42">
        <v>1027.2688775486217</v>
      </c>
      <c r="H6" s="41">
        <v>996.3833209682989</v>
      </c>
      <c r="I6" s="42">
        <v>1042.9139173690314</v>
      </c>
      <c r="J6" s="41">
        <v>995.13023197767427</v>
      </c>
      <c r="K6" s="42">
        <v>1060.1848987421956</v>
      </c>
      <c r="L6" s="41">
        <v>993.85081481927716</v>
      </c>
      <c r="M6" s="42">
        <v>1079.3654304197139</v>
      </c>
      <c r="N6" s="41">
        <v>992.54566864033416</v>
      </c>
      <c r="O6" s="42">
        <v>1100.8209526186215</v>
      </c>
      <c r="P6" s="41">
        <v>991.21849091904494</v>
      </c>
      <c r="Q6" s="42">
        <v>1125.0331039510841</v>
      </c>
      <c r="R6" s="41">
        <v>989.87830224763411</v>
      </c>
      <c r="S6" s="42">
        <v>1152.654538633765</v>
      </c>
      <c r="T6" s="41">
        <v>988.54313916688545</v>
      </c>
      <c r="U6" s="42">
        <v>1184.5977390419046</v>
      </c>
      <c r="V6" s="41">
        <v>987.24610347323016</v>
      </c>
      <c r="W6" s="42">
        <v>1222.1864449278223</v>
      </c>
      <c r="X6" s="41">
        <v>986.04548422179107</v>
      </c>
      <c r="Y6" s="42">
        <v>1267.4228096194979</v>
      </c>
      <c r="Z6" s="41">
        <v>985.04104519770442</v>
      </c>
      <c r="AA6" s="42">
        <v>1323.4825082899695</v>
      </c>
      <c r="AB6" s="41">
        <v>984.39825784544894</v>
      </c>
      <c r="AC6" s="42">
        <v>1395.6698756131427</v>
      </c>
      <c r="AD6" s="41">
        <v>984.37409201041976</v>
      </c>
      <c r="AE6" s="42">
        <v>1493.32162260525</v>
      </c>
      <c r="AF6" s="41">
        <v>985.30574916716432</v>
      </c>
      <c r="AG6" s="42">
        <v>1633.68243434491</v>
      </c>
      <c r="AH6" s="41">
        <v>987.46413741814308</v>
      </c>
      <c r="AI6" s="42">
        <v>1850.3274512257431</v>
      </c>
      <c r="AJ6" s="41">
        <v>990.75001652848835</v>
      </c>
      <c r="AK6" s="42">
        <v>2216.8915552133894</v>
      </c>
      <c r="AL6" s="41">
        <v>994.57283497602214</v>
      </c>
      <c r="AM6" s="42">
        <v>2947.9320733843779</v>
      </c>
      <c r="AN6" s="41">
        <v>997.90714099211812</v>
      </c>
      <c r="AO6" s="42">
        <v>5142.907209501489</v>
      </c>
      <c r="AP6" s="41">
        <v>998.29591228985669</v>
      </c>
      <c r="AQ6" s="42">
        <v>6258.2591278466962</v>
      </c>
      <c r="AR6" s="41">
        <v>998.42213701246544</v>
      </c>
      <c r="AS6" s="42">
        <v>8151.3768687048696</v>
      </c>
      <c r="AT6" s="41"/>
      <c r="AU6" s="42"/>
      <c r="AV6" s="41"/>
      <c r="AW6" s="42"/>
    </row>
    <row r="7" spans="1:49" x14ac:dyDescent="0.2">
      <c r="A7" t="s">
        <v>13</v>
      </c>
      <c r="B7" s="33">
        <v>1015.9116825427475</v>
      </c>
      <c r="C7" s="34">
        <v>1015.9116825427475</v>
      </c>
      <c r="D7" s="33">
        <v>1014.7941846021632</v>
      </c>
      <c r="E7" s="34">
        <v>1014.7941846021632</v>
      </c>
      <c r="F7" s="33">
        <v>1013.6569449768447</v>
      </c>
      <c r="G7" s="34">
        <v>1013.6569449768447</v>
      </c>
      <c r="H7" s="33">
        <v>1012.4976509162226</v>
      </c>
      <c r="I7" s="34">
        <v>1012.4976509162226</v>
      </c>
      <c r="J7" s="33">
        <v>1011.314364761907</v>
      </c>
      <c r="K7" s="34">
        <v>1011.314364761907</v>
      </c>
      <c r="L7" s="33">
        <v>1010.1059995152538</v>
      </c>
      <c r="M7" s="34">
        <v>1010.1059995152538</v>
      </c>
      <c r="N7" s="33">
        <v>1008.8731076151802</v>
      </c>
      <c r="O7" s="34">
        <v>1008.8731076151802</v>
      </c>
      <c r="P7" s="33">
        <v>1007.6191692215357</v>
      </c>
      <c r="Q7" s="34">
        <v>1007.6191692215357</v>
      </c>
      <c r="R7" s="33">
        <v>1006.3526977387172</v>
      </c>
      <c r="S7" s="34">
        <v>1006.3526977387172</v>
      </c>
      <c r="T7" s="33">
        <v>1005.0907353500952</v>
      </c>
      <c r="U7" s="34">
        <v>1005.0907353500952</v>
      </c>
      <c r="V7" s="33">
        <v>1003.8645805176593</v>
      </c>
      <c r="W7" s="34">
        <v>1003.8645805176593</v>
      </c>
      <c r="X7" s="33">
        <v>1002.7293714904426</v>
      </c>
      <c r="Y7" s="34">
        <v>1002.7293714904426</v>
      </c>
      <c r="Z7" s="33">
        <v>1001.7795057464773</v>
      </c>
      <c r="AA7" s="34">
        <v>1001.7795057464773</v>
      </c>
      <c r="AB7" s="33">
        <v>1001.1715711586698</v>
      </c>
      <c r="AC7" s="34">
        <v>1001.1715711586698</v>
      </c>
      <c r="AD7" s="33">
        <v>1001.1487145425667</v>
      </c>
      <c r="AE7" s="34">
        <v>1001.1487145425667</v>
      </c>
      <c r="AF7" s="33">
        <v>1002.0298409610718</v>
      </c>
      <c r="AG7" s="34">
        <v>1002.0298409610718</v>
      </c>
      <c r="AH7" s="33">
        <v>1004.0707150773734</v>
      </c>
      <c r="AI7" s="34">
        <v>1004.0707150773734</v>
      </c>
      <c r="AJ7" s="33">
        <v>1007.1764907492848</v>
      </c>
      <c r="AK7" s="34">
        <v>1007.1764907492848</v>
      </c>
      <c r="AL7" s="33">
        <v>1010.787949588427</v>
      </c>
      <c r="AM7" s="34">
        <v>1010.787949588427</v>
      </c>
      <c r="AN7" s="33">
        <v>1013.9363031874532</v>
      </c>
      <c r="AO7" s="34">
        <v>1013.9363031874532</v>
      </c>
      <c r="AP7" s="33">
        <v>1014.3032958003331</v>
      </c>
      <c r="AQ7" s="34">
        <v>1014.3032958003331</v>
      </c>
      <c r="AR7" s="33">
        <v>1014.4224451452596</v>
      </c>
      <c r="AS7" s="34">
        <v>1014.4224451452596</v>
      </c>
      <c r="AT7" s="33"/>
      <c r="AU7" s="34"/>
      <c r="AV7" s="33"/>
      <c r="AW7" s="34"/>
    </row>
    <row r="8" spans="1:49" x14ac:dyDescent="0.2">
      <c r="B8" s="35">
        <v>1005.7716594496609</v>
      </c>
      <c r="C8" s="36">
        <v>1005.7716594496609</v>
      </c>
      <c r="D8" s="35">
        <v>1046.4779737198305</v>
      </c>
      <c r="E8" s="36">
        <v>1046.4779737198305</v>
      </c>
      <c r="F8" s="35">
        <v>1091.3995824223173</v>
      </c>
      <c r="G8" s="36">
        <v>1091.3995824223173</v>
      </c>
      <c r="H8" s="35">
        <v>1141.2451739980538</v>
      </c>
      <c r="I8" s="36">
        <v>1141.2451739980538</v>
      </c>
      <c r="J8" s="35">
        <v>1196.9025199548021</v>
      </c>
      <c r="K8" s="36">
        <v>1196.9025199548021</v>
      </c>
      <c r="L8" s="35">
        <v>1259.5009691370037</v>
      </c>
      <c r="M8" s="36">
        <v>1259.5009691370037</v>
      </c>
      <c r="N8" s="35">
        <v>1330.5093071914926</v>
      </c>
      <c r="O8" s="36">
        <v>1330.5093071914926</v>
      </c>
      <c r="P8" s="35">
        <v>1411.8817790033361</v>
      </c>
      <c r="Q8" s="36">
        <v>1411.8817790033361</v>
      </c>
      <c r="R8" s="35">
        <v>1506.2934013641145</v>
      </c>
      <c r="S8" s="36">
        <v>1506.2934013641145</v>
      </c>
      <c r="T8" s="35">
        <v>1617.5266919941134</v>
      </c>
      <c r="U8" s="36">
        <v>1617.5266919941134</v>
      </c>
      <c r="V8" s="35">
        <v>1751.1435598140188</v>
      </c>
      <c r="W8" s="36">
        <v>1751.1435598140188</v>
      </c>
      <c r="X8" s="35">
        <v>1915.6990567986641</v>
      </c>
      <c r="Y8" s="36">
        <v>1915.6990567986641</v>
      </c>
      <c r="Z8" s="35">
        <v>2125.0634579380717</v>
      </c>
      <c r="AA8" s="36">
        <v>2125.0634579380717</v>
      </c>
      <c r="AB8" s="35">
        <v>2403.0973719955987</v>
      </c>
      <c r="AC8" s="36">
        <v>2403.0973719955987</v>
      </c>
      <c r="AD8" s="35">
        <v>2793.5410973665598</v>
      </c>
      <c r="AE8" s="36">
        <v>2793.5410973665598</v>
      </c>
      <c r="AF8" s="35">
        <v>3381.8713504314624</v>
      </c>
      <c r="AG8" s="36">
        <v>3381.8713504314624</v>
      </c>
      <c r="AH8" s="35">
        <v>4347.4748557942257</v>
      </c>
      <c r="AI8" s="36">
        <v>4347.4748557942257</v>
      </c>
      <c r="AJ8" s="35">
        <v>6119.2077711432667</v>
      </c>
      <c r="AK8" s="36">
        <v>6119.2077711432667</v>
      </c>
      <c r="AL8" s="35">
        <v>10059.090772553833</v>
      </c>
      <c r="AM8" s="36">
        <v>10059.090772553833</v>
      </c>
      <c r="AN8" s="35">
        <v>23958.345375442146</v>
      </c>
      <c r="AO8" s="36">
        <v>23958.345375442146</v>
      </c>
      <c r="AP8" s="35">
        <v>31792.192556179361</v>
      </c>
      <c r="AQ8" s="36">
        <v>31792.192556179361</v>
      </c>
      <c r="AR8" s="35">
        <v>45874.452616901035</v>
      </c>
      <c r="AS8" s="36">
        <v>45874.452616901035</v>
      </c>
      <c r="AT8" s="35"/>
      <c r="AU8" s="36"/>
      <c r="AV8" s="35"/>
      <c r="AW8" s="36"/>
    </row>
    <row r="9" spans="1:49" x14ac:dyDescent="0.2">
      <c r="A9" t="s">
        <v>14</v>
      </c>
      <c r="B9" s="41">
        <v>1015.9116825427475</v>
      </c>
      <c r="C9" s="42">
        <v>1005.7716594496609</v>
      </c>
      <c r="D9" s="41">
        <v>1014.7941846021632</v>
      </c>
      <c r="E9" s="42">
        <v>1046.4779737198305</v>
      </c>
      <c r="F9" s="41">
        <v>1013.6569449768447</v>
      </c>
      <c r="G9" s="42">
        <v>1091.3995824223173</v>
      </c>
      <c r="H9" s="41">
        <v>1012.4976509162226</v>
      </c>
      <c r="I9" s="42">
        <v>1141.2451739980538</v>
      </c>
      <c r="J9" s="41">
        <v>1011.314364761907</v>
      </c>
      <c r="K9" s="42">
        <v>1196.9025199548021</v>
      </c>
      <c r="L9" s="41">
        <v>1010.1059995152538</v>
      </c>
      <c r="M9" s="42">
        <v>1259.5009691370037</v>
      </c>
      <c r="N9" s="41">
        <v>1008.8731076151802</v>
      </c>
      <c r="O9" s="42">
        <v>1330.5093071914926</v>
      </c>
      <c r="P9" s="41">
        <v>1007.6191692215357</v>
      </c>
      <c r="Q9" s="42">
        <v>1411.8817790033361</v>
      </c>
      <c r="R9" s="41">
        <v>1006.3526977387172</v>
      </c>
      <c r="S9" s="42">
        <v>1506.2934013641145</v>
      </c>
      <c r="T9" s="41">
        <v>1005.0907353500952</v>
      </c>
      <c r="U9" s="42">
        <v>1617.5266919941134</v>
      </c>
      <c r="V9" s="41">
        <v>1003.8645805176593</v>
      </c>
      <c r="W9" s="42">
        <v>1751.1435598140188</v>
      </c>
      <c r="X9" s="41">
        <v>1002.7293714904426</v>
      </c>
      <c r="Y9" s="42">
        <v>1915.6990567986641</v>
      </c>
      <c r="Z9" s="41">
        <v>1001.7795057464773</v>
      </c>
      <c r="AA9" s="42">
        <v>2125.0634579380717</v>
      </c>
      <c r="AB9" s="41">
        <v>1001.1715711586698</v>
      </c>
      <c r="AC9" s="42">
        <v>2403.0973719955987</v>
      </c>
      <c r="AD9" s="41">
        <v>1001.1487145425667</v>
      </c>
      <c r="AE9" s="42">
        <v>2793.5410973665598</v>
      </c>
      <c r="AF9" s="41">
        <v>1002.0298409610718</v>
      </c>
      <c r="AG9" s="42">
        <v>3381.8713504314624</v>
      </c>
      <c r="AH9" s="41">
        <v>1004.0707150773734</v>
      </c>
      <c r="AI9" s="42">
        <v>4347.4748557942257</v>
      </c>
      <c r="AJ9" s="41">
        <v>1007.1764907492848</v>
      </c>
      <c r="AK9" s="42">
        <v>6119.2077711432667</v>
      </c>
      <c r="AL9" s="41">
        <v>1010.787949588427</v>
      </c>
      <c r="AM9" s="42">
        <v>10059.090772553833</v>
      </c>
      <c r="AN9" s="41">
        <v>1013.9363031874532</v>
      </c>
      <c r="AO9" s="42">
        <v>23958.345375442146</v>
      </c>
      <c r="AP9" s="41">
        <v>1014.3032958003331</v>
      </c>
      <c r="AQ9" s="42">
        <v>31792.192556179361</v>
      </c>
      <c r="AR9" s="41">
        <v>1014.4224451452596</v>
      </c>
      <c r="AS9" s="42">
        <v>45874.452616901035</v>
      </c>
      <c r="AT9" s="41"/>
      <c r="AU9" s="42"/>
      <c r="AV9" s="41"/>
      <c r="AW9" s="42"/>
    </row>
    <row r="10" spans="1:49" x14ac:dyDescent="0.2">
      <c r="A10" t="s">
        <v>15</v>
      </c>
      <c r="B10" s="41">
        <v>1015.9116825427475</v>
      </c>
      <c r="C10" s="42">
        <v>1005.7716594496609</v>
      </c>
      <c r="D10" s="41">
        <v>1014.7941846021632</v>
      </c>
      <c r="E10" s="42">
        <v>1046.4779737198305</v>
      </c>
      <c r="F10" s="41">
        <v>1013.6569449768447</v>
      </c>
      <c r="G10" s="42">
        <v>1091.3995824223173</v>
      </c>
      <c r="H10" s="41">
        <v>1012.4976509162226</v>
      </c>
      <c r="I10" s="42">
        <v>1141.2451739980538</v>
      </c>
      <c r="J10" s="41">
        <v>1011.314364761907</v>
      </c>
      <c r="K10" s="42">
        <v>1196.9025199548021</v>
      </c>
      <c r="L10" s="41">
        <v>1010.1059995152538</v>
      </c>
      <c r="M10" s="42">
        <v>1259.5009691370037</v>
      </c>
      <c r="N10" s="41">
        <v>1008.8731076151802</v>
      </c>
      <c r="O10" s="42">
        <v>1330.5093071914926</v>
      </c>
      <c r="P10" s="41">
        <v>1007.6191692215357</v>
      </c>
      <c r="Q10" s="42">
        <v>1411.8817790033361</v>
      </c>
      <c r="R10" s="41">
        <v>1006.3526977387172</v>
      </c>
      <c r="S10" s="42">
        <v>1506.2934013641145</v>
      </c>
      <c r="T10" s="41">
        <v>1005.0907353500952</v>
      </c>
      <c r="U10" s="42">
        <v>1617.5266919941134</v>
      </c>
      <c r="V10" s="41">
        <v>1003.8645805176593</v>
      </c>
      <c r="W10" s="42">
        <v>1751.1435598140188</v>
      </c>
      <c r="X10" s="41">
        <v>1002.7293714904426</v>
      </c>
      <c r="Y10" s="42">
        <v>1915.6990567986641</v>
      </c>
      <c r="Z10" s="41">
        <v>1001.7795057464773</v>
      </c>
      <c r="AA10" s="42">
        <v>2125.0634579380717</v>
      </c>
      <c r="AB10" s="41">
        <v>1001.1715711586698</v>
      </c>
      <c r="AC10" s="42">
        <v>2403.0973719955987</v>
      </c>
      <c r="AD10" s="41">
        <v>1001.1487145425667</v>
      </c>
      <c r="AE10" s="42">
        <v>2793.5410973665598</v>
      </c>
      <c r="AF10" s="41">
        <v>1002.0298409610718</v>
      </c>
      <c r="AG10" s="42">
        <v>3381.8713504314624</v>
      </c>
      <c r="AH10" s="41">
        <v>1004.0707150773734</v>
      </c>
      <c r="AI10" s="42">
        <v>4347.4748557942257</v>
      </c>
      <c r="AJ10" s="41">
        <v>1007.1764907492848</v>
      </c>
      <c r="AK10" s="42">
        <v>6119.2077711432667</v>
      </c>
      <c r="AL10" s="41">
        <v>1010.787949588427</v>
      </c>
      <c r="AM10" s="42">
        <v>10059.090772553833</v>
      </c>
      <c r="AN10" s="41">
        <v>1013.9363031874532</v>
      </c>
      <c r="AO10" s="42">
        <v>23958.345375442146</v>
      </c>
      <c r="AP10" s="41">
        <v>1014.3032958003331</v>
      </c>
      <c r="AQ10" s="42">
        <v>31792.192556179361</v>
      </c>
      <c r="AR10" s="41">
        <v>1014.4224451452596</v>
      </c>
      <c r="AS10" s="42">
        <v>45874.452616901035</v>
      </c>
      <c r="AT10" s="41"/>
      <c r="AU10" s="42"/>
      <c r="AV10" s="41"/>
      <c r="AW10" s="42"/>
    </row>
    <row r="11" spans="1:49" x14ac:dyDescent="0.2">
      <c r="A11" t="s">
        <v>29</v>
      </c>
      <c r="B11" s="41">
        <v>1015.9116825427475</v>
      </c>
      <c r="C11" s="42">
        <v>1005.7716594496609</v>
      </c>
      <c r="D11" s="41">
        <v>1014.7941846021632</v>
      </c>
      <c r="E11" s="42">
        <v>1046.4779737198305</v>
      </c>
      <c r="F11" s="41">
        <v>1013.6569449768447</v>
      </c>
      <c r="G11" s="42">
        <v>1091.3995824223173</v>
      </c>
      <c r="H11" s="41">
        <v>1012.4976509162226</v>
      </c>
      <c r="I11" s="42">
        <v>1141.2451739980538</v>
      </c>
      <c r="J11" s="41">
        <v>1011.314364761907</v>
      </c>
      <c r="K11" s="42">
        <v>1196.9025199548021</v>
      </c>
      <c r="L11" s="41">
        <v>1010.1059995152538</v>
      </c>
      <c r="M11" s="42">
        <v>1259.5009691370037</v>
      </c>
      <c r="N11" s="41">
        <v>1008.8731076151802</v>
      </c>
      <c r="O11" s="42">
        <v>1330.5093071914926</v>
      </c>
      <c r="P11" s="41">
        <v>1007.6191692215357</v>
      </c>
      <c r="Q11" s="42">
        <v>1411.8817790033361</v>
      </c>
      <c r="R11" s="41">
        <v>1006.3526977387172</v>
      </c>
      <c r="S11" s="42">
        <v>1506.2934013641145</v>
      </c>
      <c r="T11" s="41">
        <v>1005.0907353500952</v>
      </c>
      <c r="U11" s="42">
        <v>1617.5266919941134</v>
      </c>
      <c r="V11" s="41">
        <v>1003.8645805176593</v>
      </c>
      <c r="W11" s="42">
        <v>1751.1435598140188</v>
      </c>
      <c r="X11" s="41">
        <v>1002.7293714904426</v>
      </c>
      <c r="Y11" s="42">
        <v>1915.6990567986641</v>
      </c>
      <c r="Z11" s="41">
        <v>1001.7795057464773</v>
      </c>
      <c r="AA11" s="42">
        <v>2125.0634579380717</v>
      </c>
      <c r="AB11" s="41">
        <v>1001.1715711586698</v>
      </c>
      <c r="AC11" s="42">
        <v>2403.0973719955987</v>
      </c>
      <c r="AD11" s="41">
        <v>1001.1487145425667</v>
      </c>
      <c r="AE11" s="42">
        <v>2793.5410973665598</v>
      </c>
      <c r="AF11" s="41">
        <v>1002.0298409610718</v>
      </c>
      <c r="AG11" s="42">
        <v>3381.8713504314624</v>
      </c>
      <c r="AH11" s="41">
        <v>1004.0707150773734</v>
      </c>
      <c r="AI11" s="42">
        <v>4347.4748557942257</v>
      </c>
      <c r="AJ11" s="41">
        <v>1007.1764907492848</v>
      </c>
      <c r="AK11" s="42">
        <v>6119.2077711432667</v>
      </c>
      <c r="AL11" s="41">
        <v>1010.787949588427</v>
      </c>
      <c r="AM11" s="42">
        <v>10059.090772553833</v>
      </c>
      <c r="AN11" s="41">
        <v>1013.9363031874532</v>
      </c>
      <c r="AO11" s="42">
        <v>23958.345375442146</v>
      </c>
      <c r="AP11" s="41">
        <v>1014.3032958003331</v>
      </c>
      <c r="AQ11" s="42">
        <v>31792.192556179361</v>
      </c>
      <c r="AR11" s="41">
        <v>1014.4224451452596</v>
      </c>
      <c r="AS11" s="42">
        <v>45874.452616901035</v>
      </c>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c r="AU12" s="42"/>
      <c r="AV12" s="41"/>
      <c r="AW12" s="42"/>
    </row>
    <row r="13" spans="1:49" x14ac:dyDescent="0.2">
      <c r="A13" t="s">
        <v>17</v>
      </c>
      <c r="B13" s="97">
        <v>1000</v>
      </c>
      <c r="C13" s="98">
        <v>1000</v>
      </c>
      <c r="D13" s="97">
        <v>1003.4497088513448</v>
      </c>
      <c r="E13" s="98">
        <v>1003.4497088513448</v>
      </c>
      <c r="F13" s="97">
        <v>1006.8192336052551</v>
      </c>
      <c r="G13" s="98">
        <v>1006.8192336052551</v>
      </c>
      <c r="H13" s="97">
        <v>1010.102333898579</v>
      </c>
      <c r="I13" s="98">
        <v>1010.102333898579</v>
      </c>
      <c r="J13" s="97">
        <v>1013.292991384506</v>
      </c>
      <c r="K13" s="98">
        <v>1013.292991384506</v>
      </c>
      <c r="L13" s="97">
        <v>1016.3865957898109</v>
      </c>
      <c r="M13" s="98">
        <v>1016.3865957898109</v>
      </c>
      <c r="N13" s="97">
        <v>1019.3812348592991</v>
      </c>
      <c r="O13" s="98">
        <v>1019.3812348592991</v>
      </c>
      <c r="P13" s="97">
        <v>1022.2805708252505</v>
      </c>
      <c r="Q13" s="98">
        <v>1022.2805708252505</v>
      </c>
      <c r="R13" s="97">
        <v>1025.0983527738197</v>
      </c>
      <c r="S13" s="98">
        <v>1025.0983527738197</v>
      </c>
      <c r="T13" s="97">
        <v>1027.8663416533461</v>
      </c>
      <c r="U13" s="98">
        <v>1027.8663416533461</v>
      </c>
      <c r="V13" s="97">
        <v>1030.6479026044649</v>
      </c>
      <c r="W13" s="98">
        <v>1030.6479026044649</v>
      </c>
      <c r="X13" s="97">
        <v>1033.561535603365</v>
      </c>
      <c r="Y13" s="98">
        <v>1033.561535603365</v>
      </c>
      <c r="Z13" s="97">
        <v>1036.8208412784472</v>
      </c>
      <c r="AA13" s="98">
        <v>1036.8208412784472</v>
      </c>
      <c r="AB13" s="97">
        <v>1040.7982913012574</v>
      </c>
      <c r="AC13" s="98">
        <v>1040.7982913012574</v>
      </c>
      <c r="AD13" s="97">
        <v>1046.1061210468274</v>
      </c>
      <c r="AE13" s="98">
        <v>1046.1061210468274</v>
      </c>
      <c r="AF13" s="97">
        <v>1053.6187367050654</v>
      </c>
      <c r="AG13" s="98">
        <v>1053.6187367050654</v>
      </c>
      <c r="AH13" s="97">
        <v>1064.2247056166857</v>
      </c>
      <c r="AI13" s="98">
        <v>1064.2247056166857</v>
      </c>
      <c r="AJ13" s="97">
        <v>1078.3059226891141</v>
      </c>
      <c r="AK13" s="98">
        <v>1078.3059226891141</v>
      </c>
      <c r="AL13" s="97">
        <v>1096.2176635185326</v>
      </c>
      <c r="AM13" s="98">
        <v>1096.2176635185326</v>
      </c>
      <c r="AN13" s="97">
        <v>1123.7976481737244</v>
      </c>
      <c r="AO13" s="98">
        <v>1123.7976481737244</v>
      </c>
      <c r="AP13" s="97">
        <v>1133.2222930386233</v>
      </c>
      <c r="AQ13" s="98">
        <v>1133.2222930386233</v>
      </c>
      <c r="AR13" s="97">
        <v>1146.5153101898084</v>
      </c>
      <c r="AS13" s="98">
        <v>1146.5153101898084</v>
      </c>
      <c r="AT13" s="97"/>
      <c r="AU13" s="98"/>
      <c r="AV13" s="97"/>
      <c r="AW13" s="98"/>
    </row>
    <row r="14" spans="1:49" x14ac:dyDescent="0.2">
      <c r="A14" t="s">
        <v>36</v>
      </c>
      <c r="B14" s="41">
        <v>1457.0034251455234</v>
      </c>
      <c r="C14" s="42">
        <v>1457.0034251455236</v>
      </c>
      <c r="D14" s="41">
        <v>1462.0296627576874</v>
      </c>
      <c r="E14" s="42">
        <v>1462.0296627576877</v>
      </c>
      <c r="F14" s="41">
        <v>1466.9390718652476</v>
      </c>
      <c r="G14" s="42">
        <v>1466.9390718652478</v>
      </c>
      <c r="H14" s="41">
        <v>1471.7225602377166</v>
      </c>
      <c r="I14" s="42">
        <v>1471.7225602377168</v>
      </c>
      <c r="J14" s="41">
        <v>1476.3713591231783</v>
      </c>
      <c r="K14" s="42">
        <v>1476.3713591231785</v>
      </c>
      <c r="L14" s="41">
        <v>1480.8787513377531</v>
      </c>
      <c r="M14" s="42">
        <v>1480.8787513377533</v>
      </c>
      <c r="N14" s="41">
        <v>1485.2419507190718</v>
      </c>
      <c r="O14" s="42">
        <v>1485.2419507190721</v>
      </c>
      <c r="P14" s="41">
        <v>1489.4662931521107</v>
      </c>
      <c r="Q14" s="42">
        <v>1489.4662931521109</v>
      </c>
      <c r="R14" s="41">
        <v>1493.5718111024892</v>
      </c>
      <c r="S14" s="42">
        <v>1493.5718111024894</v>
      </c>
      <c r="T14" s="41">
        <v>1497.6047803807239</v>
      </c>
      <c r="U14" s="42">
        <v>1497.6047803807242</v>
      </c>
      <c r="V14" s="41">
        <v>1501.6575242137551</v>
      </c>
      <c r="W14" s="42">
        <v>1501.6575242137553</v>
      </c>
      <c r="X14" s="41">
        <v>1505.9026974727694</v>
      </c>
      <c r="Y14" s="42">
        <v>1505.9026974727697</v>
      </c>
      <c r="Z14" s="41">
        <v>1510.6515170049606</v>
      </c>
      <c r="AA14" s="42">
        <v>1510.6515170049609</v>
      </c>
      <c r="AB14" s="41">
        <v>1516.4466753115403</v>
      </c>
      <c r="AC14" s="42">
        <v>1516.4466753115405</v>
      </c>
      <c r="AD14" s="41">
        <v>1524.1802014309249</v>
      </c>
      <c r="AE14" s="42">
        <v>1524.1802014309251</v>
      </c>
      <c r="AF14" s="41">
        <v>1535.1261081767796</v>
      </c>
      <c r="AG14" s="42">
        <v>1535.1261081767798</v>
      </c>
      <c r="AH14" s="41">
        <v>1550.5790412079973</v>
      </c>
      <c r="AI14" s="42">
        <v>1550.5790412079975</v>
      </c>
      <c r="AJ14" s="41">
        <v>1571.0954227127431</v>
      </c>
      <c r="AK14" s="42">
        <v>1571.0954227127434</v>
      </c>
      <c r="AL14" s="41">
        <v>1597.1928904515248</v>
      </c>
      <c r="AM14" s="42">
        <v>1597.192890451525</v>
      </c>
      <c r="AN14" s="41">
        <v>1637.3770225596002</v>
      </c>
      <c r="AO14" s="42">
        <v>1637.3770225596004</v>
      </c>
      <c r="AP14" s="41">
        <v>1651.108762408538</v>
      </c>
      <c r="AQ14" s="42">
        <v>1651.1087624085383</v>
      </c>
      <c r="AR14" s="41">
        <v>1670.4767339283328</v>
      </c>
      <c r="AS14" s="42">
        <v>1670.476733928333</v>
      </c>
      <c r="AT14" s="41"/>
      <c r="AU14" s="42"/>
      <c r="AV14" s="41"/>
      <c r="AW14" s="42"/>
    </row>
    <row r="15" spans="1:49" x14ac:dyDescent="0.2">
      <c r="A15" t="s">
        <v>18</v>
      </c>
      <c r="B15" s="154">
        <v>1000</v>
      </c>
      <c r="C15" s="155">
        <v>1000</v>
      </c>
      <c r="D15" s="154">
        <v>990.14206066747715</v>
      </c>
      <c r="E15" s="155">
        <v>990.14206066747715</v>
      </c>
      <c r="F15" s="154">
        <v>980.15964631104259</v>
      </c>
      <c r="G15" s="155">
        <v>980.15964631104259</v>
      </c>
      <c r="H15" s="154">
        <v>970.033076349304</v>
      </c>
      <c r="I15" s="155">
        <v>970.033076349304</v>
      </c>
      <c r="J15" s="154">
        <v>959.73856677245237</v>
      </c>
      <c r="K15" s="155">
        <v>959.73856677245237</v>
      </c>
      <c r="L15" s="154">
        <v>949.24634777917288</v>
      </c>
      <c r="M15" s="155">
        <v>949.24634777917288</v>
      </c>
      <c r="N15" s="154">
        <v>938.51836798608292</v>
      </c>
      <c r="O15" s="155">
        <v>938.51836798608292</v>
      </c>
      <c r="P15" s="154">
        <v>927.50419052583288</v>
      </c>
      <c r="Q15" s="155">
        <v>927.50419052583288</v>
      </c>
      <c r="R15" s="154">
        <v>916.13467859119794</v>
      </c>
      <c r="S15" s="155">
        <v>916.13467859119794</v>
      </c>
      <c r="T15" s="154">
        <v>904.31160591946752</v>
      </c>
      <c r="U15" s="155">
        <v>904.31160591946752</v>
      </c>
      <c r="V15" s="154">
        <v>891.88984185862284</v>
      </c>
      <c r="W15" s="155">
        <v>891.88984185862284</v>
      </c>
      <c r="X15" s="154">
        <v>878.64721393534421</v>
      </c>
      <c r="Y15" s="155">
        <v>878.64721393534421</v>
      </c>
      <c r="Z15" s="154">
        <v>864.23170210267665</v>
      </c>
      <c r="AA15" s="155">
        <v>864.23170210267665</v>
      </c>
      <c r="AB15" s="154">
        <v>848.07143369842743</v>
      </c>
      <c r="AC15" s="155">
        <v>848.07143369842743</v>
      </c>
      <c r="AD15" s="154">
        <v>829.23291925383342</v>
      </c>
      <c r="AE15" s="155">
        <v>829.23291925383342</v>
      </c>
      <c r="AF15" s="154">
        <v>806.24820633536797</v>
      </c>
      <c r="AG15" s="155">
        <v>806.24820633536797</v>
      </c>
      <c r="AH15" s="154">
        <v>777.00180504837147</v>
      </c>
      <c r="AI15" s="155">
        <v>777.00180504837147</v>
      </c>
      <c r="AJ15" s="154">
        <v>738.47162200875357</v>
      </c>
      <c r="AK15" s="155">
        <v>738.47162200875357</v>
      </c>
      <c r="AL15" s="154">
        <v>684.32091728172895</v>
      </c>
      <c r="AM15" s="155">
        <v>684.32091728172895</v>
      </c>
      <c r="AN15" s="154">
        <v>590.38500175889044</v>
      </c>
      <c r="AO15" s="155">
        <v>590.38500175889044</v>
      </c>
      <c r="AP15" s="154">
        <v>558.75142680384624</v>
      </c>
      <c r="AQ15" s="155">
        <v>558.75142680384624</v>
      </c>
      <c r="AR15" s="154">
        <v>516.41142210382725</v>
      </c>
      <c r="AS15" s="155">
        <v>516.41142210382725</v>
      </c>
      <c r="AT15" s="154"/>
      <c r="AU15" s="155"/>
      <c r="AV15" s="154"/>
      <c r="AW15" s="155"/>
    </row>
    <row r="16" spans="1:49" s="29" customFormat="1" x14ac:dyDescent="0.2">
      <c r="A16" t="s">
        <v>61</v>
      </c>
      <c r="B16" s="41">
        <v>1000</v>
      </c>
      <c r="C16" s="42">
        <v>1000</v>
      </c>
      <c r="D16" s="41">
        <v>997.23191692978537</v>
      </c>
      <c r="E16" s="42">
        <v>993.937727274586</v>
      </c>
      <c r="F16" s="41">
        <v>994.35241559861015</v>
      </c>
      <c r="G16" s="42">
        <v>987.75817764877218</v>
      </c>
      <c r="H16" s="41">
        <v>991.34876857125948</v>
      </c>
      <c r="I16" s="42">
        <v>981.44538629669194</v>
      </c>
      <c r="J16" s="41">
        <v>988.20640805080984</v>
      </c>
      <c r="K16" s="42">
        <v>974.98052515057088</v>
      </c>
      <c r="L16" s="41">
        <v>984.90866995599686</v>
      </c>
      <c r="M16" s="42">
        <v>968.34081789560935</v>
      </c>
      <c r="N16" s="41">
        <v>981.4363913123866</v>
      </c>
      <c r="O16" s="42">
        <v>961.49833638118514</v>
      </c>
      <c r="P16" s="41">
        <v>977.76750259939945</v>
      </c>
      <c r="Q16" s="42">
        <v>954.41782294266466</v>
      </c>
      <c r="R16" s="41">
        <v>973.8764413371938</v>
      </c>
      <c r="S16" s="42">
        <v>947.05347132511292</v>
      </c>
      <c r="T16" s="41">
        <v>969.73345346555232</v>
      </c>
      <c r="U16" s="42">
        <v>939.34367431784619</v>
      </c>
      <c r="V16" s="41">
        <v>965.30339338875342</v>
      </c>
      <c r="W16" s="42">
        <v>931.20217287108289</v>
      </c>
      <c r="X16" s="41">
        <v>960.54397496167292</v>
      </c>
      <c r="Y16" s="42">
        <v>922.50303251485047</v>
      </c>
      <c r="Z16" s="41">
        <v>955.4020432607814</v>
      </c>
      <c r="AA16" s="42">
        <v>913.05415474125925</v>
      </c>
      <c r="AB16" s="41">
        <v>949.80493258082959</v>
      </c>
      <c r="AC16" s="42">
        <v>902.55077974764924</v>
      </c>
      <c r="AD16" s="41">
        <v>943.63656302881486</v>
      </c>
      <c r="AE16" s="42">
        <v>890.49681262890761</v>
      </c>
      <c r="AF16" s="41">
        <v>936.66799163356882</v>
      </c>
      <c r="AG16" s="42">
        <v>876.08706796984541</v>
      </c>
      <c r="AH16" s="41">
        <v>928.37237894520047</v>
      </c>
      <c r="AI16" s="42">
        <v>858.05715436675951</v>
      </c>
      <c r="AJ16" s="41">
        <v>917.52355328702413</v>
      </c>
      <c r="AK16" s="42">
        <v>834.34559995738152</v>
      </c>
      <c r="AL16" s="41">
        <v>901.30412591211314</v>
      </c>
      <c r="AM16" s="42">
        <v>800.50012961246989</v>
      </c>
      <c r="AN16" s="41">
        <v>871.33663722547158</v>
      </c>
      <c r="AO16" s="42">
        <v>740.80736491840662</v>
      </c>
      <c r="AP16" s="41">
        <v>861.31711256736423</v>
      </c>
      <c r="AQ16" s="42">
        <v>720.74407867047807</v>
      </c>
      <c r="AR16" s="41">
        <v>848.26377304420055</v>
      </c>
      <c r="AS16" s="42">
        <v>694.08162544912659</v>
      </c>
      <c r="AT16" s="41"/>
      <c r="AU16" s="42"/>
      <c r="AV16" s="41"/>
      <c r="AW16" s="42"/>
    </row>
    <row r="17" spans="1:49" x14ac:dyDescent="0.2">
      <c r="A17" t="s">
        <v>62</v>
      </c>
      <c r="B17" s="35">
        <v>999.99999999998658</v>
      </c>
      <c r="C17" s="36">
        <v>1000.0000000000002</v>
      </c>
      <c r="D17" s="35">
        <v>999.0004580901541</v>
      </c>
      <c r="E17" s="36">
        <v>1018.5683259597253</v>
      </c>
      <c r="F17" s="35">
        <v>997.98474153849531</v>
      </c>
      <c r="G17" s="36">
        <v>1039.0073114877403</v>
      </c>
      <c r="H17" s="35">
        <v>996.95087128802857</v>
      </c>
      <c r="I17" s="36">
        <v>1061.6128025945916</v>
      </c>
      <c r="J17" s="35">
        <v>995.89722755991784</v>
      </c>
      <c r="K17" s="36">
        <v>1086.7533126519268</v>
      </c>
      <c r="L17" s="35">
        <v>994.8229446749757</v>
      </c>
      <c r="M17" s="36">
        <v>1114.8946769361291</v>
      </c>
      <c r="N17" s="35">
        <v>993.72863106400746</v>
      </c>
      <c r="O17" s="36">
        <v>1146.6392418187556</v>
      </c>
      <c r="P17" s="35">
        <v>992.61748162850722</v>
      </c>
      <c r="Q17" s="36">
        <v>1182.7833844452471</v>
      </c>
      <c r="R17" s="35">
        <v>991.49712246600973</v>
      </c>
      <c r="S17" s="36">
        <v>1224.4100289402963</v>
      </c>
      <c r="T17" s="35">
        <v>990.38266027819736</v>
      </c>
      <c r="U17" s="36">
        <v>1273.0392065912913</v>
      </c>
      <c r="V17" s="35">
        <v>989.30164796525946</v>
      </c>
      <c r="W17" s="36">
        <v>1330.887342925741</v>
      </c>
      <c r="X17" s="35">
        <v>988.30243315335395</v>
      </c>
      <c r="Y17" s="36">
        <v>1401.3295334888451</v>
      </c>
      <c r="Z17" s="35">
        <v>987.46755493862838</v>
      </c>
      <c r="AA17" s="36">
        <v>1489.7703766666234</v>
      </c>
      <c r="AB17" s="35">
        <v>986.93379034415966</v>
      </c>
      <c r="AC17" s="36">
        <v>1605.3614628602911</v>
      </c>
      <c r="AD17" s="35">
        <v>986.91373129474255</v>
      </c>
      <c r="AE17" s="36">
        <v>1764.5364566260093</v>
      </c>
      <c r="AF17" s="35">
        <v>987.68747900846847</v>
      </c>
      <c r="AG17" s="36">
        <v>1998.5502801234468</v>
      </c>
      <c r="AH17" s="35">
        <v>989.48325466667984</v>
      </c>
      <c r="AI17" s="36">
        <v>2370.8009096285405</v>
      </c>
      <c r="AJ17" s="35">
        <v>992.22565679679155</v>
      </c>
      <c r="AK17" s="36">
        <v>3027.3523163542477</v>
      </c>
      <c r="AL17" s="35">
        <v>995.42901227900393</v>
      </c>
      <c r="AM17" s="36">
        <v>4416.2451206121832</v>
      </c>
      <c r="AN17" s="35">
        <v>998.23410599552813</v>
      </c>
      <c r="AO17" s="36">
        <v>8999.2944902814852</v>
      </c>
      <c r="AP17" s="35">
        <v>998.56183785470012</v>
      </c>
      <c r="AQ17" s="36">
        <v>11485.478702404756</v>
      </c>
      <c r="AR17" s="35">
        <v>998.66827425294753</v>
      </c>
      <c r="AS17" s="36">
        <v>15869.422602503098</v>
      </c>
      <c r="AT17" s="35"/>
      <c r="AU17" s="36"/>
      <c r="AV17" s="35"/>
      <c r="AW17" s="36"/>
    </row>
    <row r="18" spans="1:49" x14ac:dyDescent="0.2">
      <c r="A18" t="s">
        <v>19</v>
      </c>
      <c r="B18" s="33">
        <v>27857.010133999996</v>
      </c>
      <c r="C18" s="34">
        <v>1236.7674480000003</v>
      </c>
      <c r="D18" s="33">
        <v>27857.622526511444</v>
      </c>
      <c r="E18" s="34">
        <v>1147.3692368106613</v>
      </c>
      <c r="F18" s="33">
        <v>27855.734362090912</v>
      </c>
      <c r="G18" s="34">
        <v>1057.9624728856375</v>
      </c>
      <c r="H18" s="33">
        <v>27851.04142456346</v>
      </c>
      <c r="I18" s="34">
        <v>968.57160497256939</v>
      </c>
      <c r="J18" s="33">
        <v>27843.164639775972</v>
      </c>
      <c r="K18" s="34">
        <v>879.24423762841184</v>
      </c>
      <c r="L18" s="33">
        <v>27831.626670455731</v>
      </c>
      <c r="M18" s="34">
        <v>790.057475146858</v>
      </c>
      <c r="N18" s="33">
        <v>27815.805294260084</v>
      </c>
      <c r="O18" s="34">
        <v>701.14217965785519</v>
      </c>
      <c r="P18" s="33">
        <v>27794.874124523456</v>
      </c>
      <c r="Q18" s="34">
        <v>612.70646137189806</v>
      </c>
      <c r="R18" s="33">
        <v>27767.70444231595</v>
      </c>
      <c r="S18" s="34">
        <v>525.07974583397595</v>
      </c>
      <c r="T18" s="33">
        <v>27732.717882296856</v>
      </c>
      <c r="U18" s="34">
        <v>438.77319187060033</v>
      </c>
      <c r="V18" s="33">
        <v>27687.640850592772</v>
      </c>
      <c r="W18" s="34">
        <v>354.58216609832414</v>
      </c>
      <c r="X18" s="33">
        <v>27629.119549925406</v>
      </c>
      <c r="Y18" s="34">
        <v>273.72769056912256</v>
      </c>
      <c r="Z18" s="33">
        <v>27552.083380214761</v>
      </c>
      <c r="AA18" s="34">
        <v>198.06702863714787</v>
      </c>
      <c r="AB18" s="33">
        <v>27448.751046390506</v>
      </c>
      <c r="AC18" s="34">
        <v>130.33579794712318</v>
      </c>
      <c r="AD18" s="33">
        <v>27307.245079874934</v>
      </c>
      <c r="AE18" s="34">
        <v>74.243000964362437</v>
      </c>
      <c r="AF18" s="33">
        <v>27110.275242912354</v>
      </c>
      <c r="AG18" s="34">
        <v>33.792841487972396</v>
      </c>
      <c r="AH18" s="33">
        <v>26834.913848886219</v>
      </c>
      <c r="AI18" s="34">
        <v>10.840661505293031</v>
      </c>
      <c r="AJ18" s="33">
        <v>26450.451165992537</v>
      </c>
      <c r="AK18" s="34">
        <v>2.0024327764957599</v>
      </c>
      <c r="AL18" s="33">
        <v>25894.749297630646</v>
      </c>
      <c r="AM18" s="34">
        <v>0.13865322035333635</v>
      </c>
      <c r="AN18" s="33">
        <v>24953.917594743198</v>
      </c>
      <c r="AO18" s="34">
        <v>8.0974615533919373E-4</v>
      </c>
      <c r="AP18" s="33">
        <v>24655.88816111043</v>
      </c>
      <c r="AQ18" s="34">
        <v>1.3473864692610125E-4</v>
      </c>
      <c r="AR18" s="33">
        <v>24275.886955115799</v>
      </c>
      <c r="AS18" s="34">
        <v>1.2199337025168876E-5</v>
      </c>
      <c r="AT18" s="33"/>
      <c r="AU18" s="34"/>
      <c r="AV18" s="33"/>
      <c r="AW18" s="34"/>
    </row>
    <row r="19" spans="1:49" x14ac:dyDescent="0.2">
      <c r="A19" t="s">
        <v>3</v>
      </c>
      <c r="B19" s="41">
        <v>1886.3937399999966</v>
      </c>
      <c r="C19" s="42">
        <v>262.78711299999782</v>
      </c>
      <c r="D19" s="41">
        <v>1880.9453299240099</v>
      </c>
      <c r="E19" s="42">
        <v>271.384463828018</v>
      </c>
      <c r="F19" s="41">
        <v>1875.236526406384</v>
      </c>
      <c r="G19" s="42">
        <v>280.86141246733888</v>
      </c>
      <c r="H19" s="41">
        <v>1869.2373685187147</v>
      </c>
      <c r="I19" s="42">
        <v>291.28251391762473</v>
      </c>
      <c r="J19" s="41">
        <v>1862.9150826387317</v>
      </c>
      <c r="K19" s="42">
        <v>302.70396743356469</v>
      </c>
      <c r="L19" s="41">
        <v>1856.2349420149339</v>
      </c>
      <c r="M19" s="42">
        <v>315.16255251730973</v>
      </c>
      <c r="N19" s="41">
        <v>1849.1611141516007</v>
      </c>
      <c r="O19" s="42">
        <v>328.65973430938374</v>
      </c>
      <c r="P19" s="41">
        <v>1841.6591277327893</v>
      </c>
      <c r="Q19" s="42">
        <v>343.13366018403497</v>
      </c>
      <c r="R19" s="41">
        <v>1833.6997274240546</v>
      </c>
      <c r="S19" s="42">
        <v>358.41456520137541</v>
      </c>
      <c r="T19" s="41">
        <v>1825.2661792626536</v>
      </c>
      <c r="U19" s="42">
        <v>374.15040043624373</v>
      </c>
      <c r="V19" s="41">
        <v>1816.3657227468752</v>
      </c>
      <c r="W19" s="42">
        <v>389.68498956024843</v>
      </c>
      <c r="X19" s="41">
        <v>1807.049996230237</v>
      </c>
      <c r="Y19" s="42">
        <v>403.85551128543449</v>
      </c>
      <c r="Z19" s="41">
        <v>1797.445776688684</v>
      </c>
      <c r="AA19" s="42">
        <v>414.66749754161538</v>
      </c>
      <c r="AB19" s="41">
        <v>1787.7952110163337</v>
      </c>
      <c r="AC19" s="42">
        <v>418.81832396836052</v>
      </c>
      <c r="AD19" s="41">
        <v>1778.4698365942893</v>
      </c>
      <c r="AE19" s="42">
        <v>411.20545622318099</v>
      </c>
      <c r="AF19" s="41">
        <v>1769.8067106897915</v>
      </c>
      <c r="AG19" s="42">
        <v>385.19045237851896</v>
      </c>
      <c r="AH19" s="41">
        <v>1761.3914977316138</v>
      </c>
      <c r="AI19" s="42">
        <v>335.4651842614698</v>
      </c>
      <c r="AJ19" s="41">
        <v>1750.5276542366435</v>
      </c>
      <c r="AK19" s="42">
        <v>263.55514867476182</v>
      </c>
      <c r="AL19" s="41">
        <v>1730.1561878859379</v>
      </c>
      <c r="AM19" s="42">
        <v>178.57433186788768</v>
      </c>
      <c r="AN19" s="41">
        <v>1681.1151913293236</v>
      </c>
      <c r="AO19" s="42">
        <v>89.512472646364927</v>
      </c>
      <c r="AP19" s="41">
        <v>1662.6313896363038</v>
      </c>
      <c r="AQ19" s="42">
        <v>71.612778728347806</v>
      </c>
      <c r="AR19" s="41">
        <v>1637.5162665463965</v>
      </c>
      <c r="AS19" s="42">
        <v>53.7101839214778</v>
      </c>
      <c r="AT19" s="41"/>
      <c r="AU19" s="42"/>
      <c r="AV19" s="41"/>
      <c r="AW19" s="42"/>
    </row>
    <row r="20" spans="1:49" x14ac:dyDescent="0.2">
      <c r="A20" t="s">
        <v>127</v>
      </c>
      <c r="B20" s="82">
        <v>26548.356269999993</v>
      </c>
      <c r="C20" s="83">
        <v>1408.5418709999938</v>
      </c>
      <c r="D20" s="82">
        <v>26530.011178468394</v>
      </c>
      <c r="E20" s="83">
        <v>1338.1147774499941</v>
      </c>
      <c r="F20" s="82">
        <v>26508.872291824377</v>
      </c>
      <c r="G20" s="83">
        <v>1267.6876838999945</v>
      </c>
      <c r="H20" s="82">
        <v>26484.611435201903</v>
      </c>
      <c r="I20" s="83">
        <v>1197.2605903499946</v>
      </c>
      <c r="J20" s="82">
        <v>26456.836076143267</v>
      </c>
      <c r="K20" s="83">
        <v>1126.8334967999951</v>
      </c>
      <c r="L20" s="82">
        <v>26425.075819576501</v>
      </c>
      <c r="M20" s="83">
        <v>1056.4064032499953</v>
      </c>
      <c r="N20" s="82">
        <v>26388.75252910619</v>
      </c>
      <c r="O20" s="83">
        <v>985.97930969999561</v>
      </c>
      <c r="P20" s="82">
        <v>26347.147780124898</v>
      </c>
      <c r="Q20" s="83">
        <v>915.55221614999596</v>
      </c>
      <c r="R20" s="82">
        <v>26299.348482361078</v>
      </c>
      <c r="S20" s="83">
        <v>845.12512259999642</v>
      </c>
      <c r="T20" s="82">
        <v>26244.17148053609</v>
      </c>
      <c r="U20" s="83">
        <v>774.69802904999653</v>
      </c>
      <c r="V20" s="82">
        <v>26180.035720531836</v>
      </c>
      <c r="W20" s="83">
        <v>704.27093549999688</v>
      </c>
      <c r="X20" s="82">
        <v>26104.771468652969</v>
      </c>
      <c r="Y20" s="83">
        <v>633.84384194999711</v>
      </c>
      <c r="Z20" s="82">
        <v>26015.292438275519</v>
      </c>
      <c r="AA20" s="83">
        <v>563.41674839999746</v>
      </c>
      <c r="AB20" s="82">
        <v>25907.049273134617</v>
      </c>
      <c r="AC20" s="83">
        <v>492.98965484999781</v>
      </c>
      <c r="AD20" s="82">
        <v>25773.091483706081</v>
      </c>
      <c r="AE20" s="83">
        <v>422.56256129999809</v>
      </c>
      <c r="AF20" s="82">
        <v>25602.461791895468</v>
      </c>
      <c r="AG20" s="83">
        <v>352.13546774999827</v>
      </c>
      <c r="AH20" s="82">
        <v>25377.246268530009</v>
      </c>
      <c r="AI20" s="83">
        <v>281.70837419999856</v>
      </c>
      <c r="AJ20" s="82">
        <v>25065.421700665371</v>
      </c>
      <c r="AK20" s="83">
        <v>211.28128064999879</v>
      </c>
      <c r="AL20" s="82">
        <v>24597.014580769723</v>
      </c>
      <c r="AM20" s="83">
        <v>140.85418709999905</v>
      </c>
      <c r="AN20" s="82">
        <v>23751.624927243978</v>
      </c>
      <c r="AO20" s="83">
        <v>70.427093549999285</v>
      </c>
      <c r="AP20" s="82">
        <v>23473.481203898067</v>
      </c>
      <c r="AQ20" s="83">
        <v>56.341674839999335</v>
      </c>
      <c r="AR20" s="82">
        <v>23113.468521871433</v>
      </c>
      <c r="AS20" s="83">
        <v>42.256256129999379</v>
      </c>
      <c r="AT20" s="82"/>
      <c r="AU20" s="83"/>
      <c r="AV20" s="82"/>
      <c r="AW20" s="83"/>
    </row>
    <row r="21" spans="1:49" x14ac:dyDescent="0.2">
      <c r="A21" t="s">
        <v>76</v>
      </c>
      <c r="B21" s="82">
        <v>24661.96252999999</v>
      </c>
      <c r="C21" s="83">
        <v>1145.7547579999916</v>
      </c>
      <c r="D21" s="82">
        <v>24649.068303952616</v>
      </c>
      <c r="E21" s="83">
        <v>1066.8718878925793</v>
      </c>
      <c r="F21" s="82">
        <v>24633.64575336123</v>
      </c>
      <c r="G21" s="83">
        <v>987.43072109183333</v>
      </c>
      <c r="H21" s="82">
        <v>24615.396944864064</v>
      </c>
      <c r="I21" s="83">
        <v>907.4324707558078</v>
      </c>
      <c r="J21" s="82">
        <v>24593.962435414385</v>
      </c>
      <c r="K21" s="83">
        <v>826.89964983144114</v>
      </c>
      <c r="L21" s="82">
        <v>24568.906888466659</v>
      </c>
      <c r="M21" s="83">
        <v>745.88895948651384</v>
      </c>
      <c r="N21" s="82">
        <v>24539.688305441799</v>
      </c>
      <c r="O21" s="83">
        <v>664.50860342451097</v>
      </c>
      <c r="P21" s="82">
        <v>24505.622928506575</v>
      </c>
      <c r="Q21" s="83">
        <v>582.94625284302901</v>
      </c>
      <c r="R21" s="82">
        <v>24465.826853877741</v>
      </c>
      <c r="S21" s="83">
        <v>501.51039410914052</v>
      </c>
      <c r="T21" s="82">
        <v>24419.133050140928</v>
      </c>
      <c r="U21" s="83">
        <v>420.69429716483586</v>
      </c>
      <c r="V21" s="82">
        <v>24363.951594909526</v>
      </c>
      <c r="W21" s="83">
        <v>341.27272580686503</v>
      </c>
      <c r="X21" s="82">
        <v>24298.057670952643</v>
      </c>
      <c r="Y21" s="83">
        <v>264.44872000832265</v>
      </c>
      <c r="Z21" s="82">
        <v>24218.231731546799</v>
      </c>
      <c r="AA21" s="83">
        <v>192.06222452404234</v>
      </c>
      <c r="AB21" s="82">
        <v>24119.671231365319</v>
      </c>
      <c r="AC21" s="83">
        <v>126.8386592038572</v>
      </c>
      <c r="AD21" s="82">
        <v>23995.037947365887</v>
      </c>
      <c r="AE21" s="83">
        <v>72.496935014057129</v>
      </c>
      <c r="AF21" s="82">
        <v>23833.020733833011</v>
      </c>
      <c r="AG21" s="83">
        <v>33.099543478221122</v>
      </c>
      <c r="AH21" s="82">
        <v>23616.11847173587</v>
      </c>
      <c r="AI21" s="83">
        <v>10.645016130059732</v>
      </c>
      <c r="AJ21" s="82">
        <v>23315.03579304794</v>
      </c>
      <c r="AK21" s="83">
        <v>1.969715571350781</v>
      </c>
      <c r="AL21" s="82">
        <v>22866.906250181844</v>
      </c>
      <c r="AM21" s="83">
        <v>0.13651075282570532</v>
      </c>
      <c r="AN21" s="82">
        <v>22070.516604813976</v>
      </c>
      <c r="AO21" s="83">
        <v>7.9744667278363766E-4</v>
      </c>
      <c r="AP21" s="82">
        <v>21810.854314663393</v>
      </c>
      <c r="AQ21" s="83">
        <v>1.3269354586550175E-4</v>
      </c>
      <c r="AR21" s="82">
        <v>21475.95605446936</v>
      </c>
      <c r="AS21" s="83">
        <v>1.2014244443641361E-5</v>
      </c>
      <c r="AT21" s="82"/>
      <c r="AU21" s="83"/>
      <c r="AV21" s="82"/>
      <c r="AW21" s="83"/>
    </row>
    <row r="22" spans="1:49" x14ac:dyDescent="0.2">
      <c r="A22" t="s">
        <v>28</v>
      </c>
      <c r="B22" s="41">
        <v>6533.6044688320717</v>
      </c>
      <c r="C22" s="42">
        <v>379.90788307663411</v>
      </c>
      <c r="D22" s="41">
        <v>6533.8501206736664</v>
      </c>
      <c r="E22" s="42">
        <v>370.73998164493008</v>
      </c>
      <c r="F22" s="41">
        <v>6533.1884017977727</v>
      </c>
      <c r="G22" s="42">
        <v>361.2276966257628</v>
      </c>
      <c r="H22" s="41">
        <v>6531.5102716640658</v>
      </c>
      <c r="I22" s="42">
        <v>351.34533016366942</v>
      </c>
      <c r="J22" s="41">
        <v>6528.68508066511</v>
      </c>
      <c r="K22" s="42">
        <v>341.06227642185848</v>
      </c>
      <c r="L22" s="41">
        <v>6524.5563598606332</v>
      </c>
      <c r="M22" s="42">
        <v>330.34183962371037</v>
      </c>
      <c r="N22" s="41">
        <v>6518.9318224953295</v>
      </c>
      <c r="O22" s="42">
        <v>319.13846041267277</v>
      </c>
      <c r="P22" s="41">
        <v>6511.5730176441484</v>
      </c>
      <c r="Q22" s="42">
        <v>307.3946443750213</v>
      </c>
      <c r="R22" s="41">
        <v>6502.1774731254372</v>
      </c>
      <c r="S22" s="42">
        <v>295.03581109949135</v>
      </c>
      <c r="T22" s="41">
        <v>6490.354816942172</v>
      </c>
      <c r="U22" s="42">
        <v>281.96308729333253</v>
      </c>
      <c r="V22" s="41">
        <v>6475.583718717482</v>
      </c>
      <c r="W22" s="42">
        <v>268.04177159501944</v>
      </c>
      <c r="X22" s="41">
        <v>6457.1494272919244</v>
      </c>
      <c r="Y22" s="42">
        <v>253.08490127250789</v>
      </c>
      <c r="Z22" s="41">
        <v>6434.0294968553144</v>
      </c>
      <c r="AA22" s="42">
        <v>236.82891235587923</v>
      </c>
      <c r="AB22" s="41">
        <v>6404.69420986979</v>
      </c>
      <c r="AC22" s="42">
        <v>218.90325173502626</v>
      </c>
      <c r="AD22" s="41">
        <v>6366.7283129365724</v>
      </c>
      <c r="AE22" s="42">
        <v>198.80804945906857</v>
      </c>
      <c r="AF22" s="41">
        <v>6316.086265735471</v>
      </c>
      <c r="AG22" s="42">
        <v>175.95180477519938</v>
      </c>
      <c r="AH22" s="41">
        <v>6245.5419843422478</v>
      </c>
      <c r="AI22" s="42">
        <v>149.82972913996355</v>
      </c>
      <c r="AJ22" s="41">
        <v>6141.0258349428177</v>
      </c>
      <c r="AK22" s="42">
        <v>120.22607860879837</v>
      </c>
      <c r="AL22" s="41">
        <v>5970.1698088523881</v>
      </c>
      <c r="AM22" s="42">
        <v>86.927864403168982</v>
      </c>
      <c r="AN22" s="41">
        <v>5624.4642594338411</v>
      </c>
      <c r="AO22" s="42">
        <v>48.744430602656941</v>
      </c>
      <c r="AP22" s="41">
        <v>5500.5774768923111</v>
      </c>
      <c r="AQ22" s="42">
        <v>40.237244253105629</v>
      </c>
      <c r="AR22" s="41">
        <v>5332.545009858216</v>
      </c>
      <c r="AS22" s="42">
        <v>31.306522689357163</v>
      </c>
      <c r="AT22" s="41"/>
      <c r="AU22" s="42"/>
      <c r="AV22" s="41"/>
      <c r="AW22" s="42"/>
    </row>
    <row r="23" spans="1:49" x14ac:dyDescent="0.2">
      <c r="A23" t="s">
        <v>7</v>
      </c>
      <c r="B23" s="116">
        <v>3278.5018080150408</v>
      </c>
      <c r="C23" s="8">
        <v>0</v>
      </c>
      <c r="D23" s="116">
        <v>3281.5597345466117</v>
      </c>
      <c r="E23" s="8">
        <v>0</v>
      </c>
      <c r="F23" s="116">
        <v>3284.3853470152981</v>
      </c>
      <c r="G23" s="8">
        <v>0</v>
      </c>
      <c r="H23" s="116">
        <v>3286.9530353949981</v>
      </c>
      <c r="I23" s="8">
        <v>0</v>
      </c>
      <c r="J23" s="116">
        <v>3289.2325194020927</v>
      </c>
      <c r="K23" s="8">
        <v>0</v>
      </c>
      <c r="L23" s="116">
        <v>3291.1888981481889</v>
      </c>
      <c r="M23" s="8">
        <v>0</v>
      </c>
      <c r="N23" s="116">
        <v>3292.7805030482773</v>
      </c>
      <c r="O23" s="8">
        <v>0</v>
      </c>
      <c r="P23" s="116">
        <v>3293.9582352137554</v>
      </c>
      <c r="Q23" s="8">
        <v>0</v>
      </c>
      <c r="R23" s="116">
        <v>3294.663518293461</v>
      </c>
      <c r="S23" s="8">
        <v>0</v>
      </c>
      <c r="T23" s="116">
        <v>3294.8271963861666</v>
      </c>
      <c r="U23" s="8">
        <v>0</v>
      </c>
      <c r="V23" s="116">
        <v>3294.3663973813909</v>
      </c>
      <c r="W23" s="8">
        <v>0</v>
      </c>
      <c r="X23" s="116">
        <v>3293.1839339571111</v>
      </c>
      <c r="Y23" s="8">
        <v>0</v>
      </c>
      <c r="Z23" s="116">
        <v>3291.1663308174898</v>
      </c>
      <c r="AA23" s="8">
        <v>0</v>
      </c>
      <c r="AB23" s="116">
        <v>3288.1830521901479</v>
      </c>
      <c r="AC23" s="8">
        <v>0</v>
      </c>
      <c r="AD23" s="116">
        <v>3284.0764906926206</v>
      </c>
      <c r="AE23" s="8">
        <v>0</v>
      </c>
      <c r="AF23" s="116">
        <v>3278.5999393888192</v>
      </c>
      <c r="AG23" s="8">
        <v>0</v>
      </c>
      <c r="AH23" s="116">
        <v>3271.1767003953796</v>
      </c>
      <c r="AI23" s="8">
        <v>0</v>
      </c>
      <c r="AJ23" s="116">
        <v>3260.3538948338546</v>
      </c>
      <c r="AK23" s="8">
        <v>0</v>
      </c>
      <c r="AL23" s="116">
        <v>3243.1685690976487</v>
      </c>
      <c r="AM23" s="8">
        <v>0</v>
      </c>
      <c r="AN23" s="116">
        <v>3215.1725087141249</v>
      </c>
      <c r="AO23" s="8">
        <v>0</v>
      </c>
      <c r="AP23" s="116">
        <v>3208.3020651312413</v>
      </c>
      <c r="AQ23" s="8">
        <v>0</v>
      </c>
      <c r="AR23" s="116">
        <v>3201.9096790863282</v>
      </c>
      <c r="AS23" s="8">
        <v>0</v>
      </c>
      <c r="AT23" s="116"/>
      <c r="AU23" s="8"/>
      <c r="AV23" s="116"/>
      <c r="AW23" s="8"/>
    </row>
    <row r="24" spans="1:49" x14ac:dyDescent="0.2">
      <c r="A24" t="s">
        <v>8</v>
      </c>
      <c r="B24" s="97">
        <v>3196.3846373657216</v>
      </c>
      <c r="C24" s="8">
        <v>0</v>
      </c>
      <c r="D24" s="97">
        <v>3199.3659734044199</v>
      </c>
      <c r="E24" s="8">
        <v>0</v>
      </c>
      <c r="F24" s="97">
        <v>3202.1208128549288</v>
      </c>
      <c r="G24" s="8">
        <v>0</v>
      </c>
      <c r="H24" s="97">
        <v>3204.6241852856106</v>
      </c>
      <c r="I24" s="8">
        <v>0</v>
      </c>
      <c r="J24" s="97">
        <v>3206.8465758674156</v>
      </c>
      <c r="K24" s="8">
        <v>0</v>
      </c>
      <c r="L24" s="97">
        <v>3208.7539515332555</v>
      </c>
      <c r="M24" s="8">
        <v>0</v>
      </c>
      <c r="N24" s="97">
        <v>3210.3056909480315</v>
      </c>
      <c r="O24" s="8">
        <v>0</v>
      </c>
      <c r="P24" s="97">
        <v>3211.4539239876549</v>
      </c>
      <c r="Q24" s="8">
        <v>0</v>
      </c>
      <c r="R24" s="97">
        <v>3212.1415428543173</v>
      </c>
      <c r="S24" s="8">
        <v>0</v>
      </c>
      <c r="T24" s="97">
        <v>3212.3011210158138</v>
      </c>
      <c r="U24" s="8">
        <v>0</v>
      </c>
      <c r="V24" s="97">
        <v>3211.8518640550465</v>
      </c>
      <c r="W24" s="8">
        <v>0</v>
      </c>
      <c r="X24" s="97">
        <v>3210.699017820783</v>
      </c>
      <c r="Y24" s="8">
        <v>0</v>
      </c>
      <c r="Z24" s="97">
        <v>3208.7319497817493</v>
      </c>
      <c r="AA24" s="8">
        <v>0</v>
      </c>
      <c r="AB24" s="97">
        <v>3205.8233938230742</v>
      </c>
      <c r="AC24" s="8">
        <v>0</v>
      </c>
      <c r="AD24" s="97">
        <v>3201.8196900555176</v>
      </c>
      <c r="AE24" s="8">
        <v>0</v>
      </c>
      <c r="AF24" s="97">
        <v>3196.4803108297992</v>
      </c>
      <c r="AG24" s="8">
        <v>0</v>
      </c>
      <c r="AH24" s="97">
        <v>3189.2430029131001</v>
      </c>
      <c r="AI24" s="8">
        <v>0</v>
      </c>
      <c r="AJ24" s="97">
        <v>3178.6912779319396</v>
      </c>
      <c r="AK24" s="8">
        <v>0</v>
      </c>
      <c r="AL24" s="97">
        <v>3161.9363958586487</v>
      </c>
      <c r="AM24" s="8">
        <v>0</v>
      </c>
      <c r="AN24" s="97">
        <v>3134.6415573754293</v>
      </c>
      <c r="AO24" s="8">
        <v>0</v>
      </c>
      <c r="AP24" s="97">
        <v>3127.943198915927</v>
      </c>
      <c r="AQ24" s="8">
        <v>0</v>
      </c>
      <c r="AR24" s="97">
        <v>3121.7109240091022</v>
      </c>
      <c r="AS24" s="8">
        <v>0</v>
      </c>
      <c r="AT24" s="97"/>
      <c r="AU24" s="8"/>
      <c r="AV24" s="97"/>
      <c r="AW24" s="8"/>
    </row>
    <row r="25" spans="1:49" x14ac:dyDescent="0.2">
      <c r="A25" t="s">
        <v>0</v>
      </c>
      <c r="B25" s="41">
        <v>3195.0476040000012</v>
      </c>
      <c r="C25" s="42">
        <v>91.012690000004255</v>
      </c>
      <c r="D25" s="41">
        <v>3208.5462564787426</v>
      </c>
      <c r="E25" s="42">
        <v>80.471586880616144</v>
      </c>
      <c r="F25" s="41">
        <v>3222.0560674132275</v>
      </c>
      <c r="G25" s="42">
        <v>70.433723811161059</v>
      </c>
      <c r="H25" s="41">
        <v>3235.5696058363819</v>
      </c>
      <c r="I25" s="42">
        <v>60.929932940393506</v>
      </c>
      <c r="J25" s="41">
        <v>3249.0659287101716</v>
      </c>
      <c r="K25" s="42">
        <v>51.992030085439424</v>
      </c>
      <c r="L25" s="41">
        <v>3262.5016621093423</v>
      </c>
      <c r="M25" s="42">
        <v>43.652621953155077</v>
      </c>
      <c r="N25" s="41">
        <v>3275.7952424994896</v>
      </c>
      <c r="O25" s="42">
        <v>35.945448482877246</v>
      </c>
      <c r="P25" s="41">
        <v>3288.8030454792761</v>
      </c>
      <c r="Q25" s="42">
        <v>28.905280664563275</v>
      </c>
      <c r="R25" s="41">
        <v>3301.2801334261389</v>
      </c>
      <c r="S25" s="42">
        <v>22.568030513084111</v>
      </c>
      <c r="T25" s="41">
        <v>3312.8169199311997</v>
      </c>
      <c r="U25" s="42">
        <v>16.9704455155922</v>
      </c>
      <c r="V25" s="41">
        <v>3322.7350634264958</v>
      </c>
      <c r="W25" s="42">
        <v>12.149607547463672</v>
      </c>
      <c r="X25" s="41">
        <v>3329.917425902282</v>
      </c>
      <c r="Y25" s="42">
        <v>8.1407756985334991</v>
      </c>
      <c r="Z25" s="41">
        <v>3332.5357800162847</v>
      </c>
      <c r="AA25" s="42">
        <v>4.9725523556892943</v>
      </c>
      <c r="AB25" s="41">
        <v>3327.6507391578775</v>
      </c>
      <c r="AC25" s="42">
        <v>2.655406435536126</v>
      </c>
      <c r="AD25" s="41">
        <v>3310.7809012928842</v>
      </c>
      <c r="AE25" s="42">
        <v>1.1580211334480686</v>
      </c>
      <c r="AF25" s="41">
        <v>3276.0062602961543</v>
      </c>
      <c r="AG25" s="42">
        <v>0.36911491148519621</v>
      </c>
      <c r="AH25" s="41">
        <v>3217.9025706874095</v>
      </c>
      <c r="AI25" s="42">
        <v>7.2137700389653628E-2</v>
      </c>
      <c r="AJ25" s="41">
        <v>3134.9414432194908</v>
      </c>
      <c r="AK25" s="42">
        <v>6.4779279875815856E-3</v>
      </c>
      <c r="AL25" s="41">
        <v>3027.6853445741494</v>
      </c>
      <c r="AM25" s="42">
        <v>1.4358435962564999E-4</v>
      </c>
      <c r="AN25" s="41">
        <v>2883.3786389627276</v>
      </c>
      <c r="AO25" s="42">
        <v>9.0547710830747288E-8</v>
      </c>
      <c r="AP25" s="41">
        <v>2845.0192239179901</v>
      </c>
      <c r="AQ25" s="42">
        <v>6.8714145001160027E-9</v>
      </c>
      <c r="AR25" s="41">
        <v>2799.9185624993343</v>
      </c>
      <c r="AS25" s="42">
        <v>2.1616360669064885E-10</v>
      </c>
      <c r="AT25" s="41"/>
      <c r="AU25" s="42"/>
      <c r="AV25" s="41"/>
      <c r="AW25" s="42"/>
    </row>
    <row r="26" spans="1:49" x14ac:dyDescent="0.2">
      <c r="A26" t="s">
        <v>27</v>
      </c>
      <c r="B26" s="33">
        <v>5036.2953101960647</v>
      </c>
      <c r="C26" s="34">
        <v>74.905331803938267</v>
      </c>
      <c r="D26" s="33">
        <v>5041.2254057740829</v>
      </c>
      <c r="E26" s="34">
        <v>69.975236225918096</v>
      </c>
      <c r="F26" s="33">
        <v>5046.1968887359535</v>
      </c>
      <c r="G26" s="34">
        <v>65.003753264031729</v>
      </c>
      <c r="H26" s="33">
        <v>5051.212534407553</v>
      </c>
      <c r="I26" s="34">
        <v>59.988107592449985</v>
      </c>
      <c r="J26" s="33">
        <v>5056.2743940306536</v>
      </c>
      <c r="K26" s="34">
        <v>54.926247969355785</v>
      </c>
      <c r="L26" s="33">
        <v>5061.3833768493896</v>
      </c>
      <c r="M26" s="34">
        <v>49.817265150614801</v>
      </c>
      <c r="N26" s="33">
        <v>5066.5379703918397</v>
      </c>
      <c r="O26" s="34">
        <v>44.662671608167123</v>
      </c>
      <c r="P26" s="33">
        <v>5071.7327631287744</v>
      </c>
      <c r="Q26" s="34">
        <v>39.467878871227711</v>
      </c>
      <c r="R26" s="33">
        <v>5076.9557513237951</v>
      </c>
      <c r="S26" s="34">
        <v>34.244890676209145</v>
      </c>
      <c r="T26" s="33">
        <v>5082.184341075149</v>
      </c>
      <c r="U26" s="34">
        <v>29.016300924857372</v>
      </c>
      <c r="V26" s="33">
        <v>5087.3785468294564</v>
      </c>
      <c r="W26" s="34">
        <v>23.822095170545776</v>
      </c>
      <c r="X26" s="33">
        <v>5092.4707827874827</v>
      </c>
      <c r="Y26" s="34">
        <v>18.729859212513663</v>
      </c>
      <c r="Z26" s="33">
        <v>5097.349929156323</v>
      </c>
      <c r="AA26" s="34">
        <v>13.850712843680419</v>
      </c>
      <c r="AB26" s="33">
        <v>5101.8402503511661</v>
      </c>
      <c r="AC26" s="34">
        <v>9.3603916488394692</v>
      </c>
      <c r="AD26" s="33">
        <v>5105.6847235464393</v>
      </c>
      <c r="AE26" s="34">
        <v>5.5159184535646819</v>
      </c>
      <c r="AF26" s="33">
        <v>5108.5741180982086</v>
      </c>
      <c r="AG26" s="34">
        <v>2.6265239017941915</v>
      </c>
      <c r="AH26" s="33">
        <v>5110.3035591472863</v>
      </c>
      <c r="AI26" s="34">
        <v>0.89708285271654731</v>
      </c>
      <c r="AJ26" s="33">
        <v>5111.0191114702902</v>
      </c>
      <c r="AK26" s="34">
        <v>0.18153052971473524</v>
      </c>
      <c r="AL26" s="33">
        <v>5111.1861183203064</v>
      </c>
      <c r="AM26" s="34">
        <v>1.4523679700308E-2</v>
      </c>
      <c r="AN26" s="33">
        <v>5111.2005291101441</v>
      </c>
      <c r="AO26" s="34">
        <v>1.1288985737256424E-4</v>
      </c>
      <c r="AP26" s="33">
        <v>5111.200621191414</v>
      </c>
      <c r="AQ26" s="34">
        <v>2.0808594043581379E-5</v>
      </c>
      <c r="AR26" s="33">
        <v>5111.2006398346311</v>
      </c>
      <c r="AS26" s="34">
        <v>2.1653776674927462E-6</v>
      </c>
      <c r="AT26" s="33"/>
      <c r="AU26" s="34"/>
      <c r="AV26" s="33"/>
      <c r="AW26" s="34"/>
    </row>
    <row r="27" spans="1:49" x14ac:dyDescent="0.2">
      <c r="A27" t="s">
        <v>2</v>
      </c>
      <c r="B27" s="35">
        <v>6425.1981589998131</v>
      </c>
      <c r="C27" s="36">
        <v>273.22915400000056</v>
      </c>
      <c r="D27" s="35">
        <v>6442.8860000430059</v>
      </c>
      <c r="E27" s="36">
        <v>255.54135189235464</v>
      </c>
      <c r="F27" s="35">
        <v>6460.7641607425567</v>
      </c>
      <c r="G27" s="36">
        <v>237.66320712118031</v>
      </c>
      <c r="H27" s="35">
        <v>6478.8438009375814</v>
      </c>
      <c r="I27" s="36">
        <v>219.58351373450088</v>
      </c>
      <c r="J27" s="35">
        <v>6497.1334913168375</v>
      </c>
      <c r="K27" s="36">
        <v>201.29384945754734</v>
      </c>
      <c r="L27" s="35">
        <v>6515.637886720594</v>
      </c>
      <c r="M27" s="36">
        <v>182.78942886968932</v>
      </c>
      <c r="N27" s="35">
        <v>6534.3527604196952</v>
      </c>
      <c r="O27" s="36">
        <v>164.0745566676747</v>
      </c>
      <c r="P27" s="35">
        <v>6553.2596908439527</v>
      </c>
      <c r="Q27" s="36">
        <v>145.1676264174929</v>
      </c>
      <c r="R27" s="35">
        <v>6572.3158895839642</v>
      </c>
      <c r="S27" s="36">
        <v>126.11142852311335</v>
      </c>
      <c r="T27" s="35">
        <v>6591.4396908230192</v>
      </c>
      <c r="U27" s="36">
        <v>106.98764913223805</v>
      </c>
      <c r="V27" s="35">
        <v>6610.4843300899565</v>
      </c>
      <c r="W27" s="36">
        <v>87.942995807614182</v>
      </c>
      <c r="X27" s="35">
        <v>6629.2004318678219</v>
      </c>
      <c r="Y27" s="36">
        <v>69.226899495472793</v>
      </c>
      <c r="Z27" s="35">
        <v>6647.1754239988641</v>
      </c>
      <c r="AA27" s="36">
        <v>51.251888590360494</v>
      </c>
      <c r="AB27" s="35">
        <v>6663.7544583551517</v>
      </c>
      <c r="AC27" s="36">
        <v>34.672850879571023</v>
      </c>
      <c r="AD27" s="35">
        <v>6677.9767425889695</v>
      </c>
      <c r="AE27" s="36">
        <v>20.45057008875105</v>
      </c>
      <c r="AF27" s="35">
        <v>6688.6827320738867</v>
      </c>
      <c r="AG27" s="36">
        <v>9.7445857096537818</v>
      </c>
      <c r="AH27" s="35">
        <v>6695.0977205475883</v>
      </c>
      <c r="AI27" s="36">
        <v>3.3295929449348045</v>
      </c>
      <c r="AJ27" s="35">
        <v>6697.7534353347428</v>
      </c>
      <c r="AK27" s="36">
        <v>0.67387795553394803</v>
      </c>
      <c r="AL27" s="35">
        <v>6698.3733960345289</v>
      </c>
      <c r="AM27" s="36">
        <v>5.3916930175335158E-2</v>
      </c>
      <c r="AN27" s="35">
        <v>6698.4268939270887</v>
      </c>
      <c r="AO27" s="36">
        <v>4.1908786222560646E-4</v>
      </c>
      <c r="AP27" s="35">
        <v>6698.4272357516884</v>
      </c>
      <c r="AQ27" s="36">
        <v>7.7249007400891754E-5</v>
      </c>
      <c r="AR27" s="35">
        <v>6698.4273050213924</v>
      </c>
      <c r="AS27" s="36">
        <v>8.0386585077909511E-6</v>
      </c>
      <c r="AT27" s="35"/>
      <c r="AU27" s="36"/>
      <c r="AV27" s="35"/>
      <c r="AW27" s="36"/>
    </row>
    <row r="28" spans="1:49" x14ac:dyDescent="0.2">
      <c r="A28" t="s">
        <v>35</v>
      </c>
      <c r="B28" s="41">
        <v>13763.097675999827</v>
      </c>
      <c r="C28" s="42">
        <v>382.36647900000054</v>
      </c>
      <c r="D28" s="41">
        <v>13787.959716630992</v>
      </c>
      <c r="E28" s="42">
        <v>357.49534801588379</v>
      </c>
      <c r="F28" s="41">
        <v>13813.054081157583</v>
      </c>
      <c r="G28" s="42">
        <v>332.37328788486019</v>
      </c>
      <c r="H28" s="41">
        <v>13838.395389472671</v>
      </c>
      <c r="I28" s="42">
        <v>306.98511238856554</v>
      </c>
      <c r="J28" s="41">
        <v>13863.994577636</v>
      </c>
      <c r="K28" s="42">
        <v>281.31947671786406</v>
      </c>
      <c r="L28" s="41">
        <v>13889.856981327988</v>
      </c>
      <c r="M28" s="42">
        <v>255.37034248763663</v>
      </c>
      <c r="N28" s="41">
        <v>13915.975556998344</v>
      </c>
      <c r="O28" s="42">
        <v>229.14429345526418</v>
      </c>
      <c r="P28" s="41">
        <v>13942.323501734631</v>
      </c>
      <c r="Q28" s="42">
        <v>202.6676889456246</v>
      </c>
      <c r="R28" s="41">
        <v>13968.840320158</v>
      </c>
      <c r="S28" s="42">
        <v>176.00089341057262</v>
      </c>
      <c r="T28" s="41">
        <v>13995.411757490145</v>
      </c>
      <c r="U28" s="42">
        <v>149.25860177354414</v>
      </c>
      <c r="V28" s="41">
        <v>14021.834159644655</v>
      </c>
      <c r="W28" s="42">
        <v>122.64586322719653</v>
      </c>
      <c r="X28" s="41">
        <v>14047.762861975201</v>
      </c>
      <c r="Y28" s="42">
        <v>96.510651021688759</v>
      </c>
      <c r="Z28" s="41">
        <v>14072.629663042144</v>
      </c>
      <c r="AA28" s="42">
        <v>71.427424979534479</v>
      </c>
      <c r="AB28" s="41">
        <v>14095.534802574519</v>
      </c>
      <c r="AC28" s="42">
        <v>48.30707571557771</v>
      </c>
      <c r="AD28" s="41">
        <v>14115.160689149594</v>
      </c>
      <c r="AE28" s="42">
        <v>28.484705659971777</v>
      </c>
      <c r="AF28" s="41">
        <v>14129.920182594577</v>
      </c>
      <c r="AG28" s="42">
        <v>13.570108090915678</v>
      </c>
      <c r="AH28" s="41">
        <v>14138.758223112523</v>
      </c>
      <c r="AI28" s="42">
        <v>4.6361685733821103</v>
      </c>
      <c r="AJ28" s="41">
        <v>14142.415775803078</v>
      </c>
      <c r="AK28" s="42">
        <v>0.93827011035785701</v>
      </c>
      <c r="AL28" s="41">
        <v>14143.26950264227</v>
      </c>
      <c r="AM28" s="42">
        <v>7.5070069366335299E-2</v>
      </c>
      <c r="AN28" s="41">
        <v>14143.343170851074</v>
      </c>
      <c r="AO28" s="42">
        <v>5.8350724650471999E-4</v>
      </c>
      <c r="AP28" s="41">
        <v>14143.343641558662</v>
      </c>
      <c r="AQ28" s="42">
        <v>1.0755585954908478E-4</v>
      </c>
      <c r="AR28" s="41">
        <v>14143.343736921144</v>
      </c>
      <c r="AS28" s="42">
        <v>1.1192441135152072E-5</v>
      </c>
      <c r="AT28" s="41"/>
      <c r="AU28" s="42"/>
      <c r="AV28" s="41"/>
      <c r="AW28" s="42"/>
    </row>
    <row r="29" spans="1:49" x14ac:dyDescent="0.2">
      <c r="A29" t="s">
        <v>53</v>
      </c>
      <c r="B29" s="35">
        <v>14362.768558000018</v>
      </c>
      <c r="C29" s="36">
        <v>817.26651000000095</v>
      </c>
      <c r="D29" s="35">
        <v>14362.986870103688</v>
      </c>
      <c r="E29" s="36">
        <v>754.81198962392341</v>
      </c>
      <c r="F29" s="35">
        <v>14361.912569569085</v>
      </c>
      <c r="G29" s="36">
        <v>692.66942694063107</v>
      </c>
      <c r="H29" s="35">
        <v>14359.38853163567</v>
      </c>
      <c r="I29" s="36">
        <v>630.8864508551975</v>
      </c>
      <c r="J29" s="35">
        <v>14355.219050808135</v>
      </c>
      <c r="K29" s="36">
        <v>569.52943661612255</v>
      </c>
      <c r="L29" s="35">
        <v>14349.157847757479</v>
      </c>
      <c r="M29" s="36">
        <v>508.68806502211828</v>
      </c>
      <c r="N29" s="35">
        <v>14340.884091565304</v>
      </c>
      <c r="O29" s="36">
        <v>448.49107526602239</v>
      </c>
      <c r="P29" s="35">
        <v>14329.97199551823</v>
      </c>
      <c r="Q29" s="36">
        <v>389.12135803324435</v>
      </c>
      <c r="R29" s="35">
        <v>14315.840437243132</v>
      </c>
      <c r="S29" s="36">
        <v>330.8434753803723</v>
      </c>
      <c r="T29" s="35">
        <v>14297.677405580665</v>
      </c>
      <c r="U29" s="36">
        <v>274.04042208850433</v>
      </c>
      <c r="V29" s="35">
        <v>14274.314064432707</v>
      </c>
      <c r="W29" s="36">
        <v>219.27450438518852</v>
      </c>
      <c r="X29" s="35">
        <v>14244.027357996023</v>
      </c>
      <c r="Y29" s="36">
        <v>167.36818240830848</v>
      </c>
      <c r="Z29" s="35">
        <v>14204.213556749324</v>
      </c>
      <c r="AA29" s="36">
        <v>119.51914726656914</v>
      </c>
      <c r="AB29" s="35">
        <v>14150.878257130018</v>
      </c>
      <c r="AC29" s="36">
        <v>77.418373901858857</v>
      </c>
      <c r="AD29" s="35">
        <v>14077.924155643701</v>
      </c>
      <c r="AE29" s="36">
        <v>43.251033925175911</v>
      </c>
      <c r="AF29" s="35">
        <v>13976.469189370795</v>
      </c>
      <c r="AG29" s="36">
        <v>19.203628387086219</v>
      </c>
      <c r="AH29" s="35">
        <v>13834.712476509543</v>
      </c>
      <c r="AI29" s="36">
        <v>5.9614742906589564</v>
      </c>
      <c r="AJ29" s="35">
        <v>13636.79801280768</v>
      </c>
      <c r="AK29" s="36">
        <v>1.0528179465198826</v>
      </c>
      <c r="AL29" s="35">
        <v>13350.620861368676</v>
      </c>
      <c r="AM29" s="36">
        <v>6.8313230908407241E-2</v>
      </c>
      <c r="AN29" s="35">
        <v>12865.810675101709</v>
      </c>
      <c r="AO29" s="36">
        <v>3.5783149136801867E-4</v>
      </c>
      <c r="AP29" s="35">
        <v>12712.180658719373</v>
      </c>
      <c r="AQ29" s="36">
        <v>5.7588260077651816E-5</v>
      </c>
      <c r="AR29" s="35">
        <v>12516.267313284319</v>
      </c>
      <c r="AS29" s="36">
        <v>5.0030336131987199E-6</v>
      </c>
      <c r="AT29" s="35"/>
      <c r="AU29" s="36"/>
      <c r="AV29" s="35"/>
      <c r="AW29" s="36"/>
    </row>
    <row r="30" spans="1:49" x14ac:dyDescent="0.2">
      <c r="A30" t="s">
        <v>48</v>
      </c>
      <c r="B30" s="119">
        <v>2924829.9599999995</v>
      </c>
      <c r="D30" s="119">
        <v>2970750.9801178998</v>
      </c>
      <c r="F30" s="119">
        <v>3016556.587857075</v>
      </c>
      <c r="H30" s="119">
        <v>3062264.5099862255</v>
      </c>
      <c r="J30" s="119">
        <v>3107905.7001913702</v>
      </c>
      <c r="L30" s="119">
        <v>3153533.8626409052</v>
      </c>
      <c r="N30" s="119">
        <v>3199241.0270829992</v>
      </c>
      <c r="P30" s="119">
        <v>3245183.4132882711</v>
      </c>
      <c r="R30" s="119">
        <v>3291624.1954977349</v>
      </c>
      <c r="T30" s="119">
        <v>3339006.8140057758</v>
      </c>
      <c r="V30" s="119">
        <v>3388077.4074768303</v>
      </c>
      <c r="X30" s="119">
        <v>3440100.239635495</v>
      </c>
      <c r="Z30" s="119">
        <v>3497222.7024407638</v>
      </c>
      <c r="AB30" s="119">
        <v>3563077.0700671882</v>
      </c>
      <c r="AD30" s="119">
        <v>3643615.8612693804</v>
      </c>
      <c r="AF30" s="119">
        <v>3747703.3603593064</v>
      </c>
      <c r="AH30" s="119">
        <v>3886026.9337405842</v>
      </c>
      <c r="AJ30" s="119">
        <v>4068868.8374732547</v>
      </c>
      <c r="AL30" s="119">
        <v>4315286.5124801556</v>
      </c>
      <c r="AN30" s="119">
        <v>4723136.0955575779</v>
      </c>
      <c r="AP30" s="119">
        <v>4861251.2605375489</v>
      </c>
      <c r="AR30" s="119">
        <v>5049923.5619866848</v>
      </c>
      <c r="AT30" s="119"/>
      <c r="AV30" s="119"/>
    </row>
    <row r="31" spans="1:49" x14ac:dyDescent="0.2">
      <c r="A31" t="s">
        <v>47</v>
      </c>
      <c r="B31" s="80">
        <v>1</v>
      </c>
      <c r="D31" s="80">
        <v>0.99869640404169113</v>
      </c>
      <c r="F31" s="80">
        <v>0.99715537211988969</v>
      </c>
      <c r="H31" s="80">
        <v>0.99534772766764101</v>
      </c>
      <c r="J31" s="80">
        <v>0.99323834557396995</v>
      </c>
      <c r="L31" s="80">
        <v>0.99078470868345347</v>
      </c>
      <c r="N31" s="80">
        <v>0.98793407869620831</v>
      </c>
      <c r="P31" s="80">
        <v>0.98462009525394611</v>
      </c>
      <c r="R31" s="80">
        <v>0.98075716543645797</v>
      </c>
      <c r="T31" s="80">
        <v>0.97623230194923971</v>
      </c>
      <c r="V31" s="80">
        <v>0.97089105571578804</v>
      </c>
      <c r="X31" s="80">
        <v>0.96451536729526444</v>
      </c>
      <c r="Z31" s="80">
        <v>0.95678402099784243</v>
      </c>
      <c r="AB31" s="80">
        <v>0.94720298984991069</v>
      </c>
      <c r="AD31" s="80">
        <v>0.93497918044799233</v>
      </c>
      <c r="AF31" s="80">
        <v>0.91879481400384866</v>
      </c>
      <c r="AH31" s="80">
        <v>0.89639694195209008</v>
      </c>
      <c r="AJ31" s="80">
        <v>0.86364694010648213</v>
      </c>
      <c r="AL31" s="80">
        <v>0.81122900137492837</v>
      </c>
      <c r="AN31" s="80">
        <v>0.70799065616125678</v>
      </c>
      <c r="AP31" s="80">
        <v>0.67179827047290674</v>
      </c>
      <c r="AR31" s="80">
        <v>0.62352482811966703</v>
      </c>
      <c r="AT31" s="80"/>
      <c r="AV31" s="80"/>
    </row>
    <row r="32" spans="1:49" x14ac:dyDescent="0.2">
      <c r="A32" t="s">
        <v>64</v>
      </c>
      <c r="B32" s="86">
        <v>14734457.915000005</v>
      </c>
      <c r="D32" s="86">
        <v>14731978.099165184</v>
      </c>
      <c r="F32" s="86">
        <v>14728139.423519421</v>
      </c>
      <c r="H32" s="86">
        <v>14722796.3124719</v>
      </c>
      <c r="J32" s="86">
        <v>14715788.315593116</v>
      </c>
      <c r="L32" s="86">
        <v>14706947.448922949</v>
      </c>
      <c r="N32" s="86">
        <v>14696100.318101991</v>
      </c>
      <c r="P32" s="86">
        <v>14683084.225245483</v>
      </c>
      <c r="R32" s="86">
        <v>14667769.03494077</v>
      </c>
      <c r="T32" s="86">
        <v>14650103.486800347</v>
      </c>
      <c r="V32" s="86">
        <v>14630184.779927127</v>
      </c>
      <c r="X32" s="86">
        <v>14608395.052074824</v>
      </c>
      <c r="Z32" s="86">
        <v>14585615.301831428</v>
      </c>
      <c r="AB32" s="86">
        <v>14563550.841130212</v>
      </c>
      <c r="AD32" s="86">
        <v>14545030.576610807</v>
      </c>
      <c r="AF32" s="86">
        <v>14533555.12945335</v>
      </c>
      <c r="AH32" s="86">
        <v>14530183.043946341</v>
      </c>
      <c r="AJ32" s="86">
        <v>14526905.243673891</v>
      </c>
      <c r="AL32" s="86">
        <v>14502148.861311875</v>
      </c>
      <c r="AN32" s="86">
        <v>14421742.377304154</v>
      </c>
      <c r="AP32" s="86">
        <v>14396133.590724211</v>
      </c>
      <c r="AR32" s="86">
        <v>14369137.725855058</v>
      </c>
      <c r="AT32" s="86"/>
      <c r="AV32" s="86"/>
    </row>
    <row r="33" spans="1:49 16319:16321" x14ac:dyDescent="0.2">
      <c r="A33" t="s">
        <v>54</v>
      </c>
      <c r="B33" s="117">
        <v>7019665.6909999941</v>
      </c>
      <c r="D33" s="117">
        <v>7018484.3302904889</v>
      </c>
      <c r="F33" s="117">
        <v>7016655.5535812173</v>
      </c>
      <c r="H33" s="117">
        <v>7014109.9694510866</v>
      </c>
      <c r="J33" s="117">
        <v>7010771.3031942155</v>
      </c>
      <c r="L33" s="117">
        <v>7006559.3904231926</v>
      </c>
      <c r="N33" s="117">
        <v>7001391.6979541779</v>
      </c>
      <c r="P33" s="117">
        <v>6995190.6917202668</v>
      </c>
      <c r="R33" s="117">
        <v>6987894.3366809711</v>
      </c>
      <c r="T33" s="117">
        <v>6979478.3154974673</v>
      </c>
      <c r="V33" s="117">
        <v>6969988.7554870676</v>
      </c>
      <c r="X33" s="117">
        <v>6959607.8935060278</v>
      </c>
      <c r="Z33" s="117">
        <v>6948755.3567486703</v>
      </c>
      <c r="AB33" s="117">
        <v>6938243.5938519053</v>
      </c>
      <c r="AD33" s="117">
        <v>6929420.3229894042</v>
      </c>
      <c r="AF33" s="117">
        <v>6923953.2839772813</v>
      </c>
      <c r="AH33" s="117">
        <v>6922346.7863507271</v>
      </c>
      <c r="AJ33" s="117">
        <v>6920785.2045554435</v>
      </c>
      <c r="AL33" s="117">
        <v>6908990.9784803623</v>
      </c>
      <c r="AN33" s="117">
        <v>6870684.4021280333</v>
      </c>
      <c r="AP33" s="117">
        <v>6858484.0808417061</v>
      </c>
      <c r="AR33" s="117">
        <v>6845622.9394603744</v>
      </c>
      <c r="AT33" s="117"/>
      <c r="AV33" s="117"/>
    </row>
    <row r="34" spans="1:49 16319:16321" x14ac:dyDescent="0.2">
      <c r="A34" t="s">
        <v>75</v>
      </c>
      <c r="B34" s="117">
        <v>1136879.4410000113</v>
      </c>
      <c r="D34" s="117">
        <v>1136688.0496073309</v>
      </c>
      <c r="F34" s="117">
        <v>1136391.8523506657</v>
      </c>
      <c r="H34" s="117">
        <v>1135979.6563404363</v>
      </c>
      <c r="J34" s="117">
        <v>1135438.9087233145</v>
      </c>
      <c r="L34" s="117">
        <v>1134756.7895302537</v>
      </c>
      <c r="N34" s="117">
        <v>1133919.8425213825</v>
      </c>
      <c r="P34" s="117">
        <v>1132915.5382270152</v>
      </c>
      <c r="R34" s="117">
        <v>1131733.8713137931</v>
      </c>
      <c r="T34" s="117">
        <v>1130370.7857478946</v>
      </c>
      <c r="V34" s="117">
        <v>1128833.9586668361</v>
      </c>
      <c r="X34" s="117">
        <v>1127152.694085144</v>
      </c>
      <c r="Z34" s="117">
        <v>1125395.0581416744</v>
      </c>
      <c r="AB34" s="117">
        <v>1123692.6106087193</v>
      </c>
      <c r="AD34" s="117">
        <v>1122263.6296088619</v>
      </c>
      <c r="AF34" s="117">
        <v>1121378.2121393289</v>
      </c>
      <c r="AH34" s="117">
        <v>1121118.0263947155</v>
      </c>
      <c r="AJ34" s="117">
        <v>1120865.1182360733</v>
      </c>
      <c r="AL34" s="117">
        <v>1118954.9684046833</v>
      </c>
      <c r="AN34" s="117">
        <v>1112750.9750775867</v>
      </c>
      <c r="AP34" s="117">
        <v>1110775.0555602098</v>
      </c>
      <c r="AR34" s="117">
        <v>1108692.1120316759</v>
      </c>
      <c r="AT34" s="117"/>
      <c r="AV34" s="117"/>
    </row>
    <row r="35" spans="1:49 16319:16321" x14ac:dyDescent="0.2">
      <c r="A35" t="s">
        <v>78</v>
      </c>
      <c r="B35" s="233">
        <v>1</v>
      </c>
      <c r="D35" s="233">
        <v>1.0011370354841249</v>
      </c>
      <c r="F35" s="233">
        <v>1.0024249077459004</v>
      </c>
      <c r="H35" s="233">
        <v>1.0038870741706418</v>
      </c>
      <c r="J35" s="233">
        <v>1.0055535783514853</v>
      </c>
      <c r="L35" s="233">
        <v>1.007463610228382</v>
      </c>
      <c r="N35" s="233">
        <v>1.0096696208721843</v>
      </c>
      <c r="P35" s="233">
        <v>1.0122434705674552</v>
      </c>
      <c r="R35" s="233">
        <v>1.0152863498932614</v>
      </c>
      <c r="T35" s="233">
        <v>1.0189449591799737</v>
      </c>
      <c r="V35" s="233">
        <v>1.0234390575325285</v>
      </c>
      <c r="X35" s="233">
        <v>1.0291098188313248</v>
      </c>
      <c r="Z35" s="233">
        <v>1.036508073584415</v>
      </c>
      <c r="AB35" s="233">
        <v>1.0465601748653879</v>
      </c>
      <c r="AD35" s="233">
        <v>1.0608844797616195</v>
      </c>
      <c r="AF35" s="233">
        <v>1.0823960006179427</v>
      </c>
      <c r="AH35" s="233">
        <v>1.1165511782530593</v>
      </c>
      <c r="AJ35" s="233">
        <v>1.1749653239419076</v>
      </c>
      <c r="AL35" s="233">
        <v>1.2914298291442663</v>
      </c>
      <c r="AN35" s="233">
        <v>1.634315087051798</v>
      </c>
      <c r="AP35" s="233">
        <v>1.8019283917069338</v>
      </c>
      <c r="AR35" s="233">
        <v>2.0749392556039532</v>
      </c>
      <c r="AT35" s="233"/>
      <c r="AV35" s="233"/>
    </row>
    <row r="36" spans="1:49 16319:16321" x14ac:dyDescent="0.2">
      <c r="A36" t="s">
        <v>21</v>
      </c>
      <c r="B36" s="37">
        <v>0.47195767671988087</v>
      </c>
      <c r="C36" s="38">
        <v>0.31738834428178991</v>
      </c>
      <c r="D36" s="37">
        <v>0.47196111956815057</v>
      </c>
      <c r="E36" s="38">
        <v>0.32031598471405032</v>
      </c>
      <c r="F36" s="37">
        <v>0.47196468173627676</v>
      </c>
      <c r="G36" s="38">
        <v>0.32350393205603051</v>
      </c>
      <c r="H36" s="37">
        <v>0.47196837405752839</v>
      </c>
      <c r="I36" s="38">
        <v>0.32698997553982212</v>
      </c>
      <c r="J36" s="37">
        <v>0.47197220711447774</v>
      </c>
      <c r="K36" s="38">
        <v>0.33082055660151055</v>
      </c>
      <c r="L36" s="37">
        <v>0.47197618870370128</v>
      </c>
      <c r="M36" s="38">
        <v>0.33505350913560844</v>
      </c>
      <c r="N36" s="37">
        <v>0.47198032184545052</v>
      </c>
      <c r="O36" s="38">
        <v>0.33976244599408528</v>
      </c>
      <c r="P36" s="37">
        <v>0.47198459931564629</v>
      </c>
      <c r="Q36" s="38">
        <v>0.34504302263644943</v>
      </c>
      <c r="R36" s="37">
        <v>0.47198899558422686</v>
      </c>
      <c r="S36" s="38">
        <v>0.3510229059641316</v>
      </c>
      <c r="T36" s="37">
        <v>0.47199345292542938</v>
      </c>
      <c r="U36" s="38">
        <v>0.3578776560645473</v>
      </c>
      <c r="V36" s="37">
        <v>0.47199785752168294</v>
      </c>
      <c r="W36" s="38">
        <v>0.36585757298661553</v>
      </c>
      <c r="X36" s="37">
        <v>0.47200200082098542</v>
      </c>
      <c r="Y36" s="38">
        <v>0.37533427793952923</v>
      </c>
      <c r="Z36" s="37">
        <v>0.47200551619251235</v>
      </c>
      <c r="AA36" s="38">
        <v>0.38688582569197033</v>
      </c>
      <c r="AB36" s="37">
        <v>0.47200778948742939</v>
      </c>
      <c r="AC36" s="38">
        <v>0.40145774630215131</v>
      </c>
      <c r="AD36" s="37">
        <v>0.47200787532113614</v>
      </c>
      <c r="AE36" s="38">
        <v>0.42067614939268427</v>
      </c>
      <c r="AF36" s="37">
        <v>0.47200458540356083</v>
      </c>
      <c r="AG36" s="38">
        <v>0.44746303481388544</v>
      </c>
      <c r="AH36" s="37">
        <v>0.47199711190642213</v>
      </c>
      <c r="AI36" s="38">
        <v>0.48730843165979137</v>
      </c>
      <c r="AJ36" s="37">
        <v>0.47198612722452105</v>
      </c>
      <c r="AK36" s="38">
        <v>0.55167079008190756</v>
      </c>
      <c r="AL36" s="37">
        <v>0.47197393322699199</v>
      </c>
      <c r="AM36" s="38">
        <v>0.67168326918354804</v>
      </c>
      <c r="AN36" s="37">
        <v>0.47196380110721942</v>
      </c>
      <c r="AO36" s="38">
        <v>0.98942436907132281</v>
      </c>
      <c r="AP36" s="37">
        <v>0.47196264981453495</v>
      </c>
      <c r="AQ36" s="38">
        <v>1.1348622389904581</v>
      </c>
      <c r="AR36" s="37">
        <v>0.47196227735831392</v>
      </c>
      <c r="AS36" s="38">
        <v>1.3653728707419743</v>
      </c>
      <c r="AT36" s="37"/>
      <c r="AU36" s="38"/>
      <c r="AV36" s="37"/>
      <c r="AW36" s="38"/>
    </row>
    <row r="37" spans="1:49 16319:16321" x14ac:dyDescent="0.2">
      <c r="B37" s="39">
        <v>2.1403217525954137E-2</v>
      </c>
      <c r="C37" s="40">
        <v>0.34962461301992576</v>
      </c>
      <c r="D37" s="39">
        <v>2.0541609020958727E-2</v>
      </c>
      <c r="E37" s="40">
        <v>0.34438296838895954</v>
      </c>
      <c r="F37" s="39">
        <v>1.9667491837059431E-2</v>
      </c>
      <c r="G37" s="40">
        <v>0.33896058866294126</v>
      </c>
      <c r="H37" s="39">
        <v>1.8780279515465341E-2</v>
      </c>
      <c r="I37" s="40">
        <v>0.33334128329820706</v>
      </c>
      <c r="J37" s="39">
        <v>1.7879209819841438E-2</v>
      </c>
      <c r="K37" s="40">
        <v>0.32750563722733489</v>
      </c>
      <c r="L37" s="39">
        <v>1.6963301304381315E-2</v>
      </c>
      <c r="M37" s="40">
        <v>0.32143011862580978</v>
      </c>
      <c r="N37" s="39">
        <v>1.6031216005484659E-2</v>
      </c>
      <c r="O37" s="40">
        <v>0.31508533598790206</v>
      </c>
      <c r="P37" s="39">
        <v>1.5081128664743827E-2</v>
      </c>
      <c r="Q37" s="40">
        <v>0.30843388792757492</v>
      </c>
      <c r="R37" s="39">
        <v>1.4110498846164559E-2</v>
      </c>
      <c r="S37" s="40">
        <v>0.30142689446698595</v>
      </c>
      <c r="T37" s="39">
        <v>1.3115774498051706E-2</v>
      </c>
      <c r="U37" s="40">
        <v>0.29399892538850908</v>
      </c>
      <c r="V37" s="39">
        <v>1.2091944333536653E-2</v>
      </c>
      <c r="W37" s="40">
        <v>0.28605995107453058</v>
      </c>
      <c r="X37" s="39">
        <v>1.1031987259625779E-2</v>
      </c>
      <c r="Y37" s="40">
        <v>0.27748320380671465</v>
      </c>
      <c r="Z37" s="39">
        <v>9.9262448383310581E-3</v>
      </c>
      <c r="AA37" s="40">
        <v>0.26808656732736313</v>
      </c>
      <c r="AB37" s="39">
        <v>8.7621849509534559E-3</v>
      </c>
      <c r="AC37" s="40">
        <v>0.25760666863703824</v>
      </c>
      <c r="AD37" s="39">
        <v>7.5260291139687989E-3</v>
      </c>
      <c r="AE37" s="40">
        <v>0.2456715127154703</v>
      </c>
      <c r="AF37" s="39">
        <v>6.2098402501121952E-3</v>
      </c>
      <c r="AG37" s="40">
        <v>0.23180010007284282</v>
      </c>
      <c r="AH37" s="39">
        <v>4.8273946991084799E-3</v>
      </c>
      <c r="AI37" s="40">
        <v>0.21547799878191215</v>
      </c>
      <c r="AJ37" s="39">
        <v>3.4276267424806139E-3</v>
      </c>
      <c r="AK37" s="40">
        <v>0.19622541501911292</v>
      </c>
      <c r="AL37" s="39">
        <v>2.0815920852288142E-3</v>
      </c>
      <c r="AM37" s="40">
        <v>0.17322003645803705</v>
      </c>
      <c r="AN37" s="39">
        <v>8.6890350969627442E-4</v>
      </c>
      <c r="AO37" s="40">
        <v>0.14370819149021263</v>
      </c>
      <c r="AP37" s="39">
        <v>6.5316698855921946E-4</v>
      </c>
      <c r="AQ37" s="40">
        <v>0.13631138321624367</v>
      </c>
      <c r="AR37" s="39">
        <v>4.5105383362722219E-4</v>
      </c>
      <c r="AS37" s="40">
        <v>0.12798773260684251</v>
      </c>
      <c r="AT37" s="39"/>
      <c r="AU37" s="40"/>
      <c r="AV37" s="39"/>
      <c r="AW37" s="40"/>
    </row>
    <row r="38" spans="1:49 16319:16321" x14ac:dyDescent="0.2">
      <c r="A38" t="s">
        <v>22</v>
      </c>
      <c r="B38" s="37">
        <v>0.18079094942242827</v>
      </c>
      <c r="C38" s="38">
        <v>6.0565413429233668E-2</v>
      </c>
      <c r="D38" s="37">
        <v>0.18096394984807002</v>
      </c>
      <c r="E38" s="38">
        <v>6.0987547845040749E-2</v>
      </c>
      <c r="F38" s="37">
        <v>0.18115468876682578</v>
      </c>
      <c r="G38" s="38">
        <v>6.14423998298647E-2</v>
      </c>
      <c r="H38" s="37">
        <v>0.18136530183580832</v>
      </c>
      <c r="I38" s="38">
        <v>6.1934613078140868E-2</v>
      </c>
      <c r="J38" s="37">
        <v>0.18159840878171588</v>
      </c>
      <c r="K38" s="38">
        <v>6.2469841278128269E-2</v>
      </c>
      <c r="L38" s="37">
        <v>0.18185726033118393</v>
      </c>
      <c r="M38" s="38">
        <v>6.3055241824469338E-2</v>
      </c>
      <c r="N38" s="37">
        <v>0.18214601075875889</v>
      </c>
      <c r="O38" s="38">
        <v>6.3699878432590812E-2</v>
      </c>
      <c r="P38" s="37">
        <v>0.1824700748924773</v>
      </c>
      <c r="Q38" s="38">
        <v>6.4415640048671952E-2</v>
      </c>
      <c r="R38" s="37">
        <v>0.18283671096653153</v>
      </c>
      <c r="S38" s="38">
        <v>6.5218456716167023E-2</v>
      </c>
      <c r="T38" s="37">
        <v>0.18325590598963093</v>
      </c>
      <c r="U38" s="38">
        <v>6.6130523610965372E-2</v>
      </c>
      <c r="V38" s="37">
        <v>0.18374185703584564</v>
      </c>
      <c r="W38" s="38">
        <v>6.7183568290177367E-2</v>
      </c>
      <c r="X38" s="37">
        <v>0.18431534792795204</v>
      </c>
      <c r="Y38" s="38">
        <v>6.8425153383537357E-2</v>
      </c>
      <c r="Z38" s="37">
        <v>0.18500778539370805</v>
      </c>
      <c r="AA38" s="38">
        <v>6.9929422069810815E-2</v>
      </c>
      <c r="AB38" s="37">
        <v>0.18586784665461328</v>
      </c>
      <c r="AC38" s="38">
        <v>7.18175036810451E-2</v>
      </c>
      <c r="AD38" s="37">
        <v>0.18697179845905654</v>
      </c>
      <c r="AE38" s="38">
        <v>7.4295467342603672E-2</v>
      </c>
      <c r="AF38" s="37">
        <v>0.18843682228692171</v>
      </c>
      <c r="AG38" s="38">
        <v>7.7724268991378784E-2</v>
      </c>
      <c r="AH38" s="37">
        <v>0.19043487852894259</v>
      </c>
      <c r="AI38" s="38">
        <v>8.2751670853161513E-2</v>
      </c>
      <c r="AJ38" s="37">
        <v>0.19322994074450989</v>
      </c>
      <c r="AK38" s="38">
        <v>9.0654993189040828E-2</v>
      </c>
      <c r="AL38" s="37">
        <v>0.19738310881380022</v>
      </c>
      <c r="AM38" s="38">
        <v>0.10474823205185312</v>
      </c>
      <c r="AN38" s="37">
        <v>0.2048255753712544</v>
      </c>
      <c r="AO38" s="38">
        <v>0.13941388499124879</v>
      </c>
      <c r="AP38" s="37">
        <v>0.20730141975794963</v>
      </c>
      <c r="AQ38" s="38">
        <v>0.15443671521352043</v>
      </c>
      <c r="AR38" s="37">
        <v>0.2105464014264376</v>
      </c>
      <c r="AS38" s="38">
        <v>0.17749961846494447</v>
      </c>
      <c r="AT38" s="37"/>
      <c r="AU38" s="38"/>
      <c r="AV38" s="37"/>
      <c r="AW38" s="38"/>
    </row>
    <row r="39" spans="1:49 16319:16321" x14ac:dyDescent="0.2">
      <c r="A39" t="s">
        <v>23</v>
      </c>
      <c r="B39" s="39">
        <v>0.23064923795097952</v>
      </c>
      <c r="C39" s="40">
        <v>0.22092201281804799</v>
      </c>
      <c r="D39" s="39">
        <v>0.23127910480915817</v>
      </c>
      <c r="E39" s="40">
        <v>0.22271936852924709</v>
      </c>
      <c r="F39" s="39">
        <v>0.2319365943385453</v>
      </c>
      <c r="G39" s="40">
        <v>0.22464237930192726</v>
      </c>
      <c r="H39" s="39">
        <v>0.23262483086982561</v>
      </c>
      <c r="I39" s="40">
        <v>0.22670860120942699</v>
      </c>
      <c r="J39" s="39">
        <v>0.23334752264601463</v>
      </c>
      <c r="K39" s="40">
        <v>0.22893962888002298</v>
      </c>
      <c r="L39" s="39">
        <v>0.23410912929631875</v>
      </c>
      <c r="M39" s="40">
        <v>0.23136219151108206</v>
      </c>
      <c r="N39" s="39">
        <v>0.23491510280912442</v>
      </c>
      <c r="O39" s="40">
        <v>0.23401039251088865</v>
      </c>
      <c r="P39" s="39">
        <v>0.23577223848846296</v>
      </c>
      <c r="Q39" s="40">
        <v>0.23692850585001363</v>
      </c>
      <c r="R39" s="39">
        <v>0.2366892050164664</v>
      </c>
      <c r="S39" s="40">
        <v>0.24017576286971903</v>
      </c>
      <c r="T39" s="39">
        <v>0.23767737871197456</v>
      </c>
      <c r="U39" s="40">
        <v>0.24383360495686354</v>
      </c>
      <c r="V39" s="39">
        <v>0.23875216981328443</v>
      </c>
      <c r="W39" s="40">
        <v>0.24801866595633565</v>
      </c>
      <c r="X39" s="39">
        <v>0.23993527625406072</v>
      </c>
      <c r="Y39" s="40">
        <v>0.25290426171915337</v>
      </c>
      <c r="Z39" s="39">
        <v>0.2412585404983284</v>
      </c>
      <c r="AA39" s="40">
        <v>0.25876032443669478</v>
      </c>
      <c r="AB39" s="39">
        <v>0.24277077113974668</v>
      </c>
      <c r="AC39" s="40">
        <v>0.26602707334202758</v>
      </c>
      <c r="AD39" s="39">
        <v>0.2445496322699556</v>
      </c>
      <c r="AE39" s="40">
        <v>0.27545451858239911</v>
      </c>
      <c r="AF39" s="39">
        <v>0.24672131404577163</v>
      </c>
      <c r="AG39" s="40">
        <v>0.28836242472010204</v>
      </c>
      <c r="AH39" s="39">
        <v>0.24949205196816637</v>
      </c>
      <c r="AI39" s="40">
        <v>0.30713927773771987</v>
      </c>
      <c r="AJ39" s="39">
        <v>0.25321887302799861</v>
      </c>
      <c r="AK39" s="40">
        <v>0.33652962708352618</v>
      </c>
      <c r="AL39" s="39">
        <v>0.25867689696642193</v>
      </c>
      <c r="AM39" s="40">
        <v>0.38886172306662747</v>
      </c>
      <c r="AN39" s="39">
        <v>0.26843187521538431</v>
      </c>
      <c r="AO39" s="40">
        <v>0.51755461815074033</v>
      </c>
      <c r="AP39" s="39">
        <v>0.27167657445482224</v>
      </c>
      <c r="AQ39" s="40">
        <v>0.57332479702916816</v>
      </c>
      <c r="AR39" s="39">
        <v>0.27592925100558657</v>
      </c>
      <c r="AS39" s="40">
        <v>0.65894224343553387</v>
      </c>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0.10800000000000051</v>
      </c>
      <c r="E42" s="135"/>
      <c r="F42" s="177">
        <f>10.8%+(1-10.8%)*(1-SUM(F26:G26)/SUM($B$26:$C$26))</f>
        <v>0.10800000000000318</v>
      </c>
      <c r="G42" s="135"/>
      <c r="H42" s="177">
        <f>10.8%+(1-10.8%)*(1-SUM(H26:I26)/SUM($B$26:$C$26))</f>
        <v>0.10800000000000001</v>
      </c>
      <c r="I42" s="135"/>
      <c r="J42" s="177">
        <f>10.8%+(1-10.8%)*(1-SUM(J26:K26)/SUM($B$26:$C$26))</f>
        <v>0.10799999999999882</v>
      </c>
      <c r="K42" s="135"/>
      <c r="L42" s="177">
        <f>10.8%+(1-10.8%)*(1-SUM(L26:M26)/SUM($B$26:$C$26))</f>
        <v>0.10799999999999982</v>
      </c>
      <c r="M42" s="135"/>
      <c r="N42" s="177">
        <f>10.8%+(1-10.8%)*(1-SUM(N26:O26)/SUM($B$26:$C$26))</f>
        <v>0.10799999999999942</v>
      </c>
      <c r="O42" s="135"/>
      <c r="P42" s="177">
        <f>10.8%+(1-10.8%)*(1-SUM(P26:Q26)/SUM($B$26:$C$26))</f>
        <v>0.10800000000000021</v>
      </c>
      <c r="Q42" s="135"/>
      <c r="R42" s="177">
        <f>10.8%+(1-10.8%)*(1-SUM(R26:S26)/SUM($B$26:$C$26))</f>
        <v>0.10799999999999982</v>
      </c>
      <c r="S42" s="135"/>
      <c r="T42" s="177">
        <f>10.8%+(1-10.8%)*(1-SUM(T26:U26)/SUM($B$26:$C$26))</f>
        <v>0.10799999999999961</v>
      </c>
      <c r="U42" s="135"/>
      <c r="V42" s="177">
        <f>10.8%+(1-10.8%)*(1-SUM(V26:W26)/SUM($B$26:$C$26))</f>
        <v>0.10800000000000021</v>
      </c>
      <c r="W42" s="135"/>
      <c r="X42" s="177">
        <f>10.8%+(1-10.8%)*(1-SUM(X26:Y26)/SUM($B$26:$C$26))</f>
        <v>0.1080000000000013</v>
      </c>
      <c r="Y42" s="162"/>
      <c r="Z42" s="177">
        <f>10.8%+(1-10.8%)*(1-SUM(Z26:AA26)/SUM($B$26:$C$26))</f>
        <v>0.10800000000000001</v>
      </c>
      <c r="AA42" s="135"/>
      <c r="AB42" s="177">
        <f>10.8%+(1-10.8%)*(1-SUM(AB26:AC26)/SUM($B$26:$C$26))</f>
        <v>0.10799999999999961</v>
      </c>
      <c r="AC42" s="135"/>
      <c r="AD42" s="177">
        <f>10.8%+(1-10.8%)*(1-SUM(AD26:AE26)/SUM($B$26:$C$26))</f>
        <v>0.10799999999999982</v>
      </c>
      <c r="AE42" s="135"/>
      <c r="AF42" s="177">
        <f>10.8%+(1-10.8%)*(1-SUM(AF26:AG26)/SUM($B$26:$C$26))</f>
        <v>0.10800000000000021</v>
      </c>
      <c r="AG42" s="135"/>
      <c r="AH42" s="177">
        <f>10.8%+(1-10.8%)*(1-SUM(AH26:AI26)/SUM($B$26:$C$26))</f>
        <v>0.10800000000000021</v>
      </c>
      <c r="AI42" s="135"/>
      <c r="AJ42" s="177">
        <f>10.8%+(1-10.8%)*(1-SUM(AJ26:AK26)/SUM($B$26:$C$26))</f>
        <v>0.10799999999999961</v>
      </c>
      <c r="AK42" s="135"/>
      <c r="AL42" s="177">
        <f>10.8%+(1-10.8%)*(1-SUM(AL26:AM26)/SUM($B$26:$C$26))</f>
        <v>0.10799999999999942</v>
      </c>
      <c r="AM42" s="135"/>
      <c r="AN42" s="177">
        <f>10.8%+(1-10.8%)*(1-SUM(AN26:AO26)/SUM($B$26:$C$26))</f>
        <v>0.1080000000000003</v>
      </c>
      <c r="AO42" s="135"/>
      <c r="AP42" s="177">
        <f>10.8%+(1-10.8%)*(1-SUM(AP26:AQ26)/SUM($B$26:$C$26))</f>
        <v>0.10799999999999922</v>
      </c>
      <c r="AQ42" s="135"/>
      <c r="AR42" s="177">
        <f>10.8%+(1-10.8%)*(1-SUM(AR26:AS26)/SUM($B$26:$C$26))</f>
        <v>0.10799999999999903</v>
      </c>
      <c r="AS42" s="135"/>
      <c r="AT42" s="177">
        <f>10.8%+(1-10.8%)*(1-SUM(AT26:AU26)/SUM($B$26:$C$26))</f>
        <v>1</v>
      </c>
      <c r="AU42" s="135"/>
      <c r="AV42" s="177">
        <f>10.8%+(1-10.8%)*(1-SUM(AV26:AW26)/SUM($B$26:$C$26))</f>
        <v>1</v>
      </c>
    </row>
    <row r="43" spans="1:49 16319:16321" x14ac:dyDescent="0.2">
      <c r="A43" t="s">
        <v>108</v>
      </c>
      <c r="B43" s="162">
        <f>SUM(B15:C15*B27:C27)/SUM(B15:C15*B27:C27,B13:C13*B26:C26)</f>
        <v>0.56058995943838341</v>
      </c>
      <c r="C43" s="135"/>
      <c r="D43" s="162">
        <f t="array" ref="D43">SUM(D15:E15*D27:E27)/SUM(D15:E15*D27:E27,D13:E13*D26:E26)</f>
        <v>0.563920278338504</v>
      </c>
      <c r="E43" s="135"/>
      <c r="F43" s="162">
        <f t="array" ref="F43">SUM(F15:G15*F27:G27)/SUM(F15:G15*F27:G27,F13:G13*F26:G26)</f>
        <v>0.56060124616029061</v>
      </c>
      <c r="G43" s="135"/>
      <c r="H43" s="162">
        <f t="array" ref="H43">SUM(H15:I15*H27:I27)/SUM(H15:I15*H27:I27,H13:I13*H26:I26)</f>
        <v>0.55723839982625745</v>
      </c>
      <c r="I43" s="135"/>
      <c r="J43" s="162">
        <f t="array" ref="J43">SUM(J15:K15*J27:K27)/SUM(J15:K15*J27:K27,J13:K13*J26:K26)</f>
        <v>0.55382528771114603</v>
      </c>
      <c r="K43" s="135"/>
      <c r="L43" s="162">
        <f t="array" ref="L43">SUM(L15:M15*L27:M27)/SUM(L15:M15*L27:M27,L13:M13*L26:M26)</f>
        <v>0.55035316383621669</v>
      </c>
      <c r="M43" s="135"/>
      <c r="N43" s="162">
        <f t="array" ref="N43">SUM(N15:O15*N27:O27)/SUM(N15:O15*N27:O27,N13:O13*N26:O26)</f>
        <v>0.54680996099392931</v>
      </c>
      <c r="O43" s="135"/>
      <c r="P43" s="162">
        <f t="array" ref="P43">SUM(P15:Q15*P27:Q27)/SUM(P15:Q15*P27:Q27,P13:Q13*P26:Q26)</f>
        <v>0.54317830424181146</v>
      </c>
      <c r="Q43" s="135"/>
      <c r="R43" s="162">
        <f t="array" ref="R43">SUM(R15:S15*R27:S27)/SUM(R15:S15*R27:S27,R13:S13*R26:S26)</f>
        <v>0.53943243541109342</v>
      </c>
      <c r="S43" s="135"/>
      <c r="T43" s="162">
        <f t="array" ref="T43">SUM(T15:U15*T27:U27)/SUM(T15:U15*T27:U27,T13:U13*T26:U26)</f>
        <v>0.53553300363314404</v>
      </c>
      <c r="U43" s="135"/>
      <c r="V43" s="162">
        <f t="array" ref="V43">SUM(V15:W15*V27:W27)/SUM(V15:W15*V27:W27,V13:W13*V26:W26)</f>
        <v>0.53141808892632192</v>
      </c>
      <c r="W43" s="135"/>
      <c r="X43" s="162">
        <f t="array" ref="X43">SUM(X15:Y15*X27:Y27)/SUM(X15:Y15*X27:Y27,X13:Y13*X26:Y26)</f>
        <v>0.52698774225161593</v>
      </c>
      <c r="Y43" s="135"/>
      <c r="Z43" s="162">
        <f t="array" ref="Z43">SUM(Z15:AA15*Z27:AA27)/SUM(Z15:AA15*Z27:AA27,Z13:AA13*Z26:AA26)</f>
        <v>0.52207686480848192</v>
      </c>
      <c r="AA43" s="135"/>
      <c r="AB43" s="162">
        <f t="array" ref="AB43">SUM(AB15:AC15*AB27:AC27)/SUM(AB15:AC15*AB27:AC27,AB13:AC13*AB26:AC26)</f>
        <v>0.51640910952109631</v>
      </c>
      <c r="AC43" s="135"/>
      <c r="AD43" s="162">
        <f t="array" ref="AD43">SUM(AD15:AE15*AD27:AE27)/SUM(AD15:AE15*AD27:AE27,AD13:AE13*AD26:AE26)</f>
        <v>0.50952620200617194</v>
      </c>
      <c r="AE43" s="135"/>
      <c r="AF43" s="162">
        <f t="array" ref="AF43">SUM(AF15:AG15*AF27:AG27)/SUM(AF15:AG15*AF27:AG27,AF13:AG13*AF26:AG26)</f>
        <v>0.50071103548808471</v>
      </c>
      <c r="AG43" s="135"/>
      <c r="AH43" s="162">
        <f t="array" ref="AH43">SUM(AH15:AI15*AH27:AI27)/SUM(AH15:AI15*AH27:AI27,AH13:AI13*AH26:AI26)</f>
        <v>0.48897160646003257</v>
      </c>
      <c r="AI43" s="135"/>
      <c r="AJ43" s="162">
        <f t="array" ref="AJ43">SUM(AJ15:AK15*AJ27:AK27)/SUM(AJ15:AK15*AJ27:AK27,AJ13:AK13*AJ26:AK26)</f>
        <v>0.47299495720941837</v>
      </c>
      <c r="AK43" s="135"/>
      <c r="AL43" s="162">
        <f t="array" ref="AL43">SUM(AL15:AM15*AL27:AM27)/SUM(AL15:AM15*AL27:AM27,AL13:AM13*AL26:AM26)</f>
        <v>0.44997897941927789</v>
      </c>
      <c r="AM43" s="135"/>
      <c r="AN43" s="162">
        <f t="array" ref="AN43">SUM(AN15:AO15*AN27:AO27)/SUM(AN15:AO15*AN27:AO27,AN13:AO13*AN26:AO26)</f>
        <v>0.40775456865357679</v>
      </c>
      <c r="AO43" s="135"/>
      <c r="AP43" s="162">
        <f t="array" ref="AP43">SUM(AP15:AQ15*AP27:AQ27)/SUM(AP15:AQ15*AP27:AQ27,AP13:AQ13*AP26:AQ26)</f>
        <v>0.39253298455828051</v>
      </c>
      <c r="AQ43" s="135"/>
      <c r="AR43" s="162">
        <f t="array" ref="AR43">SUM(AR15:AS15*AR27:AS27)/SUM(AR15:AS15*AR27:AS27,AR13:AS13*AR26:AS26)</f>
        <v>0.37118412708245646</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0.29754226190682431</v>
      </c>
      <c r="D44" s="193">
        <f>(SUM(D11:E11*D24:E24)+D34)/D32</f>
        <v>0.29754225836655085</v>
      </c>
      <c r="F44" s="193">
        <f>(SUM(F11:G11*F24:G24)+F34)/F32</f>
        <v>0.29754225750728175</v>
      </c>
      <c r="H44" s="193">
        <f>(SUM(H11:I11*H24:I24)+H34)/H32</f>
        <v>0.29754226188000121</v>
      </c>
      <c r="J44" s="193">
        <f>(SUM(J11:K11*J24:K24)+J34)/J32</f>
        <v>0.2975422602298482</v>
      </c>
      <c r="L44" s="193">
        <f>(SUM(L11:M11*L24:M24)+L34)/L32</f>
        <v>0.29754226171949372</v>
      </c>
      <c r="N44" s="193">
        <f>(SUM(N11:O11*N24:O24)+N34)/N32</f>
        <v>0.29754226132742945</v>
      </c>
      <c r="P44" s="193">
        <f>(SUM(P11:Q11*P24:Q24)+P34)/P32</f>
        <v>0.29754226061014477</v>
      </c>
      <c r="R44" s="193">
        <f>(SUM(R11:S11*R24:S24)+R34)/R32</f>
        <v>0.29754226209094814</v>
      </c>
      <c r="T44" s="193">
        <f>(SUM(T11:U11*T24:U24)+T34)/T32</f>
        <v>0.29754225869892786</v>
      </c>
      <c r="V44" s="193">
        <f>(SUM(V11:W11*V24:W24)+V34)/V32</f>
        <v>0.29754226268104594</v>
      </c>
      <c r="X44" s="193">
        <f>(SUM(X11:Y11*X24:Y24)+X34)/X32</f>
        <v>0.29754226160882824</v>
      </c>
      <c r="Z44" s="193">
        <f>(SUM(Z11:AA11*Z24:AA24)+Z34)/Z32</f>
        <v>0.29754226167764336</v>
      </c>
      <c r="AB44" s="193">
        <f>(SUM(AB11:AC11*AB24:AC24)+AB34)/AB32</f>
        <v>0.29754226163181369</v>
      </c>
      <c r="AD44" s="193">
        <f>(SUM(AD11:AE11*AD24:AE24)+AD34)/AD32</f>
        <v>0.29754226185431992</v>
      </c>
      <c r="AF44" s="193">
        <f>(SUM(AF11:AG11*AF24:AG24)+AF34)/AF32</f>
        <v>0.29754226210431428</v>
      </c>
      <c r="AH44" s="193">
        <f>(SUM(AH11:AI11*AH24:AI24)+AH34)/AH32</f>
        <v>0.29754226191158695</v>
      </c>
      <c r="AJ44" s="193">
        <f>(SUM(AJ11:AK11*AJ24:AK24)+AJ34)/AJ32</f>
        <v>0.29754226190751876</v>
      </c>
      <c r="AL44" s="193">
        <f>(SUM(AL11:AM11*AL24:AM24)+AL34)/AL32</f>
        <v>0.29754226190678673</v>
      </c>
      <c r="AN44" s="193">
        <f>(SUM(AN11:AO11*AN24:AO24)+AN34)/AN32</f>
        <v>0.29754226190682503</v>
      </c>
      <c r="AP44" s="193">
        <f>(SUM(AP11:AQ11*AP24:AQ24)+AP34)/AP32</f>
        <v>0.29754226190682276</v>
      </c>
      <c r="AR44" s="193">
        <f>(SUM(AR11:AS11*AR24:AS24)+AR34)/AR32</f>
        <v>0.29754226190682859</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0.22038438846232231</v>
      </c>
      <c r="F45" s="193">
        <f>SUM(F11:G11*F24:G24)/F32</f>
        <v>0.22038438850069442</v>
      </c>
      <c r="H45" s="193">
        <f>SUM(H11:I11*H24:I24)/H32</f>
        <v>0.22038438831911181</v>
      </c>
      <c r="J45" s="193">
        <f>SUM(J11:K11*J24:K24)/J32</f>
        <v>0.2203843884004347</v>
      </c>
      <c r="L45" s="193">
        <f>SUM(L11:M11*L24:M24)/L32</f>
        <v>0.22038438830821988</v>
      </c>
      <c r="N45" s="193">
        <f>SUM(N11:O11*N24:O24)/N32</f>
        <v>0.22038438828782644</v>
      </c>
      <c r="P45" s="193">
        <f>SUM(P11:Q11*P24:Q24)/P32</f>
        <v>0.22038438826891502</v>
      </c>
      <c r="R45" s="193">
        <f>SUM(R11:S11*R24:S24)/R32</f>
        <v>0.22038438834628818</v>
      </c>
      <c r="T45" s="193">
        <f>SUM(T11:U11*T24:U24)/T32</f>
        <v>0.22038438832850002</v>
      </c>
      <c r="V45" s="193">
        <f>SUM(V11:W11*V24:W24)/V32</f>
        <v>0.22038438835155583</v>
      </c>
      <c r="X45" s="193">
        <f>SUM(X11:Y11*X24:Y24)/X32</f>
        <v>0.22038438834026167</v>
      </c>
      <c r="Z45" s="193">
        <f>SUM(Z11:AA11*Z24:AA24)/Z32</f>
        <v>0.220384388330993</v>
      </c>
      <c r="AB45" s="193">
        <f>SUM(AB11:AC11*AB24:AC24)/AB32</f>
        <v>0.22038438833107993</v>
      </c>
      <c r="AD45" s="193">
        <f>SUM(AD11:AE11*AD24:AE24)/AD32</f>
        <v>0.22038438833196911</v>
      </c>
      <c r="AF45" s="193">
        <f>SUM(AF11:AG11*AF24:AG24)/AF32</f>
        <v>0.22038438833213786</v>
      </c>
      <c r="AH45" s="193">
        <f>SUM(AH11:AI11*AH24:AI24)/AH32</f>
        <v>0.2203843883318867</v>
      </c>
      <c r="AJ45" s="193">
        <f>SUM(AJ11:AK11*AJ24:AK24)/AJ32</f>
        <v>0.22038438833192128</v>
      </c>
      <c r="AL45" s="193">
        <f>SUM(AL11:AM11*AL24:AM24)/AL32</f>
        <v>0.22038438833194182</v>
      </c>
      <c r="AN45" s="193">
        <f>SUM(AN11:AO11*AN24:AO24)/AN32</f>
        <v>0.22038438833194066</v>
      </c>
      <c r="AP45" s="193">
        <f>SUM(AP11:AQ11*AP24:AQ24)/AP32</f>
        <v>0.22038438833194079</v>
      </c>
      <c r="AR45" s="193">
        <f>SUM(AR11:AS11*AR24:AS24)/AR32</f>
        <v>0.22038438833194074</v>
      </c>
      <c r="AT45" s="193" t="e">
        <f>SUM(AT11:AU11*AT24:AU24)/AT32</f>
        <v>#DIV/0!</v>
      </c>
      <c r="AV45" s="193" t="e">
        <f>SUM(AV11:AW11*AV24:AW24)/AV32</f>
        <v>#DIV/0!</v>
      </c>
      <c r="XCQ45" s="193"/>
    </row>
    <row r="46" spans="1:49 16319:16321" x14ac:dyDescent="0.2">
      <c r="A46" t="s">
        <v>139</v>
      </c>
      <c r="B46" s="193">
        <f>B34/B32</f>
        <v>7.7157873574883462E-2</v>
      </c>
      <c r="D46" s="193">
        <f>D34/D32</f>
        <v>7.7157869904228515E-2</v>
      </c>
      <c r="F46" s="193">
        <f>F34/F32</f>
        <v>7.7157869006587304E-2</v>
      </c>
      <c r="H46" s="193">
        <f>H34/H32</f>
        <v>7.7157873560889448E-2</v>
      </c>
      <c r="J46" s="193">
        <f>J34/J32</f>
        <v>7.7157871829413513E-2</v>
      </c>
      <c r="L46" s="193">
        <f>L34/L32</f>
        <v>7.715787341127385E-2</v>
      </c>
      <c r="N46" s="193">
        <f>N34/N32</f>
        <v>7.7157873039602989E-2</v>
      </c>
      <c r="P46" s="193">
        <f>P34/P32</f>
        <v>7.7157872341229741E-2</v>
      </c>
      <c r="R46" s="193">
        <f>R34/R32</f>
        <v>7.7157873744659988E-2</v>
      </c>
      <c r="T46" s="193">
        <f>T34/T32</f>
        <v>7.7157870370427872E-2</v>
      </c>
      <c r="V46" s="193">
        <f>V34/V32</f>
        <v>7.7157874329490103E-2</v>
      </c>
      <c r="X46" s="193">
        <f>X34/X32</f>
        <v>7.715787326856656E-2</v>
      </c>
      <c r="Z46" s="193">
        <f>Z34/Z32</f>
        <v>7.7157873346650335E-2</v>
      </c>
      <c r="AB46" s="193">
        <f>AB34/AB32</f>
        <v>7.7157873300733745E-2</v>
      </c>
      <c r="AD46" s="193">
        <f>AD34/AD32</f>
        <v>7.7157873522350803E-2</v>
      </c>
      <c r="AF46" s="193">
        <f>AF34/AF32</f>
        <v>7.7157873772176436E-2</v>
      </c>
      <c r="AH46" s="193">
        <f>AH34/AH32</f>
        <v>7.715787357970022E-2</v>
      </c>
      <c r="AJ46" s="193">
        <f>AJ34/AJ32</f>
        <v>7.7157873575597419E-2</v>
      </c>
      <c r="AL46" s="193">
        <f>AL34/AL32</f>
        <v>7.7157873574844951E-2</v>
      </c>
      <c r="AN46" s="193">
        <f>AN34/AN32</f>
        <v>7.7157873574884406E-2</v>
      </c>
      <c r="AP46" s="193">
        <f>AP34/AP32</f>
        <v>7.7157873574881936E-2</v>
      </c>
      <c r="AR46" s="193">
        <f>AR34/AR32</f>
        <v>7.7157873574887834E-2</v>
      </c>
      <c r="AT46" s="193" t="e">
        <f>AT34/AT32</f>
        <v>#DIV/0!</v>
      </c>
      <c r="AV46" s="193" t="e">
        <f>AV34/AV32</f>
        <v>#DIV/0!</v>
      </c>
      <c r="XCS46" s="193"/>
    </row>
    <row r="48" spans="1:49 16319:16321" x14ac:dyDescent="0.2">
      <c r="A48" t="s">
        <v>159</v>
      </c>
      <c r="B48" s="191">
        <f>B24/$B$24</f>
        <v>1</v>
      </c>
      <c r="C48" s="191"/>
      <c r="D48" s="191">
        <f>D24/$B$24</f>
        <v>1.0009327213013874</v>
      </c>
      <c r="E48" s="191"/>
      <c r="F48" s="191">
        <f>F24/$B$24</f>
        <v>1.0017945823610059</v>
      </c>
      <c r="G48" s="191"/>
      <c r="H48" s="191">
        <f>H24/$B$24</f>
        <v>1.0025777710928681</v>
      </c>
      <c r="I48" s="191"/>
      <c r="J48" s="191">
        <f>J24/$B$24</f>
        <v>1.0032730536805221</v>
      </c>
      <c r="K48" s="191"/>
      <c r="L48" s="191">
        <f>L24/$B$24</f>
        <v>1.0038697827611036</v>
      </c>
      <c r="M48" s="191"/>
      <c r="N48" s="191">
        <f>N24/$B$24</f>
        <v>1.0043552498092916</v>
      </c>
      <c r="O48" s="191"/>
      <c r="P48" s="191">
        <f>P24/$B$24</f>
        <v>1.0047144784910345</v>
      </c>
      <c r="Q48" s="191"/>
      <c r="R48" s="191">
        <f>R24/$B$24</f>
        <v>1.0049296024340744</v>
      </c>
      <c r="S48" s="191"/>
      <c r="T48" s="191">
        <f>T24/$B$24</f>
        <v>1.0049795270143738</v>
      </c>
      <c r="U48" s="191"/>
      <c r="V48" s="191">
        <f>V24/$B$24</f>
        <v>1.0048389754188258</v>
      </c>
      <c r="W48" s="191"/>
      <c r="X48" s="191">
        <f>X24/$B$24</f>
        <v>1.0044783034831686</v>
      </c>
      <c r="Y48" s="191"/>
      <c r="Z48" s="191">
        <f>Z24/$B$24</f>
        <v>1.0038628994369725</v>
      </c>
      <c r="AA48" s="191"/>
      <c r="AB48" s="191">
        <f>AB24/$B$24</f>
        <v>1.0029529476355923</v>
      </c>
      <c r="AC48" s="191"/>
      <c r="AD48" s="191">
        <f>AD24/$B$24</f>
        <v>1.0017003750506932</v>
      </c>
      <c r="AE48" s="191"/>
      <c r="AF48" s="191">
        <f>AF24/$B$24</f>
        <v>1.0000299317744676</v>
      </c>
      <c r="AG48" s="191"/>
      <c r="AH48" s="191">
        <f>AH24/$B$24</f>
        <v>0.99776571493645172</v>
      </c>
      <c r="AI48" s="191"/>
      <c r="AJ48" s="191">
        <f>AJ24/$B$24</f>
        <v>0.99446457124497889</v>
      </c>
      <c r="AK48" s="191"/>
      <c r="AL48" s="191">
        <f>AL24/$B$24</f>
        <v>0.98922274838128899</v>
      </c>
      <c r="AM48" s="191"/>
      <c r="AN48" s="191">
        <f>AN24/$B$24</f>
        <v>0.98068346366438008</v>
      </c>
      <c r="AO48" s="191"/>
      <c r="AP48" s="191">
        <f>AP24/$B$24</f>
        <v>0.9785878590299445</v>
      </c>
      <c r="AQ48" s="191"/>
      <c r="AR48" s="191">
        <f>AR24/$B$24</f>
        <v>0.97663807024859151</v>
      </c>
      <c r="AS48" s="191"/>
      <c r="AT48" s="191">
        <f>AT24/$B$24</f>
        <v>0</v>
      </c>
      <c r="AU48" s="191"/>
      <c r="AV48" s="191">
        <f>AV24/$B$24</f>
        <v>0</v>
      </c>
    </row>
    <row r="49" spans="1:48 16321:16384" x14ac:dyDescent="0.2">
      <c r="A49" t="s">
        <v>160</v>
      </c>
      <c r="B49" s="191">
        <f>B13/B35/$B$13*$B$35</f>
        <v>1</v>
      </c>
      <c r="C49" s="191"/>
      <c r="D49" s="191">
        <f>D13/D35/$B$13*$B$35</f>
        <v>1.0023100467620814</v>
      </c>
      <c r="E49" s="191"/>
      <c r="F49" s="191">
        <f>F13/F35/$B$13*$B$35</f>
        <v>1.00438369580145</v>
      </c>
      <c r="G49" s="191"/>
      <c r="H49" s="191">
        <f>H13/H35/$B$13*$B$35</f>
        <v>1.0061911940972763</v>
      </c>
      <c r="I49" s="191"/>
      <c r="J49" s="191">
        <f>J13/J35/$B$13*$B$35</f>
        <v>1.0076966689788014</v>
      </c>
      <c r="K49" s="191"/>
      <c r="L49" s="191">
        <f>L13/L35/$B$13*$B$35</f>
        <v>1.0088568812519254</v>
      </c>
      <c r="M49" s="191"/>
      <c r="N49" s="191">
        <f>N13/N35/$B$13*$B$35</f>
        <v>1.0096186057165171</v>
      </c>
      <c r="O49" s="191"/>
      <c r="P49" s="191">
        <f>P13/P35/$B$13*$B$35</f>
        <v>1.0099156977047909</v>
      </c>
      <c r="Q49" s="191"/>
      <c r="R49" s="191">
        <f>R13/R35/$B$13*$B$35</f>
        <v>1.0096642714457746</v>
      </c>
      <c r="S49" s="191"/>
      <c r="T49" s="191">
        <f>T13/T35/$B$13*$B$35</f>
        <v>1.0087555096995151</v>
      </c>
      <c r="U49" s="191"/>
      <c r="V49" s="191">
        <f>V13/V35/$B$13*$B$35</f>
        <v>1.007043746297231</v>
      </c>
      <c r="W49" s="191"/>
      <c r="X49" s="191">
        <f>X13/X35/$B$13*$B$35</f>
        <v>1.0043257937010994</v>
      </c>
      <c r="Y49" s="191"/>
      <c r="Z49" s="191">
        <f>Z13/Z35/$B$13*$B$35</f>
        <v>1.0003017513341219</v>
      </c>
      <c r="AA49" s="191"/>
      <c r="AB49" s="191">
        <f>AB13/AB35/$B$13*$B$35</f>
        <v>0.99449445554827132</v>
      </c>
      <c r="AC49" s="191"/>
      <c r="AD49" s="191">
        <f>AD13/AD35/$B$13*$B$35</f>
        <v>0.98606977574211219</v>
      </c>
      <c r="AE49" s="191"/>
      <c r="AF49" s="191">
        <f>AF13/AF35/$B$13*$B$35</f>
        <v>0.9734133682160242</v>
      </c>
      <c r="AG49" s="191"/>
      <c r="AH49" s="191">
        <f>AH13/AH35/$B$13*$B$35</f>
        <v>0.9531356254370329</v>
      </c>
      <c r="AI49" s="191"/>
      <c r="AJ49" s="191">
        <f>AJ13/AJ35/$B$13*$B$35</f>
        <v>0.91773425199604242</v>
      </c>
      <c r="AK49" s="191"/>
      <c r="AL49" s="191">
        <f>AL13/AL35/$B$13*$B$35</f>
        <v>0.84884028445038617</v>
      </c>
      <c r="AM49" s="191"/>
      <c r="AN49" s="191">
        <f>AN13/AN35/$B$13*$B$35</f>
        <v>0.68762606248773295</v>
      </c>
      <c r="AO49" s="191"/>
      <c r="AP49" s="191">
        <f>AP13/AP35/$B$13*$B$35</f>
        <v>0.62889418816756792</v>
      </c>
      <c r="AQ49" s="191"/>
      <c r="AR49" s="191">
        <f>AR13/AR35/$B$13*$B$35</f>
        <v>0.55255367456821858</v>
      </c>
      <c r="AS49" s="191"/>
      <c r="AT49" s="191" t="e">
        <f>AT13/AT35/$B$13*$B$35</f>
        <v>#DIV/0!</v>
      </c>
      <c r="AU49" s="191"/>
      <c r="AV49" s="191" t="e">
        <f>AV13/AV35/$B$13*$B$35</f>
        <v>#DIV/0!</v>
      </c>
    </row>
    <row r="51" spans="1:48 16321:16384" x14ac:dyDescent="0.2">
      <c r="A51" t="s">
        <v>166</v>
      </c>
      <c r="B51" s="29">
        <f>B30-B10*B23</f>
        <v>-405838.32800000021</v>
      </c>
      <c r="D51" s="29">
        <f>D30-D10*D23</f>
        <v>-359356.75492462004</v>
      </c>
      <c r="F51" s="29">
        <f>F30-F10*F23</f>
        <v>-312683.42912516603</v>
      </c>
      <c r="H51" s="29">
        <f>H30-H10*H23</f>
        <v>-265767.71702315751</v>
      </c>
      <c r="J51" s="29">
        <f>J30-J10*J23</f>
        <v>-218542.39572196407</v>
      </c>
      <c r="L51" s="29">
        <f>L30-L10*L23</f>
        <v>-170915.78891657759</v>
      </c>
      <c r="N51" s="29">
        <f>N30-N10*N23</f>
        <v>-122756.67172199255</v>
      </c>
      <c r="P51" s="29">
        <f>P30-P10*P23</f>
        <v>-73872.04712824896</v>
      </c>
      <c r="R51" s="29">
        <f>R30-R10*R23</f>
        <v>-23969.324278222863</v>
      </c>
      <c r="T51" s="29">
        <f>T30-T10*T23</f>
        <v>27406.524338511284</v>
      </c>
      <c r="V51" s="29">
        <f>V30-V10*V23</f>
        <v>80979.6658980879</v>
      </c>
      <c r="X51" s="29">
        <f>X30-X10*X23</f>
        <v>137927.98333625775</v>
      </c>
      <c r="Z51" s="29">
        <f>Z30-Z10*Z23</f>
        <v>200199.72222497175</v>
      </c>
      <c r="AB51" s="29">
        <f>AB30-AB10*AB23</f>
        <v>271041.67744866712</v>
      </c>
      <c r="AD51" s="29">
        <f>AD30-AD10*AD23</f>
        <v>355766.90415299963</v>
      </c>
      <c r="AF51" s="29">
        <f>AF30-AF10*AF23</f>
        <v>462448.38451854838</v>
      </c>
      <c r="AH51" s="29">
        <f>AH30-AH10*AH23</f>
        <v>601534.20503015257</v>
      </c>
      <c r="AJ51" s="29">
        <f>AJ30-AJ10*AJ23</f>
        <v>785117.04307373054</v>
      </c>
      <c r="AL51" s="29">
        <f>AL30-AL10*AL23</f>
        <v>1037130.8043523105</v>
      </c>
      <c r="AN51" s="29">
        <f>AN30-AN10*AN23</f>
        <v>1463155.9679620485</v>
      </c>
      <c r="AP51" s="29">
        <f>AP30-AP10*AP23</f>
        <v>1607059.9019519161</v>
      </c>
      <c r="AQ51" s="29"/>
      <c r="AR51" s="29">
        <f>AR30-AR10*AR23</f>
        <v>1801834.5161936581</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2056317.1279120499</v>
      </c>
      <c r="F52" s="29">
        <f t="array" ref="F52">Calibration!sL*SUM(F13:G13*F26:G26)</f>
        <v>2063222.1191669821</v>
      </c>
      <c r="H52" s="29">
        <f t="array" ref="H52">Calibration!sL*SUM(H13:I13*H26:I26)</f>
        <v>2069950.005284514</v>
      </c>
      <c r="J52" s="29">
        <f t="array" ref="J52">Calibration!sL*SUM(J13:K13*J26:K26)</f>
        <v>2076488.4531805483</v>
      </c>
      <c r="L52" s="29">
        <f t="array" ref="L52">Calibration!sL*SUM(L13:M13*L26:M26)</f>
        <v>2082828.0152627307</v>
      </c>
      <c r="N52" s="29">
        <f t="array" ref="N52">Calibration!sL*SUM(N13:O13*N26:O26)</f>
        <v>2088964.7728462799</v>
      </c>
      <c r="P52" s="29">
        <f t="array" ref="P52">Calibration!sL*SUM(P13:Q13*P26:Q26)</f>
        <v>2094906.2307527056</v>
      </c>
      <c r="R52" s="29">
        <f t="array" ref="R52">Calibration!sL*SUM(R13:S13*R26:S26)</f>
        <v>2100680.5642668363</v>
      </c>
      <c r="T52" s="29">
        <f t="array" ref="T52">Calibration!sL*SUM(T13:U13*T26:U26)</f>
        <v>2106352.8594428012</v>
      </c>
      <c r="V52" s="29">
        <f t="array" ref="V52">Calibration!sL*SUM(V13:W13*V26:W26)</f>
        <v>2112052.9671568819</v>
      </c>
      <c r="X52" s="29">
        <f t="array" ref="X52">Calibration!sL*SUM(X13:Y13*X26:Y26)</f>
        <v>2118023.7232269035</v>
      </c>
      <c r="Z52" s="29">
        <f t="array" ref="Z52">Calibration!sL*SUM(Z13:AA13*Z26:AA26)</f>
        <v>2124702.848274882</v>
      </c>
      <c r="AB52" s="29">
        <f t="array" ref="AB52">Calibration!sL*SUM(AB13:AC13*AB26:AC26)</f>
        <v>2132853.6290615764</v>
      </c>
      <c r="AD52" s="29">
        <f t="array" ref="AD52">Calibration!sL*SUM(AD13:AE13*AD26:AE26)</f>
        <v>2143730.6875943351</v>
      </c>
      <c r="AF52" s="29">
        <f t="array" ref="AF52">Calibration!sL*SUM(AF13:AG13*AF26:AG26)</f>
        <v>2159125.8988512484</v>
      </c>
      <c r="AH52" s="29">
        <f t="array" ref="AH52">Calibration!sL*SUM(AH13:AI13*AH26:AI26)</f>
        <v>2180860.1575178164</v>
      </c>
      <c r="AJ52" s="29">
        <f t="array" ref="AJ52">Calibration!sL*SUM(AJ13:AK13*AJ26:AK26)</f>
        <v>2209716.0609003874</v>
      </c>
      <c r="AL52" s="29">
        <f t="array" ref="AL52">Calibration!sL*SUM(AL13:AM13*AL26:AM26)</f>
        <v>2246421.6567397816</v>
      </c>
      <c r="AN52" s="29">
        <f t="array" ref="AN52">Calibration!sL*SUM(AN13:AO13*AN26:AO26)</f>
        <v>2302939.880158213</v>
      </c>
      <c r="AP52" s="29">
        <f t="array" ref="AP52">Calibration!sL*SUM(AP13:AQ13*AP26:AQ26)</f>
        <v>2322253.3130978341</v>
      </c>
      <c r="AQ52" s="29"/>
      <c r="AR52" s="29">
        <f t="array" ref="AR52">Calibration!sL*SUM(AR13:AS13*AR26:AS26)</f>
        <v>2349493.9995104112</v>
      </c>
      <c r="AT52" s="29">
        <f t="array" ref="AT52">Calibration!sL*SUM(AT13:AU13*AT26:AU26)</f>
        <v>0</v>
      </c>
      <c r="AV52" s="29">
        <f t="array" ref="AV52">Calibration!sL*SUM(AV13:AW13*AV26:AW26)</f>
        <v>0</v>
      </c>
    </row>
    <row r="53" spans="1:48 16321:16384" x14ac:dyDescent="0.2">
      <c r="A53" t="s">
        <v>168</v>
      </c>
      <c r="B53" s="29">
        <f t="array" ref="B53">Calibration!sK*SUM(B15:C15*B27:C27)</f>
        <v>2740714.4444296514</v>
      </c>
      <c r="D53" s="29">
        <f t="array" ref="D53">Calibration!sK*SUM(D15:E15*D27:E27)</f>
        <v>2713696.6634824374</v>
      </c>
      <c r="F53" s="29">
        <f t="array" ref="F53">Calibration!sK*SUM(F15:G15*F27:G27)</f>
        <v>2686337.7224943643</v>
      </c>
      <c r="H53" s="29">
        <f t="array" ref="H53">Calibration!sK*SUM(H15:I15*H27:I27)</f>
        <v>2658583.6645887867</v>
      </c>
      <c r="J53" s="29">
        <f t="array" ref="J53">Calibration!sK*SUM(J15:K15*J27:K27)</f>
        <v>2630369.3637361191</v>
      </c>
      <c r="L53" s="29">
        <f t="array" ref="L53">Calibration!sK*SUM(L15:M15*L27:M27)</f>
        <v>2601613.1776865888</v>
      </c>
      <c r="N53" s="29">
        <f t="array" ref="N53">Calibration!sK*SUM(N15:O15*N27:O27)</f>
        <v>2572210.8490716317</v>
      </c>
      <c r="P53" s="29">
        <f t="array" ref="P53">Calibration!sK*SUM(P15:Q15*P27:Q27)</f>
        <v>2542024.1338604526</v>
      </c>
      <c r="R53" s="29">
        <f t="array" ref="R53">Calibration!sK*SUM(R15:S15*R27:S27)</f>
        <v>2510863.5485722385</v>
      </c>
      <c r="T53" s="29">
        <f t="array" ref="T53">Calibration!sK*SUM(T15:U15*T27:U27)</f>
        <v>2478459.8905825419</v>
      </c>
      <c r="V53" s="29">
        <f t="array" ref="V53">Calibration!sK*SUM(V15:W15*V27:W27)</f>
        <v>2444415.3771287035</v>
      </c>
      <c r="X53" s="29">
        <f t="array" ref="X53">Calibration!sK*SUM(X15:Y15*X27:Y27)</f>
        <v>2408121.1173922396</v>
      </c>
      <c r="Z53" s="29">
        <f t="array" ref="Z53">Calibration!sK*SUM(Z15:AA15*Z27:AA27)</f>
        <v>2368612.3091416429</v>
      </c>
      <c r="AB53" s="29">
        <f t="array" ref="AB53">Calibration!sK*SUM(AB15:AC15*AB27:AC27)</f>
        <v>2324321.6269389759</v>
      </c>
      <c r="AD53" s="29">
        <f t="array" ref="AD53">Calibration!sK*SUM(AD15:AE15*AD27:AE27)</f>
        <v>2272690.6394862663</v>
      </c>
      <c r="AF53" s="29">
        <f t="array" ref="AF53">Calibration!sK*SUM(AF15:AG15*AF27:AG27)</f>
        <v>2209696.1064769104</v>
      </c>
      <c r="AH53" s="29">
        <f t="array" ref="AH53">Calibration!sK*SUM(AH15:AI15*AH27:AI27)</f>
        <v>2129540.0706006247</v>
      </c>
      <c r="AJ53" s="29">
        <f t="array" ref="AJ53">Calibration!sK*SUM(AJ15:AK15*AJ27:AK27)</f>
        <v>2023939.8413285485</v>
      </c>
      <c r="AL53" s="29">
        <f t="array" ref="AL53">Calibration!sK*SUM(AL15:AM15*AL27:AM27)</f>
        <v>1875528.222609553</v>
      </c>
      <c r="AN53" s="29">
        <f t="array" ref="AN53">Calibration!sK*SUM(AN15:AO15*AN27:AO27)</f>
        <v>1618076.702098873</v>
      </c>
      <c r="AP53" s="29">
        <f t="array" ref="AP53">Calibration!sK*SUM(AP15:AQ15*AP27:AQ27)</f>
        <v>1531378.1062871804</v>
      </c>
      <c r="AQ53" s="29"/>
      <c r="AR53" s="29">
        <f t="array" ref="AR53">Calibration!sK*SUM(AR15:AS15*AR27:AS27)</f>
        <v>1415336.243841145</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0.2016532308235133</v>
      </c>
      <c r="F55" s="193">
        <f>F30/F32</f>
        <v>0.20481586309808586</v>
      </c>
      <c r="H55" s="193">
        <f>H30/H32</f>
        <v>0.20799476166033321</v>
      </c>
      <c r="J55" s="193">
        <f>J30/J32</f>
        <v>0.21119532528870213</v>
      </c>
      <c r="L55" s="193">
        <f>L30/L32</f>
        <v>0.2144247726180494</v>
      </c>
      <c r="N55" s="193">
        <f>N30/N32</f>
        <v>0.21769319464581491</v>
      </c>
      <c r="P55" s="193">
        <f>P30/P32</f>
        <v>0.22101510578469868</v>
      </c>
      <c r="R55" s="193">
        <f>R30/R32</f>
        <v>0.22441205527961375</v>
      </c>
      <c r="T55" s="193">
        <f>T30/T32</f>
        <v>0.22791694386419867</v>
      </c>
      <c r="V55" s="193">
        <f>V30/V32</f>
        <v>0.23158131345855129</v>
      </c>
      <c r="X55" s="193">
        <f>X30/X32</f>
        <v>0.23548789770351256</v>
      </c>
      <c r="Z55" s="193">
        <f>Z30/Z32</f>
        <v>0.23977203772827044</v>
      </c>
      <c r="AB55" s="193">
        <f>AB30/AB32</f>
        <v>0.24465716561406076</v>
      </c>
      <c r="AD55" s="193">
        <f>AD30/AD32</f>
        <v>0.25050589217244484</v>
      </c>
      <c r="AF55" s="193">
        <f>AF30/AF32</f>
        <v>0.25786556193427868</v>
      </c>
      <c r="AH55" s="193">
        <f>AH30/AH32</f>
        <v>0.2674451465606007</v>
      </c>
      <c r="AJ55" s="193">
        <f>AJ30/AJ32</f>
        <v>0.28009192386280257</v>
      </c>
      <c r="AL55" s="193">
        <f>AL30/AL32</f>
        <v>0.29756186850296829</v>
      </c>
      <c r="AN55" s="193">
        <f>AN30/AN32</f>
        <v>0.32750107247724047</v>
      </c>
      <c r="AP55" s="193">
        <f>AP30/AP32</f>
        <v>0.33767755973518992</v>
      </c>
      <c r="AR55" s="193">
        <f>AR30/AR32</f>
        <v>0.35144235223663578</v>
      </c>
      <c r="AT55" s="193" t="e">
        <f>AT30/AT32</f>
        <v>#DIV/0!</v>
      </c>
      <c r="AV55" s="193" t="e">
        <f>AV30/AV32</f>
        <v>#DIV/0!</v>
      </c>
      <c r="XCS55" s="193"/>
      <c r="XFD55" s="193"/>
    </row>
    <row r="56" spans="1:48 16321:16384" x14ac:dyDescent="0.2">
      <c r="A56" t="s">
        <v>170</v>
      </c>
      <c r="B56" s="193">
        <f>(Model!$C$52*B5*B20+B2*C5*C20)/B32</f>
        <v>2.9221206744340551E-2</v>
      </c>
      <c r="D56" s="193">
        <f>(Model!$C$52*D5*D20+D2*E5*E20)/D32</f>
        <v>3.1891733032687185E-2</v>
      </c>
      <c r="F56" s="193">
        <f>(Model!$C$52*F5*F20+F2*G5*G20)/F32</f>
        <v>3.4573279233465898E-2</v>
      </c>
      <c r="H56" s="193">
        <f>(Model!$C$52*H5*H20+H2*I5*I20)/H32</f>
        <v>3.7269412680670674E-2</v>
      </c>
      <c r="J56" s="193">
        <f>(Model!$C$52*J5*J20+J2*K5*K20)/J32</f>
        <v>3.9984745954760946E-2</v>
      </c>
      <c r="L56" s="193">
        <f>(Model!$C$52*L5*L20+L2*M5*M20)/L32</f>
        <v>4.2725398729181435E-2</v>
      </c>
      <c r="N56" s="193">
        <f>(Model!$C$52*N5*N20+N2*O5*O20)/N32</f>
        <v>4.5499851136979394E-2</v>
      </c>
      <c r="P56" s="193">
        <f>(Model!$C$52*P5*P20+P2*Q5*Q20)/P32</f>
        <v>4.8320207681293116E-2</v>
      </c>
      <c r="R56" s="193">
        <f>(Model!$C$52*R5*R20+R2*S5*S20)/R32</f>
        <v>5.1204308129128767E-2</v>
      </c>
      <c r="T56" s="193">
        <f>(Model!$C$52*T5*T20+T2*U5*U20)/T32</f>
        <v>5.41792689803599E-2</v>
      </c>
      <c r="V56" s="193">
        <f>(Model!$C$52*V5*V20+V2*W5*W20)/V32</f>
        <v>5.7287321248764553E-2</v>
      </c>
      <c r="X56" s="193">
        <f>(Model!$C$52*X5*X20+X2*Y5*Y20)/X32</f>
        <v>6.0596061955091186E-2</v>
      </c>
      <c r="Z56" s="193">
        <f>(Model!$C$52*Z5*Z20+Z2*AA5*AA20)/Z32</f>
        <v>6.4215775352487722E-2</v>
      </c>
      <c r="AB56" s="193">
        <f>(Model!$C$52*AB5*AB20+AB2*AC5*AC20)/AB32</f>
        <v>6.8328296828352814E-2</v>
      </c>
      <c r="AD56" s="193">
        <f>(Model!$C$52*AD5*AD20+AD2*AE5*AE20)/AD32</f>
        <v>7.3228657976241451E-2</v>
      </c>
      <c r="AF56" s="193">
        <f>(Model!$C$52*AF5*AF20+AF2*AG5*AG20)/AF32</f>
        <v>7.9362820310296234E-2</v>
      </c>
      <c r="AH56" s="193">
        <f>(Model!$C$52*AH5*AH20+AH2*AI5*AI20)/AH32</f>
        <v>8.7311107638692084E-2</v>
      </c>
      <c r="AJ56" s="193">
        <f>(Model!$C$52*AJ5*AJ20+AJ2*AK5*AK20)/AJ32</f>
        <v>9.7774161211320321E-2</v>
      </c>
      <c r="AL56" s="193">
        <f>(Model!$C$52*AL5*AL20+AL2*AM5*AM20)/AL32</f>
        <v>0.11221056154608294</v>
      </c>
      <c r="AN56" s="193">
        <f>(Model!$C$52*AN5*AN20+AN2*AO5*AO20)/AN32</f>
        <v>0.13694555500389544</v>
      </c>
      <c r="AP56" s="193">
        <f>(Model!$C$52*AP5*AP20+AP2*AQ5*AQ20)/AP32</f>
        <v>0.14535312600506606</v>
      </c>
      <c r="AR56" s="193">
        <f>(Model!$C$52*AR5*AR20+AR2*AS5*AS20)/AR32</f>
        <v>0.15672529762216714</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0.15910247347891801</v>
      </c>
      <c r="F57" s="193">
        <f t="array" ref="F57">SUM(Model!tauL*F13:G13*F26:G26)/F32</f>
        <v>0.15967833716700564</v>
      </c>
      <c r="H57" s="193">
        <f t="array" ref="H57">SUM(Model!tauL*H13:I13*H26:I26)/H32</f>
        <v>0.1602571649535133</v>
      </c>
      <c r="J57" s="193">
        <f t="array" ref="J57">SUM(Model!tauL*J13:K13*J26:K26)/J32</f>
        <v>0.16083993597367963</v>
      </c>
      <c r="L57" s="193">
        <f t="array" ref="L57">SUM(Model!tauL*L13:M13*L26:M26)/L32</f>
        <v>0.16142796538070681</v>
      </c>
      <c r="N57" s="193">
        <f t="array" ref="N57">SUM(Model!tauL*N13:O13*N26:O26)/N32</f>
        <v>0.16202309037398946</v>
      </c>
      <c r="P57" s="193">
        <f t="array" ref="P57">SUM(Model!tauL*P13:Q13*P26:Q26)/P32</f>
        <v>0.16262795522106055</v>
      </c>
      <c r="R57" s="193">
        <f t="array" ref="R57">SUM(Model!tauL*R13:S13*R26:S26)/R32</f>
        <v>0.16324649203743935</v>
      </c>
      <c r="T57" s="193">
        <f t="array" ref="T57">SUM(Model!tauL*T13:U13*T26:U26)/T32</f>
        <v>0.16388467233413576</v>
      </c>
      <c r="V57" s="193">
        <f t="array" ref="V57">SUM(Model!tauL*V13:W13*V26:W26)/V32</f>
        <v>0.16455189845999837</v>
      </c>
      <c r="X57" s="193">
        <f t="array" ref="X57">SUM(Model!tauL*X13:Y13*X26:Y26)/X32</f>
        <v>0.16526322304290594</v>
      </c>
      <c r="Y57" s="193"/>
      <c r="Z57" s="193">
        <f t="array" ref="Z57">SUM(Model!tauL*Z13:AA13*Z26:AA26)/Z32</f>
        <v>0.16604329703310869</v>
      </c>
      <c r="AB57" s="193">
        <f t="array" ref="AB57">SUM(Model!tauL*AB13:AC13*AB26:AC26)/AB32</f>
        <v>0.16693280040288261</v>
      </c>
      <c r="AD57" s="193">
        <f t="array" ref="AD57">SUM(Model!tauL*AD13:AE13*AD26:AE26)/AD32</f>
        <v>0.16799775935239994</v>
      </c>
      <c r="AF57" s="193">
        <f t="array" ref="AF57">SUM(Model!tauL*AF13:AG13*AF26:AG26)/AF32</f>
        <v>0.16933783676964165</v>
      </c>
      <c r="AH57" s="193">
        <f t="array" ref="AH57">SUM(Model!tauL*AH13:AI13*AH26:AI26)/AH32</f>
        <v>0.1710821250355459</v>
      </c>
      <c r="AJ57" s="193">
        <f t="array" ref="AJ57">SUM(Model!tauL*AJ13:AK13*AJ26:AK26)/AJ32</f>
        <v>0.17338489971829932</v>
      </c>
      <c r="AL57" s="193">
        <f t="array" ref="AL57">SUM(Model!tauL*AL13:AM13*AL26:AM26)/AL32</f>
        <v>0.1765658955795863</v>
      </c>
      <c r="AN57" s="193">
        <f t="array" ref="AN57">SUM(Model!tauL*AN13:AO13*AN26:AO26)/AN32</f>
        <v>0.18201734293978827</v>
      </c>
      <c r="AP57" s="193">
        <f t="array" ref="AP57">SUM(Model!tauL*AP13:AQ13*AP26:AQ26)/AP32</f>
        <v>0.1838703175436055</v>
      </c>
      <c r="AR57" s="193">
        <f t="array" ref="AR57">SUM(Model!tauL*AR13:AS13*AR26:AS26)/AR32</f>
        <v>0.18637666479992088</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1.0659024311908134E-2</v>
      </c>
      <c r="F58" s="193">
        <f t="array" ref="F58">SUM(Model!tauY/(1+Model!tauY)*F3:G3*F18:G18)/F32</f>
        <v>1.0564246697614339E-2</v>
      </c>
      <c r="H58" s="193">
        <f t="array" ref="H58">SUM(Model!tauY/(1+Model!tauY)*H3:I3*H18:I18)/H32</f>
        <v>1.0468184026149213E-2</v>
      </c>
      <c r="J58" s="193">
        <f t="array" ref="J58">SUM(Model!tauY/(1+Model!tauY)*J3:K3*J18:K18)/J32</f>
        <v>1.0370643360261585E-2</v>
      </c>
      <c r="L58" s="193">
        <f t="array" ref="L58">SUM(Model!tauY/(1+Model!tauY)*L3:M3*L18:M18)/L32</f>
        <v>1.0271408508161177E-2</v>
      </c>
      <c r="N58" s="193">
        <f t="array" ref="N58">SUM(Model!tauY/(1+Model!tauY)*N3:O3*N18:O18)/N32</f>
        <v>1.0170253134846078E-2</v>
      </c>
      <c r="P58" s="193">
        <f t="array" ref="P58">SUM(Model!tauY/(1+Model!tauY)*P3:Q3*P18:Q18)/P32</f>
        <v>1.0066942882345021E-2</v>
      </c>
      <c r="R58" s="193">
        <f t="array" ref="R58">SUM(Model!tauY/(1+Model!tauY)*R3:S3*R18:S18)/R32</f>
        <v>9.9612551130456046E-3</v>
      </c>
      <c r="T58" s="193">
        <f t="array" ref="T58">SUM(Model!tauY/(1+Model!tauY)*T3:U3*T18:U18)/T32</f>
        <v>9.8530025497030015E-3</v>
      </c>
      <c r="V58" s="193">
        <f t="array" ref="V58">SUM(Model!tauY/(1+Model!tauY)*V3:W3*V18:W18)/V32</f>
        <v>9.7420937497883723E-3</v>
      </c>
      <c r="X58" s="193">
        <f t="array" ref="X58">SUM(Model!tauY/(1+Model!tauY)*X3:Y3*X18:Y18)/X32</f>
        <v>9.6286127055154516E-3</v>
      </c>
      <c r="Y58" s="193"/>
      <c r="Z58" s="193">
        <f t="array" ref="Z58">SUM(Model!tauY/(1+Model!tauY)*Z3:AA3*Z18:AA18)/Z32</f>
        <v>9.5129653426740922E-3</v>
      </c>
      <c r="AB58" s="193">
        <f t="array" ref="AB58">SUM(Model!tauY/(1+Model!tauY)*AB3:AC3*AB18:AC18)/AB32</f>
        <v>9.3960683828253223E-3</v>
      </c>
      <c r="AD58" s="193">
        <f t="array" ref="AD58">SUM(Model!tauY/(1+Model!tauY)*AD3:AE3*AD18:AE18)/AD32</f>
        <v>9.2794748438034553E-3</v>
      </c>
      <c r="AF58" s="193">
        <f t="array" ref="AF58">SUM(Model!tauY/(1+Model!tauY)*AF3:AG3*AF18:AG18)/AF32</f>
        <v>9.1649048543408322E-3</v>
      </c>
      <c r="AH58" s="193">
        <f t="array" ref="AH58">SUM(Model!tauY/(1+Model!tauY)*AH3:AI3*AH18:AI18)/AH32</f>
        <v>9.0519138863627245E-3</v>
      </c>
      <c r="AJ58" s="193">
        <f t="array" ref="AJ58">SUM(Model!tauY/(1+Model!tauY)*AJ3:AK3*AJ18:AK18)/AJ32</f>
        <v>8.9328629331828953E-3</v>
      </c>
      <c r="AL58" s="193">
        <f t="array" ref="AL58">SUM(Model!tauY/(1+Model!tauY)*AL3:AM3*AL18:AM18)/AL32</f>
        <v>8.7854113772990738E-3</v>
      </c>
      <c r="AN58" s="193">
        <f t="array" ref="AN58">SUM(Model!tauY/(1+Model!tauY)*AN3:AO3*AN18:AO18)/AN32</f>
        <v>8.5381745335567777E-3</v>
      </c>
      <c r="AP58" s="193">
        <f t="array" ref="AP58">SUM(Model!tauY/(1+Model!tauY)*AP3:AQ3*AP18:AQ18)/AP32</f>
        <v>8.4541161865183834E-3</v>
      </c>
      <c r="AR58" s="193">
        <f t="array" ref="AR58">SUM(Model!tauY/(1+Model!tauY)*AR3:AS3*AR18:AS18)/AR32</f>
        <v>8.3403898145477592E-3</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3.2687766243929928E-3</v>
      </c>
      <c r="F59" s="193">
        <f>(F2*G5*G20)/F32</f>
        <v>5.9977345471741994E-3</v>
      </c>
      <c r="H59" s="193">
        <f>(H2*I5*I20)/H32</f>
        <v>8.7423223609496264E-3</v>
      </c>
      <c r="J59" s="193">
        <f>(J2*K5*K20)/J32</f>
        <v>1.1507321953005238E-2</v>
      </c>
      <c r="L59" s="193">
        <f>(L2*M5*M20)/L32</f>
        <v>1.4299068101002959E-2</v>
      </c>
      <c r="N59" s="193">
        <f>(N2*O5*O20)/N32</f>
        <v>1.7126315997729482E-2</v>
      </c>
      <c r="P59" s="193">
        <f>(P2*Q5*Q20)/P32</f>
        <v>2.0001535285947794E-2</v>
      </c>
      <c r="R59" s="193">
        <f>(R2*S5*S20)/R32</f>
        <v>2.2943062926719767E-2</v>
      </c>
      <c r="T59" s="193">
        <f>(T2*U5*U20)/T32</f>
        <v>2.5978717907966697E-2</v>
      </c>
      <c r="V59" s="193">
        <f>(V2*W5*W20)/V32</f>
        <v>2.9151752047618034E-2</v>
      </c>
      <c r="X59" s="193">
        <f>(X2*Y5*Y20)/X32</f>
        <v>3.253130549074483E-2</v>
      </c>
      <c r="Z59" s="193">
        <f>(Z2*AA5*AA20)/Z32</f>
        <v>3.6230070405864602E-2</v>
      </c>
      <c r="AB59" s="193">
        <f>(AB2*AC5*AC20)/AB32</f>
        <v>4.0433748422438881E-2</v>
      </c>
      <c r="AD59" s="193">
        <f>(AD2*AE5*AE20)/AD32</f>
        <v>4.544364385865305E-2</v>
      </c>
      <c r="AF59" s="193">
        <f>(AF2*AG5*AG20)/AF32</f>
        <v>5.1715651102778204E-2</v>
      </c>
      <c r="AH59" s="193">
        <f>(AH2*AI5*AI20)/AH32</f>
        <v>5.9844953031981826E-2</v>
      </c>
      <c r="AJ59" s="193">
        <f>(AJ2*AK5*AK20)/AJ32</f>
        <v>7.055544466891496E-2</v>
      </c>
      <c r="AL59" s="193">
        <f>(AL2*AM5*AM20)/AL32</f>
        <v>8.5358956755877291E-2</v>
      </c>
      <c r="AN59" s="193">
        <f>(AN2*AO5*AO20)/AN32</f>
        <v>0.1107910552979517</v>
      </c>
      <c r="AP59" s="193">
        <f>(AP2*AQ5*AQ20)/AP32</f>
        <v>0.11944955605299584</v>
      </c>
      <c r="AR59" s="193">
        <f>(AR2*AS5*AS20)/AR32</f>
        <v>0.13116808911629182</v>
      </c>
      <c r="AT59" s="193" t="e">
        <f>(AT2*AU5*AU20)/AT32</f>
        <v>#DIV/0!</v>
      </c>
      <c r="AV59" s="193" t="e">
        <f>(AV2*AW5*AW20)/AV32</f>
        <v>#DIV/0!</v>
      </c>
      <c r="XFD59" s="193"/>
    </row>
    <row r="60" spans="1:48 16321:16384" x14ac:dyDescent="0.2">
      <c r="A60" t="s">
        <v>174</v>
      </c>
      <c r="B60" s="193">
        <f>Model!$C$52*B5*B20/B32</f>
        <v>2.8669464423930927E-2</v>
      </c>
      <c r="D60" s="193">
        <f>Model!$C$52*D5*D20/D32</f>
        <v>2.8622956408294188E-2</v>
      </c>
      <c r="F60" s="193">
        <f>Model!$C$52*F5*F20/F32</f>
        <v>2.8575544686291695E-2</v>
      </c>
      <c r="H60" s="193">
        <f>Model!$C$52*H5*H20/H32</f>
        <v>2.8527090319721043E-2</v>
      </c>
      <c r="J60" s="193">
        <f>Model!$C$52*J5*J20/J32</f>
        <v>2.8477424001755708E-2</v>
      </c>
      <c r="L60" s="193">
        <f>Model!$C$52*L5*L20/L32</f>
        <v>2.8426330628178478E-2</v>
      </c>
      <c r="N60" s="193">
        <f>Model!$C$52*N5*N20/N32</f>
        <v>2.8373535139249912E-2</v>
      </c>
      <c r="P60" s="193">
        <f>Model!$C$52*P5*P20/P32</f>
        <v>2.8318672395345319E-2</v>
      </c>
      <c r="R60" s="193">
        <f>Model!$C$52*R5*R20/R32</f>
        <v>2.8261245202409007E-2</v>
      </c>
      <c r="T60" s="193">
        <f>Model!$C$52*T5*T20/T32</f>
        <v>2.8200551072393196E-2</v>
      </c>
      <c r="V60" s="193">
        <f>Model!$C$52*V5*V20/V32</f>
        <v>2.8135569201146515E-2</v>
      </c>
      <c r="X60" s="193">
        <f>Model!$C$52*X5*X20/X32</f>
        <v>2.8064756464346353E-2</v>
      </c>
      <c r="Z60" s="193">
        <f>Model!$C$52*Z5*Z20/Z32</f>
        <v>2.7985704946623113E-2</v>
      </c>
      <c r="AB60" s="193">
        <f>Model!$C$52*AB5*AB20/AB32</f>
        <v>2.7894548405913936E-2</v>
      </c>
      <c r="AD60" s="193">
        <f>Model!$C$52*AD5*AD20/AD32</f>
        <v>2.7785014117588405E-2</v>
      </c>
      <c r="AF60" s="193">
        <f>Model!$C$52*AF5*AF20/AF32</f>
        <v>2.7647169207518019E-2</v>
      </c>
      <c r="AH60" s="193">
        <f>Model!$C$52*AH5*AH20/AH32</f>
        <v>2.7466154606710255E-2</v>
      </c>
      <c r="AJ60" s="193">
        <f>Model!$C$52*AJ5*AJ20/AJ32</f>
        <v>2.7218716542405347E-2</v>
      </c>
      <c r="AL60" s="193">
        <f>Model!$C$52*AL5*AL20/AL32</f>
        <v>2.6851604790205656E-2</v>
      </c>
      <c r="AN60" s="193">
        <f>Model!$C$52*AN5*AN20/AN32</f>
        <v>2.6154499705943725E-2</v>
      </c>
      <c r="AP60" s="193">
        <f>Model!$C$52*AP5*AP20/AP32</f>
        <v>2.5903569952070216E-2</v>
      </c>
      <c r="AR60" s="193">
        <f>Model!$C$52*AR5*AR20/AR32</f>
        <v>2.5557208505875333E-2</v>
      </c>
      <c r="AT60" s="193" t="e">
        <f>Model!$C$52*AT5*AT20/AT32</f>
        <v>#DIV/0!</v>
      </c>
      <c r="AV60" s="193" t="e">
        <f>Model!$C$52*AV5*AV20/AV32</f>
        <v>#DIV/0!</v>
      </c>
      <c r="XFD60" s="193"/>
    </row>
    <row r="62" spans="1:48 16321:16384" x14ac:dyDescent="0.2">
      <c r="A62" t="s">
        <v>175</v>
      </c>
      <c r="B62">
        <f>B13/B15</f>
        <v>1</v>
      </c>
      <c r="D62">
        <f>D13/D15</f>
        <v>1.0134401402712825</v>
      </c>
      <c r="F62">
        <f>F13/F15</f>
        <v>1.0271992296301418</v>
      </c>
      <c r="H62">
        <f>H13/H15</f>
        <v>1.0413071043928468</v>
      </c>
      <c r="J62">
        <f>J13/J15</f>
        <v>1.0558010550645622</v>
      </c>
      <c r="L62">
        <f>L13/L15</f>
        <v>1.0707300567104812</v>
      </c>
      <c r="N62">
        <f>N13/N15</f>
        <v>1.0861601324295183</v>
      </c>
      <c r="P62">
        <f>P13/P15</f>
        <v>1.1021843149255053</v>
      </c>
      <c r="R62">
        <f>R13/R15</f>
        <v>1.1189384887713043</v>
      </c>
      <c r="T62">
        <f>T13/T15</f>
        <v>1.1366284972183378</v>
      </c>
      <c r="V62">
        <f>V13/V15</f>
        <v>1.1555775772226333</v>
      </c>
      <c r="X62">
        <f>X13/X15</f>
        <v>1.1763100357129457</v>
      </c>
      <c r="Z62">
        <f>Z13/Z15</f>
        <v>1.1997023931844446</v>
      </c>
      <c r="AB62">
        <f>AB13/AB15</f>
        <v>1.22725309442667</v>
      </c>
      <c r="AD62">
        <f>AD13/AD15</f>
        <v>1.2615347229438774</v>
      </c>
      <c r="AF62">
        <f>AF13/AF15</f>
        <v>1.3068168442743808</v>
      </c>
      <c r="AH62">
        <f>AH13/AH15</f>
        <v>1.369655383941397</v>
      </c>
      <c r="AJ62">
        <f>AJ13/AJ15</f>
        <v>1.4601859984219303</v>
      </c>
      <c r="AL62">
        <f>AL13/AL15</f>
        <v>1.6019058249351004</v>
      </c>
      <c r="AN62">
        <f>AN13/AN15</f>
        <v>1.9034996567082108</v>
      </c>
      <c r="AP62">
        <f>AP13/AP15</f>
        <v>2.0281331530925097</v>
      </c>
      <c r="AR62">
        <f>AR13/AR15</f>
        <v>2.2201586973405392</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0.99899974659262147</v>
      </c>
      <c r="E65" s="191"/>
      <c r="F65" s="191">
        <f t="array" ref="F65">SQRT((F9:G9*$B$22:$C$22+F10:G10*$B$23:$C$23+F11:G11*$B$24:$C$24+F4:G4*($B$25:$C$25-$B$19:$C$19))/($B$9:$C$9*$B$22:$C$22+$B$10:$C$10*$B$23:$C$23+$B$11:$C$11*$B$24:$C$24+$B$4:$C$4*($B$25:$C$25-$B$19:$C$19))*(F9:G9*F22:G22+F10:G10*F23:G23+F11:G11*F24:G24+F4:G4*(F25:G25-F19:G19))/($B$9:$C$9*F22:G22+$B$10:$C$10*F23:G23+$B$11:$C$11*F24:G24+$B$4:$C$4*(F25:G25-F19:G19)))</f>
        <v>0.99798311788482674</v>
      </c>
      <c r="G65" s="191"/>
      <c r="H65" s="191">
        <f t="array" ref="H65">SQRT((H9:I9*$B$22:$C$22+H10:I10*$B$23:$C$23+H11:I11*$B$24:$C$24+H4:I4*($B$25:$C$25-$B$19:$C$19))/($B$9:$C$9*$B$22:$C$22+$B$10:$C$10*$B$23:$C$23+$B$11:$C$11*$B$24:$C$24+$B$4:$C$4*($B$25:$C$25-$B$19:$C$19))*(H9:I9*H22:I22+H10:I10*H23:I23+H11:I11*H24:I24+H4:I4*(H25:I25-H19:I19))/($B$9:$C$9*H22:I22+$B$10:$C$10*H23:I23+$B$11:$C$11*H24:I24+$B$4:$C$4*(H25:I25-H19:I19)))</f>
        <v>0.99694812131793042</v>
      </c>
      <c r="I65" s="191"/>
      <c r="J65" s="191">
        <f t="array" ref="J65">SQRT((J9:K9*$B$22:$C$22+J10:K10*$B$23:$C$23+J11:K11*$B$24:$C$24+J4:K4*($B$25:$C$25-$B$19:$C$19))/($B$9:$C$9*$B$22:$C$22+$B$10:$C$10*$B$23:$C$23+$B$11:$C$11*$B$24:$C$24+$B$4:$C$4*($B$25:$C$25-$B$19:$C$19))*(J9:K9*J22:K22+J10:K10*J23:K23+J11:K11*J24:K24+J4:K4*(J25:K25-J19:K19))/($B$9:$C$9*J22:K22+$B$10:$C$10*J23:K23+$B$11:$C$11*J24:K24+$B$4:$C$4*(J25:K25-J19:K19)))</f>
        <v>0.99589311129156222</v>
      </c>
      <c r="K65" s="191"/>
      <c r="L65" s="191">
        <f t="array" ref="L65">SQRT((L9:M9*$B$22:$C$22+L10:M10*$B$23:$C$23+L11:M11*$B$24:$C$24+L4:M4*($B$25:$C$25-$B$19:$C$19))/($B$9:$C$9*$B$22:$C$22+$B$10:$C$10*$B$23:$C$23+$B$11:$C$11*$B$24:$C$24+$B$4:$C$4*($B$25:$C$25-$B$19:$C$19))*(L9:M9*L22:M22+L10:M10*L23:M23+L11:M11*L24:M24+L4:M4*(L25:M25-L19:M19))/($B$9:$C$9*L22:M22+$B$10:$C$10*L23:M23+$B$11:$C$11*L24:M24+$B$4:$C$4*(L25:M25-L19:M19)))</f>
        <v>0.99481721032395953</v>
      </c>
      <c r="M65" s="191"/>
      <c r="N65" s="191">
        <f t="array" ref="N65">SQRT((N9:O9*$B$22:$C$22+N10:O10*$B$23:$C$23+N11:O11*$B$24:$C$24+N4:O4*($B$25:$C$25-$B$19:$C$19))/($B$9:$C$9*$B$22:$C$22+$B$10:$C$10*$B$23:$C$23+$B$11:$C$11*$B$24:$C$24+$B$4:$C$4*($B$25:$C$25-$B$19:$C$19))*(N9:O9*N22:O22+N10:O10*N23:O23+N11:O11*N24:O24+N4:O4*(N25:O25-N19:O19))/($B$9:$C$9*N22:O22+$B$10:$C$10*N23:O23+$B$11:$C$11*N24:O24+$B$4:$C$4*(N25:O25-N19:O19)))</f>
        <v>0.99372100453396395</v>
      </c>
      <c r="O65" s="191"/>
      <c r="P65" s="191">
        <f t="array" ref="P65">SQRT((P9:Q9*$B$22:$C$22+P10:Q10*$B$23:$C$23+P11:Q11*$B$24:$C$24+P4:Q4*($B$25:$C$25-$B$19:$C$19))/($B$9:$C$9*$B$22:$C$22+$B$10:$C$10*$B$23:$C$23+$B$11:$C$11*$B$24:$C$24+$B$4:$C$4*($B$25:$C$25-$B$19:$C$19))*(P9:Q9*P22:Q22+P10:Q10*P23:Q23+P11:Q11*P24:Q24+P4:Q4*(P25:Q25-P19:Q19))/($B$9:$C$9*P22:Q22+$B$10:$C$10*P23:Q23+$B$11:$C$11*P24:Q24+$B$4:$C$4*(P25:Q25-P19:Q19)))</f>
        <v>0.99260767531253769</v>
      </c>
      <c r="Q65" s="191"/>
      <c r="R65" s="191">
        <f t="array" ref="R65">SQRT((R9:S9*$B$22:$C$22+R10:S10*$B$23:$C$23+R11:S11*$B$24:$C$24+R4:S4*($B$25:$C$25-$B$19:$C$19))/($B$9:$C$9*$B$22:$C$22+$B$10:$C$10*$B$23:$C$23+$B$11:$C$11*$B$24:$C$24+$B$4:$C$4*($B$25:$C$25-$B$19:$C$19))*(R9:S9*R22:S22+R10:S10*R23:S23+R11:S11*R24:S24+R4:S4*(R25:S25-R19:S19))/($B$9:$C$9*R22:S22+$B$10:$C$10*R23:S23+$B$11:$C$11*R24:S24+$B$4:$C$4*(R25:S25-R19:S19)))</f>
        <v>0.99148484342685517</v>
      </c>
      <c r="S65" s="191"/>
      <c r="T65" s="191">
        <f t="array" ref="T65">SQRT((T9:U9*$B$22:$C$22+T10:U10*$B$23:$C$23+T11:U11*$B$24:$C$24+T4:U4*($B$25:$C$25-$B$19:$C$19))/($B$9:$C$9*$B$22:$C$22+$B$10:$C$10*$B$23:$C$23+$B$11:$C$11*$B$24:$C$24+$B$4:$C$4*($B$25:$C$25-$B$19:$C$19))*(T9:U9*T22:U22+T10:U10*T23:U23+T11:U11*T24:U24+T4:U4*(T25:U25-T19:U19))/($B$9:$C$9*T22:U22+$B$10:$C$10*T23:U23+$B$11:$C$11*T24:U24+$B$4:$C$4*(T25:U25-T19:U19)))</f>
        <v>0.99036762395768729</v>
      </c>
      <c r="U65" s="191"/>
      <c r="V65" s="191">
        <f t="array" ref="V65">SQRT((V9:W9*$B$22:$C$22+V10:W10*$B$23:$C$23+V11:W11*$B$24:$C$24+V4:W4*($B$25:$C$25-$B$19:$C$19))/($B$9:$C$9*$B$22:$C$22+$B$10:$C$10*$B$23:$C$23+$B$11:$C$11*$B$24:$C$24+$B$4:$C$4*($B$25:$C$25-$B$19:$C$19))*(V9:W9*V22:W22+V10:W10*V23:W23+V11:W11*V24:W24+V4:W4*(V25:W25-V19:W19))/($B$9:$C$9*V22:W22+$B$10:$C$10*V23:W23+$B$11:$C$11*V24:W24+$B$4:$C$4*(V25:W25-V19:W19)))</f>
        <v>0.98928362419797999</v>
      </c>
      <c r="W65" s="191"/>
      <c r="X65" s="191">
        <f t="array" ref="X65">SQRT((X9:Y9*$B$22:$C$22+X10:Y10*$B$23:$C$23+X11:Y11*$B$24:$C$24+X4:Y4*($B$25:$C$25-$B$19:$C$19))/($B$9:$C$9*$B$22:$C$22+$B$10:$C$10*$B$23:$C$23+$B$11:$C$11*$B$24:$C$24+$B$4:$C$4*($B$25:$C$25-$B$19:$C$19))*(X9:Y9*X22:Y22+X10:Y10*X23:Y23+X11:Y11*X24:Y24+X4:Y4*(X25:Y25-X19:Y19))/($B$9:$C$9*X22:Y22+$B$10:$C$10*X23:Y23+$B$11:$C$11*X24:Y24+$B$4:$C$4*(X25:Y25-X19:Y19)))</f>
        <v>0.98828130450981222</v>
      </c>
      <c r="Y65" s="191"/>
      <c r="Z65" s="191">
        <f t="array" ref="Z65">SQRT((Z9:AA9*$B$22:$C$22+Z10:AA10*$B$23:$C$23+Z11:AA11*$B$24:$C$24+Z4:AA4*($B$25:$C$25-$B$19:$C$19))/($B$9:$C$9*$B$22:$C$22+$B$10:$C$10*$B$23:$C$23+$B$11:$C$11*$B$24:$C$24+$B$4:$C$4*($B$25:$C$25-$B$19:$C$19))*(Z9:AA9*Z22:AA22+Z10:AA10*Z23:AA23+Z11:AA11*Z24:AA24+Z4:AA4*(Z25:AA25-Z19:AA19))/($B$9:$C$9*Z22:AA22+$B$10:$C$10*Z23:AA23+$B$11:$C$11*Z24:AA24+$B$4:$C$4*(Z25:AA25-Z19:AA19)))</f>
        <v>0.98744344576070764</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0.98690725878737473</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0.98688604588804663</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0.98766083132098126</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0.9894604899560453</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0.99220917863898828</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0.99541964337829392</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0.99823060253505203</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0.9985589958070773</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0.99866564591180285</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0.99890000483330676</v>
      </c>
      <c r="E66" s="191"/>
      <c r="F66" s="191">
        <f t="array" ref="F66">SQRT((F9:G9*$B$22:$C$22)/($B$9:$C$9*$B$22:$C$22)*(F9:G9*F22:G22)/($B$9:$C$9*F22:G22))</f>
        <v>0.99778057718535196</v>
      </c>
      <c r="G66" s="191"/>
      <c r="H66" s="191">
        <f t="array" ref="H66">SQRT((H9:I9*$B$22:$C$22)/($B$9:$C$9*$B$22:$C$22)*(H9:I9*H22:I22)/($B$9:$C$9*H22:I22))</f>
        <v>0.99663944052894449</v>
      </c>
      <c r="I66" s="191"/>
      <c r="J66" s="191">
        <f t="array" ref="J66">SQRT((J9:K9*$B$22:$C$22)/($B$9:$C$9*$B$22:$C$22)*(J9:K9*J22:K22)/($B$9:$C$9*J22:K22))</f>
        <v>0.99547468755420365</v>
      </c>
      <c r="K66" s="191"/>
      <c r="L66" s="191">
        <f t="array" ref="L66">SQRT((L9:M9*$B$22:$C$22)/($B$9:$C$9*$B$22:$C$22)*(L9:M9*L22:M22)/($B$9:$C$9*L22:M22))</f>
        <v>0.99428524828756515</v>
      </c>
      <c r="M66" s="191"/>
      <c r="N66" s="191">
        <f t="array" ref="N66">SQRT((N9:O9*$B$22:$C$22)/($B$9:$C$9*$B$22:$C$22)*(N9:O9*N22:O22)/($B$9:$C$9*N22:O22))</f>
        <v>0.99307166651538992</v>
      </c>
      <c r="O66" s="191"/>
      <c r="P66" s="191">
        <f t="array" ref="P66">SQRT((P9:Q9*$B$22:$C$22)/($B$9:$C$9*$B$22:$C$22)*(P9:Q9*P22:Q22)/($B$9:$C$9*P22:Q22))</f>
        <v>0.9918373678896415</v>
      </c>
      <c r="Q66" s="191"/>
      <c r="R66" s="191">
        <f t="array" ref="R66">SQRT((R9:S9*$B$22:$C$22)/($B$9:$C$9*$B$22:$C$22)*(R9:S9*R22:S22)/($B$9:$C$9*R22:S22))</f>
        <v>0.99059073247380636</v>
      </c>
      <c r="S66" s="191"/>
      <c r="T66" s="191">
        <f t="array" ref="T66">SQRT((T9:U9*$B$22:$C$22)/($B$9:$C$9*$B$22:$C$22)*(T9:U9*T22:U22)/($B$9:$C$9*T22:U22))</f>
        <v>0.98934853552863145</v>
      </c>
      <c r="U66" s="191"/>
      <c r="V66" s="191">
        <f t="array" ref="V66">SQRT((V9:W9*$B$22:$C$22)/($B$9:$C$9*$B$22:$C$22)*(V9:W9*V22:W22)/($B$9:$C$9*V22:W22))</f>
        <v>0.98814158530499885</v>
      </c>
      <c r="W66" s="191"/>
      <c r="X66" s="191">
        <f t="array" ref="X66">SQRT((X9:Y9*$B$22:$C$22)/($B$9:$C$9*$B$22:$C$22)*(X9:Y9*X22:Y22)/($B$9:$C$9*X22:Y22))</f>
        <v>0.98702415645097175</v>
      </c>
      <c r="Y66" s="191"/>
      <c r="Z66" s="191">
        <f t="array" ref="Z66">SQRT((Z9:AA9*$B$22:$C$22)/($B$9:$C$9*$B$22:$C$22)*(Z9:AA9*Z22:AA22)/($B$9:$C$9*Z22:AA22))</f>
        <v>0.98608916794725854</v>
      </c>
      <c r="AA66" s="191"/>
      <c r="AB66" s="191">
        <f t="array" ref="AB66">SQRT((AB9:AC9*$B$22:$C$22)/($B$9:$C$9*$B$22:$C$22)*(AB9:AC9*AB22:AC22)/($B$9:$C$9*AB22:AC22))</f>
        <v>0.98549075511447581</v>
      </c>
      <c r="AC66" s="191"/>
      <c r="AD66" s="191">
        <f t="array" ref="AD66">SQRT((AD9:AE9*$B$22:$C$22)/($B$9:$C$9*$B$22:$C$22)*(AD9:AE9*AD22:AE22)/($B$9:$C$9*AD22:AE22))</f>
        <v>0.98546825648935332</v>
      </c>
      <c r="AE66" s="191"/>
      <c r="AF66" s="191">
        <f t="array" ref="AF66">SQRT((AF9:AG9*$B$22:$C$22)/($B$9:$C$9*$B$22:$C$22)*(AF9:AG9*AF22:AG22)/($B$9:$C$9*AF22:AG22))</f>
        <v>0.98633558229497809</v>
      </c>
      <c r="AG66" s="191"/>
      <c r="AH66" s="191">
        <f t="array" ref="AH66">SQRT((AH9:AI9*$B$22:$C$22)/($B$9:$C$9*$B$22:$C$22)*(AH9:AI9*AH22:AI22)/($B$9:$C$9*AH22:AI22))</f>
        <v>0.98834449128910784</v>
      </c>
      <c r="AI66" s="191"/>
      <c r="AJ66" s="191">
        <f t="array" ref="AJ66">SQRT((AJ9:AK9*$B$22:$C$22)/($B$9:$C$9*$B$22:$C$22)*(AJ9:AK9*AJ22:AK22)/($B$9:$C$9*AJ22:AK22))</f>
        <v>0.99140162285406619</v>
      </c>
      <c r="AK66" s="191"/>
      <c r="AL66" s="191">
        <f t="array" ref="AL66">SQRT((AL9:AM9*$B$22:$C$22)/($B$9:$C$9*$B$22:$C$22)*(AL9:AM9*AL22:AM22)/($B$9:$C$9*AL22:AM22))</f>
        <v>0.9949565173406647</v>
      </c>
      <c r="AM66" s="191"/>
      <c r="AN66" s="191">
        <f t="array" ref="AN66">SQRT((AN9:AO9*$B$22:$C$22)/($B$9:$C$9*$B$22:$C$22)*(AN9:AO9*AN22:AO22)/($B$9:$C$9*AN22:AO22))</f>
        <v>0.99805555995738715</v>
      </c>
      <c r="AO66" s="191"/>
      <c r="AP66" s="191">
        <f t="array" ref="AP66">SQRT((AP9:AQ9*$B$22:$C$22)/($B$9:$C$9*$B$22:$C$22)*(AP9:AQ9*AP22:AQ22)/($B$9:$C$9*AP22:AQ22))</f>
        <v>0.99841680456081705</v>
      </c>
      <c r="AQ66" s="191"/>
      <c r="AR66" s="191">
        <f t="array" ref="AR66">SQRT((AR9:AS9*$B$22:$C$22)/($B$9:$C$9*$B$22:$C$22)*(AR9:AS9*AR22:AS22)/($B$9:$C$9*AR22:AS22))</f>
        <v>0.99853408773313801</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0.99890000483330676</v>
      </c>
      <c r="E68" s="191"/>
      <c r="F68" s="191">
        <f>F66/F67</f>
        <v>0.99778057718535196</v>
      </c>
      <c r="G68" s="191"/>
      <c r="H68" s="191">
        <f>H66/H67</f>
        <v>0.99663944052894449</v>
      </c>
      <c r="I68" s="191"/>
      <c r="J68" s="191">
        <f>J66/J67</f>
        <v>0.99547468755420365</v>
      </c>
      <c r="K68" s="191"/>
      <c r="L68" s="191">
        <f>L66/L67</f>
        <v>0.99428524828756515</v>
      </c>
      <c r="M68" s="191"/>
      <c r="N68" s="191">
        <f>N66/N67</f>
        <v>0.99307166651538992</v>
      </c>
      <c r="O68" s="191"/>
      <c r="P68" s="191">
        <f>P66/P67</f>
        <v>0.9918373678896415</v>
      </c>
      <c r="Q68" s="191"/>
      <c r="R68" s="191">
        <f>R66/R67</f>
        <v>0.99059073247380636</v>
      </c>
      <c r="S68" s="191"/>
      <c r="T68" s="191">
        <f>T66/T67</f>
        <v>0.98934853552863145</v>
      </c>
      <c r="U68" s="191"/>
      <c r="V68" s="191">
        <f>V66/V67</f>
        <v>0.98814158530499885</v>
      </c>
      <c r="W68" s="191"/>
      <c r="X68" s="191">
        <f>X66/X67</f>
        <v>0.98702415645097175</v>
      </c>
      <c r="Y68" s="191"/>
      <c r="Z68" s="191">
        <f>Z66/Z67</f>
        <v>0.98608916794725854</v>
      </c>
      <c r="AA68" s="191"/>
      <c r="AB68" s="191">
        <f>AB66/AB67</f>
        <v>0.98549075511447581</v>
      </c>
      <c r="AC68" s="191"/>
      <c r="AD68" s="191">
        <f>AD66/AD67</f>
        <v>0.98546825648935332</v>
      </c>
      <c r="AE68" s="191"/>
      <c r="AF68" s="191">
        <f>AF66/AF67</f>
        <v>0.98633558229497809</v>
      </c>
      <c r="AG68" s="191"/>
      <c r="AH68" s="191">
        <f>AH66/AH67</f>
        <v>0.98834449128910784</v>
      </c>
      <c r="AI68" s="191"/>
      <c r="AJ68" s="191">
        <f>AJ66/AJ67</f>
        <v>0.99140162285406619</v>
      </c>
      <c r="AK68" s="191"/>
      <c r="AL68" s="191">
        <f>AL66/AL67</f>
        <v>0.9949565173406647</v>
      </c>
      <c r="AM68" s="191"/>
      <c r="AN68" s="191">
        <f>AN66/AN67</f>
        <v>0.99805555995738715</v>
      </c>
      <c r="AO68" s="191"/>
      <c r="AP68" s="191">
        <f>AP66/AP67</f>
        <v>0.99841680456081705</v>
      </c>
      <c r="AQ68" s="191"/>
      <c r="AR68" s="191">
        <f>AR66/AR67</f>
        <v>0.99853408773313801</v>
      </c>
      <c r="AS68" s="191"/>
      <c r="AT68" s="191" t="e">
        <f>AT66/AT67</f>
        <v>#DIV/0!</v>
      </c>
      <c r="AU68" s="191"/>
      <c r="AV68" s="191" t="e">
        <f>AV66/AV67</f>
        <v>#DIV/0!</v>
      </c>
      <c r="XFD68" s="191"/>
    </row>
    <row r="69" spans="1:48 16384:16384" x14ac:dyDescent="0.2">
      <c r="A69" t="s">
        <v>177</v>
      </c>
      <c r="B69" s="191">
        <f>B32/B65/($B$32)</f>
        <v>1</v>
      </c>
      <c r="C69" s="191"/>
      <c r="D69" s="191">
        <f>D32/D65/($B$32)</f>
        <v>1.0008327859586321</v>
      </c>
      <c r="E69" s="191"/>
      <c r="F69" s="191">
        <f>F32/F65/($B$32)</f>
        <v>1.0015912673577754</v>
      </c>
      <c r="G69" s="191"/>
      <c r="H69" s="191">
        <f>H32/H65/($B$32)</f>
        <v>1.0022673472778099</v>
      </c>
      <c r="I69" s="191"/>
      <c r="J69" s="191">
        <f>J32/J65/($B$32)</f>
        <v>1.0028515289542723</v>
      </c>
      <c r="K69" s="191"/>
      <c r="L69" s="191">
        <f>L32/L65/($B$32)</f>
        <v>1.0033329801194353</v>
      </c>
      <c r="M69" s="191"/>
      <c r="N69" s="191">
        <f>N32/N65/($B$32)</f>
        <v>1.0036989631400648</v>
      </c>
      <c r="O69" s="191"/>
      <c r="P69" s="191">
        <f>P32/P65/($B$32)</f>
        <v>1.0039347759409356</v>
      </c>
      <c r="Q69" s="191"/>
      <c r="R69" s="191">
        <f>R32/R65/($B$32)</f>
        <v>1.0040233670686594</v>
      </c>
      <c r="S69" s="191"/>
      <c r="T69" s="191">
        <f>T32/T65/($B$32)</f>
        <v>1.0039454029506225</v>
      </c>
      <c r="U69" s="191"/>
      <c r="V69" s="191">
        <f>V32/V65/($B$32)</f>
        <v>1.0036789791837564</v>
      </c>
      <c r="W69" s="191"/>
      <c r="X69" s="191">
        <f>X32/X65/($B$32)</f>
        <v>1.0032005519148226</v>
      </c>
      <c r="Y69" s="191"/>
      <c r="Z69" s="191">
        <f>Z32/Z65/($B$32)</f>
        <v>1.0024861023616245</v>
      </c>
      <c r="AA69" s="191"/>
      <c r="AB69" s="191">
        <f>AB32/AB65/($B$32)</f>
        <v>1.0015134136595678</v>
      </c>
      <c r="AC69" s="191"/>
      <c r="AD69" s="191">
        <f>AD32/AD65/($B$32)</f>
        <v>1.0002613029526954</v>
      </c>
      <c r="AE69" s="191"/>
      <c r="AF69" s="191">
        <f>AF32/AF65/($B$32)</f>
        <v>0.99868808581691615</v>
      </c>
      <c r="AG69" s="191"/>
      <c r="AH69" s="191">
        <f>AH32/AH65/($B$32)</f>
        <v>0.99664034892250164</v>
      </c>
      <c r="AI69" s="191"/>
      <c r="AJ69" s="191">
        <f>AJ32/AJ65/($B$32)</f>
        <v>0.9936551798035258</v>
      </c>
      <c r="AK69" s="191"/>
      <c r="AL69" s="191">
        <f>AL32/AL65/($B$32)</f>
        <v>0.98876250549293265</v>
      </c>
      <c r="AM69" s="191"/>
      <c r="AN69" s="191">
        <f>AN32/AN65/($B$32)</f>
        <v>0.98051149802746562</v>
      </c>
      <c r="AO69" s="191"/>
      <c r="AP69" s="191">
        <f>AP32/AP65/($B$32)</f>
        <v>0.97844851160246671</v>
      </c>
      <c r="AQ69" s="191"/>
      <c r="AR69" s="191">
        <f>AR32/AR65/($B$32)</f>
        <v>0.97650941384966317</v>
      </c>
      <c r="AS69" s="191"/>
      <c r="AT69" s="191" t="e">
        <f>AT32/AT65/($B$32)</f>
        <v>#DIV/0!</v>
      </c>
      <c r="AU69" s="191"/>
      <c r="AV69" s="191" t="e">
        <f>AV32/AV65/($B$32)</f>
        <v>#DIV/0!</v>
      </c>
    </row>
    <row r="70" spans="1:48 16384:16384" x14ac:dyDescent="0.2">
      <c r="A70" t="s">
        <v>178</v>
      </c>
      <c r="B70" s="138">
        <f>B18/$B$18</f>
        <v>1</v>
      </c>
      <c r="C70" s="138"/>
      <c r="D70" s="138">
        <f>D18/$B$18</f>
        <v>1.0000219834256621</v>
      </c>
      <c r="E70" s="138"/>
      <c r="F70" s="138">
        <f>F18/$B$18</f>
        <v>0.99995420284147696</v>
      </c>
      <c r="G70" s="138"/>
      <c r="H70" s="138">
        <f>H18/$B$18</f>
        <v>0.9997857376147754</v>
      </c>
      <c r="I70" s="138"/>
      <c r="J70" s="138">
        <f>J18/$B$18</f>
        <v>0.99950297989061199</v>
      </c>
      <c r="K70" s="138"/>
      <c r="L70" s="138">
        <f>L18/$B$18</f>
        <v>0.9990887944031982</v>
      </c>
      <c r="M70" s="138"/>
      <c r="N70" s="138">
        <f>N18/$B$18</f>
        <v>0.99852084485945525</v>
      </c>
      <c r="O70" s="138"/>
      <c r="P70" s="138">
        <f>P18/$B$18</f>
        <v>0.99776946595569127</v>
      </c>
      <c r="Q70" s="138"/>
      <c r="R70" s="138">
        <f>R18/$B$18</f>
        <v>0.99679413938342765</v>
      </c>
      <c r="S70" s="138"/>
      <c r="T70" s="138">
        <f>T18/$B$18</f>
        <v>0.9955382056040738</v>
      </c>
      <c r="U70" s="138"/>
      <c r="V70" s="138">
        <f>V18/$B$18</f>
        <v>0.99392004803844669</v>
      </c>
      <c r="W70" s="138"/>
      <c r="X70" s="138">
        <f>X18/$B$18</f>
        <v>0.99181927339013154</v>
      </c>
      <c r="Y70" s="138"/>
      <c r="Z70" s="138">
        <f>Z18/$B$18</f>
        <v>0.98905385925056377</v>
      </c>
      <c r="AA70" s="138"/>
      <c r="AB70" s="138">
        <f>AB18/$B$18</f>
        <v>0.98534447574791229</v>
      </c>
      <c r="AC70" s="138"/>
      <c r="AD70" s="138">
        <f>AD18/$B$18</f>
        <v>0.98026475018386616</v>
      </c>
      <c r="AE70" s="138"/>
      <c r="AF70" s="138">
        <f>AF18/$B$18</f>
        <v>0.97319400439976722</v>
      </c>
      <c r="AG70" s="138"/>
      <c r="AH70" s="138">
        <f>AH18/$B$18</f>
        <v>0.96330918931366971</v>
      </c>
      <c r="AI70" s="138"/>
      <c r="AJ70" s="138">
        <f>AJ18/$B$18</f>
        <v>0.94950789904438715</v>
      </c>
      <c r="AK70" s="138"/>
      <c r="AL70" s="138">
        <f>AL18/$B$18</f>
        <v>0.92955953180437068</v>
      </c>
      <c r="AM70" s="138"/>
      <c r="AN70" s="138">
        <f>AN18/$B$18</f>
        <v>0.89578592514802868</v>
      </c>
      <c r="AO70" s="138"/>
      <c r="AP70" s="138">
        <f>AP18/$B$18</f>
        <v>0.88508738168628731</v>
      </c>
      <c r="AQ70" s="138"/>
      <c r="AR70" s="138">
        <f>AR18/$B$18</f>
        <v>0.87144624776104851</v>
      </c>
      <c r="AS70" s="138"/>
      <c r="AT70" s="138">
        <f>AT18/$B$18</f>
        <v>0</v>
      </c>
      <c r="AU70" s="138"/>
      <c r="AV70" s="138">
        <f>AV18/$B$18</f>
        <v>0</v>
      </c>
    </row>
    <row r="71" spans="1:48 16384:16384" x14ac:dyDescent="0.2">
      <c r="A71" t="s">
        <v>179</v>
      </c>
      <c r="B71" s="138">
        <f>C18/$C$18</f>
        <v>1</v>
      </c>
      <c r="D71" s="138">
        <f>E18/$C$18</f>
        <v>0.92771623207426224</v>
      </c>
      <c r="E71" s="138"/>
      <c r="F71" s="138">
        <f>G18/$C$18</f>
        <v>0.85542554875331522</v>
      </c>
      <c r="G71" s="138"/>
      <c r="H71" s="138">
        <f>I18/$C$18</f>
        <v>0.78314771830295549</v>
      </c>
      <c r="I71" s="138"/>
      <c r="J71" s="138">
        <f>K18/$C$18</f>
        <v>0.71092123183728206</v>
      </c>
      <c r="K71" s="138"/>
      <c r="L71" s="138">
        <f>M18/$C$18</f>
        <v>0.63880843276112631</v>
      </c>
      <c r="M71" s="138"/>
      <c r="N71" s="138">
        <f>O18/$C$18</f>
        <v>0.56691513088550749</v>
      </c>
      <c r="O71" s="138"/>
      <c r="P71" s="138">
        <f>Q18/$C$18</f>
        <v>0.49540959568649473</v>
      </c>
      <c r="Q71" s="138"/>
      <c r="R71" s="138">
        <f>S18/$C$18</f>
        <v>0.42455818729955436</v>
      </c>
      <c r="S71" s="138"/>
      <c r="T71" s="138">
        <f>U18/$C$18</f>
        <v>0.35477420802119963</v>
      </c>
      <c r="U71" s="138"/>
      <c r="V71" s="138">
        <f>W18/$C$18</f>
        <v>0.28670075904061476</v>
      </c>
      <c r="W71" s="138"/>
      <c r="X71" s="138">
        <f>Y18/$C$18</f>
        <v>0.22132510926914573</v>
      </c>
      <c r="Y71" s="138"/>
      <c r="Z71" s="138">
        <f>AA18/$C$18</f>
        <v>0.16014896653161897</v>
      </c>
      <c r="AA71" s="138"/>
      <c r="AB71" s="138">
        <f>AC18/$C$18</f>
        <v>0.10538424030960035</v>
      </c>
      <c r="AC71" s="138"/>
      <c r="AD71" s="138">
        <f>AE18/$C$18</f>
        <v>6.0029879573902253E-2</v>
      </c>
      <c r="AE71" s="138"/>
      <c r="AF71" s="138">
        <f>AG18/$C$18</f>
        <v>2.7323521121629963E-2</v>
      </c>
      <c r="AG71" s="138"/>
      <c r="AH71" s="138">
        <f>AI18/$C$18</f>
        <v>8.7653192383286508E-3</v>
      </c>
      <c r="AI71" s="138"/>
      <c r="AJ71" s="138">
        <f>AK18/$C$18</f>
        <v>1.6190859322291603E-3</v>
      </c>
      <c r="AK71" s="138"/>
      <c r="AL71" s="138">
        <f>AM18/$C$18</f>
        <v>1.121093707451268E-4</v>
      </c>
      <c r="AM71" s="138"/>
      <c r="AN71" s="138">
        <f>AO18/$C$18</f>
        <v>6.5472790106874927E-7</v>
      </c>
      <c r="AO71" s="138"/>
      <c r="AP71" s="138">
        <f>AQ18/$C$18</f>
        <v>1.0894420543165947E-7</v>
      </c>
      <c r="AQ71" s="138"/>
      <c r="AR71" s="138">
        <f>AS18/$C$18</f>
        <v>9.8638891611326368E-9</v>
      </c>
      <c r="AS71" s="138"/>
      <c r="AT71" s="138">
        <f>AU18/$C$18</f>
        <v>0</v>
      </c>
      <c r="AU71" s="138"/>
      <c r="AV71" s="138">
        <f>AW18/$C$18</f>
        <v>0</v>
      </c>
      <c r="XFD71" s="138"/>
    </row>
    <row r="72" spans="1:48 16384:16384" x14ac:dyDescent="0.2">
      <c r="A72" t="s">
        <v>180</v>
      </c>
      <c r="B72" s="138">
        <f>C19/$C$19</f>
        <v>1</v>
      </c>
      <c r="D72" s="138">
        <f>E19/$C$19</f>
        <v>1.0327160290695847</v>
      </c>
      <c r="E72" s="138"/>
      <c r="F72" s="138">
        <f>G19/$C$19</f>
        <v>1.0687792459112757</v>
      </c>
      <c r="G72" s="138"/>
      <c r="H72" s="138">
        <f>I19/$C$19</f>
        <v>1.1084353056446385</v>
      </c>
      <c r="I72" s="138"/>
      <c r="J72" s="138">
        <f>K19/$C$19</f>
        <v>1.151898066757814</v>
      </c>
      <c r="K72" s="138"/>
      <c r="L72" s="138">
        <f>M19/$C$19</f>
        <v>1.1993074885575243</v>
      </c>
      <c r="M72" s="138"/>
      <c r="N72" s="138">
        <f>O19/$C$19</f>
        <v>1.2506691464333202</v>
      </c>
      <c r="O72" s="138"/>
      <c r="P72" s="138">
        <f>Q19/$C$19</f>
        <v>1.3057476687756671</v>
      </c>
      <c r="Q72" s="138"/>
      <c r="R72" s="138">
        <f>S19/$C$19</f>
        <v>1.3638970385940439</v>
      </c>
      <c r="S72" s="138"/>
      <c r="T72" s="138">
        <f>U19/$C$19</f>
        <v>1.423777582412296</v>
      </c>
      <c r="U72" s="138"/>
      <c r="V72" s="138">
        <f>W19/$C$19</f>
        <v>1.4828923119995296</v>
      </c>
      <c r="W72" s="138"/>
      <c r="X72" s="138">
        <f>Y19/$C$19</f>
        <v>1.5368162718292728</v>
      </c>
      <c r="Y72" s="138"/>
      <c r="Z72" s="138">
        <f>AA19/$C$19</f>
        <v>1.5779597896096937</v>
      </c>
      <c r="AA72" s="138"/>
      <c r="AB72" s="138">
        <f>AC19/$C$19</f>
        <v>1.5937551852794394</v>
      </c>
      <c r="AC72" s="138"/>
      <c r="AD72" s="138">
        <f>AE19/$C$19</f>
        <v>1.5647854703711608</v>
      </c>
      <c r="AE72" s="138"/>
      <c r="AF72" s="138">
        <f>AG19/$C$19</f>
        <v>1.4657889726065911</v>
      </c>
      <c r="AG72" s="138"/>
      <c r="AH72" s="138">
        <f>AI19/$C$19</f>
        <v>1.276566344642146</v>
      </c>
      <c r="AI72" s="138"/>
      <c r="AJ72" s="138">
        <f>AK19/$C$19</f>
        <v>1.0029226534969544</v>
      </c>
      <c r="AK72" s="138"/>
      <c r="AL72" s="138">
        <f>AM19/$C$19</f>
        <v>0.67953991285672055</v>
      </c>
      <c r="AM72" s="138"/>
      <c r="AN72" s="138">
        <f>AO19/$C$19</f>
        <v>0.34062732994964512</v>
      </c>
      <c r="AO72" s="138"/>
      <c r="AP72" s="138">
        <f>AQ19/$C$19</f>
        <v>0.27251252129836517</v>
      </c>
      <c r="AQ72" s="138"/>
      <c r="AR72" s="138">
        <f>AS19/$C$19</f>
        <v>0.20438667371591485</v>
      </c>
      <c r="AS72" s="138"/>
      <c r="AT72" s="138">
        <f>AU19/$C$19</f>
        <v>0</v>
      </c>
      <c r="AU72" s="138"/>
      <c r="AV72" s="138">
        <f>AW19/$C$19</f>
        <v>0</v>
      </c>
      <c r="XFD72" s="138"/>
    </row>
    <row r="73" spans="1:48 16384:16384" x14ac:dyDescent="0.2">
      <c r="A73" t="s">
        <v>184</v>
      </c>
      <c r="B73" s="193">
        <f t="array" ref="B73">SUM(B9:C9*B22:C22)/B32</f>
        <v>0.47641153352875115</v>
      </c>
      <c r="D73" s="193">
        <f t="array" ref="D73">SUM(D9:E9*D22:E22)/D32</f>
        <v>0.47641153706902456</v>
      </c>
      <c r="E73" s="138"/>
      <c r="F73" s="193">
        <f t="array" ref="F73">SUM(F9:G9*F22:G22)/F32</f>
        <v>0.47641153792829355</v>
      </c>
      <c r="G73" s="138"/>
      <c r="H73" s="193">
        <f t="array" ref="H73">SUM(H9:I9*H22:I22)/H32</f>
        <v>0.47641153355557386</v>
      </c>
      <c r="I73" s="138"/>
      <c r="J73" s="193">
        <f t="array" ref="J73">SUM(J9:K9*J22:K22)/J32</f>
        <v>0.47641153520572715</v>
      </c>
      <c r="K73" s="138"/>
      <c r="L73" s="193">
        <f t="array" ref="L73">SUM(L9:M9*L22:M22)/L32</f>
        <v>0.47641153371608153</v>
      </c>
      <c r="M73" s="138"/>
      <c r="N73" s="193">
        <f t="array" ref="N73">SUM(N9:O9*N22:O22)/N32</f>
        <v>0.47641153410814574</v>
      </c>
      <c r="O73" s="138"/>
      <c r="P73" s="193">
        <f t="array" ref="P73">SUM(P9:Q9*P22:Q22)/P32</f>
        <v>0.47641153482543053</v>
      </c>
      <c r="Q73" s="138"/>
      <c r="R73" s="193">
        <f t="array" ref="R73">SUM(R9:S9*R22:S22)/R32</f>
        <v>0.47641153334462705</v>
      </c>
      <c r="S73" s="138"/>
      <c r="T73" s="193">
        <f t="array" ref="T73">SUM(T9:U9*T22:U22)/T32</f>
        <v>0.47641153673664749</v>
      </c>
      <c r="U73" s="138"/>
      <c r="V73" s="193">
        <f t="array" ref="V73">SUM(V9:W9*V22:W22)/V32</f>
        <v>0.47641153275452924</v>
      </c>
      <c r="W73" s="138"/>
      <c r="X73" s="193">
        <f t="array" ref="X73">SUM(X9:Y9*X22:Y22)/X32</f>
        <v>0.47641153382674711</v>
      </c>
      <c r="Y73" s="138"/>
      <c r="Z73" s="193">
        <f t="array" ref="Z73">SUM(Z9:AA9*Z22:AA22)/Z32</f>
        <v>0.47641153375793177</v>
      </c>
      <c r="AA73" s="138"/>
      <c r="AB73" s="193">
        <f t="array" ref="AB73">SUM(AB9:AC9*AB22:AC22)/AB32</f>
        <v>0.47641153380376156</v>
      </c>
      <c r="AC73" s="138"/>
      <c r="AD73" s="193">
        <f t="array" ref="AD73">SUM(AD9:AE9*AD22:AE22)/AD32</f>
        <v>0.47641153358125538</v>
      </c>
      <c r="AE73" s="138"/>
      <c r="AF73" s="193">
        <f t="array" ref="AF73">SUM(AF9:AG9*AF22:AG22)/AF32</f>
        <v>0.47641153333126074</v>
      </c>
      <c r="AG73" s="138"/>
      <c r="AH73" s="193">
        <f t="array" ref="AH73">SUM(AH9:AI9*AH22:AI22)/AH32</f>
        <v>0.47641153352398835</v>
      </c>
      <c r="AI73" s="138"/>
      <c r="AJ73" s="193">
        <f t="array" ref="AJ73">SUM(AJ9:AK9*AJ22:AK22)/AJ32</f>
        <v>0.47641153352805654</v>
      </c>
      <c r="AK73" s="138"/>
      <c r="AL73" s="193">
        <f t="array" ref="AL73">SUM(AL9:AM9*AL22:AM22)/AL32</f>
        <v>0.47641153352878846</v>
      </c>
      <c r="AM73" s="138"/>
      <c r="AN73" s="193">
        <f t="array" ref="AN73">SUM(AN9:AO9*AN22:AO22)/AN32</f>
        <v>0.47641153352874993</v>
      </c>
      <c r="AO73" s="138"/>
      <c r="AP73" s="193">
        <f t="array" ref="AP73">SUM(AP9:AQ9*AP22:AQ22)/AP32</f>
        <v>0.47641153352875248</v>
      </c>
      <c r="AQ73" s="138"/>
      <c r="AR73" s="193">
        <f t="array" ref="AR73">SUM(AR9:AS9*AR22:AS22)/AR32</f>
        <v>0.47641153352874671</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0.22604620456442481</v>
      </c>
      <c r="U74" s="138"/>
      <c r="V74" s="193">
        <f t="array" ref="V74">SUM(V10:W10*V23:W23)/V32</f>
        <v>0.22604620456442487</v>
      </c>
      <c r="W74" s="138"/>
      <c r="X74" s="193">
        <f t="array" ref="X74">SUM(X10:Y10*X23:Y23)/X32</f>
        <v>0.22604620456442484</v>
      </c>
      <c r="Y74" s="138"/>
      <c r="Z74" s="193">
        <f t="array" ref="Z74">SUM(Z10:AA10*Z23:AA23)/Z32</f>
        <v>0.22604620456442484</v>
      </c>
      <c r="AA74" s="138"/>
      <c r="AB74" s="193">
        <f t="array" ref="AB74">SUM(AB10:AC10*AB23:AC23)/AB32</f>
        <v>0.22604620456442481</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0.22604620456442484</v>
      </c>
      <c r="AK74" s="138"/>
      <c r="AL74" s="193">
        <f t="array" ref="AL74">SUM(AL10:AM10*AL23:AM23)/AL32</f>
        <v>0.22604620456442484</v>
      </c>
      <c r="AM74" s="138"/>
      <c r="AN74" s="193">
        <f t="array" ref="AN74">SUM(AN10:AO10*AN23:AO23)/AN32</f>
        <v>0.22604620456442484</v>
      </c>
      <c r="AO74" s="138"/>
      <c r="AP74" s="193">
        <f t="array" ref="AP74">SUM(AP10:AQ10*AP23:AQ23)/AP32</f>
        <v>0.22604620456442484</v>
      </c>
      <c r="AQ74" s="138"/>
      <c r="AR74" s="193">
        <f t="array" ref="AR74">SUM(AR10:AS10*AR23:AS23)/AR32</f>
        <v>0.22604620456442484</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0.22038438846232231</v>
      </c>
      <c r="E75" s="138"/>
      <c r="F75" s="193">
        <f t="array" ref="F75">SUM(F11:G11*F24:G24)/F32</f>
        <v>0.22038438850069442</v>
      </c>
      <c r="G75" s="138"/>
      <c r="H75" s="193">
        <f t="array" ref="H75">SUM(H11:I11*H24:I24)/H32</f>
        <v>0.22038438831911181</v>
      </c>
      <c r="I75" s="138"/>
      <c r="J75" s="193">
        <f t="array" ref="J75">SUM(J11:K11*J24:K24)/J32</f>
        <v>0.2203843884004347</v>
      </c>
      <c r="K75" s="138"/>
      <c r="L75" s="193">
        <f t="array" ref="L75">SUM(L11:M11*L24:M24)/L32</f>
        <v>0.22038438830821988</v>
      </c>
      <c r="M75" s="138"/>
      <c r="N75" s="193">
        <f t="array" ref="N75">SUM(N11:O11*N24:O24)/N32</f>
        <v>0.22038438828782644</v>
      </c>
      <c r="O75" s="138"/>
      <c r="P75" s="193">
        <f t="array" ref="P75">SUM(P11:Q11*P24:Q24)/P32</f>
        <v>0.22038438826891502</v>
      </c>
      <c r="Q75" s="138"/>
      <c r="R75" s="193">
        <f t="array" ref="R75">SUM(R11:S11*R24:S24)/R32</f>
        <v>0.22038438834628818</v>
      </c>
      <c r="S75" s="138"/>
      <c r="T75" s="193">
        <f t="array" ref="T75">SUM(T11:U11*T24:U24)/T32</f>
        <v>0.22038438832850002</v>
      </c>
      <c r="U75" s="138"/>
      <c r="V75" s="193">
        <f t="array" ref="V75">SUM(V11:W11*V24:W24)/V32</f>
        <v>0.22038438835155583</v>
      </c>
      <c r="W75" s="138"/>
      <c r="X75" s="193">
        <f t="array" ref="X75">SUM(X11:Y11*X24:Y24)/X32</f>
        <v>0.22038438834026167</v>
      </c>
      <c r="Y75" s="138"/>
      <c r="Z75" s="193">
        <f t="array" ref="Z75">SUM(Z11:AA11*Z24:AA24)/Z32</f>
        <v>0.220384388330993</v>
      </c>
      <c r="AA75" s="138"/>
      <c r="AB75" s="193">
        <f t="array" ref="AB75">SUM(AB11:AC11*AB24:AC24)/AB32</f>
        <v>0.22038438833107993</v>
      </c>
      <c r="AC75" s="138"/>
      <c r="AD75" s="193">
        <f t="array" ref="AD75">SUM(AD11:AE11*AD24:AE24)/AD32</f>
        <v>0.22038438833196911</v>
      </c>
      <c r="AE75" s="138"/>
      <c r="AF75" s="193">
        <f t="array" ref="AF75">SUM(AF11:AG11*AF24:AG24)/AF32</f>
        <v>0.22038438833213786</v>
      </c>
      <c r="AG75" s="138"/>
      <c r="AH75" s="193">
        <f t="array" ref="AH75">SUM(AH11:AI11*AH24:AI24)/AH32</f>
        <v>0.2203843883318867</v>
      </c>
      <c r="AI75" s="138"/>
      <c r="AJ75" s="193">
        <f t="array" ref="AJ75">SUM(AJ11:AK11*AJ24:AK24)/AJ32</f>
        <v>0.22038438833192128</v>
      </c>
      <c r="AK75" s="138"/>
      <c r="AL75" s="193">
        <f t="array" ref="AL75">SUM(AL11:AM11*AL24:AM24)/AL32</f>
        <v>0.22038438833194182</v>
      </c>
      <c r="AM75" s="138"/>
      <c r="AN75" s="193">
        <f t="array" ref="AN75">SUM(AN11:AO11*AN24:AO24)/AN32</f>
        <v>0.22038438833194066</v>
      </c>
      <c r="AO75" s="138"/>
      <c r="AP75" s="193">
        <f t="array" ref="AP75">SUM(AP11:AQ11*AP24:AQ24)/AP32</f>
        <v>0.22038438833194079</v>
      </c>
      <c r="AQ75" s="138"/>
      <c r="AR75" s="193">
        <f t="array" ref="AR75">SUM(AR11:AS11*AR24:AS24)/AR32</f>
        <v>0.22038438833194074</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0.22301874374724862</v>
      </c>
      <c r="D76" s="193">
        <f t="array" ref="D76">SUM(D12:E12*D25:E25)/D32</f>
        <v>0.22325704133009383</v>
      </c>
      <c r="E76" s="138"/>
      <c r="F76" s="193">
        <f t="array" ref="F76">SUM(F12:G12*F25:G25)/F32</f>
        <v>0.2235509657089883</v>
      </c>
      <c r="G76" s="138"/>
      <c r="H76" s="193">
        <f t="array" ref="H76">SUM(H12:I12*H25:I25)/H32</f>
        <v>0.22390444510763638</v>
      </c>
      <c r="I76" s="138"/>
      <c r="J76" s="193">
        <f t="array" ref="J76">SUM(J12:K12*J25:K25)/J32</f>
        <v>0.22432083745712419</v>
      </c>
      <c r="K76" s="138"/>
      <c r="L76" s="193">
        <f t="array" ref="L76">SUM(L12:M12*L25:M25)/L32</f>
        <v>0.22480220967299511</v>
      </c>
      <c r="M76" s="138"/>
      <c r="N76" s="193">
        <f t="array" ref="N76">SUM(N12:O12*N25:O25)/N32</f>
        <v>0.22534826377737194</v>
      </c>
      <c r="O76" s="138"/>
      <c r="P76" s="193">
        <f t="array" ref="P76">SUM(P12:Q12*P25:Q25)/P32</f>
        <v>0.22595445720045043</v>
      </c>
      <c r="Q76" s="138"/>
      <c r="R76" s="193">
        <f t="array" ref="R76">SUM(R12:S12*R25:S25)/R32</f>
        <v>0.22660897891297108</v>
      </c>
      <c r="S76" s="138"/>
      <c r="T76" s="193">
        <f t="array" ref="T76">SUM(T12:U12*T25:U25)/T32</f>
        <v>0.2272876344147951</v>
      </c>
      <c r="U76" s="138"/>
      <c r="V76" s="193">
        <f t="array" ref="V76">SUM(V12:W12*V25:W25)/V32</f>
        <v>0.22794549222300192</v>
      </c>
      <c r="W76" s="138"/>
      <c r="X76" s="193">
        <f t="array" ref="X76">SUM(X12:Y12*X25:Y25)/X32</f>
        <v>0.22850273351053116</v>
      </c>
      <c r="Y76" s="138"/>
      <c r="Z76" s="193">
        <f t="array" ref="Z76">SUM(Z12:AA12*Z25:AA25)/Z32</f>
        <v>0.22882190866181032</v>
      </c>
      <c r="AA76" s="138"/>
      <c r="AB76" s="193">
        <f t="array" ref="AB76">SUM(AB12:AC12*AB25:AC25)/AB32</f>
        <v>0.22867404947617592</v>
      </c>
      <c r="AC76" s="138"/>
      <c r="AD76" s="193">
        <f t="array" ref="AD76">SUM(AD12:AE12*AD25:AE25)/AD32</f>
        <v>0.2277024379551397</v>
      </c>
      <c r="AE76" s="138"/>
      <c r="AF76" s="193">
        <f t="array" ref="AF76">SUM(AF12:AG12*AF25:AG25)/AF32</f>
        <v>0.2254352321936576</v>
      </c>
      <c r="AG76" s="138"/>
      <c r="AH76" s="193">
        <f t="array" ref="AH76">SUM(AH12:AI12*AH25:AI25)/AH32</f>
        <v>0.22146828423668707</v>
      </c>
      <c r="AI76" s="138"/>
      <c r="AJ76" s="193">
        <f t="array" ref="AJ76">SUM(AJ12:AK12*AJ25:AK25)/AJ32</f>
        <v>0.21580287532423129</v>
      </c>
      <c r="AK76" s="138"/>
      <c r="AL76" s="193">
        <f t="array" ref="AL76">SUM(AL12:AM12*AL25:AM25)/AL32</f>
        <v>0.20877495584365571</v>
      </c>
      <c r="AM76" s="138"/>
      <c r="AN76" s="193">
        <f t="array" ref="AN76">SUM(AN12:AO12*AN25:AO25)/AN32</f>
        <v>0.19993275178669939</v>
      </c>
      <c r="AO76" s="138"/>
      <c r="AP76" s="193">
        <f t="array" ref="AP76">SUM(AP12:AQ12*AP25:AQ25)/AP32</f>
        <v>0.19762384156798726</v>
      </c>
      <c r="AQ76" s="138"/>
      <c r="AR76" s="193">
        <f t="array" ref="AR76">SUM(AR12:AS12*AR25:AS25)/AR32</f>
        <v>0.19485640794308251</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0.14586087017236521</v>
      </c>
      <c r="D77" s="193">
        <f t="array" ref="D77">SUM(D4:E4*D19:E19)/D32</f>
        <v>0.14609917142586534</v>
      </c>
      <c r="E77" s="138"/>
      <c r="F77" s="193">
        <f t="array" ref="F77">SUM(F4:G4*F19:G19)/F32</f>
        <v>0.146393096702401</v>
      </c>
      <c r="G77" s="138"/>
      <c r="H77" s="193">
        <f t="array" ref="H77">SUM(H4:I4*H19:I19)/H32</f>
        <v>0.14674657154674692</v>
      </c>
      <c r="I77" s="138"/>
      <c r="J77" s="193">
        <f t="array" ref="J77">SUM(J4:K4*J19:K19)/J32</f>
        <v>0.1471629656277107</v>
      </c>
      <c r="K77" s="138"/>
      <c r="L77" s="193">
        <f t="array" ref="L77">SUM(L4:M4*L19:M19)/L32</f>
        <v>0.14764433626172127</v>
      </c>
      <c r="M77" s="138"/>
      <c r="N77" s="193">
        <f t="array" ref="N77">SUM(N4:O4*N19:O19)/N32</f>
        <v>0.14819039073776893</v>
      </c>
      <c r="O77" s="138"/>
      <c r="P77" s="193">
        <f t="array" ref="P77">SUM(P4:Q4*P19:Q19)/P32</f>
        <v>0.14879658485922068</v>
      </c>
      <c r="Q77" s="138"/>
      <c r="R77" s="193">
        <f t="array" ref="R77">SUM(R4:S4*R19:S19)/R32</f>
        <v>0.14945110516831112</v>
      </c>
      <c r="S77" s="138"/>
      <c r="T77" s="193">
        <f t="array" ref="T77">SUM(T4:U4*T19:U19)/T32</f>
        <v>0.1501297640443672</v>
      </c>
      <c r="U77" s="138"/>
      <c r="V77" s="193">
        <f t="array" ref="V77">SUM(V4:W4*V19:W19)/V32</f>
        <v>0.15078761789351178</v>
      </c>
      <c r="W77" s="138"/>
      <c r="X77" s="193">
        <f t="array" ref="X77">SUM(X4:Y4*X19:Y19)/X32</f>
        <v>0.15134486024196461</v>
      </c>
      <c r="Y77" s="138"/>
      <c r="Z77" s="193">
        <f t="array" ref="Z77">SUM(Z4:AA4*Z19:AA19)/Z32</f>
        <v>0.15166403531515998</v>
      </c>
      <c r="AA77" s="138"/>
      <c r="AB77" s="193">
        <f t="array" ref="AB77">SUM(AB4:AC4*AB19:AC19)/AB32</f>
        <v>0.15151617617544219</v>
      </c>
      <c r="AC77" s="138"/>
      <c r="AD77" s="193">
        <f t="array" ref="AD77">SUM(AD4:AE4*AD19:AE19)/AD32</f>
        <v>0.15054456443278891</v>
      </c>
      <c r="AE77" s="138"/>
      <c r="AF77" s="193">
        <f t="array" ref="AF77">SUM(AF4:AG4*AF19:AG19)/AF32</f>
        <v>0.14827735842148115</v>
      </c>
      <c r="AG77" s="138"/>
      <c r="AH77" s="193">
        <f t="array" ref="AH77">SUM(AH4:AI4*AH19:AI19)/AH32</f>
        <v>0.14431041065698685</v>
      </c>
      <c r="AI77" s="138"/>
      <c r="AJ77" s="193">
        <f t="array" ref="AJ77">SUM(AJ4:AK4*AJ19:AK19)/AJ32</f>
        <v>0.13864500174863387</v>
      </c>
      <c r="AK77" s="138"/>
      <c r="AL77" s="193">
        <f t="array" ref="AL77">SUM(AL4:AM4*AL19:AM19)/AL32</f>
        <v>0.13161708226881078</v>
      </c>
      <c r="AM77" s="138"/>
      <c r="AN77" s="193">
        <f t="array" ref="AN77">SUM(AN4:AO4*AN19:AO19)/AN32</f>
        <v>0.12277487821181499</v>
      </c>
      <c r="AO77" s="138"/>
      <c r="AP77" s="193">
        <f t="array" ref="AP77">SUM(AP4:AQ4*AP19:AQ19)/AP32</f>
        <v>0.12046596799310534</v>
      </c>
      <c r="AQ77" s="138"/>
      <c r="AR77" s="193">
        <f t="array" ref="AR77">SUM(AR4:AS4*AR19:AS19)/AR32</f>
        <v>0.11769853436819468</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0.34814284691248232</v>
      </c>
      <c r="E78" s="138"/>
      <c r="F78" s="193">
        <f t="array" ref="F78">SUM(F13:G13*F26:G26)/F32</f>
        <v>0.34940293306589409</v>
      </c>
      <c r="G78" s="138"/>
      <c r="H78" s="193">
        <f t="array" ref="H78">SUM(H13:I13*H26:I26)/H32</f>
        <v>0.35066950516286116</v>
      </c>
      <c r="I78" s="138"/>
      <c r="J78" s="193">
        <f t="array" ref="J78">SUM(J13:K13*J26:K26)/J32</f>
        <v>0.35194470571519992</v>
      </c>
      <c r="K78" s="138"/>
      <c r="L78" s="193">
        <f t="array" ref="L78">SUM(L13:M13*L26:M26)/L32</f>
        <v>0.35323141249828355</v>
      </c>
      <c r="M78" s="138"/>
      <c r="N78" s="193">
        <f t="array" ref="N78">SUM(N13:O13*N26:O26)/N32</f>
        <v>0.35453364561194811</v>
      </c>
      <c r="O78" s="138"/>
      <c r="P78" s="193">
        <f t="array" ref="P78">SUM(P13:Q13*P26:Q26)/P32</f>
        <v>0.35585719115622605</v>
      </c>
      <c r="Q78" s="138"/>
      <c r="R78" s="193">
        <f t="array" ref="R78">SUM(R13:S13*R26:S26)/R32</f>
        <v>0.35721065325813889</v>
      </c>
      <c r="S78" s="138"/>
      <c r="T78" s="193">
        <f t="array" ref="T78">SUM(T13:U13*T26:U26)/T32</f>
        <v>0.35860709858345158</v>
      </c>
      <c r="U78" s="138"/>
      <c r="V78" s="193">
        <f t="array" ref="V78">SUM(V13:W13*V26:W26)/V32</f>
        <v>0.36006710104546852</v>
      </c>
      <c r="W78" s="138"/>
      <c r="X78" s="193">
        <f t="array" ref="X78">SUM(X13:Y13*X26:Y26)/X32</f>
        <v>0.36162359831391028</v>
      </c>
      <c r="Y78" s="138"/>
      <c r="Z78" s="193">
        <f t="array" ref="Z78">SUM(Z13:AA13*Z26:AA26)/Z32</f>
        <v>0.36333053079467753</v>
      </c>
      <c r="AA78" s="138"/>
      <c r="AB78" s="193">
        <f t="array" ref="AB78">SUM(AB13:AC13*AB26:AC26)/AB32</f>
        <v>0.36527691307724069</v>
      </c>
      <c r="AC78" s="138"/>
      <c r="AD78" s="193">
        <f t="array" ref="AD78">SUM(AD13:AE13*AD26:AE26)/AD32</f>
        <v>0.36760722154085496</v>
      </c>
      <c r="AE78" s="138"/>
      <c r="AF78" s="193">
        <f t="array" ref="AF78">SUM(AF13:AG13*AF26:AG26)/AF32</f>
        <v>0.37053953526873351</v>
      </c>
      <c r="AG78" s="138"/>
      <c r="AH78" s="193">
        <f t="array" ref="AH78">SUM(AH13:AI13*AH26:AI26)/AH32</f>
        <v>0.37435633000139618</v>
      </c>
      <c r="AI78" s="138"/>
      <c r="AJ78" s="193">
        <f t="array" ref="AJ78">SUM(AJ13:AK13*AJ26:AK26)/AJ32</f>
        <v>0.37939518650891618</v>
      </c>
      <c r="AK78" s="138"/>
      <c r="AL78" s="193">
        <f t="array" ref="AL78">SUM(AL13:AM13*AL26:AM26)/AL32</f>
        <v>0.38635573797584238</v>
      </c>
      <c r="AM78" s="138"/>
      <c r="AN78" s="193">
        <f t="array" ref="AN78">SUM(AN13:AO13*AN26:AO26)/AN32</f>
        <v>0.39828441741290799</v>
      </c>
      <c r="AO78" s="138"/>
      <c r="AP78" s="193">
        <f t="array" ref="AP78">SUM(AP13:AQ13*AP26:AQ26)/AP32</f>
        <v>0.40233903604782778</v>
      </c>
      <c r="AQ78" s="138"/>
      <c r="AR78" s="193">
        <f t="array" ref="AR78">SUM(AR13:AS13*AR26:AS26)/AR32</f>
        <v>0.40782334342586835</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0.45460968782439326</v>
      </c>
      <c r="D79" s="193">
        <f t="array" ref="D79">SUM(D15:E15*D27:E27)/D32</f>
        <v>0.45020394524293433</v>
      </c>
      <c r="F79" s="193">
        <f t="array" ref="F79">SUM(F15:G15*F27:G27)/F32</f>
        <v>0.44578123623958987</v>
      </c>
      <c r="H79" s="193">
        <f t="array" ref="H79">SUM(H15:I15*H27:I27)/H32</f>
        <v>0.4413357297654979</v>
      </c>
      <c r="J79" s="193">
        <f t="array" ref="J79">SUM(J15:K15*J27:K27)/J32</f>
        <v>0.43685998451419755</v>
      </c>
      <c r="L79" s="193">
        <f t="array" ref="L79">SUM(L15:M15*L27:M27)/L32</f>
        <v>0.43234380807242101</v>
      </c>
      <c r="N79" s="193">
        <f t="array" ref="N79">SUM(N15:O15*N27:O27)/N32</f>
        <v>0.42777314645591313</v>
      </c>
      <c r="P79" s="193">
        <f t="array" ref="P79">SUM(P15:Q15*P27:Q27)/P32</f>
        <v>0.42312768294352221</v>
      </c>
      <c r="R79" s="193">
        <f t="array" ref="R79">SUM(R15:S15*R27:S27)/R32</f>
        <v>0.41837729674649926</v>
      </c>
      <c r="T79" s="193">
        <f t="array" ref="T79">SUM(T15:U15*T27:U27)/T32</f>
        <v>0.41347595874578946</v>
      </c>
      <c r="V79" s="193">
        <f t="array" ref="V79">SUM(V15:W15*V27:W27)/V32</f>
        <v>0.40835159488847</v>
      </c>
      <c r="X79" s="193">
        <f t="array" ref="X79">SUM(X15:Y15*X27:Y27)/X32</f>
        <v>0.40288850975554624</v>
      </c>
      <c r="Z79" s="193">
        <f t="array" ref="Z79">SUM(Z15:AA15*Z27:AA27)/Z32</f>
        <v>0.39689743065163352</v>
      </c>
      <c r="AB79" s="193">
        <f t="array" ref="AB79">SUM(AB15:AC15*AB27:AC27)/AB32</f>
        <v>0.39006591961239956</v>
      </c>
      <c r="AD79" s="193">
        <f t="array" ref="AD79">SUM(AD15:AE15*AD27:AE27)/AD32</f>
        <v>0.38188688608419857</v>
      </c>
      <c r="AF79" s="193">
        <f t="array" ref="AF79">SUM(AF15:AG15*AF27:AG27)/AF32</f>
        <v>0.37159490311397347</v>
      </c>
      <c r="AH79" s="193">
        <f t="array" ref="AH79">SUM(AH15:AI15*AH27:AI27)/AH32</f>
        <v>0.35819852357176024</v>
      </c>
      <c r="AJ79" s="193">
        <f t="array" ref="AJ79">SUM(AJ15:AK15*AJ27:AK27)/AJ32</f>
        <v>0.34051288970218413</v>
      </c>
      <c r="AL79" s="193">
        <f t="array" ref="AL79">SUM(AL15:AM15*AL27:AM27)/AL32</f>
        <v>0.31608239351215245</v>
      </c>
      <c r="AN79" s="193">
        <f t="array" ref="AN79">SUM(AN15:AO15*AN27:AO27)/AN32</f>
        <v>0.27421451011353953</v>
      </c>
      <c r="AP79" s="193">
        <f t="array" ref="AP79">SUM(AP15:AQ15*AP27:AQ27)/AP32</f>
        <v>0.25998340421712562</v>
      </c>
      <c r="AR79" s="193">
        <f t="array" ref="AR79">SUM(AR15:AS15*AR27:AS27)/AR32</f>
        <v>0.24073430435371637</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0.2016532308235133</v>
      </c>
      <c r="F80" s="236">
        <f>F55</f>
        <v>0.20481586309808586</v>
      </c>
      <c r="H80" s="236">
        <f>H55</f>
        <v>0.20799476166033321</v>
      </c>
      <c r="J80" s="236">
        <f>J55</f>
        <v>0.21119532528870213</v>
      </c>
      <c r="L80" s="236">
        <f>L55</f>
        <v>0.2144247726180494</v>
      </c>
      <c r="N80" s="236">
        <f>N55</f>
        <v>0.21769319464581491</v>
      </c>
      <c r="P80" s="236">
        <f>P55</f>
        <v>0.22101510578469868</v>
      </c>
      <c r="R80" s="236">
        <f>R55</f>
        <v>0.22441205527961375</v>
      </c>
      <c r="T80" s="236">
        <f>T55</f>
        <v>0.22791694386419867</v>
      </c>
      <c r="V80" s="236">
        <f>V55</f>
        <v>0.23158131345855129</v>
      </c>
      <c r="X80" s="236">
        <f>X55</f>
        <v>0.23548789770351256</v>
      </c>
      <c r="Z80" s="236">
        <f>Z55</f>
        <v>0.23977203772827044</v>
      </c>
      <c r="AB80" s="236">
        <f>AB55</f>
        <v>0.24465716561406076</v>
      </c>
      <c r="AD80" s="236">
        <f>AD55</f>
        <v>0.25050589217244484</v>
      </c>
      <c r="AF80" s="236">
        <f>AF55</f>
        <v>0.25786556193427868</v>
      </c>
      <c r="AH80" s="236">
        <f>AH55</f>
        <v>0.2674451465606007</v>
      </c>
      <c r="AJ80" s="236">
        <f>AJ55</f>
        <v>0.28009192386280257</v>
      </c>
      <c r="AL80" s="236">
        <f>AL55</f>
        <v>0.29756186850296829</v>
      </c>
      <c r="AN80" s="236">
        <f>AN55</f>
        <v>0.32750107247724047</v>
      </c>
      <c r="AP80" s="236">
        <f>AP55</f>
        <v>0.33767755973518992</v>
      </c>
      <c r="AR80" s="236">
        <f>AR55</f>
        <v>0.35144235223663578</v>
      </c>
      <c r="AT80" s="236" t="e">
        <f>AT55</f>
        <v>#DIV/0!</v>
      </c>
      <c r="AV80" s="236" t="e">
        <f>AV55</f>
        <v>#DIV/0!</v>
      </c>
      <c r="XFD80" s="236"/>
    </row>
    <row r="81" spans="1:48 16384:16384" x14ac:dyDescent="0.2">
      <c r="A81" t="s">
        <v>191</v>
      </c>
      <c r="B81" s="236">
        <f>B51/B$32</f>
        <v>-2.7543485504603994E-2</v>
      </c>
      <c r="D81" s="236">
        <f>D51/D$32</f>
        <v>-2.4392973740911525E-2</v>
      </c>
      <c r="F81" s="236">
        <f>F51/F$32</f>
        <v>-2.1230341466338964E-2</v>
      </c>
      <c r="H81" s="236">
        <f>H51/H$32</f>
        <v>-1.8051442904091646E-2</v>
      </c>
      <c r="J81" s="236">
        <f>J51/J$32</f>
        <v>-1.4850879275722701E-2</v>
      </c>
      <c r="L81" s="236">
        <f>L51/L$32</f>
        <v>-1.1621431946375415E-2</v>
      </c>
      <c r="N81" s="236">
        <f>N51/N$32</f>
        <v>-8.3530099186099344E-3</v>
      </c>
      <c r="P81" s="236">
        <f>P51/P$32</f>
        <v>-5.031098779726159E-3</v>
      </c>
      <c r="R81" s="236">
        <f>R51/R$32</f>
        <v>-1.6341492848111004E-3</v>
      </c>
      <c r="T81" s="236">
        <f>T51/T$32</f>
        <v>1.8707392997738476E-3</v>
      </c>
      <c r="V81" s="236">
        <f>V51/V$32</f>
        <v>5.5351088941264391E-3</v>
      </c>
      <c r="X81" s="236">
        <f>X51/X$32</f>
        <v>9.4416931390877128E-3</v>
      </c>
      <c r="Z81" s="236">
        <f>Z51/Z$32</f>
        <v>1.3725833163845605E-2</v>
      </c>
      <c r="AB81" s="236">
        <f>AB51/AB$32</f>
        <v>1.861096104963594E-2</v>
      </c>
      <c r="AD81" s="236">
        <f>AD51/AD$32</f>
        <v>2.4459687608020017E-2</v>
      </c>
      <c r="AF81" s="236">
        <f>AF51/AF$32</f>
        <v>3.1819357369853828E-2</v>
      </c>
      <c r="AH81" s="236">
        <f>AH51/AH$32</f>
        <v>4.1398941996175859E-2</v>
      </c>
      <c r="AJ81" s="236">
        <f>AJ51/AJ$32</f>
        <v>5.4045719298377724E-2</v>
      </c>
      <c r="AL81" s="236">
        <f>AL51/AL$32</f>
        <v>7.1515663938543444E-2</v>
      </c>
      <c r="AN81" s="236">
        <f>AN51/AN$32</f>
        <v>0.10145486791281562</v>
      </c>
      <c r="AP81" s="236">
        <f>AP51/AP$32</f>
        <v>0.11163135517076508</v>
      </c>
      <c r="AR81" s="236">
        <f>AR51/AR$32</f>
        <v>0.12539614767221094</v>
      </c>
      <c r="AT81" s="236" t="e">
        <f>AT51/AT$32</f>
        <v>#DIV/0!</v>
      </c>
      <c r="AV81" s="236" t="e">
        <f>AV51/AV$32</f>
        <v>#DIV/0!</v>
      </c>
      <c r="XFD81" s="236"/>
    </row>
    <row r="82" spans="1:48 16384:16384" x14ac:dyDescent="0.2">
      <c r="A82" t="s">
        <v>192</v>
      </c>
      <c r="B82" s="236">
        <f>B52/B$32</f>
        <v>0.13907860278212886</v>
      </c>
      <c r="D82" s="236">
        <f>D52/D$32</f>
        <v>0.13958187516098569</v>
      </c>
      <c r="F82" s="236">
        <f>F52/F$32</f>
        <v>0.14008708498998965</v>
      </c>
      <c r="H82" s="236">
        <f>H52/H$32</f>
        <v>0.14059489524629426</v>
      </c>
      <c r="J82" s="236">
        <f>J52/J$32</f>
        <v>0.14110616493309186</v>
      </c>
      <c r="L82" s="236">
        <f>L52/L$32</f>
        <v>0.14162204784482757</v>
      </c>
      <c r="N82" s="236">
        <f>N52/N$32</f>
        <v>0.14214415577125503</v>
      </c>
      <c r="P82" s="236">
        <f>P52/P$32</f>
        <v>0.14267480854947431</v>
      </c>
      <c r="R82" s="236">
        <f>R52/R$32</f>
        <v>0.14321745585594564</v>
      </c>
      <c r="T82" s="236">
        <f>T52/T$32</f>
        <v>0.14377733654513855</v>
      </c>
      <c r="V82" s="236">
        <f>V52/V$32</f>
        <v>0.14436269937305618</v>
      </c>
      <c r="X82" s="236">
        <f>X52/X$32</f>
        <v>0.14498675013078055</v>
      </c>
      <c r="Z82" s="236">
        <f>Z52/Z$32</f>
        <v>0.14567111529453924</v>
      </c>
      <c r="AB82" s="236">
        <f>AB52/AB$32</f>
        <v>0.14645148373005271</v>
      </c>
      <c r="AD82" s="236">
        <f>AD52/AD$32</f>
        <v>0.14738578075192013</v>
      </c>
      <c r="AF82" s="236">
        <f>AF52/AF$32</f>
        <v>0.14856144141054767</v>
      </c>
      <c r="AH82" s="236">
        <f>AH52/AH$32</f>
        <v>0.15009171948638461</v>
      </c>
      <c r="AJ82" s="236">
        <f>AJ52/AJ$32</f>
        <v>0.15211196217189235</v>
      </c>
      <c r="AL82" s="236">
        <f>AL52/AL$32</f>
        <v>0.15490267533611352</v>
      </c>
      <c r="AN82" s="236">
        <f>AN52/AN$32</f>
        <v>0.15968527379759642</v>
      </c>
      <c r="AP82" s="236">
        <f>AP52/AP$32</f>
        <v>0.161310903268786</v>
      </c>
      <c r="AR82" s="236">
        <f>AR52/AR$32</f>
        <v>0.16350974180467748</v>
      </c>
      <c r="AT82" s="236" t="e">
        <f>AT52/AT$32</f>
        <v>#DIV/0!</v>
      </c>
      <c r="AV82" s="236" t="e">
        <f>AV52/AV$32</f>
        <v>#DIV/0!</v>
      </c>
    </row>
    <row r="83" spans="1:48 16384:16384" x14ac:dyDescent="0.2">
      <c r="A83" t="s">
        <v>193</v>
      </c>
      <c r="B83" s="236">
        <f>B53/B$32</f>
        <v>0.18600714462929399</v>
      </c>
      <c r="D83" s="236">
        <f>D53/D$32</f>
        <v>0.18420450025215651</v>
      </c>
      <c r="F83" s="236">
        <f>F53/F$32</f>
        <v>0.18239491392949075</v>
      </c>
      <c r="H83" s="236">
        <f>H53/H$32</f>
        <v>0.18057599984159672</v>
      </c>
      <c r="J83" s="236">
        <f>J53/J$32</f>
        <v>0.17874471331915887</v>
      </c>
      <c r="L83" s="236">
        <f>L53/L$32</f>
        <v>0.17689688405578113</v>
      </c>
      <c r="N83" s="236">
        <f>N53/N$32</f>
        <v>0.17502676175279633</v>
      </c>
      <c r="P83" s="236">
        <f>P53/P$32</f>
        <v>0.17312603366326826</v>
      </c>
      <c r="R83" s="236">
        <f>R53/R$32</f>
        <v>0.17118237562856317</v>
      </c>
      <c r="T83" s="236">
        <f>T53/T$32</f>
        <v>0.1691769544710465</v>
      </c>
      <c r="V83" s="236">
        <f>V53/V$32</f>
        <v>0.16708028052266877</v>
      </c>
      <c r="X83" s="236">
        <f>X53/X$32</f>
        <v>0.16484501608889715</v>
      </c>
      <c r="Z83" s="236">
        <f>Z53/Z$32</f>
        <v>0.16239371875139408</v>
      </c>
      <c r="AB83" s="236">
        <f>AB53/AB$32</f>
        <v>0.15959855204917839</v>
      </c>
      <c r="AD83" s="236">
        <f>AD53/AD$32</f>
        <v>0.15625203587683584</v>
      </c>
      <c r="AF83" s="236">
        <f>AF53/AF$32</f>
        <v>0.15204098975059405</v>
      </c>
      <c r="AH83" s="236">
        <f>AH53/AH$32</f>
        <v>0.14655975524601855</v>
      </c>
      <c r="AJ83" s="236">
        <f>AJ53/AJ$32</f>
        <v>0.1393235384535825</v>
      </c>
      <c r="AL83" s="236">
        <f>AL53/AL$32</f>
        <v>0.12932760796663698</v>
      </c>
      <c r="AN83" s="236">
        <f>AN53/AN$32</f>
        <v>0.11219703276944397</v>
      </c>
      <c r="AP83" s="236">
        <f>AP53/AP$32</f>
        <v>0.10637426338373837</v>
      </c>
      <c r="AR83" s="236">
        <f>AR53/AR$32</f>
        <v>9.849834213047208E-2</v>
      </c>
      <c r="AT83" s="236" t="e">
        <f>AT53/AT$32</f>
        <v>#DIV/0!</v>
      </c>
      <c r="AV83" s="236" t="e">
        <f>AV53/AV$32</f>
        <v>#DIV/0!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10"/>
  <dimension ref="A1:XFD83"/>
  <sheetViews>
    <sheetView showGridLines="0" workbookViewId="0">
      <pane ySplit="1" topLeftCell="A2" activePane="bottomLeft" state="frozen"/>
      <selection pane="bottomLeft" activeCell="J21"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c r="AR1" s="94"/>
      <c r="AT1" s="94"/>
      <c r="AV1" s="94"/>
    </row>
    <row r="2" spans="1:49" x14ac:dyDescent="0.2">
      <c r="A2" s="229" t="s">
        <v>155</v>
      </c>
      <c r="B2" s="226">
        <v>5.7716594496607888E-3</v>
      </c>
      <c r="C2" s="227"/>
      <c r="D2" s="226">
        <v>4.3480678335240344E-2</v>
      </c>
      <c r="E2" s="227"/>
      <c r="F2" s="226">
        <v>8.4987437176305705E-2</v>
      </c>
      <c r="G2" s="227"/>
      <c r="H2" s="226">
        <v>0.1312062286167397</v>
      </c>
      <c r="I2" s="227"/>
      <c r="J2" s="226">
        <v>0.18340930115334367</v>
      </c>
      <c r="K2" s="227"/>
      <c r="L2" s="226">
        <v>0.24340901980098084</v>
      </c>
      <c r="M2" s="227"/>
      <c r="N2" s="226">
        <v>0.31386349277823172</v>
      </c>
      <c r="O2" s="227"/>
      <c r="P2" s="226">
        <v>0.39881063527405602</v>
      </c>
      <c r="Q2" s="227"/>
      <c r="R2" s="226">
        <v>0.50462603152917485</v>
      </c>
      <c r="S2" s="227"/>
      <c r="T2" s="226">
        <v>0.64177941538932759</v>
      </c>
      <c r="U2" s="227"/>
      <c r="V2" s="226">
        <v>0.82797831036232727</v>
      </c>
      <c r="W2" s="227"/>
      <c r="X2" s="226">
        <v>1.0931267114593068</v>
      </c>
      <c r="Y2" s="227"/>
      <c r="Z2" s="226">
        <v>1.4849324032817575</v>
      </c>
      <c r="AA2" s="227"/>
      <c r="AB2" s="226">
        <v>2.0734597271375517</v>
      </c>
      <c r="AC2" s="227"/>
      <c r="AD2" s="226">
        <v>2.9663312270957074</v>
      </c>
      <c r="AE2" s="227"/>
      <c r="AF2" s="226">
        <v>4.3688951160745741</v>
      </c>
      <c r="AG2" s="227"/>
      <c r="AH2" s="226">
        <v>6.756682621855842</v>
      </c>
      <c r="AI2" s="227"/>
      <c r="AJ2" s="226">
        <v>11.455659507022718</v>
      </c>
      <c r="AK2" s="227"/>
      <c r="AL2" s="226">
        <v>23.519621588610939</v>
      </c>
      <c r="AM2" s="227"/>
      <c r="AN2" s="226">
        <v>81.006702684072707</v>
      </c>
      <c r="AO2" s="227"/>
      <c r="AP2" s="226"/>
      <c r="AQ2" s="227"/>
      <c r="AR2" s="226"/>
      <c r="AS2" s="227"/>
      <c r="AT2" s="226"/>
      <c r="AU2" s="227"/>
      <c r="AV2" s="226"/>
      <c r="AW2" s="227"/>
    </row>
    <row r="3" spans="1:49" x14ac:dyDescent="0.2">
      <c r="A3" t="s">
        <v>12</v>
      </c>
      <c r="B3" s="84">
        <v>1000</v>
      </c>
      <c r="C3" s="85">
        <v>1000</v>
      </c>
      <c r="D3" s="84">
        <v>997.52649809918898</v>
      </c>
      <c r="E3" s="85">
        <v>1027.0323612349562</v>
      </c>
      <c r="F3" s="84">
        <v>995.18642666788867</v>
      </c>
      <c r="G3" s="85">
        <v>1055.8030514378675</v>
      </c>
      <c r="H3" s="84">
        <v>992.96799388162844</v>
      </c>
      <c r="I3" s="85">
        <v>1086.6720280312386</v>
      </c>
      <c r="J3" s="84">
        <v>990.87131763715752</v>
      </c>
      <c r="K3" s="85">
        <v>1120.1523954448623</v>
      </c>
      <c r="L3" s="84">
        <v>988.90952973881474</v>
      </c>
      <c r="M3" s="85">
        <v>1156.9799217350749</v>
      </c>
      <c r="N3" s="84">
        <v>987.11130304909807</v>
      </c>
      <c r="O3" s="85">
        <v>1198.2267582128964</v>
      </c>
      <c r="P3" s="84">
        <v>985.52596570147637</v>
      </c>
      <c r="Q3" s="85">
        <v>1245.4942671679278</v>
      </c>
      <c r="R3" s="84">
        <v>984.23211757439617</v>
      </c>
      <c r="S3" s="85">
        <v>1301.2434937653429</v>
      </c>
      <c r="T3" s="84">
        <v>983.34996463142636</v>
      </c>
      <c r="U3" s="85">
        <v>1369.3636888211327</v>
      </c>
      <c r="V3" s="84">
        <v>983.05189515762675</v>
      </c>
      <c r="W3" s="85">
        <v>1456.0875721724954</v>
      </c>
      <c r="X3" s="84">
        <v>983.54527753963077</v>
      </c>
      <c r="Y3" s="85">
        <v>1571.1504697616822</v>
      </c>
      <c r="Z3" s="84">
        <v>984.96854575387658</v>
      </c>
      <c r="AA3" s="85">
        <v>1728.3811542890128</v>
      </c>
      <c r="AB3" s="84">
        <v>987.20765132542476</v>
      </c>
      <c r="AC3" s="85">
        <v>1945.1510116978959</v>
      </c>
      <c r="AD3" s="84">
        <v>989.88111607417807</v>
      </c>
      <c r="AE3" s="85">
        <v>2245.1477441592192</v>
      </c>
      <c r="AF3" s="84">
        <v>992.59016999048799</v>
      </c>
      <c r="AG3" s="85">
        <v>2672.8587577011849</v>
      </c>
      <c r="AH3" s="84">
        <v>995.07489421595085</v>
      </c>
      <c r="AI3" s="85">
        <v>3329.6031153498561</v>
      </c>
      <c r="AJ3" s="84">
        <v>997.14603432663341</v>
      </c>
      <c r="AK3" s="85">
        <v>4482.4721548887192</v>
      </c>
      <c r="AL3" s="84">
        <v>998.47559807629841</v>
      </c>
      <c r="AM3" s="85">
        <v>7065.8719268164232</v>
      </c>
      <c r="AN3" s="84">
        <v>997.78240379312479</v>
      </c>
      <c r="AO3" s="85">
        <v>17274.058502598225</v>
      </c>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c r="AQ4" s="102"/>
      <c r="AR4" s="101"/>
      <c r="AS4" s="102"/>
      <c r="AT4" s="101"/>
      <c r="AU4" s="102"/>
      <c r="AV4" s="101"/>
      <c r="AW4" s="102"/>
    </row>
    <row r="5" spans="1:49" x14ac:dyDescent="0.2">
      <c r="A5" t="s">
        <v>128</v>
      </c>
      <c r="B5" s="41">
        <v>1000</v>
      </c>
      <c r="C5" s="42">
        <v>1000</v>
      </c>
      <c r="D5" s="41">
        <v>997.40238190008688</v>
      </c>
      <c r="E5" s="42">
        <v>1023.1113835914072</v>
      </c>
      <c r="F5" s="41">
        <v>994.94082029549315</v>
      </c>
      <c r="G5" s="42">
        <v>1046.3127012351101</v>
      </c>
      <c r="H5" s="41">
        <v>992.6035076885056</v>
      </c>
      <c r="I5" s="42">
        <v>1069.5664928392052</v>
      </c>
      <c r="J5" s="41">
        <v>990.39111742065086</v>
      </c>
      <c r="K5" s="42">
        <v>1092.8356371954487</v>
      </c>
      <c r="L5" s="41">
        <v>988.31806613154447</v>
      </c>
      <c r="M5" s="42">
        <v>1116.0740548266328</v>
      </c>
      <c r="N5" s="41">
        <v>986.41527995579406</v>
      </c>
      <c r="O5" s="42">
        <v>1139.2108325263582</v>
      </c>
      <c r="P5" s="41">
        <v>984.73569839479455</v>
      </c>
      <c r="Q5" s="42">
        <v>1162.1204844407534</v>
      </c>
      <c r="R5" s="41">
        <v>983.36348754981179</v>
      </c>
      <c r="S5" s="42">
        <v>1184.5725278367881</v>
      </c>
      <c r="T5" s="41">
        <v>982.42715516987869</v>
      </c>
      <c r="U5" s="42">
        <v>1206.1441713393554</v>
      </c>
      <c r="V5" s="41">
        <v>982.11064068539304</v>
      </c>
      <c r="W5" s="42">
        <v>1226.0896271322886</v>
      </c>
      <c r="X5" s="41">
        <v>982.63451638652043</v>
      </c>
      <c r="Y5" s="42">
        <v>1243.240077500061</v>
      </c>
      <c r="Z5" s="41">
        <v>984.14467808129314</v>
      </c>
      <c r="AA5" s="42">
        <v>1256.2357959147505</v>
      </c>
      <c r="AB5" s="41">
        <v>986.51729332988543</v>
      </c>
      <c r="AC5" s="42">
        <v>1264.4255005294306</v>
      </c>
      <c r="AD5" s="41">
        <v>989.34512023746254</v>
      </c>
      <c r="AE5" s="42">
        <v>1268.6022514373158</v>
      </c>
      <c r="AF5" s="41">
        <v>992.20507436653816</v>
      </c>
      <c r="AG5" s="42">
        <v>1270.3326419496809</v>
      </c>
      <c r="AH5" s="41">
        <v>994.82339764961773</v>
      </c>
      <c r="AI5" s="42">
        <v>1270.9046369533169</v>
      </c>
      <c r="AJ5" s="41">
        <v>997.00243635827098</v>
      </c>
      <c r="AK5" s="42">
        <v>1271.0418306495378</v>
      </c>
      <c r="AL5" s="41">
        <v>998.39962541804789</v>
      </c>
      <c r="AM5" s="42">
        <v>1271.0605855867443</v>
      </c>
      <c r="AN5" s="41">
        <v>997.67133248675384</v>
      </c>
      <c r="AO5" s="42">
        <v>1271.0613929868787</v>
      </c>
      <c r="AP5" s="41"/>
      <c r="AQ5" s="42"/>
      <c r="AR5" s="41"/>
      <c r="AS5" s="42"/>
      <c r="AT5" s="41"/>
      <c r="AU5" s="42"/>
      <c r="AV5" s="41"/>
      <c r="AW5" s="42"/>
    </row>
    <row r="6" spans="1:49" x14ac:dyDescent="0.2">
      <c r="A6" t="s">
        <v>77</v>
      </c>
      <c r="B6" s="41">
        <v>1000.0000000000003</v>
      </c>
      <c r="C6" s="42">
        <v>1000.0000000000002</v>
      </c>
      <c r="D6" s="41">
        <v>997.20424557430852</v>
      </c>
      <c r="E6" s="42">
        <v>1029.0615330617929</v>
      </c>
      <c r="F6" s="41">
        <v>994.55595033432166</v>
      </c>
      <c r="G6" s="42">
        <v>1059.7615057849355</v>
      </c>
      <c r="H6" s="41">
        <v>992.04225213297616</v>
      </c>
      <c r="I6" s="42">
        <v>1092.4802834262637</v>
      </c>
      <c r="J6" s="41">
        <v>989.66373081787663</v>
      </c>
      <c r="K6" s="42">
        <v>1127.753387352712</v>
      </c>
      <c r="L6" s="41">
        <v>987.4357417129678</v>
      </c>
      <c r="M6" s="42">
        <v>1166.3418650398503</v>
      </c>
      <c r="N6" s="41">
        <v>985.39136434356237</v>
      </c>
      <c r="O6" s="42">
        <v>1209.3475848465616</v>
      </c>
      <c r="P6" s="41">
        <v>983.58729473291169</v>
      </c>
      <c r="Q6" s="42">
        <v>1258.4087815680268</v>
      </c>
      <c r="R6" s="41">
        <v>982.11372133193208</v>
      </c>
      <c r="S6" s="42">
        <v>1316.0349272456824</v>
      </c>
      <c r="T6" s="41">
        <v>981.10840119488898</v>
      </c>
      <c r="U6" s="42">
        <v>1386.1822552467427</v>
      </c>
      <c r="V6" s="41">
        <v>980.76859885476483</v>
      </c>
      <c r="W6" s="42">
        <v>1475.1789202134744</v>
      </c>
      <c r="X6" s="41">
        <v>981.33102811970127</v>
      </c>
      <c r="Y6" s="42">
        <v>1592.8938682903713</v>
      </c>
      <c r="Z6" s="41">
        <v>982.95257902641708</v>
      </c>
      <c r="AA6" s="42">
        <v>1753.3289167810453</v>
      </c>
      <c r="AB6" s="41">
        <v>985.50095372871488</v>
      </c>
      <c r="AC6" s="42">
        <v>1974.0709300011845</v>
      </c>
      <c r="AD6" s="41">
        <v>988.53946862642863</v>
      </c>
      <c r="AE6" s="42">
        <v>2279.1456536119258</v>
      </c>
      <c r="AF6" s="41">
        <v>991.61384054621249</v>
      </c>
      <c r="AG6" s="42">
        <v>2713.7411389428125</v>
      </c>
      <c r="AH6" s="41">
        <v>994.42964491705197</v>
      </c>
      <c r="AI6" s="42">
        <v>3380.7738747635826</v>
      </c>
      <c r="AJ6" s="41">
        <v>996.77389238163244</v>
      </c>
      <c r="AK6" s="42">
        <v>4551.4873862628156</v>
      </c>
      <c r="AL6" s="41">
        <v>998.27742361677019</v>
      </c>
      <c r="AM6" s="42">
        <v>7174.7153202041118</v>
      </c>
      <c r="AN6" s="41">
        <v>997.49365911625387</v>
      </c>
      <c r="AO6" s="42">
        <v>17540.164305823018</v>
      </c>
      <c r="AP6" s="41"/>
      <c r="AQ6" s="42"/>
      <c r="AR6" s="41"/>
      <c r="AS6" s="42"/>
      <c r="AT6" s="41"/>
      <c r="AU6" s="42"/>
      <c r="AV6" s="41"/>
      <c r="AW6" s="42"/>
    </row>
    <row r="7" spans="1:49" x14ac:dyDescent="0.2">
      <c r="A7" t="s">
        <v>13</v>
      </c>
      <c r="B7" s="33">
        <v>1015.9116825427475</v>
      </c>
      <c r="C7" s="34">
        <v>1015.9116825427475</v>
      </c>
      <c r="D7" s="33">
        <v>1013.2727319682612</v>
      </c>
      <c r="E7" s="34">
        <v>1013.2727319682612</v>
      </c>
      <c r="F7" s="33">
        <v>1010.7720027768557</v>
      </c>
      <c r="G7" s="34">
        <v>1010.7720027768557</v>
      </c>
      <c r="H7" s="33">
        <v>1008.3974995936627</v>
      </c>
      <c r="I7" s="34">
        <v>1008.3974995936627</v>
      </c>
      <c r="J7" s="33">
        <v>1006.1499064742052</v>
      </c>
      <c r="K7" s="34">
        <v>1006.1499064742052</v>
      </c>
      <c r="L7" s="33">
        <v>1004.0438694510917</v>
      </c>
      <c r="M7" s="34">
        <v>1004.0438694510917</v>
      </c>
      <c r="N7" s="33">
        <v>1002.110806745766</v>
      </c>
      <c r="O7" s="34">
        <v>1002.110806745766</v>
      </c>
      <c r="P7" s="33">
        <v>1000.4045002161632</v>
      </c>
      <c r="Q7" s="34">
        <v>1000.4045002161632</v>
      </c>
      <c r="R7" s="33">
        <v>999.01045518783337</v>
      </c>
      <c r="S7" s="34">
        <v>999.01045518783337</v>
      </c>
      <c r="T7" s="33">
        <v>998.05922418431624</v>
      </c>
      <c r="U7" s="34">
        <v>998.05922418431624</v>
      </c>
      <c r="V7" s="33">
        <v>997.73767342183328</v>
      </c>
      <c r="W7" s="34">
        <v>997.73767342183328</v>
      </c>
      <c r="X7" s="33">
        <v>998.26988486680887</v>
      </c>
      <c r="Y7" s="34">
        <v>998.26988486680887</v>
      </c>
      <c r="Z7" s="33">
        <v>999.80407577505707</v>
      </c>
      <c r="AA7" s="34">
        <v>999.80407577505707</v>
      </c>
      <c r="AB7" s="33">
        <v>1002.214443324281</v>
      </c>
      <c r="AC7" s="34">
        <v>1002.214443324281</v>
      </c>
      <c r="AD7" s="33">
        <v>1005.0872657158974</v>
      </c>
      <c r="AE7" s="34">
        <v>1005.0872657158974</v>
      </c>
      <c r="AF7" s="33">
        <v>1007.9927265271616</v>
      </c>
      <c r="AG7" s="34">
        <v>1007.9927265271616</v>
      </c>
      <c r="AH7" s="33">
        <v>1010.6527117391158</v>
      </c>
      <c r="AI7" s="34">
        <v>1010.6527117391158</v>
      </c>
      <c r="AJ7" s="33">
        <v>1012.8664226199495</v>
      </c>
      <c r="AK7" s="34">
        <v>1012.8664226199495</v>
      </c>
      <c r="AL7" s="33">
        <v>1014.2858433084979</v>
      </c>
      <c r="AM7" s="34">
        <v>1014.2858433084979</v>
      </c>
      <c r="AN7" s="33">
        <v>1013.5459620112829</v>
      </c>
      <c r="AO7" s="34">
        <v>1013.5459620112829</v>
      </c>
      <c r="AP7" s="33"/>
      <c r="AQ7" s="34"/>
      <c r="AR7" s="33"/>
      <c r="AS7" s="34"/>
      <c r="AT7" s="33"/>
      <c r="AU7" s="34"/>
      <c r="AV7" s="33"/>
      <c r="AW7" s="34"/>
    </row>
    <row r="8" spans="1:49" x14ac:dyDescent="0.2">
      <c r="B8" s="35">
        <v>1005.7716594496609</v>
      </c>
      <c r="C8" s="36">
        <v>1005.7716594496609</v>
      </c>
      <c r="D8" s="35">
        <v>1067.596960562468</v>
      </c>
      <c r="E8" s="36">
        <v>1067.596960562468</v>
      </c>
      <c r="F8" s="35">
        <v>1135.2361361980998</v>
      </c>
      <c r="G8" s="36">
        <v>1135.2361361980998</v>
      </c>
      <c r="H8" s="35">
        <v>1209.9002786194706</v>
      </c>
      <c r="I8" s="36">
        <v>1209.9002786194706</v>
      </c>
      <c r="J8" s="35">
        <v>1293.2718576889351</v>
      </c>
      <c r="K8" s="36">
        <v>1293.2718576889351</v>
      </c>
      <c r="L8" s="35">
        <v>1387.7365465372898</v>
      </c>
      <c r="M8" s="36">
        <v>1387.7365465372898</v>
      </c>
      <c r="N8" s="35">
        <v>1496.7675234338783</v>
      </c>
      <c r="O8" s="36">
        <v>1496.7675234338783</v>
      </c>
      <c r="P8" s="35">
        <v>1625.5864931055642</v>
      </c>
      <c r="Q8" s="36">
        <v>1625.5864931055642</v>
      </c>
      <c r="R8" s="35">
        <v>1782.3386616175496</v>
      </c>
      <c r="S8" s="36">
        <v>1782.3386616175496</v>
      </c>
      <c r="T8" s="35">
        <v>1980.2226724967716</v>
      </c>
      <c r="U8" s="36">
        <v>1980.2226724967716</v>
      </c>
      <c r="V8" s="35">
        <v>2241.2652449580569</v>
      </c>
      <c r="W8" s="36">
        <v>2241.2652449580569</v>
      </c>
      <c r="X8" s="35">
        <v>2602.2590149721163</v>
      </c>
      <c r="Y8" s="36">
        <v>2602.2590149721163</v>
      </c>
      <c r="Z8" s="35">
        <v>3121.6610354310124</v>
      </c>
      <c r="AA8" s="36">
        <v>3121.6610354310124</v>
      </c>
      <c r="AB8" s="35">
        <v>3886.1608538429459</v>
      </c>
      <c r="AC8" s="36">
        <v>3886.1608538429459</v>
      </c>
      <c r="AD8" s="35">
        <v>5031.6967246397462</v>
      </c>
      <c r="AE8" s="36">
        <v>5031.6967246397462</v>
      </c>
      <c r="AF8" s="35">
        <v>6820.2827171537529</v>
      </c>
      <c r="AG8" s="36">
        <v>6820.2827171537529</v>
      </c>
      <c r="AH8" s="35">
        <v>9858.0039114918018</v>
      </c>
      <c r="AI8" s="36">
        <v>9858.0039114918018</v>
      </c>
      <c r="AJ8" s="35">
        <v>15831.664261753474</v>
      </c>
      <c r="AK8" s="36">
        <v>15831.664261753474</v>
      </c>
      <c r="AL8" s="35">
        <v>31165.924574785196</v>
      </c>
      <c r="AM8" s="36">
        <v>31165.924574785196</v>
      </c>
      <c r="AN8" s="35">
        <v>104235.55374787825</v>
      </c>
      <c r="AO8" s="36">
        <v>104235.55374787825</v>
      </c>
      <c r="AP8" s="35"/>
      <c r="AQ8" s="36"/>
      <c r="AR8" s="35"/>
      <c r="AS8" s="36"/>
      <c r="AT8" s="35"/>
      <c r="AU8" s="36"/>
      <c r="AV8" s="35"/>
      <c r="AW8" s="36"/>
    </row>
    <row r="9" spans="1:49" x14ac:dyDescent="0.2">
      <c r="A9" t="s">
        <v>14</v>
      </c>
      <c r="B9" s="41">
        <v>1015.9116825427475</v>
      </c>
      <c r="C9" s="42">
        <v>1005.7716594496609</v>
      </c>
      <c r="D9" s="41">
        <v>1013.2727319682612</v>
      </c>
      <c r="E9" s="42">
        <v>1067.596960562468</v>
      </c>
      <c r="F9" s="41">
        <v>1010.7720027768557</v>
      </c>
      <c r="G9" s="42">
        <v>1135.2361361980998</v>
      </c>
      <c r="H9" s="41">
        <v>1008.3974995936627</v>
      </c>
      <c r="I9" s="42">
        <v>1209.9002786194706</v>
      </c>
      <c r="J9" s="41">
        <v>1006.1499064742052</v>
      </c>
      <c r="K9" s="42">
        <v>1293.2718576889351</v>
      </c>
      <c r="L9" s="41">
        <v>1004.0438694510917</v>
      </c>
      <c r="M9" s="42">
        <v>1387.7365465372898</v>
      </c>
      <c r="N9" s="41">
        <v>1002.110806745766</v>
      </c>
      <c r="O9" s="42">
        <v>1496.7675234338783</v>
      </c>
      <c r="P9" s="41">
        <v>1000.4045002161632</v>
      </c>
      <c r="Q9" s="42">
        <v>1625.5864931055642</v>
      </c>
      <c r="R9" s="41">
        <v>999.01045518783337</v>
      </c>
      <c r="S9" s="42">
        <v>1782.3386616175496</v>
      </c>
      <c r="T9" s="41">
        <v>998.05922418431624</v>
      </c>
      <c r="U9" s="42">
        <v>1980.2226724967716</v>
      </c>
      <c r="V9" s="41">
        <v>997.73767342183328</v>
      </c>
      <c r="W9" s="42">
        <v>2241.2652449580569</v>
      </c>
      <c r="X9" s="41">
        <v>998.26988486680887</v>
      </c>
      <c r="Y9" s="42">
        <v>2602.2590149721163</v>
      </c>
      <c r="Z9" s="41">
        <v>999.80407577505707</v>
      </c>
      <c r="AA9" s="42">
        <v>3121.6610354310124</v>
      </c>
      <c r="AB9" s="41">
        <v>1002.214443324281</v>
      </c>
      <c r="AC9" s="42">
        <v>3886.1608538429459</v>
      </c>
      <c r="AD9" s="41">
        <v>1005.0872657158974</v>
      </c>
      <c r="AE9" s="42">
        <v>5031.6967246397462</v>
      </c>
      <c r="AF9" s="41">
        <v>1007.9927265271616</v>
      </c>
      <c r="AG9" s="42">
        <v>6820.2827171537529</v>
      </c>
      <c r="AH9" s="41">
        <v>1010.6527117391158</v>
      </c>
      <c r="AI9" s="42">
        <v>9858.0039114918018</v>
      </c>
      <c r="AJ9" s="41">
        <v>1012.8664226199495</v>
      </c>
      <c r="AK9" s="42">
        <v>15831.664261753474</v>
      </c>
      <c r="AL9" s="41">
        <v>1014.2858433084979</v>
      </c>
      <c r="AM9" s="42">
        <v>31165.924574785196</v>
      </c>
      <c r="AN9" s="41">
        <v>1013.5459620112829</v>
      </c>
      <c r="AO9" s="42">
        <v>104235.55374787825</v>
      </c>
      <c r="AP9" s="41"/>
      <c r="AQ9" s="42"/>
      <c r="AR9" s="41"/>
      <c r="AS9" s="42"/>
      <c r="AT9" s="41"/>
      <c r="AU9" s="42"/>
      <c r="AV9" s="41"/>
      <c r="AW9" s="42"/>
    </row>
    <row r="10" spans="1:49" x14ac:dyDescent="0.2">
      <c r="A10" t="s">
        <v>15</v>
      </c>
      <c r="B10" s="41">
        <v>1015.9116825427475</v>
      </c>
      <c r="C10" s="42">
        <v>1005.7716594496609</v>
      </c>
      <c r="D10" s="41">
        <v>1013.2727319682612</v>
      </c>
      <c r="E10" s="42">
        <v>1067.596960562468</v>
      </c>
      <c r="F10" s="41">
        <v>1010.7720027768557</v>
      </c>
      <c r="G10" s="42">
        <v>1135.2361361980998</v>
      </c>
      <c r="H10" s="41">
        <v>1008.3974995936627</v>
      </c>
      <c r="I10" s="42">
        <v>1209.9002786194706</v>
      </c>
      <c r="J10" s="41">
        <v>1006.1499064742052</v>
      </c>
      <c r="K10" s="42">
        <v>1293.2718576889351</v>
      </c>
      <c r="L10" s="41">
        <v>1004.0438694510917</v>
      </c>
      <c r="M10" s="42">
        <v>1387.7365465372898</v>
      </c>
      <c r="N10" s="41">
        <v>1002.110806745766</v>
      </c>
      <c r="O10" s="42">
        <v>1496.7675234338783</v>
      </c>
      <c r="P10" s="41">
        <v>1000.4045002161632</v>
      </c>
      <c r="Q10" s="42">
        <v>1625.5864931055642</v>
      </c>
      <c r="R10" s="41">
        <v>999.01045518783337</v>
      </c>
      <c r="S10" s="42">
        <v>1782.3386616175496</v>
      </c>
      <c r="T10" s="41">
        <v>998.05922418431624</v>
      </c>
      <c r="U10" s="42">
        <v>1980.2226724967716</v>
      </c>
      <c r="V10" s="41">
        <v>997.73767342183328</v>
      </c>
      <c r="W10" s="42">
        <v>2241.2652449580569</v>
      </c>
      <c r="X10" s="41">
        <v>998.26988486680887</v>
      </c>
      <c r="Y10" s="42">
        <v>2602.2590149721163</v>
      </c>
      <c r="Z10" s="41">
        <v>999.80407577505707</v>
      </c>
      <c r="AA10" s="42">
        <v>3121.6610354310124</v>
      </c>
      <c r="AB10" s="41">
        <v>1002.214443324281</v>
      </c>
      <c r="AC10" s="42">
        <v>3886.1608538429459</v>
      </c>
      <c r="AD10" s="41">
        <v>1005.0872657158974</v>
      </c>
      <c r="AE10" s="42">
        <v>5031.6967246397462</v>
      </c>
      <c r="AF10" s="41">
        <v>1007.9927265271616</v>
      </c>
      <c r="AG10" s="42">
        <v>6820.2827171537529</v>
      </c>
      <c r="AH10" s="41">
        <v>1010.6527117391158</v>
      </c>
      <c r="AI10" s="42">
        <v>9858.0039114918018</v>
      </c>
      <c r="AJ10" s="41">
        <v>1012.8664226199495</v>
      </c>
      <c r="AK10" s="42">
        <v>15831.664261753474</v>
      </c>
      <c r="AL10" s="41">
        <v>1014.2858433084979</v>
      </c>
      <c r="AM10" s="42">
        <v>31165.924574785196</v>
      </c>
      <c r="AN10" s="41">
        <v>1013.5459620112829</v>
      </c>
      <c r="AO10" s="42">
        <v>104235.55374787825</v>
      </c>
      <c r="AP10" s="41"/>
      <c r="AQ10" s="42"/>
      <c r="AR10" s="41"/>
      <c r="AS10" s="42"/>
      <c r="AT10" s="41"/>
      <c r="AU10" s="42"/>
      <c r="AV10" s="41"/>
      <c r="AW10" s="42"/>
    </row>
    <row r="11" spans="1:49" x14ac:dyDescent="0.2">
      <c r="A11" t="s">
        <v>29</v>
      </c>
      <c r="B11" s="41">
        <v>1015.9116825427475</v>
      </c>
      <c r="C11" s="42">
        <v>1005.7716594496609</v>
      </c>
      <c r="D11" s="41">
        <v>1013.2727319682612</v>
      </c>
      <c r="E11" s="42">
        <v>1067.596960562468</v>
      </c>
      <c r="F11" s="41">
        <v>1010.7720027768557</v>
      </c>
      <c r="G11" s="42">
        <v>1135.2361361980998</v>
      </c>
      <c r="H11" s="41">
        <v>1008.3974995936627</v>
      </c>
      <c r="I11" s="42">
        <v>1209.9002786194706</v>
      </c>
      <c r="J11" s="41">
        <v>1006.1499064742052</v>
      </c>
      <c r="K11" s="42">
        <v>1293.2718576889351</v>
      </c>
      <c r="L11" s="41">
        <v>1004.0438694510917</v>
      </c>
      <c r="M11" s="42">
        <v>1387.7365465372898</v>
      </c>
      <c r="N11" s="41">
        <v>1002.110806745766</v>
      </c>
      <c r="O11" s="42">
        <v>1496.7675234338783</v>
      </c>
      <c r="P11" s="41">
        <v>1000.4045002161632</v>
      </c>
      <c r="Q11" s="42">
        <v>1625.5864931055642</v>
      </c>
      <c r="R11" s="41">
        <v>999.01045518783337</v>
      </c>
      <c r="S11" s="42">
        <v>1782.3386616175496</v>
      </c>
      <c r="T11" s="41">
        <v>998.05922418431624</v>
      </c>
      <c r="U11" s="42">
        <v>1980.2226724967716</v>
      </c>
      <c r="V11" s="41">
        <v>997.73767342183328</v>
      </c>
      <c r="W11" s="42">
        <v>2241.2652449580569</v>
      </c>
      <c r="X11" s="41">
        <v>998.26988486680887</v>
      </c>
      <c r="Y11" s="42">
        <v>2602.2590149721163</v>
      </c>
      <c r="Z11" s="41">
        <v>999.80407577505707</v>
      </c>
      <c r="AA11" s="42">
        <v>3121.6610354310124</v>
      </c>
      <c r="AB11" s="41">
        <v>1002.214443324281</v>
      </c>
      <c r="AC11" s="42">
        <v>3886.1608538429459</v>
      </c>
      <c r="AD11" s="41">
        <v>1005.0872657158974</v>
      </c>
      <c r="AE11" s="42">
        <v>5031.6967246397462</v>
      </c>
      <c r="AF11" s="41">
        <v>1007.9927265271616</v>
      </c>
      <c r="AG11" s="42">
        <v>6820.2827171537529</v>
      </c>
      <c r="AH11" s="41">
        <v>1010.6527117391158</v>
      </c>
      <c r="AI11" s="42">
        <v>9858.0039114918018</v>
      </c>
      <c r="AJ11" s="41">
        <v>1012.8664226199495</v>
      </c>
      <c r="AK11" s="42">
        <v>15831.664261753474</v>
      </c>
      <c r="AL11" s="41">
        <v>1014.2858433084979</v>
      </c>
      <c r="AM11" s="42">
        <v>31165.924574785196</v>
      </c>
      <c r="AN11" s="41">
        <v>1013.5459620112829</v>
      </c>
      <c r="AO11" s="42">
        <v>104235.55374787825</v>
      </c>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c r="AQ12" s="42"/>
      <c r="AR12" s="41"/>
      <c r="AS12" s="42"/>
      <c r="AT12" s="41"/>
      <c r="AU12" s="42"/>
      <c r="AV12" s="41"/>
      <c r="AW12" s="42"/>
    </row>
    <row r="13" spans="1:49" x14ac:dyDescent="0.2">
      <c r="A13" t="s">
        <v>17</v>
      </c>
      <c r="B13" s="97">
        <v>1000</v>
      </c>
      <c r="C13" s="98">
        <v>1000</v>
      </c>
      <c r="D13" s="97">
        <v>950.25319631140951</v>
      </c>
      <c r="E13" s="98">
        <v>950.25319631140951</v>
      </c>
      <c r="F13" s="97">
        <v>902.91250106879329</v>
      </c>
      <c r="G13" s="98">
        <v>902.91250106879329</v>
      </c>
      <c r="H13" s="97">
        <v>857.57793403562232</v>
      </c>
      <c r="I13" s="98">
        <v>857.57793403562232</v>
      </c>
      <c r="J13" s="97">
        <v>813.82752678872203</v>
      </c>
      <c r="K13" s="98">
        <v>813.82752678872203</v>
      </c>
      <c r="L13" s="97">
        <v>771.19078570879299</v>
      </c>
      <c r="M13" s="98">
        <v>771.19078570879299</v>
      </c>
      <c r="N13" s="97">
        <v>729.10753520326307</v>
      </c>
      <c r="O13" s="98">
        <v>729.10753520326307</v>
      </c>
      <c r="P13" s="97">
        <v>686.87115821710734</v>
      </c>
      <c r="Q13" s="98">
        <v>686.87115821710734</v>
      </c>
      <c r="R13" s="97">
        <v>643.55261697312176</v>
      </c>
      <c r="S13" s="98">
        <v>643.55261697312176</v>
      </c>
      <c r="T13" s="97">
        <v>597.91311116136023</v>
      </c>
      <c r="U13" s="98">
        <v>597.91311116136023</v>
      </c>
      <c r="V13" s="97">
        <v>548.38094124801796</v>
      </c>
      <c r="W13" s="98">
        <v>548.38094124801796</v>
      </c>
      <c r="X13" s="97">
        <v>493.35732144852904</v>
      </c>
      <c r="Y13" s="98">
        <v>493.35732144852904</v>
      </c>
      <c r="Z13" s="97">
        <v>432.27635227227614</v>
      </c>
      <c r="AA13" s="98">
        <v>432.27635227227614</v>
      </c>
      <c r="AB13" s="97">
        <v>366.90545774821533</v>
      </c>
      <c r="AC13" s="98">
        <v>366.90545774821533</v>
      </c>
      <c r="AD13" s="97">
        <v>300.50798853438414</v>
      </c>
      <c r="AE13" s="98">
        <v>300.50798853438414</v>
      </c>
      <c r="AF13" s="97">
        <v>235.12478874756818</v>
      </c>
      <c r="AG13" s="98">
        <v>235.12478874756818</v>
      </c>
      <c r="AH13" s="97">
        <v>170.58845329744415</v>
      </c>
      <c r="AI13" s="98">
        <v>170.58845329744415</v>
      </c>
      <c r="AJ13" s="97">
        <v>105.553804316552</v>
      </c>
      <c r="AK13" s="98">
        <v>105.553804316552</v>
      </c>
      <c r="AL13" s="97">
        <v>40.642647112141759</v>
      </c>
      <c r="AM13" s="98">
        <v>40.642647112141759</v>
      </c>
      <c r="AN13" s="97">
        <v>4.4284799745441398E-3</v>
      </c>
      <c r="AO13" s="98">
        <v>4.4284799745441398E-3</v>
      </c>
      <c r="AP13" s="97"/>
      <c r="AQ13" s="98"/>
      <c r="AR13" s="97"/>
      <c r="AS13" s="98"/>
      <c r="AT13" s="97"/>
      <c r="AU13" s="98"/>
      <c r="AV13" s="97"/>
      <c r="AW13" s="98"/>
    </row>
    <row r="14" spans="1:49" x14ac:dyDescent="0.2">
      <c r="A14" t="s">
        <v>36</v>
      </c>
      <c r="B14" s="41">
        <v>1457.0034251455234</v>
      </c>
      <c r="C14" s="42">
        <v>1457.0034251455236</v>
      </c>
      <c r="D14" s="41">
        <v>1384.5221617812049</v>
      </c>
      <c r="E14" s="42">
        <v>1384.5221617812051</v>
      </c>
      <c r="F14" s="41">
        <v>1315.5466066639428</v>
      </c>
      <c r="G14" s="42">
        <v>1315.5466066639431</v>
      </c>
      <c r="H14" s="41">
        <v>1249.4939872191233</v>
      </c>
      <c r="I14" s="42">
        <v>1249.4939872191235</v>
      </c>
      <c r="J14" s="41">
        <v>1185.7494940088782</v>
      </c>
      <c r="K14" s="42">
        <v>1185.7494940088782</v>
      </c>
      <c r="L14" s="41">
        <v>1123.6276162183785</v>
      </c>
      <c r="M14" s="42">
        <v>1123.6276162183788</v>
      </c>
      <c r="N14" s="41">
        <v>1062.3121760905644</v>
      </c>
      <c r="O14" s="42">
        <v>1062.3121760905647</v>
      </c>
      <c r="P14" s="41">
        <v>1000.773630155998</v>
      </c>
      <c r="Q14" s="42">
        <v>1000.7736301559981</v>
      </c>
      <c r="R14" s="41">
        <v>937.65836719120341</v>
      </c>
      <c r="S14" s="42">
        <v>937.65836719120352</v>
      </c>
      <c r="T14" s="41">
        <v>871.16145090151781</v>
      </c>
      <c r="U14" s="42">
        <v>871.16145090151804</v>
      </c>
      <c r="V14" s="41">
        <v>798.99290968288813</v>
      </c>
      <c r="W14" s="42">
        <v>798.99290968288824</v>
      </c>
      <c r="X14" s="41">
        <v>718.82330717112779</v>
      </c>
      <c r="Y14" s="42">
        <v>718.82330717112779</v>
      </c>
      <c r="Z14" s="41">
        <v>629.82812587011915</v>
      </c>
      <c r="AA14" s="42">
        <v>629.82812587011927</v>
      </c>
      <c r="AB14" s="41">
        <v>534.58250864373576</v>
      </c>
      <c r="AC14" s="42">
        <v>534.58250864373588</v>
      </c>
      <c r="AD14" s="41">
        <v>437.84116857818935</v>
      </c>
      <c r="AE14" s="42">
        <v>437.84116857818941</v>
      </c>
      <c r="AF14" s="41">
        <v>342.57762254182444</v>
      </c>
      <c r="AG14" s="42">
        <v>342.5776225418245</v>
      </c>
      <c r="AH14" s="41">
        <v>248.54796074465327</v>
      </c>
      <c r="AI14" s="42">
        <v>248.5479607446533</v>
      </c>
      <c r="AJ14" s="41">
        <v>153.79225442635658</v>
      </c>
      <c r="AK14" s="42">
        <v>153.79225442635661</v>
      </c>
      <c r="AL14" s="41">
        <v>59.216476049371352</v>
      </c>
      <c r="AM14" s="42">
        <v>59.216476049371366</v>
      </c>
      <c r="AN14" s="41">
        <v>6.452310491099171E-3</v>
      </c>
      <c r="AO14" s="42">
        <v>6.4523104910991728E-3</v>
      </c>
      <c r="AP14" s="41"/>
      <c r="AQ14" s="42"/>
      <c r="AR14" s="41"/>
      <c r="AS14" s="42"/>
      <c r="AT14" s="41"/>
      <c r="AU14" s="42"/>
      <c r="AV14" s="41"/>
      <c r="AW14" s="42"/>
    </row>
    <row r="15" spans="1:49" x14ac:dyDescent="0.2">
      <c r="A15" t="s">
        <v>18</v>
      </c>
      <c r="B15" s="154">
        <v>1000</v>
      </c>
      <c r="C15" s="155">
        <v>1000</v>
      </c>
      <c r="D15" s="154">
        <v>1047.5127852491453</v>
      </c>
      <c r="E15" s="155">
        <v>1047.5127852491453</v>
      </c>
      <c r="F15" s="154">
        <v>1095.3609677400202</v>
      </c>
      <c r="G15" s="155">
        <v>1095.3609677400202</v>
      </c>
      <c r="H15" s="154">
        <v>1143.811065793851</v>
      </c>
      <c r="I15" s="155">
        <v>1143.811065793851</v>
      </c>
      <c r="J15" s="154">
        <v>1193.2617016147906</v>
      </c>
      <c r="K15" s="155">
        <v>1193.2617016147906</v>
      </c>
      <c r="L15" s="154">
        <v>1244.3065718488483</v>
      </c>
      <c r="M15" s="155">
        <v>1244.3065718488483</v>
      </c>
      <c r="N15" s="154">
        <v>1297.837061989723</v>
      </c>
      <c r="O15" s="155">
        <v>1297.837061989723</v>
      </c>
      <c r="P15" s="154">
        <v>1355.2139690943552</v>
      </c>
      <c r="Q15" s="155">
        <v>1355.2139690943552</v>
      </c>
      <c r="R15" s="154">
        <v>1418.543311462772</v>
      </c>
      <c r="S15" s="155">
        <v>1418.543311462772</v>
      </c>
      <c r="T15" s="154">
        <v>1491.1086510619971</v>
      </c>
      <c r="U15" s="155">
        <v>1491.1086510619971</v>
      </c>
      <c r="V15" s="154">
        <v>1577.9202938914018</v>
      </c>
      <c r="W15" s="155">
        <v>1577.9202938914018</v>
      </c>
      <c r="X15" s="154">
        <v>1685.9029695507177</v>
      </c>
      <c r="Y15" s="155">
        <v>1685.9029695507177</v>
      </c>
      <c r="Z15" s="154">
        <v>1822.3331065669904</v>
      </c>
      <c r="AA15" s="155">
        <v>1822.3331065669904</v>
      </c>
      <c r="AB15" s="154">
        <v>1991.0866301215999</v>
      </c>
      <c r="AC15" s="155">
        <v>1991.0866301215999</v>
      </c>
      <c r="AD15" s="154">
        <v>2192.2379083932583</v>
      </c>
      <c r="AE15" s="155">
        <v>2192.2379083932583</v>
      </c>
      <c r="AF15" s="154">
        <v>2429.6035408790644</v>
      </c>
      <c r="AG15" s="155">
        <v>2429.6035408790644</v>
      </c>
      <c r="AH15" s="154">
        <v>2721.3577162991869</v>
      </c>
      <c r="AI15" s="155">
        <v>2721.3577162991869</v>
      </c>
      <c r="AJ15" s="154">
        <v>3118.4371658351506</v>
      </c>
      <c r="AK15" s="155">
        <v>3118.4371658351506</v>
      </c>
      <c r="AL15" s="154">
        <v>3775.7518427763589</v>
      </c>
      <c r="AM15" s="155">
        <v>3775.7518427763589</v>
      </c>
      <c r="AN15" s="154">
        <v>5443.1997785383764</v>
      </c>
      <c r="AO15" s="155">
        <v>5443.1997785383764</v>
      </c>
      <c r="AP15" s="154"/>
      <c r="AQ15" s="155"/>
      <c r="AR15" s="154"/>
      <c r="AS15" s="155"/>
      <c r="AT15" s="154"/>
      <c r="AU15" s="155"/>
      <c r="AV15" s="154"/>
      <c r="AW15" s="155"/>
    </row>
    <row r="16" spans="1:49" s="29" customFormat="1" x14ac:dyDescent="0.2">
      <c r="A16" t="s">
        <v>61</v>
      </c>
      <c r="B16" s="41">
        <v>1000</v>
      </c>
      <c r="C16" s="42">
        <v>1000</v>
      </c>
      <c r="D16" s="41">
        <v>994.95070255495864</v>
      </c>
      <c r="E16" s="42">
        <v>1019.4633027548325</v>
      </c>
      <c r="F16" s="41">
        <v>989.98234008372401</v>
      </c>
      <c r="G16" s="42">
        <v>1039.3009683120672</v>
      </c>
      <c r="H16" s="41">
        <v>985.06173119950506</v>
      </c>
      <c r="I16" s="42">
        <v>1059.6165292431376</v>
      </c>
      <c r="J16" s="41">
        <v>980.16026423995902</v>
      </c>
      <c r="K16" s="42">
        <v>1080.5833733621578</v>
      </c>
      <c r="L16" s="41">
        <v>975.25214048770056</v>
      </c>
      <c r="M16" s="42">
        <v>1102.4756299564308</v>
      </c>
      <c r="N16" s="41">
        <v>970.31241643518933</v>
      </c>
      <c r="O16" s="42">
        <v>1125.7192621338206</v>
      </c>
      <c r="P16" s="41">
        <v>965.31509966504461</v>
      </c>
      <c r="Q16" s="42">
        <v>1150.9790352825653</v>
      </c>
      <c r="R16" s="41">
        <v>960.2308218288556</v>
      </c>
      <c r="S16" s="42">
        <v>1179.3000473136497</v>
      </c>
      <c r="T16" s="41">
        <v>955.0232245571741</v>
      </c>
      <c r="U16" s="42">
        <v>1212.3331147345768</v>
      </c>
      <c r="V16" s="41">
        <v>949.64171997808546</v>
      </c>
      <c r="W16" s="42">
        <v>1252.6304900786611</v>
      </c>
      <c r="X16" s="41">
        <v>944.00465094870822</v>
      </c>
      <c r="Y16" s="42">
        <v>1303.7802326107567</v>
      </c>
      <c r="Z16" s="41">
        <v>937.96279646372375</v>
      </c>
      <c r="AA16" s="42">
        <v>1369.6711542422679</v>
      </c>
      <c r="AB16" s="41">
        <v>931.24777953853356</v>
      </c>
      <c r="AC16" s="42">
        <v>1452.600671565516</v>
      </c>
      <c r="AD16" s="41">
        <v>923.44453690979822</v>
      </c>
      <c r="AE16" s="42">
        <v>1552.9932921698119</v>
      </c>
      <c r="AF16" s="41">
        <v>913.97435342464883</v>
      </c>
      <c r="AG16" s="42">
        <v>1673.270787810847</v>
      </c>
      <c r="AH16" s="41">
        <v>901.96508562667179</v>
      </c>
      <c r="AI16" s="42">
        <v>1823.6935510488815</v>
      </c>
      <c r="AJ16" s="41">
        <v>885.83720031536552</v>
      </c>
      <c r="AK16" s="42">
        <v>2033.1752430006993</v>
      </c>
      <c r="AL16" s="41">
        <v>862.02368660545937</v>
      </c>
      <c r="AM16" s="42">
        <v>2392.2200900787598</v>
      </c>
      <c r="AN16" s="41">
        <v>819.06052745457225</v>
      </c>
      <c r="AO16" s="42">
        <v>3367.9361089124495</v>
      </c>
      <c r="AP16" s="41"/>
      <c r="AQ16" s="42"/>
      <c r="AR16" s="41"/>
      <c r="AS16" s="42"/>
      <c r="AT16" s="41"/>
      <c r="AU16" s="42"/>
      <c r="AV16" s="41"/>
      <c r="AW16" s="42"/>
    </row>
    <row r="17" spans="1:49" x14ac:dyDescent="0.2">
      <c r="A17" t="s">
        <v>62</v>
      </c>
      <c r="B17" s="35">
        <v>999.99999999998658</v>
      </c>
      <c r="C17" s="36">
        <v>1000.0000000000002</v>
      </c>
      <c r="D17" s="35">
        <v>997.64192052096917</v>
      </c>
      <c r="E17" s="36">
        <v>1041.7114403351054</v>
      </c>
      <c r="F17" s="35">
        <v>995.41483173480594</v>
      </c>
      <c r="G17" s="36">
        <v>1086.4259007217117</v>
      </c>
      <c r="H17" s="35">
        <v>993.3069616603027</v>
      </c>
      <c r="I17" s="36">
        <v>1134.7622362044688</v>
      </c>
      <c r="J17" s="35">
        <v>991.31790434077232</v>
      </c>
      <c r="K17" s="36">
        <v>1187.5934852018331</v>
      </c>
      <c r="L17" s="35">
        <v>989.45960038791111</v>
      </c>
      <c r="M17" s="36">
        <v>1246.1682846821459</v>
      </c>
      <c r="N17" s="35">
        <v>987.7586254607827</v>
      </c>
      <c r="O17" s="36">
        <v>1312.3111133709515</v>
      </c>
      <c r="P17" s="35">
        <v>986.2609482495742</v>
      </c>
      <c r="Q17" s="36">
        <v>1388.7641637475288</v>
      </c>
      <c r="R17" s="35">
        <v>985.03998841810437</v>
      </c>
      <c r="S17" s="36">
        <v>1479.7833160948051</v>
      </c>
      <c r="T17" s="35">
        <v>984.20823180406796</v>
      </c>
      <c r="U17" s="36">
        <v>1592.1888001430318</v>
      </c>
      <c r="V17" s="35">
        <v>983.9273192104431</v>
      </c>
      <c r="W17" s="36">
        <v>1737.1329772784097</v>
      </c>
      <c r="X17" s="35">
        <v>984.39233732358571</v>
      </c>
      <c r="Y17" s="36">
        <v>1932.5822542624926</v>
      </c>
      <c r="Z17" s="35">
        <v>985.73478044857984</v>
      </c>
      <c r="AA17" s="36">
        <v>2205.3601345233214</v>
      </c>
      <c r="AB17" s="35">
        <v>987.8497041571859</v>
      </c>
      <c r="AC17" s="36">
        <v>2591.7609900400521</v>
      </c>
      <c r="AD17" s="35">
        <v>990.37959699851683</v>
      </c>
      <c r="AE17" s="36">
        <v>3144.5217082726344</v>
      </c>
      <c r="AF17" s="35">
        <v>992.9483049371878</v>
      </c>
      <c r="AG17" s="36">
        <v>3963.786274549173</v>
      </c>
      <c r="AH17" s="35">
        <v>995.30877914627808</v>
      </c>
      <c r="AI17" s="36">
        <v>5279.8891519598574</v>
      </c>
      <c r="AJ17" s="35">
        <v>997.27957454925047</v>
      </c>
      <c r="AK17" s="36">
        <v>7719.3269258721702</v>
      </c>
      <c r="AL17" s="35">
        <v>998.54624888472949</v>
      </c>
      <c r="AM17" s="36">
        <v>13585.428085109554</v>
      </c>
      <c r="AN17" s="35">
        <v>997.8856950969074</v>
      </c>
      <c r="AO17" s="36">
        <v>39387.269014283003</v>
      </c>
      <c r="AP17" s="35"/>
      <c r="AQ17" s="36"/>
      <c r="AR17" s="35"/>
      <c r="AS17" s="36"/>
      <c r="AT17" s="35"/>
      <c r="AU17" s="36"/>
      <c r="AV17" s="35"/>
      <c r="AW17" s="36"/>
    </row>
    <row r="18" spans="1:49" x14ac:dyDescent="0.2">
      <c r="A18" t="s">
        <v>19</v>
      </c>
      <c r="B18" s="33">
        <v>27857.010133999996</v>
      </c>
      <c r="C18" s="34">
        <v>1236.7674480000003</v>
      </c>
      <c r="D18" s="33">
        <v>28783.124368141769</v>
      </c>
      <c r="E18" s="34">
        <v>1112.8467078068338</v>
      </c>
      <c r="F18" s="33">
        <v>29701.105610240786</v>
      </c>
      <c r="G18" s="34">
        <v>990.04834241553863</v>
      </c>
      <c r="H18" s="33">
        <v>30615.278509551474</v>
      </c>
      <c r="I18" s="34">
        <v>868.56011321970334</v>
      </c>
      <c r="J18" s="33">
        <v>31531.272222968921</v>
      </c>
      <c r="K18" s="34">
        <v>748.78196111996397</v>
      </c>
      <c r="L18" s="33">
        <v>32456.688222067245</v>
      </c>
      <c r="M18" s="34">
        <v>631.37356829048451</v>
      </c>
      <c r="N18" s="33">
        <v>33402.24350894244</v>
      </c>
      <c r="O18" s="34">
        <v>517.32228590224349</v>
      </c>
      <c r="P18" s="33">
        <v>34383.623417036688</v>
      </c>
      <c r="Q18" s="34">
        <v>408.05298293315246</v>
      </c>
      <c r="R18" s="33">
        <v>35424.300740697174</v>
      </c>
      <c r="S18" s="34">
        <v>305.60317015530012</v>
      </c>
      <c r="T18" s="33">
        <v>36559.6893605082</v>
      </c>
      <c r="U18" s="34">
        <v>212.85100022858009</v>
      </c>
      <c r="V18" s="33">
        <v>37841.596170858371</v>
      </c>
      <c r="W18" s="34">
        <v>133.67475999405235</v>
      </c>
      <c r="X18" s="33">
        <v>39336.69895801894</v>
      </c>
      <c r="Y18" s="34">
        <v>72.538663774396042</v>
      </c>
      <c r="Z18" s="33">
        <v>41104.236646039615</v>
      </c>
      <c r="AA18" s="34">
        <v>32.442520665323336</v>
      </c>
      <c r="AB18" s="33">
        <v>43154.769101578422</v>
      </c>
      <c r="AC18" s="34">
        <v>11.56012106297397</v>
      </c>
      <c r="AD18" s="33">
        <v>45456.50500959994</v>
      </c>
      <c r="AE18" s="34">
        <v>3.2190513509702852</v>
      </c>
      <c r="AF18" s="33">
        <v>48022.084507848798</v>
      </c>
      <c r="AG18" s="34">
        <v>0.67088923727613825</v>
      </c>
      <c r="AH18" s="33">
        <v>51002.964032297103</v>
      </c>
      <c r="AI18" s="34">
        <v>9.2810737146951858E-2</v>
      </c>
      <c r="AJ18" s="33">
        <v>54827.831422368166</v>
      </c>
      <c r="AK18" s="34">
        <v>6.4548845840902425E-3</v>
      </c>
      <c r="AL18" s="33">
        <v>60733.484114705279</v>
      </c>
      <c r="AM18" s="34">
        <v>1.1288211069643872E-4</v>
      </c>
      <c r="AN18" s="33">
        <v>74118.673342088892</v>
      </c>
      <c r="AO18" s="34">
        <v>4.4234785876994534E-8</v>
      </c>
      <c r="AP18" s="33"/>
      <c r="AQ18" s="34"/>
      <c r="AR18" s="33"/>
      <c r="AS18" s="34"/>
      <c r="AT18" s="33"/>
      <c r="AU18" s="34"/>
      <c r="AV18" s="33"/>
      <c r="AW18" s="34"/>
    </row>
    <row r="19" spans="1:49" x14ac:dyDescent="0.2">
      <c r="A19" t="s">
        <v>3</v>
      </c>
      <c r="B19" s="41">
        <v>1886.3937399999966</v>
      </c>
      <c r="C19" s="42">
        <v>262.78711299999782</v>
      </c>
      <c r="D19" s="41">
        <v>1935.7208503029497</v>
      </c>
      <c r="E19" s="42">
        <v>299.71674301515367</v>
      </c>
      <c r="F19" s="41">
        <v>1984.3944700693512</v>
      </c>
      <c r="G19" s="42">
        <v>339.73373628268729</v>
      </c>
      <c r="H19" s="41">
        <v>2032.7130498494309</v>
      </c>
      <c r="I19" s="42">
        <v>382.54732113168149</v>
      </c>
      <c r="J19" s="41">
        <v>2081.1157577346039</v>
      </c>
      <c r="K19" s="42">
        <v>427.69338147619317</v>
      </c>
      <c r="L19" s="41">
        <v>2130.2415855679465</v>
      </c>
      <c r="M19" s="42">
        <v>474.47086755797801</v>
      </c>
      <c r="N19" s="41">
        <v>2181.0292724176384</v>
      </c>
      <c r="O19" s="42">
        <v>521.83690266467488</v>
      </c>
      <c r="P19" s="41">
        <v>2234.8823352138843</v>
      </c>
      <c r="Q19" s="42">
        <v>568.2329296641509</v>
      </c>
      <c r="R19" s="41">
        <v>2293.9274131200054</v>
      </c>
      <c r="S19" s="42">
        <v>611.29184840860262</v>
      </c>
      <c r="T19" s="41">
        <v>2361.4017611184954</v>
      </c>
      <c r="U19" s="42">
        <v>647.38175137136921</v>
      </c>
      <c r="V19" s="41">
        <v>2442.0852916384447</v>
      </c>
      <c r="W19" s="42">
        <v>671.04544587696637</v>
      </c>
      <c r="X19" s="41">
        <v>2542.2105177127055</v>
      </c>
      <c r="Y19" s="42">
        <v>674.92690869491014</v>
      </c>
      <c r="Z19" s="41">
        <v>2667.4137356767415</v>
      </c>
      <c r="AA19" s="42">
        <v>651.97876752327147</v>
      </c>
      <c r="AB19" s="41">
        <v>2818.609324541565</v>
      </c>
      <c r="AC19" s="42">
        <v>600.92193522203695</v>
      </c>
      <c r="AD19" s="41">
        <v>2991.7535206324351</v>
      </c>
      <c r="AE19" s="42">
        <v>528.84589409899695</v>
      </c>
      <c r="AF19" s="41">
        <v>3185.0367778565405</v>
      </c>
      <c r="AG19" s="42">
        <v>445.53695428859913</v>
      </c>
      <c r="AH19" s="41">
        <v>3406.5483640030216</v>
      </c>
      <c r="AI19" s="42">
        <v>357.71551170217236</v>
      </c>
      <c r="AJ19" s="41">
        <v>3683.3566610307794</v>
      </c>
      <c r="AK19" s="42">
        <v>268.51841307777244</v>
      </c>
      <c r="AL19" s="41">
        <v>4095.2810840569168</v>
      </c>
      <c r="AM19" s="42">
        <v>179.03340793050606</v>
      </c>
      <c r="AN19" s="41">
        <v>4988.1899200074449</v>
      </c>
      <c r="AO19" s="42">
        <v>89.517158867565044</v>
      </c>
      <c r="AP19" s="41"/>
      <c r="AQ19" s="42"/>
      <c r="AR19" s="41"/>
      <c r="AS19" s="42"/>
      <c r="AT19" s="41"/>
      <c r="AU19" s="42"/>
      <c r="AV19" s="41"/>
      <c r="AW19" s="42"/>
    </row>
    <row r="20" spans="1:49" x14ac:dyDescent="0.2">
      <c r="A20" t="s">
        <v>127</v>
      </c>
      <c r="B20" s="82">
        <v>26548.356269999993</v>
      </c>
      <c r="C20" s="83">
        <v>1408.5418709999938</v>
      </c>
      <c r="D20" s="82">
        <v>27384.651379245799</v>
      </c>
      <c r="E20" s="83">
        <v>1338.1147774499941</v>
      </c>
      <c r="F20" s="82">
        <v>28212.319910421968</v>
      </c>
      <c r="G20" s="83">
        <v>1267.6876838999945</v>
      </c>
      <c r="H20" s="82">
        <v>29035.529786851013</v>
      </c>
      <c r="I20" s="83">
        <v>1197.2605903499946</v>
      </c>
      <c r="J20" s="82">
        <v>29859.879789212551</v>
      </c>
      <c r="K20" s="83">
        <v>1126.8334967999949</v>
      </c>
      <c r="L20" s="82">
        <v>30693.094793226614</v>
      </c>
      <c r="M20" s="83">
        <v>1056.4064032499953</v>
      </c>
      <c r="N20" s="82">
        <v>31546.210937234111</v>
      </c>
      <c r="O20" s="83">
        <v>985.97930969999561</v>
      </c>
      <c r="P20" s="82">
        <v>32435.499404939765</v>
      </c>
      <c r="Q20" s="83">
        <v>915.55221614999607</v>
      </c>
      <c r="R20" s="82">
        <v>33385.41693234432</v>
      </c>
      <c r="S20" s="83">
        <v>845.12512259999642</v>
      </c>
      <c r="T20" s="82">
        <v>34432.967831468755</v>
      </c>
      <c r="U20" s="83">
        <v>774.69802904999653</v>
      </c>
      <c r="V20" s="82">
        <v>35632.41728024339</v>
      </c>
      <c r="W20" s="83">
        <v>704.27093549999688</v>
      </c>
      <c r="X20" s="82">
        <v>37053.801548107658</v>
      </c>
      <c r="Y20" s="83">
        <v>633.84384194999734</v>
      </c>
      <c r="Z20" s="82">
        <v>38759.465297849056</v>
      </c>
      <c r="AA20" s="83">
        <v>563.41674839999746</v>
      </c>
      <c r="AB20" s="82">
        <v>40759.680350785799</v>
      </c>
      <c r="AC20" s="83">
        <v>492.98965484999781</v>
      </c>
      <c r="AD20" s="82">
        <v>43016.539396922235</v>
      </c>
      <c r="AE20" s="83">
        <v>422.56256129999809</v>
      </c>
      <c r="AF20" s="82">
        <v>45532.013348843764</v>
      </c>
      <c r="AG20" s="83">
        <v>352.13546774999827</v>
      </c>
      <c r="AH20" s="82">
        <v>48442.647196949918</v>
      </c>
      <c r="AI20" s="83">
        <v>281.70837419999856</v>
      </c>
      <c r="AJ20" s="82">
        <v>52150.277675497658</v>
      </c>
      <c r="AK20" s="83">
        <v>211.28128064999879</v>
      </c>
      <c r="AL20" s="82">
        <v>57820.279559612653</v>
      </c>
      <c r="AM20" s="83">
        <v>140.85418709999902</v>
      </c>
      <c r="AN20" s="82">
        <v>70529.902678472412</v>
      </c>
      <c r="AO20" s="83">
        <v>70.427093549999285</v>
      </c>
      <c r="AP20" s="82"/>
      <c r="AQ20" s="83"/>
      <c r="AR20" s="82"/>
      <c r="AS20" s="83"/>
      <c r="AT20" s="82"/>
      <c r="AU20" s="83"/>
      <c r="AV20" s="82"/>
      <c r="AW20" s="83"/>
    </row>
    <row r="21" spans="1:49" x14ac:dyDescent="0.2">
      <c r="A21" t="s">
        <v>76</v>
      </c>
      <c r="B21" s="82">
        <v>24661.96252999999</v>
      </c>
      <c r="C21" s="83">
        <v>1145.7547579999916</v>
      </c>
      <c r="D21" s="82">
        <v>25448.944662859569</v>
      </c>
      <c r="E21" s="83">
        <v>1039.1251487671393</v>
      </c>
      <c r="F21" s="82">
        <v>26227.980673999806</v>
      </c>
      <c r="G21" s="83">
        <v>931.02460369257335</v>
      </c>
      <c r="H21" s="82">
        <v>27002.938239744508</v>
      </c>
      <c r="I21" s="83">
        <v>821.9850306905787</v>
      </c>
      <c r="J21" s="82">
        <v>27778.974913009381</v>
      </c>
      <c r="K21" s="83">
        <v>712.70041792808274</v>
      </c>
      <c r="L21" s="82">
        <v>28563.173594654501</v>
      </c>
      <c r="M21" s="83">
        <v>604.07413514346331</v>
      </c>
      <c r="N21" s="82">
        <v>29365.626965439344</v>
      </c>
      <c r="O21" s="83">
        <v>497.29404705254603</v>
      </c>
      <c r="P21" s="82">
        <v>30201.195138060444</v>
      </c>
      <c r="Q21" s="83">
        <v>393.94907170743181</v>
      </c>
      <c r="R21" s="82">
        <v>31092.196302225853</v>
      </c>
      <c r="S21" s="83">
        <v>296.20806983551103</v>
      </c>
      <c r="T21" s="82">
        <v>32072.379393845153</v>
      </c>
      <c r="U21" s="83">
        <v>207.05483596257108</v>
      </c>
      <c r="V21" s="82">
        <v>33191.20423578249</v>
      </c>
      <c r="W21" s="83">
        <v>130.46137645053042</v>
      </c>
      <c r="X21" s="82">
        <v>34512.445725564023</v>
      </c>
      <c r="Y21" s="83">
        <v>70.998573856372303</v>
      </c>
      <c r="Z21" s="82">
        <v>36092.796864741686</v>
      </c>
      <c r="AA21" s="83">
        <v>31.828333103312506</v>
      </c>
      <c r="AB21" s="82">
        <v>37941.637773798509</v>
      </c>
      <c r="AC21" s="83">
        <v>11.360661960336941</v>
      </c>
      <c r="AD21" s="82">
        <v>40025.159416439557</v>
      </c>
      <c r="AE21" s="83">
        <v>3.1669419146954239</v>
      </c>
      <c r="AF21" s="82">
        <v>42347.188185534607</v>
      </c>
      <c r="AG21" s="83">
        <v>0.66042573818274242</v>
      </c>
      <c r="AH21" s="82">
        <v>45036.19812676045</v>
      </c>
      <c r="AI21" s="83">
        <v>9.1389518521240401E-2</v>
      </c>
      <c r="AJ21" s="82">
        <v>48466.956856956058</v>
      </c>
      <c r="AK21" s="83">
        <v>6.3567470422886598E-3</v>
      </c>
      <c r="AL21" s="82">
        <v>53725.009802902328</v>
      </c>
      <c r="AM21" s="83">
        <v>1.1116915241807593E-4</v>
      </c>
      <c r="AN21" s="82">
        <v>65541.74201298425</v>
      </c>
      <c r="AO21" s="83">
        <v>4.3563687851419144E-8</v>
      </c>
      <c r="AP21" s="82"/>
      <c r="AQ21" s="83"/>
      <c r="AR21" s="82"/>
      <c r="AS21" s="83"/>
      <c r="AT21" s="82"/>
      <c r="AU21" s="83"/>
      <c r="AV21" s="82"/>
      <c r="AW21" s="83"/>
    </row>
    <row r="22" spans="1:49" x14ac:dyDescent="0.2">
      <c r="A22" t="s">
        <v>28</v>
      </c>
      <c r="B22" s="41">
        <v>6533.6044688320717</v>
      </c>
      <c r="C22" s="42">
        <v>379.90788307663411</v>
      </c>
      <c r="D22" s="41">
        <v>6745.4639472217023</v>
      </c>
      <c r="E22" s="42">
        <v>377.84594938831572</v>
      </c>
      <c r="F22" s="41">
        <v>6954.8456179286613</v>
      </c>
      <c r="G22" s="42">
        <v>374.92052937183286</v>
      </c>
      <c r="H22" s="41">
        <v>7162.728376282651</v>
      </c>
      <c r="I22" s="42">
        <v>371.12424024034345</v>
      </c>
      <c r="J22" s="41">
        <v>7370.4357619265456</v>
      </c>
      <c r="K22" s="42">
        <v>366.42779822722622</v>
      </c>
      <c r="L22" s="41">
        <v>7579.8045876085271</v>
      </c>
      <c r="M22" s="42">
        <v>360.77541625029176</v>
      </c>
      <c r="N22" s="41">
        <v>7793.4699499298449</v>
      </c>
      <c r="O22" s="42">
        <v>354.07823438808015</v>
      </c>
      <c r="P22" s="41">
        <v>8015.3291706662694</v>
      </c>
      <c r="Q22" s="42">
        <v>346.2041141243659</v>
      </c>
      <c r="R22" s="41">
        <v>8251.2457517168368</v>
      </c>
      <c r="S22" s="42">
        <v>336.96045412968999</v>
      </c>
      <c r="T22" s="41">
        <v>8510.0753318451098</v>
      </c>
      <c r="U22" s="42">
        <v>326.06959515494134</v>
      </c>
      <c r="V22" s="41">
        <v>8804.713352280809</v>
      </c>
      <c r="W22" s="42">
        <v>313.14149412438263</v>
      </c>
      <c r="X22" s="41">
        <v>9151.4666617409584</v>
      </c>
      <c r="Y22" s="42">
        <v>297.67386065330112</v>
      </c>
      <c r="Z22" s="41">
        <v>9563.7717601797867</v>
      </c>
      <c r="AA22" s="42">
        <v>279.16323857768162</v>
      </c>
      <c r="AB22" s="41">
        <v>10040.650836190845</v>
      </c>
      <c r="AC22" s="42">
        <v>257.35779367813319</v>
      </c>
      <c r="AD22" s="41">
        <v>10567.250154748057</v>
      </c>
      <c r="AE22" s="42">
        <v>232.3630700373042</v>
      </c>
      <c r="AF22" s="41">
        <v>11135.476159970478</v>
      </c>
      <c r="AG22" s="42">
        <v>204.36820674612602</v>
      </c>
      <c r="AH22" s="41">
        <v>11763.144646021892</v>
      </c>
      <c r="AI22" s="42">
        <v>173.34955946292877</v>
      </c>
      <c r="AJ22" s="41">
        <v>12512.742211294073</v>
      </c>
      <c r="AK22" s="42">
        <v>138.95666687394251</v>
      </c>
      <c r="AL22" s="41">
        <v>13559.687926051416</v>
      </c>
      <c r="AM22" s="42">
        <v>100.38051809496267</v>
      </c>
      <c r="AN22" s="41">
        <v>15573.324021580389</v>
      </c>
      <c r="AO22" s="42">
        <v>55.845655234075899</v>
      </c>
      <c r="AP22" s="41"/>
      <c r="AQ22" s="42"/>
      <c r="AR22" s="41"/>
      <c r="AS22" s="42"/>
      <c r="AT22" s="41"/>
      <c r="AU22" s="42"/>
      <c r="AV22" s="41"/>
      <c r="AW22" s="42"/>
    </row>
    <row r="23" spans="1:49" x14ac:dyDescent="0.2">
      <c r="A23" t="s">
        <v>7</v>
      </c>
      <c r="B23" s="116">
        <v>3278.5018080150408</v>
      </c>
      <c r="C23" s="8">
        <v>0</v>
      </c>
      <c r="D23" s="116">
        <v>3389.4566941936705</v>
      </c>
      <c r="E23" s="8">
        <v>0</v>
      </c>
      <c r="F23" s="116">
        <v>3499.7089307305891</v>
      </c>
      <c r="G23" s="8">
        <v>0</v>
      </c>
      <c r="H23" s="116">
        <v>3609.8251295617406</v>
      </c>
      <c r="I23" s="8">
        <v>0</v>
      </c>
      <c r="J23" s="116">
        <v>3720.5763621561346</v>
      </c>
      <c r="K23" s="8">
        <v>0</v>
      </c>
      <c r="L23" s="116">
        <v>3833.0365410757836</v>
      </c>
      <c r="M23" s="8">
        <v>0</v>
      </c>
      <c r="N23" s="116">
        <v>3948.7505548015233</v>
      </c>
      <c r="O23" s="8">
        <v>0</v>
      </c>
      <c r="P23" s="116">
        <v>4070.0077915287143</v>
      </c>
      <c r="Q23" s="8">
        <v>0</v>
      </c>
      <c r="R23" s="116">
        <v>4200.2668171198175</v>
      </c>
      <c r="S23" s="8">
        <v>0</v>
      </c>
      <c r="T23" s="116">
        <v>4344.7938758312848</v>
      </c>
      <c r="U23" s="8">
        <v>0</v>
      </c>
      <c r="V23" s="116">
        <v>4511.3905279911387</v>
      </c>
      <c r="W23" s="8">
        <v>0</v>
      </c>
      <c r="X23" s="116">
        <v>4710.3366376843433</v>
      </c>
      <c r="Y23" s="8">
        <v>0</v>
      </c>
      <c r="Z23" s="116">
        <v>4951.3527450991742</v>
      </c>
      <c r="AA23" s="8">
        <v>0</v>
      </c>
      <c r="AB23" s="116">
        <v>5237.5472794482175</v>
      </c>
      <c r="AC23" s="8">
        <v>0</v>
      </c>
      <c r="AD23" s="116">
        <v>5565.8558105614111</v>
      </c>
      <c r="AE23" s="8">
        <v>0</v>
      </c>
      <c r="AF23" s="116">
        <v>5939.6296131017571</v>
      </c>
      <c r="AG23" s="8">
        <v>0</v>
      </c>
      <c r="AH23" s="116">
        <v>6383.6165776170501</v>
      </c>
      <c r="AI23" s="8">
        <v>0</v>
      </c>
      <c r="AJ23" s="116">
        <v>6967.5546982472124</v>
      </c>
      <c r="AK23" s="8">
        <v>0</v>
      </c>
      <c r="AL23" s="116">
        <v>7897.2276157720462</v>
      </c>
      <c r="AM23" s="8">
        <v>0</v>
      </c>
      <c r="AN23" s="116">
        <v>10114.244866722811</v>
      </c>
      <c r="AO23" s="8">
        <v>0</v>
      </c>
      <c r="AP23" s="116"/>
      <c r="AQ23" s="8"/>
      <c r="AR23" s="116"/>
      <c r="AS23" s="8"/>
      <c r="AT23" s="116"/>
      <c r="AU23" s="8"/>
      <c r="AV23" s="116"/>
      <c r="AW23" s="8"/>
    </row>
    <row r="24" spans="1:49" x14ac:dyDescent="0.2">
      <c r="A24" t="s">
        <v>8</v>
      </c>
      <c r="B24" s="97">
        <v>3196.3846373657216</v>
      </c>
      <c r="C24" s="8">
        <v>0</v>
      </c>
      <c r="D24" s="97">
        <v>3304.5604124972492</v>
      </c>
      <c r="E24" s="8">
        <v>0</v>
      </c>
      <c r="F24" s="97">
        <v>3412.0511098709271</v>
      </c>
      <c r="G24" s="8">
        <v>0</v>
      </c>
      <c r="H24" s="97">
        <v>3519.4092550926839</v>
      </c>
      <c r="I24" s="8">
        <v>0</v>
      </c>
      <c r="J24" s="97">
        <v>3627.3864677231099</v>
      </c>
      <c r="K24" s="8">
        <v>0</v>
      </c>
      <c r="L24" s="97">
        <v>3737.029848619688</v>
      </c>
      <c r="M24" s="8">
        <v>0</v>
      </c>
      <c r="N24" s="97">
        <v>3849.845552176715</v>
      </c>
      <c r="O24" s="8">
        <v>0</v>
      </c>
      <c r="P24" s="97">
        <v>3968.0656390412469</v>
      </c>
      <c r="Q24" s="8">
        <v>0</v>
      </c>
      <c r="R24" s="97">
        <v>4095.0620473710651</v>
      </c>
      <c r="S24" s="8">
        <v>0</v>
      </c>
      <c r="T24" s="97">
        <v>4235.9691135422136</v>
      </c>
      <c r="U24" s="8">
        <v>0</v>
      </c>
      <c r="V24" s="97">
        <v>4398.392992053773</v>
      </c>
      <c r="W24" s="8">
        <v>0</v>
      </c>
      <c r="X24" s="97">
        <v>4592.3560661239071</v>
      </c>
      <c r="Y24" s="8">
        <v>0</v>
      </c>
      <c r="Z24" s="97">
        <v>4827.3354036907476</v>
      </c>
      <c r="AA24" s="8">
        <v>0</v>
      </c>
      <c r="AB24" s="97">
        <v>5106.3615766593284</v>
      </c>
      <c r="AC24" s="8">
        <v>0</v>
      </c>
      <c r="AD24" s="97">
        <v>5426.4469103450092</v>
      </c>
      <c r="AE24" s="8">
        <v>0</v>
      </c>
      <c r="AF24" s="97">
        <v>5790.8587393622292</v>
      </c>
      <c r="AG24" s="8">
        <v>0</v>
      </c>
      <c r="AH24" s="97">
        <v>6223.7250898092425</v>
      </c>
      <c r="AI24" s="8">
        <v>0</v>
      </c>
      <c r="AJ24" s="97">
        <v>6793.0372168886161</v>
      </c>
      <c r="AK24" s="8">
        <v>0</v>
      </c>
      <c r="AL24" s="97">
        <v>7699.4244648951908</v>
      </c>
      <c r="AM24" s="8">
        <v>0</v>
      </c>
      <c r="AN24" s="97">
        <v>9860.9117223946669</v>
      </c>
      <c r="AO24" s="8">
        <v>0</v>
      </c>
      <c r="AP24" s="97"/>
      <c r="AQ24" s="8"/>
      <c r="AR24" s="97"/>
      <c r="AS24" s="8"/>
      <c r="AT24" s="97"/>
      <c r="AU24" s="8"/>
      <c r="AV24" s="97"/>
      <c r="AW24" s="8"/>
    </row>
    <row r="25" spans="1:49" x14ac:dyDescent="0.2">
      <c r="A25" t="s">
        <v>0</v>
      </c>
      <c r="B25" s="41">
        <v>3195.0476040000012</v>
      </c>
      <c r="C25" s="42">
        <v>91.012690000004255</v>
      </c>
      <c r="D25" s="41">
        <v>3334.1336228857945</v>
      </c>
      <c r="E25" s="42">
        <v>73.605918634843249</v>
      </c>
      <c r="F25" s="41">
        <v>3472.9431231955327</v>
      </c>
      <c r="G25" s="42">
        <v>58.632532682822074</v>
      </c>
      <c r="H25" s="41">
        <v>3611.9359867313697</v>
      </c>
      <c r="I25" s="42">
        <v>45.837385057723701</v>
      </c>
      <c r="J25" s="41">
        <v>3751.589365307917</v>
      </c>
      <c r="K25" s="42">
        <v>34.999418610798074</v>
      </c>
      <c r="L25" s="41">
        <v>3892.4297802558408</v>
      </c>
      <c r="M25" s="42">
        <v>25.929671357346749</v>
      </c>
      <c r="N25" s="41">
        <v>4035.0969079160946</v>
      </c>
      <c r="O25" s="42">
        <v>18.467964768907589</v>
      </c>
      <c r="P25" s="41">
        <v>4180.4418626179486</v>
      </c>
      <c r="Q25" s="42">
        <v>12.478532950650537</v>
      </c>
      <c r="R25" s="41">
        <v>4329.6619181771566</v>
      </c>
      <c r="S25" s="42">
        <v>7.843998023747349</v>
      </c>
      <c r="T25" s="41">
        <v>4484.4883696534625</v>
      </c>
      <c r="U25" s="42">
        <v>4.4546580251802652</v>
      </c>
      <c r="V25" s="41">
        <v>4647.3619589491909</v>
      </c>
      <c r="W25" s="42">
        <v>2.1883326351228019</v>
      </c>
      <c r="X25" s="41">
        <v>4821.2906468696892</v>
      </c>
      <c r="Y25" s="42">
        <v>0.87601660334810161</v>
      </c>
      <c r="Z25" s="41">
        <v>5008.8724306977319</v>
      </c>
      <c r="AA25" s="42">
        <v>0.26752871628059849</v>
      </c>
      <c r="AB25" s="41">
        <v>5211.1980362165659</v>
      </c>
      <c r="AC25" s="42">
        <v>5.9424152056655237E-2</v>
      </c>
      <c r="AD25" s="41">
        <v>5430.0860905286891</v>
      </c>
      <c r="AE25" s="42">
        <v>9.3231378912672636E-3</v>
      </c>
      <c r="AF25" s="41">
        <v>5674.1911119548504</v>
      </c>
      <c r="AG25" s="42">
        <v>9.672988913100246E-4</v>
      </c>
      <c r="AH25" s="41">
        <v>5966.4385275296736</v>
      </c>
      <c r="AI25" s="42">
        <v>5.5570237115298023E-5</v>
      </c>
      <c r="AJ25" s="41">
        <v>6360.7574353427726</v>
      </c>
      <c r="AK25" s="42">
        <v>1.1766085079245294E-6</v>
      </c>
      <c r="AL25" s="41">
        <v>7008.4375048605143</v>
      </c>
      <c r="AM25" s="42">
        <v>3.3325446800032776E-9</v>
      </c>
      <c r="AN25" s="41">
        <v>8576.8359878419888</v>
      </c>
      <c r="AO25" s="42">
        <v>3.6559503545378872E-14</v>
      </c>
      <c r="AP25" s="41"/>
      <c r="AQ25" s="42"/>
      <c r="AR25" s="41"/>
      <c r="AS25" s="42"/>
      <c r="AT25" s="41"/>
      <c r="AU25" s="42"/>
      <c r="AV25" s="41"/>
      <c r="AW25" s="42"/>
    </row>
    <row r="26" spans="1:49" x14ac:dyDescent="0.2">
      <c r="A26" t="s">
        <v>27</v>
      </c>
      <c r="B26" s="33">
        <v>5036.2953101960647</v>
      </c>
      <c r="C26" s="34">
        <v>74.905331803938267</v>
      </c>
      <c r="D26" s="33">
        <v>5363.7651385606523</v>
      </c>
      <c r="E26" s="34">
        <v>68.895891371954917</v>
      </c>
      <c r="F26" s="33">
        <v>5705.9068443077376</v>
      </c>
      <c r="G26" s="34">
        <v>62.682635905964545</v>
      </c>
      <c r="H26" s="33">
        <v>6065.4678160860603</v>
      </c>
      <c r="I26" s="34">
        <v>56.273076558084959</v>
      </c>
      <c r="J26" s="33">
        <v>6446.3605393224079</v>
      </c>
      <c r="K26" s="34">
        <v>49.687719300497157</v>
      </c>
      <c r="L26" s="33">
        <v>6854.3155279707107</v>
      </c>
      <c r="M26" s="34">
        <v>42.963683280738131</v>
      </c>
      <c r="N26" s="33">
        <v>7297.9535341501178</v>
      </c>
      <c r="O26" s="34">
        <v>36.160322609592562</v>
      </c>
      <c r="P26" s="33">
        <v>7790.6779707466949</v>
      </c>
      <c r="Q26" s="34">
        <v>29.368287852651516</v>
      </c>
      <c r="R26" s="33">
        <v>8353.9531107652892</v>
      </c>
      <c r="S26" s="34">
        <v>22.724474477368073</v>
      </c>
      <c r="T26" s="33">
        <v>9023.0932098219109</v>
      </c>
      <c r="U26" s="34">
        <v>16.43420843867894</v>
      </c>
      <c r="V26" s="33">
        <v>9856.7952439344899</v>
      </c>
      <c r="W26" s="34">
        <v>10.795667453127349</v>
      </c>
      <c r="X26" s="33">
        <v>10949.286452539194</v>
      </c>
      <c r="Y26" s="34">
        <v>6.1934097811225612</v>
      </c>
      <c r="Z26" s="33">
        <v>12435.426465981936</v>
      </c>
      <c r="AA26" s="34">
        <v>2.9712514336060485</v>
      </c>
      <c r="AB26" s="33">
        <v>14479.530479009385</v>
      </c>
      <c r="AC26" s="34">
        <v>1.1559521774272654</v>
      </c>
      <c r="AD26" s="33">
        <v>17296.95957580064</v>
      </c>
      <c r="AE26" s="34">
        <v>0.35869256508905772</v>
      </c>
      <c r="AF26" s="33">
        <v>21317.17594767769</v>
      </c>
      <c r="AG26" s="34">
        <v>8.5513336192116512E-2</v>
      </c>
      <c r="AH26" s="33">
        <v>27662.896916143713</v>
      </c>
      <c r="AI26" s="34">
        <v>1.4099294432677E-2</v>
      </c>
      <c r="AJ26" s="33">
        <v>40038.266546824794</v>
      </c>
      <c r="AK26" s="34">
        <v>1.2646850903999236E-3</v>
      </c>
      <c r="AL26" s="33">
        <v>79617.838371850463</v>
      </c>
      <c r="AM26" s="34">
        <v>3.5010336276733637E-5</v>
      </c>
      <c r="AN26" s="33">
        <v>23656867.397439968</v>
      </c>
      <c r="AO26" s="34">
        <v>2.9905036379747185E-7</v>
      </c>
      <c r="AP26" s="33"/>
      <c r="AQ26" s="34"/>
      <c r="AR26" s="33"/>
      <c r="AS26" s="34"/>
      <c r="AT26" s="33"/>
      <c r="AU26" s="34"/>
      <c r="AV26" s="33"/>
      <c r="AW26" s="34"/>
    </row>
    <row r="27" spans="1:49" x14ac:dyDescent="0.2">
      <c r="A27" t="s">
        <v>2</v>
      </c>
      <c r="B27" s="35">
        <v>6425.1981589998131</v>
      </c>
      <c r="C27" s="36">
        <v>273.22915400000056</v>
      </c>
      <c r="D27" s="35">
        <v>6454.3593616691942</v>
      </c>
      <c r="E27" s="36">
        <v>244.0684348256186</v>
      </c>
      <c r="F27" s="35">
        <v>6482.6618121506981</v>
      </c>
      <c r="G27" s="36">
        <v>215.76843866371044</v>
      </c>
      <c r="H27" s="35">
        <v>6510.1531841921242</v>
      </c>
      <c r="I27" s="36">
        <v>188.27420580824611</v>
      </c>
      <c r="J27" s="35">
        <v>6536.8420571964625</v>
      </c>
      <c r="K27" s="36">
        <v>161.58551660452525</v>
      </c>
      <c r="L27" s="35">
        <v>6562.6628481827329</v>
      </c>
      <c r="M27" s="36">
        <v>135.76445968487596</v>
      </c>
      <c r="N27" s="35">
        <v>6587.479709614202</v>
      </c>
      <c r="O27" s="36">
        <v>110.94763960387287</v>
      </c>
      <c r="P27" s="35">
        <v>6611.0591468322709</v>
      </c>
      <c r="Q27" s="36">
        <v>87.368169651325246</v>
      </c>
      <c r="R27" s="35">
        <v>6633.0344394889944</v>
      </c>
      <c r="S27" s="36">
        <v>65.392896455525545</v>
      </c>
      <c r="T27" s="35">
        <v>6652.8549250922561</v>
      </c>
      <c r="U27" s="36">
        <v>45.572385730801763</v>
      </c>
      <c r="V27" s="35">
        <v>6669.7483984472037</v>
      </c>
      <c r="W27" s="36">
        <v>28.678927764361607</v>
      </c>
      <c r="X27" s="35">
        <v>6682.8015185365493</v>
      </c>
      <c r="Y27" s="36">
        <v>15.625816682905072</v>
      </c>
      <c r="Z27" s="35">
        <v>6691.3886001692736</v>
      </c>
      <c r="AA27" s="36">
        <v>7.0387208292970183</v>
      </c>
      <c r="AB27" s="35">
        <v>6695.8887172908308</v>
      </c>
      <c r="AC27" s="36">
        <v>2.5385949987528353</v>
      </c>
      <c r="AD27" s="35">
        <v>6697.7064922612308</v>
      </c>
      <c r="AE27" s="36">
        <v>0.72082062668710289</v>
      </c>
      <c r="AF27" s="35">
        <v>6698.272510783625</v>
      </c>
      <c r="AG27" s="36">
        <v>0.15480219405406975</v>
      </c>
      <c r="AH27" s="35">
        <v>6698.4049071491881</v>
      </c>
      <c r="AI27" s="36">
        <v>2.2405824022862987E-2</v>
      </c>
      <c r="AJ27" s="35">
        <v>6698.4256424212581</v>
      </c>
      <c r="AK27" s="36">
        <v>1.6705437232738469E-3</v>
      </c>
      <c r="AL27" s="35">
        <v>6698.4272802036539</v>
      </c>
      <c r="AM27" s="36">
        <v>3.2794742236829424E-5</v>
      </c>
      <c r="AN27" s="35">
        <v>6698.4273167182901</v>
      </c>
      <c r="AO27" s="36">
        <v>1.6250950448853788E-8</v>
      </c>
      <c r="AP27" s="35"/>
      <c r="AQ27" s="36"/>
      <c r="AR27" s="35"/>
      <c r="AS27" s="36"/>
      <c r="AT27" s="35"/>
      <c r="AU27" s="36"/>
      <c r="AV27" s="35"/>
      <c r="AW27" s="36"/>
    </row>
    <row r="28" spans="1:49" x14ac:dyDescent="0.2">
      <c r="A28" t="s">
        <v>35</v>
      </c>
      <c r="B28" s="41">
        <v>13763.097675999827</v>
      </c>
      <c r="C28" s="42">
        <v>382.36647900000054</v>
      </c>
      <c r="D28" s="41">
        <v>14259.275081620975</v>
      </c>
      <c r="E28" s="42">
        <v>344.35049829292501</v>
      </c>
      <c r="F28" s="41">
        <v>14755.053195647481</v>
      </c>
      <c r="G28" s="42">
        <v>306.75066883474557</v>
      </c>
      <c r="H28" s="41">
        <v>15253.004014564465</v>
      </c>
      <c r="I28" s="42">
        <v>269.59091460791268</v>
      </c>
      <c r="J28" s="41">
        <v>15756.538078300122</v>
      </c>
      <c r="K28" s="42">
        <v>232.95842371753179</v>
      </c>
      <c r="L28" s="41">
        <v>16270.318290737614</v>
      </c>
      <c r="M28" s="42">
        <v>197.01822385204508</v>
      </c>
      <c r="N28" s="41">
        <v>16800.960209738754</v>
      </c>
      <c r="O28" s="42">
        <v>162.03463514889367</v>
      </c>
      <c r="P28" s="41">
        <v>17358.17127603498</v>
      </c>
      <c r="Q28" s="42">
        <v>128.40683245178241</v>
      </c>
      <c r="R28" s="41">
        <v>17956.516613442374</v>
      </c>
      <c r="S28" s="42">
        <v>96.727249221762207</v>
      </c>
      <c r="T28" s="41">
        <v>18618.081771081001</v>
      </c>
      <c r="U28" s="42">
        <v>67.861074205698984</v>
      </c>
      <c r="V28" s="41">
        <v>19375.56081514895</v>
      </c>
      <c r="W28" s="42">
        <v>43.01246403339325</v>
      </c>
      <c r="X28" s="41">
        <v>20272.31248530739</v>
      </c>
      <c r="Y28" s="42">
        <v>23.620221642856702</v>
      </c>
      <c r="Z28" s="41">
        <v>21350.65528782595</v>
      </c>
      <c r="AA28" s="42">
        <v>10.731241345609204</v>
      </c>
      <c r="AB28" s="41">
        <v>22628.347352178134</v>
      </c>
      <c r="AC28" s="42">
        <v>3.9050748681846952</v>
      </c>
      <c r="AD28" s="41">
        <v>24101.379319572497</v>
      </c>
      <c r="AE28" s="42">
        <v>1.1186530447920842</v>
      </c>
      <c r="AF28" s="41">
        <v>25796.056505195898</v>
      </c>
      <c r="AG28" s="42">
        <v>0.24228171385688071</v>
      </c>
      <c r="AH28" s="41">
        <v>27832.909386163199</v>
      </c>
      <c r="AI28" s="42">
        <v>3.5356056908106323E-2</v>
      </c>
      <c r="AJ28" s="41">
        <v>30531.789296962648</v>
      </c>
      <c r="AK28" s="42">
        <v>2.6579038986458102E-3</v>
      </c>
      <c r="AL28" s="41">
        <v>34809.121178760521</v>
      </c>
      <c r="AM28" s="42">
        <v>5.2628099603311064E-5</v>
      </c>
      <c r="AN28" s="41">
        <v>44701.848412010302</v>
      </c>
      <c r="AO28" s="42">
        <v>2.6265076470999591E-8</v>
      </c>
      <c r="AP28" s="41"/>
      <c r="AQ28" s="42"/>
      <c r="AR28" s="41"/>
      <c r="AS28" s="42"/>
      <c r="AT28" s="41"/>
      <c r="AU28" s="42"/>
      <c r="AV28" s="41"/>
      <c r="AW28" s="42"/>
    </row>
    <row r="29" spans="1:49" x14ac:dyDescent="0.2">
      <c r="A29" t="s">
        <v>53</v>
      </c>
      <c r="B29" s="35">
        <v>14362.768558000018</v>
      </c>
      <c r="C29" s="36">
        <v>817.26651000000095</v>
      </c>
      <c r="D29" s="35">
        <v>14840.02250356844</v>
      </c>
      <c r="E29" s="36">
        <v>728.10948464806052</v>
      </c>
      <c r="F29" s="35">
        <v>15313.07195386192</v>
      </c>
      <c r="G29" s="36">
        <v>641.26866604894508</v>
      </c>
      <c r="H29" s="35">
        <v>15784.147209032308</v>
      </c>
      <c r="I29" s="36">
        <v>556.81518167874617</v>
      </c>
      <c r="J29" s="35">
        <v>16256.152213372248</v>
      </c>
      <c r="K29" s="36">
        <v>474.96055902270638</v>
      </c>
      <c r="L29" s="35">
        <v>16733.009329027049</v>
      </c>
      <c r="M29" s="36">
        <v>396.08321857186786</v>
      </c>
      <c r="N29" s="35">
        <v>17220.24948212372</v>
      </c>
      <c r="O29" s="36">
        <v>320.76604674444377</v>
      </c>
      <c r="P29" s="35">
        <v>17725.968553151994</v>
      </c>
      <c r="Q29" s="36">
        <v>249.85697615043691</v>
      </c>
      <c r="R29" s="35">
        <v>18262.282657465177</v>
      </c>
      <c r="S29" s="36">
        <v>184.56350230297508</v>
      </c>
      <c r="T29" s="35">
        <v>18847.472268151701</v>
      </c>
      <c r="U29" s="36">
        <v>126.56636944604485</v>
      </c>
      <c r="V29" s="35">
        <v>19508.280276675916</v>
      </c>
      <c r="W29" s="36">
        <v>78.06802098046424</v>
      </c>
      <c r="X29" s="35">
        <v>20279.125872581699</v>
      </c>
      <c r="Y29" s="36">
        <v>41.466851532223487</v>
      </c>
      <c r="Z29" s="35">
        <v>21190.586000569128</v>
      </c>
      <c r="AA29" s="36">
        <v>18.075996475255376</v>
      </c>
      <c r="AB29" s="35">
        <v>22248.099942501718</v>
      </c>
      <c r="AC29" s="36">
        <v>6.248688873060221</v>
      </c>
      <c r="AD29" s="35">
        <v>23435.223032842805</v>
      </c>
      <c r="AE29" s="36">
        <v>1.6802998600755312</v>
      </c>
      <c r="AF29" s="35">
        <v>24758.409062582959</v>
      </c>
      <c r="AG29" s="36">
        <v>0.3364592928332944</v>
      </c>
      <c r="AH29" s="35">
        <v>26295.703049988344</v>
      </c>
      <c r="AI29" s="36">
        <v>4.4413115972411293E-2</v>
      </c>
      <c r="AJ29" s="35">
        <v>28268.097905432664</v>
      </c>
      <c r="AK29" s="36">
        <v>2.9155524204709212E-3</v>
      </c>
      <c r="AL29" s="35">
        <v>31313.207376264399</v>
      </c>
      <c r="AM29" s="36">
        <v>4.7202552237662656E-5</v>
      </c>
      <c r="AN29" s="35">
        <v>38214.220348750139</v>
      </c>
      <c r="AO29" s="36">
        <v>1.6415969928877787E-8</v>
      </c>
      <c r="AP29" s="35"/>
      <c r="AQ29" s="36"/>
      <c r="AR29" s="35"/>
      <c r="AS29" s="36"/>
      <c r="AT29" s="35"/>
      <c r="AU29" s="36"/>
      <c r="AV29" s="35"/>
      <c r="AW29" s="36"/>
    </row>
    <row r="30" spans="1:49" x14ac:dyDescent="0.2">
      <c r="A30" t="s">
        <v>48</v>
      </c>
      <c r="B30" s="119">
        <v>2924829.9599999995</v>
      </c>
      <c r="D30" s="119">
        <v>3014456.3894861555</v>
      </c>
      <c r="F30" s="119">
        <v>3103315.5010540336</v>
      </c>
      <c r="H30" s="119">
        <v>3191910.9343420528</v>
      </c>
      <c r="J30" s="119">
        <v>3280945.3379791332</v>
      </c>
      <c r="L30" s="119">
        <v>3371427.9638835434</v>
      </c>
      <c r="N30" s="119">
        <v>3464824.4075423116</v>
      </c>
      <c r="P30" s="119">
        <v>3563319.6078468286</v>
      </c>
      <c r="R30" s="119">
        <v>3670223.2183886464</v>
      </c>
      <c r="T30" s="119">
        <v>3790583.9147884678</v>
      </c>
      <c r="V30" s="119">
        <v>3931890.3326359568</v>
      </c>
      <c r="X30" s="119">
        <v>4104020.4627121137</v>
      </c>
      <c r="Z30" s="119">
        <v>4316279.6187432753</v>
      </c>
      <c r="AB30" s="119">
        <v>4571368.1865278184</v>
      </c>
      <c r="AD30" s="119">
        <v>4865379.9466770384</v>
      </c>
      <c r="AF30" s="119">
        <v>5199453.8940569982</v>
      </c>
      <c r="AH30" s="119">
        <v>5593363.3628135845</v>
      </c>
      <c r="AJ30" s="119">
        <v>6105359.4351779465</v>
      </c>
      <c r="AL30" s="119">
        <v>6907958.599117755</v>
      </c>
      <c r="AN30" s="119">
        <v>8784608.6368272994</v>
      </c>
      <c r="AP30" s="119"/>
      <c r="AR30" s="119"/>
      <c r="AT30" s="119"/>
      <c r="AV30" s="119"/>
    </row>
    <row r="31" spans="1:49" x14ac:dyDescent="0.2">
      <c r="A31" t="s">
        <v>47</v>
      </c>
      <c r="B31" s="80">
        <v>1</v>
      </c>
      <c r="D31" s="80">
        <v>1.0303042082237739</v>
      </c>
      <c r="F31" s="80">
        <v>1.0599903320224879</v>
      </c>
      <c r="H31" s="80">
        <v>1.0891758395718099</v>
      </c>
      <c r="J31" s="80">
        <v>1.1180175632993465</v>
      </c>
      <c r="L31" s="80">
        <v>1.1467311927956643</v>
      </c>
      <c r="N31" s="80">
        <v>1.1756245759996293</v>
      </c>
      <c r="P31" s="80">
        <v>1.2051513398832947</v>
      </c>
      <c r="R31" s="80">
        <v>1.2359887818800308</v>
      </c>
      <c r="T31" s="80">
        <v>1.2691436671627028</v>
      </c>
      <c r="V31" s="80">
        <v>1.3060309269397128</v>
      </c>
      <c r="X31" s="80">
        <v>1.3482793337532759</v>
      </c>
      <c r="Z31" s="80">
        <v>1.3967486128682685</v>
      </c>
      <c r="AB31" s="80">
        <v>1.4499190951773679</v>
      </c>
      <c r="AD31" s="80">
        <v>1.5039662356883068</v>
      </c>
      <c r="AF31" s="80">
        <v>1.5551202537341233</v>
      </c>
      <c r="AH31" s="80">
        <v>1.6008087327659883</v>
      </c>
      <c r="AJ31" s="80">
        <v>1.6382934887778517</v>
      </c>
      <c r="AL31" s="80">
        <v>1.659752360482962</v>
      </c>
      <c r="AN31" s="80">
        <v>1.6187662676887216</v>
      </c>
      <c r="AP31" s="80"/>
      <c r="AR31" s="80"/>
      <c r="AT31" s="80"/>
      <c r="AV31" s="80"/>
    </row>
    <row r="32" spans="1:49" x14ac:dyDescent="0.2">
      <c r="A32" t="s">
        <v>64</v>
      </c>
      <c r="B32" s="86">
        <v>14734457.915000005</v>
      </c>
      <c r="D32" s="86">
        <v>15193548.819064066</v>
      </c>
      <c r="F32" s="86">
        <v>15649047.555861168</v>
      </c>
      <c r="H32" s="86">
        <v>16103515.834891897</v>
      </c>
      <c r="J32" s="86">
        <v>16560585.77062558</v>
      </c>
      <c r="L32" s="86">
        <v>17025443.306447096</v>
      </c>
      <c r="N32" s="86">
        <v>17505649.394711014</v>
      </c>
      <c r="P32" s="86">
        <v>18012486.068527296</v>
      </c>
      <c r="R32" s="86">
        <v>18563065.338640969</v>
      </c>
      <c r="T32" s="86">
        <v>19183518.755861461</v>
      </c>
      <c r="V32" s="86">
        <v>19912673.596836723</v>
      </c>
      <c r="X32" s="86">
        <v>20801885.269632578</v>
      </c>
      <c r="Z32" s="86">
        <v>21899870.713110231</v>
      </c>
      <c r="AB32" s="86">
        <v>23221560.128255781</v>
      </c>
      <c r="AD32" s="86">
        <v>24747908.547217958</v>
      </c>
      <c r="AF32" s="86">
        <v>26486193.209077045</v>
      </c>
      <c r="AH32" s="86">
        <v>28541153.421723064</v>
      </c>
      <c r="AJ32" s="86">
        <v>31220175.606227092</v>
      </c>
      <c r="AL32" s="86">
        <v>35435437.580105819</v>
      </c>
      <c r="AN32" s="86">
        <v>45350250.68531318</v>
      </c>
      <c r="AP32" s="86"/>
      <c r="AR32" s="86"/>
      <c r="AT32" s="86"/>
      <c r="AV32" s="86"/>
    </row>
    <row r="33" spans="1:49 16319:16321" x14ac:dyDescent="0.2">
      <c r="A33" t="s">
        <v>54</v>
      </c>
      <c r="B33" s="117">
        <v>7019665.6909999941</v>
      </c>
      <c r="D33" s="117">
        <v>7238381.8693225486</v>
      </c>
      <c r="F33" s="117">
        <v>7455386.5673830146</v>
      </c>
      <c r="H33" s="117">
        <v>7671900.7065812312</v>
      </c>
      <c r="J33" s="117">
        <v>7889654.0118587241</v>
      </c>
      <c r="L33" s="117">
        <v>8111117.5580483358</v>
      </c>
      <c r="N33" s="117">
        <v>8339893.2608599719</v>
      </c>
      <c r="P33" s="117">
        <v>8581356.1048265696</v>
      </c>
      <c r="R33" s="117">
        <v>8843658.4191208631</v>
      </c>
      <c r="T33" s="117">
        <v>9139249.5885890741</v>
      </c>
      <c r="V33" s="117">
        <v>9486627.3627860192</v>
      </c>
      <c r="X33" s="117">
        <v>9910258.0581851918</v>
      </c>
      <c r="Z33" s="117">
        <v>10433350.99000282</v>
      </c>
      <c r="AB33" s="117">
        <v>11063019.071629835</v>
      </c>
      <c r="AD33" s="117">
        <v>11790189.062605556</v>
      </c>
      <c r="AF33" s="117">
        <v>12618327.924073158</v>
      </c>
      <c r="AH33" s="117">
        <v>13597334.670322416</v>
      </c>
      <c r="AJ33" s="117">
        <v>14873651.737599637</v>
      </c>
      <c r="AL33" s="117">
        <v>16881851.158800587</v>
      </c>
      <c r="AN33" s="117">
        <v>21605382.47490311</v>
      </c>
      <c r="AP33" s="117"/>
      <c r="AR33" s="117"/>
      <c r="AT33" s="117"/>
      <c r="AV33" s="117"/>
    </row>
    <row r="34" spans="1:49 16319:16321" x14ac:dyDescent="0.2">
      <c r="A34" t="s">
        <v>75</v>
      </c>
      <c r="B34" s="117">
        <v>1136879.4410000113</v>
      </c>
      <c r="D34" s="117">
        <v>1172301.9482025343</v>
      </c>
      <c r="F34" s="117">
        <v>1207447.4495263165</v>
      </c>
      <c r="H34" s="117">
        <v>1242513.0008079805</v>
      </c>
      <c r="J34" s="117">
        <v>1277779.6447079179</v>
      </c>
      <c r="L34" s="117">
        <v>1313646.9984872628</v>
      </c>
      <c r="N34" s="117">
        <v>1350698.6976026888</v>
      </c>
      <c r="P34" s="117">
        <v>1389805.1306905639</v>
      </c>
      <c r="R34" s="117">
        <v>1432286.6546722963</v>
      </c>
      <c r="T34" s="117">
        <v>1480159.5151887781</v>
      </c>
      <c r="V34" s="117">
        <v>1536419.5540689025</v>
      </c>
      <c r="X34" s="117">
        <v>1605029.2370654219</v>
      </c>
      <c r="Z34" s="117">
        <v>1689747.4562139995</v>
      </c>
      <c r="AB34" s="117">
        <v>1791726.2006050211</v>
      </c>
      <c r="AD34" s="117">
        <v>1909495.9989351486</v>
      </c>
      <c r="AF34" s="117">
        <v>2043618.3471086021</v>
      </c>
      <c r="AH34" s="117">
        <v>2202174.7073947168</v>
      </c>
      <c r="AJ34" s="117">
        <v>2408882.3624108294</v>
      </c>
      <c r="AL34" s="117">
        <v>2734123.0128764245</v>
      </c>
      <c r="AN34" s="117">
        <v>3499128.9089669781</v>
      </c>
      <c r="AP34" s="117"/>
      <c r="AR34" s="117"/>
      <c r="AT34" s="117"/>
      <c r="AV34" s="117"/>
    </row>
    <row r="35" spans="1:49 16319:16321" x14ac:dyDescent="0.2">
      <c r="A35" t="s">
        <v>78</v>
      </c>
      <c r="B35" s="233">
        <v>1</v>
      </c>
      <c r="D35" s="233">
        <v>1.0008292193659074</v>
      </c>
      <c r="F35" s="233">
        <v>1.0019708722381002</v>
      </c>
      <c r="H35" s="233">
        <v>1.0034603254701868</v>
      </c>
      <c r="J35" s="233">
        <v>1.0053619571295123</v>
      </c>
      <c r="L35" s="233">
        <v>1.0077783745455333</v>
      </c>
      <c r="N35" s="233">
        <v>1.0108661745428813</v>
      </c>
      <c r="P35" s="233">
        <v>1.014863385736134</v>
      </c>
      <c r="R35" s="233">
        <v>1.020136791936529</v>
      </c>
      <c r="T35" s="233">
        <v>1.0272619702407866</v>
      </c>
      <c r="V35" s="233">
        <v>1.0371470937714402</v>
      </c>
      <c r="X35" s="233">
        <v>1.0511748779430032</v>
      </c>
      <c r="Z35" s="233">
        <v>1.0712351527821506</v>
      </c>
      <c r="AB35" s="233">
        <v>1.0996031681146927</v>
      </c>
      <c r="AD35" s="233">
        <v>1.139394957681203</v>
      </c>
      <c r="AF35" s="233">
        <v>1.1967359764257528</v>
      </c>
      <c r="AH35" s="233">
        <v>1.2857871961861811</v>
      </c>
      <c r="AJ35" s="233">
        <v>1.4431524951353405</v>
      </c>
      <c r="AL35" s="233">
        <v>1.789010755770319</v>
      </c>
      <c r="AN35" s="233">
        <v>2.9933605135162771</v>
      </c>
      <c r="AP35" s="233"/>
      <c r="AR35" s="233"/>
      <c r="AT35" s="233"/>
      <c r="AV35" s="233"/>
    </row>
    <row r="36" spans="1:49 16319:16321" x14ac:dyDescent="0.2">
      <c r="A36" t="s">
        <v>21</v>
      </c>
      <c r="B36" s="37">
        <v>0.47195767671988087</v>
      </c>
      <c r="C36" s="38">
        <v>0.31738834428178991</v>
      </c>
      <c r="D36" s="37">
        <v>0.47196589849263748</v>
      </c>
      <c r="E36" s="38">
        <v>0.32395939775717097</v>
      </c>
      <c r="F36" s="37">
        <v>0.47197398565412435</v>
      </c>
      <c r="G36" s="38">
        <v>0.3308574656284517</v>
      </c>
      <c r="H36" s="37">
        <v>0.47198193544756822</v>
      </c>
      <c r="I36" s="38">
        <v>0.33815580848821036</v>
      </c>
      <c r="J36" s="37">
        <v>0.47198970665139495</v>
      </c>
      <c r="K36" s="38">
        <v>0.34595550026364114</v>
      </c>
      <c r="L36" s="37">
        <v>0.47199720888973162</v>
      </c>
      <c r="M36" s="38">
        <v>0.35439805903380139</v>
      </c>
      <c r="N36" s="37">
        <v>0.47200428502898439</v>
      </c>
      <c r="O36" s="38">
        <v>0.36368587310077832</v>
      </c>
      <c r="P36" s="37">
        <v>0.4720106840462952</v>
      </c>
      <c r="Q36" s="38">
        <v>0.37411611271845524</v>
      </c>
      <c r="R36" s="37">
        <v>0.47201601947475202</v>
      </c>
      <c r="S36" s="38">
        <v>0.38613762243738076</v>
      </c>
      <c r="T36" s="37">
        <v>0.47201971609966892</v>
      </c>
      <c r="U36" s="38">
        <v>0.4004459343297983</v>
      </c>
      <c r="V36" s="37">
        <v>0.47202097599925708</v>
      </c>
      <c r="W36" s="38">
        <v>0.41812865176691894</v>
      </c>
      <c r="X36" s="37">
        <v>0.47201889350156651</v>
      </c>
      <c r="Y36" s="38">
        <v>0.44082783384363872</v>
      </c>
      <c r="Z36" s="37">
        <v>0.47201297011873844</v>
      </c>
      <c r="AA36" s="38">
        <v>0.4707576378954475</v>
      </c>
      <c r="AB36" s="37">
        <v>0.47200390099530204</v>
      </c>
      <c r="AC36" s="38">
        <v>0.510487377916512</v>
      </c>
      <c r="AD36" s="37">
        <v>0.47199346522373764</v>
      </c>
      <c r="AE36" s="38">
        <v>0.56327302097428855</v>
      </c>
      <c r="AF36" s="37">
        <v>0.47198331717700798</v>
      </c>
      <c r="AG36" s="38">
        <v>0.63511617007211341</v>
      </c>
      <c r="AH36" s="37">
        <v>0.47197437877661602</v>
      </c>
      <c r="AI36" s="38">
        <v>0.73933881734071261</v>
      </c>
      <c r="AJ36" s="37">
        <v>0.4719671927601613</v>
      </c>
      <c r="AK36" s="38">
        <v>0.90900430562629475</v>
      </c>
      <c r="AL36" s="37">
        <v>0.47196270442494809</v>
      </c>
      <c r="AM36" s="38">
        <v>1.2488029618587375</v>
      </c>
      <c r="AN36" s="37">
        <v>0.47196503243137328</v>
      </c>
      <c r="AO36" s="38">
        <v>2.3360159232813507</v>
      </c>
      <c r="AP36" s="37"/>
      <c r="AQ36" s="38"/>
      <c r="AR36" s="37"/>
      <c r="AS36" s="38"/>
      <c r="AT36" s="37"/>
      <c r="AU36" s="38"/>
      <c r="AV36" s="37"/>
      <c r="AW36" s="38"/>
    </row>
    <row r="37" spans="1:49 16319:16321" x14ac:dyDescent="0.2">
      <c r="B37" s="39">
        <v>2.1403217525954137E-2</v>
      </c>
      <c r="C37" s="40">
        <v>0.34962461301992576</v>
      </c>
      <c r="D37" s="39">
        <v>2.0103397181306912E-2</v>
      </c>
      <c r="E37" s="40">
        <v>0.34293154372266232</v>
      </c>
      <c r="F37" s="39">
        <v>1.885109490531283E-2</v>
      </c>
      <c r="G37" s="40">
        <v>0.33621463175179711</v>
      </c>
      <c r="H37" s="39">
        <v>1.7638430684015452E-2</v>
      </c>
      <c r="I37" s="40">
        <v>0.32943131073922399</v>
      </c>
      <c r="J37" s="39">
        <v>1.6456762833917272E-2</v>
      </c>
      <c r="K37" s="40">
        <v>0.32252783576377247</v>
      </c>
      <c r="L37" s="39">
        <v>1.5296483195084188E-2</v>
      </c>
      <c r="M37" s="40">
        <v>0.31543575446794514</v>
      </c>
      <c r="N37" s="39">
        <v>1.4146696573659153E-2</v>
      </c>
      <c r="O37" s="40">
        <v>0.30806649708214473</v>
      </c>
      <c r="P37" s="39">
        <v>1.2994802960718761E-2</v>
      </c>
      <c r="Q37" s="40">
        <v>0.3003033460461757</v>
      </c>
      <c r="R37" s="39">
        <v>1.1826107902700531E-2</v>
      </c>
      <c r="S37" s="40">
        <v>0.2919899852130472</v>
      </c>
      <c r="T37" s="39">
        <v>1.0623976544866708E-2</v>
      </c>
      <c r="U37" s="40">
        <v>0.28291692825227455</v>
      </c>
      <c r="V37" s="39">
        <v>9.3722484522060796E-3</v>
      </c>
      <c r="W37" s="40">
        <v>0.27281591402810623</v>
      </c>
      <c r="X37" s="39">
        <v>8.0639345008360584E-3</v>
      </c>
      <c r="Y37" s="40">
        <v>0.26139741128287231</v>
      </c>
      <c r="Z37" s="39">
        <v>6.7193034212137534E-3</v>
      </c>
      <c r="AA37" s="40">
        <v>0.24849095492396861</v>
      </c>
      <c r="AB37" s="39">
        <v>5.397413923495735E-3</v>
      </c>
      <c r="AC37" s="40">
        <v>0.23422845085087937</v>
      </c>
      <c r="AD37" s="39">
        <v>4.1687028856010134E-3</v>
      </c>
      <c r="AE37" s="40">
        <v>0.2189550647747591</v>
      </c>
      <c r="AF37" s="39">
        <v>3.0742347218259483E-3</v>
      </c>
      <c r="AG37" s="40">
        <v>0.20286712191556061</v>
      </c>
      <c r="AH37" s="39">
        <v>2.1242210157603344E-3</v>
      </c>
      <c r="AI37" s="40">
        <v>0.18582621029471735</v>
      </c>
      <c r="AJ37" s="39">
        <v>1.3191025734502529E-3</v>
      </c>
      <c r="AK37" s="40">
        <v>0.16735351690180625</v>
      </c>
      <c r="AL37" s="39">
        <v>6.6641413807759097E-4</v>
      </c>
      <c r="AM37" s="40">
        <v>0.14649171229542626</v>
      </c>
      <c r="AN37" s="39">
        <v>1.9673096742394073E-4</v>
      </c>
      <c r="AO37" s="40">
        <v>0.12104550122963288</v>
      </c>
      <c r="AP37" s="39"/>
      <c r="AQ37" s="40"/>
      <c r="AR37" s="39"/>
      <c r="AS37" s="40"/>
      <c r="AT37" s="39"/>
      <c r="AU37" s="40"/>
      <c r="AV37" s="39"/>
      <c r="AW37" s="40"/>
    </row>
    <row r="38" spans="1:49 16319:16321" x14ac:dyDescent="0.2">
      <c r="A38" t="s">
        <v>22</v>
      </c>
      <c r="B38" s="37">
        <v>0.18079094942242827</v>
      </c>
      <c r="C38" s="38">
        <v>6.0565413429233668E-2</v>
      </c>
      <c r="D38" s="37">
        <v>0.18635103923941859</v>
      </c>
      <c r="E38" s="38">
        <v>6.1909597151734358E-2</v>
      </c>
      <c r="F38" s="37">
        <v>0.19211092405733107</v>
      </c>
      <c r="G38" s="38">
        <v>6.3312702239398E-2</v>
      </c>
      <c r="H38" s="37">
        <v>0.19811898213480997</v>
      </c>
      <c r="I38" s="38">
        <v>6.4788925604105665E-2</v>
      </c>
      <c r="J38" s="37">
        <v>0.20444340126011673</v>
      </c>
      <c r="K38" s="38">
        <v>6.6358061332271567E-2</v>
      </c>
      <c r="L38" s="37">
        <v>0.21118345411810913</v>
      </c>
      <c r="M38" s="38">
        <v>6.8047959937675526E-2</v>
      </c>
      <c r="N38" s="37">
        <v>0.21848692684957857</v>
      </c>
      <c r="O38" s="38">
        <v>6.9899023481129613E-2</v>
      </c>
      <c r="P38" s="37">
        <v>0.22658106378882989</v>
      </c>
      <c r="Q38" s="38">
        <v>7.1971751417052254E-2</v>
      </c>
      <c r="R38" s="37">
        <v>0.23582549086615726</v>
      </c>
      <c r="S38" s="38">
        <v>7.4359419981867486E-2</v>
      </c>
      <c r="T38" s="37">
        <v>0.24680442770853139</v>
      </c>
      <c r="U38" s="38">
        <v>7.7209918774308273E-2</v>
      </c>
      <c r="V38" s="37">
        <v>0.26047514484933804</v>
      </c>
      <c r="W38" s="38">
        <v>8.0760701972516613E-2</v>
      </c>
      <c r="X38" s="37">
        <v>0.27834787215430895</v>
      </c>
      <c r="Y38" s="38">
        <v>8.5380808783365653E-2</v>
      </c>
      <c r="Z38" s="37">
        <v>0.30253393520154537</v>
      </c>
      <c r="AA38" s="38">
        <v>9.1585097972424631E-2</v>
      </c>
      <c r="AB38" s="37">
        <v>0.33552561583465368</v>
      </c>
      <c r="AC38" s="38">
        <v>9.9994815895975045E-2</v>
      </c>
      <c r="AD38" s="37">
        <v>0.38051670651203173</v>
      </c>
      <c r="AE38" s="38">
        <v>0.11142803452978181</v>
      </c>
      <c r="AF38" s="37">
        <v>0.44390359490108305</v>
      </c>
      <c r="AG38" s="38">
        <v>0.12746267407613693</v>
      </c>
      <c r="AH38" s="37">
        <v>0.54237822136428127</v>
      </c>
      <c r="AI38" s="38">
        <v>0.15191447526543062</v>
      </c>
      <c r="AJ38" s="37">
        <v>0.73025442568371113</v>
      </c>
      <c r="AK38" s="38">
        <v>0.19592683245136125</v>
      </c>
      <c r="AL38" s="37">
        <v>1.3109381016488193</v>
      </c>
      <c r="AM38" s="38">
        <v>0.31014955390835164</v>
      </c>
      <c r="AN38" s="37">
        <v>319.17553742838277</v>
      </c>
      <c r="AO38" s="38">
        <v>6.7605247288650459</v>
      </c>
      <c r="AP38" s="37"/>
      <c r="AQ38" s="38"/>
      <c r="AR38" s="37"/>
      <c r="AS38" s="38"/>
      <c r="AT38" s="37"/>
      <c r="AU38" s="38"/>
      <c r="AV38" s="37"/>
      <c r="AW38" s="38"/>
    </row>
    <row r="39" spans="1:49 16319:16321" x14ac:dyDescent="0.2">
      <c r="A39" t="s">
        <v>23</v>
      </c>
      <c r="B39" s="39">
        <v>0.23064923795097952</v>
      </c>
      <c r="C39" s="40">
        <v>0.22092201281804799</v>
      </c>
      <c r="D39" s="39">
        <v>0.22424109624503163</v>
      </c>
      <c r="E39" s="40">
        <v>0.21931900693368778</v>
      </c>
      <c r="F39" s="39">
        <v>0.21826331643073618</v>
      </c>
      <c r="G39" s="40">
        <v>0.21793727580743635</v>
      </c>
      <c r="H39" s="39">
        <v>0.21264393143315882</v>
      </c>
      <c r="I39" s="40">
        <v>0.21676588982462508</v>
      </c>
      <c r="J39" s="39">
        <v>0.20731298156865066</v>
      </c>
      <c r="K39" s="40">
        <v>0.21579782232312256</v>
      </c>
      <c r="L39" s="39">
        <v>0.20219755026394806</v>
      </c>
      <c r="M39" s="40">
        <v>0.21503031882134949</v>
      </c>
      <c r="N39" s="39">
        <v>0.19721668419819177</v>
      </c>
      <c r="O39" s="40">
        <v>0.21446522337689941</v>
      </c>
      <c r="P39" s="39">
        <v>0.19227348632362484</v>
      </c>
      <c r="Q39" s="40">
        <v>0.21410986637889121</v>
      </c>
      <c r="R39" s="39">
        <v>0.18724531750230539</v>
      </c>
      <c r="S39" s="40">
        <v>0.21397977129063964</v>
      </c>
      <c r="T39" s="39">
        <v>0.18197241391986974</v>
      </c>
      <c r="U39" s="40">
        <v>0.2141046350821077</v>
      </c>
      <c r="V39" s="39">
        <v>0.1762544150709886</v>
      </c>
      <c r="W39" s="40">
        <v>0.21454257906008309</v>
      </c>
      <c r="X39" s="39">
        <v>0.16988719683033379</v>
      </c>
      <c r="Y39" s="40">
        <v>0.2154136272967922</v>
      </c>
      <c r="Z39" s="39">
        <v>0.16279072782182388</v>
      </c>
      <c r="AA39" s="40">
        <v>0.21695973940830246</v>
      </c>
      <c r="AB39" s="39">
        <v>0.15515987819399368</v>
      </c>
      <c r="AC39" s="40">
        <v>0.21959934372000026</v>
      </c>
      <c r="AD39" s="39">
        <v>0.14734319083367156</v>
      </c>
      <c r="AE39" s="40">
        <v>0.22392330786206111</v>
      </c>
      <c r="AF39" s="39">
        <v>0.13948316861773982</v>
      </c>
      <c r="AG39" s="40">
        <v>0.23074180573022535</v>
      </c>
      <c r="AH39" s="39">
        <v>0.1313336398039042</v>
      </c>
      <c r="AI39" s="40">
        <v>0.24141413710987697</v>
      </c>
      <c r="AJ39" s="39">
        <v>0.1221719967514253</v>
      </c>
      <c r="AK39" s="40">
        <v>0.25880303536198623</v>
      </c>
      <c r="AL39" s="39">
        <v>0.11029216218770786</v>
      </c>
      <c r="AM39" s="40">
        <v>0.29052205025666705</v>
      </c>
      <c r="AN39" s="39">
        <v>9.0374355269450479E-2</v>
      </c>
      <c r="AO39" s="40">
        <v>0.36737943061470824</v>
      </c>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5.1899156750050607E-2</v>
      </c>
      <c r="E42" s="135"/>
      <c r="F42" s="177">
        <f>10.8%+(1-10.8%)*(1-SUM(F26:G26)/SUM($B$26:$C$26))</f>
        <v>-6.7266336735247734E-3</v>
      </c>
      <c r="G42" s="135"/>
      <c r="H42" s="177">
        <f>10.8%+(1-10.8%)*(1-SUM(H26:I26)/SUM($B$26:$C$26))</f>
        <v>-6.8358152753294654E-2</v>
      </c>
      <c r="I42" s="135"/>
      <c r="J42" s="177">
        <f>10.8%+(1-10.8%)*(1-SUM(J26:K26)/SUM($B$26:$C$26))</f>
        <v>-0.13368178096492497</v>
      </c>
      <c r="K42" s="135"/>
      <c r="L42" s="177">
        <f>10.8%+(1-10.8%)*(1-SUM(L26:M26)/SUM($B$26:$C$26))</f>
        <v>-0.20370407803613041</v>
      </c>
      <c r="M42" s="135"/>
      <c r="N42" s="177">
        <f>10.8%+(1-10.8%)*(1-SUM(N26:O26)/SUM($B$26:$C$26))</f>
        <v>-0.27993988466666364</v>
      </c>
      <c r="O42" s="135"/>
      <c r="P42" s="177">
        <f>10.8%+(1-10.8%)*(1-SUM(P26:Q26)/SUM($B$26:$C$26))</f>
        <v>-0.36474416702630641</v>
      </c>
      <c r="Q42" s="135"/>
      <c r="R42" s="177">
        <f>10.8%+(1-10.8%)*(1-SUM(R26:S26)/SUM($B$26:$C$26))</f>
        <v>-0.46188673256870472</v>
      </c>
      <c r="S42" s="135"/>
      <c r="T42" s="177">
        <f>10.8%+(1-10.8%)*(1-SUM(T26:U26)/SUM($B$26:$C$26))</f>
        <v>-0.57756641185842938</v>
      </c>
      <c r="U42" s="135"/>
      <c r="V42" s="177">
        <f>10.8%+(1-10.8%)*(1-SUM(V26:W26)/SUM($B$26:$C$26))</f>
        <v>-0.72207896137561722</v>
      </c>
      <c r="W42" s="135"/>
      <c r="X42" s="177">
        <f>10.8%+(1-10.8%)*(1-SUM(X26:Y26)/SUM($B$26:$C$26))</f>
        <v>-0.91193590736556251</v>
      </c>
      <c r="Y42" s="162"/>
      <c r="Z42" s="177">
        <f>10.8%+(1-10.8%)*(1-SUM(Z26:AA26)/SUM($B$26:$C$26))</f>
        <v>-1.1707327771020923</v>
      </c>
      <c r="AA42" s="135"/>
      <c r="AB42" s="177">
        <f>10.8%+(1-10.8%)*(1-SUM(AB26:AC26)/SUM($B$26:$C$26))</f>
        <v>-1.5271503119009484</v>
      </c>
      <c r="AC42" s="135"/>
      <c r="AD42" s="177">
        <f>10.8%+(1-10.8%)*(1-SUM(AD26:AE26)/SUM($B$26:$C$26))</f>
        <v>-2.0187051880915421</v>
      </c>
      <c r="AE42" s="135"/>
      <c r="AF42" s="177">
        <f>10.8%+(1-10.8%)*(1-SUM(AF26:AG26)/SUM($B$26:$C$26))</f>
        <v>-2.720260376196824</v>
      </c>
      <c r="AG42" s="135"/>
      <c r="AH42" s="177">
        <f>10.8%+(1-10.8%)*(1-SUM(AH26:AI26)/SUM($B$26:$C$26))</f>
        <v>-3.8276947735151756</v>
      </c>
      <c r="AI42" s="135"/>
      <c r="AJ42" s="177">
        <f>10.8%+(1-10.8%)*(1-SUM(AJ26:AK26)/SUM($B$26:$C$26))</f>
        <v>-5.9874257321058604</v>
      </c>
      <c r="AK42" s="135"/>
      <c r="AL42" s="177">
        <f>10.8%+(1-10.8%)*(1-SUM(AL26:AM26)/SUM($B$26:$C$26))</f>
        <v>-12.894800230563867</v>
      </c>
      <c r="AM42" s="135"/>
      <c r="AN42" s="177">
        <f>10.8%+(1-10.8%)*(1-SUM(AN26:AO26)/SUM($B$26:$C$26))</f>
        <v>-4127.565320859635</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0.56058995943838341</v>
      </c>
      <c r="C43" s="135"/>
      <c r="D43" s="162">
        <f t="array" ref="D43">SUM(D15:E15*D27:E27)/SUM(D15:E15*D27:E27,D13:E13*D26:E26)</f>
        <v>0.57612575753667261</v>
      </c>
      <c r="E43" s="135"/>
      <c r="F43" s="162">
        <f t="array" ref="F43">SUM(F15:G15*F27:G27)/SUM(F15:G15*F27:G27,F13:G13*F26:G26)</f>
        <v>0.5848363301833519</v>
      </c>
      <c r="G43" s="135"/>
      <c r="H43" s="162">
        <f t="array" ref="H43">SUM(H15:I15*H27:I27)/SUM(H15:I15*H27:I27,H13:I13*H26:I26)</f>
        <v>0.59339913250409715</v>
      </c>
      <c r="I43" s="135"/>
      <c r="J43" s="162">
        <f t="array" ref="J43">SUM(J15:K15*J27:K27)/SUM(J15:K15*J27:K27,J13:K13*J26:K26)</f>
        <v>0.60189712229132775</v>
      </c>
      <c r="K43" s="135"/>
      <c r="L43" s="162">
        <f t="array" ref="L43">SUM(L15:M15*L27:M27)/SUM(L15:M15*L27:M27,L13:M13*L26:M26)</f>
        <v>0.61043560743953218</v>
      </c>
      <c r="M43" s="135"/>
      <c r="N43" s="162">
        <f t="array" ref="N43">SUM(N15:O15*N27:O27)/SUM(N15:O15*N27:O27,N13:O13*N26:O26)</f>
        <v>0.61915644580299067</v>
      </c>
      <c r="O43" s="135"/>
      <c r="P43" s="162">
        <f t="array" ref="P43">SUM(P15:Q15*P27:Q27)/SUM(P15:Q15*P27:Q27,P13:Q13*P26:Q26)</f>
        <v>0.62825784930203576</v>
      </c>
      <c r="Q43" s="135"/>
      <c r="R43" s="162">
        <f t="array" ref="R43">SUM(R15:S15*R27:S27)/SUM(R15:S15*R27:S27,R13:S13*R26:S26)</f>
        <v>0.63802525039050995</v>
      </c>
      <c r="S43" s="135"/>
      <c r="T43" s="162">
        <f t="array" ref="T43">SUM(T15:U15*T27:U27)/SUM(T15:U15*T27:U27,T13:U13*T26:U26)</f>
        <v>0.648874499476084</v>
      </c>
      <c r="U43" s="135"/>
      <c r="V43" s="162">
        <f t="array" ref="V43">SUM(V15:W15*V27:W27)/SUM(V15:W15*V27:W27,V13:W13*V26:W26)</f>
        <v>0.66139339219250115</v>
      </c>
      <c r="W43" s="135"/>
      <c r="X43" s="162">
        <f t="array" ref="X43">SUM(X15:Y15*X27:Y27)/SUM(X15:Y15*X27:Y27,X13:Y13*X26:Y26)</f>
        <v>0.67630794202915279</v>
      </c>
      <c r="Y43" s="135"/>
      <c r="Z43" s="162">
        <f t="array" ref="Z43">SUM(Z15:AA15*Z27:AA27)/SUM(Z15:AA15*Z27:AA27,Z13:AA13*Z26:AA26)</f>
        <v>0.6942134758298355</v>
      </c>
      <c r="AA43" s="135"/>
      <c r="AB43" s="162">
        <f t="array" ref="AB43">SUM(AB15:AC15*AB27:AC27)/SUM(AB15:AC15*AB27:AC27,AB13:AC13*AB26:AC26)</f>
        <v>0.71512127604961528</v>
      </c>
      <c r="AC43" s="135"/>
      <c r="AD43" s="162">
        <f t="array" ref="AD43">SUM(AD15:AE15*AD27:AE27)/SUM(AD15:AE15*AD27:AE27,AD13:AE13*AD26:AE26)</f>
        <v>0.73856532919076079</v>
      </c>
      <c r="AE43" s="135"/>
      <c r="AF43" s="162">
        <f t="array" ref="AF43">SUM(AF15:AG15*AF27:AG27)/SUM(AF15:AG15*AF27:AG27,AF13:AG13*AF26:AG26)</f>
        <v>0.76453807587066702</v>
      </c>
      <c r="AG43" s="135"/>
      <c r="AH43" s="162">
        <f t="array" ref="AH43">SUM(AH15:AI15*AH27:AI27)/SUM(AH15:AI15*AH27:AI27,AH13:AI13*AH26:AI26)</f>
        <v>0.79436045075870454</v>
      </c>
      <c r="AI43" s="135"/>
      <c r="AJ43" s="162">
        <f t="array" ref="AJ43">SUM(AJ15:AK15*AJ27:AK27)/SUM(AJ15:AK15*AJ27:AK27,AJ13:AK13*AJ26:AK26)</f>
        <v>0.8317251674489512</v>
      </c>
      <c r="AK43" s="135"/>
      <c r="AL43" s="162">
        <f t="array" ref="AL43">SUM(AL15:AM15*AL27:AM27)/SUM(AL15:AM15*AL27:AM27,AL13:AM13*AL26:AM26)</f>
        <v>0.88656972765236552</v>
      </c>
      <c r="AM43" s="135"/>
      <c r="AN43" s="162">
        <f t="array" ref="AN43">SUM(AN15:AO15*AN27:AO27)/SUM(AN15:AO15*AN27:AO27,AN13:AO13*AN26:AO26)</f>
        <v>0.9971349070423754</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0.29754226190682431</v>
      </c>
      <c r="D44" s="193">
        <f>(SUM(D11:E11*D24:E24)+D34)/D32</f>
        <v>0.29754226344114026</v>
      </c>
      <c r="F44" s="193">
        <f>(SUM(F11:G11*F24:G24)+F34)/F32</f>
        <v>0.29754227321544574</v>
      </c>
      <c r="H44" s="193">
        <f>(SUM(H11:I11*H24:I24)+H34)/H32</f>
        <v>0.29754225989013056</v>
      </c>
      <c r="J44" s="193">
        <f>(SUM(J11:K11*J24:K24)+J34)/J32</f>
        <v>0.2975422650020903</v>
      </c>
      <c r="L44" s="193">
        <f>(SUM(L11:M11*L24:M24)+L34)/L32</f>
        <v>0.29754226170612069</v>
      </c>
      <c r="N44" s="193">
        <f>(SUM(N11:O11*N24:O24)+N34)/N32</f>
        <v>0.29754226263178746</v>
      </c>
      <c r="P44" s="193">
        <f>(SUM(P11:Q11*P24:Q24)+P34)/P32</f>
        <v>0.29754226222581309</v>
      </c>
      <c r="R44" s="193">
        <f>(SUM(R11:S11*R24:S24)+R34)/R32</f>
        <v>0.29754226222226154</v>
      </c>
      <c r="T44" s="193">
        <f>(SUM(T11:U11*T24:U24)+T34)/T32</f>
        <v>0.29754226192603028</v>
      </c>
      <c r="V44" s="193">
        <f>(SUM(V11:W11*V24:W24)+V34)/V32</f>
        <v>0.29754226201431527</v>
      </c>
      <c r="X44" s="193">
        <f>(SUM(X11:Y11*X24:Y24)+X34)/X32</f>
        <v>0.29754226207073253</v>
      </c>
      <c r="Z44" s="193">
        <f>(SUM(Z11:AA11*Z24:AA24)+Z34)/Z32</f>
        <v>0.29754226193017619</v>
      </c>
      <c r="AB44" s="193">
        <f>(SUM(AB11:AC11*AB24:AC24)+AB34)/AB32</f>
        <v>0.29754226190693617</v>
      </c>
      <c r="AD44" s="193">
        <f>(SUM(AD11:AE11*AD24:AE24)+AD34)/AD32</f>
        <v>0.29754226190697913</v>
      </c>
      <c r="AF44" s="193">
        <f>(SUM(AF11:AG11*AF24:AG24)+AF34)/AF32</f>
        <v>0.29754226190690075</v>
      </c>
      <c r="AH44" s="193">
        <f>(SUM(AH11:AI11*AH24:AI24)+AH34)/AH32</f>
        <v>0.29754226190682509</v>
      </c>
      <c r="AJ44" s="193">
        <f>(SUM(AJ11:AK11*AJ24:AK24)+AJ34)/AJ32</f>
        <v>0.29754226190682148</v>
      </c>
      <c r="AL44" s="193">
        <f>(SUM(AL11:AM11*AL24:AM24)+AL34)/AL32</f>
        <v>0.29754226190682298</v>
      </c>
      <c r="AN44" s="193">
        <f>(SUM(AN11:AO11*AN24:AO24)+AN34)/AN32</f>
        <v>0.29754226190682925</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0.22038438793995443</v>
      </c>
      <c r="F45" s="193">
        <f>SUM(F11:G11*F24:G24)/F32</f>
        <v>0.22038438579666281</v>
      </c>
      <c r="H45" s="193">
        <f>SUM(H11:I11*H24:I24)/H32</f>
        <v>0.22038438868067731</v>
      </c>
      <c r="J45" s="193">
        <f>SUM(J11:K11*J24:K24)/J32</f>
        <v>0.22038438771405466</v>
      </c>
      <c r="L45" s="193">
        <f>SUM(L11:M11*L24:M24)/L32</f>
        <v>0.22038438834902466</v>
      </c>
      <c r="N45" s="193">
        <f>SUM(N11:O11*N24:O24)/N32</f>
        <v>0.22038438821378525</v>
      </c>
      <c r="P45" s="193">
        <f>SUM(P11:Q11*P24:Q24)/P32</f>
        <v>0.22038438821535478</v>
      </c>
      <c r="R45" s="193">
        <f>SUM(R11:S11*R24:S24)/R32</f>
        <v>0.22038438831816867</v>
      </c>
      <c r="T45" s="193">
        <f>SUM(T11:U11*T24:U24)/T32</f>
        <v>0.22038438833537216</v>
      </c>
      <c r="V45" s="193">
        <f>SUM(V11:W11*V24:W24)/V32</f>
        <v>0.22038438833164845</v>
      </c>
      <c r="X45" s="193">
        <f>SUM(X11:Y11*X24:Y24)/X32</f>
        <v>0.22038438833663843</v>
      </c>
      <c r="Z45" s="193">
        <f>SUM(Z11:AA11*Z24:AA24)/Z32</f>
        <v>0.22038438833586124</v>
      </c>
      <c r="AB45" s="193">
        <f>SUM(AB11:AC11*AB24:AC24)/AB32</f>
        <v>0.22038438833129878</v>
      </c>
      <c r="AD45" s="193">
        <f>SUM(AD11:AE11*AD24:AE24)/AD32</f>
        <v>0.22038438833184806</v>
      </c>
      <c r="AF45" s="193">
        <f>SUM(AF11:AG11*AF24:AG24)/AF32</f>
        <v>0.22038438833191537</v>
      </c>
      <c r="AH45" s="193">
        <f>SUM(AH11:AI11*AH24:AI24)/AH32</f>
        <v>0.22038438833193963</v>
      </c>
      <c r="AJ45" s="193">
        <f>SUM(AJ11:AK11*AJ24:AK24)/AJ32</f>
        <v>0.22038438833194124</v>
      </c>
      <c r="AL45" s="193">
        <f>SUM(AL11:AM11*AL24:AM24)/AL32</f>
        <v>0.22038438833194107</v>
      </c>
      <c r="AN45" s="193">
        <f>SUM(AN11:AO11*AN24:AO24)/AN32</f>
        <v>0.22038438833193891</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7.7157873574883462E-2</v>
      </c>
      <c r="D46" s="193">
        <f>D34/D32</f>
        <v>7.7157875501185844E-2</v>
      </c>
      <c r="F46" s="193">
        <f>F34/F32</f>
        <v>7.7157887418782947E-2</v>
      </c>
      <c r="H46" s="193">
        <f>H34/H32</f>
        <v>7.7157871209453291E-2</v>
      </c>
      <c r="J46" s="193">
        <f>J34/J32</f>
        <v>7.7157877288035664E-2</v>
      </c>
      <c r="L46" s="193">
        <f>L34/L32</f>
        <v>7.7157873357095993E-2</v>
      </c>
      <c r="N46" s="193">
        <f>N34/N32</f>
        <v>7.7157874418002204E-2</v>
      </c>
      <c r="P46" s="193">
        <f>P34/P32</f>
        <v>7.7157874010458274E-2</v>
      </c>
      <c r="R46" s="193">
        <f>R34/R32</f>
        <v>7.715787390409283E-2</v>
      </c>
      <c r="T46" s="193">
        <f>T34/T32</f>
        <v>7.7157873590658135E-2</v>
      </c>
      <c r="V46" s="193">
        <f>V34/V32</f>
        <v>7.7157873682666814E-2</v>
      </c>
      <c r="X46" s="193">
        <f>X34/X32</f>
        <v>7.7157873734094079E-2</v>
      </c>
      <c r="Z46" s="193">
        <f>Z34/Z32</f>
        <v>7.715787359431496E-2</v>
      </c>
      <c r="AB46" s="193">
        <f>AB34/AB32</f>
        <v>7.7157873575637373E-2</v>
      </c>
      <c r="AD46" s="193">
        <f>AD34/AD32</f>
        <v>7.7157873575131056E-2</v>
      </c>
      <c r="AF46" s="193">
        <f>AF34/AF32</f>
        <v>7.7157873574985339E-2</v>
      </c>
      <c r="AH46" s="193">
        <f>AH34/AH32</f>
        <v>7.7157873574885433E-2</v>
      </c>
      <c r="AJ46" s="193">
        <f>AJ34/AJ32</f>
        <v>7.7157873574880215E-2</v>
      </c>
      <c r="AL46" s="193">
        <f>AL34/AL32</f>
        <v>7.7157873574881922E-2</v>
      </c>
      <c r="AN46" s="193">
        <f>AN34/AN32</f>
        <v>7.7157873574890332E-2</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1.0338431657651439</v>
      </c>
      <c r="E48" s="191"/>
      <c r="F48" s="191">
        <f>F24/$B$24</f>
        <v>1.0674720025819375</v>
      </c>
      <c r="G48" s="191"/>
      <c r="H48" s="191">
        <f>H24/$B$24</f>
        <v>1.101059369999094</v>
      </c>
      <c r="I48" s="191"/>
      <c r="J48" s="191">
        <f>J24/$B$24</f>
        <v>1.1348404147983253</v>
      </c>
      <c r="K48" s="191"/>
      <c r="L48" s="191">
        <f>L24/$B$24</f>
        <v>1.1691427261080618</v>
      </c>
      <c r="M48" s="191"/>
      <c r="N48" s="191">
        <f>N24/$B$24</f>
        <v>1.2044375095450148</v>
      </c>
      <c r="O48" s="191"/>
      <c r="P48" s="191">
        <f>P24/$B$24</f>
        <v>1.2414230730102309</v>
      </c>
      <c r="Q48" s="191"/>
      <c r="R48" s="191">
        <f>R24/$B$24</f>
        <v>1.2811543390303559</v>
      </c>
      <c r="S48" s="191"/>
      <c r="T48" s="191">
        <f>T24/$B$24</f>
        <v>1.325237602516216</v>
      </c>
      <c r="U48" s="191"/>
      <c r="V48" s="191">
        <f>V24/$B$24</f>
        <v>1.3760524752361087</v>
      </c>
      <c r="W48" s="191"/>
      <c r="X48" s="191">
        <f>X24/$B$24</f>
        <v>1.4367344944783196</v>
      </c>
      <c r="Y48" s="191"/>
      <c r="Z48" s="191">
        <f>Z24/$B$24</f>
        <v>1.5102485937578409</v>
      </c>
      <c r="AA48" s="191"/>
      <c r="AB48" s="191">
        <f>AB24/$B$24</f>
        <v>1.5975428979873028</v>
      </c>
      <c r="AC48" s="191"/>
      <c r="AD48" s="191">
        <f>AD24/$B$24</f>
        <v>1.6976827027979893</v>
      </c>
      <c r="AE48" s="191"/>
      <c r="AF48" s="191">
        <f>AF24/$B$24</f>
        <v>1.8116902051358643</v>
      </c>
      <c r="AG48" s="191"/>
      <c r="AH48" s="191">
        <f>AH24/$B$24</f>
        <v>1.9471139414993819</v>
      </c>
      <c r="AI48" s="191"/>
      <c r="AJ48" s="191">
        <f>AJ24/$B$24</f>
        <v>2.1252252114711236</v>
      </c>
      <c r="AK48" s="191"/>
      <c r="AL48" s="191">
        <f>AL24/$B$24</f>
        <v>2.4087916000123872</v>
      </c>
      <c r="AM48" s="191"/>
      <c r="AN48" s="191">
        <f>AN24/$B$24</f>
        <v>3.0850203718040232</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0.94946588081576877</v>
      </c>
      <c r="E49" s="191"/>
      <c r="F49" s="191">
        <f>F13/F35/$B$13*$B$35</f>
        <v>0.90113647620510118</v>
      </c>
      <c r="G49" s="191"/>
      <c r="H49" s="191">
        <f>H13/H35/$B$13*$B$35</f>
        <v>0.85462066836951522</v>
      </c>
      <c r="I49" s="191"/>
      <c r="J49" s="191">
        <f>J13/J35/$B$13*$B$35</f>
        <v>0.80948709170610034</v>
      </c>
      <c r="K49" s="191"/>
      <c r="L49" s="191">
        <f>L13/L35/$B$13*$B$35</f>
        <v>0.76523847423950564</v>
      </c>
      <c r="M49" s="191"/>
      <c r="N49" s="191">
        <f>N13/N35/$B$13*$B$35</f>
        <v>0.72127008852875019</v>
      </c>
      <c r="O49" s="191"/>
      <c r="P49" s="191">
        <f>P13/P35/$B$13*$B$35</f>
        <v>0.67681144858613995</v>
      </c>
      <c r="Q49" s="191"/>
      <c r="R49" s="191">
        <f>R13/R35/$B$13*$B$35</f>
        <v>0.63084933516755504</v>
      </c>
      <c r="S49" s="191"/>
      <c r="T49" s="191">
        <f>T13/T35/$B$13*$B$35</f>
        <v>0.58204540660763637</v>
      </c>
      <c r="U49" s="191"/>
      <c r="V49" s="191">
        <f>V13/V35/$B$13*$B$35</f>
        <v>0.52873979452028108</v>
      </c>
      <c r="W49" s="191"/>
      <c r="X49" s="191">
        <f>X13/X35/$B$13*$B$35</f>
        <v>0.46933895758045296</v>
      </c>
      <c r="Y49" s="191"/>
      <c r="Z49" s="191">
        <f>Z13/Z35/$B$13*$B$35</f>
        <v>0.40353077580547347</v>
      </c>
      <c r="AA49" s="191"/>
      <c r="AB49" s="191">
        <f>AB13/AB35/$B$13*$B$35</f>
        <v>0.33367078996078858</v>
      </c>
      <c r="AC49" s="191"/>
      <c r="AD49" s="191">
        <f>AD13/AD35/$B$13*$B$35</f>
        <v>0.2637434776312787</v>
      </c>
      <c r="AE49" s="191"/>
      <c r="AF49" s="191">
        <f>AF13/AF35/$B$13*$B$35</f>
        <v>0.19647173092414813</v>
      </c>
      <c r="AG49" s="191"/>
      <c r="AH49" s="191">
        <f>AH13/AH35/$B$13*$B$35</f>
        <v>0.13267238451544128</v>
      </c>
      <c r="AI49" s="191"/>
      <c r="AJ49" s="191">
        <f>AJ13/AJ35/$B$13*$B$35</f>
        <v>7.3141130041599001E-2</v>
      </c>
      <c r="AK49" s="191"/>
      <c r="AL49" s="191">
        <f>AL13/AL35/$B$13*$B$35</f>
        <v>2.2717944529428886E-2</v>
      </c>
      <c r="AM49" s="191"/>
      <c r="AN49" s="191">
        <f>AN13/AN35/$B$13*$B$35</f>
        <v>1.4794342193490215E-6</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-419987.65492757596</v>
      </c>
      <c r="F51" s="29">
        <f>F30-F10*F23</f>
        <v>-434092.30399657227</v>
      </c>
      <c r="H51" s="29">
        <f>H30-H10*H23</f>
        <v>-448227.70027837576</v>
      </c>
      <c r="J51" s="29">
        <f>J30-J10*J23</f>
        <v>-462512.22083440004</v>
      </c>
      <c r="L51" s="29">
        <f>L30-L10*L23</f>
        <v>-477108.87656561472</v>
      </c>
      <c r="N51" s="29">
        <f>N30-N10*N23</f>
        <v>-492261.19656763412</v>
      </c>
      <c r="P51" s="29">
        <f>P30-P10*P23</f>
        <v>-508334.50271334499</v>
      </c>
      <c r="R51" s="29">
        <f>R30-R10*R23</f>
        <v>-525887.24649257446</v>
      </c>
      <c r="T51" s="29">
        <f>T30-T10*T23</f>
        <v>-545777.69016447291</v>
      </c>
      <c r="V51" s="29">
        <f>V30-V10*V23</f>
        <v>-569293.9566592183</v>
      </c>
      <c r="X51" s="29">
        <f>X30-X10*X23</f>
        <v>-598166.75027294736</v>
      </c>
      <c r="Z51" s="29">
        <f>Z30-Z10*Z23</f>
        <v>-634103.03640689608</v>
      </c>
      <c r="AB51" s="29">
        <f>AB30-AB10*AB23</f>
        <v>-677777.34452897962</v>
      </c>
      <c r="AD51" s="29">
        <f>AD30-AD10*AD23</f>
        <v>-728790.85132906958</v>
      </c>
      <c r="AF51" s="29">
        <f>AF30-AF10*AF23</f>
        <v>-787649.55421491154</v>
      </c>
      <c r="AH51" s="29">
        <f>AH30-AH10*AH23</f>
        <v>-858256.04205786157</v>
      </c>
      <c r="AJ51" s="29">
        <f>AJ30-AJ10*AJ23</f>
        <v>-951842.76644452941</v>
      </c>
      <c r="AL51" s="29">
        <f>AL30-AL10*AL23</f>
        <v>-1102087.5729447529</v>
      </c>
      <c r="AN51" s="29">
        <f>AN30-AN10*AN23</f>
        <v>-1466643.4066329524</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2069776.7264169776</v>
      </c>
      <c r="F52" s="29">
        <f t="array" ref="F52">Calibration!sL*SUM(F13:G13*F26:G26)</f>
        <v>2088270.9719880512</v>
      </c>
      <c r="H52" s="29">
        <f t="array" ref="H52">Calibration!sL*SUM(H13:I13*H26:I26)</f>
        <v>2104844.8719454757</v>
      </c>
      <c r="J52" s="29">
        <f t="array" ref="J52">Calibration!sL*SUM(J13:K13*J26:K26)</f>
        <v>2119596.3835689006</v>
      </c>
      <c r="L52" s="29">
        <f t="array" ref="L52">Calibration!sL*SUM(L13:M13*L26:M26)</f>
        <v>2132608.7711957921</v>
      </c>
      <c r="N52" s="29">
        <f t="array" ref="N52">Calibration!sL*SUM(N13:O13*N26:O26)</f>
        <v>2143930.9132210524</v>
      </c>
      <c r="P52" s="29">
        <f t="array" ref="P52">Calibration!sL*SUM(P13:Q13*P26:Q26)</f>
        <v>2153555.9273400418</v>
      </c>
      <c r="R52" s="29">
        <f t="array" ref="R52">Calibration!sL*SUM(R13:S13*R26:S26)</f>
        <v>2161361.5072018132</v>
      </c>
      <c r="T52" s="29">
        <f t="array" ref="T52">Calibration!sL*SUM(T13:U13*T26:U26)</f>
        <v>2166982.2560633947</v>
      </c>
      <c r="V52" s="29">
        <f t="array" ref="V52">Calibration!sL*SUM(V13:W13*V26:W26)</f>
        <v>2169526.9080836768</v>
      </c>
      <c r="X52" s="29">
        <f t="array" ref="X52">Calibration!sL*SUM(X13:Y13*X26:Y26)</f>
        <v>2167028.0578117045</v>
      </c>
      <c r="Z52" s="29">
        <f t="array" ref="Z52">Calibration!sL*SUM(Z13:AA13*Z26:AA26)</f>
        <v>2155745.4061255963</v>
      </c>
      <c r="AB52" s="29">
        <f t="array" ref="AB52">Calibration!sL*SUM(AB13:AC13*AB26:AC26)</f>
        <v>2130172.9881070503</v>
      </c>
      <c r="AD52" s="29">
        <f t="array" ref="AD52">Calibration!sL*SUM(AD13:AE13*AD26:AE26)</f>
        <v>2084041.4378609571</v>
      </c>
      <c r="AF52" s="29">
        <f t="array" ref="AF52">Calibration!sL*SUM(AF13:AG13*AF26:AG26)</f>
        <v>2009561.8727318391</v>
      </c>
      <c r="AH52" s="29">
        <f t="array" ref="AH52">Calibration!sL*SUM(AH13:AI13*AH26:AI26)</f>
        <v>1891990.9872236962</v>
      </c>
      <c r="AJ52" s="29">
        <f t="array" ref="AJ52">Calibration!sL*SUM(AJ13:AK13*AJ26:AK26)</f>
        <v>1694418.6491318122</v>
      </c>
      <c r="AL52" s="29">
        <f t="array" ref="AL52">Calibration!sL*SUM(AL13:AM13*AL26:AM26)</f>
        <v>1297370.2080941072</v>
      </c>
      <c r="AN52" s="29">
        <f t="array" ref="AN52">Calibration!sL*SUM(AN13:AO13*AN26:AO26)</f>
        <v>42003.305851324862</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2740714.4444296514</v>
      </c>
      <c r="D53" s="29">
        <f t="array" ref="D53">Calibration!sK*SUM(D15:E15*D27:E27)</f>
        <v>2870933.628482121</v>
      </c>
      <c r="F53" s="29">
        <f t="array" ref="F53">Calibration!sK*SUM(F15:G15*F27:G27)</f>
        <v>3002072.9428063105</v>
      </c>
      <c r="H53" s="29">
        <f t="array" ref="H53">Calibration!sK*SUM(H15:I15*H27:I27)</f>
        <v>3134859.5457558911</v>
      </c>
      <c r="J53" s="29">
        <f t="array" ref="J53">Calibration!sK*SUM(J15:K15*J27:K27)</f>
        <v>3270389.7089319578</v>
      </c>
      <c r="L53" s="29">
        <f t="array" ref="L53">Calibration!sK*SUM(L15:M15*L27:M27)</f>
        <v>3410288.9921519835</v>
      </c>
      <c r="N53" s="29">
        <f t="array" ref="N53">Calibration!sK*SUM(N15:O15*N27:O27)</f>
        <v>3557000.8015440069</v>
      </c>
      <c r="P53" s="29">
        <f t="array" ref="P53">Calibration!sK*SUM(P15:Q15*P27:Q27)</f>
        <v>3714254.5023214845</v>
      </c>
      <c r="R53" s="29">
        <f t="array" ref="R53">Calibration!sK*SUM(R15:S15*R27:S27)</f>
        <v>3887822.157092385</v>
      </c>
      <c r="T53" s="29">
        <f t="array" ref="T53">Calibration!sK*SUM(T15:U15*T27:U27)</f>
        <v>4086703.0168515923</v>
      </c>
      <c r="V53" s="29">
        <f t="array" ref="V53">Calibration!sK*SUM(V15:W15*V27:W27)</f>
        <v>4324628.9501565984</v>
      </c>
      <c r="X53" s="29">
        <f t="array" ref="X53">Calibration!sK*SUM(X15:Y15*X27:Y27)</f>
        <v>4620578.6358816149</v>
      </c>
      <c r="Z53" s="29">
        <f t="array" ref="Z53">Calibration!sK*SUM(Z15:AA15*Z27:AA27)</f>
        <v>4994494.6736945594</v>
      </c>
      <c r="AB53" s="29">
        <f t="array" ref="AB53">Calibration!sK*SUM(AB15:AC15*AB27:AC27)</f>
        <v>5456999.8867064267</v>
      </c>
      <c r="AD53" s="29">
        <f t="array" ref="AD53">Calibration!sK*SUM(AD15:AE15*AD27:AE27)</f>
        <v>6008298.1010592841</v>
      </c>
      <c r="AF53" s="29">
        <f t="array" ref="AF53">Calibration!sK*SUM(AF15:AG15*AF27:AG27)</f>
        <v>6658849.5187026765</v>
      </c>
      <c r="AH53" s="29">
        <f t="array" ref="AH53">Calibration!sK*SUM(AH15:AI15*AH27:AI27)</f>
        <v>7458464.4014916522</v>
      </c>
      <c r="AJ53" s="29">
        <f t="array" ref="AJ53">Calibration!sK*SUM(AJ15:AK15*AJ27:AK27)</f>
        <v>8546745.7844062205</v>
      </c>
      <c r="AL53" s="29">
        <f t="array" ref="AL53">Calibration!sK*SUM(AL15:AM15*AL27:AM27)</f>
        <v>10348257.614076853</v>
      </c>
      <c r="AN53" s="29">
        <f t="array" ref="AN53">Calibration!sK*SUM(AN15:AO15*AN27:AO27)</f>
        <v>14918256.26527413</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0.19840370576910735</v>
      </c>
      <c r="F55" s="193">
        <f>F30/F32</f>
        <v>0.19830698897018326</v>
      </c>
      <c r="H55" s="193">
        <f>H30/H32</f>
        <v>0.19821205301180617</v>
      </c>
      <c r="J55" s="193">
        <f>J30/J32</f>
        <v>0.19811771053405164</v>
      </c>
      <c r="L55" s="193">
        <f>L30/L32</f>
        <v>0.19802291800571623</v>
      </c>
      <c r="N55" s="193">
        <f>N30/N32</f>
        <v>0.19792607114530353</v>
      </c>
      <c r="P55" s="193">
        <f>P30/P32</f>
        <v>0.19782497509174568</v>
      </c>
      <c r="R55" s="193">
        <f>R30/R32</f>
        <v>0.19771644130070973</v>
      </c>
      <c r="T55" s="193">
        <f>T30/T32</f>
        <v>0.19759586148032759</v>
      </c>
      <c r="V55" s="193">
        <f>V30/V32</f>
        <v>0.19745667569525002</v>
      </c>
      <c r="X55" s="193">
        <f>X30/X32</f>
        <v>0.19729079405621597</v>
      </c>
      <c r="Z55" s="193">
        <f>Z30/Z32</f>
        <v>0.19709155708208631</v>
      </c>
      <c r="AB55" s="193">
        <f>AB30/AB32</f>
        <v>0.19685878818130828</v>
      </c>
      <c r="AD55" s="193">
        <f>AD30/AD32</f>
        <v>0.19659762106337594</v>
      </c>
      <c r="AF55" s="193">
        <f>AF30/AF32</f>
        <v>0.19630808599082109</v>
      </c>
      <c r="AH55" s="193">
        <f>AH30/AH32</f>
        <v>0.19597537913644369</v>
      </c>
      <c r="AJ55" s="193">
        <f>AJ30/AJ32</f>
        <v>0.19555813881969927</v>
      </c>
      <c r="AL55" s="193">
        <f>AL30/AL32</f>
        <v>0.19494492154926921</v>
      </c>
      <c r="AN55" s="193">
        <f>AN30/AN32</f>
        <v>0.19370584515141881</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3.2522409194611697E-2</v>
      </c>
      <c r="F56" s="193">
        <f>(Model!$C$52*F5*F20+F2*G5*G20)/F32</f>
        <v>3.5744126026866961E-2</v>
      </c>
      <c r="H56" s="193">
        <f>(Model!$C$52*H5*H20+H2*I5*I20)/H32</f>
        <v>3.8910945910776013E-2</v>
      </c>
      <c r="J56" s="193">
        <f>(Model!$C$52*J5*J20+J2*K5*K20)/J32</f>
        <v>4.2052485560143002E-2</v>
      </c>
      <c r="L56" s="193">
        <f>(Model!$C$52*L5*L20+L2*M5*M20)/L32</f>
        <v>4.5206433330346144E-2</v>
      </c>
      <c r="N56" s="193">
        <f>(Model!$C$52*N5*N20+N2*O5*O20)/N32</f>
        <v>4.8423104967656103E-2</v>
      </c>
      <c r="P56" s="193">
        <f>(Model!$C$52*P5*P20+P2*Q5*Q20)/P32</f>
        <v>5.1772572644805968E-2</v>
      </c>
      <c r="R56" s="193">
        <f>(Model!$C$52*R5*R20+R2*S5*S20)/R32</f>
        <v>5.5355497417813482E-2</v>
      </c>
      <c r="T56" s="193">
        <f>(Model!$C$52*T5*T20+T2*U5*U20)/T32</f>
        <v>5.9318398942965804E-2</v>
      </c>
      <c r="V56" s="193">
        <f>(Model!$C$52*V5*V20+V2*W5*W20)/V32</f>
        <v>6.3868250900363258E-2</v>
      </c>
      <c r="X56" s="193">
        <f>(Model!$C$52*X5*X20+X2*Y5*Y20)/X32</f>
        <v>6.9260819715870281E-2</v>
      </c>
      <c r="Z56" s="193">
        <f>(Model!$C$52*Z5*Z20+Z2*AA5*AA20)/Z32</f>
        <v>7.5706460830185257E-2</v>
      </c>
      <c r="AB56" s="193">
        <f>(Model!$C$52*AB5*AB20+AB2*AC5*AC20)/AB32</f>
        <v>8.3211429914942237E-2</v>
      </c>
      <c r="AD56" s="193">
        <f>(Model!$C$52*AD5*AD20+AD2*AE5*AE20)/AD32</f>
        <v>9.1616447339358739E-2</v>
      </c>
      <c r="AF56" s="193">
        <f>(Model!$C$52*AF5*AF20+AF2*AG5*AG20)/AF32</f>
        <v>0.1009272202140931</v>
      </c>
      <c r="AH56" s="193">
        <f>(Model!$C$52*AH5*AH20+AH2*AI5*AI20)/AH32</f>
        <v>0.11162378781463969</v>
      </c>
      <c r="AJ56" s="193">
        <f>(Model!$C$52*AJ5*AJ20+AJ2*AK5*AK20)/AJ32</f>
        <v>0.12503767730611157</v>
      </c>
      <c r="AL56" s="193">
        <f>(Model!$C$52*AL5*AL20+AL2*AM5*AM20)/AL32</f>
        <v>0.14475233482410982</v>
      </c>
      <c r="AN56" s="193">
        <f>(Model!$C$52*AN5*AN20+AN2*AO5*AO20)/AN32</f>
        <v>0.18458830732635798</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0.15527880374180006</v>
      </c>
      <c r="F57" s="193">
        <f t="array" ref="F57">SUM(Model!tauL*F13:G13*F26:G26)/F32</f>
        <v>0.15210617465483064</v>
      </c>
      <c r="H57" s="193">
        <f t="array" ref="H57">SUM(Model!tauL*H13:I13*H26:I26)/H32</f>
        <v>0.14898662837705978</v>
      </c>
      <c r="J57" s="193">
        <f t="array" ref="J57">SUM(Model!tauL*J13:K13*J26:K26)/J32</f>
        <v>0.14588995105411867</v>
      </c>
      <c r="L57" s="193">
        <f t="array" ref="L57">SUM(Model!tauL*L13:M13*L26:M26)/L32</f>
        <v>0.14277779324739309</v>
      </c>
      <c r="N57" s="193">
        <f t="array" ref="N57">SUM(Model!tauL*N13:O13*N26:O26)/N32</f>
        <v>0.13959840727796907</v>
      </c>
      <c r="P57" s="193">
        <f t="array" ref="P57">SUM(Model!tauL*P13:Q13*P26:Q26)/P32</f>
        <v>0.13627945869947913</v>
      </c>
      <c r="R57" s="193">
        <f t="array" ref="R57">SUM(Model!tauL*R13:S13*R26:S26)/R32</f>
        <v>0.13271671464811785</v>
      </c>
      <c r="T57" s="193">
        <f t="array" ref="T57">SUM(Model!tauL*T13:U13*T26:U26)/T32</f>
        <v>0.12875822681491261</v>
      </c>
      <c r="V57" s="193">
        <f t="array" ref="V57">SUM(Model!tauL*V13:W13*V26:W26)/V32</f>
        <v>0.12418906833313081</v>
      </c>
      <c r="X57" s="193">
        <f t="array" ref="X57">SUM(Model!tauL*X13:Y13*X26:Y26)/X32</f>
        <v>0.11874347128661764</v>
      </c>
      <c r="Y57" s="193"/>
      <c r="Z57" s="193">
        <f t="array" ref="Z57">SUM(Model!tauL*Z13:AA13*Z26:AA26)/Z32</f>
        <v>0.11220283270073361</v>
      </c>
      <c r="AB57" s="193">
        <f t="array" ref="AB57">SUM(Model!tauL*AB13:AC13*AB26:AC26)/AB32</f>
        <v>0.10456139821414154</v>
      </c>
      <c r="AD57" s="193">
        <f t="array" ref="AD57">SUM(Model!tauL*AD13:AE13*AD26:AE26)/AD32</f>
        <v>9.5987736478503893E-2</v>
      </c>
      <c r="AF57" s="193">
        <f t="array" ref="AF57">SUM(Model!tauL*AF13:AG13*AF26:AG26)/AF32</f>
        <v>8.6482800100318724E-2</v>
      </c>
      <c r="AH57" s="193">
        <f t="array" ref="AH57">SUM(Model!tauL*AH13:AI13*AH26:AI26)/AH32</f>
        <v>7.556060841178637E-2</v>
      </c>
      <c r="AJ57" s="193">
        <f t="array" ref="AJ57">SUM(Model!tauL*AJ13:AK13*AJ26:AK26)/AJ32</f>
        <v>6.1863328658641047E-2</v>
      </c>
      <c r="AL57" s="193">
        <f t="array" ref="AL57">SUM(Model!tauL*AL13:AM13*AL26:AM26)/AL32</f>
        <v>4.17324636552888E-2</v>
      </c>
      <c r="AN57" s="193">
        <f t="array" ref="AN57">SUM(Model!tauL*AN13:AO13*AN26:AO26)/AN32</f>
        <v>1.0557271336217927E-3</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1.0602492832695607E-2</v>
      </c>
      <c r="F58" s="193">
        <f t="array" ref="F58">SUM(Model!tauY/(1+Model!tauY)*F3:G3*F18:G18)/F32</f>
        <v>1.0456688288485661E-2</v>
      </c>
      <c r="H58" s="193">
        <f t="array" ref="H58">SUM(Model!tauY/(1+Model!tauY)*H3:I3*H18:I18)/H32</f>
        <v>1.0314478723970403E-2</v>
      </c>
      <c r="J58" s="193">
        <f t="array" ref="J58">SUM(Model!tauY/(1+Model!tauY)*J3:K3*J18:K18)/J32</f>
        <v>1.0175273919789967E-2</v>
      </c>
      <c r="L58" s="193">
        <f t="array" ref="L58">SUM(Model!tauY/(1+Model!tauY)*L3:M3*L18:M18)/L32</f>
        <v>1.0038691427977E-2</v>
      </c>
      <c r="N58" s="193">
        <f t="array" ref="N58">SUM(Model!tauY/(1+Model!tauY)*N3:O3*N18:O18)/N32</f>
        <v>9.9045588996783205E-3</v>
      </c>
      <c r="P58" s="193">
        <f t="array" ref="P58">SUM(Model!tauY/(1+Model!tauY)*P3:Q3*P18:Q18)/P32</f>
        <v>9.7729437474605909E-3</v>
      </c>
      <c r="R58" s="193">
        <f t="array" ref="R58">SUM(Model!tauY/(1+Model!tauY)*R3:S3*R18:S18)/R32</f>
        <v>9.6442292347783658E-3</v>
      </c>
      <c r="T58" s="193">
        <f t="array" ref="T58">SUM(Model!tauY/(1+Model!tauY)*T3:U3*T18:U18)/T32</f>
        <v>9.5192357224491708E-3</v>
      </c>
      <c r="V58" s="193">
        <f t="array" ref="V58">SUM(Model!tauY/(1+Model!tauY)*V3:W3*V18:W18)/V32</f>
        <v>9.3993564617559557E-3</v>
      </c>
      <c r="X58" s="193">
        <f t="array" ref="X58">SUM(Model!tauY/(1+Model!tauY)*X3:Y3*X18:Y18)/X32</f>
        <v>9.2865030537280339E-3</v>
      </c>
      <c r="Y58" s="193"/>
      <c r="Z58" s="193">
        <f t="array" ref="Z58">SUM(Model!tauY/(1+Model!tauY)*Z3:AA3*Z18:AA18)/Z32</f>
        <v>9.182263551167455E-3</v>
      </c>
      <c r="AB58" s="193">
        <f t="array" ref="AB58">SUM(Model!tauY/(1+Model!tauY)*AB3:AC3*AB18:AC18)/AB32</f>
        <v>9.0859600522245135E-3</v>
      </c>
      <c r="AD58" s="193">
        <f t="array" ref="AD58">SUM(Model!tauY/(1+Model!tauY)*AD3:AE3*AD18:AE18)/AD32</f>
        <v>8.993437245513259E-3</v>
      </c>
      <c r="AF58" s="193">
        <f t="array" ref="AF58">SUM(Model!tauY/(1+Model!tauY)*AF3:AG3*AF18:AG18)/AF32</f>
        <v>8.8980656764092725E-3</v>
      </c>
      <c r="AH58" s="193">
        <f t="array" ref="AH58">SUM(Model!tauY/(1+Model!tauY)*AH3:AI3*AH18:AI18)/AH32</f>
        <v>8.7909829100176213E-3</v>
      </c>
      <c r="AJ58" s="193">
        <f t="array" ref="AJ58">SUM(Model!tauY/(1+Model!tauY)*AJ3:AK3*AJ18:AK18)/AJ32</f>
        <v>8.6571328549466565E-3</v>
      </c>
      <c r="AL58" s="193">
        <f t="array" ref="AL58">SUM(Model!tauY/(1+Model!tauY)*AL3:AM3*AL18:AM18)/AL32</f>
        <v>8.4601230698706162E-3</v>
      </c>
      <c r="AN58" s="193">
        <f t="array" ref="AN58">SUM(Model!tauY/(1+Model!tauY)*AN3:AO3*AN18:AO18)/AN32</f>
        <v>8.0618106914390562E-3</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3.9179001981205558E-3</v>
      </c>
      <c r="F59" s="193">
        <f>(F2*G5*G20)/F32</f>
        <v>7.2034507474190339E-3</v>
      </c>
      <c r="H59" s="193">
        <f>(H2*I5*I20)/H32</f>
        <v>1.0433504889987146E-2</v>
      </c>
      <c r="J59" s="193">
        <f>(J2*K5*K20)/J32</f>
        <v>1.3638300622473579E-2</v>
      </c>
      <c r="L59" s="193">
        <f>(L2*M5*M20)/L32</f>
        <v>1.6856300925645353E-2</v>
      </c>
      <c r="N59" s="193">
        <f>(N2*O5*O20)/N32</f>
        <v>2.0138841543697619E-2</v>
      </c>
      <c r="P59" s="193">
        <f>(P2*Q5*Q20)/P32</f>
        <v>2.3557399557669927E-2</v>
      </c>
      <c r="R59" s="193">
        <f>(R2*S5*S20)/R32</f>
        <v>2.7214641972195815E-2</v>
      </c>
      <c r="T59" s="193">
        <f>(T2*U5*U20)/T32</f>
        <v>3.1260015266667204E-2</v>
      </c>
      <c r="V59" s="193">
        <f>(V2*W5*W20)/V32</f>
        <v>3.5904705542731223E-2</v>
      </c>
      <c r="X59" s="193">
        <f>(X2*Y5*Y20)/X32</f>
        <v>4.1409986327902951E-2</v>
      </c>
      <c r="Z59" s="193">
        <f>(Z2*AA5*AA20)/Z32</f>
        <v>4.7991690754701881E-2</v>
      </c>
      <c r="AB59" s="193">
        <f>(AB2*AC5*AC20)/AB32</f>
        <v>5.5658982419763386E-2</v>
      </c>
      <c r="AD59" s="193">
        <f>(AD2*AE5*AE20)/AD32</f>
        <v>6.4253625148822616E-2</v>
      </c>
      <c r="AF59" s="193">
        <f>(AF2*AG5*AG20)/AF32</f>
        <v>7.3786906645812597E-2</v>
      </c>
      <c r="AH59" s="193">
        <f>(AH2*AI5*AI20)/AH32</f>
        <v>8.4756833053672098E-2</v>
      </c>
      <c r="AJ59" s="193">
        <f>(AJ2*AK5*AK20)/AJ32</f>
        <v>9.8538425699666171E-2</v>
      </c>
      <c r="AL59" s="193">
        <f>(AL2*AM5*AM20)/AL32</f>
        <v>0.11883066933051283</v>
      </c>
      <c r="AN59" s="193">
        <f>(AN2*AO5*AO20)/AN32</f>
        <v>0.1598996659516711</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2.8604508996491144E-2</v>
      </c>
      <c r="F60" s="193">
        <f>Model!$C$52*F5*F20/F32</f>
        <v>2.8540675279447925E-2</v>
      </c>
      <c r="H60" s="193">
        <f>Model!$C$52*H5*H20/H32</f>
        <v>2.8477441020788873E-2</v>
      </c>
      <c r="J60" s="193">
        <f>Model!$C$52*J5*J20/J32</f>
        <v>2.8414184937669423E-2</v>
      </c>
      <c r="L60" s="193">
        <f>Model!$C$52*L5*L20/L32</f>
        <v>2.8350132404700794E-2</v>
      </c>
      <c r="N60" s="193">
        <f>Model!$C$52*N5*N20/N32</f>
        <v>2.8284263423958483E-2</v>
      </c>
      <c r="P60" s="193">
        <f>Model!$C$52*P5*P20/P32</f>
        <v>2.8215173087136045E-2</v>
      </c>
      <c r="R60" s="193">
        <f>Model!$C$52*R5*R20/R32</f>
        <v>2.8140855445617671E-2</v>
      </c>
      <c r="T60" s="193">
        <f>Model!$C$52*T5*T20/T32</f>
        <v>2.8058383676298593E-2</v>
      </c>
      <c r="V60" s="193">
        <f>Model!$C$52*V5*V20/V32</f>
        <v>2.7963545357632045E-2</v>
      </c>
      <c r="X60" s="193">
        <f>Model!$C$52*X5*X20/X32</f>
        <v>2.7850833387967337E-2</v>
      </c>
      <c r="Z60" s="193">
        <f>Model!$C$52*Z5*Z20/Z32</f>
        <v>2.771477007548338E-2</v>
      </c>
      <c r="AB60" s="193">
        <f>Model!$C$52*AB5*AB20/AB32</f>
        <v>2.7552447495178847E-2</v>
      </c>
      <c r="AD60" s="193">
        <f>Model!$C$52*AD5*AD20/AD32</f>
        <v>2.7362822190536141E-2</v>
      </c>
      <c r="AF60" s="193">
        <f>Model!$C$52*AF5*AF20/AF32</f>
        <v>2.7140313568280512E-2</v>
      </c>
      <c r="AH60" s="193">
        <f>Model!$C$52*AH5*AH20/AH32</f>
        <v>2.6866954760967589E-2</v>
      </c>
      <c r="AJ60" s="193">
        <f>Model!$C$52*AJ5*AJ20/AJ32</f>
        <v>2.6499251606445395E-2</v>
      </c>
      <c r="AL60" s="193">
        <f>Model!$C$52*AL5*AL20/AL32</f>
        <v>2.5921665493596986E-2</v>
      </c>
      <c r="AN60" s="193">
        <f>Model!$C$52*AN5*AN20/AN32</f>
        <v>2.4688641374686852E-2</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0.90715188367404687</v>
      </c>
      <c r="F62">
        <f>F13/F15</f>
        <v>0.82430589336381777</v>
      </c>
      <c r="H62">
        <f>H13/H15</f>
        <v>0.74975488494721698</v>
      </c>
      <c r="J62">
        <f>J13/J15</f>
        <v>0.68201931369070479</v>
      </c>
      <c r="L62">
        <f>L13/L15</f>
        <v>0.61977554660257239</v>
      </c>
      <c r="N62">
        <f>N13/N15</f>
        <v>0.56178664992465488</v>
      </c>
      <c r="P62">
        <f>P13/P15</f>
        <v>0.50683594906870733</v>
      </c>
      <c r="R62">
        <f>R13/R15</f>
        <v>0.45367146126085067</v>
      </c>
      <c r="T62">
        <f>T13/T15</f>
        <v>0.40098560942256939</v>
      </c>
      <c r="V62">
        <f>V13/V15</f>
        <v>0.34753399355529141</v>
      </c>
      <c r="X62">
        <f>X13/X15</f>
        <v>0.29263684230890558</v>
      </c>
      <c r="Z62">
        <f>Z13/Z15</f>
        <v>0.23721039293777726</v>
      </c>
      <c r="AB62">
        <f>AB13/AB15</f>
        <v>0.18427397994521597</v>
      </c>
      <c r="AD62">
        <f>AD13/AD15</f>
        <v>0.13707818270263986</v>
      </c>
      <c r="AF62">
        <f>AF13/AF15</f>
        <v>9.6774961343074409E-2</v>
      </c>
      <c r="AH62">
        <f>AH13/AH15</f>
        <v>6.2685053227559448E-2</v>
      </c>
      <c r="AJ62">
        <f>AJ13/AJ15</f>
        <v>3.3848302435904164E-2</v>
      </c>
      <c r="AL62">
        <f>AL13/AL15</f>
        <v>1.0764120314182698E-2</v>
      </c>
      <c r="AN62">
        <f>AN13/AN15</f>
        <v>8.1358027533821068E-7</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0.99764007576487501</v>
      </c>
      <c r="E65" s="191"/>
      <c r="F65" s="191">
        <f t="array" ref="F65">SQRT((F9:G9*$B$22:$C$22+F10:G10*$B$23:$C$23+F11:G11*$B$24:$C$24+F4:G4*($B$25:$C$25-$B$19:$C$19))/($B$9:$C$9*$B$22:$C$22+$B$10:$C$10*$B$23:$C$23+$B$11:$C$11*$B$24:$C$24+$B$4:$C$4*($B$25:$C$25-$B$19:$C$19))*(F9:G9*F22:G22+F10:G10*F23:G23+F11:G11*F24:G24+F4:G4*(F25:G25-F19:G19))/($B$9:$C$9*F22:G22+$B$10:$C$10*F23:G23+$B$11:$C$11*F24:G24+$B$4:$C$4*(F25:G25-F19:G19)))</f>
        <v>0.99541048941174703</v>
      </c>
      <c r="G65" s="191"/>
      <c r="H65" s="191">
        <f t="array" ref="H65">SQRT((H9:I9*$B$22:$C$22+H10:I10*$B$23:$C$23+H11:I11*$B$24:$C$24+H4:I4*($B$25:$C$25-$B$19:$C$19))/($B$9:$C$9*$B$22:$C$22+$B$10:$C$10*$B$23:$C$23+$B$11:$C$11*$B$24:$C$24+$B$4:$C$4*($B$25:$C$25-$B$19:$C$19))*(H9:I9*H22:I22+H10:I10*H23:I23+H11:I11*H24:I24+H4:I4*(H25:I25-H19:I19))/($B$9:$C$9*H22:I22+$B$10:$C$10*H23:I23+$B$11:$C$11*H24:I24+$B$4:$C$4*(H25:I25-H19:I19)))</f>
        <v>0.99329951340303169</v>
      </c>
      <c r="I65" s="191"/>
      <c r="J65" s="191">
        <f t="array" ref="J65">SQRT((J9:K9*$B$22:$C$22+J10:K10*$B$23:$C$23+J11:K11*$B$24:$C$24+J4:K4*($B$25:$C$25-$B$19:$C$19))/($B$9:$C$9*$B$22:$C$22+$B$10:$C$10*$B$23:$C$23+$B$11:$C$11*$B$24:$C$24+$B$4:$C$4*($B$25:$C$25-$B$19:$C$19))*(J9:K9*J22:K22+J10:K10*J23:K23+J11:K11*J24:K24+J4:K4*(J25:K25-J19:K19))/($B$9:$C$9*J22:K22+$B$10:$C$10*J23:K23+$B$11:$C$11*J24:K24+$B$4:$C$4*(J25:K25-J19:K19)))</f>
        <v>0.99130681067179427</v>
      </c>
      <c r="K65" s="191"/>
      <c r="L65" s="191">
        <f t="array" ref="L65">SQRT((L9:M9*$B$22:$C$22+L10:M10*$B$23:$C$23+L11:M11*$B$24:$C$24+L4:M4*($B$25:$C$25-$B$19:$C$19))/($B$9:$C$9*$B$22:$C$22+$B$10:$C$10*$B$23:$C$23+$B$11:$C$11*$B$24:$C$24+$B$4:$C$4*($B$25:$C$25-$B$19:$C$19))*(L9:M9*L22:M22+L10:M10*L23:M23+L11:M11*L24:M24+L4:M4*(L25:M25-L19:M19))/($B$9:$C$9*L22:M22+$B$10:$C$10*L23:M23+$B$11:$C$11*L24:M24+$B$4:$C$4*(L25:M25-L19:M19)))</f>
        <v>0.98944440537228417</v>
      </c>
      <c r="M65" s="191"/>
      <c r="N65" s="191">
        <f t="array" ref="N65">SQRT((N9:O9*$B$22:$C$22+N10:O10*$B$23:$C$23+N11:O11*$B$24:$C$24+N4:O4*($B$25:$C$25-$B$19:$C$19))/($B$9:$C$9*$B$22:$C$22+$B$10:$C$10*$B$23:$C$23+$B$11:$C$11*$B$24:$C$24+$B$4:$C$4*($B$25:$C$25-$B$19:$C$19))*(N9:O9*N22:O22+N10:O10*N23:O23+N11:O11*N24:O24+N4:O4*(N25:O25-N19:O19))/($B$9:$C$9*N22:O22+$B$10:$C$10*N23:O23+$B$11:$C$11*N24:O24+$B$4:$C$4*(N25:O25-N19:O19)))</f>
        <v>0.98773900931298531</v>
      </c>
      <c r="O65" s="191"/>
      <c r="P65" s="191">
        <f t="array" ref="P65">SQRT((P9:Q9*$B$22:$C$22+P10:Q10*$B$23:$C$23+P11:Q11*$B$24:$C$24+P4:Q4*($B$25:$C$25-$B$19:$C$19))/($B$9:$C$9*$B$22:$C$22+$B$10:$C$10*$B$23:$C$23+$B$11:$C$11*$B$24:$C$24+$B$4:$C$4*($B$25:$C$25-$B$19:$C$19))*(P9:Q9*P22:Q22+P10:Q10*P23:Q23+P11:Q11*P24:Q24+P4:Q4*(P25:Q25-P19:Q19))/($B$9:$C$9*P22:Q22+$B$10:$C$10*P23:Q23+$B$11:$C$11*P24:Q24+$B$4:$C$4*(P25:Q25-P19:Q19)))</f>
        <v>0.98623679973202549</v>
      </c>
      <c r="Q65" s="191"/>
      <c r="R65" s="191">
        <f t="array" ref="R65">SQRT((R9:S9*$B$22:$C$22+R10:S10*$B$23:$C$23+R11:S11*$B$24:$C$24+R4:S4*($B$25:$C$25-$B$19:$C$19))/($B$9:$C$9*$B$22:$C$22+$B$10:$C$10*$B$23:$C$23+$B$11:$C$11*$B$24:$C$24+$B$4:$C$4*($B$25:$C$25-$B$19:$C$19))*(R9:S9*R22:S22+R10:S10*R23:S23+R11:S11*R24:S24+R4:S4*(R25:S25-R19:S19))/($B$9:$C$9*R22:S22+$B$10:$C$10*R23:S23+$B$11:$C$11*R24:S24+$B$4:$C$4*(R25:S25-R19:S19)))</f>
        <v>0.98501152095286459</v>
      </c>
      <c r="S65" s="191"/>
      <c r="T65" s="191">
        <f t="array" ref="T65">SQRT((T9:U9*$B$22:$C$22+T10:U10*$B$23:$C$23+T11:U11*$B$24:$C$24+T4:U4*($B$25:$C$25-$B$19:$C$19))/($B$9:$C$9*$B$22:$C$22+$B$10:$C$10*$B$23:$C$23+$B$11:$C$11*$B$24:$C$24+$B$4:$C$4*($B$25:$C$25-$B$19:$C$19))*(T9:U9*T22:U22+T10:U10*T23:U23+T11:U11*T24:U24+T4:U4*(T25:U25-T19:U19))/($B$9:$C$9*T22:U22+$B$10:$C$10*T23:U23+$B$11:$C$11*T24:U24+$B$4:$C$4*(T25:U25-T19:U19)))</f>
        <v>0.98417614214052707</v>
      </c>
      <c r="U65" s="191"/>
      <c r="V65" s="191">
        <f t="array" ref="V65">SQRT((V9:W9*$B$22:$C$22+V10:W10*$B$23:$C$23+V11:W11*$B$24:$C$24+V4:W4*($B$25:$C$25-$B$19:$C$19))/($B$9:$C$9*$B$22:$C$22+$B$10:$C$10*$B$23:$C$23+$B$11:$C$11*$B$24:$C$24+$B$4:$C$4*($B$25:$C$25-$B$19:$C$19))*(V9:W9*V22:W22+V10:W10*V23:W23+V11:W11*V24:W24+V4:W4*(V25:W25-V19:W19))/($B$9:$C$9*V22:W22+$B$10:$C$10*V23:W23+$B$11:$C$11*V24:W24+$B$4:$C$4*(V25:W25-V19:W19)))</f>
        <v>0.98389299002389208</v>
      </c>
      <c r="W65" s="191"/>
      <c r="X65" s="191">
        <f t="array" ref="X65">SQRT((X9:Y9*$B$22:$C$22+X10:Y10*$B$23:$C$23+X11:Y11*$B$24:$C$24+X4:Y4*($B$25:$C$25-$B$19:$C$19))/($B$9:$C$9*$B$22:$C$22+$B$10:$C$10*$B$23:$C$23+$B$11:$C$11*$B$24:$C$24+$B$4:$C$4*($B$25:$C$25-$B$19:$C$19))*(X9:Y9*X22:Y22+X10:Y10*X23:Y23+X11:Y11*X24:Y24+X4:Y4*(X25:Y25-X19:Y19))/($B$9:$C$9*X22:Y22+$B$10:$C$10*X23:Y23+$B$11:$C$11*X24:Y24+$B$4:$C$4*(X25:Y25-X19:Y19)))</f>
        <v>0.98435794920181696</v>
      </c>
      <c r="Y65" s="191"/>
      <c r="Z65" s="191">
        <f t="array" ref="Z65">SQRT((Z9:AA9*$B$22:$C$22+Z10:AA10*$B$23:$C$23+Z11:AA11*$B$24:$C$24+Z4:AA4*($B$25:$C$25-$B$19:$C$19))/($B$9:$C$9*$B$22:$C$22+$B$10:$C$10*$B$23:$C$23+$B$11:$C$11*$B$24:$C$24+$B$4:$C$4*($B$25:$C$25-$B$19:$C$19))*(Z9:AA9*Z22:AA22+Z10:AA10*Z23:AA23+Z11:AA11*Z24:AA24+Z4:AA4*(Z25:AA25-Z19:AA19))/($B$9:$C$9*Z22:AA22+$B$10:$C$10*Z23:AA23+$B$11:$C$11*Z24:AA24+$B$4:$C$4*(Z25:AA25-Z19:AA19)))</f>
        <v>0.98570302726715064</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0.98782289094496656</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0.99035880377193775</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0.99293345101425268</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0.99529914962631538</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0.99727411585406944</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0.99854337549076777</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0.99788148291724288</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0.99740238190008679</v>
      </c>
      <c r="E66" s="191"/>
      <c r="F66" s="191">
        <f t="array" ref="F66">SQRT((F9:G9*$B$22:$C$22)/($B$9:$C$9*$B$22:$C$22)*(F9:G9*F22:G22)/($B$9:$C$9*F22:G22))</f>
        <v>0.99494082029549302</v>
      </c>
      <c r="G66" s="191"/>
      <c r="H66" s="191">
        <f t="array" ref="H66">SQRT((H9:I9*$B$22:$C$22)/($B$9:$C$9*$B$22:$C$22)*(H9:I9*H22:I22)/($B$9:$C$9*H22:I22))</f>
        <v>0.99260350768850558</v>
      </c>
      <c r="I66" s="191"/>
      <c r="J66" s="191">
        <f t="array" ref="J66">SQRT((J9:K9*$B$22:$C$22)/($B$9:$C$9*$B$22:$C$22)*(J9:K9*J22:K22)/($B$9:$C$9*J22:K22))</f>
        <v>0.99039111742065089</v>
      </c>
      <c r="K66" s="191"/>
      <c r="L66" s="191">
        <f t="array" ref="L66">SQRT((L9:M9*$B$22:$C$22)/($B$9:$C$9*$B$22:$C$22)*(L9:M9*L22:M22)/($B$9:$C$9*L22:M22))</f>
        <v>0.98831806613154449</v>
      </c>
      <c r="M66" s="191"/>
      <c r="N66" s="191">
        <f t="array" ref="N66">SQRT((N9:O9*$B$22:$C$22)/($B$9:$C$9*$B$22:$C$22)*(N9:O9*N22:O22)/($B$9:$C$9*N22:O22))</f>
        <v>0.98641527995579403</v>
      </c>
      <c r="O66" s="191"/>
      <c r="P66" s="191">
        <f t="array" ref="P66">SQRT((P9:Q9*$B$22:$C$22)/($B$9:$C$9*$B$22:$C$22)*(P9:Q9*P22:Q22)/($B$9:$C$9*P22:Q22))</f>
        <v>0.98473569839479447</v>
      </c>
      <c r="Q66" s="191"/>
      <c r="R66" s="191">
        <f t="array" ref="R66">SQRT((R9:S9*$B$22:$C$22)/($B$9:$C$9*$B$22:$C$22)*(R9:S9*R22:S22)/($B$9:$C$9*R22:S22))</f>
        <v>0.98336348754981173</v>
      </c>
      <c r="S66" s="191"/>
      <c r="T66" s="191">
        <f t="array" ref="T66">SQRT((T9:U9*$B$22:$C$22)/($B$9:$C$9*$B$22:$C$22)*(T9:U9*T22:U22)/($B$9:$C$9*T22:U22))</f>
        <v>0.98242715516987855</v>
      </c>
      <c r="U66" s="191"/>
      <c r="V66" s="191">
        <f t="array" ref="V66">SQRT((V9:W9*$B$22:$C$22)/($B$9:$C$9*$B$22:$C$22)*(V9:W9*V22:W22)/($B$9:$C$9*V22:W22))</f>
        <v>0.98211064068539311</v>
      </c>
      <c r="W66" s="191"/>
      <c r="X66" s="191">
        <f t="array" ref="X66">SQRT((X9:Y9*$B$22:$C$22)/($B$9:$C$9*$B$22:$C$22)*(X9:Y9*X22:Y22)/($B$9:$C$9*X22:Y22))</f>
        <v>0.98263451638652044</v>
      </c>
      <c r="Y66" s="191"/>
      <c r="Z66" s="191">
        <f t="array" ref="Z66">SQRT((Z9:AA9*$B$22:$C$22)/($B$9:$C$9*$B$22:$C$22)*(Z9:AA9*Z22:AA22)/($B$9:$C$9*Z22:AA22))</f>
        <v>0.98414467808129313</v>
      </c>
      <c r="AA66" s="191"/>
      <c r="AB66" s="191">
        <f t="array" ref="AB66">SQRT((AB9:AC9*$B$22:$C$22)/($B$9:$C$9*$B$22:$C$22)*(AB9:AC9*AB22:AC22)/($B$9:$C$9*AB22:AC22))</f>
        <v>0.98651729332988525</v>
      </c>
      <c r="AC66" s="191"/>
      <c r="AD66" s="191">
        <f t="array" ref="AD66">SQRT((AD9:AE9*$B$22:$C$22)/($B$9:$C$9*$B$22:$C$22)*(AD9:AE9*AD22:AE22)/($B$9:$C$9*AD22:AE22))</f>
        <v>0.98934512023746257</v>
      </c>
      <c r="AE66" s="191"/>
      <c r="AF66" s="191">
        <f t="array" ref="AF66">SQRT((AF9:AG9*$B$22:$C$22)/($B$9:$C$9*$B$22:$C$22)*(AF9:AG9*AF22:AG22)/($B$9:$C$9*AF22:AG22))</f>
        <v>0.99220507436653804</v>
      </c>
      <c r="AG66" s="191"/>
      <c r="AH66" s="191">
        <f t="array" ref="AH66">SQRT((AH9:AI9*$B$22:$C$22)/($B$9:$C$9*$B$22:$C$22)*(AH9:AI9*AH22:AI22)/($B$9:$C$9*AH22:AI22))</f>
        <v>0.99482339764961769</v>
      </c>
      <c r="AI66" s="191"/>
      <c r="AJ66" s="191">
        <f t="array" ref="AJ66">SQRT((AJ9:AK9*$B$22:$C$22)/($B$9:$C$9*$B$22:$C$22)*(AJ9:AK9*AJ22:AK22)/($B$9:$C$9*AJ22:AK22))</f>
        <v>0.99700243635827079</v>
      </c>
      <c r="AK66" s="191"/>
      <c r="AL66" s="191">
        <f t="array" ref="AL66">SQRT((AL9:AM9*$B$22:$C$22)/($B$9:$C$9*$B$22:$C$22)*(AL9:AM9*AL22:AM22)/($B$9:$C$9*AL22:AM22))</f>
        <v>0.99839962541804794</v>
      </c>
      <c r="AM66" s="191"/>
      <c r="AN66" s="191">
        <f t="array" ref="AN66">SQRT((AN9:AO9*$B$22:$C$22)/($B$9:$C$9*$B$22:$C$22)*(AN9:AO9*AN22:AO22)/($B$9:$C$9*AN22:AO22))</f>
        <v>0.99767133248675388</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0.99740238190008679</v>
      </c>
      <c r="E68" s="191"/>
      <c r="F68" s="191">
        <f>F66/F67</f>
        <v>0.99494082029549302</v>
      </c>
      <c r="G68" s="191"/>
      <c r="H68" s="191">
        <f>H66/H67</f>
        <v>0.99260350768850558</v>
      </c>
      <c r="I68" s="191"/>
      <c r="J68" s="191">
        <f>J66/J67</f>
        <v>0.99039111742065089</v>
      </c>
      <c r="K68" s="191"/>
      <c r="L68" s="191">
        <f>L66/L67</f>
        <v>0.98831806613154449</v>
      </c>
      <c r="M68" s="191"/>
      <c r="N68" s="191">
        <f>N66/N67</f>
        <v>0.98641527995579403</v>
      </c>
      <c r="O68" s="191"/>
      <c r="P68" s="191">
        <f>P66/P67</f>
        <v>0.98473569839479447</v>
      </c>
      <c r="Q68" s="191"/>
      <c r="R68" s="191">
        <f>R66/R67</f>
        <v>0.98336348754981173</v>
      </c>
      <c r="S68" s="191"/>
      <c r="T68" s="191">
        <f>T66/T67</f>
        <v>0.98242715516987855</v>
      </c>
      <c r="U68" s="191"/>
      <c r="V68" s="191">
        <f>V66/V67</f>
        <v>0.98211064068539311</v>
      </c>
      <c r="W68" s="191"/>
      <c r="X68" s="191">
        <f>X66/X67</f>
        <v>0.98263451638652044</v>
      </c>
      <c r="Y68" s="191"/>
      <c r="Z68" s="191">
        <f>Z66/Z67</f>
        <v>0.98414467808129313</v>
      </c>
      <c r="AA68" s="191"/>
      <c r="AB68" s="191">
        <f>AB66/AB67</f>
        <v>0.98651729332988525</v>
      </c>
      <c r="AC68" s="191"/>
      <c r="AD68" s="191">
        <f>AD66/AD67</f>
        <v>0.98934512023746257</v>
      </c>
      <c r="AE68" s="191"/>
      <c r="AF68" s="191">
        <f>AF66/AF67</f>
        <v>0.99220507436653804</v>
      </c>
      <c r="AG68" s="191"/>
      <c r="AH68" s="191">
        <f>AH66/AH67</f>
        <v>0.99482339764961769</v>
      </c>
      <c r="AI68" s="191"/>
      <c r="AJ68" s="191">
        <f>AJ66/AJ67</f>
        <v>0.99700243635827079</v>
      </c>
      <c r="AK68" s="191"/>
      <c r="AL68" s="191">
        <f>AL66/AL67</f>
        <v>0.99839962541804794</v>
      </c>
      <c r="AM68" s="191"/>
      <c r="AN68" s="191">
        <f>AN66/AN67</f>
        <v>0.99767133248675388</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1.0335968481306002</v>
      </c>
      <c r="E69" s="191"/>
      <c r="F69" s="191">
        <f>F32/F65/($B$32)</f>
        <v>1.0669683446242844</v>
      </c>
      <c r="G69" s="191"/>
      <c r="H69" s="191">
        <f>H32/H65/($B$32)</f>
        <v>1.1002878551310791</v>
      </c>
      <c r="I69" s="191"/>
      <c r="J69" s="191">
        <f>J32/J65/($B$32)</f>
        <v>1.1337921393838744</v>
      </c>
      <c r="K69" s="191"/>
      <c r="L69" s="191">
        <f>L32/L65/($B$32)</f>
        <v>1.1678118262486434</v>
      </c>
      <c r="M69" s="191"/>
      <c r="N69" s="191">
        <f>N32/N65/($B$32)</f>
        <v>1.2028233699410436</v>
      </c>
      <c r="O69" s="191"/>
      <c r="P69" s="191">
        <f>P32/P65/($B$32)</f>
        <v>1.2395335661607929</v>
      </c>
      <c r="Q69" s="191"/>
      <c r="R69" s="191">
        <f>R32/R65/($B$32)</f>
        <v>1.2790108259632027</v>
      </c>
      <c r="S69" s="191"/>
      <c r="T69" s="191">
        <f>T32/T65/($B$32)</f>
        <v>1.3228825125878581</v>
      </c>
      <c r="U69" s="191"/>
      <c r="V69" s="191">
        <f>V32/V65/($B$32)</f>
        <v>1.3735597181557633</v>
      </c>
      <c r="W69" s="191"/>
      <c r="X69" s="191">
        <f>X32/X65/($B$32)</f>
        <v>1.4342190320830057</v>
      </c>
      <c r="Y69" s="191"/>
      <c r="Z69" s="191">
        <f>Z32/Z65/($B$32)</f>
        <v>1.5078609631755449</v>
      </c>
      <c r="AA69" s="191"/>
      <c r="AB69" s="191">
        <f>AB32/AB65/($B$32)</f>
        <v>1.5954314383196535</v>
      </c>
      <c r="AC69" s="191"/>
      <c r="AD69" s="191">
        <f>AD32/AD65/($B$32)</f>
        <v>1.6959450366154618</v>
      </c>
      <c r="AE69" s="191"/>
      <c r="AF69" s="191">
        <f>AF32/AF65/($B$32)</f>
        <v>1.81036122096602</v>
      </c>
      <c r="AG69" s="191"/>
      <c r="AH69" s="191">
        <f>AH32/AH65/($B$32)</f>
        <v>1.9461832230245784</v>
      </c>
      <c r="AI69" s="191"/>
      <c r="AJ69" s="191">
        <f>AJ32/AJ65/($B$32)</f>
        <v>2.1246462531839927</v>
      </c>
      <c r="AK69" s="191"/>
      <c r="AL69" s="191">
        <f>AL32/AL65/($B$32)</f>
        <v>2.4084448309323747</v>
      </c>
      <c r="AM69" s="191"/>
      <c r="AN69" s="191">
        <f>AN32/AN65/($B$32)</f>
        <v>3.084370677055424</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1.0332452847483238</v>
      </c>
      <c r="E70" s="138"/>
      <c r="F70" s="138">
        <f>F18/$B$18</f>
        <v>1.0661986145451423</v>
      </c>
      <c r="G70" s="138"/>
      <c r="H70" s="138">
        <f>H18/$B$18</f>
        <v>1.0990152339494956</v>
      </c>
      <c r="I70" s="138"/>
      <c r="J70" s="138">
        <f>J18/$B$18</f>
        <v>1.1318972162229435</v>
      </c>
      <c r="K70" s="138"/>
      <c r="L70" s="138">
        <f>L18/$B$18</f>
        <v>1.1651174360041336</v>
      </c>
      <c r="M70" s="138"/>
      <c r="N70" s="138">
        <f>N18/$B$18</f>
        <v>1.1990606080217627</v>
      </c>
      <c r="O70" s="138"/>
      <c r="P70" s="138">
        <f>P18/$B$18</f>
        <v>1.2342897982102838</v>
      </c>
      <c r="Q70" s="138"/>
      <c r="R70" s="138">
        <f>R18/$B$18</f>
        <v>1.2716476237146914</v>
      </c>
      <c r="S70" s="138"/>
      <c r="T70" s="138">
        <f>T18/$B$18</f>
        <v>1.3124053581000217</v>
      </c>
      <c r="U70" s="138"/>
      <c r="V70" s="138">
        <f>V18/$B$18</f>
        <v>1.358422744897235</v>
      </c>
      <c r="W70" s="138"/>
      <c r="X70" s="138">
        <f>X18/$B$18</f>
        <v>1.412093357068775</v>
      </c>
      <c r="Y70" s="138"/>
      <c r="Z70" s="138">
        <f>Z18/$B$18</f>
        <v>1.4755437302250587</v>
      </c>
      <c r="AA70" s="138"/>
      <c r="AB70" s="138">
        <f>AB18/$B$18</f>
        <v>1.5491529383085958</v>
      </c>
      <c r="AC70" s="138"/>
      <c r="AD70" s="138">
        <f>AD18/$B$18</f>
        <v>1.6317797491884971</v>
      </c>
      <c r="AE70" s="138"/>
      <c r="AF70" s="138">
        <f>AF18/$B$18</f>
        <v>1.7238779135610449</v>
      </c>
      <c r="AG70" s="138"/>
      <c r="AH70" s="138">
        <f>AH18/$B$18</f>
        <v>1.8308843550315919</v>
      </c>
      <c r="AI70" s="138"/>
      <c r="AJ70" s="138">
        <f>AJ18/$B$18</f>
        <v>1.968187941154883</v>
      </c>
      <c r="AK70" s="138"/>
      <c r="AL70" s="138">
        <f>AL18/$B$18</f>
        <v>2.180186740162001</v>
      </c>
      <c r="AM70" s="138"/>
      <c r="AN70" s="138">
        <f>AN18/$B$18</f>
        <v>2.6606830017132985</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0.89980271522058497</v>
      </c>
      <c r="E71" s="138"/>
      <c r="F71" s="138">
        <f>G18/$C$18</f>
        <v>0.8005129371868287</v>
      </c>
      <c r="G71" s="138"/>
      <c r="H71" s="138">
        <f>I18/$C$18</f>
        <v>0.70228248214671896</v>
      </c>
      <c r="I71" s="138"/>
      <c r="J71" s="138">
        <f>K18/$C$18</f>
        <v>0.60543472609247051</v>
      </c>
      <c r="K71" s="138"/>
      <c r="L71" s="138">
        <f>M18/$C$18</f>
        <v>0.51050306127598244</v>
      </c>
      <c r="M71" s="138"/>
      <c r="N71" s="138">
        <f>O18/$C$18</f>
        <v>0.4182858198110041</v>
      </c>
      <c r="O71" s="138"/>
      <c r="P71" s="138">
        <f>Q18/$C$18</f>
        <v>0.32993509296595941</v>
      </c>
      <c r="Q71" s="138"/>
      <c r="R71" s="138">
        <f>S18/$C$18</f>
        <v>0.24709832931768758</v>
      </c>
      <c r="S71" s="138"/>
      <c r="T71" s="138">
        <f>U18/$C$18</f>
        <v>0.17210268638035825</v>
      </c>
      <c r="U71" s="138"/>
      <c r="V71" s="138">
        <f>W18/$C$18</f>
        <v>0.10808398960549964</v>
      </c>
      <c r="W71" s="138"/>
      <c r="X71" s="138">
        <f>Y18/$C$18</f>
        <v>5.8651821643349096E-2</v>
      </c>
      <c r="Y71" s="138"/>
      <c r="Z71" s="138">
        <f>AA18/$C$18</f>
        <v>2.6231706468169698E-2</v>
      </c>
      <c r="AA71" s="138"/>
      <c r="AB71" s="138">
        <f>AC18/$C$18</f>
        <v>9.3470450582023787E-3</v>
      </c>
      <c r="AC71" s="138"/>
      <c r="AD71" s="138">
        <f>AE18/$C$18</f>
        <v>2.6027943702560032E-3</v>
      </c>
      <c r="AE71" s="138"/>
      <c r="AF71" s="138">
        <f>AG18/$C$18</f>
        <v>5.4245382861672637E-4</v>
      </c>
      <c r="AG71" s="138"/>
      <c r="AH71" s="138">
        <f>AI18/$C$18</f>
        <v>7.5042998016351287E-5</v>
      </c>
      <c r="AI71" s="138"/>
      <c r="AJ71" s="138">
        <f>AK18/$C$18</f>
        <v>5.2191578898106969E-6</v>
      </c>
      <c r="AK71" s="138"/>
      <c r="AL71" s="138">
        <f>AM18/$C$18</f>
        <v>9.1271896652020133E-8</v>
      </c>
      <c r="AM71" s="138"/>
      <c r="AN71" s="138">
        <f>AO18/$C$18</f>
        <v>3.5766453870149502E-11</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1.1405305975379247</v>
      </c>
      <c r="E72" s="138"/>
      <c r="F72" s="138">
        <f>G19/$C$19</f>
        <v>1.2928097287734581</v>
      </c>
      <c r="G72" s="138"/>
      <c r="H72" s="138">
        <f>I19/$C$19</f>
        <v>1.4557309023433149</v>
      </c>
      <c r="I72" s="138"/>
      <c r="J72" s="138">
        <f>K19/$C$19</f>
        <v>1.6275279886962977</v>
      </c>
      <c r="K72" s="138"/>
      <c r="L72" s="138">
        <f>M19/$C$19</f>
        <v>1.8055332399727757</v>
      </c>
      <c r="M72" s="138"/>
      <c r="N72" s="138">
        <f>O19/$C$19</f>
        <v>1.9857781331334889</v>
      </c>
      <c r="O72" s="138"/>
      <c r="P72" s="138">
        <f>Q19/$C$19</f>
        <v>2.1623317946498983</v>
      </c>
      <c r="Q72" s="138"/>
      <c r="R72" s="138">
        <f>S19/$C$19</f>
        <v>2.3261865524151775</v>
      </c>
      <c r="S72" s="138"/>
      <c r="T72" s="138">
        <f>U19/$C$19</f>
        <v>2.4635216848376222</v>
      </c>
      <c r="U72" s="138"/>
      <c r="V72" s="138">
        <f>W19/$C$19</f>
        <v>2.5535706002332463</v>
      </c>
      <c r="W72" s="138"/>
      <c r="X72" s="138">
        <f>Y19/$C$19</f>
        <v>2.5683409699581263</v>
      </c>
      <c r="Y72" s="138"/>
      <c r="Z72" s="138">
        <f>AA19/$C$19</f>
        <v>2.4810149937728374</v>
      </c>
      <c r="AA72" s="138"/>
      <c r="AB72" s="138">
        <f>AC19/$C$19</f>
        <v>2.2867252825371307</v>
      </c>
      <c r="AC72" s="138"/>
      <c r="AD72" s="138">
        <f>AE19/$C$19</f>
        <v>2.0124498802915092</v>
      </c>
      <c r="AE72" s="138"/>
      <c r="AF72" s="138">
        <f>AG19/$C$19</f>
        <v>1.6954292362449404</v>
      </c>
      <c r="AG72" s="138"/>
      <c r="AH72" s="138">
        <f>AI19/$C$19</f>
        <v>1.3612368872219975</v>
      </c>
      <c r="AI72" s="138"/>
      <c r="AJ72" s="138">
        <f>AK19/$C$19</f>
        <v>1.0218096694786349</v>
      </c>
      <c r="AK72" s="138"/>
      <c r="AL72" s="138">
        <f>AM19/$C$19</f>
        <v>0.68128686329647958</v>
      </c>
      <c r="AM72" s="138"/>
      <c r="AN72" s="138">
        <f>AO19/$C$19</f>
        <v>0.34064516271604911</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0.47641153352875115</v>
      </c>
      <c r="D73" s="193">
        <f t="array" ref="D73">SUM(D9:E9*D22:E22)/D32</f>
        <v>0.47641153199443509</v>
      </c>
      <c r="E73" s="138"/>
      <c r="F73" s="193">
        <f t="array" ref="F73">SUM(F9:G9*F22:G22)/F32</f>
        <v>0.47641152222012961</v>
      </c>
      <c r="G73" s="138"/>
      <c r="H73" s="193">
        <f t="array" ref="H73">SUM(H9:I9*H22:I22)/H32</f>
        <v>0.47641153554544469</v>
      </c>
      <c r="I73" s="138"/>
      <c r="J73" s="193">
        <f t="array" ref="J73">SUM(J9:K9*J22:K22)/J32</f>
        <v>0.47641153043348472</v>
      </c>
      <c r="K73" s="138"/>
      <c r="L73" s="193">
        <f t="array" ref="L73">SUM(L9:M9*L22:M22)/L32</f>
        <v>0.47641153372945444</v>
      </c>
      <c r="M73" s="138"/>
      <c r="N73" s="193">
        <f t="array" ref="N73">SUM(N9:O9*N22:O22)/N32</f>
        <v>0.47641153280378751</v>
      </c>
      <c r="O73" s="138"/>
      <c r="P73" s="193">
        <f t="array" ref="P73">SUM(P9:Q9*P22:Q22)/P32</f>
        <v>0.47641153320976215</v>
      </c>
      <c r="Q73" s="138"/>
      <c r="R73" s="193">
        <f t="array" ref="R73">SUM(R9:S9*R22:S22)/R32</f>
        <v>0.47641153321331381</v>
      </c>
      <c r="S73" s="138"/>
      <c r="T73" s="193">
        <f t="array" ref="T73">SUM(T9:U9*T22:U22)/T32</f>
        <v>0.4764115335095449</v>
      </c>
      <c r="U73" s="138"/>
      <c r="V73" s="193">
        <f t="array" ref="V73">SUM(V9:W9*V22:W22)/V32</f>
        <v>0.47641153342126003</v>
      </c>
      <c r="W73" s="138"/>
      <c r="X73" s="193">
        <f t="array" ref="X73">SUM(X9:Y9*X22:Y22)/X32</f>
        <v>0.47641153336484277</v>
      </c>
      <c r="Y73" s="138"/>
      <c r="Z73" s="193">
        <f t="array" ref="Z73">SUM(Z9:AA9*Z22:AA22)/Z32</f>
        <v>0.47641153350539905</v>
      </c>
      <c r="AA73" s="138"/>
      <c r="AB73" s="193">
        <f t="array" ref="AB73">SUM(AB9:AC9*AB22:AC22)/AB32</f>
        <v>0.47641153352863902</v>
      </c>
      <c r="AC73" s="138"/>
      <c r="AD73" s="193">
        <f t="array" ref="AD73">SUM(AD9:AE9*AD22:AE22)/AD32</f>
        <v>0.47641153352859611</v>
      </c>
      <c r="AE73" s="138"/>
      <c r="AF73" s="193">
        <f t="array" ref="AF73">SUM(AF9:AG9*AF22:AG22)/AF32</f>
        <v>0.47641153352867444</v>
      </c>
      <c r="AG73" s="138"/>
      <c r="AH73" s="193">
        <f t="array" ref="AH73">SUM(AH9:AI9*AH22:AI22)/AH32</f>
        <v>0.47641153352875015</v>
      </c>
      <c r="AI73" s="138"/>
      <c r="AJ73" s="193">
        <f t="array" ref="AJ73">SUM(AJ9:AK9*AJ22:AK22)/AJ32</f>
        <v>0.47641153352875387</v>
      </c>
      <c r="AK73" s="138"/>
      <c r="AL73" s="193">
        <f t="array" ref="AL73">SUM(AL9:AM9*AL22:AM22)/AL32</f>
        <v>0.47641153352875204</v>
      </c>
      <c r="AM73" s="138"/>
      <c r="AN73" s="193">
        <f t="array" ref="AN73">SUM(AN9:AO9*AN22:AO22)/AN32</f>
        <v>0.47641153352874593</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0.22604620456442481</v>
      </c>
      <c r="Y74" s="138"/>
      <c r="Z74" s="193">
        <f t="array" ref="Z74">SUM(Z10:AA10*Z23:AA23)/Z32</f>
        <v>0.22604620456442481</v>
      </c>
      <c r="AA74" s="138"/>
      <c r="AB74" s="193">
        <f t="array" ref="AB74">SUM(AB10:AC10*AB23:AC23)/AB32</f>
        <v>0.22604620456442484</v>
      </c>
      <c r="AC74" s="138"/>
      <c r="AD74" s="193">
        <f t="array" ref="AD74">SUM(AD10:AE10*AD23:AE23)/AD32</f>
        <v>0.22604620456442481</v>
      </c>
      <c r="AE74" s="138"/>
      <c r="AF74" s="193">
        <f t="array" ref="AF74">SUM(AF10:AG10*AF23:AG23)/AF32</f>
        <v>0.22604620456442484</v>
      </c>
      <c r="AG74" s="138"/>
      <c r="AH74" s="193">
        <f t="array" ref="AH74">SUM(AH10:AI10*AH23:AI23)/AH32</f>
        <v>0.22604620456442484</v>
      </c>
      <c r="AI74" s="138"/>
      <c r="AJ74" s="193">
        <f t="array" ref="AJ74">SUM(AJ10:AK10*AJ23:AK23)/AJ32</f>
        <v>0.22604620456442484</v>
      </c>
      <c r="AK74" s="138"/>
      <c r="AL74" s="193">
        <f t="array" ref="AL74">SUM(AL10:AM10*AL23:AM23)/AL32</f>
        <v>0.22604620456442484</v>
      </c>
      <c r="AM74" s="138"/>
      <c r="AN74" s="193">
        <f t="array" ref="AN74">SUM(AN10:AO10*AN23:AO23)/AN32</f>
        <v>0.22604620456442487</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0.22038438793995443</v>
      </c>
      <c r="E75" s="138"/>
      <c r="F75" s="193">
        <f t="array" ref="F75">SUM(F11:G11*F24:G24)/F32</f>
        <v>0.22038438579666281</v>
      </c>
      <c r="G75" s="138"/>
      <c r="H75" s="193">
        <f t="array" ref="H75">SUM(H11:I11*H24:I24)/H32</f>
        <v>0.22038438868067731</v>
      </c>
      <c r="I75" s="138"/>
      <c r="J75" s="193">
        <f t="array" ref="J75">SUM(J11:K11*J24:K24)/J32</f>
        <v>0.22038438771405466</v>
      </c>
      <c r="K75" s="138"/>
      <c r="L75" s="193">
        <f t="array" ref="L75">SUM(L11:M11*L24:M24)/L32</f>
        <v>0.22038438834902466</v>
      </c>
      <c r="M75" s="138"/>
      <c r="N75" s="193">
        <f t="array" ref="N75">SUM(N11:O11*N24:O24)/N32</f>
        <v>0.22038438821378525</v>
      </c>
      <c r="O75" s="138"/>
      <c r="P75" s="193">
        <f t="array" ref="P75">SUM(P11:Q11*P24:Q24)/P32</f>
        <v>0.22038438821535478</v>
      </c>
      <c r="Q75" s="138"/>
      <c r="R75" s="193">
        <f t="array" ref="R75">SUM(R11:S11*R24:S24)/R32</f>
        <v>0.22038438831816867</v>
      </c>
      <c r="S75" s="138"/>
      <c r="T75" s="193">
        <f t="array" ref="T75">SUM(T11:U11*T24:U24)/T32</f>
        <v>0.22038438833537216</v>
      </c>
      <c r="U75" s="138"/>
      <c r="V75" s="193">
        <f t="array" ref="V75">SUM(V11:W11*V24:W24)/V32</f>
        <v>0.22038438833164845</v>
      </c>
      <c r="W75" s="138"/>
      <c r="X75" s="193">
        <f t="array" ref="X75">SUM(X11:Y11*X24:Y24)/X32</f>
        <v>0.22038438833663843</v>
      </c>
      <c r="Y75" s="138"/>
      <c r="Z75" s="193">
        <f t="array" ref="Z75">SUM(Z11:AA11*Z24:AA24)/Z32</f>
        <v>0.22038438833586124</v>
      </c>
      <c r="AA75" s="138"/>
      <c r="AB75" s="193">
        <f t="array" ref="AB75">SUM(AB11:AC11*AB24:AC24)/AB32</f>
        <v>0.22038438833129878</v>
      </c>
      <c r="AC75" s="138"/>
      <c r="AD75" s="193">
        <f t="array" ref="AD75">SUM(AD11:AE11*AD24:AE24)/AD32</f>
        <v>0.22038438833184806</v>
      </c>
      <c r="AE75" s="138"/>
      <c r="AF75" s="193">
        <f t="array" ref="AF75">SUM(AF11:AG11*AF24:AG24)/AF32</f>
        <v>0.22038438833191537</v>
      </c>
      <c r="AG75" s="138"/>
      <c r="AH75" s="193">
        <f t="array" ref="AH75">SUM(AH11:AI11*AH24:AI24)/AH32</f>
        <v>0.22038438833193963</v>
      </c>
      <c r="AI75" s="138"/>
      <c r="AJ75" s="193">
        <f t="array" ref="AJ75">SUM(AJ11:AK11*AJ24:AK24)/AJ32</f>
        <v>0.22038438833194124</v>
      </c>
      <c r="AK75" s="138"/>
      <c r="AL75" s="193">
        <f t="array" ref="AL75">SUM(AL11:AM11*AL24:AM24)/AL32</f>
        <v>0.22038438833194107</v>
      </c>
      <c r="AM75" s="138"/>
      <c r="AN75" s="193">
        <f t="array" ref="AN75">SUM(AN11:AO11*AN24:AO24)/AN32</f>
        <v>0.22038438833193891</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0.22301874374724862</v>
      </c>
      <c r="D76" s="193">
        <f t="array" ref="D76">SUM(D12:E12*D25:E25)/D32</f>
        <v>0.22428858340487148</v>
      </c>
      <c r="E76" s="138"/>
      <c r="F76" s="193">
        <f t="array" ref="F76">SUM(F12:G12*F25:G25)/F32</f>
        <v>0.22567352059427057</v>
      </c>
      <c r="G76" s="138"/>
      <c r="H76" s="193">
        <f t="array" ref="H76">SUM(H12:I12*H25:I25)/H32</f>
        <v>0.22714129071514325</v>
      </c>
      <c r="I76" s="138"/>
      <c r="J76" s="193">
        <f t="array" ref="J76">SUM(J12:K12*J25:K25)/J32</f>
        <v>0.22865065501699797</v>
      </c>
      <c r="K76" s="138"/>
      <c r="L76" s="193">
        <f t="array" ref="L76">SUM(L12:M12*L25:M25)/L32</f>
        <v>0.23014727905084303</v>
      </c>
      <c r="M76" s="138"/>
      <c r="N76" s="193">
        <f t="array" ref="N76">SUM(N12:O12*N25:O25)/N32</f>
        <v>0.2315575264468456</v>
      </c>
      <c r="O76" s="138"/>
      <c r="P76" s="193">
        <f t="array" ref="P76">SUM(P12:Q12*P25:Q25)/P32</f>
        <v>0.2327785503687228</v>
      </c>
      <c r="Q76" s="138"/>
      <c r="R76" s="193">
        <f t="array" ref="R76">SUM(R12:S12*R25:S25)/R32</f>
        <v>0.23366323595122679</v>
      </c>
      <c r="S76" s="138"/>
      <c r="T76" s="193">
        <f t="array" ref="T76">SUM(T12:U12*T25:U25)/T32</f>
        <v>0.23399998117170556</v>
      </c>
      <c r="U76" s="138"/>
      <c r="V76" s="193">
        <f t="array" ref="V76">SUM(V12:W12*V25:W25)/V32</f>
        <v>0.23349703740048894</v>
      </c>
      <c r="W76" s="138"/>
      <c r="X76" s="193">
        <f t="array" ref="X76">SUM(X12:Y12*X25:Y25)/X32</f>
        <v>0.23181392460195077</v>
      </c>
      <c r="Y76" s="138"/>
      <c r="Z76" s="193">
        <f t="array" ref="Z76">SUM(Z12:AA12*Z25:AA25)/Z32</f>
        <v>0.22872920233338728</v>
      </c>
      <c r="AA76" s="138"/>
      <c r="AB76" s="193">
        <f t="array" ref="AB76">SUM(AB12:AC12*AB25:AC25)/AB32</f>
        <v>0.22441461433194632</v>
      </c>
      <c r="AC76" s="138"/>
      <c r="AD76" s="193">
        <f t="array" ref="AD76">SUM(AD12:AE12*AD25:AE25)/AD32</f>
        <v>0.21941633586152096</v>
      </c>
      <c r="AE76" s="138"/>
      <c r="AF76" s="193">
        <f t="array" ref="AF76">SUM(AF12:AG12*AF25:AG25)/AF32</f>
        <v>0.21423207308285991</v>
      </c>
      <c r="AG76" s="138"/>
      <c r="AH76" s="193">
        <f t="array" ref="AH76">SUM(AH12:AI12*AH25:AI25)/AH32</f>
        <v>0.20904686278581763</v>
      </c>
      <c r="AI76" s="138"/>
      <c r="AJ76" s="193">
        <f t="array" ref="AJ76">SUM(AJ12:AK12*AJ25:AK25)/AJ32</f>
        <v>0.20373868221454469</v>
      </c>
      <c r="AK76" s="138"/>
      <c r="AL76" s="193">
        <f t="array" ref="AL76">SUM(AL12:AM12*AL25:AM25)/AL32</f>
        <v>0.19778047015845313</v>
      </c>
      <c r="AM76" s="138"/>
      <c r="AN76" s="193">
        <f t="array" ref="AN76">SUM(AN12:AO12*AN25:AO25)/AN32</f>
        <v>0.1891243346670104</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0.14586087017236521</v>
      </c>
      <c r="D77" s="193">
        <f t="array" ref="D77">SUM(D4:E4*D19:E19)/D32</f>
        <v>0.14713070790368565</v>
      </c>
      <c r="E77" s="138"/>
      <c r="F77" s="193">
        <f t="array" ref="F77">SUM(F4:G4*F19:G19)/F32</f>
        <v>0.14851563317548763</v>
      </c>
      <c r="G77" s="138"/>
      <c r="H77" s="193">
        <f t="array" ref="H77">SUM(H4:I4*H19:I19)/H32</f>
        <v>0.14998341950568997</v>
      </c>
      <c r="I77" s="138"/>
      <c r="J77" s="193">
        <f t="array" ref="J77">SUM(J4:K4*J19:K19)/J32</f>
        <v>0.1514927777289623</v>
      </c>
      <c r="K77" s="138"/>
      <c r="L77" s="193">
        <f t="array" ref="L77">SUM(L4:M4*L19:M19)/L32</f>
        <v>0.15298940569374703</v>
      </c>
      <c r="M77" s="138"/>
      <c r="N77" s="193">
        <f t="array" ref="N77">SUM(N4:O4*N19:O19)/N32</f>
        <v>0.1543996520288434</v>
      </c>
      <c r="O77" s="138"/>
      <c r="P77" s="193">
        <f t="array" ref="P77">SUM(P4:Q4*P19:Q19)/P32</f>
        <v>0.15562067635826454</v>
      </c>
      <c r="Q77" s="138"/>
      <c r="R77" s="193">
        <f t="array" ref="R77">SUM(R4:S4*R19:S19)/R32</f>
        <v>0.15650536204713394</v>
      </c>
      <c r="S77" s="138"/>
      <c r="T77" s="193">
        <f t="array" ref="T77">SUM(T4:U4*T19:U19)/T32</f>
        <v>0.15684210758104744</v>
      </c>
      <c r="U77" s="138"/>
      <c r="V77" s="193">
        <f t="array" ref="V77">SUM(V4:W4*V19:W19)/V32</f>
        <v>0.15633916371782214</v>
      </c>
      <c r="W77" s="138"/>
      <c r="X77" s="193">
        <f t="array" ref="X77">SUM(X4:Y4*X19:Y19)/X32</f>
        <v>0.15465605086785672</v>
      </c>
      <c r="Y77" s="138"/>
      <c r="Z77" s="193">
        <f t="array" ref="Z77">SUM(Z4:AA4*Z19:AA19)/Z32</f>
        <v>0.15157132873907231</v>
      </c>
      <c r="AA77" s="138"/>
      <c r="AB77" s="193">
        <f t="array" ref="AB77">SUM(AB4:AC4*AB19:AC19)/AB32</f>
        <v>0.14725674075630896</v>
      </c>
      <c r="AC77" s="138"/>
      <c r="AD77" s="193">
        <f t="array" ref="AD77">SUM(AD4:AE4*AD19:AE19)/AD32</f>
        <v>0.14225846228638991</v>
      </c>
      <c r="AE77" s="138"/>
      <c r="AF77" s="193">
        <f t="array" ref="AF77">SUM(AF4:AG4*AF19:AG19)/AF32</f>
        <v>0.13707419950787456</v>
      </c>
      <c r="AG77" s="138"/>
      <c r="AH77" s="193">
        <f t="array" ref="AH77">SUM(AH4:AI4*AH19:AI19)/AH32</f>
        <v>0.1318889892109322</v>
      </c>
      <c r="AI77" s="138"/>
      <c r="AJ77" s="193">
        <f t="array" ref="AJ77">SUM(AJ4:AK4*AJ19:AK19)/AJ32</f>
        <v>0.12658080863966448</v>
      </c>
      <c r="AK77" s="138"/>
      <c r="AL77" s="193">
        <f t="array" ref="AL77">SUM(AL4:AM4*AL19:AM19)/AL32</f>
        <v>0.12062259658357122</v>
      </c>
      <c r="AM77" s="138"/>
      <c r="AN77" s="193">
        <f t="array" ref="AN77">SUM(AN4:AO4*AN19:AO19)/AN32</f>
        <v>0.11196646109212008</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0.33977601741683822</v>
      </c>
      <c r="E78" s="138"/>
      <c r="F78" s="193">
        <f t="array" ref="F78">SUM(F13:G13*F26:G26)/F32</f>
        <v>0.33283377385277924</v>
      </c>
      <c r="G78" s="138"/>
      <c r="H78" s="193">
        <f t="array" ref="H78">SUM(H13:I13*H26:I26)/H32</f>
        <v>0.3260076843617048</v>
      </c>
      <c r="I78" s="138"/>
      <c r="J78" s="193">
        <f t="array" ref="J78">SUM(J13:K13*J26:K26)/J32</f>
        <v>0.31923163597223159</v>
      </c>
      <c r="K78" s="138"/>
      <c r="L78" s="193">
        <f t="array" ref="L78">SUM(L13:M13*L26:M26)/L32</f>
        <v>0.31242171369268934</v>
      </c>
      <c r="M78" s="138"/>
      <c r="N78" s="193">
        <f t="array" ref="N78">SUM(N13:O13*N26:O26)/N32</f>
        <v>0.30546468493866719</v>
      </c>
      <c r="O78" s="138"/>
      <c r="P78" s="193">
        <f t="array" ref="P78">SUM(P13:Q13*P26:Q26)/P32</f>
        <v>0.29820226983218723</v>
      </c>
      <c r="Q78" s="138"/>
      <c r="R78" s="193">
        <f t="array" ref="R78">SUM(R13:S13*R26:S26)/R32</f>
        <v>0.29040638941788444</v>
      </c>
      <c r="S78" s="138"/>
      <c r="T78" s="193">
        <f t="array" ref="T78">SUM(T13:U13*T26:U26)/T32</f>
        <v>0.28174455535844661</v>
      </c>
      <c r="U78" s="138"/>
      <c r="V78" s="193">
        <f t="array" ref="V78">SUM(V13:W13*V26:W26)/V32</f>
        <v>0.27174647168910249</v>
      </c>
      <c r="W78" s="138"/>
      <c r="X78" s="193">
        <f t="array" ref="X78">SUM(X13:Y13*X26:Y26)/X32</f>
        <v>0.25983059371777406</v>
      </c>
      <c r="Y78" s="138"/>
      <c r="Z78" s="193">
        <f t="array" ref="Z78">SUM(Z13:AA13*Z26:AA26)/Z32</f>
        <v>0.24551858154018191</v>
      </c>
      <c r="AA78" s="138"/>
      <c r="AB78" s="193">
        <f t="array" ref="AB78">SUM(AB13:AC13*AB26:AC26)/AB32</f>
        <v>0.22879784365039738</v>
      </c>
      <c r="AC78" s="138"/>
      <c r="AD78" s="193">
        <f t="array" ref="AD78">SUM(AD13:AE13*AD26:AE26)/AD32</f>
        <v>0.21003723647790731</v>
      </c>
      <c r="AE78" s="138"/>
      <c r="AF78" s="193">
        <f t="array" ref="AF78">SUM(AF13:AG13*AF26:AG26)/AF32</f>
        <v>0.18923884448520278</v>
      </c>
      <c r="AG78" s="138"/>
      <c r="AH78" s="193">
        <f t="array" ref="AH78">SUM(AH13:AI13*AH26:AI26)/AH32</f>
        <v>0.16533926061435023</v>
      </c>
      <c r="AI78" s="138"/>
      <c r="AJ78" s="193">
        <f t="array" ref="AJ78">SUM(AJ13:AK13*AJ26:AK26)/AJ32</f>
        <v>0.13536731948768643</v>
      </c>
      <c r="AK78" s="138"/>
      <c r="AL78" s="193">
        <f t="array" ref="AL78">SUM(AL13:AM13*AL26:AM26)/AL32</f>
        <v>9.1317616803418836E-2</v>
      </c>
      <c r="AM78" s="138"/>
      <c r="AN78" s="193">
        <f t="array" ref="AN78">SUM(AN13:AO13*AN26:AO26)/AN32</f>
        <v>2.3101077049600192E-3</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0.45460968782439326</v>
      </c>
      <c r="D79" s="193">
        <f t="array" ref="D79">SUM(D15:E15*D27:E27)/D32</f>
        <v>0.46182026605215526</v>
      </c>
      <c r="F79" s="193">
        <f t="array" ref="F79">SUM(F15:G15*F27:G27)/F32</f>
        <v>0.46885914402650242</v>
      </c>
      <c r="H79" s="193">
        <f t="array" ref="H79">SUM(H15:I15*H27:I27)/H32</f>
        <v>0.47578028615950874</v>
      </c>
      <c r="J79" s="193">
        <f t="array" ref="J79">SUM(J15:K15*J27:K27)/J32</f>
        <v>0.48265062574264622</v>
      </c>
      <c r="L79" s="193">
        <f t="array" ref="L79">SUM(L15:M15*L27:M27)/L32</f>
        <v>0.48955536547322931</v>
      </c>
      <c r="N79" s="193">
        <f t="array" ref="N79">SUM(N15:O15*N27:O27)/N32</f>
        <v>0.49660924167071196</v>
      </c>
      <c r="P79" s="193">
        <f t="array" ref="P79">SUM(P15:Q15*P27:Q27)/P32</f>
        <v>0.50397275732655089</v>
      </c>
      <c r="R79" s="193">
        <f t="array" ref="R79">SUM(R15:S15*R27:S27)/R32</f>
        <v>0.51187716691079366</v>
      </c>
      <c r="T79" s="193">
        <f t="array" ref="T79">SUM(T15:U15*T27:U27)/T32</f>
        <v>0.52065958486507513</v>
      </c>
      <c r="V79" s="193">
        <f t="array" ref="V79">SUM(V15:W15*V27:W27)/V32</f>
        <v>0.53079684974422559</v>
      </c>
      <c r="X79" s="193">
        <f t="array" ref="X79">SUM(X15:Y15*X27:Y27)/X32</f>
        <v>0.54287860880821237</v>
      </c>
      <c r="Z79" s="193">
        <f t="array" ref="Z79">SUM(Z15:AA15*Z27:AA27)/Z32</f>
        <v>0.55738985991734724</v>
      </c>
      <c r="AB79" s="193">
        <f t="array" ref="AB79">SUM(AB15:AC15*AB27:AC27)/AB32</f>
        <v>0.57434336843339973</v>
      </c>
      <c r="AD79" s="193">
        <f t="array" ref="AD79">SUM(AD15:AE15*AD27:AE27)/AD32</f>
        <v>0.59336514250940409</v>
      </c>
      <c r="AF79" s="193">
        <f t="array" ref="AF79">SUM(AF15:AG15*AF27:AG27)/AF32</f>
        <v>0.61445306954697398</v>
      </c>
      <c r="AH79" s="193">
        <f t="array" ref="AH79">SUM(AH15:AI15*AH27:AI27)/AH32</f>
        <v>0.63868536025438538</v>
      </c>
      <c r="AJ79" s="193">
        <f t="array" ref="AJ79">SUM(AJ15:AK15*AJ27:AK27)/AJ32</f>
        <v>0.6690745416956877</v>
      </c>
      <c r="AL79" s="193">
        <f t="array" ref="AL79">SUM(AL15:AM15*AL27:AM27)/AL32</f>
        <v>0.71373746164648488</v>
      </c>
      <c r="AN79" s="193">
        <f t="array" ref="AN79">SUM(AN15:AO15*AN27:AO27)/AN32</f>
        <v>0.80398404718880279</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0.19840370576910735</v>
      </c>
      <c r="F80" s="236">
        <f>F55</f>
        <v>0.19830698897018326</v>
      </c>
      <c r="H80" s="236">
        <f>H55</f>
        <v>0.19821205301180617</v>
      </c>
      <c r="J80" s="236">
        <f>J55</f>
        <v>0.19811771053405164</v>
      </c>
      <c r="L80" s="236">
        <f>L55</f>
        <v>0.19802291800571623</v>
      </c>
      <c r="N80" s="236">
        <f>N55</f>
        <v>0.19792607114530353</v>
      </c>
      <c r="P80" s="236">
        <f>P55</f>
        <v>0.19782497509174568</v>
      </c>
      <c r="R80" s="236">
        <f>R55</f>
        <v>0.19771644130070973</v>
      </c>
      <c r="T80" s="236">
        <f>T55</f>
        <v>0.19759586148032759</v>
      </c>
      <c r="V80" s="236">
        <f>V55</f>
        <v>0.19745667569525002</v>
      </c>
      <c r="X80" s="236">
        <f>X55</f>
        <v>0.19729079405621597</v>
      </c>
      <c r="Z80" s="236">
        <f>Z55</f>
        <v>0.19709155708208631</v>
      </c>
      <c r="AB80" s="236">
        <f>AB55</f>
        <v>0.19685878818130828</v>
      </c>
      <c r="AD80" s="236">
        <f>AD55</f>
        <v>0.19659762106337594</v>
      </c>
      <c r="AF80" s="236">
        <f>AF55</f>
        <v>0.19630808599082109</v>
      </c>
      <c r="AH80" s="236">
        <f>AH55</f>
        <v>0.19597537913644369</v>
      </c>
      <c r="AJ80" s="236">
        <f>AJ55</f>
        <v>0.19555813881969927</v>
      </c>
      <c r="AL80" s="236">
        <f>AL55</f>
        <v>0.19494492154926921</v>
      </c>
      <c r="AN80" s="236">
        <f>AN55</f>
        <v>0.19370584515141881</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-2.7642498795317494E-2</v>
      </c>
      <c r="F81" s="236">
        <f>F51/F$32</f>
        <v>-2.7739215594241584E-2</v>
      </c>
      <c r="H81" s="236">
        <f>H51/H$32</f>
        <v>-2.7834151552618678E-2</v>
      </c>
      <c r="J81" s="236">
        <f>J51/J$32</f>
        <v>-2.7928494030373209E-2</v>
      </c>
      <c r="L81" s="236">
        <f>L51/L$32</f>
        <v>-2.8023286558708629E-2</v>
      </c>
      <c r="N81" s="236">
        <f>N51/N$32</f>
        <v>-2.8120133419121323E-2</v>
      </c>
      <c r="P81" s="236">
        <f>P51/P$32</f>
        <v>-2.8221229472679143E-2</v>
      </c>
      <c r="R81" s="236">
        <f>R51/R$32</f>
        <v>-2.8329763263715124E-2</v>
      </c>
      <c r="T81" s="236">
        <f>T51/T$32</f>
        <v>-2.8450343084097246E-2</v>
      </c>
      <c r="V81" s="236">
        <f>V51/V$32</f>
        <v>-2.8589528869174801E-2</v>
      </c>
      <c r="X81" s="236">
        <f>X51/X$32</f>
        <v>-2.8755410508208842E-2</v>
      </c>
      <c r="Z81" s="236">
        <f>Z51/Z$32</f>
        <v>-2.8954647482338513E-2</v>
      </c>
      <c r="AB81" s="236">
        <f>AB51/AB$32</f>
        <v>-2.9187416383116584E-2</v>
      </c>
      <c r="AD81" s="236">
        <f>AD51/AD$32</f>
        <v>-2.944858350104889E-2</v>
      </c>
      <c r="AF81" s="236">
        <f>AF51/AF$32</f>
        <v>-2.9738118573603749E-2</v>
      </c>
      <c r="AH81" s="236">
        <f>AH51/AH$32</f>
        <v>-3.0070825427981167E-2</v>
      </c>
      <c r="AJ81" s="236">
        <f>AJ51/AJ$32</f>
        <v>-3.0488065744725582E-2</v>
      </c>
      <c r="AL81" s="236">
        <f>AL51/AL$32</f>
        <v>-3.1101283015155638E-2</v>
      </c>
      <c r="AN81" s="236">
        <f>AN51/AN$32</f>
        <v>-3.2340359413006052E-2</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0.13622733905458154</v>
      </c>
      <c r="F82" s="236">
        <f>F52/F$32</f>
        <v>0.13344396612852735</v>
      </c>
      <c r="H82" s="236">
        <f>H52/H$32</f>
        <v>0.13070716317643225</v>
      </c>
      <c r="J82" s="236">
        <f>J52/J$32</f>
        <v>0.12799042334169997</v>
      </c>
      <c r="L82" s="236">
        <f>L52/L$32</f>
        <v>0.12526010235447016</v>
      </c>
      <c r="N82" s="236">
        <f>N52/N$32</f>
        <v>0.12247080156128334</v>
      </c>
      <c r="P82" s="236">
        <f>P52/P$32</f>
        <v>0.11955906137259358</v>
      </c>
      <c r="R82" s="236">
        <f>R52/R$32</f>
        <v>0.11643343746157658</v>
      </c>
      <c r="T82" s="236">
        <f>T52/T$32</f>
        <v>0.11296062435893209</v>
      </c>
      <c r="V82" s="236">
        <f>V52/V$32</f>
        <v>0.1089520650018751</v>
      </c>
      <c r="X82" s="236">
        <f>X52/X$32</f>
        <v>0.10417459906748061</v>
      </c>
      <c r="Z82" s="236">
        <f>Z52/Z$32</f>
        <v>9.8436444414033542E-2</v>
      </c>
      <c r="AB82" s="236">
        <f>AB52/AB$32</f>
        <v>9.1732552694212627E-2</v>
      </c>
      <c r="AD82" s="236">
        <f>AD52/AD$32</f>
        <v>8.4210810537169015E-2</v>
      </c>
      <c r="AF82" s="236">
        <f>AF52/AF$32</f>
        <v>7.5872053672218359E-2</v>
      </c>
      <c r="AH82" s="236">
        <f>AH52/AH$32</f>
        <v>6.6289927364451773E-2</v>
      </c>
      <c r="AJ82" s="236">
        <f>AJ52/AJ$32</f>
        <v>5.4273194055764633E-2</v>
      </c>
      <c r="AL82" s="236">
        <f>AL52/AL$32</f>
        <v>3.6612224843033329E-2</v>
      </c>
      <c r="AN82" s="236">
        <f>AN52/AN$32</f>
        <v>9.2619787579096592E-4</v>
      </c>
      <c r="AP82" s="236" t="e">
        <f>AP52/AP$32</f>
        <v>#DIV/0!</v>
      </c>
      <c r="AR82" s="236" t="e">
        <f>AR52/AR$32</f>
        <v>#DIV/0!</v>
      </c>
      <c r="AT82" s="236" t="e">
        <f>AT52/AT$32</f>
        <v>#DIV/0!</v>
      </c>
      <c r="AV82" s="236" t="e">
        <f>AV52/AV$32</f>
        <v>#DIV/0!</v>
      </c>
    </row>
    <row r="83" spans="1:48 16384:16384" x14ac:dyDescent="0.2">
      <c r="A83" t="s">
        <v>193</v>
      </c>
      <c r="B83" s="236">
        <f>B53/B$32</f>
        <v>0.18600714462929399</v>
      </c>
      <c r="D83" s="236">
        <f>D53/D$32</f>
        <v>0.18895740966585928</v>
      </c>
      <c r="F83" s="236">
        <f>F53/F$32</f>
        <v>0.19183742218751959</v>
      </c>
      <c r="H83" s="236">
        <f>H53/H$32</f>
        <v>0.19466926215972735</v>
      </c>
      <c r="J83" s="236">
        <f>J53/J$32</f>
        <v>0.19748031586737877</v>
      </c>
      <c r="L83" s="236">
        <f>L53/L$32</f>
        <v>0.20030544466707631</v>
      </c>
      <c r="N83" s="236">
        <f>N53/N$32</f>
        <v>0.2031915938302</v>
      </c>
      <c r="P83" s="236">
        <f>P53/P$32</f>
        <v>0.20620443442348002</v>
      </c>
      <c r="R83" s="236">
        <f>R53/R$32</f>
        <v>0.20943858603996157</v>
      </c>
      <c r="T83" s="236">
        <f>T53/T$32</f>
        <v>0.21303198171622784</v>
      </c>
      <c r="V83" s="236">
        <f>V53/V$32</f>
        <v>0.21717972371342428</v>
      </c>
      <c r="X83" s="236">
        <f>X53/X$32</f>
        <v>0.22212307086545274</v>
      </c>
      <c r="Z83" s="236">
        <f>Z53/Z$32</f>
        <v>0.2280604638777449</v>
      </c>
      <c r="AB83" s="236">
        <f>AB53/AB$32</f>
        <v>0.23499712579889925</v>
      </c>
      <c r="AD83" s="236">
        <f>AD53/AD$32</f>
        <v>0.24278003491065545</v>
      </c>
      <c r="AF83" s="236">
        <f>AF53/AF$32</f>
        <v>0.25140832682669673</v>
      </c>
      <c r="AH83" s="236">
        <f>AH53/AH$32</f>
        <v>0.26132315997484923</v>
      </c>
      <c r="AJ83" s="236">
        <f>AJ53/AJ$32</f>
        <v>0.27375713359861786</v>
      </c>
      <c r="AL83" s="236">
        <f>AL53/AL$32</f>
        <v>0.29203132007847921</v>
      </c>
      <c r="AN83" s="236">
        <f>AN53/AN$32</f>
        <v>0.32895642338985909</v>
      </c>
      <c r="AP83" s="236" t="e">
        <f>AP53/AP$32</f>
        <v>#DIV/0!</v>
      </c>
      <c r="AR83" s="236" t="e">
        <f>AR53/AR$32</f>
        <v>#DIV/0!</v>
      </c>
      <c r="AT83" s="236" t="e">
        <f>AT53/AT$32</f>
        <v>#DIV/0!</v>
      </c>
      <c r="AV83" s="236" t="e">
        <f>AV53/AV$32</f>
        <v>#DIV/0!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5"/>
  <dimension ref="A1:XFD83"/>
  <sheetViews>
    <sheetView showGridLines="0" workbookViewId="0">
      <pane ySplit="1" topLeftCell="A31" activePane="bottomLeft" state="frozen"/>
      <selection pane="bottomLeft" activeCell="J45"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c r="AP1" s="94"/>
      <c r="AR1" s="94"/>
      <c r="AT1" s="94"/>
      <c r="AV1" s="94"/>
    </row>
    <row r="2" spans="1:49" x14ac:dyDescent="0.2">
      <c r="A2" s="229" t="s">
        <v>155</v>
      </c>
      <c r="B2" s="226">
        <v>5.7716594496607888E-3</v>
      </c>
      <c r="C2" s="227"/>
      <c r="D2" s="226">
        <v>2.6760594493633126E-2</v>
      </c>
      <c r="E2" s="227"/>
      <c r="F2" s="226">
        <v>4.9470485260083644E-2</v>
      </c>
      <c r="G2" s="227"/>
      <c r="H2" s="226">
        <v>7.4148968811687588E-2</v>
      </c>
      <c r="I2" s="227"/>
      <c r="J2" s="226">
        <v>0.1010979581232742</v>
      </c>
      <c r="K2" s="227"/>
      <c r="L2" s="226">
        <v>0.13069093663387291</v>
      </c>
      <c r="M2" s="227"/>
      <c r="N2" s="226">
        <v>0.16339611906898632</v>
      </c>
      <c r="O2" s="227"/>
      <c r="P2" s="226">
        <v>0.19981032864898138</v>
      </c>
      <c r="Q2" s="227"/>
      <c r="R2" s="226">
        <v>0.24070886360538107</v>
      </c>
      <c r="S2" s="227"/>
      <c r="T2" s="226">
        <v>0.2871206654815186</v>
      </c>
      <c r="U2" s="227"/>
      <c r="V2" s="226">
        <v>0.34044597892489764</v>
      </c>
      <c r="W2" s="227"/>
      <c r="X2" s="226">
        <v>0.40264594542763055</v>
      </c>
      <c r="Y2" s="227"/>
      <c r="Z2" s="226">
        <v>0.47656345222959429</v>
      </c>
      <c r="AA2" s="227"/>
      <c r="AB2" s="226">
        <v>0.56648575299875814</v>
      </c>
      <c r="AC2" s="227"/>
      <c r="AD2" s="226">
        <v>0.67918982362879909</v>
      </c>
      <c r="AE2" s="227"/>
      <c r="AF2" s="226">
        <v>0.82599931125118131</v>
      </c>
      <c r="AG2" s="227"/>
      <c r="AH2" s="226">
        <v>1.0271152891206565</v>
      </c>
      <c r="AI2" s="227"/>
      <c r="AJ2" s="226">
        <v>1.321556748254189</v>
      </c>
      <c r="AK2" s="227"/>
      <c r="AL2" s="226">
        <v>1.7929287979397339</v>
      </c>
      <c r="AM2" s="227"/>
      <c r="AN2" s="226"/>
      <c r="AO2" s="227"/>
      <c r="AP2" s="226"/>
      <c r="AQ2" s="227"/>
      <c r="AR2" s="226"/>
      <c r="AS2" s="227"/>
      <c r="AT2" s="226"/>
      <c r="AU2" s="227"/>
      <c r="AV2" s="226"/>
      <c r="AW2" s="227"/>
    </row>
    <row r="3" spans="1:49" x14ac:dyDescent="0.2">
      <c r="A3" t="s">
        <v>12</v>
      </c>
      <c r="B3" s="84">
        <v>1000</v>
      </c>
      <c r="C3" s="85">
        <v>1000</v>
      </c>
      <c r="D3" s="84">
        <v>999.22303500992257</v>
      </c>
      <c r="E3" s="85">
        <v>1008.8118527901551</v>
      </c>
      <c r="F3" s="84">
        <v>998.43684427960216</v>
      </c>
      <c r="G3" s="85">
        <v>1018.2558346279296</v>
      </c>
      <c r="H3" s="84">
        <v>997.63947197838525</v>
      </c>
      <c r="I3" s="85">
        <v>1028.4224884502721</v>
      </c>
      <c r="J3" s="84">
        <v>996.82881999050164</v>
      </c>
      <c r="K3" s="85">
        <v>1039.4215475174283</v>
      </c>
      <c r="L3" s="84">
        <v>996.00263657224184</v>
      </c>
      <c r="M3" s="85">
        <v>1051.3885311493702</v>
      </c>
      <c r="N3" s="84">
        <v>995.15858837232088</v>
      </c>
      <c r="O3" s="85">
        <v>1064.4924517923532</v>
      </c>
      <c r="P3" s="84">
        <v>994.29438113566152</v>
      </c>
      <c r="Q3" s="85">
        <v>1078.9473079283991</v>
      </c>
      <c r="R3" s="84">
        <v>993.4079658667772</v>
      </c>
      <c r="S3" s="85">
        <v>1095.0292099681969</v>
      </c>
      <c r="T3" s="84">
        <v>992.49797464392827</v>
      </c>
      <c r="U3" s="85">
        <v>1113.1010725932128</v>
      </c>
      <c r="V3" s="84">
        <v>991.56444967339974</v>
      </c>
      <c r="W3" s="85">
        <v>1133.6519450162691</v>
      </c>
      <c r="X3" s="84">
        <v>990.61017818868743</v>
      </c>
      <c r="Y3" s="85">
        <v>1157.3598000749694</v>
      </c>
      <c r="Z3" s="84">
        <v>989.64324698515634</v>
      </c>
      <c r="AA3" s="85">
        <v>1185.1950070456776</v>
      </c>
      <c r="AB3" s="84">
        <v>988.68150719328696</v>
      </c>
      <c r="AC3" s="85">
        <v>1218.6063110060757</v>
      </c>
      <c r="AD3" s="84">
        <v>987.76077067471431</v>
      </c>
      <c r="AE3" s="85">
        <v>1259.8730541871557</v>
      </c>
      <c r="AF3" s="84">
        <v>986.94926852081721</v>
      </c>
      <c r="AG3" s="85">
        <v>1312.845605414027</v>
      </c>
      <c r="AH3" s="84">
        <v>986.37051429752364</v>
      </c>
      <c r="AI3" s="85">
        <v>1384.7871105453239</v>
      </c>
      <c r="AJ3" s="84">
        <v>986.22655395843674</v>
      </c>
      <c r="AK3" s="85">
        <v>1492.7285179804994</v>
      </c>
      <c r="AL3" s="84">
        <v>986.70834512383522</v>
      </c>
      <c r="AM3" s="85">
        <v>1717.7674318091622</v>
      </c>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c r="AO4" s="102"/>
      <c r="AP4" s="101"/>
      <c r="AQ4" s="102"/>
      <c r="AR4" s="101"/>
      <c r="AS4" s="102"/>
      <c r="AT4" s="101"/>
      <c r="AU4" s="102"/>
      <c r="AV4" s="101"/>
      <c r="AW4" s="102"/>
    </row>
    <row r="5" spans="1:49" x14ac:dyDescent="0.2">
      <c r="A5" t="s">
        <v>128</v>
      </c>
      <c r="B5" s="41">
        <v>1000</v>
      </c>
      <c r="C5" s="42">
        <v>1000</v>
      </c>
      <c r="D5" s="41">
        <v>999.18452059862159</v>
      </c>
      <c r="E5" s="42">
        <v>1007.6713102604505</v>
      </c>
      <c r="F5" s="41">
        <v>998.35891851108977</v>
      </c>
      <c r="G5" s="42">
        <v>1015.7455984205221</v>
      </c>
      <c r="H5" s="41">
        <v>997.52112048560218</v>
      </c>
      <c r="I5" s="42">
        <v>1024.2658700499439</v>
      </c>
      <c r="J5" s="41">
        <v>996.66889880156873</v>
      </c>
      <c r="K5" s="42">
        <v>1033.2809650296019</v>
      </c>
      <c r="L5" s="41">
        <v>995.79985852415746</v>
      </c>
      <c r="M5" s="42">
        <v>1042.8476882701982</v>
      </c>
      <c r="N5" s="41">
        <v>994.91151267801843</v>
      </c>
      <c r="O5" s="42">
        <v>1053.0316189156804</v>
      </c>
      <c r="P5" s="41">
        <v>994.00140873813427</v>
      </c>
      <c r="Q5" s="42">
        <v>1063.9084218914131</v>
      </c>
      <c r="R5" s="41">
        <v>993.06734565440445</v>
      </c>
      <c r="S5" s="42">
        <v>1075.5659408298891</v>
      </c>
      <c r="T5" s="41">
        <v>992.10783385734453</v>
      </c>
      <c r="U5" s="42">
        <v>1088.1047458656542</v>
      </c>
      <c r="V5" s="41">
        <v>991.12286667625187</v>
      </c>
      <c r="W5" s="42">
        <v>1101.639822064938</v>
      </c>
      <c r="X5" s="41">
        <v>990.11533509429205</v>
      </c>
      <c r="Y5" s="42">
        <v>1116.3010488628777</v>
      </c>
      <c r="Z5" s="41">
        <v>989.09373743715889</v>
      </c>
      <c r="AA5" s="42">
        <v>1132.225633455615</v>
      </c>
      <c r="AB5" s="41">
        <v>988.07692185120004</v>
      </c>
      <c r="AC5" s="42">
        <v>1149.5472641600152</v>
      </c>
      <c r="AD5" s="41">
        <v>987.10279713176681</v>
      </c>
      <c r="AE5" s="42">
        <v>1168.3649044171918</v>
      </c>
      <c r="AF5" s="41">
        <v>986.24370194915912</v>
      </c>
      <c r="AG5" s="42">
        <v>1188.6743108601668</v>
      </c>
      <c r="AH5" s="41">
        <v>985.63069511878678</v>
      </c>
      <c r="AI5" s="42">
        <v>1210.2481251320389</v>
      </c>
      <c r="AJ5" s="41">
        <v>985.47817454147219</v>
      </c>
      <c r="AK5" s="42">
        <v>1232.5167457404857</v>
      </c>
      <c r="AL5" s="41">
        <v>985.98855130401682</v>
      </c>
      <c r="AM5" s="42">
        <v>1255.610496423619</v>
      </c>
      <c r="AN5" s="41"/>
      <c r="AO5" s="42"/>
      <c r="AP5" s="41"/>
      <c r="AQ5" s="42"/>
      <c r="AR5" s="41"/>
      <c r="AS5" s="42"/>
      <c r="AT5" s="41"/>
      <c r="AU5" s="42"/>
      <c r="AV5" s="41"/>
      <c r="AW5" s="42"/>
    </row>
    <row r="6" spans="1:49" x14ac:dyDescent="0.2">
      <c r="A6" t="s">
        <v>77</v>
      </c>
      <c r="B6" s="41">
        <v>1000.0000000000003</v>
      </c>
      <c r="C6" s="42">
        <v>1000.0000000000002</v>
      </c>
      <c r="D6" s="41">
        <v>999.12219933943413</v>
      </c>
      <c r="E6" s="42">
        <v>1009.4987617153103</v>
      </c>
      <c r="F6" s="41">
        <v>998.23361390911566</v>
      </c>
      <c r="G6" s="42">
        <v>1019.6510785036728</v>
      </c>
      <c r="H6" s="41">
        <v>997.33201686389293</v>
      </c>
      <c r="I6" s="42">
        <v>1030.5500074472284</v>
      </c>
      <c r="J6" s="41">
        <v>996.41501628678395</v>
      </c>
      <c r="K6" s="42">
        <v>1042.3082186948491</v>
      </c>
      <c r="L6" s="41">
        <v>995.48004179220663</v>
      </c>
      <c r="M6" s="42">
        <v>1055.0647635342366</v>
      </c>
      <c r="N6" s="41">
        <v>994.52442543987343</v>
      </c>
      <c r="O6" s="42">
        <v>1068.9929098291718</v>
      </c>
      <c r="P6" s="41">
        <v>993.54553796224661</v>
      </c>
      <c r="Q6" s="42">
        <v>1084.3118534392929</v>
      </c>
      <c r="R6" s="41">
        <v>992.54102219174331</v>
      </c>
      <c r="S6" s="42">
        <v>1101.3041760771957</v>
      </c>
      <c r="T6" s="41">
        <v>991.50928758592124</v>
      </c>
      <c r="U6" s="42">
        <v>1120.34096559522</v>
      </c>
      <c r="V6" s="41">
        <v>990.45033901877889</v>
      </c>
      <c r="W6" s="42">
        <v>1141.9218565201747</v>
      </c>
      <c r="X6" s="41">
        <v>989.36729613243585</v>
      </c>
      <c r="Y6" s="42">
        <v>1166.738901371828</v>
      </c>
      <c r="Z6" s="41">
        <v>988.26930328075275</v>
      </c>
      <c r="AA6" s="42">
        <v>1195.7817236047927</v>
      </c>
      <c r="AB6" s="41">
        <v>987.17662036833428</v>
      </c>
      <c r="AC6" s="42">
        <v>1230.526527900691</v>
      </c>
      <c r="AD6" s="41">
        <v>986.12997283410971</v>
      </c>
      <c r="AE6" s="42">
        <v>1273.2938914480089</v>
      </c>
      <c r="AF6" s="41">
        <v>985.20704801159627</v>
      </c>
      <c r="AG6" s="42">
        <v>1328.0008168994477</v>
      </c>
      <c r="AH6" s="41">
        <v>984.5485696508091</v>
      </c>
      <c r="AI6" s="42">
        <v>1402.0320106784341</v>
      </c>
      <c r="AJ6" s="41">
        <v>984.3847450071529</v>
      </c>
      <c r="AK6" s="42">
        <v>1512.7019428630156</v>
      </c>
      <c r="AL6" s="41">
        <v>984.93296334793524</v>
      </c>
      <c r="AM6" s="42">
        <v>1742.5097329299683</v>
      </c>
      <c r="AN6" s="41"/>
      <c r="AO6" s="42"/>
      <c r="AP6" s="41"/>
      <c r="AQ6" s="42"/>
      <c r="AR6" s="41"/>
      <c r="AS6" s="42"/>
      <c r="AT6" s="41"/>
      <c r="AU6" s="42"/>
      <c r="AV6" s="41"/>
      <c r="AW6" s="42"/>
    </row>
    <row r="7" spans="1:49" x14ac:dyDescent="0.2">
      <c r="A7" t="s">
        <v>13</v>
      </c>
      <c r="B7" s="33">
        <v>1015.9116825427475</v>
      </c>
      <c r="C7" s="34">
        <v>1015.9116825427475</v>
      </c>
      <c r="D7" s="33">
        <v>1015.0832274920142</v>
      </c>
      <c r="E7" s="34">
        <v>1015.0832274920142</v>
      </c>
      <c r="F7" s="33">
        <v>1014.2444886861589</v>
      </c>
      <c r="G7" s="34">
        <v>1014.2444886861589</v>
      </c>
      <c r="H7" s="33">
        <v>1013.3933598844548</v>
      </c>
      <c r="I7" s="34">
        <v>1013.3933598844548</v>
      </c>
      <c r="J7" s="33">
        <v>1012.527577919529</v>
      </c>
      <c r="K7" s="34">
        <v>1012.527577919529</v>
      </c>
      <c r="L7" s="33">
        <v>1011.6447097491067</v>
      </c>
      <c r="M7" s="34">
        <v>1011.6447097491067</v>
      </c>
      <c r="N7" s="33">
        <v>1010.7422288258757</v>
      </c>
      <c r="O7" s="34">
        <v>1010.7422288258757</v>
      </c>
      <c r="P7" s="33">
        <v>1009.8176436010192</v>
      </c>
      <c r="Q7" s="34">
        <v>1009.8176436010192</v>
      </c>
      <c r="R7" s="33">
        <v>1008.8687180020262</v>
      </c>
      <c r="S7" s="34">
        <v>1008.8687180020262</v>
      </c>
      <c r="T7" s="33">
        <v>1007.8939387578554</v>
      </c>
      <c r="U7" s="34">
        <v>1007.8939387578554</v>
      </c>
      <c r="V7" s="33">
        <v>1006.8932990916622</v>
      </c>
      <c r="W7" s="34">
        <v>1006.8932990916622</v>
      </c>
      <c r="X7" s="33">
        <v>1005.8697359870184</v>
      </c>
      <c r="Y7" s="34">
        <v>1005.8697359870184</v>
      </c>
      <c r="Z7" s="33">
        <v>1004.8318829922786</v>
      </c>
      <c r="AA7" s="34">
        <v>1004.8318829922786</v>
      </c>
      <c r="AB7" s="33">
        <v>1003.7988881595114</v>
      </c>
      <c r="AC7" s="34">
        <v>1003.7988881595114</v>
      </c>
      <c r="AD7" s="33">
        <v>1002.8092634767855</v>
      </c>
      <c r="AE7" s="34">
        <v>1002.8092634767855</v>
      </c>
      <c r="AF7" s="33">
        <v>1001.9364986443582</v>
      </c>
      <c r="AG7" s="34">
        <v>1001.9364986443582</v>
      </c>
      <c r="AH7" s="33">
        <v>1001.3137378439044</v>
      </c>
      <c r="AI7" s="34">
        <v>1001.3137378439044</v>
      </c>
      <c r="AJ7" s="33">
        <v>1001.1587904075824</v>
      </c>
      <c r="AK7" s="34">
        <v>1001.1587904075824</v>
      </c>
      <c r="AL7" s="33">
        <v>1001.6772881231498</v>
      </c>
      <c r="AM7" s="34">
        <v>1001.6772881231498</v>
      </c>
      <c r="AN7" s="33"/>
      <c r="AO7" s="34"/>
      <c r="AP7" s="33"/>
      <c r="AQ7" s="34"/>
      <c r="AR7" s="33"/>
      <c r="AS7" s="34"/>
      <c r="AT7" s="33"/>
      <c r="AU7" s="34"/>
      <c r="AV7" s="33"/>
      <c r="AW7" s="34"/>
    </row>
    <row r="8" spans="1:49" x14ac:dyDescent="0.2">
      <c r="B8" s="35">
        <v>1005.7716594496609</v>
      </c>
      <c r="C8" s="36">
        <v>1005.7716594496609</v>
      </c>
      <c r="D8" s="35">
        <v>1034.6371935771983</v>
      </c>
      <c r="E8" s="36">
        <v>1034.6371935771983</v>
      </c>
      <c r="F8" s="35">
        <v>1065.9950260751793</v>
      </c>
      <c r="G8" s="36">
        <v>1065.9950260751793</v>
      </c>
      <c r="H8" s="35">
        <v>1100.2141281031534</v>
      </c>
      <c r="I8" s="36">
        <v>1100.2141281031534</v>
      </c>
      <c r="J8" s="35">
        <v>1137.743560761741</v>
      </c>
      <c r="K8" s="36">
        <v>1137.743560761741</v>
      </c>
      <c r="L8" s="35">
        <v>1179.1384294166994</v>
      </c>
      <c r="M8" s="36">
        <v>1179.1384294166994</v>
      </c>
      <c r="N8" s="35">
        <v>1225.0928987034342</v>
      </c>
      <c r="O8" s="36">
        <v>1225.0928987034342</v>
      </c>
      <c r="P8" s="35">
        <v>1276.4883133219555</v>
      </c>
      <c r="Q8" s="36">
        <v>1276.4883133219555</v>
      </c>
      <c r="R8" s="35">
        <v>1334.4641961797042</v>
      </c>
      <c r="S8" s="36">
        <v>1334.4641961797042</v>
      </c>
      <c r="T8" s="35">
        <v>1400.5221046121994</v>
      </c>
      <c r="U8" s="36">
        <v>1400.5221046121994</v>
      </c>
      <c r="V8" s="35">
        <v>1476.688669710486</v>
      </c>
      <c r="W8" s="36">
        <v>1476.688669710486</v>
      </c>
      <c r="X8" s="35">
        <v>1565.7751400641266</v>
      </c>
      <c r="Y8" s="36">
        <v>1565.7751400641266</v>
      </c>
      <c r="Z8" s="35">
        <v>1671.802990038062</v>
      </c>
      <c r="AA8" s="36">
        <v>1671.802990038062</v>
      </c>
      <c r="AB8" s="35">
        <v>1800.7494117053636</v>
      </c>
      <c r="AC8" s="36">
        <v>1800.7494117053636</v>
      </c>
      <c r="AD8" s="35">
        <v>1961.9064577823829</v>
      </c>
      <c r="AE8" s="36">
        <v>1961.9064577823829</v>
      </c>
      <c r="AF8" s="35">
        <v>2170.518472932637</v>
      </c>
      <c r="AG8" s="36">
        <v>2170.518472932637</v>
      </c>
      <c r="AH8" s="35">
        <v>2453.3124780847656</v>
      </c>
      <c r="AI8" s="36">
        <v>2453.3124780847656</v>
      </c>
      <c r="AJ8" s="35">
        <v>2861.357568410117</v>
      </c>
      <c r="AK8" s="36">
        <v>2861.357568410117</v>
      </c>
      <c r="AL8" s="35">
        <v>3506.8307144569303</v>
      </c>
      <c r="AM8" s="36">
        <v>3506.8307144569303</v>
      </c>
      <c r="AN8" s="35"/>
      <c r="AO8" s="36"/>
      <c r="AP8" s="35"/>
      <c r="AQ8" s="36"/>
      <c r="AR8" s="35"/>
      <c r="AS8" s="36"/>
      <c r="AT8" s="35"/>
      <c r="AU8" s="36"/>
      <c r="AV8" s="35"/>
      <c r="AW8" s="36"/>
    </row>
    <row r="9" spans="1:49" x14ac:dyDescent="0.2">
      <c r="A9" t="s">
        <v>14</v>
      </c>
      <c r="B9" s="41">
        <v>1015.9116825427475</v>
      </c>
      <c r="C9" s="42">
        <v>1005.7716594496609</v>
      </c>
      <c r="D9" s="41">
        <v>1015.0832274920142</v>
      </c>
      <c r="E9" s="42">
        <v>1034.6371935771983</v>
      </c>
      <c r="F9" s="41">
        <v>1014.2444886861589</v>
      </c>
      <c r="G9" s="42">
        <v>1065.9950260751793</v>
      </c>
      <c r="H9" s="41">
        <v>1013.3933598844548</v>
      </c>
      <c r="I9" s="42">
        <v>1100.2141281031534</v>
      </c>
      <c r="J9" s="41">
        <v>1012.527577919529</v>
      </c>
      <c r="K9" s="42">
        <v>1137.743560761741</v>
      </c>
      <c r="L9" s="41">
        <v>1011.6447097491067</v>
      </c>
      <c r="M9" s="42">
        <v>1179.1384294166994</v>
      </c>
      <c r="N9" s="41">
        <v>1010.7422288258757</v>
      </c>
      <c r="O9" s="42">
        <v>1225.0928987034342</v>
      </c>
      <c r="P9" s="41">
        <v>1009.8176436010192</v>
      </c>
      <c r="Q9" s="42">
        <v>1276.4883133219555</v>
      </c>
      <c r="R9" s="41">
        <v>1008.8687180020262</v>
      </c>
      <c r="S9" s="42">
        <v>1334.4641961797042</v>
      </c>
      <c r="T9" s="41">
        <v>1007.8939387578554</v>
      </c>
      <c r="U9" s="42">
        <v>1400.5221046121994</v>
      </c>
      <c r="V9" s="41">
        <v>1006.8932990916622</v>
      </c>
      <c r="W9" s="42">
        <v>1476.688669710486</v>
      </c>
      <c r="X9" s="41">
        <v>1005.8697359870184</v>
      </c>
      <c r="Y9" s="42">
        <v>1565.7751400641266</v>
      </c>
      <c r="Z9" s="41">
        <v>1004.8318829922786</v>
      </c>
      <c r="AA9" s="42">
        <v>1671.802990038062</v>
      </c>
      <c r="AB9" s="41">
        <v>1003.7988881595114</v>
      </c>
      <c r="AC9" s="42">
        <v>1800.7494117053636</v>
      </c>
      <c r="AD9" s="41">
        <v>1002.8092634767855</v>
      </c>
      <c r="AE9" s="42">
        <v>1961.9064577823829</v>
      </c>
      <c r="AF9" s="41">
        <v>1001.9364986443582</v>
      </c>
      <c r="AG9" s="42">
        <v>2170.518472932637</v>
      </c>
      <c r="AH9" s="41">
        <v>1001.3137378439044</v>
      </c>
      <c r="AI9" s="42">
        <v>2453.3124780847656</v>
      </c>
      <c r="AJ9" s="41">
        <v>1001.1587904075824</v>
      </c>
      <c r="AK9" s="42">
        <v>2861.357568410117</v>
      </c>
      <c r="AL9" s="41">
        <v>1001.6772881231498</v>
      </c>
      <c r="AM9" s="42">
        <v>3506.8307144569303</v>
      </c>
      <c r="AN9" s="41"/>
      <c r="AO9" s="42"/>
      <c r="AP9" s="41"/>
      <c r="AQ9" s="42"/>
      <c r="AR9" s="41"/>
      <c r="AS9" s="42"/>
      <c r="AT9" s="41"/>
      <c r="AU9" s="42"/>
      <c r="AV9" s="41"/>
      <c r="AW9" s="42"/>
    </row>
    <row r="10" spans="1:49" x14ac:dyDescent="0.2">
      <c r="A10" t="s">
        <v>15</v>
      </c>
      <c r="B10" s="41">
        <v>1015.9116825427475</v>
      </c>
      <c r="C10" s="42">
        <v>1005.7716594496609</v>
      </c>
      <c r="D10" s="41">
        <v>1015.0832274920142</v>
      </c>
      <c r="E10" s="42">
        <v>1034.6371935771983</v>
      </c>
      <c r="F10" s="41">
        <v>1014.2444886861589</v>
      </c>
      <c r="G10" s="42">
        <v>1065.9950260751793</v>
      </c>
      <c r="H10" s="41">
        <v>1013.3933598844548</v>
      </c>
      <c r="I10" s="42">
        <v>1100.2141281031534</v>
      </c>
      <c r="J10" s="41">
        <v>1012.527577919529</v>
      </c>
      <c r="K10" s="42">
        <v>1137.743560761741</v>
      </c>
      <c r="L10" s="41">
        <v>1011.6447097491067</v>
      </c>
      <c r="M10" s="42">
        <v>1179.1384294166994</v>
      </c>
      <c r="N10" s="41">
        <v>1010.7422288258757</v>
      </c>
      <c r="O10" s="42">
        <v>1225.0928987034342</v>
      </c>
      <c r="P10" s="41">
        <v>1009.8176436010192</v>
      </c>
      <c r="Q10" s="42">
        <v>1276.4883133219555</v>
      </c>
      <c r="R10" s="41">
        <v>1008.8687180020262</v>
      </c>
      <c r="S10" s="42">
        <v>1334.4641961797042</v>
      </c>
      <c r="T10" s="41">
        <v>1007.8939387578554</v>
      </c>
      <c r="U10" s="42">
        <v>1400.5221046121994</v>
      </c>
      <c r="V10" s="41">
        <v>1006.8932990916622</v>
      </c>
      <c r="W10" s="42">
        <v>1476.688669710486</v>
      </c>
      <c r="X10" s="41">
        <v>1005.8697359870184</v>
      </c>
      <c r="Y10" s="42">
        <v>1565.7751400641266</v>
      </c>
      <c r="Z10" s="41">
        <v>1004.8318829922786</v>
      </c>
      <c r="AA10" s="42">
        <v>1671.802990038062</v>
      </c>
      <c r="AB10" s="41">
        <v>1003.7988881595114</v>
      </c>
      <c r="AC10" s="42">
        <v>1800.7494117053636</v>
      </c>
      <c r="AD10" s="41">
        <v>1002.8092634767855</v>
      </c>
      <c r="AE10" s="42">
        <v>1961.9064577823829</v>
      </c>
      <c r="AF10" s="41">
        <v>1001.9364986443582</v>
      </c>
      <c r="AG10" s="42">
        <v>2170.518472932637</v>
      </c>
      <c r="AH10" s="41">
        <v>1001.3137378439044</v>
      </c>
      <c r="AI10" s="42">
        <v>2453.3124780847656</v>
      </c>
      <c r="AJ10" s="41">
        <v>1001.1587904075824</v>
      </c>
      <c r="AK10" s="42">
        <v>2861.357568410117</v>
      </c>
      <c r="AL10" s="41">
        <v>1001.6772881231498</v>
      </c>
      <c r="AM10" s="42">
        <v>3506.8307144569303</v>
      </c>
      <c r="AN10" s="41"/>
      <c r="AO10" s="42"/>
      <c r="AP10" s="41"/>
      <c r="AQ10" s="42"/>
      <c r="AR10" s="41"/>
      <c r="AS10" s="42"/>
      <c r="AT10" s="41"/>
      <c r="AU10" s="42"/>
      <c r="AV10" s="41"/>
      <c r="AW10" s="42"/>
    </row>
    <row r="11" spans="1:49" x14ac:dyDescent="0.2">
      <c r="A11" t="s">
        <v>29</v>
      </c>
      <c r="B11" s="41">
        <v>1015.9116825427475</v>
      </c>
      <c r="C11" s="42">
        <v>1005.7716594496609</v>
      </c>
      <c r="D11" s="41">
        <v>1015.0832274920142</v>
      </c>
      <c r="E11" s="42">
        <v>1034.6371935771983</v>
      </c>
      <c r="F11" s="41">
        <v>1014.2444886861589</v>
      </c>
      <c r="G11" s="42">
        <v>1065.9950260751793</v>
      </c>
      <c r="H11" s="41">
        <v>1013.3933598844548</v>
      </c>
      <c r="I11" s="42">
        <v>1100.2141281031534</v>
      </c>
      <c r="J11" s="41">
        <v>1012.527577919529</v>
      </c>
      <c r="K11" s="42">
        <v>1137.743560761741</v>
      </c>
      <c r="L11" s="41">
        <v>1011.6447097491067</v>
      </c>
      <c r="M11" s="42">
        <v>1179.1384294166994</v>
      </c>
      <c r="N11" s="41">
        <v>1010.7422288258757</v>
      </c>
      <c r="O11" s="42">
        <v>1225.0928987034342</v>
      </c>
      <c r="P11" s="41">
        <v>1009.8176436010192</v>
      </c>
      <c r="Q11" s="42">
        <v>1276.4883133219555</v>
      </c>
      <c r="R11" s="41">
        <v>1008.8687180020262</v>
      </c>
      <c r="S11" s="42">
        <v>1334.4641961797042</v>
      </c>
      <c r="T11" s="41">
        <v>1007.8939387578554</v>
      </c>
      <c r="U11" s="42">
        <v>1400.5221046121994</v>
      </c>
      <c r="V11" s="41">
        <v>1006.8932990916622</v>
      </c>
      <c r="W11" s="42">
        <v>1476.688669710486</v>
      </c>
      <c r="X11" s="41">
        <v>1005.8697359870184</v>
      </c>
      <c r="Y11" s="42">
        <v>1565.7751400641266</v>
      </c>
      <c r="Z11" s="41">
        <v>1004.8318829922786</v>
      </c>
      <c r="AA11" s="42">
        <v>1671.802990038062</v>
      </c>
      <c r="AB11" s="41">
        <v>1003.7988881595114</v>
      </c>
      <c r="AC11" s="42">
        <v>1800.7494117053636</v>
      </c>
      <c r="AD11" s="41">
        <v>1002.8092634767855</v>
      </c>
      <c r="AE11" s="42">
        <v>1961.9064577823829</v>
      </c>
      <c r="AF11" s="41">
        <v>1001.9364986443582</v>
      </c>
      <c r="AG11" s="42">
        <v>2170.518472932637</v>
      </c>
      <c r="AH11" s="41">
        <v>1001.3137378439044</v>
      </c>
      <c r="AI11" s="42">
        <v>2453.3124780847656</v>
      </c>
      <c r="AJ11" s="41">
        <v>1001.1587904075824</v>
      </c>
      <c r="AK11" s="42">
        <v>2861.357568410117</v>
      </c>
      <c r="AL11" s="41">
        <v>1001.6772881231498</v>
      </c>
      <c r="AM11" s="42">
        <v>3506.8307144569303</v>
      </c>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c r="AO12" s="42"/>
      <c r="AP12" s="41"/>
      <c r="AQ12" s="42"/>
      <c r="AR12" s="41"/>
      <c r="AS12" s="42"/>
      <c r="AT12" s="41"/>
      <c r="AU12" s="42"/>
      <c r="AV12" s="41"/>
      <c r="AW12" s="42"/>
    </row>
    <row r="13" spans="1:49" x14ac:dyDescent="0.2">
      <c r="A13" t="s">
        <v>17</v>
      </c>
      <c r="B13" s="97">
        <v>1000</v>
      </c>
      <c r="C13" s="98">
        <v>1000</v>
      </c>
      <c r="D13" s="97">
        <v>1000.7779608908469</v>
      </c>
      <c r="E13" s="98">
        <v>1000.7779608908469</v>
      </c>
      <c r="F13" s="97">
        <v>1001.65166282395</v>
      </c>
      <c r="G13" s="98">
        <v>1001.65166282395</v>
      </c>
      <c r="H13" s="97">
        <v>1002.6333936122055</v>
      </c>
      <c r="I13" s="98">
        <v>1002.6333936122055</v>
      </c>
      <c r="J13" s="97">
        <v>1003.7382325631881</v>
      </c>
      <c r="K13" s="98">
        <v>1003.7382325631881</v>
      </c>
      <c r="L13" s="97">
        <v>1004.9849691856467</v>
      </c>
      <c r="M13" s="98">
        <v>1004.9849691856467</v>
      </c>
      <c r="N13" s="97">
        <v>1006.3973335539162</v>
      </c>
      <c r="O13" s="98">
        <v>1006.3973335539162</v>
      </c>
      <c r="P13" s="97">
        <v>1008.0058017838282</v>
      </c>
      <c r="Q13" s="98">
        <v>1008.0058017838282</v>
      </c>
      <c r="R13" s="97">
        <v>1009.8502702652747</v>
      </c>
      <c r="S13" s="98">
        <v>1009.8502702652747</v>
      </c>
      <c r="T13" s="97">
        <v>1011.9840674796567</v>
      </c>
      <c r="U13" s="98">
        <v>1011.9840674796567</v>
      </c>
      <c r="V13" s="97">
        <v>1014.4802523444871</v>
      </c>
      <c r="W13" s="98">
        <v>1014.4802523444871</v>
      </c>
      <c r="X13" s="97">
        <v>1017.4417130552869</v>
      </c>
      <c r="Y13" s="98">
        <v>1017.4417130552869</v>
      </c>
      <c r="Z13" s="97">
        <v>1021.0179409667232</v>
      </c>
      <c r="AA13" s="98">
        <v>1021.0179409667232</v>
      </c>
      <c r="AB13" s="97">
        <v>1025.4340520851893</v>
      </c>
      <c r="AC13" s="98">
        <v>1025.4340520851893</v>
      </c>
      <c r="AD13" s="97">
        <v>1031.0430189250412</v>
      </c>
      <c r="AE13" s="98">
        <v>1031.0430189250412</v>
      </c>
      <c r="AF13" s="97">
        <v>1038.4238911334492</v>
      </c>
      <c r="AG13" s="98">
        <v>1038.4238911334492</v>
      </c>
      <c r="AH13" s="97">
        <v>1048.5759244564349</v>
      </c>
      <c r="AI13" s="98">
        <v>1048.5759244564349</v>
      </c>
      <c r="AJ13" s="97">
        <v>1063.328567405395</v>
      </c>
      <c r="AK13" s="98">
        <v>1063.328567405395</v>
      </c>
      <c r="AL13" s="97">
        <v>1086.327153720239</v>
      </c>
      <c r="AM13" s="98">
        <v>1086.327153720239</v>
      </c>
      <c r="AN13" s="97"/>
      <c r="AO13" s="98"/>
      <c r="AP13" s="97"/>
      <c r="AQ13" s="98"/>
      <c r="AR13" s="97"/>
      <c r="AS13" s="98"/>
      <c r="AT13" s="97"/>
      <c r="AU13" s="98"/>
      <c r="AV13" s="97"/>
      <c r="AW13" s="98"/>
    </row>
    <row r="14" spans="1:49" x14ac:dyDescent="0.2">
      <c r="A14" t="s">
        <v>36</v>
      </c>
      <c r="B14" s="41">
        <v>1457.0034251455234</v>
      </c>
      <c r="C14" s="42">
        <v>1457.0034251455236</v>
      </c>
      <c r="D14" s="41">
        <v>1458.1369168281165</v>
      </c>
      <c r="E14" s="42">
        <v>1458.1369168281167</v>
      </c>
      <c r="F14" s="41">
        <v>1459.4099035372039</v>
      </c>
      <c r="G14" s="42">
        <v>1459.4099035372042</v>
      </c>
      <c r="H14" s="41">
        <v>1460.840288658263</v>
      </c>
      <c r="I14" s="42">
        <v>1460.8402886582633</v>
      </c>
      <c r="J14" s="41">
        <v>1462.4500427940789</v>
      </c>
      <c r="K14" s="42">
        <v>1462.4500427940791</v>
      </c>
      <c r="L14" s="41">
        <v>1464.2665423232554</v>
      </c>
      <c r="M14" s="42">
        <v>1464.2665423232556</v>
      </c>
      <c r="N14" s="41">
        <v>1466.3243620453775</v>
      </c>
      <c r="O14" s="42">
        <v>1466.3243620453777</v>
      </c>
      <c r="P14" s="41">
        <v>1468.6679057655972</v>
      </c>
      <c r="Q14" s="42">
        <v>1468.6679057655974</v>
      </c>
      <c r="R14" s="41">
        <v>1471.3553026606376</v>
      </c>
      <c r="S14" s="42">
        <v>1471.3553026606378</v>
      </c>
      <c r="T14" s="41">
        <v>1474.4642525105583</v>
      </c>
      <c r="U14" s="42">
        <v>1474.4642525105585</v>
      </c>
      <c r="V14" s="41">
        <v>1478.1012024084125</v>
      </c>
      <c r="W14" s="42">
        <v>1478.1012024084127</v>
      </c>
      <c r="X14" s="41">
        <v>1482.4160608074817</v>
      </c>
      <c r="Y14" s="42">
        <v>1482.4160608074819</v>
      </c>
      <c r="Z14" s="41">
        <v>1487.6266371235454</v>
      </c>
      <c r="AA14" s="42">
        <v>1487.6266371235456</v>
      </c>
      <c r="AB14" s="41">
        <v>1494.0609261489737</v>
      </c>
      <c r="AC14" s="42">
        <v>1494.060926148974</v>
      </c>
      <c r="AD14" s="41">
        <v>1502.2332100461656</v>
      </c>
      <c r="AE14" s="42">
        <v>1502.2332100461658</v>
      </c>
      <c r="AF14" s="41">
        <v>1512.9871661343775</v>
      </c>
      <c r="AG14" s="42">
        <v>1512.9871661343777</v>
      </c>
      <c r="AH14" s="41">
        <v>1527.778713458159</v>
      </c>
      <c r="AI14" s="42">
        <v>1527.7787134581592</v>
      </c>
      <c r="AJ14" s="41">
        <v>1549.2733647647428</v>
      </c>
      <c r="AK14" s="42">
        <v>1549.2733647647433</v>
      </c>
      <c r="AL14" s="41">
        <v>1582.7823837989756</v>
      </c>
      <c r="AM14" s="42">
        <v>1582.7823837989758</v>
      </c>
      <c r="AN14" s="41"/>
      <c r="AO14" s="42"/>
      <c r="AP14" s="41"/>
      <c r="AQ14" s="42"/>
      <c r="AR14" s="41"/>
      <c r="AS14" s="42"/>
      <c r="AT14" s="41"/>
      <c r="AU14" s="42"/>
      <c r="AV14" s="41"/>
      <c r="AW14" s="42"/>
    </row>
    <row r="15" spans="1:49" x14ac:dyDescent="0.2">
      <c r="A15" t="s">
        <v>18</v>
      </c>
      <c r="B15" s="154">
        <v>1000</v>
      </c>
      <c r="C15" s="155">
        <v>1000</v>
      </c>
      <c r="D15" s="154">
        <v>994.53947563901761</v>
      </c>
      <c r="E15" s="155">
        <v>994.53947563901761</v>
      </c>
      <c r="F15" s="154">
        <v>988.22451525921895</v>
      </c>
      <c r="G15" s="155">
        <v>988.22451525921895</v>
      </c>
      <c r="H15" s="154">
        <v>980.96839570679572</v>
      </c>
      <c r="I15" s="155">
        <v>980.96839570679572</v>
      </c>
      <c r="J15" s="154">
        <v>972.669767836456</v>
      </c>
      <c r="K15" s="155">
        <v>972.669767836456</v>
      </c>
      <c r="L15" s="154">
        <v>963.20943014632257</v>
      </c>
      <c r="M15" s="155">
        <v>963.20943014632257</v>
      </c>
      <c r="N15" s="154">
        <v>952.44507201542581</v>
      </c>
      <c r="O15" s="155">
        <v>952.44507201542581</v>
      </c>
      <c r="P15" s="154">
        <v>940.20428017569373</v>
      </c>
      <c r="Q15" s="155">
        <v>940.20428017569373</v>
      </c>
      <c r="R15" s="154">
        <v>926.27467029024206</v>
      </c>
      <c r="S15" s="155">
        <v>926.27467029024206</v>
      </c>
      <c r="T15" s="154">
        <v>910.38890774487584</v>
      </c>
      <c r="U15" s="155">
        <v>910.38890774487584</v>
      </c>
      <c r="V15" s="154">
        <v>892.20227769661312</v>
      </c>
      <c r="W15" s="155">
        <v>892.20227769661312</v>
      </c>
      <c r="X15" s="154">
        <v>871.25674977531855</v>
      </c>
      <c r="Y15" s="155">
        <v>871.25674977531855</v>
      </c>
      <c r="Z15" s="154">
        <v>846.92110824884116</v>
      </c>
      <c r="AA15" s="155">
        <v>846.92110824884116</v>
      </c>
      <c r="AB15" s="154">
        <v>818.28738320699017</v>
      </c>
      <c r="AC15" s="155">
        <v>818.28738320699017</v>
      </c>
      <c r="AD15" s="154">
        <v>783.98122126165833</v>
      </c>
      <c r="AE15" s="155">
        <v>783.98122126165833</v>
      </c>
      <c r="AF15" s="154">
        <v>741.79729456727182</v>
      </c>
      <c r="AG15" s="155">
        <v>741.79729456727182</v>
      </c>
      <c r="AH15" s="154">
        <v>687.96416897601898</v>
      </c>
      <c r="AI15" s="155">
        <v>687.96416897601898</v>
      </c>
      <c r="AJ15" s="154">
        <v>615.60534808933642</v>
      </c>
      <c r="AK15" s="155">
        <v>615.60534808933642</v>
      </c>
      <c r="AL15" s="154">
        <v>511.59330744972812</v>
      </c>
      <c r="AM15" s="155">
        <v>511.59330744972812</v>
      </c>
      <c r="AN15" s="154"/>
      <c r="AO15" s="155"/>
      <c r="AP15" s="154"/>
      <c r="AQ15" s="155"/>
      <c r="AR15" s="154"/>
      <c r="AS15" s="155"/>
      <c r="AT15" s="154"/>
      <c r="AU15" s="155"/>
      <c r="AV15" s="154"/>
      <c r="AW15" s="155"/>
    </row>
    <row r="16" spans="1:49" s="29" customFormat="1" x14ac:dyDescent="0.2">
      <c r="A16" t="s">
        <v>61</v>
      </c>
      <c r="B16" s="41">
        <v>1000</v>
      </c>
      <c r="C16" s="42">
        <v>1000</v>
      </c>
      <c r="D16" s="41">
        <v>997.99560419480986</v>
      </c>
      <c r="E16" s="42">
        <v>996.41916518658354</v>
      </c>
      <c r="F16" s="41">
        <v>995.91855579884827</v>
      </c>
      <c r="G16" s="42">
        <v>992.46958470070581</v>
      </c>
      <c r="H16" s="41">
        <v>993.75983043562417</v>
      </c>
      <c r="I16" s="42">
        <v>988.12135152872531</v>
      </c>
      <c r="J16" s="41">
        <v>991.50901214161036</v>
      </c>
      <c r="K16" s="42">
        <v>983.34054396846875</v>
      </c>
      <c r="L16" s="41">
        <v>989.15390683073122</v>
      </c>
      <c r="M16" s="42">
        <v>978.08971738848822</v>
      </c>
      <c r="N16" s="41">
        <v>986.68019078174245</v>
      </c>
      <c r="O16" s="42">
        <v>972.32689855231979</v>
      </c>
      <c r="P16" s="41">
        <v>984.07091931000423</v>
      </c>
      <c r="Q16" s="42">
        <v>966.00503586548814</v>
      </c>
      <c r="R16" s="41">
        <v>981.30585027108418</v>
      </c>
      <c r="S16" s="42">
        <v>959.07220050726619</v>
      </c>
      <c r="T16" s="41">
        <v>978.36066777403698</v>
      </c>
      <c r="U16" s="42">
        <v>951.47151225004393</v>
      </c>
      <c r="V16" s="41">
        <v>975.20585432519931</v>
      </c>
      <c r="W16" s="42">
        <v>943.14390200143373</v>
      </c>
      <c r="X16" s="41">
        <v>971.80523069025821</v>
      </c>
      <c r="Y16" s="42">
        <v>934.03527167670245</v>
      </c>
      <c r="Z16" s="41">
        <v>968.11425463501428</v>
      </c>
      <c r="AA16" s="42">
        <v>924.11279185080946</v>
      </c>
      <c r="AB16" s="41">
        <v>964.07746804133819</v>
      </c>
      <c r="AC16" s="42">
        <v>913.41443598268859</v>
      </c>
      <c r="AD16" s="41">
        <v>959.62509418098034</v>
      </c>
      <c r="AE16" s="42">
        <v>902.18857947440711</v>
      </c>
      <c r="AF16" s="41">
        <v>954.66755169806959</v>
      </c>
      <c r="AG16" s="42">
        <v>891.34289004302275</v>
      </c>
      <c r="AH16" s="41">
        <v>949.0825757261548</v>
      </c>
      <c r="AI16" s="42">
        <v>884.18189190080125</v>
      </c>
      <c r="AJ16" s="41">
        <v>942.67039400164424</v>
      </c>
      <c r="AK16" s="42">
        <v>895.71169178904177</v>
      </c>
      <c r="AL16" s="41">
        <v>934.90157611440452</v>
      </c>
      <c r="AM16" s="42">
        <v>1072.6151597724995</v>
      </c>
      <c r="AN16" s="41"/>
      <c r="AO16" s="42"/>
      <c r="AP16" s="41"/>
      <c r="AQ16" s="42"/>
      <c r="AR16" s="41"/>
      <c r="AS16" s="42"/>
      <c r="AT16" s="41"/>
      <c r="AU16" s="42"/>
      <c r="AV16" s="41"/>
      <c r="AW16" s="42"/>
    </row>
    <row r="17" spans="1:49" x14ac:dyDescent="0.2">
      <c r="A17" t="s">
        <v>62</v>
      </c>
      <c r="B17" s="35">
        <v>999.99999999998658</v>
      </c>
      <c r="C17" s="36">
        <v>1000.0000000000002</v>
      </c>
      <c r="D17" s="35">
        <v>999.25885269236392</v>
      </c>
      <c r="E17" s="36">
        <v>1013.5329641060868</v>
      </c>
      <c r="F17" s="35">
        <v>998.50931237754185</v>
      </c>
      <c r="G17" s="36">
        <v>1028.0644849160553</v>
      </c>
      <c r="H17" s="35">
        <v>997.74953660305471</v>
      </c>
      <c r="I17" s="36">
        <v>1043.7412160621668</v>
      </c>
      <c r="J17" s="35">
        <v>996.97754194636036</v>
      </c>
      <c r="K17" s="36">
        <v>1060.7413318902766</v>
      </c>
      <c r="L17" s="35">
        <v>996.191213632119</v>
      </c>
      <c r="M17" s="36">
        <v>1079.2855468115947</v>
      </c>
      <c r="N17" s="35">
        <v>995.38836227948673</v>
      </c>
      <c r="O17" s="36">
        <v>1099.6499651661677</v>
      </c>
      <c r="P17" s="35">
        <v>994.56683940663459</v>
      </c>
      <c r="Q17" s="36">
        <v>1122.1852976630416</v>
      </c>
      <c r="R17" s="35">
        <v>993.72474001329829</v>
      </c>
      <c r="S17" s="36">
        <v>1147.3456699596366</v>
      </c>
      <c r="T17" s="35">
        <v>992.86080526841045</v>
      </c>
      <c r="U17" s="36">
        <v>1175.730160623935</v>
      </c>
      <c r="V17" s="35">
        <v>991.97512112951904</v>
      </c>
      <c r="W17" s="36">
        <v>1208.1494545724699</v>
      </c>
      <c r="X17" s="35">
        <v>991.0703843356838</v>
      </c>
      <c r="Y17" s="36">
        <v>1245.7328571859348</v>
      </c>
      <c r="Z17" s="35">
        <v>990.1542973684775</v>
      </c>
      <c r="AA17" s="36">
        <v>1290.1051159554138</v>
      </c>
      <c r="AB17" s="35">
        <v>989.24378251891619</v>
      </c>
      <c r="AC17" s="36">
        <v>1343.7073339767794</v>
      </c>
      <c r="AD17" s="35">
        <v>988.37270457477825</v>
      </c>
      <c r="AE17" s="36">
        <v>1410.4097678426945</v>
      </c>
      <c r="AF17" s="35">
        <v>987.60546754596942</v>
      </c>
      <c r="AG17" s="36">
        <v>1496.813037372493</v>
      </c>
      <c r="AH17" s="35">
        <v>987.05857358256685</v>
      </c>
      <c r="AI17" s="36">
        <v>1615.5219199756311</v>
      </c>
      <c r="AJ17" s="35">
        <v>986.92257413473169</v>
      </c>
      <c r="AK17" s="36">
        <v>1796.5370832504925</v>
      </c>
      <c r="AL17" s="35">
        <v>987.37777683772595</v>
      </c>
      <c r="AM17" s="36">
        <v>2185.0735330260864</v>
      </c>
      <c r="AN17" s="35"/>
      <c r="AO17" s="36"/>
      <c r="AP17" s="35"/>
      <c r="AQ17" s="36"/>
      <c r="AR17" s="35"/>
      <c r="AS17" s="36"/>
      <c r="AT17" s="35"/>
      <c r="AU17" s="36"/>
      <c r="AV17" s="35"/>
      <c r="AW17" s="36"/>
    </row>
    <row r="18" spans="1:49" x14ac:dyDescent="0.2">
      <c r="A18" t="s">
        <v>19</v>
      </c>
      <c r="B18" s="33">
        <v>27857.010133999996</v>
      </c>
      <c r="C18" s="34">
        <v>1236.7674480000003</v>
      </c>
      <c r="D18" s="33">
        <v>27456.735182687356</v>
      </c>
      <c r="E18" s="34">
        <v>1154.8725216968282</v>
      </c>
      <c r="F18" s="33">
        <v>27035.129980586571</v>
      </c>
      <c r="G18" s="34">
        <v>1073.541405340445</v>
      </c>
      <c r="H18" s="33">
        <v>26590.24835172555</v>
      </c>
      <c r="I18" s="34">
        <v>992.80976385423924</v>
      </c>
      <c r="J18" s="33">
        <v>26119.79866487069</v>
      </c>
      <c r="K18" s="34">
        <v>912.72174364959471</v>
      </c>
      <c r="L18" s="33">
        <v>25621.063501707933</v>
      </c>
      <c r="M18" s="34">
        <v>833.33557214905181</v>
      </c>
      <c r="N18" s="33">
        <v>25090.766746757159</v>
      </c>
      <c r="O18" s="34">
        <v>754.72700291984097</v>
      </c>
      <c r="P18" s="33">
        <v>24524.895216896355</v>
      </c>
      <c r="Q18" s="34">
        <v>676.99572261419451</v>
      </c>
      <c r="R18" s="33">
        <v>23918.445410065742</v>
      </c>
      <c r="S18" s="34">
        <v>600.27601100798756</v>
      </c>
      <c r="T18" s="33">
        <v>23265.034840671258</v>
      </c>
      <c r="U18" s="34">
        <v>524.74960335810556</v>
      </c>
      <c r="V18" s="33">
        <v>22556.321036838905</v>
      </c>
      <c r="W18" s="34">
        <v>450.66890104784625</v>
      </c>
      <c r="X18" s="33">
        <v>21781.079321178335</v>
      </c>
      <c r="Y18" s="34">
        <v>378.39082643777726</v>
      </c>
      <c r="Z18" s="33">
        <v>20923.667009514451</v>
      </c>
      <c r="AA18" s="34">
        <v>308.4239267552087</v>
      </c>
      <c r="AB18" s="33">
        <v>19961.440969515406</v>
      </c>
      <c r="AC18" s="34">
        <v>241.5086317540773</v>
      </c>
      <c r="AD18" s="33">
        <v>18860.186605316609</v>
      </c>
      <c r="AE18" s="34">
        <v>178.73122825393389</v>
      </c>
      <c r="AF18" s="33">
        <v>17565.777515412454</v>
      </c>
      <c r="AG18" s="34">
        <v>121.67615029608825</v>
      </c>
      <c r="AH18" s="33">
        <v>15988.710686929806</v>
      </c>
      <c r="AI18" s="34">
        <v>72.568918255816598</v>
      </c>
      <c r="AJ18" s="33">
        <v>13975.538031847327</v>
      </c>
      <c r="AK18" s="34">
        <v>34.166842197923536</v>
      </c>
      <c r="AL18" s="33">
        <v>11263.37095951081</v>
      </c>
      <c r="AM18" s="34">
        <v>8.4895075812671976</v>
      </c>
      <c r="AN18" s="33"/>
      <c r="AO18" s="34"/>
      <c r="AP18" s="33"/>
      <c r="AQ18" s="34"/>
      <c r="AR18" s="33"/>
      <c r="AS18" s="34"/>
      <c r="AT18" s="33"/>
      <c r="AU18" s="34"/>
      <c r="AV18" s="33"/>
      <c r="AW18" s="34"/>
    </row>
    <row r="19" spans="1:49" x14ac:dyDescent="0.2">
      <c r="A19" t="s">
        <v>3</v>
      </c>
      <c r="B19" s="41">
        <v>1886.3937399999966</v>
      </c>
      <c r="C19" s="42">
        <v>262.78711299999782</v>
      </c>
      <c r="D19" s="41">
        <v>1855.2764914998422</v>
      </c>
      <c r="E19" s="42">
        <v>265.38644439588177</v>
      </c>
      <c r="F19" s="41">
        <v>1822.7917314241461</v>
      </c>
      <c r="G19" s="42">
        <v>267.99463510112781</v>
      </c>
      <c r="H19" s="41">
        <v>1788.8103914630531</v>
      </c>
      <c r="I19" s="42">
        <v>270.59787746754512</v>
      </c>
      <c r="J19" s="41">
        <v>1753.1816221338975</v>
      </c>
      <c r="K19" s="42">
        <v>273.17525872125441</v>
      </c>
      <c r="L19" s="41">
        <v>1715.7278036073794</v>
      </c>
      <c r="M19" s="42">
        <v>275.69726784858204</v>
      </c>
      <c r="N19" s="41">
        <v>1676.2365995156233</v>
      </c>
      <c r="O19" s="42">
        <v>278.12083251386667</v>
      </c>
      <c r="P19" s="41">
        <v>1634.4503326186787</v>
      </c>
      <c r="Q19" s="42">
        <v>280.38290729860262</v>
      </c>
      <c r="R19" s="41">
        <v>1590.0509205484384</v>
      </c>
      <c r="S19" s="42">
        <v>282.39129325118751</v>
      </c>
      <c r="T19" s="41">
        <v>1542.6370367665547</v>
      </c>
      <c r="U19" s="42">
        <v>284.00887189593226</v>
      </c>
      <c r="V19" s="41">
        <v>1491.6899052033173</v>
      </c>
      <c r="W19" s="42">
        <v>285.03059031952961</v>
      </c>
      <c r="X19" s="41">
        <v>1436.5190854984949</v>
      </c>
      <c r="Y19" s="42">
        <v>285.14588021365512</v>
      </c>
      <c r="Z19" s="41">
        <v>1376.1723169886154</v>
      </c>
      <c r="AA19" s="42">
        <v>283.87526678824736</v>
      </c>
      <c r="AB19" s="41">
        <v>1309.2821797744496</v>
      </c>
      <c r="AC19" s="42">
        <v>280.47019733417312</v>
      </c>
      <c r="AD19" s="41">
        <v>1233.7912565070574</v>
      </c>
      <c r="AE19" s="42">
        <v>273.74916223736949</v>
      </c>
      <c r="AF19" s="41">
        <v>1146.4390333466843</v>
      </c>
      <c r="AG19" s="42">
        <v>261.84654709699112</v>
      </c>
      <c r="AH19" s="41">
        <v>1041.7747724560231</v>
      </c>
      <c r="AI19" s="42">
        <v>241.89675054233254</v>
      </c>
      <c r="AJ19" s="41">
        <v>910.22521703487178</v>
      </c>
      <c r="AK19" s="42">
        <v>209.91229752858379</v>
      </c>
      <c r="AL19" s="41">
        <v>734.60023345796344</v>
      </c>
      <c r="AM19" s="42">
        <v>162.34675119680543</v>
      </c>
      <c r="AN19" s="41"/>
      <c r="AO19" s="42"/>
      <c r="AP19" s="41"/>
      <c r="AQ19" s="42"/>
      <c r="AR19" s="41"/>
      <c r="AS19" s="42"/>
      <c r="AT19" s="41"/>
      <c r="AU19" s="42"/>
      <c r="AV19" s="41"/>
      <c r="AW19" s="42"/>
    </row>
    <row r="20" spans="1:49" x14ac:dyDescent="0.2">
      <c r="A20" t="s">
        <v>127</v>
      </c>
      <c r="B20" s="82">
        <v>26548.356269999993</v>
      </c>
      <c r="C20" s="83">
        <v>1408.5418709999938</v>
      </c>
      <c r="D20" s="82">
        <v>26153.061647047816</v>
      </c>
      <c r="E20" s="83">
        <v>1338.1147774499941</v>
      </c>
      <c r="F20" s="82">
        <v>25737.652717550242</v>
      </c>
      <c r="G20" s="83">
        <v>1267.6876838999945</v>
      </c>
      <c r="H20" s="82">
        <v>25300.284225589057</v>
      </c>
      <c r="I20" s="83">
        <v>1197.2605903499946</v>
      </c>
      <c r="J20" s="82">
        <v>24838.787242107319</v>
      </c>
      <c r="K20" s="83">
        <v>1126.8334967999949</v>
      </c>
      <c r="L20" s="82">
        <v>24350.593971003636</v>
      </c>
      <c r="M20" s="83">
        <v>1056.4064032499953</v>
      </c>
      <c r="N20" s="82">
        <v>23832.614970825907</v>
      </c>
      <c r="O20" s="83">
        <v>985.97930969999561</v>
      </c>
      <c r="P20" s="82">
        <v>23281.074393207855</v>
      </c>
      <c r="Q20" s="83">
        <v>915.55221614999607</v>
      </c>
      <c r="R20" s="82">
        <v>22691.27609542571</v>
      </c>
      <c r="S20" s="83">
        <v>845.12512259999642</v>
      </c>
      <c r="T20" s="82">
        <v>22057.245996735161</v>
      </c>
      <c r="U20" s="83">
        <v>774.69802904999653</v>
      </c>
      <c r="V20" s="82">
        <v>21371.197070862156</v>
      </c>
      <c r="W20" s="83">
        <v>704.27093549999688</v>
      </c>
      <c r="X20" s="82">
        <v>20622.680665033247</v>
      </c>
      <c r="Y20" s="83">
        <v>633.84384194999711</v>
      </c>
      <c r="Z20" s="82">
        <v>19797.174162890842</v>
      </c>
      <c r="AA20" s="83">
        <v>563.41674839999746</v>
      </c>
      <c r="AB20" s="82">
        <v>18873.699492004525</v>
      </c>
      <c r="AC20" s="83">
        <v>492.98965484999769</v>
      </c>
      <c r="AD20" s="82">
        <v>17820.595547171124</v>
      </c>
      <c r="AE20" s="83">
        <v>422.56256129999798</v>
      </c>
      <c r="AF20" s="82">
        <v>16587.760990748506</v>
      </c>
      <c r="AG20" s="83">
        <v>352.13546774999827</v>
      </c>
      <c r="AH20" s="82">
        <v>15092.135187599684</v>
      </c>
      <c r="AI20" s="83">
        <v>281.70837419999856</v>
      </c>
      <c r="AJ20" s="82">
        <v>13190.465820916461</v>
      </c>
      <c r="AK20" s="83">
        <v>211.28128064999879</v>
      </c>
      <c r="AL20" s="82">
        <v>10634.390607358273</v>
      </c>
      <c r="AM20" s="83">
        <v>140.85418709999905</v>
      </c>
      <c r="AN20" s="82"/>
      <c r="AO20" s="83"/>
      <c r="AP20" s="82"/>
      <c r="AQ20" s="83"/>
      <c r="AR20" s="82"/>
      <c r="AS20" s="83"/>
      <c r="AT20" s="82"/>
      <c r="AU20" s="83"/>
      <c r="AV20" s="82"/>
      <c r="AW20" s="83"/>
    </row>
    <row r="21" spans="1:49" x14ac:dyDescent="0.2">
      <c r="A21" t="s">
        <v>76</v>
      </c>
      <c r="B21" s="82">
        <v>24661.96252999999</v>
      </c>
      <c r="C21" s="83">
        <v>1145.7547579999916</v>
      </c>
      <c r="D21" s="82">
        <v>24297.786485859102</v>
      </c>
      <c r="E21" s="83">
        <v>1072.8030933098337</v>
      </c>
      <c r="F21" s="82">
        <v>23914.866288055477</v>
      </c>
      <c r="G21" s="83">
        <v>1000.0024000523223</v>
      </c>
      <c r="H21" s="82">
        <v>23511.485725743816</v>
      </c>
      <c r="I21" s="83">
        <v>927.38362938339083</v>
      </c>
      <c r="J21" s="82">
        <v>23085.626701922105</v>
      </c>
      <c r="K21" s="83">
        <v>854.98731405858382</v>
      </c>
      <c r="L21" s="82">
        <v>22634.899025470702</v>
      </c>
      <c r="M21" s="83">
        <v>782.86543099655466</v>
      </c>
      <c r="N21" s="82">
        <v>22156.425572593082</v>
      </c>
      <c r="O21" s="83">
        <v>711.08665544148198</v>
      </c>
      <c r="P21" s="82">
        <v>21646.688138194233</v>
      </c>
      <c r="Q21" s="83">
        <v>639.7429330035078</v>
      </c>
      <c r="R21" s="82">
        <v>21101.308593444897</v>
      </c>
      <c r="S21" s="83">
        <v>568.95853886965563</v>
      </c>
      <c r="T21" s="82">
        <v>20514.714046834473</v>
      </c>
      <c r="U21" s="83">
        <v>498.90491395409049</v>
      </c>
      <c r="V21" s="82">
        <v>19879.635984398406</v>
      </c>
      <c r="W21" s="83">
        <v>429.8213601017747</v>
      </c>
      <c r="X21" s="82">
        <v>19186.315704762987</v>
      </c>
      <c r="Y21" s="83">
        <v>362.04727265186926</v>
      </c>
      <c r="Z21" s="82">
        <v>18421.181965021893</v>
      </c>
      <c r="AA21" s="83">
        <v>296.0737267105975</v>
      </c>
      <c r="AB21" s="82">
        <v>17564.622541136021</v>
      </c>
      <c r="AC21" s="83">
        <v>232.61969387946576</v>
      </c>
      <c r="AD21" s="82">
        <v>16587.031025363627</v>
      </c>
      <c r="AE21" s="83">
        <v>172.74725689267572</v>
      </c>
      <c r="AF21" s="82">
        <v>15441.562059323545</v>
      </c>
      <c r="AG21" s="83">
        <v>118.01785570572514</v>
      </c>
      <c r="AH21" s="82">
        <v>14050.598771599278</v>
      </c>
      <c r="AI21" s="83">
        <v>70.640571630532918</v>
      </c>
      <c r="AJ21" s="82">
        <v>12280.453372351772</v>
      </c>
      <c r="AK21" s="83">
        <v>33.380940622063541</v>
      </c>
      <c r="AL21" s="82">
        <v>9899.9500659896294</v>
      </c>
      <c r="AM21" s="83">
        <v>8.3277850565471496</v>
      </c>
      <c r="AN21" s="82"/>
      <c r="AO21" s="83"/>
      <c r="AP21" s="82"/>
      <c r="AQ21" s="83"/>
      <c r="AR21" s="82"/>
      <c r="AS21" s="83"/>
      <c r="AT21" s="82"/>
      <c r="AU21" s="83"/>
      <c r="AV21" s="82"/>
      <c r="AW21" s="83"/>
    </row>
    <row r="22" spans="1:49" x14ac:dyDescent="0.2">
      <c r="A22" t="s">
        <v>28</v>
      </c>
      <c r="B22" s="41">
        <v>6533.6044688320717</v>
      </c>
      <c r="C22" s="42">
        <v>379.90788307663411</v>
      </c>
      <c r="D22" s="41">
        <v>6439.684157955925</v>
      </c>
      <c r="E22" s="42">
        <v>367.96307186908763</v>
      </c>
      <c r="F22" s="41">
        <v>6340.6558381259201</v>
      </c>
      <c r="G22" s="42">
        <v>355.69535769858209</v>
      </c>
      <c r="H22" s="41">
        <v>6236.0488679601249</v>
      </c>
      <c r="I22" s="42">
        <v>343.08485024985833</v>
      </c>
      <c r="J22" s="41">
        <v>6125.3107100114948</v>
      </c>
      <c r="K22" s="42">
        <v>330.10882704663635</v>
      </c>
      <c r="L22" s="41">
        <v>6007.7876129008364</v>
      </c>
      <c r="M22" s="42">
        <v>316.74081728273859</v>
      </c>
      <c r="N22" s="41">
        <v>5882.6938085651454</v>
      </c>
      <c r="O22" s="42">
        <v>302.94975559931316</v>
      </c>
      <c r="P22" s="41">
        <v>5749.0702216347072</v>
      </c>
      <c r="Q22" s="42">
        <v>288.69868747621803</v>
      </c>
      <c r="R22" s="41">
        <v>5605.7255267066221</v>
      </c>
      <c r="S22" s="42">
        <v>273.94286710274037</v>
      </c>
      <c r="T22" s="41">
        <v>5451.1469329894808</v>
      </c>
      <c r="U22" s="42">
        <v>258.6272828199954</v>
      </c>
      <c r="V22" s="41">
        <v>5283.3660174106271</v>
      </c>
      <c r="W22" s="42">
        <v>242.68276393619567</v>
      </c>
      <c r="X22" s="41">
        <v>5099.7463643252577</v>
      </c>
      <c r="Y22" s="42">
        <v>226.02033543812865</v>
      </c>
      <c r="Z22" s="41">
        <v>4896.6332260945419</v>
      </c>
      <c r="AA22" s="42">
        <v>208.52306018794135</v>
      </c>
      <c r="AB22" s="41">
        <v>4668.7604950117802</v>
      </c>
      <c r="AC22" s="42">
        <v>190.03306888214672</v>
      </c>
      <c r="AD22" s="41">
        <v>4408.2027078758665</v>
      </c>
      <c r="AE22" s="42">
        <v>170.33233912633864</v>
      </c>
      <c r="AF22" s="41">
        <v>4102.4576373049813</v>
      </c>
      <c r="AG22" s="42">
        <v>149.11511267279113</v>
      </c>
      <c r="AH22" s="41">
        <v>3730.8667746299034</v>
      </c>
      <c r="AI22" s="42">
        <v>125.95391017647903</v>
      </c>
      <c r="AJ22" s="41">
        <v>3257.9286650325812</v>
      </c>
      <c r="AK22" s="42">
        <v>100.27937060330092</v>
      </c>
      <c r="AL22" s="41">
        <v>2622.3087154645418</v>
      </c>
      <c r="AM22" s="42">
        <v>71.463315748404597</v>
      </c>
      <c r="AN22" s="41"/>
      <c r="AO22" s="42"/>
      <c r="AP22" s="41"/>
      <c r="AQ22" s="42"/>
      <c r="AR22" s="41"/>
      <c r="AS22" s="42"/>
      <c r="AT22" s="41"/>
      <c r="AU22" s="42"/>
      <c r="AV22" s="41"/>
      <c r="AW22" s="42"/>
    </row>
    <row r="23" spans="1:49" x14ac:dyDescent="0.2">
      <c r="A23" t="s">
        <v>7</v>
      </c>
      <c r="B23" s="116">
        <v>3278.5018080150408</v>
      </c>
      <c r="C23" s="8">
        <v>0</v>
      </c>
      <c r="D23" s="116">
        <v>3233.4336347588378</v>
      </c>
      <c r="E23" s="8">
        <v>0</v>
      </c>
      <c r="F23" s="116">
        <v>3185.8742935894711</v>
      </c>
      <c r="G23" s="8">
        <v>0</v>
      </c>
      <c r="H23" s="116">
        <v>3135.5924684332331</v>
      </c>
      <c r="I23" s="8">
        <v>0</v>
      </c>
      <c r="J23" s="116">
        <v>3082.3163761946898</v>
      </c>
      <c r="K23" s="8">
        <v>0</v>
      </c>
      <c r="L23" s="116">
        <v>3025.7240434568057</v>
      </c>
      <c r="M23" s="8">
        <v>0</v>
      </c>
      <c r="N23" s="116">
        <v>2965.4280195180545</v>
      </c>
      <c r="O23" s="8">
        <v>0</v>
      </c>
      <c r="P23" s="116">
        <v>2900.9546956437489</v>
      </c>
      <c r="Q23" s="8">
        <v>0</v>
      </c>
      <c r="R23" s="116">
        <v>2831.7147524507241</v>
      </c>
      <c r="S23" s="8">
        <v>0</v>
      </c>
      <c r="T23" s="116">
        <v>2756.9582811637356</v>
      </c>
      <c r="U23" s="8">
        <v>0</v>
      </c>
      <c r="V23" s="116">
        <v>2675.7070848724466</v>
      </c>
      <c r="W23" s="8">
        <v>0</v>
      </c>
      <c r="X23" s="116">
        <v>2586.6472205134669</v>
      </c>
      <c r="Y23" s="8">
        <v>0</v>
      </c>
      <c r="Z23" s="116">
        <v>2487.9504304192474</v>
      </c>
      <c r="AA23" s="8">
        <v>0</v>
      </c>
      <c r="AB23" s="116">
        <v>2376.9707788998276</v>
      </c>
      <c r="AC23" s="8">
        <v>0</v>
      </c>
      <c r="AD23" s="116">
        <v>2249.7043937935382</v>
      </c>
      <c r="AE23" s="8">
        <v>0</v>
      </c>
      <c r="AF23" s="116">
        <v>2099.791817098936</v>
      </c>
      <c r="AG23" s="8">
        <v>0</v>
      </c>
      <c r="AH23" s="116">
        <v>1916.6325947026176</v>
      </c>
      <c r="AI23" s="8">
        <v>0</v>
      </c>
      <c r="AJ23" s="116">
        <v>1681.7979407101939</v>
      </c>
      <c r="AK23" s="8">
        <v>0</v>
      </c>
      <c r="AL23" s="116">
        <v>1362.9339570120153</v>
      </c>
      <c r="AM23" s="8">
        <v>0</v>
      </c>
      <c r="AN23" s="116"/>
      <c r="AO23" s="8"/>
      <c r="AP23" s="116"/>
      <c r="AQ23" s="8"/>
      <c r="AR23" s="116"/>
      <c r="AS23" s="8"/>
      <c r="AT23" s="116"/>
      <c r="AU23" s="8"/>
      <c r="AV23" s="116"/>
      <c r="AW23" s="8"/>
    </row>
    <row r="24" spans="1:49" x14ac:dyDescent="0.2">
      <c r="A24" t="s">
        <v>8</v>
      </c>
      <c r="B24" s="97">
        <v>3196.3846373657216</v>
      </c>
      <c r="C24" s="8">
        <v>0</v>
      </c>
      <c r="D24" s="97">
        <v>3152.4452989570682</v>
      </c>
      <c r="E24" s="8">
        <v>0</v>
      </c>
      <c r="F24" s="97">
        <v>3106.0771827508552</v>
      </c>
      <c r="G24" s="8">
        <v>0</v>
      </c>
      <c r="H24" s="97">
        <v>3057.0547807791831</v>
      </c>
      <c r="I24" s="8">
        <v>0</v>
      </c>
      <c r="J24" s="97">
        <v>3005.1130985701807</v>
      </c>
      <c r="K24" s="8">
        <v>0</v>
      </c>
      <c r="L24" s="97">
        <v>2949.9382381362216</v>
      </c>
      <c r="M24" s="8">
        <v>0</v>
      </c>
      <c r="N24" s="97">
        <v>2891.1524582192515</v>
      </c>
      <c r="O24" s="8">
        <v>0</v>
      </c>
      <c r="P24" s="97">
        <v>2828.2940082046562</v>
      </c>
      <c r="Q24" s="8">
        <v>0</v>
      </c>
      <c r="R24" s="97">
        <v>2760.7883366498268</v>
      </c>
      <c r="S24" s="8">
        <v>0</v>
      </c>
      <c r="T24" s="97">
        <v>2687.9043041667637</v>
      </c>
      <c r="U24" s="8">
        <v>0</v>
      </c>
      <c r="V24" s="97">
        <v>2608.6882100102521</v>
      </c>
      <c r="W24" s="8">
        <v>0</v>
      </c>
      <c r="X24" s="97">
        <v>2521.8590458515964</v>
      </c>
      <c r="Y24" s="8">
        <v>0</v>
      </c>
      <c r="Z24" s="97">
        <v>2425.6343317814317</v>
      </c>
      <c r="AA24" s="8">
        <v>0</v>
      </c>
      <c r="AB24" s="97">
        <v>2317.4344035991576</v>
      </c>
      <c r="AC24" s="8">
        <v>0</v>
      </c>
      <c r="AD24" s="97">
        <v>2193.3556829959862</v>
      </c>
      <c r="AE24" s="8">
        <v>0</v>
      </c>
      <c r="AF24" s="97">
        <v>2047.1979894160738</v>
      </c>
      <c r="AG24" s="8">
        <v>0</v>
      </c>
      <c r="AH24" s="97">
        <v>1868.6263853982471</v>
      </c>
      <c r="AI24" s="8">
        <v>0</v>
      </c>
      <c r="AJ24" s="97">
        <v>1639.6736730382288</v>
      </c>
      <c r="AK24" s="8">
        <v>0</v>
      </c>
      <c r="AL24" s="97">
        <v>1328.7963274196259</v>
      </c>
      <c r="AM24" s="8">
        <v>0</v>
      </c>
      <c r="AN24" s="97"/>
      <c r="AO24" s="8"/>
      <c r="AP24" s="97"/>
      <c r="AQ24" s="8"/>
      <c r="AR24" s="97"/>
      <c r="AS24" s="8"/>
      <c r="AT24" s="97"/>
      <c r="AU24" s="8"/>
      <c r="AV24" s="97"/>
      <c r="AW24" s="8"/>
    </row>
    <row r="25" spans="1:49" x14ac:dyDescent="0.2">
      <c r="A25" t="s">
        <v>0</v>
      </c>
      <c r="B25" s="41">
        <v>3195.0476040000012</v>
      </c>
      <c r="C25" s="42">
        <v>91.012690000004255</v>
      </c>
      <c r="D25" s="41">
        <v>3158.9443641614585</v>
      </c>
      <c r="E25" s="42">
        <v>82.055415307593975</v>
      </c>
      <c r="F25" s="41">
        <v>3120.2464458302807</v>
      </c>
      <c r="G25" s="42">
        <v>73.486078935648848</v>
      </c>
      <c r="H25" s="41">
        <v>3078.7238024537101</v>
      </c>
      <c r="I25" s="42">
        <v>65.312105604705806</v>
      </c>
      <c r="J25" s="41">
        <v>3034.1029543688201</v>
      </c>
      <c r="K25" s="42">
        <v>57.542064429890864</v>
      </c>
      <c r="L25" s="41">
        <v>2986.0565739740132</v>
      </c>
      <c r="M25" s="42">
        <v>50.18580377928069</v>
      </c>
      <c r="N25" s="41">
        <v>2934.1856081249698</v>
      </c>
      <c r="O25" s="42">
        <v>43.254714352299757</v>
      </c>
      <c r="P25" s="41">
        <v>2877.9951045206044</v>
      </c>
      <c r="Q25" s="42">
        <v>36.761979322064164</v>
      </c>
      <c r="R25" s="41">
        <v>2816.8597710657668</v>
      </c>
      <c r="S25" s="42">
        <v>30.722890708837323</v>
      </c>
      <c r="T25" s="41">
        <v>2749.9704147857333</v>
      </c>
      <c r="U25" s="42">
        <v>25.155190971898868</v>
      </c>
      <c r="V25" s="41">
        <v>2676.2538638265632</v>
      </c>
      <c r="W25" s="42">
        <v>20.079483846920354</v>
      </c>
      <c r="X25" s="41">
        <v>2594.2455716003656</v>
      </c>
      <c r="Y25" s="42">
        <v>15.51961452063575</v>
      </c>
      <c r="Z25" s="41">
        <v>2501.877081605594</v>
      </c>
      <c r="AA25" s="42">
        <v>11.502777359821788</v>
      </c>
      <c r="AB25" s="41">
        <v>2396.1228238552108</v>
      </c>
      <c r="AC25" s="42">
        <v>8.059217385473902</v>
      </c>
      <c r="AD25" s="41">
        <v>2272.3839884044542</v>
      </c>
      <c r="AE25" s="42">
        <v>5.2204410346362202</v>
      </c>
      <c r="AF25" s="41">
        <v>2123.3954910304078</v>
      </c>
      <c r="AG25" s="42">
        <v>3.0141492020409686</v>
      </c>
      <c r="AH25" s="41">
        <v>1937.2958570053142</v>
      </c>
      <c r="AI25" s="42">
        <v>1.4522203023064022</v>
      </c>
      <c r="AJ25" s="41">
        <v>1694.3557501329726</v>
      </c>
      <c r="AK25" s="42">
        <v>0.50640201708881305</v>
      </c>
      <c r="AL25" s="41">
        <v>1362.8749644962468</v>
      </c>
      <c r="AM25" s="42">
        <v>7.1752815584279636E-2</v>
      </c>
      <c r="AN25" s="41"/>
      <c r="AO25" s="42"/>
      <c r="AP25" s="41"/>
      <c r="AQ25" s="42"/>
      <c r="AR25" s="41"/>
      <c r="AS25" s="42"/>
      <c r="AT25" s="41"/>
      <c r="AU25" s="42"/>
      <c r="AV25" s="41"/>
      <c r="AW25" s="42"/>
    </row>
    <row r="26" spans="1:49" x14ac:dyDescent="0.2">
      <c r="A26" t="s">
        <v>27</v>
      </c>
      <c r="B26" s="33">
        <v>5036.2953101960647</v>
      </c>
      <c r="C26" s="34">
        <v>74.905331803938267</v>
      </c>
      <c r="D26" s="33">
        <v>4903.5354180154054</v>
      </c>
      <c r="E26" s="34">
        <v>69.369471941904976</v>
      </c>
      <c r="F26" s="33">
        <v>4767.323706761943</v>
      </c>
      <c r="G26" s="34">
        <v>63.946244236913508</v>
      </c>
      <c r="H26" s="33">
        <v>4627.4034029135864</v>
      </c>
      <c r="I26" s="34">
        <v>58.63741315660841</v>
      </c>
      <c r="J26" s="33">
        <v>4483.4703314678154</v>
      </c>
      <c r="K26" s="34">
        <v>53.4450852258853</v>
      </c>
      <c r="L26" s="33">
        <v>4335.1604300857171</v>
      </c>
      <c r="M26" s="34">
        <v>48.372156392870721</v>
      </c>
      <c r="N26" s="33">
        <v>4182.0310344928466</v>
      </c>
      <c r="O26" s="34">
        <v>43.422383752812976</v>
      </c>
      <c r="P26" s="33">
        <v>4023.5349144160973</v>
      </c>
      <c r="Q26" s="34">
        <v>38.600689285677348</v>
      </c>
      <c r="R26" s="33">
        <v>3858.9832735215668</v>
      </c>
      <c r="S26" s="34">
        <v>33.913734799726541</v>
      </c>
      <c r="T26" s="33">
        <v>3687.4894736865072</v>
      </c>
      <c r="U26" s="34">
        <v>29.37048566380081</v>
      </c>
      <c r="V26" s="33">
        <v>3507.885128319359</v>
      </c>
      <c r="W26" s="34">
        <v>24.983423614003563</v>
      </c>
      <c r="X26" s="33">
        <v>3318.5900850563908</v>
      </c>
      <c r="Y26" s="34">
        <v>20.770254981026564</v>
      </c>
      <c r="Z26" s="33">
        <v>3117.3987811467123</v>
      </c>
      <c r="AA26" s="34">
        <v>16.756119427733385</v>
      </c>
      <c r="AB26" s="33">
        <v>2901.1368110849085</v>
      </c>
      <c r="AC26" s="34">
        <v>12.97770113709576</v>
      </c>
      <c r="AD26" s="33">
        <v>2665.0879657234354</v>
      </c>
      <c r="AE26" s="34">
        <v>9.4888905001320722</v>
      </c>
      <c r="AF26" s="33">
        <v>2402.0432957958178</v>
      </c>
      <c r="AG26" s="34">
        <v>6.368283497460836</v>
      </c>
      <c r="AH26" s="33">
        <v>2100.8206830057002</v>
      </c>
      <c r="AI26" s="34">
        <v>3.7259923903789653</v>
      </c>
      <c r="AJ26" s="33">
        <v>1744.3636853924247</v>
      </c>
      <c r="AK26" s="34">
        <v>1.6969030057502301</v>
      </c>
      <c r="AL26" s="33">
        <v>1309.7019495108643</v>
      </c>
      <c r="AM26" s="34">
        <v>0.3774688103308963</v>
      </c>
      <c r="AN26" s="33"/>
      <c r="AO26" s="34"/>
      <c r="AP26" s="33"/>
      <c r="AQ26" s="34"/>
      <c r="AR26" s="33"/>
      <c r="AS26" s="34"/>
      <c r="AT26" s="33"/>
      <c r="AU26" s="34"/>
      <c r="AV26" s="33"/>
      <c r="AW26" s="34"/>
    </row>
    <row r="27" spans="1:49" x14ac:dyDescent="0.2">
      <c r="A27" t="s">
        <v>2</v>
      </c>
      <c r="B27" s="35">
        <v>6425.1981589998131</v>
      </c>
      <c r="C27" s="36">
        <v>273.22915400000056</v>
      </c>
      <c r="D27" s="35">
        <v>6440.5294390192557</v>
      </c>
      <c r="E27" s="36">
        <v>257.89831223201492</v>
      </c>
      <c r="F27" s="35">
        <v>6455.8794172075395</v>
      </c>
      <c r="G27" s="36">
        <v>242.54820028299372</v>
      </c>
      <c r="H27" s="35">
        <v>6471.2581131136121</v>
      </c>
      <c r="I27" s="36">
        <v>227.17009262736525</v>
      </c>
      <c r="J27" s="35">
        <v>6486.672956245744</v>
      </c>
      <c r="K27" s="36">
        <v>211.75478714674324</v>
      </c>
      <c r="L27" s="35">
        <v>6502.1342352278116</v>
      </c>
      <c r="M27" s="36">
        <v>196.29305375768701</v>
      </c>
      <c r="N27" s="35">
        <v>6517.6513295657305</v>
      </c>
      <c r="O27" s="36">
        <v>180.77595379576056</v>
      </c>
      <c r="P27" s="35">
        <v>6533.2317221163003</v>
      </c>
      <c r="Q27" s="36">
        <v>165.19556811962309</v>
      </c>
      <c r="R27" s="35">
        <v>6548.8815581215167</v>
      </c>
      <c r="S27" s="36">
        <v>149.54641687068298</v>
      </c>
      <c r="T27" s="35">
        <v>6564.6005640327812</v>
      </c>
      <c r="U27" s="36">
        <v>133.82749904297594</v>
      </c>
      <c r="V27" s="35">
        <v>6580.3809757111703</v>
      </c>
      <c r="W27" s="36">
        <v>118.04638181648619</v>
      </c>
      <c r="X27" s="35">
        <v>6596.2013308279329</v>
      </c>
      <c r="Y27" s="36">
        <v>102.22593582466988</v>
      </c>
      <c r="Z27" s="35">
        <v>6612.0118477557244</v>
      </c>
      <c r="AA27" s="36">
        <v>86.415308372414032</v>
      </c>
      <c r="AB27" s="35">
        <v>6627.7173156557574</v>
      </c>
      <c r="AC27" s="36">
        <v>70.710017090137015</v>
      </c>
      <c r="AD27" s="35">
        <v>6643.1422486203182</v>
      </c>
      <c r="AE27" s="36">
        <v>55.285195138795537</v>
      </c>
      <c r="AF27" s="35">
        <v>6657.9780355903531</v>
      </c>
      <c r="AG27" s="36">
        <v>40.44911769285077</v>
      </c>
      <c r="AH27" s="35">
        <v>6671.7110338425691</v>
      </c>
      <c r="AI27" s="36">
        <v>26.716329814178067</v>
      </c>
      <c r="AJ27" s="35">
        <v>6683.5782829253048</v>
      </c>
      <c r="AK27" s="36">
        <v>14.849010482395444</v>
      </c>
      <c r="AL27" s="35">
        <v>6692.9584183872084</v>
      </c>
      <c r="AM27" s="36">
        <v>5.4688941226258621</v>
      </c>
      <c r="AN27" s="35"/>
      <c r="AO27" s="36"/>
      <c r="AP27" s="35"/>
      <c r="AQ27" s="36"/>
      <c r="AR27" s="35"/>
      <c r="AS27" s="36"/>
      <c r="AT27" s="35"/>
      <c r="AU27" s="36"/>
      <c r="AV27" s="35"/>
      <c r="AW27" s="36"/>
    </row>
    <row r="28" spans="1:49" x14ac:dyDescent="0.2">
      <c r="A28" t="s">
        <v>35</v>
      </c>
      <c r="B28" s="41">
        <v>13763.097675999827</v>
      </c>
      <c r="C28" s="42">
        <v>382.36647900000054</v>
      </c>
      <c r="D28" s="41">
        <v>13582.61139088611</v>
      </c>
      <c r="E28" s="42">
        <v>358.92551123595462</v>
      </c>
      <c r="F28" s="41">
        <v>13391.996197239687</v>
      </c>
      <c r="G28" s="42">
        <v>335.5426479416185</v>
      </c>
      <c r="H28" s="41">
        <v>13190.306097259117</v>
      </c>
      <c r="I28" s="42">
        <v>312.21531104087148</v>
      </c>
      <c r="J28" s="41">
        <v>12976.424399953074</v>
      </c>
      <c r="K28" s="42">
        <v>288.9418804965598</v>
      </c>
      <c r="L28" s="41">
        <v>12749.024530705658</v>
      </c>
      <c r="M28" s="42">
        <v>265.72311320342692</v>
      </c>
      <c r="N28" s="41">
        <v>12506.503163411802</v>
      </c>
      <c r="O28" s="42">
        <v>242.56292500008263</v>
      </c>
      <c r="P28" s="41">
        <v>12246.890776690938</v>
      </c>
      <c r="Q28" s="42">
        <v>219.47004096748603</v>
      </c>
      <c r="R28" s="41">
        <v>11967.724565974826</v>
      </c>
      <c r="S28" s="42">
        <v>196.46095251071699</v>
      </c>
      <c r="T28" s="41">
        <v>11665.851655882703</v>
      </c>
      <c r="U28" s="42">
        <v>173.56361519956397</v>
      </c>
      <c r="V28" s="41">
        <v>11337.134673962746</v>
      </c>
      <c r="W28" s="42">
        <v>150.8245565035561</v>
      </c>
      <c r="X28" s="41">
        <v>10975.981481095134</v>
      </c>
      <c r="Y28" s="42">
        <v>128.31978388884431</v>
      </c>
      <c r="Z28" s="41">
        <v>10574.555591435837</v>
      </c>
      <c r="AA28" s="42">
        <v>106.170824657941</v>
      </c>
      <c r="AB28" s="41">
        <v>10121.440363796524</v>
      </c>
      <c r="AC28" s="42">
        <v>84.573430528577603</v>
      </c>
      <c r="AD28" s="41">
        <v>9599.2512291841285</v>
      </c>
      <c r="AE28" s="42">
        <v>63.841523326152206</v>
      </c>
      <c r="AF28" s="41">
        <v>8980.226551307831</v>
      </c>
      <c r="AG28" s="42">
        <v>44.472431385154202</v>
      </c>
      <c r="AH28" s="41">
        <v>8217.9226658959415</v>
      </c>
      <c r="AI28" s="42">
        <v>27.22558032015359</v>
      </c>
      <c r="AJ28" s="41">
        <v>7231.5231172406748</v>
      </c>
      <c r="AK28" s="42">
        <v>13.140498192776054</v>
      </c>
      <c r="AL28" s="41">
        <v>5879.8124297649765</v>
      </c>
      <c r="AM28" s="42">
        <v>3.1654404318403215</v>
      </c>
      <c r="AN28" s="41"/>
      <c r="AO28" s="42"/>
      <c r="AP28" s="41"/>
      <c r="AQ28" s="42"/>
      <c r="AR28" s="41"/>
      <c r="AS28" s="42"/>
      <c r="AT28" s="41"/>
      <c r="AU28" s="42"/>
      <c r="AV28" s="41"/>
      <c r="AW28" s="42"/>
    </row>
    <row r="29" spans="1:49" x14ac:dyDescent="0.2">
      <c r="A29" t="s">
        <v>53</v>
      </c>
      <c r="B29" s="35">
        <v>14362.768558000018</v>
      </c>
      <c r="C29" s="36">
        <v>817.26651000000095</v>
      </c>
      <c r="D29" s="35">
        <v>14156.320148865268</v>
      </c>
      <c r="E29" s="36">
        <v>760.65953827884277</v>
      </c>
      <c r="F29" s="35">
        <v>13938.874541741474</v>
      </c>
      <c r="G29" s="36">
        <v>704.66068745915845</v>
      </c>
      <c r="H29" s="35">
        <v>13709.428355903261</v>
      </c>
      <c r="I29" s="36">
        <v>649.30210820643606</v>
      </c>
      <c r="J29" s="35">
        <v>13466.800133165858</v>
      </c>
      <c r="K29" s="36">
        <v>594.62287578192957</v>
      </c>
      <c r="L29" s="35">
        <v>13209.588910407218</v>
      </c>
      <c r="M29" s="36">
        <v>540.67263445177093</v>
      </c>
      <c r="N29" s="35">
        <v>12936.105724886627</v>
      </c>
      <c r="O29" s="36">
        <v>487.51415458144811</v>
      </c>
      <c r="P29" s="35">
        <v>12644.281677423516</v>
      </c>
      <c r="Q29" s="36">
        <v>435.22771539106037</v>
      </c>
      <c r="R29" s="35">
        <v>12331.53739665795</v>
      </c>
      <c r="S29" s="36">
        <v>383.91815256730814</v>
      </c>
      <c r="T29" s="35">
        <v>11994.582730047397</v>
      </c>
      <c r="U29" s="36">
        <v>333.72338781949099</v>
      </c>
      <c r="V29" s="35">
        <v>11629.117288593885</v>
      </c>
      <c r="W29" s="36">
        <v>284.82925719541117</v>
      </c>
      <c r="X29" s="35">
        <v>11229.355137633142</v>
      </c>
      <c r="Y29" s="36">
        <v>237.49074451147644</v>
      </c>
      <c r="Z29" s="35">
        <v>10787.23327233445</v>
      </c>
      <c r="AA29" s="36">
        <v>192.06092834576003</v>
      </c>
      <c r="AB29" s="35">
        <v>10291.080616841962</v>
      </c>
      <c r="AC29" s="36">
        <v>149.03882902960527</v>
      </c>
      <c r="AD29" s="35">
        <v>9723.2620363208116</v>
      </c>
      <c r="AE29" s="36">
        <v>109.13477090759341</v>
      </c>
      <c r="AF29" s="35">
        <v>9055.8793123744144</v>
      </c>
      <c r="AG29" s="36">
        <v>73.352241278698756</v>
      </c>
      <c r="AH29" s="35">
        <v>8242.7989316678413</v>
      </c>
      <c r="AI29" s="36">
        <v>43.050224154242244</v>
      </c>
      <c r="AJ29" s="35">
        <v>7204.922302373473</v>
      </c>
      <c r="AK29" s="36">
        <v>19.831782473450318</v>
      </c>
      <c r="AL29" s="35">
        <v>5806.7190177928778</v>
      </c>
      <c r="AM29" s="36">
        <v>4.7403125017473631</v>
      </c>
      <c r="AN29" s="35"/>
      <c r="AO29" s="36"/>
      <c r="AP29" s="35"/>
      <c r="AQ29" s="36"/>
      <c r="AR29" s="35"/>
      <c r="AS29" s="36"/>
      <c r="AT29" s="35"/>
      <c r="AU29" s="36"/>
      <c r="AV29" s="35"/>
      <c r="AW29" s="36"/>
    </row>
    <row r="30" spans="1:49" x14ac:dyDescent="0.2">
      <c r="A30" t="s">
        <v>48</v>
      </c>
      <c r="B30" s="119">
        <v>2924829.9599999995</v>
      </c>
      <c r="D30" s="119">
        <v>2881435.237059189</v>
      </c>
      <c r="F30" s="119">
        <v>2835868.4210582906</v>
      </c>
      <c r="H30" s="119">
        <v>2787926.3468799586</v>
      </c>
      <c r="J30" s="119">
        <v>2737370.5116176857</v>
      </c>
      <c r="L30" s="119">
        <v>2683919.496459703</v>
      </c>
      <c r="N30" s="119">
        <v>2627235.5252136532</v>
      </c>
      <c r="P30" s="119">
        <v>2566906.9504822511</v>
      </c>
      <c r="R30" s="119">
        <v>2502423.5539184669</v>
      </c>
      <c r="T30" s="119">
        <v>2433138.1991663938</v>
      </c>
      <c r="V30" s="119">
        <v>2358210.1724312799</v>
      </c>
      <c r="X30" s="119">
        <v>2276515.1614872706</v>
      </c>
      <c r="Z30" s="119">
        <v>2186493.8127185237</v>
      </c>
      <c r="AB30" s="119">
        <v>2085896.1015119937</v>
      </c>
      <c r="AD30" s="119">
        <v>1971323.5454421786</v>
      </c>
      <c r="AF30" s="119">
        <v>1837376.3040764104</v>
      </c>
      <c r="AH30" s="119">
        <v>1675025.8940828785</v>
      </c>
      <c r="AJ30" s="119">
        <v>1468460.4212426117</v>
      </c>
      <c r="AL30" s="119">
        <v>1189516.2302272301</v>
      </c>
      <c r="AN30" s="119"/>
      <c r="AP30" s="119"/>
      <c r="AR30" s="119"/>
      <c r="AT30" s="119"/>
      <c r="AV30" s="119"/>
    </row>
    <row r="31" spans="1:49" x14ac:dyDescent="0.2">
      <c r="A31" t="s">
        <v>47</v>
      </c>
      <c r="B31" s="80">
        <v>1</v>
      </c>
      <c r="D31" s="80">
        <v>0.98468320345041127</v>
      </c>
      <c r="F31" s="80">
        <v>0.96855333032545821</v>
      </c>
      <c r="H31" s="80">
        <v>0.95153636692215104</v>
      </c>
      <c r="J31" s="80">
        <v>0.93354558046489022</v>
      </c>
      <c r="L31" s="80">
        <v>0.9144784893810074</v>
      </c>
      <c r="N31" s="80">
        <v>0.89421215859978354</v>
      </c>
      <c r="P31" s="80">
        <v>0.87259687634891925</v>
      </c>
      <c r="R31" s="80">
        <v>0.84944713729201371</v>
      </c>
      <c r="T31" s="80">
        <v>0.82452811271042303</v>
      </c>
      <c r="V31" s="80">
        <v>0.79753532992411946</v>
      </c>
      <c r="X31" s="80">
        <v>0.76806271554606098</v>
      </c>
      <c r="Z31" s="80">
        <v>0.73555033599272945</v>
      </c>
      <c r="AB31" s="80">
        <v>0.69919653357827771</v>
      </c>
      <c r="AD31" s="80">
        <v>0.6578043648491122</v>
      </c>
      <c r="AF31" s="80">
        <v>0.60950454620339956</v>
      </c>
      <c r="AH31" s="80">
        <v>0.551248075192599</v>
      </c>
      <c r="AJ31" s="80">
        <v>0.4778859315240731</v>
      </c>
      <c r="AL31" s="80">
        <v>0.38073988087401978</v>
      </c>
      <c r="AN31" s="80"/>
      <c r="AP31" s="80"/>
      <c r="AR31" s="80"/>
      <c r="AT31" s="80"/>
      <c r="AV31" s="80"/>
    </row>
    <row r="32" spans="1:49" x14ac:dyDescent="0.2">
      <c r="A32" t="s">
        <v>64</v>
      </c>
      <c r="B32" s="86">
        <v>14734457.915000005</v>
      </c>
      <c r="D32" s="86">
        <v>14520059.101088705</v>
      </c>
      <c r="F32" s="86">
        <v>14294667.98677922</v>
      </c>
      <c r="H32" s="86">
        <v>14057252.555675223</v>
      </c>
      <c r="J32" s="86">
        <v>13806603.569318594</v>
      </c>
      <c r="L32" s="86">
        <v>13541292.266428471</v>
      </c>
      <c r="N32" s="86">
        <v>13259604.74163207</v>
      </c>
      <c r="P32" s="86">
        <v>12959453.314392507</v>
      </c>
      <c r="R32" s="86">
        <v>12638249.943445388</v>
      </c>
      <c r="T32" s="86">
        <v>12292714.873702947</v>
      </c>
      <c r="V32" s="86">
        <v>11918587.791737502</v>
      </c>
      <c r="X32" s="86">
        <v>11510169.621308086</v>
      </c>
      <c r="Z32" s="86">
        <v>11059561.564446051</v>
      </c>
      <c r="AB32" s="86">
        <v>10555366.897864755</v>
      </c>
      <c r="AD32" s="86">
        <v>9980368.4407255892</v>
      </c>
      <c r="AF32" s="86">
        <v>9307203.6540501509</v>
      </c>
      <c r="AH32" s="86">
        <v>8490080.8273830898</v>
      </c>
      <c r="AJ32" s="86">
        <v>7448684.1983294627</v>
      </c>
      <c r="AL32" s="86">
        <v>6039561.6576771643</v>
      </c>
      <c r="AN32" s="86"/>
      <c r="AP32" s="86"/>
      <c r="AR32" s="86"/>
      <c r="AT32" s="86"/>
      <c r="AV32" s="86"/>
    </row>
    <row r="33" spans="1:49 16319:16321" x14ac:dyDescent="0.2">
      <c r="A33" t="s">
        <v>54</v>
      </c>
      <c r="B33" s="117">
        <v>7019665.6909999941</v>
      </c>
      <c r="D33" s="117">
        <v>6917523.6591057722</v>
      </c>
      <c r="F33" s="117">
        <v>6810144.7205796484</v>
      </c>
      <c r="H33" s="117">
        <v>6697037.3140888084</v>
      </c>
      <c r="J33" s="117">
        <v>6577625.2095354097</v>
      </c>
      <c r="L33" s="117">
        <v>6451227.8257102752</v>
      </c>
      <c r="N33" s="117">
        <v>6317028.6458179746</v>
      </c>
      <c r="P33" s="117">
        <v>6174033.0447427304</v>
      </c>
      <c r="R33" s="117">
        <v>6021008.0735471658</v>
      </c>
      <c r="T33" s="117">
        <v>5856391.1794837648</v>
      </c>
      <c r="V33" s="117">
        <v>5678152.7274179673</v>
      </c>
      <c r="X33" s="117">
        <v>5483577.5514625795</v>
      </c>
      <c r="Z33" s="117">
        <v>5268902.6604132215</v>
      </c>
      <c r="AB33" s="117">
        <v>5028698.5309699643</v>
      </c>
      <c r="AD33" s="117">
        <v>4754762.6268425118</v>
      </c>
      <c r="AF33" s="117">
        <v>4434059.1476078834</v>
      </c>
      <c r="AH33" s="117">
        <v>4044772.4550018227</v>
      </c>
      <c r="AJ33" s="117">
        <v>3548639.0575493658</v>
      </c>
      <c r="AL33" s="117">
        <v>2877316.833351661</v>
      </c>
      <c r="AN33" s="117"/>
      <c r="AP33" s="117"/>
      <c r="AR33" s="117"/>
      <c r="AT33" s="117"/>
      <c r="AV33" s="117"/>
    </row>
    <row r="34" spans="1:49 16319:16321" x14ac:dyDescent="0.2">
      <c r="A34" t="s">
        <v>75</v>
      </c>
      <c r="B34" s="117">
        <v>1136879.4410000113</v>
      </c>
      <c r="D34" s="117">
        <v>1120336.8435733283</v>
      </c>
      <c r="F34" s="117">
        <v>1102946.1582406559</v>
      </c>
      <c r="H34" s="117">
        <v>1084627.6391278177</v>
      </c>
      <c r="J34" s="117">
        <v>1065288.1379435591</v>
      </c>
      <c r="L34" s="117">
        <v>1044817.3062973326</v>
      </c>
      <c r="N34" s="117">
        <v>1023082.8904477797</v>
      </c>
      <c r="P34" s="117">
        <v>999923.84392538737</v>
      </c>
      <c r="R34" s="117">
        <v>975140.44797497848</v>
      </c>
      <c r="T34" s="117">
        <v>948479.69709514535</v>
      </c>
      <c r="V34" s="117">
        <v>919612.85215063661</v>
      </c>
      <c r="X34" s="117">
        <v>888100.22040885128</v>
      </c>
      <c r="Z34" s="117">
        <v>853332.27518855326</v>
      </c>
      <c r="AB34" s="117">
        <v>814429.66413206165</v>
      </c>
      <c r="AD34" s="117">
        <v>770064.01069466351</v>
      </c>
      <c r="AF34" s="117">
        <v>718124.0597887733</v>
      </c>
      <c r="AH34" s="117">
        <v>655076.55430926499</v>
      </c>
      <c r="AJ34" s="117">
        <v>574724.63758660585</v>
      </c>
      <c r="AL34" s="117">
        <v>465999.73265706218</v>
      </c>
      <c r="AN34" s="117"/>
      <c r="AP34" s="117"/>
      <c r="AR34" s="117"/>
      <c r="AT34" s="117"/>
      <c r="AV34" s="117"/>
    </row>
    <row r="35" spans="1:49 16319:16321" x14ac:dyDescent="0.2">
      <c r="A35" t="s">
        <v>78</v>
      </c>
      <c r="B35" s="233">
        <v>1</v>
      </c>
      <c r="D35" s="233">
        <v>1.0007779621134569</v>
      </c>
      <c r="F35" s="233">
        <v>1.0016516637156276</v>
      </c>
      <c r="H35" s="233">
        <v>1.0026333963988245</v>
      </c>
      <c r="J35" s="233">
        <v>1.0037382340008063</v>
      </c>
      <c r="L35" s="233">
        <v>1.0049849691135539</v>
      </c>
      <c r="N35" s="233">
        <v>1.0063973334012692</v>
      </c>
      <c r="P35" s="233">
        <v>1.0080058015772428</v>
      </c>
      <c r="R35" s="233">
        <v>1.0098502735997916</v>
      </c>
      <c r="T35" s="233">
        <v>1.0119840719723032</v>
      </c>
      <c r="V35" s="233">
        <v>1.0144802514142452</v>
      </c>
      <c r="X35" s="233">
        <v>1.017441713764442</v>
      </c>
      <c r="Z35" s="233">
        <v>1.0210179428813038</v>
      </c>
      <c r="AB35" s="233">
        <v>1.025434052495332</v>
      </c>
      <c r="AD35" s="233">
        <v>1.0310430236203523</v>
      </c>
      <c r="AF35" s="233">
        <v>1.038423892640213</v>
      </c>
      <c r="AH35" s="233">
        <v>1.0485759249755708</v>
      </c>
      <c r="AJ35" s="233">
        <v>1.0633285680229796</v>
      </c>
      <c r="AL35" s="233">
        <v>1.0863271537247636</v>
      </c>
      <c r="AN35" s="233"/>
      <c r="AP35" s="233"/>
      <c r="AR35" s="233"/>
      <c r="AT35" s="233"/>
      <c r="AV35" s="233"/>
    </row>
    <row r="36" spans="1:49 16319:16321" x14ac:dyDescent="0.2">
      <c r="A36" t="s">
        <v>21</v>
      </c>
      <c r="B36" s="37">
        <v>0.47195767671988087</v>
      </c>
      <c r="C36" s="38">
        <v>0.31738834428178991</v>
      </c>
      <c r="D36" s="37">
        <v>0.47196022360561585</v>
      </c>
      <c r="E36" s="38">
        <v>0.3195259325156079</v>
      </c>
      <c r="F36" s="37">
        <v>0.47196283391687255</v>
      </c>
      <c r="G36" s="38">
        <v>0.3218030226138609</v>
      </c>
      <c r="H36" s="37">
        <v>0.47196551582008722</v>
      </c>
      <c r="I36" s="38">
        <v>0.32423926334497749</v>
      </c>
      <c r="J36" s="37">
        <v>0.47196827800002489</v>
      </c>
      <c r="K36" s="38">
        <v>0.32685831901658485</v>
      </c>
      <c r="L36" s="37">
        <v>0.47197113043558175</v>
      </c>
      <c r="M36" s="38">
        <v>0.32968925701839719</v>
      </c>
      <c r="N36" s="37">
        <v>0.47197408377574468</v>
      </c>
      <c r="O36" s="38">
        <v>0.33276808227484522</v>
      </c>
      <c r="P36" s="37">
        <v>0.47197714896712772</v>
      </c>
      <c r="Q36" s="38">
        <v>0.33614003272481879</v>
      </c>
      <c r="R36" s="37">
        <v>0.47198033675678358</v>
      </c>
      <c r="S36" s="38">
        <v>0.33986299623276761</v>
      </c>
      <c r="T36" s="37">
        <v>0.47198365570309425</v>
      </c>
      <c r="U36" s="38">
        <v>0.34401231351265138</v>
      </c>
      <c r="V36" s="37">
        <v>0.47198710962191098</v>
      </c>
      <c r="W36" s="38">
        <v>0.34868843271694849</v>
      </c>
      <c r="X36" s="37">
        <v>0.47199069235226426</v>
      </c>
      <c r="Y36" s="38">
        <v>0.35402896849038706</v>
      </c>
      <c r="Z36" s="37">
        <v>0.47199437666521216</v>
      </c>
      <c r="AA36" s="38">
        <v>0.36022813558551797</v>
      </c>
      <c r="AB36" s="37">
        <v>0.47199809555548</v>
      </c>
      <c r="AC36" s="38">
        <v>0.3675715092571602</v>
      </c>
      <c r="AD36" s="37">
        <v>0.47200170720662116</v>
      </c>
      <c r="AE36" s="38">
        <v>0.37650094047751442</v>
      </c>
      <c r="AF36" s="37">
        <v>0.47200493211749034</v>
      </c>
      <c r="AG36" s="38">
        <v>0.38774978411715683</v>
      </c>
      <c r="AH36" s="37">
        <v>0.47200725629113044</v>
      </c>
      <c r="AI36" s="38">
        <v>0.40267913703274688</v>
      </c>
      <c r="AJ36" s="37">
        <v>0.47200783749044112</v>
      </c>
      <c r="AK36" s="38">
        <v>0.42444815329711499</v>
      </c>
      <c r="AL36" s="37">
        <v>0.47200589714678948</v>
      </c>
      <c r="AM36" s="38">
        <v>0.46811840733108601</v>
      </c>
      <c r="AN36" s="37"/>
      <c r="AO36" s="38"/>
      <c r="AP36" s="37"/>
      <c r="AQ36" s="38"/>
      <c r="AR36" s="37"/>
      <c r="AS36" s="38"/>
      <c r="AT36" s="37"/>
      <c r="AU36" s="38"/>
      <c r="AV36" s="37"/>
      <c r="AW36" s="38"/>
    </row>
    <row r="37" spans="1:49 16319:16321" x14ac:dyDescent="0.2">
      <c r="B37" s="39">
        <v>2.1403217525954137E-2</v>
      </c>
      <c r="C37" s="40">
        <v>0.34962461301992576</v>
      </c>
      <c r="D37" s="39">
        <v>2.0784524385939834E-2</v>
      </c>
      <c r="E37" s="40">
        <v>0.34590528861367192</v>
      </c>
      <c r="F37" s="39">
        <v>2.0151712153419682E-2</v>
      </c>
      <c r="G37" s="40">
        <v>0.34203446657410785</v>
      </c>
      <c r="H37" s="39">
        <v>1.9503677458113652E-2</v>
      </c>
      <c r="I37" s="40">
        <v>0.33799838121253623</v>
      </c>
      <c r="J37" s="39">
        <v>1.883917072497978E-2</v>
      </c>
      <c r="K37" s="40">
        <v>0.33378115084158966</v>
      </c>
      <c r="L37" s="39">
        <v>1.8156729979434665E-2</v>
      </c>
      <c r="M37" s="40">
        <v>0.32936412316309061</v>
      </c>
      <c r="N37" s="39">
        <v>1.7454651740249308E-2</v>
      </c>
      <c r="O37" s="40">
        <v>0.32472528083187474</v>
      </c>
      <c r="P37" s="39">
        <v>1.6730930607010329E-2</v>
      </c>
      <c r="Q37" s="40">
        <v>0.31983834050700438</v>
      </c>
      <c r="R37" s="39">
        <v>1.5983166964966711E-2</v>
      </c>
      <c r="S37" s="40">
        <v>0.31467147477646212</v>
      </c>
      <c r="T37" s="39">
        <v>1.5208473064432581E-2</v>
      </c>
      <c r="U37" s="40">
        <v>0.30918570710783366</v>
      </c>
      <c r="V37" s="39">
        <v>1.4403307496904898E-2</v>
      </c>
      <c r="W37" s="40">
        <v>0.30333247302200095</v>
      </c>
      <c r="X37" s="39">
        <v>1.3563259455865839E-2</v>
      </c>
      <c r="Y37" s="40">
        <v>0.29705022925920721</v>
      </c>
      <c r="Z37" s="39">
        <v>1.2682796395840095E-2</v>
      </c>
      <c r="AA37" s="40">
        <v>0.290259872659132</v>
      </c>
      <c r="AB37" s="39">
        <v>1.1754859238916154E-2</v>
      </c>
      <c r="AC37" s="40">
        <v>0.28285803118282826</v>
      </c>
      <c r="AD37" s="39">
        <v>1.0770371127629286E-2</v>
      </c>
      <c r="AE37" s="40">
        <v>0.27470859348895676</v>
      </c>
      <c r="AF37" s="39">
        <v>9.7176944723318982E-3</v>
      </c>
      <c r="AG37" s="40">
        <v>0.26563543118214084</v>
      </c>
      <c r="AH37" s="39">
        <v>8.5821680256997542E-3</v>
      </c>
      <c r="AI37" s="40">
        <v>0.2554352327717479</v>
      </c>
      <c r="AJ37" s="39">
        <v>7.3459609970793968E-3</v>
      </c>
      <c r="AK37" s="40">
        <v>0.24404222392033509</v>
      </c>
      <c r="AL37" s="39">
        <v>5.9844803965007441E-3</v>
      </c>
      <c r="AM37" s="40">
        <v>0.23387087422210609</v>
      </c>
      <c r="AN37" s="39"/>
      <c r="AO37" s="40"/>
      <c r="AP37" s="39"/>
      <c r="AQ37" s="40"/>
      <c r="AR37" s="39"/>
      <c r="AS37" s="40"/>
      <c r="AT37" s="39"/>
      <c r="AU37" s="40"/>
      <c r="AV37" s="39"/>
      <c r="AW37" s="40"/>
    </row>
    <row r="38" spans="1:49 16319:16321" x14ac:dyDescent="0.2">
      <c r="A38" t="s">
        <v>22</v>
      </c>
      <c r="B38" s="37">
        <v>0.18079094942242827</v>
      </c>
      <c r="C38" s="38">
        <v>6.0565413429233668E-2</v>
      </c>
      <c r="D38" s="37">
        <v>0.17859135055165967</v>
      </c>
      <c r="E38" s="38">
        <v>6.0066778487362374E-2</v>
      </c>
      <c r="F38" s="37">
        <v>0.17633810934829128</v>
      </c>
      <c r="G38" s="38">
        <v>5.9565699020835312E-2</v>
      </c>
      <c r="H38" s="37">
        <v>0.17402633257516362</v>
      </c>
      <c r="I38" s="38">
        <v>5.9062083484119871E-2</v>
      </c>
      <c r="J38" s="37">
        <v>0.17165026380918361</v>
      </c>
      <c r="K38" s="38">
        <v>5.8555726975650466E-2</v>
      </c>
      <c r="L38" s="37">
        <v>0.16920298526236938</v>
      </c>
      <c r="M38" s="38">
        <v>5.804643172512837E-2</v>
      </c>
      <c r="N38" s="37">
        <v>0.16667609550167894</v>
      </c>
      <c r="O38" s="38">
        <v>5.753389448744136E-2</v>
      </c>
      <c r="P38" s="37">
        <v>0.16405920917631872</v>
      </c>
      <c r="Q38" s="38">
        <v>5.7017626546623047E-2</v>
      </c>
      <c r="R38" s="37">
        <v>0.16133921780290822</v>
      </c>
      <c r="S38" s="38">
        <v>5.6496901721556997E-2</v>
      </c>
      <c r="T38" s="37">
        <v>0.15849920272804172</v>
      </c>
      <c r="U38" s="38">
        <v>5.5970477111075528E-2</v>
      </c>
      <c r="V38" s="37">
        <v>0.15551672289954968</v>
      </c>
      <c r="W38" s="38">
        <v>5.543631600919173E-2</v>
      </c>
      <c r="X38" s="37">
        <v>0.15236114042473714</v>
      </c>
      <c r="Y38" s="38">
        <v>5.4891010906793304E-2</v>
      </c>
      <c r="Z38" s="37">
        <v>0.14898912220927443</v>
      </c>
      <c r="AA38" s="38">
        <v>5.432820859268956E-2</v>
      </c>
      <c r="AB38" s="37">
        <v>0.14533704332845757</v>
      </c>
      <c r="AC38" s="38">
        <v>5.3735972262517952E-2</v>
      </c>
      <c r="AD38" s="37">
        <v>0.14130761383729673</v>
      </c>
      <c r="AE38" s="38">
        <v>5.3090277467632299E-2</v>
      </c>
      <c r="AF38" s="37">
        <v>0.13674562903283</v>
      </c>
      <c r="AG38" s="38">
        <v>5.2337976521809541E-2</v>
      </c>
      <c r="AH38" s="37">
        <v>0.13139400193932119</v>
      </c>
      <c r="AI38" s="38">
        <v>5.1344190873071432E-2</v>
      </c>
      <c r="AJ38" s="37">
        <v>0.1248154941453692</v>
      </c>
      <c r="AK38" s="38">
        <v>4.966519867186784E-2</v>
      </c>
      <c r="AL38" s="37">
        <v>0.11627974912829712</v>
      </c>
      <c r="AM38" s="38">
        <v>4.4462980534208198E-2</v>
      </c>
      <c r="AN38" s="37"/>
      <c r="AO38" s="38"/>
      <c r="AP38" s="37"/>
      <c r="AQ38" s="38"/>
      <c r="AR38" s="37"/>
      <c r="AS38" s="38"/>
      <c r="AT38" s="37"/>
      <c r="AU38" s="38"/>
      <c r="AV38" s="37"/>
      <c r="AW38" s="38"/>
    </row>
    <row r="39" spans="1:49 16319:16321" x14ac:dyDescent="0.2">
      <c r="A39" t="s">
        <v>23</v>
      </c>
      <c r="B39" s="39">
        <v>0.23064923795097952</v>
      </c>
      <c r="C39" s="40">
        <v>0.22092201281804799</v>
      </c>
      <c r="D39" s="39">
        <v>0.23457011171088851</v>
      </c>
      <c r="E39" s="40">
        <v>0.22331322928446745</v>
      </c>
      <c r="F39" s="39">
        <v>0.23879594519587616</v>
      </c>
      <c r="G39" s="40">
        <v>0.22593278570943992</v>
      </c>
      <c r="H39" s="39">
        <v>0.24336960029535284</v>
      </c>
      <c r="I39" s="40">
        <v>0.22881532887575182</v>
      </c>
      <c r="J39" s="39">
        <v>0.24834314534628735</v>
      </c>
      <c r="K39" s="40">
        <v>0.23200366225529359</v>
      </c>
      <c r="L39" s="39">
        <v>0.25378080948101045</v>
      </c>
      <c r="M39" s="40">
        <v>0.23555103168280173</v>
      </c>
      <c r="N39" s="39">
        <v>0.25976293970402881</v>
      </c>
      <c r="O39" s="40">
        <v>0.23952495815889158</v>
      </c>
      <c r="P39" s="39">
        <v>0.26639183019282581</v>
      </c>
      <c r="Q39" s="40">
        <v>0.24401272061472765</v>
      </c>
      <c r="R39" s="39">
        <v>0.27380046846044231</v>
      </c>
      <c r="S39" s="40">
        <v>0.24912942401207008</v>
      </c>
      <c r="T39" s="39">
        <v>0.28216594597815675</v>
      </c>
      <c r="U39" s="40">
        <v>0.25503115807340188</v>
      </c>
      <c r="V39" s="39">
        <v>0.291731127827278</v>
      </c>
      <c r="W39" s="40">
        <v>0.26193593909412788</v>
      </c>
      <c r="X39" s="39">
        <v>0.3028408846761908</v>
      </c>
      <c r="Y39" s="40">
        <v>0.27015965684749482</v>
      </c>
      <c r="Z39" s="39">
        <v>0.31600635991526232</v>
      </c>
      <c r="AA39" s="40">
        <v>0.28018354244286803</v>
      </c>
      <c r="AB39" s="39">
        <v>0.33202599580748882</v>
      </c>
      <c r="AC39" s="40">
        <v>0.29278463703996882</v>
      </c>
      <c r="AD39" s="39">
        <v>0.35223099260044671</v>
      </c>
      <c r="AE39" s="40">
        <v>0.30932028878718737</v>
      </c>
      <c r="AF39" s="39">
        <v>0.37903121736276985</v>
      </c>
      <c r="AG39" s="40">
        <v>0.33243258924958907</v>
      </c>
      <c r="AH39" s="39">
        <v>0.41727636233335891</v>
      </c>
      <c r="AI39" s="40">
        <v>0.36815113765371138</v>
      </c>
      <c r="AJ39" s="39">
        <v>0.47823405923226914</v>
      </c>
      <c r="AK39" s="40">
        <v>0.43460295207784466</v>
      </c>
      <c r="AL39" s="39">
        <v>0.59422338502805527</v>
      </c>
      <c r="AM39" s="40">
        <v>0.64419450365925002</v>
      </c>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0.1321351923867759</v>
      </c>
      <c r="E42" s="135"/>
      <c r="F42" s="177">
        <f>10.8%+(1-10.8%)*(1-SUM(F26:G26)/SUM($B$26:$C$26))</f>
        <v>0.15685313527338204</v>
      </c>
      <c r="G42" s="135"/>
      <c r="H42" s="177">
        <f>10.8%+(1-10.8%)*(1-SUM(H26:I26)/SUM($B$26:$C$26))</f>
        <v>0.1821983325039247</v>
      </c>
      <c r="I42" s="135"/>
      <c r="J42" s="177">
        <f>10.8%+(1-10.8%)*(1-SUM(J26:K26)/SUM($B$26:$C$26))</f>
        <v>0.20822350067102335</v>
      </c>
      <c r="K42" s="135"/>
      <c r="L42" s="177">
        <f>10.8%+(1-10.8%)*(1-SUM(L26:M26)/SUM($B$26:$C$26))</f>
        <v>0.23499167005721744</v>
      </c>
      <c r="M42" s="135"/>
      <c r="N42" s="177">
        <f>10.8%+(1-10.8%)*(1-SUM(N26:O26)/SUM($B$26:$C$26))</f>
        <v>0.26257943816498558</v>
      </c>
      <c r="O42" s="135"/>
      <c r="P42" s="177">
        <f>10.8%+(1-10.8%)*(1-SUM(P26:Q26)/SUM($B$26:$C$26))</f>
        <v>0.29108144792293983</v>
      </c>
      <c r="Q42" s="135"/>
      <c r="R42" s="177">
        <f>10.8%+(1-10.8%)*(1-SUM(R26:S26)/SUM($B$26:$C$26))</f>
        <v>0.32061674454951061</v>
      </c>
      <c r="S42" s="135"/>
      <c r="T42" s="177">
        <f>10.8%+(1-10.8%)*(1-SUM(T26:U26)/SUM($B$26:$C$26))</f>
        <v>0.35133849833702679</v>
      </c>
      <c r="U42" s="135"/>
      <c r="V42" s="177">
        <f>10.8%+(1-10.8%)*(1-SUM(V26:W26)/SUM($B$26:$C$26))</f>
        <v>0.38344843627749781</v>
      </c>
      <c r="W42" s="135"/>
      <c r="X42" s="177">
        <f>10.8%+(1-10.8%)*(1-SUM(X26:Y26)/SUM($B$26:$C$26))</f>
        <v>0.41721923439346476</v>
      </c>
      <c r="Y42" s="162"/>
      <c r="Z42" s="177">
        <f>10.8%+(1-10.8%)*(1-SUM(Z26:AA26)/SUM($B$26:$C$26))</f>
        <v>0.45303141724867479</v>
      </c>
      <c r="AA42" s="135"/>
      <c r="AB42" s="177">
        <f>10.8%+(1-10.8%)*(1-SUM(AB26:AC26)/SUM($B$26:$C$26))</f>
        <v>0.49143257583312339</v>
      </c>
      <c r="AC42" s="135"/>
      <c r="AD42" s="177">
        <f>10.8%+(1-10.8%)*(1-SUM(AD26:AE26)/SUM($B$26:$C$26))</f>
        <v>0.53323637187173822</v>
      </c>
      <c r="AE42" s="135"/>
      <c r="AF42" s="177">
        <f>10.8%+(1-10.8%)*(1-SUM(AF26:AG26)/SUM($B$26:$C$26))</f>
        <v>0.57968718522288787</v>
      </c>
      <c r="AG42" s="135"/>
      <c r="AH42" s="177">
        <f>10.8%+(1-10.8%)*(1-SUM(AH26:AI26)/SUM($B$26:$C$26))</f>
        <v>0.63271728778803416</v>
      </c>
      <c r="AI42" s="135"/>
      <c r="AJ42" s="177">
        <f>10.8%+(1-10.8%)*(1-SUM(AJ26:AK26)/SUM($B$26:$C$26))</f>
        <v>0.69527980724275962</v>
      </c>
      <c r="AK42" s="135"/>
      <c r="AL42" s="177">
        <f>10.8%+(1-10.8%)*(1-SUM(AL26:AM26)/SUM($B$26:$C$26))</f>
        <v>0.7713666664658192</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0.56058995943838341</v>
      </c>
      <c r="C43" s="135"/>
      <c r="D43" s="162">
        <f t="array" ref="D43">SUM(D15:E15*D27:E27)/SUM(D15:E15*D27:E27,D13:E13*D26:E26)</f>
        <v>0.57239159647769544</v>
      </c>
      <c r="E43" s="135"/>
      <c r="F43" s="162">
        <f t="array" ref="F43">SUM(F15:G15*F27:G27)/SUM(F15:G15*F27:G27,F13:G13*F26:G26)</f>
        <v>0.57768268975464698</v>
      </c>
      <c r="G43" s="135"/>
      <c r="H43" s="162">
        <f t="array" ref="H43">SUM(H15:I15*H27:I27)/SUM(H15:I15*H27:I27,H13:I13*H26:I26)</f>
        <v>0.58308239268041884</v>
      </c>
      <c r="I43" s="135"/>
      <c r="J43" s="162">
        <f t="array" ref="J43">SUM(J15:K15*J27:K27)/SUM(J15:K15*J27:K27,J13:K13*J26:K26)</f>
        <v>0.58860065492282498</v>
      </c>
      <c r="K43" s="135"/>
      <c r="L43" s="162">
        <f t="array" ref="L43">SUM(L15:M15*L27:M27)/SUM(L15:M15*L27:M27,L13:M13*L26:M26)</f>
        <v>0.59424950346536476</v>
      </c>
      <c r="M43" s="135"/>
      <c r="N43" s="162">
        <f t="array" ref="N43">SUM(N15:O15*N27:O27)/SUM(N15:O15*N27:O27,N13:O13*N26:O26)</f>
        <v>0.60004350776431303</v>
      </c>
      <c r="O43" s="135"/>
      <c r="P43" s="162">
        <f t="array" ref="P43">SUM(P15:Q15*P27:Q27)/SUM(P15:Q15*P27:Q27,P13:Q13*P26:Q26)</f>
        <v>0.60600067088490672</v>
      </c>
      <c r="Q43" s="135"/>
      <c r="R43" s="162">
        <f t="array" ref="R43">SUM(R15:S15*R27:S27)/SUM(R15:S15*R27:S27,R13:S13*R26:S26)</f>
        <v>0.61214383442630327</v>
      </c>
      <c r="S43" s="135"/>
      <c r="T43" s="162">
        <f t="array" ref="T43">SUM(T15:U15*T27:U27)/SUM(T15:U15*T27:U27,T13:U13*T26:U26)</f>
        <v>0.61850261881151936</v>
      </c>
      <c r="U43" s="135"/>
      <c r="V43" s="162">
        <f t="array" ref="V43">SUM(V15:W15*V27:W27)/SUM(V15:W15*V27:W27,V13:W13*V26:W26)</f>
        <v>0.62511675187204141</v>
      </c>
      <c r="W43" s="135"/>
      <c r="X43" s="162">
        <f t="array" ref="X43">SUM(X15:Y15*X27:Y27)/SUM(X15:Y15*X27:Y27,X13:Y13*X26:Y26)</f>
        <v>0.63204119078667487</v>
      </c>
      <c r="Y43" s="135"/>
      <c r="Z43" s="162">
        <f t="array" ref="Z43">SUM(Z15:AA15*Z27:AA27)/SUM(Z15:AA15*Z27:AA27,Z13:AA13*Z26:AA26)</f>
        <v>0.63935490190744693</v>
      </c>
      <c r="AA43" s="135"/>
      <c r="AB43" s="162">
        <f t="array" ref="AB43">SUM(AB15:AC15*AB27:AC27)/SUM(AB15:AC15*AB27:AC27,AB13:AC13*AB26:AC26)</f>
        <v>0.64717603805234147</v>
      </c>
      <c r="AC43" s="135"/>
      <c r="AD43" s="162">
        <f t="array" ref="AD43">SUM(AD15:AE15*AD27:AE27)/SUM(AD15:AE15*AD27:AE27,AD13:AE13*AD26:AE26)</f>
        <v>0.65568881764728271</v>
      </c>
      <c r="AE43" s="135"/>
      <c r="AF43" s="162">
        <f t="array" ref="AF43">SUM(AF15:AG15*AF27:AG27)/SUM(AF15:AG15*AF27:AG27,AF13:AG13*AF26:AG26)</f>
        <v>0.66519277684684552</v>
      </c>
      <c r="AG43" s="135"/>
      <c r="AH43" s="162">
        <f t="array" ref="AH43">SUM(AH15:AI15*AH27:AI27)/SUM(AH15:AI15*AH27:AI27,AH13:AI13*AH26:AI26)</f>
        <v>0.67619087757561902</v>
      </c>
      <c r="AI43" s="135"/>
      <c r="AJ43" s="162">
        <f t="array" ref="AJ43">SUM(AJ15:AK15*AJ27:AK27)/SUM(AJ15:AK15*AJ27:AK27,AJ13:AK13*AJ26:AK26)</f>
        <v>0.68953735251854598</v>
      </c>
      <c r="AK43" s="135"/>
      <c r="AL43" s="162">
        <f t="array" ref="AL43">SUM(AL15:AM15*AL27:AM27)/SUM(AL15:AM15*AL27:AM27,AL13:AM13*AL26:AM26)</f>
        <v>0.70656463605627762</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0.29754226190682431</v>
      </c>
      <c r="D44" s="193">
        <f>(SUM(D11:E11*D24:E24)+D34)/D32</f>
        <v>0.29754225943934082</v>
      </c>
      <c r="F44" s="193">
        <f>(SUM(F11:G11*F24:G24)+F34)/F32</f>
        <v>0.29754226024789682</v>
      </c>
      <c r="H44" s="193">
        <f>(SUM(H11:I11*H24:I24)+H34)/H32</f>
        <v>0.29754225715208132</v>
      </c>
      <c r="J44" s="193">
        <f>(SUM(J11:K11*J24:K24)+J34)/J32</f>
        <v>0.29754225971563997</v>
      </c>
      <c r="L44" s="193">
        <f>(SUM(L11:M11*L24:M24)+L34)/L32</f>
        <v>0.29754226108710397</v>
      </c>
      <c r="N44" s="193">
        <f>(SUM(N11:O11*N24:O24)+N34)/N32</f>
        <v>0.29754226063439243</v>
      </c>
      <c r="P44" s="193">
        <f>(SUM(P11:Q11*P24:Q24)+P34)/P32</f>
        <v>0.29754226055346916</v>
      </c>
      <c r="R44" s="193">
        <f>(SUM(R11:S11*R24:S24)+R34)/R32</f>
        <v>0.29754225898943465</v>
      </c>
      <c r="T44" s="193">
        <f>(SUM(T11:U11*T24:U24)+T34)/T32</f>
        <v>0.29754225903754278</v>
      </c>
      <c r="V44" s="193">
        <f>(SUM(V11:W11*V24:W24)+V34)/V32</f>
        <v>0.29754225854575028</v>
      </c>
      <c r="X44" s="193">
        <f>(SUM(X11:Y11*X24:Y24)+X34)/X32</f>
        <v>0.29754226268881517</v>
      </c>
      <c r="Z44" s="193">
        <f>(SUM(Z11:AA11*Z24:AA24)+Z34)/Z32</f>
        <v>0.29754226413658286</v>
      </c>
      <c r="AB44" s="193">
        <f>(SUM(AB11:AC11*AB24:AC24)+AB34)/AB32</f>
        <v>0.29754226188791427</v>
      </c>
      <c r="AD44" s="193">
        <f>(SUM(AD11:AE11*AD24:AE24)+AD34)/AD32</f>
        <v>0.29754226262678901</v>
      </c>
      <c r="AF44" s="193">
        <f>(SUM(AF11:AG11*AF24:AG24)+AF34)/AF32</f>
        <v>0.29754226384967875</v>
      </c>
      <c r="AH44" s="193">
        <f>(SUM(AH11:AI11*AH24:AI24)+AH34)/AH32</f>
        <v>0.2975422585799774</v>
      </c>
      <c r="AJ44" s="193">
        <f>(SUM(AJ11:AK11*AJ24:AK24)+AJ34)/AJ32</f>
        <v>0.29754226246372106</v>
      </c>
      <c r="AL44" s="193">
        <f>(SUM(AL11:AM11*AL24:AM24)+AL34)/AL32</f>
        <v>0.29754226154649371</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0.22038438867769036</v>
      </c>
      <c r="F45" s="193">
        <f>SUM(F11:G11*F24:G24)/F32</f>
        <v>0.22038438856729931</v>
      </c>
      <c r="H45" s="193">
        <f>SUM(H11:I11*H24:I24)/H32</f>
        <v>0.22038438901020677</v>
      </c>
      <c r="J45" s="193">
        <f>SUM(J11:K11*J24:K24)/J32</f>
        <v>0.22038438865813592</v>
      </c>
      <c r="L45" s="193">
        <f>SUM(L11:M11*L24:M24)/L32</f>
        <v>0.22038438828292259</v>
      </c>
      <c r="N45" s="193">
        <f>SUM(N11:O11*N24:O24)/N32</f>
        <v>0.22038438825562251</v>
      </c>
      <c r="P45" s="193">
        <f>SUM(P11:Q11*P24:Q24)/P32</f>
        <v>0.22038438825225934</v>
      </c>
      <c r="R45" s="193">
        <f>SUM(R11:S11*R24:S24)/R32</f>
        <v>0.22038438884613062</v>
      </c>
      <c r="T45" s="193">
        <f>SUM(T11:U11*T24:U24)/T32</f>
        <v>0.22038438896246523</v>
      </c>
      <c r="V45" s="193">
        <f>SUM(V11:W11*V24:W24)/V32</f>
        <v>0.22038438814870931</v>
      </c>
      <c r="X45" s="193">
        <f>SUM(X11:Y11*X24:Y24)/X32</f>
        <v>0.22038438842388997</v>
      </c>
      <c r="Z45" s="193">
        <f>SUM(Z11:AA11*Z24:AA24)/Z32</f>
        <v>0.22038438855389969</v>
      </c>
      <c r="AB45" s="193">
        <f>SUM(AB11:AC11*AB24:AC24)/AB32</f>
        <v>0.2203843883613377</v>
      </c>
      <c r="AD45" s="193">
        <f>SUM(AD11:AE11*AD24:AE24)/AD32</f>
        <v>0.22038438861961676</v>
      </c>
      <c r="AF45" s="193">
        <f>SUM(AF11:AG11*AF24:AG24)/AF32</f>
        <v>0.22038438845750632</v>
      </c>
      <c r="AH45" s="193">
        <f>SUM(AH11:AI11*AH24:AI24)/AH32</f>
        <v>0.22038438839852473</v>
      </c>
      <c r="AJ45" s="193">
        <f>SUM(AJ11:AK11*AJ24:AK24)/AJ32</f>
        <v>0.22038438836355434</v>
      </c>
      <c r="AL45" s="193">
        <f>SUM(AL11:AM11*AL24:AM24)/AL32</f>
        <v>0.22038438833152149</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7.7157873574883462E-2</v>
      </c>
      <c r="D46" s="193">
        <f>D34/D32</f>
        <v>7.7157870761650427E-2</v>
      </c>
      <c r="F46" s="193">
        <f>F34/F32</f>
        <v>7.7157871680597484E-2</v>
      </c>
      <c r="H46" s="193">
        <f>H34/H32</f>
        <v>7.715786814187453E-2</v>
      </c>
      <c r="J46" s="193">
        <f>J34/J32</f>
        <v>7.7157871057504032E-2</v>
      </c>
      <c r="L46" s="193">
        <f>L34/L32</f>
        <v>7.7157872804181363E-2</v>
      </c>
      <c r="N46" s="193">
        <f>N34/N32</f>
        <v>7.7157872378769907E-2</v>
      </c>
      <c r="P46" s="193">
        <f>P34/P32</f>
        <v>7.7157872301209809E-2</v>
      </c>
      <c r="R46" s="193">
        <f>R34/R32</f>
        <v>7.7157870143304011E-2</v>
      </c>
      <c r="T46" s="193">
        <f>T34/T32</f>
        <v>7.7157870075077559E-2</v>
      </c>
      <c r="V46" s="193">
        <f>V34/V32</f>
        <v>7.7157870397040945E-2</v>
      </c>
      <c r="X46" s="193">
        <f>X34/X32</f>
        <v>7.7157874264925222E-2</v>
      </c>
      <c r="Z46" s="193">
        <f>Z34/Z32</f>
        <v>7.715787558268318E-2</v>
      </c>
      <c r="AB46" s="193">
        <f>AB34/AB32</f>
        <v>7.7157873526576576E-2</v>
      </c>
      <c r="AD46" s="193">
        <f>AD34/AD32</f>
        <v>7.7157874007172278E-2</v>
      </c>
      <c r="AF46" s="193">
        <f>AF34/AF32</f>
        <v>7.7157875392172406E-2</v>
      </c>
      <c r="AH46" s="193">
        <f>AH34/AH32</f>
        <v>7.7157870181452703E-2</v>
      </c>
      <c r="AJ46" s="193">
        <f>AJ34/AJ32</f>
        <v>7.715787410016671E-2</v>
      </c>
      <c r="AL46" s="193">
        <f>AL34/AL32</f>
        <v>7.7157873214972236E-2</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0.98625342585651221</v>
      </c>
      <c r="E48" s="191"/>
      <c r="F48" s="191">
        <f>F24/$B$24</f>
        <v>0.97174700017038851</v>
      </c>
      <c r="G48" s="191"/>
      <c r="H48" s="191">
        <f>H24/$B$24</f>
        <v>0.95641017199314093</v>
      </c>
      <c r="I48" s="191"/>
      <c r="J48" s="191">
        <f>J24/$B$24</f>
        <v>0.94016003688680716</v>
      </c>
      <c r="K48" s="191"/>
      <c r="L48" s="191">
        <f>L24/$B$24</f>
        <v>0.92289839077921265</v>
      </c>
      <c r="M48" s="191"/>
      <c r="N48" s="191">
        <f>N24/$B$24</f>
        <v>0.90450705600999726</v>
      </c>
      <c r="O48" s="191"/>
      <c r="P48" s="191">
        <f>P24/$B$24</f>
        <v>0.88484157230075267</v>
      </c>
      <c r="Q48" s="191"/>
      <c r="R48" s="191">
        <f>R24/$B$24</f>
        <v>0.86372218924350463</v>
      </c>
      <c r="S48" s="191"/>
      <c r="T48" s="191">
        <f>T24/$B$24</f>
        <v>0.84092016734944064</v>
      </c>
      <c r="U48" s="191"/>
      <c r="V48" s="191">
        <f>V24/$B$24</f>
        <v>0.81613713803861365</v>
      </c>
      <c r="W48" s="191"/>
      <c r="X48" s="191">
        <f>X24/$B$24</f>
        <v>0.78897233342041373</v>
      </c>
      <c r="Y48" s="191"/>
      <c r="Z48" s="191">
        <f>Z24/$B$24</f>
        <v>0.75886809848407399</v>
      </c>
      <c r="AA48" s="191"/>
      <c r="AB48" s="191">
        <f>AB24/$B$24</f>
        <v>0.72501737635338381</v>
      </c>
      <c r="AC48" s="191"/>
      <c r="AD48" s="191">
        <f>AD24/$B$24</f>
        <v>0.68619891903986407</v>
      </c>
      <c r="AE48" s="191"/>
      <c r="AF48" s="191">
        <f>AF24/$B$24</f>
        <v>0.64047297859098018</v>
      </c>
      <c r="AG48" s="191"/>
      <c r="AH48" s="191">
        <f>AH24/$B$24</f>
        <v>0.58460623404142709</v>
      </c>
      <c r="AI48" s="191"/>
      <c r="AJ48" s="191">
        <f>AJ24/$B$24</f>
        <v>0.51297758532263327</v>
      </c>
      <c r="AK48" s="191"/>
      <c r="AL48" s="191">
        <f>AL24/$B$24</f>
        <v>0.41571853145769849</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0.99999999877834034</v>
      </c>
      <c r="E49" s="191"/>
      <c r="F49" s="191">
        <f>F13/F35/$B$13*$B$35</f>
        <v>0.99999999910979276</v>
      </c>
      <c r="G49" s="191"/>
      <c r="H49" s="191">
        <f>H13/H35/$B$13*$B$35</f>
        <v>0.99999999722069988</v>
      </c>
      <c r="I49" s="191"/>
      <c r="J49" s="191">
        <f>J13/J35/$B$13*$B$35</f>
        <v>0.99999999856773591</v>
      </c>
      <c r="K49" s="191"/>
      <c r="L49" s="191">
        <f>L13/L35/$B$13*$B$35</f>
        <v>1.0000000000717351</v>
      </c>
      <c r="M49" s="191"/>
      <c r="N49" s="191">
        <f>N13/N35/$B$13*$B$35</f>
        <v>1.0000000001516764</v>
      </c>
      <c r="O49" s="191"/>
      <c r="P49" s="191">
        <f>P13/P35/$B$13*$B$35</f>
        <v>1.0000000002049447</v>
      </c>
      <c r="Q49" s="191"/>
      <c r="R49" s="191">
        <f>R13/R35/$B$13*$B$35</f>
        <v>0.99999999669800865</v>
      </c>
      <c r="S49" s="191"/>
      <c r="T49" s="191">
        <f>T13/T35/$B$13*$B$35</f>
        <v>0.99999999556055608</v>
      </c>
      <c r="U49" s="191"/>
      <c r="V49" s="191">
        <f>V13/V35/$B$13*$B$35</f>
        <v>1.0000000009169638</v>
      </c>
      <c r="W49" s="191"/>
      <c r="X49" s="191">
        <f>X13/X35/$B$13*$B$35</f>
        <v>0.99999999930300165</v>
      </c>
      <c r="Y49" s="191"/>
      <c r="Z49" s="191">
        <f>Z13/Z35/$B$13*$B$35</f>
        <v>0.99999999812483165</v>
      </c>
      <c r="AA49" s="191"/>
      <c r="AB49" s="191">
        <f>AB13/AB35/$B$13*$B$35</f>
        <v>0.99999999960003005</v>
      </c>
      <c r="AC49" s="191"/>
      <c r="AD49" s="191">
        <f>AD13/AD35/$B$13*$B$35</f>
        <v>0.99999999544605711</v>
      </c>
      <c r="AE49" s="191"/>
      <c r="AF49" s="191">
        <f>AF13/AF35/$B$13*$B$35</f>
        <v>0.99999999854898969</v>
      </c>
      <c r="AG49" s="191"/>
      <c r="AH49" s="191">
        <f>AH13/AH35/$B$13*$B$35</f>
        <v>0.99999999950491336</v>
      </c>
      <c r="AI49" s="191"/>
      <c r="AJ49" s="191">
        <f>AJ13/AJ35/$B$13*$B$35</f>
        <v>0.99999999941919682</v>
      </c>
      <c r="AK49" s="191"/>
      <c r="AL49" s="191">
        <f>AL13/AL35/$B$13*$B$35</f>
        <v>0.999999999995835</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-400769.01279304689</v>
      </c>
      <c r="F51" s="29">
        <f>F30-F10*F23</f>
        <v>-395387.02286174009</v>
      </c>
      <c r="H51" s="29">
        <f>H30-H10*H23</f>
        <v>-389662.23993398668</v>
      </c>
      <c r="J51" s="29">
        <f>J30-J10*J23</f>
        <v>-383559.82315242337</v>
      </c>
      <c r="L51" s="29">
        <f>L30-L10*L23</f>
        <v>-377038.225264051</v>
      </c>
      <c r="N51" s="29">
        <f>N30-N10*N23</f>
        <v>-370047.80065672752</v>
      </c>
      <c r="P51" s="29">
        <f>P30-P10*P23</f>
        <v>-362528.28446603101</v>
      </c>
      <c r="R51" s="29">
        <f>R30-R10*R23</f>
        <v>-354404.87813392002</v>
      </c>
      <c r="T51" s="29">
        <f>T30-T10*T23</f>
        <v>-345583.3418268105</v>
      </c>
      <c r="V51" s="29">
        <f>V30-V10*V23</f>
        <v>-335941.36165887211</v>
      </c>
      <c r="X51" s="29">
        <f>X30-X10*X23</f>
        <v>-325314.99530216539</v>
      </c>
      <c r="Z51" s="29">
        <f>Z30-Z10*Z23</f>
        <v>-313478.10307109868</v>
      </c>
      <c r="AB51" s="29">
        <f>AB30-AB10*AB23</f>
        <v>-300104.52353530121</v>
      </c>
      <c r="AD51" s="29">
        <f>AD30-AD10*AD23</f>
        <v>-284700.86073840759</v>
      </c>
      <c r="AF51" s="29">
        <f>AF30-AF10*AF23</f>
        <v>-266481.75702977227</v>
      </c>
      <c r="AH51" s="29">
        <f>AH30-AH10*AH23</f>
        <v>-244124.65339226066</v>
      </c>
      <c r="AJ51" s="29">
        <f>AJ30-AJ10*AJ23</f>
        <v>-215286.37078876887</v>
      </c>
      <c r="AL51" s="29">
        <f>AL30-AL10*AL23</f>
        <v>-175703.75972351898</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1995351.619774715</v>
      </c>
      <c r="F52" s="29">
        <f t="array" ref="F52">Calibration!sL*SUM(F13:G13*F26:G26)</f>
        <v>1940213.7275965419</v>
      </c>
      <c r="H52" s="29">
        <f t="array" ref="H52">Calibration!sL*SUM(H13:I13*H26:I26)</f>
        <v>1883734.9003644383</v>
      </c>
      <c r="J52" s="29">
        <f t="array" ref="J52">Calibration!sL*SUM(J13:K13*J26:K26)</f>
        <v>1825797.8925105245</v>
      </c>
      <c r="L52" s="29">
        <f t="array" ref="L52">Calibration!sL*SUM(L13:M13*L26:M26)</f>
        <v>1766262.944693503</v>
      </c>
      <c r="N52" s="29">
        <f t="array" ref="N52">Calibration!sL*SUM(N13:O13*N26:O26)</f>
        <v>1704960.6018932874</v>
      </c>
      <c r="P52" s="29">
        <f t="array" ref="P52">Calibration!sL*SUM(P13:Q13*P26:Q26)</f>
        <v>1641681.8654864237</v>
      </c>
      <c r="R52" s="29">
        <f t="array" ref="R52">Calibration!sL*SUM(R13:S13*R26:S26)</f>
        <v>1576164.1748935706</v>
      </c>
      <c r="T52" s="29">
        <f t="array" ref="T52">Calibration!sL*SUM(T13:U13*T26:U26)</f>
        <v>1508069.7391759739</v>
      </c>
      <c r="V52" s="29">
        <f t="array" ref="V52">Calibration!sL*SUM(V13:W13*V26:W26)</f>
        <v>1436953.2150687336</v>
      </c>
      <c r="X52" s="29">
        <f t="array" ref="X52">Calibration!sL*SUM(X13:Y13*X26:Y26)</f>
        <v>1362210.9776258003</v>
      </c>
      <c r="Z52" s="29">
        <f t="array" ref="Z52">Calibration!sL*SUM(Z13:AA13*Z26:AA26)</f>
        <v>1282996.2363564947</v>
      </c>
      <c r="AB52" s="29">
        <f t="array" ref="AB52">Calibration!sL*SUM(AB13:AC13*AB26:AC26)</f>
        <v>1198080.2274718713</v>
      </c>
      <c r="AD52" s="29">
        <f t="array" ref="AD52">Calibration!sL*SUM(AD13:AE13*AD26:AE26)</f>
        <v>1105613.7221733739</v>
      </c>
      <c r="AF52" s="29">
        <f t="array" ref="AF52">Calibration!sL*SUM(AF13:AG13*AF26:AG26)</f>
        <v>1002713.6567610286</v>
      </c>
      <c r="AH52" s="29">
        <f t="array" ref="AH52">Calibration!sL*SUM(AH13:AI13*AH26:AI26)</f>
        <v>884769.20052832214</v>
      </c>
      <c r="AJ52" s="29">
        <f t="array" ref="AJ52">Calibration!sL*SUM(AJ13:AK13*AJ26:AK26)</f>
        <v>744386.25177914451</v>
      </c>
      <c r="AL52" s="29">
        <f t="array" ref="AL52">Calibration!sL*SUM(AL13:AM13*AL26:AM26)</f>
        <v>570597.42976145656</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2740714.4444296514</v>
      </c>
      <c r="D53" s="29">
        <f t="array" ref="D53">Calibration!sK*SUM(D15:E15*D27:E27)</f>
        <v>2725748.8847742439</v>
      </c>
      <c r="F53" s="29">
        <f t="array" ref="F53">Calibration!sK*SUM(F15:G15*F27:G27)</f>
        <v>2708441.3264281689</v>
      </c>
      <c r="H53" s="29">
        <f t="array" ref="H53">Calibration!sK*SUM(H15:I15*H27:I27)</f>
        <v>2688554.6099629821</v>
      </c>
      <c r="J53" s="29">
        <f t="array" ref="J53">Calibration!sK*SUM(J15:K15*J27:K27)</f>
        <v>2665810.253655158</v>
      </c>
      <c r="L53" s="29">
        <f t="array" ref="L53">Calibration!sK*SUM(L15:M15*L27:M27)</f>
        <v>2639881.9887487246</v>
      </c>
      <c r="N53" s="29">
        <f t="array" ref="N53">Calibration!sK*SUM(N15:O15*N27:O27)</f>
        <v>2610379.9548484501</v>
      </c>
      <c r="P53" s="29">
        <f t="array" ref="P53">Calibration!sK*SUM(P15:Q15*P27:Q27)</f>
        <v>2576831.4426350202</v>
      </c>
      <c r="R53" s="29">
        <f t="array" ref="R53">Calibration!sK*SUM(R15:S15*R27:S27)</f>
        <v>2538654.6192639936</v>
      </c>
      <c r="T53" s="29">
        <f t="array" ref="T53">Calibration!sK*SUM(T15:U15*T27:U27)</f>
        <v>2495116.3089028131</v>
      </c>
      <c r="V53" s="29">
        <f t="array" ref="V53">Calibration!sK*SUM(V15:W15*V27:W27)</f>
        <v>2445271.6860911031</v>
      </c>
      <c r="X53" s="29">
        <f t="array" ref="X53">Calibration!sK*SUM(X15:Y15*X27:Y27)</f>
        <v>2387865.9423941192</v>
      </c>
      <c r="Z53" s="29">
        <f t="array" ref="Z53">Calibration!sK*SUM(Z15:AA15*Z27:AA27)</f>
        <v>2321168.8603100949</v>
      </c>
      <c r="AB53" s="29">
        <f t="array" ref="AB53">Calibration!sK*SUM(AB15:AC15*AB27:AC27)</f>
        <v>2242692.0574610997</v>
      </c>
      <c r="AD53" s="29">
        <f t="array" ref="AD53">Calibration!sK*SUM(AD15:AE15*AD27:AE27)</f>
        <v>2148668.6992173623</v>
      </c>
      <c r="AF53" s="29">
        <f t="array" ref="AF53">Calibration!sK*SUM(AF15:AG15*AF27:AG27)</f>
        <v>2033054.5115834158</v>
      </c>
      <c r="AH53" s="29">
        <f t="array" ref="AH53">Calibration!sK*SUM(AH15:AI15*AH27:AI27)</f>
        <v>1885513.3494218334</v>
      </c>
      <c r="AJ53" s="29">
        <f t="array" ref="AJ53">Calibration!sK*SUM(AJ15:AK15*AJ27:AK27)</f>
        <v>1687198.4646417305</v>
      </c>
      <c r="AL53" s="29">
        <f t="array" ref="AL53">Calibration!sK*SUM(AL15:AM15*AL27:AM27)</f>
        <v>1402131.1672984459</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0.19844514522968718</v>
      </c>
      <c r="F55" s="193">
        <f>F30/F32</f>
        <v>0.19838644896692348</v>
      </c>
      <c r="H55" s="193">
        <f>H30/H32</f>
        <v>0.19832654608986244</v>
      </c>
      <c r="J55" s="193">
        <f>J30/J32</f>
        <v>0.19826530818200241</v>
      </c>
      <c r="L55" s="193">
        <f>L30/L32</f>
        <v>0.19820261195555669</v>
      </c>
      <c r="N55" s="193">
        <f>N30/N32</f>
        <v>0.19813829872053015</v>
      </c>
      <c r="P55" s="193">
        <f>P30/P32</f>
        <v>0.19807216309282863</v>
      </c>
      <c r="R55" s="193">
        <f>R30/R32</f>
        <v>0.19800396139627749</v>
      </c>
      <c r="T55" s="193">
        <f>T30/T32</f>
        <v>0.19793334704048635</v>
      </c>
      <c r="V55" s="193">
        <f>V30/V32</f>
        <v>0.19785986508117148</v>
      </c>
      <c r="X55" s="193">
        <f>X30/X32</f>
        <v>0.19778293773124722</v>
      </c>
      <c r="Z55" s="193">
        <f>Z30/Z32</f>
        <v>0.19770167198558747</v>
      </c>
      <c r="AB55" s="193">
        <f>AB30/AB32</f>
        <v>0.19761474155237083</v>
      </c>
      <c r="AD55" s="193">
        <f>AD30/AD32</f>
        <v>0.19752011733334968</v>
      </c>
      <c r="AF55" s="193">
        <f>AF30/AF32</f>
        <v>0.19741442998046488</v>
      </c>
      <c r="AH55" s="193">
        <f>AH30/AH32</f>
        <v>0.19729210217650828</v>
      </c>
      <c r="AJ55" s="193">
        <f>AJ30/AJ32</f>
        <v>0.19714360041897702</v>
      </c>
      <c r="AL55" s="193">
        <f>AL30/AL32</f>
        <v>0.19695406680966349</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3.1121313301713211E-2</v>
      </c>
      <c r="F56" s="193">
        <f>(Model!$C$52*F5*F20+F2*G5*G20)/F32</f>
        <v>3.305833121721289E-2</v>
      </c>
      <c r="H56" s="193">
        <f>(Model!$C$52*H5*H20+H2*I5*I20)/H32</f>
        <v>3.5035439706998149E-2</v>
      </c>
      <c r="J56" s="193">
        <f>(Model!$C$52*J5*J20+J2*K5*K20)/J32</f>
        <v>3.7056348146509932E-2</v>
      </c>
      <c r="L56" s="193">
        <f>(Model!$C$52*L5*L20+L2*M5*M20)/L32</f>
        <v>3.9125508846305168E-2</v>
      </c>
      <c r="N56" s="193">
        <f>(Model!$C$52*N5*N20+N2*O5*O20)/N32</f>
        <v>4.1248305299651601E-2</v>
      </c>
      <c r="P56" s="193">
        <f>(Model!$C$52*P5*P20+P2*Q5*Q20)/P32</f>
        <v>4.3431379203808351E-2</v>
      </c>
      <c r="R56" s="193">
        <f>(Model!$C$52*R5*R20+R2*S5*S20)/R32</f>
        <v>4.5683122663623531E-2</v>
      </c>
      <c r="T56" s="193">
        <f>(Model!$C$52*T5*T20+T2*U5*U20)/T32</f>
        <v>4.8014382278192061E-2</v>
      </c>
      <c r="V56" s="193">
        <f>(Model!$C$52*V5*V20+V2*W5*W20)/V32</f>
        <v>5.0439618546815668E-2</v>
      </c>
      <c r="X56" s="193">
        <f>(Model!$C$52*X5*X20+X2*Y5*Y20)/X32</f>
        <v>5.297874693129799E-2</v>
      </c>
      <c r="Z56" s="193">
        <f>(Model!$C$52*Z5*Z20+Z2*AA5*AA20)/Z32</f>
        <v>5.5660228909120674E-2</v>
      </c>
      <c r="AB56" s="193">
        <f>(Model!$C$52*AB5*AB20+AB2*AC5*AC20)/AB32</f>
        <v>5.8526396615111172E-2</v>
      </c>
      <c r="AD56" s="193">
        <f>(Model!$C$52*AD5*AD20+AD2*AE5*AE20)/AD32</f>
        <v>6.1642968308400582E-2</v>
      </c>
      <c r="AF56" s="193">
        <f>(Model!$C$52*AF5*AF20+AF2*AG5*AG20)/AF32</f>
        <v>6.5116283757434973E-2</v>
      </c>
      <c r="AH56" s="193">
        <f>(Model!$C$52*AH5*AH20+AH2*AI5*AI20)/AH32</f>
        <v>6.9124458387230248E-2</v>
      </c>
      <c r="AJ56" s="193">
        <f>(Model!$C$52*AJ5*AJ20+AJ2*AK5*AK20)/AJ32</f>
        <v>7.3969870107401511E-2</v>
      </c>
      <c r="AL56" s="193">
        <f>(Model!$C$52*AL5*AL20+AL2*AM5*AM20)/AL32</f>
        <v>8.0127329878273243E-2</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0.15663865915502265</v>
      </c>
      <c r="F57" s="193">
        <f t="array" ref="F57">SUM(Model!tauL*F13:G13*F26:G26)/F32</f>
        <v>0.15471178730596999</v>
      </c>
      <c r="H57" s="193">
        <f t="array" ref="H57">SUM(Model!tauL*H13:I13*H26:I26)/H32</f>
        <v>0.15274508328611874</v>
      </c>
      <c r="J57" s="193">
        <f t="array" ref="J57">SUM(Model!tauL*J13:K13*J26:K26)/J32</f>
        <v>0.15073487648191491</v>
      </c>
      <c r="L57" s="193">
        <f t="array" ref="L57">SUM(Model!tauL*L13:M13*L26:M26)/L32</f>
        <v>0.14867678081280056</v>
      </c>
      <c r="N57" s="193">
        <f t="array" ref="N57">SUM(Model!tauL*N13:O13*N26:O26)/N32</f>
        <v>0.14656547254240471</v>
      </c>
      <c r="P57" s="193">
        <f t="array" ref="P57">SUM(Model!tauL*P13:Q13*P26:Q26)/P32</f>
        <v>0.14439435742110479</v>
      </c>
      <c r="R57" s="193">
        <f t="array" ref="R57">SUM(Model!tauL*R13:S13*R26:S26)/R32</f>
        <v>0.14215509014117114</v>
      </c>
      <c r="T57" s="193">
        <f t="array" ref="T57">SUM(Model!tauL*T13:U13*T26:U26)/T32</f>
        <v>0.13983681386864147</v>
      </c>
      <c r="V57" s="193">
        <f t="array" ref="V57">SUM(Model!tauL*V13:W13*V26:W26)/V32</f>
        <v>0.13742499557152094</v>
      </c>
      <c r="X57" s="193">
        <f t="array" ref="X57">SUM(Model!tauL*X13:Y13*X26:Y26)/X32</f>
        <v>0.1348995668268862</v>
      </c>
      <c r="Y57" s="193"/>
      <c r="Z57" s="193">
        <f t="array" ref="Z57">SUM(Model!tauL*Z13:AA13*Z26:AA26)/Z32</f>
        <v>0.1322316371393884</v>
      </c>
      <c r="AB57" s="193">
        <f t="array" ref="AB57">SUM(Model!tauL*AB13:AC13*AB26:AC26)/AB32</f>
        <v>0.12937801099104962</v>
      </c>
      <c r="AD57" s="193">
        <f t="array" ref="AD57">SUM(Model!tauL*AD13:AE13*AD26:AE26)/AD32</f>
        <v>0.12627132831185317</v>
      </c>
      <c r="AF57" s="193">
        <f t="array" ref="AF57">SUM(Model!tauL*AF13:AG13*AF26:AG26)/AF32</f>
        <v>0.12280204979958824</v>
      </c>
      <c r="AH57" s="193">
        <f t="array" ref="AH57">SUM(Model!tauL*AH13:AI13*AH26:AI26)/AH32</f>
        <v>0.11878622323374989</v>
      </c>
      <c r="AJ57" s="193">
        <f t="array" ref="AJ57">SUM(Model!tauL*AJ13:AK13*AJ26:AK26)/AJ32</f>
        <v>0.11391126757616979</v>
      </c>
      <c r="AL57" s="193">
        <f t="array" ref="AL57">SUM(Model!tauL*AL13:AM13*AL26:AM26)/AL32</f>
        <v>0.10768923572745029</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1.068517277295131E-2</v>
      </c>
      <c r="F58" s="193">
        <f t="array" ref="F58">SUM(Model!tauY/(1+Model!tauY)*F3:G3*F18:G18)/F32</f>
        <v>1.0616330443740572E-2</v>
      </c>
      <c r="H58" s="193">
        <f t="array" ref="H58">SUM(Model!tauY/(1+Model!tauY)*H3:I3*H18:I18)/H32</f>
        <v>1.0546023096745539E-2</v>
      </c>
      <c r="J58" s="193">
        <f t="array" ref="J58">SUM(Model!tauY/(1+Model!tauY)*J3:K3*J18:K18)/J32</f>
        <v>1.0474083553577606E-2</v>
      </c>
      <c r="L58" s="193">
        <f t="array" ref="L58">SUM(Model!tauY/(1+Model!tauY)*L3:M3*L18:M18)/L32</f>
        <v>1.0400322296450968E-2</v>
      </c>
      <c r="N58" s="193">
        <f t="array" ref="N58">SUM(Model!tauY/(1+Model!tauY)*N3:O3*N18:O18)/N32</f>
        <v>1.0324520878473839E-2</v>
      </c>
      <c r="P58" s="193">
        <f t="array" ref="P58">SUM(Model!tauY/(1+Model!tauY)*P3:Q3*P18:Q18)/P32</f>
        <v>1.0246426467915501E-2</v>
      </c>
      <c r="R58" s="193">
        <f t="array" ref="R58">SUM(Model!tauY/(1+Model!tauY)*R3:S3*R18:S18)/R32</f>
        <v>1.0165748591482853E-2</v>
      </c>
      <c r="T58" s="193">
        <f t="array" ref="T58">SUM(Model!tauY/(1+Model!tauY)*T3:U3*T18:U18)/T32</f>
        <v>1.0082150893652806E-2</v>
      </c>
      <c r="V58" s="193">
        <f t="array" ref="V58">SUM(Model!tauY/(1+Model!tauY)*V3:W3*V18:W18)/V32</f>
        <v>9.9952509628348871E-3</v>
      </c>
      <c r="X58" s="193">
        <f t="array" ref="X58">SUM(Model!tauY/(1+Model!tauY)*X3:Y3*X18:Y18)/X32</f>
        <v>9.9046239730630307E-3</v>
      </c>
      <c r="Y58" s="193"/>
      <c r="Z58" s="193">
        <f t="array" ref="Z58">SUM(Model!tauY/(1+Model!tauY)*Z3:AA3*Z18:AA18)/Z32</f>
        <v>9.8098059370784006E-3</v>
      </c>
      <c r="AB58" s="193">
        <f t="array" ref="AB58">SUM(Model!tauY/(1+Model!tauY)*AB3:AC3*AB18:AC18)/AB32</f>
        <v>9.7103339462100303E-3</v>
      </c>
      <c r="AD58" s="193">
        <f t="array" ref="AD58">SUM(Model!tauY/(1+Model!tauY)*AD3:AE3*AD18:AE18)/AD32</f>
        <v>9.6058207130959253E-3</v>
      </c>
      <c r="AF58" s="193">
        <f t="array" ref="AF58">SUM(Model!tauY/(1+Model!tauY)*AF3:AG3*AF18:AG18)/AF32</f>
        <v>9.49609642344168E-3</v>
      </c>
      <c r="AH58" s="193">
        <f t="array" ref="AH58">SUM(Model!tauY/(1+Model!tauY)*AH3:AI3*AH18:AI18)/AH32</f>
        <v>9.3814205555281457E-3</v>
      </c>
      <c r="AJ58" s="193">
        <f t="array" ref="AJ58">SUM(Model!tauY/(1+Model!tauY)*AJ3:AK3*AJ18:AK18)/AJ32</f>
        <v>9.2624627354057042E-3</v>
      </c>
      <c r="AL58" s="193">
        <f t="array" ref="AL58">SUM(Model!tauY/(1+Model!tauY)*AL3:AM3*AL18:AM18)/AL32</f>
        <v>9.1375012039399371E-3</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2.4850757632540969E-3</v>
      </c>
      <c r="F59" s="193">
        <f>(F2*G5*G20)/F32</f>
        <v>4.4562476456079907E-3</v>
      </c>
      <c r="H59" s="193">
        <f>(H2*I5*I20)/H32</f>
        <v>6.4685368575901955E-3</v>
      </c>
      <c r="J59" s="193">
        <f>(J2*K5*K20)/J32</f>
        <v>8.5257718484242663E-3</v>
      </c>
      <c r="L59" s="193">
        <f>(L2*M5*M20)/L32</f>
        <v>1.0632545906109894E-2</v>
      </c>
      <c r="N59" s="193">
        <f>(N2*O5*O20)/N32</f>
        <v>1.279441319533225E-2</v>
      </c>
      <c r="P59" s="193">
        <f>(P2*Q5*Q20)/P32</f>
        <v>1.5018225382393927E-2</v>
      </c>
      <c r="R59" s="193">
        <f>(R2*S5*S20)/R32</f>
        <v>1.7312635908654055E-2</v>
      </c>
      <c r="T59" s="193">
        <f>(T2*U5*U20)/T32</f>
        <v>1.9688825011284727E-2</v>
      </c>
      <c r="V59" s="193">
        <f>(V2*W5*W20)/V32</f>
        <v>2.2161686216938946E-2</v>
      </c>
      <c r="X59" s="193">
        <f>(X2*Y5*Y20)/X32</f>
        <v>2.4751710374152219E-2</v>
      </c>
      <c r="Z59" s="193">
        <f>(Z2*AA5*AA20)/Z32</f>
        <v>2.7488152942089557E-2</v>
      </c>
      <c r="AB59" s="193">
        <f>(AB2*AC5*AC20)/AB32</f>
        <v>3.0414473041283009E-2</v>
      </c>
      <c r="AD59" s="193">
        <f>(AD2*AE5*AE20)/AD32</f>
        <v>3.3598053346374841E-2</v>
      </c>
      <c r="AF59" s="193">
        <f>(AF2*AG5*AG20)/AF32</f>
        <v>3.7147801436421803E-2</v>
      </c>
      <c r="AH59" s="193">
        <f>(AH2*AI5*AI20)/AH32</f>
        <v>4.1245972213461581E-2</v>
      </c>
      <c r="AJ59" s="193">
        <f>(AJ2*AK5*AK20)/AJ32</f>
        <v>4.6201928531997546E-2</v>
      </c>
      <c r="AL59" s="193">
        <f>(AL2*AM5*AM20)/AL32</f>
        <v>5.2502782779126414E-2</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2.8636237538459113E-2</v>
      </c>
      <c r="F60" s="193">
        <f>Model!$C$52*F5*F20/F32</f>
        <v>2.8602083571604903E-2</v>
      </c>
      <c r="H60" s="193">
        <f>Model!$C$52*H5*H20/H32</f>
        <v>2.8566902849407952E-2</v>
      </c>
      <c r="J60" s="193">
        <f>Model!$C$52*J5*J20/J32</f>
        <v>2.8530576298085666E-2</v>
      </c>
      <c r="L60" s="193">
        <f>Model!$C$52*L5*L20/L32</f>
        <v>2.8492962940195276E-2</v>
      </c>
      <c r="N60" s="193">
        <f>Model!$C$52*N5*N20/N32</f>
        <v>2.8453892104319353E-2</v>
      </c>
      <c r="P60" s="193">
        <f>Model!$C$52*P5*P20/P32</f>
        <v>2.8413153821414423E-2</v>
      </c>
      <c r="R60" s="193">
        <f>Model!$C$52*R5*R20/R32</f>
        <v>2.837048675496948E-2</v>
      </c>
      <c r="T60" s="193">
        <f>Model!$C$52*T5*T20/T32</f>
        <v>2.8325557266907338E-2</v>
      </c>
      <c r="V60" s="193">
        <f>Model!$C$52*V5*V20/V32</f>
        <v>2.8277932329876715E-2</v>
      </c>
      <c r="X60" s="193">
        <f>Model!$C$52*X5*X20/X32</f>
        <v>2.8227036557145774E-2</v>
      </c>
      <c r="Z60" s="193">
        <f>Model!$C$52*Z5*Z20/Z32</f>
        <v>2.8172075967031109E-2</v>
      </c>
      <c r="AB60" s="193">
        <f>Model!$C$52*AB5*AB20/AB32</f>
        <v>2.8111923573828163E-2</v>
      </c>
      <c r="AD60" s="193">
        <f>Model!$C$52*AD5*AD20/AD32</f>
        <v>2.8044914962025734E-2</v>
      </c>
      <c r="AF60" s="193">
        <f>Model!$C$52*AF5*AF20/AF32</f>
        <v>2.7968482321013167E-2</v>
      </c>
      <c r="AH60" s="193">
        <f>Model!$C$52*AH5*AH20/AH32</f>
        <v>2.787848617376866E-2</v>
      </c>
      <c r="AJ60" s="193">
        <f>Model!$C$52*AJ5*AJ20/AJ32</f>
        <v>2.7767941575403965E-2</v>
      </c>
      <c r="AL60" s="193">
        <f>Model!$C$52*AL5*AL20/AL32</f>
        <v>2.7624547099146832E-2</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1.006272737688789</v>
      </c>
      <c r="F62">
        <f>F13/F15</f>
        <v>1.0135871427569361</v>
      </c>
      <c r="H62">
        <f>H13/H15</f>
        <v>1.0220853169176771</v>
      </c>
      <c r="J62">
        <f>J13/J15</f>
        <v>1.031941431464287</v>
      </c>
      <c r="L62">
        <f>L13/L15</f>
        <v>1.0433711898283409</v>
      </c>
      <c r="N62">
        <f>N13/N15</f>
        <v>1.0566460608844608</v>
      </c>
      <c r="P62">
        <f>P13/P15</f>
        <v>1.0721136066254289</v>
      </c>
      <c r="R62">
        <f>R13/R15</f>
        <v>1.0902276642724613</v>
      </c>
      <c r="T62">
        <f>T13/T15</f>
        <v>1.111595340046972</v>
      </c>
      <c r="V62">
        <f>V13/V15</f>
        <v>1.1370518521467547</v>
      </c>
      <c r="X62">
        <f>X13/X15</f>
        <v>1.1677863193802134</v>
      </c>
      <c r="Z62">
        <f>Z13/Z15</f>
        <v>1.2055644038414133</v>
      </c>
      <c r="AB62">
        <f>AB13/AB15</f>
        <v>1.2531465999956646</v>
      </c>
      <c r="AD62">
        <f>AD13/AD15</f>
        <v>1.3151373922780794</v>
      </c>
      <c r="AF62">
        <f>AF13/AF15</f>
        <v>1.3998755438158004</v>
      </c>
      <c r="AH62">
        <f>AH13/AH15</f>
        <v>1.5241722923116161</v>
      </c>
      <c r="AJ62">
        <f>AJ13/AJ15</f>
        <v>1.72728935949901</v>
      </c>
      <c r="AL62">
        <f>AL13/AL15</f>
        <v>2.1234193995530077</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0.99925834422627158</v>
      </c>
      <c r="E65" s="191"/>
      <c r="F65" s="191">
        <f t="array" ref="F65">SQRT((F9:G9*$B$22:$C$22+F10:G10*$B$23:$C$23+F11:G11*$B$24:$C$24+F4:G4*($B$25:$C$25-$B$19:$C$19))/($B$9:$C$9*$B$22:$C$22+$B$10:$C$10*$B$23:$C$23+$B$11:$C$11*$B$24:$C$24+$B$4:$C$4*($B$25:$C$25-$B$19:$C$19))*(F9:G9*F22:G22+F10:G10*F23:G23+F11:G11*F24:G24+F4:G4*(F25:G25-F19:G19))/($B$9:$C$9*F22:G22+$B$10:$C$10*F23:G23+$B$11:$C$11*F24:G24+$B$4:$C$4*(F25:G25-F19:G19)))</f>
        <v>0.99850818947277709</v>
      </c>
      <c r="G65" s="191"/>
      <c r="H65" s="191">
        <f t="array" ref="H65">SQRT((H9:I9*$B$22:$C$22+H10:I10*$B$23:$C$23+H11:I11*$B$24:$C$24+H4:I4*($B$25:$C$25-$B$19:$C$19))/($B$9:$C$9*$B$22:$C$22+$B$10:$C$10*$B$23:$C$23+$B$11:$C$11*$B$24:$C$24+$B$4:$C$4*($B$25:$C$25-$B$19:$C$19))*(H9:I9*H22:I22+H10:I10*H23:I23+H11:I11*H24:I24+H4:I4*(H25:I25-H19:I19))/($B$9:$C$9*H22:I22+$B$10:$C$10*H23:I23+$B$11:$C$11*H24:I24+$B$4:$C$4*(H25:I25-H19:I19)))</f>
        <v>0.9977476806428528</v>
      </c>
      <c r="I65" s="191"/>
      <c r="J65" s="191">
        <f t="array" ref="J65">SQRT((J9:K9*$B$22:$C$22+J10:K10*$B$23:$C$23+J11:K11*$B$24:$C$24+J4:K4*($B$25:$C$25-$B$19:$C$19))/($B$9:$C$9*$B$22:$C$22+$B$10:$C$10*$B$23:$C$23+$B$11:$C$11*$B$24:$C$24+$B$4:$C$4*($B$25:$C$25-$B$19:$C$19))*(J9:K9*J22:K22+J10:K10*J23:K23+J11:K11*J24:K24+J4:K4*(J25:K25-J19:K19))/($B$9:$C$9*J22:K22+$B$10:$C$10*J23:K23+$B$11:$C$11*J24:K24+$B$4:$C$4*(J25:K25-J19:K19)))</f>
        <v>0.99697483045528834</v>
      </c>
      <c r="K65" s="191"/>
      <c r="L65" s="191">
        <f t="array" ref="L65">SQRT((L9:M9*$B$22:$C$22+L10:M10*$B$23:$C$23+L11:M11*$B$24:$C$24+L4:M4*($B$25:$C$25-$B$19:$C$19))/($B$9:$C$9*$B$22:$C$22+$B$10:$C$10*$B$23:$C$23+$B$11:$C$11*$B$24:$C$24+$B$4:$C$4*($B$25:$C$25-$B$19:$C$19))*(L9:M9*L22:M22+L10:M10*L23:M23+L11:M11*L24:M24+L4:M4*(L25:M25-L19:M19))/($B$9:$C$9*L22:M22+$B$10:$C$10*L23:M23+$B$11:$C$11*L24:M24+$B$4:$C$4*(L25:M25-L19:M19)))</f>
        <v>0.99618750890860142</v>
      </c>
      <c r="M65" s="191"/>
      <c r="N65" s="191">
        <f t="array" ref="N65">SQRT((N9:O9*$B$22:$C$22+N10:O10*$B$23:$C$23+N11:O11*$B$24:$C$24+N4:O4*($B$25:$C$25-$B$19:$C$19))/($B$9:$C$9*$B$22:$C$22+$B$10:$C$10*$B$23:$C$23+$B$11:$C$11*$B$24:$C$24+$B$4:$C$4*($B$25:$C$25-$B$19:$C$19))*(N9:O9*N22:O22+N10:O10*N23:O23+N11:O11*N24:O24+N4:O4*(N25:O25-N19:O19))/($B$9:$C$9*N22:O22+$B$10:$C$10*N23:O23+$B$11:$C$11*N24:O24+$B$4:$C$4*(N25:O25-N19:O19)))</f>
        <v>0.99538351240474776</v>
      </c>
      <c r="O65" s="191"/>
      <c r="P65" s="191">
        <f t="array" ref="P65">SQRT((P9:Q9*$B$22:$C$22+P10:Q10*$B$23:$C$23+P11:Q11*$B$24:$C$24+P4:Q4*($B$25:$C$25-$B$19:$C$19))/($B$9:$C$9*$B$22:$C$22+$B$10:$C$10*$B$23:$C$23+$B$11:$C$11*$B$24:$C$24+$B$4:$C$4*($B$25:$C$25-$B$19:$C$19))*(P9:Q9*P22:Q22+P10:Q10*P23:Q23+P11:Q11*P24:Q24+P4:Q4*(P25:Q25-P19:Q19))/($B$9:$C$9*P22:Q22+$B$10:$C$10*P23:Q23+$B$11:$C$11*P24:Q24+$B$4:$C$4*(P25:Q25-P19:Q19)))</f>
        <v>0.99456067887409061</v>
      </c>
      <c r="Q65" s="191"/>
      <c r="R65" s="191">
        <f t="array" ref="R65">SQRT((R9:S9*$B$22:$C$22+R10:S10*$B$23:$C$23+R11:S11*$B$24:$C$24+R4:S4*($B$25:$C$25-$B$19:$C$19))/($B$9:$C$9*$B$22:$C$22+$B$10:$C$10*$B$23:$C$23+$B$11:$C$11*$B$24:$C$24+$B$4:$C$4*($B$25:$C$25-$B$19:$C$19))*(R9:S9*R22:S22+R10:S10*R23:S23+R11:S11*R24:S24+R4:S4*(R25:S25-R19:S19))/($B$9:$C$9*R22:S22+$B$10:$C$10*R23:S23+$B$11:$C$11*R24:S24+$B$4:$C$4*(R25:S25-R19:S19)))</f>
        <v>0.99371708390185476</v>
      </c>
      <c r="S65" s="191"/>
      <c r="T65" s="191">
        <f t="array" ref="T65">SQRT((T9:U9*$B$22:$C$22+T10:U10*$B$23:$C$23+T11:U11*$B$24:$C$24+T4:U4*($B$25:$C$25-$B$19:$C$19))/($B$9:$C$9*$B$22:$C$22+$B$10:$C$10*$B$23:$C$23+$B$11:$C$11*$B$24:$C$24+$B$4:$C$4*($B$25:$C$25-$B$19:$C$19))*(T9:U9*T22:U22+T10:U10*T23:U23+T11:U11*T24:U24+T4:U4*(T25:U25-T19:U19))/($B$9:$C$9*T22:U22+$B$10:$C$10*T23:U23+$B$11:$C$11*T24:U24+$B$4:$C$4*(T25:U25-T19:U19)))</f>
        <v>0.9928514544546293</v>
      </c>
      <c r="U65" s="191"/>
      <c r="V65" s="191">
        <f t="array" ref="V65">SQRT((V9:W9*$B$22:$C$22+V10:W10*$B$23:$C$23+V11:W11*$B$24:$C$24+V4:W4*($B$25:$C$25-$B$19:$C$19))/($B$9:$C$9*$B$22:$C$22+$B$10:$C$10*$B$23:$C$23+$B$11:$C$11*$B$24:$C$24+$B$4:$C$4*($B$25:$C$25-$B$19:$C$19))*(V9:W9*V22:W22+V10:W10*V23:W23+V11:W11*V24:W24+V4:W4*(V25:W25-V19:W19))/($B$9:$C$9*V22:W22+$B$10:$C$10*V23:W23+$B$11:$C$11*V24:W24+$B$4:$C$4*(V25:W25-V19:W19)))</f>
        <v>0.99196385986419344</v>
      </c>
      <c r="W65" s="191"/>
      <c r="X65" s="191">
        <f t="array" ref="X65">SQRT((X9:Y9*$B$22:$C$22+X10:Y10*$B$23:$C$23+X11:Y11*$B$24:$C$24+X4:Y4*($B$25:$C$25-$B$19:$C$19))/($B$9:$C$9*$B$22:$C$22+$B$10:$C$10*$B$23:$C$23+$B$11:$C$11*$B$24:$C$24+$B$4:$C$4*($B$25:$C$25-$B$19:$C$19))*(X9:Y9*X22:Y22+X10:Y10*X23:Y23+X11:Y11*X24:Y24+X4:Y4*(X25:Y25-X19:Y19))/($B$9:$C$9*X22:Y22+$B$10:$C$10*X23:Y23+$B$11:$C$11*X24:Y24+$B$4:$C$4*(X25:Y25-X19:Y19)))</f>
        <v>0.99105697571975082</v>
      </c>
      <c r="Y65" s="191"/>
      <c r="Z65" s="191">
        <f t="array" ref="Z65">SQRT((Z9:AA9*$B$22:$C$22+Z10:AA10*$B$23:$C$23+Z11:AA11*$B$24:$C$24+Z4:AA4*($B$25:$C$25-$B$19:$C$19))/($B$9:$C$9*$B$22:$C$22+$B$10:$C$10*$B$23:$C$23+$B$11:$C$11*$B$24:$C$24+$B$4:$C$4*($B$25:$C$25-$B$19:$C$19))*(Z9:AA9*Z22:AA22+Z10:AA10*Z23:AA23+Z11:AA11*Z24:AA24+Z4:AA4*(Z25:AA25-Z19:AA19))/($B$9:$C$9*Z22:AA22+$B$10:$C$10*Z23:AA23+$B$11:$C$11*Z24:AA24+$B$4:$C$4*(Z25:AA25-Z19:AA19)))</f>
        <v>0.99013850006329129</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0.98922537346990524</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0.98835152308716656</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0.98758152286743894</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0.98703221135992392</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0.9868947558068687</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0.98735009248545069</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0.99918452059862173</v>
      </c>
      <c r="E66" s="191"/>
      <c r="F66" s="191">
        <f t="array" ref="F66">SQRT((F9:G9*$B$22:$C$22)/($B$9:$C$9*$B$22:$C$22)*(F9:G9*F22:G22)/($B$9:$C$9*F22:G22))</f>
        <v>0.99835891851108971</v>
      </c>
      <c r="G66" s="191"/>
      <c r="H66" s="191">
        <f t="array" ref="H66">SQRT((H9:I9*$B$22:$C$22)/($B$9:$C$9*$B$22:$C$22)*(H9:I9*H22:I22)/($B$9:$C$9*H22:I22))</f>
        <v>0.99752112048560204</v>
      </c>
      <c r="I66" s="191"/>
      <c r="J66" s="191">
        <f t="array" ref="J66">SQRT((J9:K9*$B$22:$C$22)/($B$9:$C$9*$B$22:$C$22)*(J9:K9*J22:K22)/($B$9:$C$9*J22:K22))</f>
        <v>0.99666889880156873</v>
      </c>
      <c r="K66" s="191"/>
      <c r="L66" s="191">
        <f t="array" ref="L66">SQRT((L9:M9*$B$22:$C$22)/($B$9:$C$9*$B$22:$C$22)*(L9:M9*L22:M22)/($B$9:$C$9*L22:M22))</f>
        <v>0.99579985852415742</v>
      </c>
      <c r="M66" s="191"/>
      <c r="N66" s="191">
        <f t="array" ref="N66">SQRT((N9:O9*$B$22:$C$22)/($B$9:$C$9*$B$22:$C$22)*(N9:O9*N22:O22)/($B$9:$C$9*N22:O22))</f>
        <v>0.99491151267801836</v>
      </c>
      <c r="O66" s="191"/>
      <c r="P66" s="191">
        <f t="array" ref="P66">SQRT((P9:Q9*$B$22:$C$22)/($B$9:$C$9*$B$22:$C$22)*(P9:Q9*P22:Q22)/($B$9:$C$9*P22:Q22))</f>
        <v>0.99400140873813425</v>
      </c>
      <c r="Q66" s="191"/>
      <c r="R66" s="191">
        <f t="array" ref="R66">SQRT((R9:S9*$B$22:$C$22)/($B$9:$C$9*$B$22:$C$22)*(R9:S9*R22:S22)/($B$9:$C$9*R22:S22))</f>
        <v>0.99306734565440447</v>
      </c>
      <c r="S66" s="191"/>
      <c r="T66" s="191">
        <f t="array" ref="T66">SQRT((T9:U9*$B$22:$C$22)/($B$9:$C$9*$B$22:$C$22)*(T9:U9*T22:U22)/($B$9:$C$9*T22:U22))</f>
        <v>0.99210783385734436</v>
      </c>
      <c r="U66" s="191"/>
      <c r="V66" s="191">
        <f t="array" ref="V66">SQRT((V9:W9*$B$22:$C$22)/($B$9:$C$9*$B$22:$C$22)*(V9:W9*V22:W22)/($B$9:$C$9*V22:W22))</f>
        <v>0.99112286667625193</v>
      </c>
      <c r="W66" s="191"/>
      <c r="X66" s="191">
        <f t="array" ref="X66">SQRT((X9:Y9*$B$22:$C$22)/($B$9:$C$9*$B$22:$C$22)*(X9:Y9*X22:Y22)/($B$9:$C$9*X22:Y22))</f>
        <v>0.99011533509429206</v>
      </c>
      <c r="Y66" s="191"/>
      <c r="Z66" s="191">
        <f t="array" ref="Z66">SQRT((Z9:AA9*$B$22:$C$22)/($B$9:$C$9*$B$22:$C$22)*(Z9:AA9*Z22:AA22)/($B$9:$C$9*Z22:AA22))</f>
        <v>0.98909373743715889</v>
      </c>
      <c r="AA66" s="191"/>
      <c r="AB66" s="191">
        <f t="array" ref="AB66">SQRT((AB9:AC9*$B$22:$C$22)/($B$9:$C$9*$B$22:$C$22)*(AB9:AC9*AB22:AC22)/($B$9:$C$9*AB22:AC22))</f>
        <v>0.98807692185120011</v>
      </c>
      <c r="AC66" s="191"/>
      <c r="AD66" s="191">
        <f t="array" ref="AD66">SQRT((AD9:AE9*$B$22:$C$22)/($B$9:$C$9*$B$22:$C$22)*(AD9:AE9*AD22:AE22)/($B$9:$C$9*AD22:AE22))</f>
        <v>0.98710279713176674</v>
      </c>
      <c r="AE66" s="191"/>
      <c r="AF66" s="191">
        <f t="array" ref="AF66">SQRT((AF9:AG9*$B$22:$C$22)/($B$9:$C$9*$B$22:$C$22)*(AF9:AG9*AF22:AG22)/($B$9:$C$9*AF22:AG22))</f>
        <v>0.986243701949159</v>
      </c>
      <c r="AG66" s="191"/>
      <c r="AH66" s="191">
        <f t="array" ref="AH66">SQRT((AH9:AI9*$B$22:$C$22)/($B$9:$C$9*$B$22:$C$22)*(AH9:AI9*AH22:AI22)/($B$9:$C$9*AH22:AI22))</f>
        <v>0.98563069511878676</v>
      </c>
      <c r="AI66" s="191"/>
      <c r="AJ66" s="191">
        <f t="array" ref="AJ66">SQRT((AJ9:AK9*$B$22:$C$22)/($B$9:$C$9*$B$22:$C$22)*(AJ9:AK9*AJ22:AK22)/($B$9:$C$9*AJ22:AK22))</f>
        <v>0.98547817454147213</v>
      </c>
      <c r="AK66" s="191"/>
      <c r="AL66" s="191">
        <f t="array" ref="AL66">SQRT((AL9:AM9*$B$22:$C$22)/($B$9:$C$9*$B$22:$C$22)*(AL9:AM9*AL22:AM22)/($B$9:$C$9*AL22:AM22))</f>
        <v>0.98598855130401675</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0.99918452059862173</v>
      </c>
      <c r="E68" s="191"/>
      <c r="F68" s="191">
        <f>F66/F67</f>
        <v>0.99835891851108971</v>
      </c>
      <c r="G68" s="191"/>
      <c r="H68" s="191">
        <f>H66/H67</f>
        <v>0.99752112048560204</v>
      </c>
      <c r="I68" s="191"/>
      <c r="J68" s="191">
        <f>J66/J67</f>
        <v>0.99666889880156873</v>
      </c>
      <c r="K68" s="191"/>
      <c r="L68" s="191">
        <f>L66/L67</f>
        <v>0.99579985852415742</v>
      </c>
      <c r="M68" s="191"/>
      <c r="N68" s="191">
        <f>N66/N67</f>
        <v>0.99491151267801836</v>
      </c>
      <c r="O68" s="191"/>
      <c r="P68" s="191">
        <f>P66/P67</f>
        <v>0.99400140873813425</v>
      </c>
      <c r="Q68" s="191"/>
      <c r="R68" s="191">
        <f>R66/R67</f>
        <v>0.99306734565440447</v>
      </c>
      <c r="S68" s="191"/>
      <c r="T68" s="191">
        <f>T66/T67</f>
        <v>0.99210783385734436</v>
      </c>
      <c r="U68" s="191"/>
      <c r="V68" s="191">
        <f>V66/V67</f>
        <v>0.99112286667625193</v>
      </c>
      <c r="W68" s="191"/>
      <c r="X68" s="191">
        <f>X66/X67</f>
        <v>0.99011533509429206</v>
      </c>
      <c r="Y68" s="191"/>
      <c r="Z68" s="191">
        <f>Z66/Z67</f>
        <v>0.98909373743715889</v>
      </c>
      <c r="AA68" s="191"/>
      <c r="AB68" s="191">
        <f>AB66/AB67</f>
        <v>0.98807692185120011</v>
      </c>
      <c r="AC68" s="191"/>
      <c r="AD68" s="191">
        <f>AD66/AD67</f>
        <v>0.98710279713176674</v>
      </c>
      <c r="AE68" s="191"/>
      <c r="AF68" s="191">
        <f>AF66/AF67</f>
        <v>0.986243701949159</v>
      </c>
      <c r="AG68" s="191"/>
      <c r="AH68" s="191">
        <f>AH66/AH67</f>
        <v>0.98563069511878676</v>
      </c>
      <c r="AI68" s="191"/>
      <c r="AJ68" s="191">
        <f>AJ66/AJ67</f>
        <v>0.98547817454147213</v>
      </c>
      <c r="AK68" s="191"/>
      <c r="AL68" s="191">
        <f>AL66/AL67</f>
        <v>0.98598855130401675</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0.98618056146451649</v>
      </c>
      <c r="E69" s="191"/>
      <c r="F69" s="191">
        <f>F32/F65/($B$32)</f>
        <v>0.97160172880773843</v>
      </c>
      <c r="G69" s="191"/>
      <c r="H69" s="191">
        <f>H32/H65/($B$32)</f>
        <v>0.95619299546708558</v>
      </c>
      <c r="I69" s="191"/>
      <c r="J69" s="191">
        <f>J32/J65/($B$32)</f>
        <v>0.9398715380270839</v>
      </c>
      <c r="K69" s="191"/>
      <c r="L69" s="191">
        <f>L32/L65/($B$32)</f>
        <v>0.92253925988429708</v>
      </c>
      <c r="M69" s="191"/>
      <c r="N69" s="191">
        <f>N32/N65/($B$32)</f>
        <v>0.9040781491953801</v>
      </c>
      <c r="O69" s="191"/>
      <c r="P69" s="191">
        <f>P32/P65/($B$32)</f>
        <v>0.88434400070059715</v>
      </c>
      <c r="Q69" s="191"/>
      <c r="R69" s="191">
        <f>R32/R65/($B$32)</f>
        <v>0.86315744566423325</v>
      </c>
      <c r="S69" s="191"/>
      <c r="T69" s="191">
        <f>T32/T65/($B$32)</f>
        <v>0.8402903370347341</v>
      </c>
      <c r="U69" s="191"/>
      <c r="V69" s="191">
        <f>V32/V65/($B$32)</f>
        <v>0.81544521252725166</v>
      </c>
      <c r="W69" s="191"/>
      <c r="X69" s="191">
        <f>X32/X65/($B$32)</f>
        <v>0.788222700709444</v>
      </c>
      <c r="Y69" s="191"/>
      <c r="Z69" s="191">
        <f>Z32/Z65/($B$32)</f>
        <v>0.75806736426016097</v>
      </c>
      <c r="AA69" s="191"/>
      <c r="AB69" s="191">
        <f>AB32/AB65/($B$32)</f>
        <v>0.7241756596957345</v>
      </c>
      <c r="AC69" s="191"/>
      <c r="AD69" s="191">
        <f>AD32/AD65/($B$32)</f>
        <v>0.6853319448258065</v>
      </c>
      <c r="AE69" s="191"/>
      <c r="AF69" s="191">
        <f>AF32/AF65/($B$32)</f>
        <v>0.63960536565128268</v>
      </c>
      <c r="AG69" s="191"/>
      <c r="AH69" s="191">
        <f>AH32/AH65/($B$32)</f>
        <v>0.58377613417605667</v>
      </c>
      <c r="AI69" s="191"/>
      <c r="AJ69" s="191">
        <f>AJ32/AJ65/($B$32)</f>
        <v>0.5122412611044963</v>
      </c>
      <c r="AK69" s="191"/>
      <c r="AL69" s="191">
        <f>AL32/AL65/($B$32)</f>
        <v>0.41514526174922034</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0.98563108713436198</v>
      </c>
      <c r="E70" s="138"/>
      <c r="F70" s="138">
        <f>F18/$B$18</f>
        <v>0.97049646931023992</v>
      </c>
      <c r="G70" s="138"/>
      <c r="H70" s="138">
        <f>H18/$B$18</f>
        <v>0.95452628346757351</v>
      </c>
      <c r="I70" s="138"/>
      <c r="J70" s="138">
        <f>J18/$B$18</f>
        <v>0.93763826552911334</v>
      </c>
      <c r="K70" s="138"/>
      <c r="L70" s="138">
        <f>L18/$B$18</f>
        <v>0.91973486668036031</v>
      </c>
      <c r="M70" s="138"/>
      <c r="N70" s="138">
        <f>N18/$B$18</f>
        <v>0.90069848221555604</v>
      </c>
      <c r="O70" s="138"/>
      <c r="P70" s="138">
        <f>P18/$B$18</f>
        <v>0.88038504846445331</v>
      </c>
      <c r="Q70" s="138"/>
      <c r="R70" s="138">
        <f>R18/$B$18</f>
        <v>0.85861495167684332</v>
      </c>
      <c r="S70" s="138"/>
      <c r="T70" s="138">
        <f>T18/$B$18</f>
        <v>0.83515907589364202</v>
      </c>
      <c r="U70" s="138"/>
      <c r="V70" s="138">
        <f>V18/$B$18</f>
        <v>0.80971794633870264</v>
      </c>
      <c r="W70" s="138"/>
      <c r="X70" s="138">
        <f>X18/$B$18</f>
        <v>0.78188862395516467</v>
      </c>
      <c r="Y70" s="138"/>
      <c r="Z70" s="138">
        <f>Z18/$B$18</f>
        <v>0.75110957381520027</v>
      </c>
      <c r="AA70" s="138"/>
      <c r="AB70" s="138">
        <f>AB18/$B$18</f>
        <v>0.71656796165472536</v>
      </c>
      <c r="AC70" s="138"/>
      <c r="AD70" s="138">
        <f>AD18/$B$18</f>
        <v>0.67703556536016773</v>
      </c>
      <c r="AE70" s="138"/>
      <c r="AF70" s="138">
        <f>AF18/$B$18</f>
        <v>0.63056937664581225</v>
      </c>
      <c r="AG70" s="138"/>
      <c r="AH70" s="138">
        <f>AH18/$B$18</f>
        <v>0.57395645153660224</v>
      </c>
      <c r="AI70" s="138"/>
      <c r="AJ70" s="138">
        <f>AJ18/$B$18</f>
        <v>0.50168837088478224</v>
      </c>
      <c r="AK70" s="138"/>
      <c r="AL70" s="138">
        <f>AL18/$B$18</f>
        <v>0.40432806339699956</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0.93378308392931442</v>
      </c>
      <c r="E71" s="138"/>
      <c r="F71" s="138">
        <f>G18/$C$18</f>
        <v>0.86802204171567487</v>
      </c>
      <c r="G71" s="138"/>
      <c r="H71" s="138">
        <f>I18/$C$18</f>
        <v>0.80274571056970367</v>
      </c>
      <c r="I71" s="138"/>
      <c r="J71" s="138">
        <f>K18/$C$18</f>
        <v>0.73798978548923977</v>
      </c>
      <c r="K71" s="138"/>
      <c r="L71" s="138">
        <f>M18/$C$18</f>
        <v>0.67380134680667281</v>
      </c>
      <c r="M71" s="138"/>
      <c r="N71" s="138">
        <f>O18/$C$18</f>
        <v>0.6102416457841966</v>
      </c>
      <c r="O71" s="138"/>
      <c r="P71" s="138">
        <f>Q18/$C$18</f>
        <v>0.5473912850059055</v>
      </c>
      <c r="Q71" s="138"/>
      <c r="R71" s="138">
        <f>S18/$C$18</f>
        <v>0.48535883765270915</v>
      </c>
      <c r="S71" s="138"/>
      <c r="T71" s="138">
        <f>U18/$C$18</f>
        <v>0.42429124748285374</v>
      </c>
      <c r="U71" s="138"/>
      <c r="V71" s="138">
        <f>W18/$C$18</f>
        <v>0.36439259601846036</v>
      </c>
      <c r="W71" s="138"/>
      <c r="X71" s="138">
        <f>Y18/$C$18</f>
        <v>0.30595147620490831</v>
      </c>
      <c r="Y71" s="138"/>
      <c r="Z71" s="138">
        <f>AA18/$C$18</f>
        <v>0.24937907870551312</v>
      </c>
      <c r="AA71" s="138"/>
      <c r="AB71" s="138">
        <f>AC18/$C$18</f>
        <v>0.1952740849903718</v>
      </c>
      <c r="AC71" s="138"/>
      <c r="AD71" s="138">
        <f>AE18/$C$18</f>
        <v>0.14451482252622633</v>
      </c>
      <c r="AE71" s="138"/>
      <c r="AF71" s="138">
        <f>AG18/$C$18</f>
        <v>9.8382400420429103E-2</v>
      </c>
      <c r="AG71" s="138"/>
      <c r="AH71" s="138">
        <f>AI18/$C$18</f>
        <v>5.8676284190022264E-2</v>
      </c>
      <c r="AI71" s="138"/>
      <c r="AJ71" s="138">
        <f>AK18/$C$18</f>
        <v>2.7625922927689742E-2</v>
      </c>
      <c r="AK71" s="138"/>
      <c r="AL71" s="138">
        <f>AM18/$C$18</f>
        <v>6.8642715289731621E-3</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1.0098913959905027</v>
      </c>
      <c r="E72" s="138"/>
      <c r="F72" s="138">
        <f>G19/$C$19</f>
        <v>1.0198165048570325</v>
      </c>
      <c r="G72" s="138"/>
      <c r="H72" s="138">
        <f>I19/$C$19</f>
        <v>1.0297227835047884</v>
      </c>
      <c r="I72" s="138"/>
      <c r="J72" s="138">
        <f>K19/$C$19</f>
        <v>1.0395306512662084</v>
      </c>
      <c r="K72" s="138"/>
      <c r="L72" s="138">
        <f>M19/$C$19</f>
        <v>1.049127808061822</v>
      </c>
      <c r="M72" s="138"/>
      <c r="N72" s="138">
        <f>O19/$C$19</f>
        <v>1.0583503480776433</v>
      </c>
      <c r="O72" s="138"/>
      <c r="P72" s="138">
        <f>Q19/$C$19</f>
        <v>1.0669583606963442</v>
      </c>
      <c r="Q72" s="138"/>
      <c r="R72" s="138">
        <f>S19/$C$19</f>
        <v>1.0746009955640019</v>
      </c>
      <c r="S72" s="138"/>
      <c r="T72" s="138">
        <f>U19/$C$19</f>
        <v>1.0807564672927268</v>
      </c>
      <c r="U72" s="138"/>
      <c r="V72" s="138">
        <f>W19/$C$19</f>
        <v>1.0846444753915006</v>
      </c>
      <c r="W72" s="138"/>
      <c r="X72" s="138">
        <f>Y19/$C$19</f>
        <v>1.085083195132394</v>
      </c>
      <c r="Y72" s="138"/>
      <c r="Z72" s="138">
        <f>AA19/$C$19</f>
        <v>1.0802480515406769</v>
      </c>
      <c r="AA72" s="138"/>
      <c r="AB72" s="138">
        <f>AC19/$C$19</f>
        <v>1.067290530849492</v>
      </c>
      <c r="AC72" s="138"/>
      <c r="AD72" s="138">
        <f>AE19/$C$19</f>
        <v>1.0417145616930301</v>
      </c>
      <c r="AE72" s="138"/>
      <c r="AF72" s="138">
        <f>AG19/$C$19</f>
        <v>0.99642080659028853</v>
      </c>
      <c r="AG72" s="138"/>
      <c r="AH72" s="138">
        <f>AI19/$C$19</f>
        <v>0.92050461600198241</v>
      </c>
      <c r="AI72" s="138"/>
      <c r="AJ72" s="138">
        <f>AK19/$C$19</f>
        <v>0.79879220534146034</v>
      </c>
      <c r="AK72" s="138"/>
      <c r="AL72" s="138">
        <f>AM19/$C$19</f>
        <v>0.61778809981753857</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0.47641153352875115</v>
      </c>
      <c r="D73" s="193">
        <f t="array" ref="D73">SUM(D9:E9*D22:E22)/D32</f>
        <v>0.47641153599623437</v>
      </c>
      <c r="E73" s="138"/>
      <c r="F73" s="193">
        <f t="array" ref="F73">SUM(F9:G9*F22:G22)/F32</f>
        <v>0.4764115351876787</v>
      </c>
      <c r="G73" s="138"/>
      <c r="H73" s="193">
        <f t="array" ref="H73">SUM(H9:I9*H22:I22)/H32</f>
        <v>0.47641153828349397</v>
      </c>
      <c r="I73" s="138"/>
      <c r="J73" s="193">
        <f t="array" ref="J73">SUM(J9:K9*J22:K22)/J32</f>
        <v>0.47641153571993528</v>
      </c>
      <c r="K73" s="138"/>
      <c r="L73" s="193">
        <f t="array" ref="L73">SUM(L9:M9*L22:M22)/L32</f>
        <v>0.47641153434847122</v>
      </c>
      <c r="M73" s="138"/>
      <c r="N73" s="193">
        <f t="array" ref="N73">SUM(N9:O9*N22:O22)/N32</f>
        <v>0.4764115348011827</v>
      </c>
      <c r="O73" s="138"/>
      <c r="P73" s="193">
        <f t="array" ref="P73">SUM(P9:Q9*P22:Q22)/P32</f>
        <v>0.47641153488210597</v>
      </c>
      <c r="Q73" s="138"/>
      <c r="R73" s="193">
        <f t="array" ref="R73">SUM(R9:S9*R22:S22)/R32</f>
        <v>0.47641153644614043</v>
      </c>
      <c r="S73" s="138"/>
      <c r="T73" s="193">
        <f t="array" ref="T73">SUM(T9:U9*T22:U22)/T32</f>
        <v>0.4764115363980323</v>
      </c>
      <c r="U73" s="138"/>
      <c r="V73" s="193">
        <f t="array" ref="V73">SUM(V9:W9*V22:W22)/V32</f>
        <v>0.4764115368898249</v>
      </c>
      <c r="W73" s="138"/>
      <c r="X73" s="193">
        <f t="array" ref="X73">SUM(X9:Y9*X22:Y22)/X32</f>
        <v>0.47641153274676018</v>
      </c>
      <c r="Y73" s="138"/>
      <c r="Z73" s="193">
        <f t="array" ref="Z73">SUM(Z9:AA9*Z22:AA22)/Z32</f>
        <v>0.47641153129899227</v>
      </c>
      <c r="AA73" s="138"/>
      <c r="AB73" s="193">
        <f t="array" ref="AB73">SUM(AB9:AC9*AB22:AC22)/AB32</f>
        <v>0.47641153354766108</v>
      </c>
      <c r="AC73" s="138"/>
      <c r="AD73" s="193">
        <f t="array" ref="AD73">SUM(AD9:AE9*AD22:AE22)/AD32</f>
        <v>0.47641153280878606</v>
      </c>
      <c r="AE73" s="138"/>
      <c r="AF73" s="193">
        <f t="array" ref="AF73">SUM(AF9:AG9*AF22:AG22)/AF32</f>
        <v>0.47641153158589633</v>
      </c>
      <c r="AG73" s="138"/>
      <c r="AH73" s="193">
        <f t="array" ref="AH73">SUM(AH9:AI9*AH22:AI22)/AH32</f>
        <v>0.47641153685559789</v>
      </c>
      <c r="AI73" s="138"/>
      <c r="AJ73" s="193">
        <f t="array" ref="AJ73">SUM(AJ9:AK9*AJ22:AK22)/AJ32</f>
        <v>0.47641153297185429</v>
      </c>
      <c r="AK73" s="138"/>
      <c r="AL73" s="193">
        <f t="array" ref="AL73">SUM(AL9:AM9*AL22:AM22)/AL32</f>
        <v>0.47641153388908147</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0.22604620456442481</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0.22604620456442481</v>
      </c>
      <c r="AG74" s="138"/>
      <c r="AH74" s="193">
        <f t="array" ref="AH74">SUM(AH10:AI10*AH23:AI23)/AH32</f>
        <v>0.22604620456442484</v>
      </c>
      <c r="AI74" s="138"/>
      <c r="AJ74" s="193">
        <f t="array" ref="AJ74">SUM(AJ10:AK10*AJ23:AK23)/AJ32</f>
        <v>0.22604620456442484</v>
      </c>
      <c r="AK74" s="138"/>
      <c r="AL74" s="193">
        <f t="array" ref="AL74">SUM(AL10:AM10*AL23:AM23)/AL32</f>
        <v>0.22604620456442484</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0.22038438867769036</v>
      </c>
      <c r="E75" s="138"/>
      <c r="F75" s="193">
        <f t="array" ref="F75">SUM(F11:G11*F24:G24)/F32</f>
        <v>0.22038438856729931</v>
      </c>
      <c r="G75" s="138"/>
      <c r="H75" s="193">
        <f t="array" ref="H75">SUM(H11:I11*H24:I24)/H32</f>
        <v>0.22038438901020677</v>
      </c>
      <c r="I75" s="138"/>
      <c r="J75" s="193">
        <f t="array" ref="J75">SUM(J11:K11*J24:K24)/J32</f>
        <v>0.22038438865813592</v>
      </c>
      <c r="K75" s="138"/>
      <c r="L75" s="193">
        <f t="array" ref="L75">SUM(L11:M11*L24:M24)/L32</f>
        <v>0.22038438828292259</v>
      </c>
      <c r="M75" s="138"/>
      <c r="N75" s="193">
        <f t="array" ref="N75">SUM(N11:O11*N24:O24)/N32</f>
        <v>0.22038438825562251</v>
      </c>
      <c r="O75" s="138"/>
      <c r="P75" s="193">
        <f t="array" ref="P75">SUM(P11:Q11*P24:Q24)/P32</f>
        <v>0.22038438825225934</v>
      </c>
      <c r="Q75" s="138"/>
      <c r="R75" s="193">
        <f t="array" ref="R75">SUM(R11:S11*R24:S24)/R32</f>
        <v>0.22038438884613062</v>
      </c>
      <c r="S75" s="138"/>
      <c r="T75" s="193">
        <f t="array" ref="T75">SUM(T11:U11*T24:U24)/T32</f>
        <v>0.22038438896246523</v>
      </c>
      <c r="U75" s="138"/>
      <c r="V75" s="193">
        <f t="array" ref="V75">SUM(V11:W11*V24:W24)/V32</f>
        <v>0.22038438814870931</v>
      </c>
      <c r="W75" s="138"/>
      <c r="X75" s="193">
        <f t="array" ref="X75">SUM(X11:Y11*X24:Y24)/X32</f>
        <v>0.22038438842388997</v>
      </c>
      <c r="Y75" s="138"/>
      <c r="Z75" s="193">
        <f t="array" ref="Z75">SUM(Z11:AA11*Z24:AA24)/Z32</f>
        <v>0.22038438855389969</v>
      </c>
      <c r="AA75" s="138"/>
      <c r="AB75" s="193">
        <f t="array" ref="AB75">SUM(AB11:AC11*AB24:AC24)/AB32</f>
        <v>0.2203843883613377</v>
      </c>
      <c r="AC75" s="138"/>
      <c r="AD75" s="193">
        <f t="array" ref="AD75">SUM(AD11:AE11*AD24:AE24)/AD32</f>
        <v>0.22038438861961676</v>
      </c>
      <c r="AE75" s="138"/>
      <c r="AF75" s="193">
        <f t="array" ref="AF75">SUM(AF11:AG11*AF24:AG24)/AF32</f>
        <v>0.22038438845750632</v>
      </c>
      <c r="AG75" s="138"/>
      <c r="AH75" s="193">
        <f t="array" ref="AH75">SUM(AH11:AI11*AH24:AI24)/AH32</f>
        <v>0.22038438839852473</v>
      </c>
      <c r="AI75" s="138"/>
      <c r="AJ75" s="193">
        <f t="array" ref="AJ75">SUM(AJ11:AK11*AJ24:AK24)/AJ32</f>
        <v>0.22038438836355434</v>
      </c>
      <c r="AK75" s="138"/>
      <c r="AL75" s="193">
        <f t="array" ref="AL75">SUM(AL11:AM11*AL24:AM24)/AL32</f>
        <v>0.22038438833152149</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0.22301874374724862</v>
      </c>
      <c r="D76" s="193">
        <f t="array" ref="D76">SUM(D12:E12*D25:E25)/D32</f>
        <v>0.22320844267266407</v>
      </c>
      <c r="E76" s="138"/>
      <c r="F76" s="193">
        <f t="array" ref="F76">SUM(F12:G12*F25:G25)/F32</f>
        <v>0.22342124544058894</v>
      </c>
      <c r="G76" s="138"/>
      <c r="H76" s="193">
        <f t="array" ref="H76">SUM(H12:I12*H25:I25)/H32</f>
        <v>0.22365934563714582</v>
      </c>
      <c r="I76" s="138"/>
      <c r="J76" s="193">
        <f t="array" ref="J76">SUM(J12:K12*J25:K25)/J32</f>
        <v>0.22392509521089224</v>
      </c>
      <c r="K76" s="138"/>
      <c r="L76" s="193">
        <f t="array" ref="L76">SUM(L12:M12*L25:M25)/L32</f>
        <v>0.22422102100851457</v>
      </c>
      <c r="M76" s="138"/>
      <c r="N76" s="193">
        <f t="array" ref="N76">SUM(N12:O12*N25:O25)/N32</f>
        <v>0.22454970419508818</v>
      </c>
      <c r="O76" s="138"/>
      <c r="P76" s="193">
        <f t="array" ref="P76">SUM(P12:Q12*P25:Q25)/P32</f>
        <v>0.22491358339981812</v>
      </c>
      <c r="Q76" s="138"/>
      <c r="R76" s="193">
        <f t="array" ref="R76">SUM(R12:S12*R25:S25)/R32</f>
        <v>0.22531463410813884</v>
      </c>
      <c r="S76" s="138"/>
      <c r="T76" s="193">
        <f t="array" ref="T76">SUM(T12:U12*T25:U25)/T32</f>
        <v>0.22575367884715919</v>
      </c>
      <c r="U76" s="138"/>
      <c r="V76" s="193">
        <f t="array" ref="V76">SUM(V12:W12*V25:W25)/V32</f>
        <v>0.22622926430450949</v>
      </c>
      <c r="W76" s="138"/>
      <c r="X76" s="193">
        <f t="array" ref="X76">SUM(X12:Y12*X25:Y25)/X32</f>
        <v>0.22673559747457583</v>
      </c>
      <c r="Y76" s="138"/>
      <c r="Z76" s="193">
        <f t="array" ref="Z76">SUM(Z12:AA12*Z25:AA25)/Z32</f>
        <v>0.22725854404982515</v>
      </c>
      <c r="AA76" s="138"/>
      <c r="AB76" s="193">
        <f t="array" ref="AB76">SUM(AB12:AC12*AB25:AC25)/AB32</f>
        <v>0.2277686853052002</v>
      </c>
      <c r="AC76" s="138"/>
      <c r="AD76" s="193">
        <f t="array" ref="AD76">SUM(AD12:AE12*AD25:AE25)/AD32</f>
        <v>0.22820845171859253</v>
      </c>
      <c r="AE76" s="138"/>
      <c r="AF76" s="193">
        <f t="array" ref="AF76">SUM(AF12:AG12*AF25:AG25)/AF32</f>
        <v>0.22846922870406017</v>
      </c>
      <c r="AG76" s="138"/>
      <c r="AH76" s="193">
        <f t="array" ref="AH76">SUM(AH12:AI12*AH25:AI25)/AH32</f>
        <v>0.22835448998960869</v>
      </c>
      <c r="AI76" s="138"/>
      <c r="AJ76" s="193">
        <f t="array" ref="AJ76">SUM(AJ12:AK12*AJ25:AK25)/AJ32</f>
        <v>0.22753846277040082</v>
      </c>
      <c r="AK76" s="138"/>
      <c r="AL76" s="193">
        <f t="array" ref="AL76">SUM(AL12:AM12*AL25:AM25)/AL32</f>
        <v>0.22566980760587596</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0.14586087017236521</v>
      </c>
      <c r="D77" s="193">
        <f t="array" ref="D77">SUM(D4:E4*D19:E19)/D32</f>
        <v>0.14605057191101362</v>
      </c>
      <c r="E77" s="138"/>
      <c r="F77" s="193">
        <f t="array" ref="F77">SUM(F4:G4*F19:G19)/F32</f>
        <v>0.14626337375999146</v>
      </c>
      <c r="G77" s="138"/>
      <c r="H77" s="193">
        <f t="array" ref="H77">SUM(H4:I4*H19:I19)/H32</f>
        <v>0.14650147749527126</v>
      </c>
      <c r="I77" s="138"/>
      <c r="J77" s="193">
        <f t="array" ref="J77">SUM(J4:K4*J19:K19)/J32</f>
        <v>0.14676722415338822</v>
      </c>
      <c r="K77" s="138"/>
      <c r="L77" s="193">
        <f t="array" ref="L77">SUM(L4:M4*L19:M19)/L32</f>
        <v>0.14706314820433322</v>
      </c>
      <c r="M77" s="138"/>
      <c r="N77" s="193">
        <f t="array" ref="N77">SUM(N4:O4*N19:O19)/N32</f>
        <v>0.14739183181631826</v>
      </c>
      <c r="O77" s="138"/>
      <c r="P77" s="193">
        <f t="array" ref="P77">SUM(P4:Q4*P19:Q19)/P32</f>
        <v>0.14775571109860833</v>
      </c>
      <c r="Q77" s="138"/>
      <c r="R77" s="193">
        <f t="array" ref="R77">SUM(R4:S4*R19:S19)/R32</f>
        <v>0.14815676396483485</v>
      </c>
      <c r="S77" s="138"/>
      <c r="T77" s="193">
        <f t="array" ref="T77">SUM(T4:U4*T19:U19)/T32</f>
        <v>0.14859580877208164</v>
      </c>
      <c r="U77" s="138"/>
      <c r="V77" s="193">
        <f t="array" ref="V77">SUM(V4:W4*V19:W19)/V32</f>
        <v>0.14907139390746854</v>
      </c>
      <c r="W77" s="138"/>
      <c r="X77" s="193">
        <f t="array" ref="X77">SUM(X4:Y4*X19:Y19)/X32</f>
        <v>0.1495777232096506</v>
      </c>
      <c r="Y77" s="138"/>
      <c r="Z77" s="193">
        <f t="array" ref="Z77">SUM(Z4:AA4*Z19:AA19)/Z32</f>
        <v>0.15010066846714196</v>
      </c>
      <c r="AA77" s="138"/>
      <c r="AB77" s="193">
        <f t="array" ref="AB77">SUM(AB4:AC4*AB19:AC19)/AB32</f>
        <v>0.15061081177862362</v>
      </c>
      <c r="AC77" s="138"/>
      <c r="AD77" s="193">
        <f t="array" ref="AD77">SUM(AD4:AE4*AD19:AE19)/AD32</f>
        <v>0.15105057771142028</v>
      </c>
      <c r="AE77" s="138"/>
      <c r="AF77" s="193">
        <f t="array" ref="AF77">SUM(AF4:AG4*AF19:AG19)/AF32</f>
        <v>0.15131135331188778</v>
      </c>
      <c r="AG77" s="138"/>
      <c r="AH77" s="193">
        <f t="array" ref="AH77">SUM(AH4:AI4*AH19:AI19)/AH32</f>
        <v>0.15119661980815602</v>
      </c>
      <c r="AI77" s="138"/>
      <c r="AJ77" s="193">
        <f t="array" ref="AJ77">SUM(AJ4:AK4*AJ19:AK19)/AJ32</f>
        <v>0.15038058867023416</v>
      </c>
      <c r="AK77" s="138"/>
      <c r="AL77" s="193">
        <f t="array" ref="AL77">SUM(AL4:AM4*AL19:AM19)/AL32</f>
        <v>0.14851193439090374</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0.34275160871090687</v>
      </c>
      <c r="E78" s="138"/>
      <c r="F78" s="193">
        <f t="array" ref="F78">SUM(F13:G13*F26:G26)/F32</f>
        <v>0.33853529053246212</v>
      </c>
      <c r="G78" s="138"/>
      <c r="H78" s="193">
        <f t="array" ref="H78">SUM(H13:I13*H26:I26)/H32</f>
        <v>0.33423181289610737</v>
      </c>
      <c r="I78" s="138"/>
      <c r="J78" s="193">
        <f t="array" ref="J78">SUM(J13:K13*J26:K26)/J32</f>
        <v>0.32983314388489871</v>
      </c>
      <c r="K78" s="138"/>
      <c r="L78" s="193">
        <f t="array" ref="L78">SUM(L13:M13*L26:M26)/L32</f>
        <v>0.32532968602031265</v>
      </c>
      <c r="M78" s="138"/>
      <c r="N78" s="193">
        <f t="array" ref="N78">SUM(N13:O13*N26:O26)/N32</f>
        <v>0.32070979007593636</v>
      </c>
      <c r="O78" s="138"/>
      <c r="P78" s="193">
        <f t="array" ref="P78">SUM(P13:Q13*P26:Q26)/P32</f>
        <v>0.31595902672966925</v>
      </c>
      <c r="Q78" s="138"/>
      <c r="R78" s="193">
        <f t="array" ref="R78">SUM(R13:S13*R26:S26)/R32</f>
        <v>0.31105913505113175</v>
      </c>
      <c r="S78" s="138"/>
      <c r="T78" s="193">
        <f t="array" ref="T78">SUM(T13:U13*T26:U26)/T32</f>
        <v>0.30598635847009964</v>
      </c>
      <c r="U78" s="138"/>
      <c r="V78" s="193">
        <f t="array" ref="V78">SUM(V13:W13*V26:W26)/V32</f>
        <v>0.30070889627963027</v>
      </c>
      <c r="W78" s="138"/>
      <c r="X78" s="193">
        <f t="array" ref="X78">SUM(X13:Y13*X26:Y26)/X32</f>
        <v>0.29518283541076357</v>
      </c>
      <c r="Y78" s="138"/>
      <c r="Z78" s="193">
        <f t="array" ref="Z78">SUM(Z13:AA13*Z26:AA26)/Z32</f>
        <v>0.28934495862319187</v>
      </c>
      <c r="AA78" s="138"/>
      <c r="AB78" s="193">
        <f t="array" ref="AB78">SUM(AB13:AC13*AB26:AC26)/AB32</f>
        <v>0.28310074689232773</v>
      </c>
      <c r="AC78" s="138"/>
      <c r="AD78" s="193">
        <f t="array" ref="AD78">SUM(AD13:AE13*AD26:AE26)/AD32</f>
        <v>0.27630280510839644</v>
      </c>
      <c r="AE78" s="138"/>
      <c r="AF78" s="193">
        <f t="array" ref="AF78">SUM(AF13:AG13*AF26:AG26)/AF32</f>
        <v>0.26871144294046478</v>
      </c>
      <c r="AG78" s="138"/>
      <c r="AH78" s="193">
        <f t="array" ref="AH78">SUM(AH13:AI13*AH26:AI26)/AH32</f>
        <v>0.25992414213509418</v>
      </c>
      <c r="AI78" s="138"/>
      <c r="AJ78" s="193">
        <f t="array" ref="AJ78">SUM(AJ13:AK13*AJ26:AK26)/AJ32</f>
        <v>0.24925692305237554</v>
      </c>
      <c r="AK78" s="138"/>
      <c r="AL78" s="193">
        <f t="array" ref="AL78">SUM(AL13:AM13*AL26:AM26)/AL32</f>
        <v>0.23564207575284335</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0.45460968782439326</v>
      </c>
      <c r="D79" s="193">
        <f t="array" ref="D79">SUM(D15:E15*D27:E27)/D32</f>
        <v>0.45880328564473827</v>
      </c>
      <c r="F79" s="193">
        <f t="array" ref="F79">SUM(F15:G15*F27:G27)/F32</f>
        <v>0.46307828845103666</v>
      </c>
      <c r="H79" s="193">
        <f t="array" ref="H79">SUM(H15:I15*H27:I27)/H32</f>
        <v>0.4674417241006345</v>
      </c>
      <c r="J79" s="193">
        <f t="array" ref="J79">SUM(J15:K15*J27:K27)/J32</f>
        <v>0.47190158863642978</v>
      </c>
      <c r="L79" s="193">
        <f t="array" ref="L79">SUM(L15:M15*L27:M27)/L32</f>
        <v>0.4764676963583489</v>
      </c>
      <c r="N79" s="193">
        <f t="array" ref="N79">SUM(N15:O15*N27:O27)/N32</f>
        <v>0.48115190313780454</v>
      </c>
      <c r="P79" s="193">
        <f t="array" ref="P79">SUM(P15:Q15*P27:Q27)/P32</f>
        <v>0.48596880253669184</v>
      </c>
      <c r="R79" s="193">
        <f t="array" ref="R79">SUM(R15:S15*R27:S27)/R32</f>
        <v>0.49093697242605444</v>
      </c>
      <c r="T79" s="193">
        <f t="array" ref="T79">SUM(T15:U15*T27:U27)/T32</f>
        <v>0.49608037529582788</v>
      </c>
      <c r="V79" s="193">
        <f t="array" ref="V79">SUM(V15:W15*V27:W27)/V32</f>
        <v>0.50143123076330853</v>
      </c>
      <c r="X79" s="193">
        <f t="array" ref="X79">SUM(X15:Y15*X27:Y27)/X32</f>
        <v>0.5070342280748138</v>
      </c>
      <c r="Z79" s="193">
        <f t="array" ref="Z79">SUM(Z15:AA15*Z27:AA27)/Z32</f>
        <v>0.51295336777451417</v>
      </c>
      <c r="AB79" s="193">
        <f t="array" ref="AB79">SUM(AB15:AC15*AB27:AC27)/AB32</f>
        <v>0.51928451438515277</v>
      </c>
      <c r="AD79" s="193">
        <f t="array" ref="AD79">SUM(AD15:AE15*AD27:AE27)/AD32</f>
        <v>0.52617710048278443</v>
      </c>
      <c r="AF79" s="193">
        <f t="array" ref="AF79">SUM(AF15:AG15*AF27:AG27)/AF32</f>
        <v>0.53387411781831606</v>
      </c>
      <c r="AH79" s="193">
        <f t="array" ref="AH79">SUM(AH15:AI15*AH27:AI27)/AH32</f>
        <v>0.54278376241380921</v>
      </c>
      <c r="AJ79" s="193">
        <f t="array" ref="AJ79">SUM(AJ15:AK15*AJ27:AK27)/AJ32</f>
        <v>0.55359947553343281</v>
      </c>
      <c r="AL79" s="193">
        <f t="array" ref="AL79">SUM(AL15:AM15*AL27:AM27)/AL32</f>
        <v>0.5674038577224304</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0.19844514522968718</v>
      </c>
      <c r="F80" s="236">
        <f>F55</f>
        <v>0.19838644896692348</v>
      </c>
      <c r="H80" s="236">
        <f>H55</f>
        <v>0.19832654608986244</v>
      </c>
      <c r="J80" s="236">
        <f>J55</f>
        <v>0.19826530818200241</v>
      </c>
      <c r="L80" s="236">
        <f>L55</f>
        <v>0.19820261195555669</v>
      </c>
      <c r="N80" s="236">
        <f>N55</f>
        <v>0.19813829872053015</v>
      </c>
      <c r="P80" s="236">
        <f>P55</f>
        <v>0.19807216309282863</v>
      </c>
      <c r="R80" s="236">
        <f>R55</f>
        <v>0.19800396139627749</v>
      </c>
      <c r="T80" s="236">
        <f>T55</f>
        <v>0.19793334704048635</v>
      </c>
      <c r="V80" s="236">
        <f>V55</f>
        <v>0.19785986508117148</v>
      </c>
      <c r="X80" s="236">
        <f>X55</f>
        <v>0.19778293773124722</v>
      </c>
      <c r="Z80" s="236">
        <f>Z55</f>
        <v>0.19770167198558747</v>
      </c>
      <c r="AB80" s="236">
        <f>AB55</f>
        <v>0.19761474155237083</v>
      </c>
      <c r="AD80" s="236">
        <f>AD55</f>
        <v>0.19752011733334968</v>
      </c>
      <c r="AF80" s="236">
        <f>AF55</f>
        <v>0.19741442998046488</v>
      </c>
      <c r="AH80" s="236">
        <f>AH55</f>
        <v>0.19729210217650828</v>
      </c>
      <c r="AJ80" s="236">
        <f>AJ55</f>
        <v>0.19714360041897702</v>
      </c>
      <c r="AL80" s="236">
        <f>AL55</f>
        <v>0.19695406680966349</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-2.7601059334737658E-2</v>
      </c>
      <c r="F81" s="236">
        <f>F51/F$32</f>
        <v>-2.7659755597501362E-2</v>
      </c>
      <c r="H81" s="236">
        <f>H51/H$32</f>
        <v>-2.7719658474562401E-2</v>
      </c>
      <c r="J81" s="236">
        <f>J51/J$32</f>
        <v>-2.7780896382422416E-2</v>
      </c>
      <c r="L81" s="236">
        <f>L51/L$32</f>
        <v>-2.7843592608868133E-2</v>
      </c>
      <c r="N81" s="236">
        <f>N51/N$32</f>
        <v>-2.7907905843894697E-2</v>
      </c>
      <c r="P81" s="236">
        <f>P51/P$32</f>
        <v>-2.7974041471596215E-2</v>
      </c>
      <c r="R81" s="236">
        <f>R51/R$32</f>
        <v>-2.8042243168147345E-2</v>
      </c>
      <c r="T81" s="236">
        <f>T51/T$32</f>
        <v>-2.8112857523938491E-2</v>
      </c>
      <c r="V81" s="236">
        <f>V51/V$32</f>
        <v>-2.8186339483253348E-2</v>
      </c>
      <c r="X81" s="236">
        <f>X51/X$32</f>
        <v>-2.8263266833177616E-2</v>
      </c>
      <c r="Z81" s="236">
        <f>Z51/Z$32</f>
        <v>-2.8344532578837369E-2</v>
      </c>
      <c r="AB81" s="236">
        <f>AB51/AB$32</f>
        <v>-2.8431463012054025E-2</v>
      </c>
      <c r="AD81" s="236">
        <f>AD51/AD$32</f>
        <v>-2.8526087231075144E-2</v>
      </c>
      <c r="AF81" s="236">
        <f>AF51/AF$32</f>
        <v>-2.8631774583959949E-2</v>
      </c>
      <c r="AH81" s="236">
        <f>AH51/AH$32</f>
        <v>-2.8754102387916553E-2</v>
      </c>
      <c r="AJ81" s="236">
        <f>AJ51/AJ$32</f>
        <v>-2.8902604145447829E-2</v>
      </c>
      <c r="AL81" s="236">
        <f>AL51/AL$32</f>
        <v>-2.9092137754761365E-2</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0.13742035110760017</v>
      </c>
      <c r="F82" s="236">
        <f>F52/F$32</f>
        <v>0.13572989099089233</v>
      </c>
      <c r="H82" s="236">
        <f>H52/H$32</f>
        <v>0.13400448579149507</v>
      </c>
      <c r="J82" s="236">
        <f>J52/J$32</f>
        <v>0.13224091525071827</v>
      </c>
      <c r="L82" s="236">
        <f>L52/L$32</f>
        <v>0.13043533142493471</v>
      </c>
      <c r="N82" s="236">
        <f>N52/N$32</f>
        <v>0.12858306375755743</v>
      </c>
      <c r="P82" s="236">
        <f>P52/P$32</f>
        <v>0.12667832706054083</v>
      </c>
      <c r="R82" s="236">
        <f>R52/R$32</f>
        <v>0.12471379992852738</v>
      </c>
      <c r="T82" s="236">
        <f>T52/T$32</f>
        <v>0.12267995757406651</v>
      </c>
      <c r="V82" s="236">
        <f>V52/V$32</f>
        <v>0.12056405005170946</v>
      </c>
      <c r="X82" s="236">
        <f>X52/X$32</f>
        <v>0.1183484711731807</v>
      </c>
      <c r="Z82" s="236">
        <f>Z52/Z$32</f>
        <v>0.11600787507535858</v>
      </c>
      <c r="AB82" s="236">
        <f>AB52/AB$32</f>
        <v>0.11350436598411666</v>
      </c>
      <c r="AD82" s="236">
        <f>AD52/AD$32</f>
        <v>0.11077884837015035</v>
      </c>
      <c r="AF82" s="236">
        <f>AF52/AF$32</f>
        <v>0.1077352225256922</v>
      </c>
      <c r="AH82" s="236">
        <f>AH52/AH$32</f>
        <v>0.10421210569334896</v>
      </c>
      <c r="AJ82" s="236">
        <f>AJ52/AJ$32</f>
        <v>9.9935268023054344E-2</v>
      </c>
      <c r="AL82" s="236">
        <f>AL52/AL$32</f>
        <v>9.4476629613697863E-2</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0.18600714462929399</v>
      </c>
      <c r="D83" s="236">
        <f>D53/D$32</f>
        <v>0.1877229883017397</v>
      </c>
      <c r="F83" s="236">
        <f>F53/F$32</f>
        <v>0.18947213946718722</v>
      </c>
      <c r="H83" s="236">
        <f>H53/H$32</f>
        <v>0.19125747362898116</v>
      </c>
      <c r="J83" s="236">
        <f>J53/J$32</f>
        <v>0.19308226243123205</v>
      </c>
      <c r="L83" s="236">
        <f>L53/L$32</f>
        <v>0.19495052147227571</v>
      </c>
      <c r="N83" s="236">
        <f>N53/N$32</f>
        <v>0.19686710167554733</v>
      </c>
      <c r="P83" s="236">
        <f>P53/P$32</f>
        <v>0.19883797411216747</v>
      </c>
      <c r="R83" s="236">
        <f>R53/R$32</f>
        <v>0.20087074006481595</v>
      </c>
      <c r="T83" s="236">
        <f>T53/T$32</f>
        <v>0.20297520397552399</v>
      </c>
      <c r="V83" s="236">
        <f>V53/V$32</f>
        <v>0.2051645487552036</v>
      </c>
      <c r="X83" s="236">
        <f>X53/X$32</f>
        <v>0.20745705936197553</v>
      </c>
      <c r="Z83" s="236">
        <f>Z53/Z$32</f>
        <v>0.20987892212401255</v>
      </c>
      <c r="AB83" s="236">
        <f>AB53/AB$32</f>
        <v>0.21246936076800643</v>
      </c>
      <c r="AD83" s="236">
        <f>AD53/AD$32</f>
        <v>0.21528951681278319</v>
      </c>
      <c r="AF83" s="236">
        <f>AF53/AF$32</f>
        <v>0.21843881225256156</v>
      </c>
      <c r="AH83" s="236">
        <f>AH53/AH$32</f>
        <v>0.22208426371401319</v>
      </c>
      <c r="AJ83" s="236">
        <f>AJ53/AJ$32</f>
        <v>0.22650959816770366</v>
      </c>
      <c r="AL83" s="236">
        <f>AL53/AL$32</f>
        <v>0.23215777017792882</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3"/>
  <dimension ref="A1:XFD83"/>
  <sheetViews>
    <sheetView showGridLines="0" workbookViewId="0">
      <pane ySplit="1" topLeftCell="A67" activePane="bottomLeft" state="frozen"/>
      <selection pane="bottomLeft" activeCell="K89"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c r="AV1" s="94"/>
    </row>
    <row r="2" spans="1:49" x14ac:dyDescent="0.2">
      <c r="A2" s="229" t="s">
        <v>155</v>
      </c>
      <c r="B2" s="226">
        <v>5.7716594496607888E-3</v>
      </c>
      <c r="C2" s="227"/>
      <c r="D2" s="226">
        <v>3.6688117254143629E-2</v>
      </c>
      <c r="E2" s="227"/>
      <c r="F2" s="226">
        <v>7.0337135534169634E-2</v>
      </c>
      <c r="G2" s="227"/>
      <c r="H2" s="226">
        <v>0.10717103217271408</v>
      </c>
      <c r="I2" s="227"/>
      <c r="J2" s="226">
        <v>0.14776058924116112</v>
      </c>
      <c r="K2" s="227"/>
      <c r="L2" s="226">
        <v>0.19283986301408057</v>
      </c>
      <c r="M2" s="227"/>
      <c r="N2" s="226">
        <v>0.24337273893978342</v>
      </c>
      <c r="O2" s="227"/>
      <c r="P2" s="226">
        <v>0.30065604818022534</v>
      </c>
      <c r="Q2" s="227"/>
      <c r="R2" s="226">
        <v>0.36648275557074317</v>
      </c>
      <c r="S2" s="227"/>
      <c r="T2" s="226">
        <v>0.44341246889298691</v>
      </c>
      <c r="U2" s="227"/>
      <c r="V2" s="226">
        <v>0.53523002100368045</v>
      </c>
      <c r="W2" s="227"/>
      <c r="X2" s="226">
        <v>0.64777114004613023</v>
      </c>
      <c r="Y2" s="227"/>
      <c r="Z2" s="226">
        <v>0.79045491046443095</v>
      </c>
      <c r="AA2" s="227"/>
      <c r="AB2" s="226">
        <v>0.97927399455577102</v>
      </c>
      <c r="AC2" s="227"/>
      <c r="AD2" s="226">
        <v>1.2428084340909513</v>
      </c>
      <c r="AE2" s="227"/>
      <c r="AF2" s="226">
        <v>1.6345841703619899</v>
      </c>
      <c r="AG2" s="227"/>
      <c r="AH2" s="226">
        <v>2.2594651863245532</v>
      </c>
      <c r="AI2" s="227"/>
      <c r="AJ2" s="226">
        <v>3.3407865197436557</v>
      </c>
      <c r="AK2" s="227"/>
      <c r="AL2" s="226">
        <v>5.46461294105048</v>
      </c>
      <c r="AM2" s="227"/>
      <c r="AN2" s="226">
        <v>10.988418345153489</v>
      </c>
      <c r="AO2" s="227"/>
      <c r="AP2" s="226">
        <v>13.318015821476813</v>
      </c>
      <c r="AQ2" s="227"/>
      <c r="AR2" s="226">
        <v>16.711121688864701</v>
      </c>
      <c r="AS2" s="227"/>
      <c r="AT2" s="226"/>
      <c r="AU2" s="227"/>
      <c r="AV2" s="226"/>
      <c r="AW2" s="227"/>
    </row>
    <row r="3" spans="1:49" x14ac:dyDescent="0.2">
      <c r="A3" t="s">
        <v>12</v>
      </c>
      <c r="B3" s="84">
        <v>1000</v>
      </c>
      <c r="C3" s="85">
        <v>1000</v>
      </c>
      <c r="D3" s="84">
        <v>998.86451523148878</v>
      </c>
      <c r="E3" s="85">
        <v>1013.0332776283184</v>
      </c>
      <c r="F3" s="84">
        <v>997.72750719052533</v>
      </c>
      <c r="G3" s="85">
        <v>1027.1874992899029</v>
      </c>
      <c r="H3" s="84">
        <v>996.58652285912262</v>
      </c>
      <c r="I3" s="85">
        <v>1042.6289049559423</v>
      </c>
      <c r="J3" s="84">
        <v>995.43972618198779</v>
      </c>
      <c r="K3" s="85">
        <v>1059.5634870699676</v>
      </c>
      <c r="L3" s="84">
        <v>994.28635065800495</v>
      </c>
      <c r="M3" s="85">
        <v>1078.2505192594901</v>
      </c>
      <c r="N3" s="84">
        <v>993.12738635224684</v>
      </c>
      <c r="O3" s="85">
        <v>1099.0232574284</v>
      </c>
      <c r="P3" s="84">
        <v>991.96667585370608</v>
      </c>
      <c r="Q3" s="85">
        <v>1122.3193715219709</v>
      </c>
      <c r="R3" s="84">
        <v>990.81263069156205</v>
      </c>
      <c r="S3" s="85">
        <v>1148.7286881305033</v>
      </c>
      <c r="T3" s="84">
        <v>989.68098445987698</v>
      </c>
      <c r="U3" s="85">
        <v>1179.0692177465648</v>
      </c>
      <c r="V3" s="84">
        <v>988.59916670132486</v>
      </c>
      <c r="W3" s="85">
        <v>1214.5141156201551</v>
      </c>
      <c r="X3" s="84">
        <v>987.61337523096824</v>
      </c>
      <c r="Y3" s="85">
        <v>1256.8094206769217</v>
      </c>
      <c r="Z3" s="84">
        <v>986.79953919614979</v>
      </c>
      <c r="AA3" s="85">
        <v>1308.6640630510412</v>
      </c>
      <c r="AB3" s="84">
        <v>986.27894438032638</v>
      </c>
      <c r="AC3" s="85">
        <v>1374.4694063234219</v>
      </c>
      <c r="AD3" s="84">
        <v>986.23395659629102</v>
      </c>
      <c r="AE3" s="85">
        <v>1461.6553424920312</v>
      </c>
      <c r="AF3" s="84">
        <v>986.90068891328906</v>
      </c>
      <c r="AG3" s="85">
        <v>1583.257694517237</v>
      </c>
      <c r="AH3" s="84">
        <v>988.48212377105585</v>
      </c>
      <c r="AI3" s="85">
        <v>1762.9681758183724</v>
      </c>
      <c r="AJ3" s="84">
        <v>990.95963282293292</v>
      </c>
      <c r="AK3" s="85">
        <v>2047.5439245996929</v>
      </c>
      <c r="AL3" s="84">
        <v>993.98877029533639</v>
      </c>
      <c r="AM3" s="85">
        <v>2551.7409961343487</v>
      </c>
      <c r="AN3" s="84">
        <v>997.02086633543877</v>
      </c>
      <c r="AO3" s="85">
        <v>3705.3451808074365</v>
      </c>
      <c r="AP3" s="84">
        <v>997.55758135147585</v>
      </c>
      <c r="AQ3" s="85">
        <v>4155.8209211843869</v>
      </c>
      <c r="AR3" s="84">
        <v>998.03799249869633</v>
      </c>
      <c r="AS3" s="85">
        <v>4790.7758407649198</v>
      </c>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c r="AU4" s="102"/>
      <c r="AV4" s="101"/>
      <c r="AW4" s="102"/>
    </row>
    <row r="5" spans="1:49" x14ac:dyDescent="0.2">
      <c r="A5" t="s">
        <v>128</v>
      </c>
      <c r="B5" s="41">
        <v>1000</v>
      </c>
      <c r="C5" s="42">
        <v>1000</v>
      </c>
      <c r="D5" s="41">
        <v>998.80808342368834</v>
      </c>
      <c r="E5" s="42">
        <v>1011.2994377656451</v>
      </c>
      <c r="F5" s="41">
        <v>997.61364155154081</v>
      </c>
      <c r="G5" s="42">
        <v>1023.2404883203081</v>
      </c>
      <c r="H5" s="41">
        <v>996.41408436679444</v>
      </c>
      <c r="I5" s="42">
        <v>1035.8697725040329</v>
      </c>
      <c r="J5" s="41">
        <v>995.20746316773034</v>
      </c>
      <c r="K5" s="42">
        <v>1049.2370556231258</v>
      </c>
      <c r="L5" s="41">
        <v>993.99294920392731</v>
      </c>
      <c r="M5" s="42">
        <v>1063.3927263127648</v>
      </c>
      <c r="N5" s="41">
        <v>992.77156290542791</v>
      </c>
      <c r="O5" s="42">
        <v>1078.3880726821787</v>
      </c>
      <c r="P5" s="41">
        <v>991.54733747911894</v>
      </c>
      <c r="Q5" s="42">
        <v>1094.2709701468063</v>
      </c>
      <c r="R5" s="41">
        <v>990.32914413962794</v>
      </c>
      <c r="S5" s="42">
        <v>1111.0813229749788</v>
      </c>
      <c r="T5" s="41">
        <v>989.133621685702</v>
      </c>
      <c r="U5" s="42">
        <v>1128.8390241454124</v>
      </c>
      <c r="V5" s="41">
        <v>987.98983327700603</v>
      </c>
      <c r="W5" s="42">
        <v>1147.5286015814313</v>
      </c>
      <c r="X5" s="41">
        <v>986.94679481714911</v>
      </c>
      <c r="Y5" s="42">
        <v>1167.0616264957112</v>
      </c>
      <c r="Z5" s="41">
        <v>986.08513593085888</v>
      </c>
      <c r="AA5" s="42">
        <v>1187.2175747630422</v>
      </c>
      <c r="AB5" s="41">
        <v>985.53368208353368</v>
      </c>
      <c r="AC5" s="42">
        <v>1207.5323182373852</v>
      </c>
      <c r="AD5" s="41">
        <v>985.48601774949782</v>
      </c>
      <c r="AE5" s="42">
        <v>1227.1337763075976</v>
      </c>
      <c r="AF5" s="41">
        <v>986.19225705896224</v>
      </c>
      <c r="AG5" s="42">
        <v>1244.5893002441626</v>
      </c>
      <c r="AH5" s="41">
        <v>987.86603227324406</v>
      </c>
      <c r="AI5" s="42">
        <v>1258.0869330631483</v>
      </c>
      <c r="AJ5" s="41">
        <v>990.48437300547482</v>
      </c>
      <c r="AK5" s="42">
        <v>1266.4023124462476</v>
      </c>
      <c r="AL5" s="41">
        <v>993.67943583256567</v>
      </c>
      <c r="AM5" s="42">
        <v>1270.0538631281261</v>
      </c>
      <c r="AN5" s="41">
        <v>996.87083618652127</v>
      </c>
      <c r="AO5" s="42">
        <v>1270.9872218820942</v>
      </c>
      <c r="AP5" s="41">
        <v>997.4350521676015</v>
      </c>
      <c r="AQ5" s="42">
        <v>1271.0281686996327</v>
      </c>
      <c r="AR5" s="41">
        <v>997.93990274630517</v>
      </c>
      <c r="AS5" s="42">
        <v>1271.0491133512746</v>
      </c>
      <c r="AT5" s="41"/>
      <c r="AU5" s="42"/>
      <c r="AV5" s="41"/>
      <c r="AW5" s="42"/>
    </row>
    <row r="6" spans="1:49" x14ac:dyDescent="0.2">
      <c r="A6" t="s">
        <v>77</v>
      </c>
      <c r="B6" s="41">
        <v>1000.0000000000003</v>
      </c>
      <c r="C6" s="42">
        <v>1000.0000000000002</v>
      </c>
      <c r="D6" s="41">
        <v>998.71703063911912</v>
      </c>
      <c r="E6" s="42">
        <v>1014.0402693825771</v>
      </c>
      <c r="F6" s="41">
        <v>997.43157773154485</v>
      </c>
      <c r="G6" s="42">
        <v>1029.2276740639643</v>
      </c>
      <c r="H6" s="41">
        <v>996.14085616055388</v>
      </c>
      <c r="I6" s="42">
        <v>1045.7308019492116</v>
      </c>
      <c r="J6" s="41">
        <v>994.84277249577201</v>
      </c>
      <c r="K6" s="42">
        <v>1063.7586623903996</v>
      </c>
      <c r="L6" s="41">
        <v>993.53643970908388</v>
      </c>
      <c r="M6" s="42">
        <v>1083.5744394957501</v>
      </c>
      <c r="N6" s="41">
        <v>992.22295964254442</v>
      </c>
      <c r="O6" s="42">
        <v>1105.5165713186316</v>
      </c>
      <c r="P6" s="41">
        <v>990.90667249337355</v>
      </c>
      <c r="Q6" s="42">
        <v>1130.0296873874825</v>
      </c>
      <c r="R6" s="41">
        <v>989.59711554557373</v>
      </c>
      <c r="S6" s="42">
        <v>1157.7131429384187</v>
      </c>
      <c r="T6" s="41">
        <v>988.31216687554684</v>
      </c>
      <c r="U6" s="42">
        <v>1189.3982440600928</v>
      </c>
      <c r="V6" s="41">
        <v>987.08304177271827</v>
      </c>
      <c r="W6" s="42">
        <v>1226.2771515166589</v>
      </c>
      <c r="X6" s="41">
        <v>985.96237075590261</v>
      </c>
      <c r="Y6" s="42">
        <v>1270.1237685777965</v>
      </c>
      <c r="Z6" s="41">
        <v>985.03671398581059</v>
      </c>
      <c r="AA6" s="42">
        <v>1323.6891253894746</v>
      </c>
      <c r="AB6" s="41">
        <v>984.44436604960401</v>
      </c>
      <c r="AC6" s="42">
        <v>1391.4302955546439</v>
      </c>
      <c r="AD6" s="41">
        <v>984.39316942163077</v>
      </c>
      <c r="AE6" s="42">
        <v>1480.8833390067359</v>
      </c>
      <c r="AF6" s="41">
        <v>985.15178480048451</v>
      </c>
      <c r="AG6" s="42">
        <v>1605.262272952217</v>
      </c>
      <c r="AH6" s="41">
        <v>986.95001701600427</v>
      </c>
      <c r="AI6" s="42">
        <v>1788.5768744422469</v>
      </c>
      <c r="AJ6" s="41">
        <v>989.76397290582338</v>
      </c>
      <c r="AK6" s="42">
        <v>2078.2352786675842</v>
      </c>
      <c r="AL6" s="41">
        <v>993.19926370550547</v>
      </c>
      <c r="AM6" s="42">
        <v>2590.6978553730369</v>
      </c>
      <c r="AN6" s="41">
        <v>996.63229247776053</v>
      </c>
      <c r="AO6" s="42">
        <v>3762.3465460034736</v>
      </c>
      <c r="AP6" s="41">
        <v>997.23940089428504</v>
      </c>
      <c r="AQ6" s="42">
        <v>4219.7910226288432</v>
      </c>
      <c r="AR6" s="41">
        <v>997.78267528754816</v>
      </c>
      <c r="AS6" s="42">
        <v>4864.5491225816395</v>
      </c>
      <c r="AT6" s="41"/>
      <c r="AU6" s="42"/>
      <c r="AV6" s="41"/>
      <c r="AW6" s="42"/>
    </row>
    <row r="7" spans="1:49" x14ac:dyDescent="0.2">
      <c r="A7" t="s">
        <v>13</v>
      </c>
      <c r="B7" s="33">
        <v>1015.9116825427475</v>
      </c>
      <c r="C7" s="34">
        <v>1015.9116825427475</v>
      </c>
      <c r="D7" s="33">
        <v>1014.7008005682561</v>
      </c>
      <c r="E7" s="34">
        <v>1014.7008005682561</v>
      </c>
      <c r="F7" s="33">
        <v>1013.4873531162232</v>
      </c>
      <c r="G7" s="34">
        <v>1013.4873531162232</v>
      </c>
      <c r="H7" s="33">
        <v>1012.2687089583612</v>
      </c>
      <c r="I7" s="34">
        <v>1012.2687089583612</v>
      </c>
      <c r="J7" s="33">
        <v>1011.0428883858283</v>
      </c>
      <c r="K7" s="34">
        <v>1011.0428883858283</v>
      </c>
      <c r="L7" s="33">
        <v>1009.8090494613895</v>
      </c>
      <c r="M7" s="34">
        <v>1009.8090494613895</v>
      </c>
      <c r="N7" s="33">
        <v>1008.5682288518464</v>
      </c>
      <c r="O7" s="34">
        <v>1008.5682288518464</v>
      </c>
      <c r="P7" s="33">
        <v>1007.3245239391931</v>
      </c>
      <c r="Q7" s="34">
        <v>1007.3245239391931</v>
      </c>
      <c r="R7" s="33">
        <v>1006.0869470940085</v>
      </c>
      <c r="S7" s="34">
        <v>1006.0869470940085</v>
      </c>
      <c r="T7" s="33">
        <v>1004.8724018663229</v>
      </c>
      <c r="U7" s="34">
        <v>1004.8724018663229</v>
      </c>
      <c r="V7" s="33">
        <v>1003.7104138595718</v>
      </c>
      <c r="W7" s="34">
        <v>1003.7104138595718</v>
      </c>
      <c r="X7" s="33">
        <v>1002.6507789028617</v>
      </c>
      <c r="Y7" s="34">
        <v>1002.6507789028617</v>
      </c>
      <c r="Z7" s="33">
        <v>1001.7754095739126</v>
      </c>
      <c r="AA7" s="34">
        <v>1001.7754095739126</v>
      </c>
      <c r="AB7" s="33">
        <v>1001.2151811680318</v>
      </c>
      <c r="AC7" s="34">
        <v>1001.2151811680318</v>
      </c>
      <c r="AD7" s="33">
        <v>1001.1667584142442</v>
      </c>
      <c r="AE7" s="34">
        <v>1001.1667584142442</v>
      </c>
      <c r="AF7" s="33">
        <v>1001.8842351794</v>
      </c>
      <c r="AG7" s="34">
        <v>1001.8842351794</v>
      </c>
      <c r="AH7" s="33">
        <v>1003.5846429735394</v>
      </c>
      <c r="AI7" s="34">
        <v>1003.5846429735394</v>
      </c>
      <c r="AJ7" s="33">
        <v>1006.2446459122901</v>
      </c>
      <c r="AK7" s="34">
        <v>1006.2446459122901</v>
      </c>
      <c r="AL7" s="33">
        <v>1009.4905475647898</v>
      </c>
      <c r="AM7" s="34">
        <v>1009.4905475647898</v>
      </c>
      <c r="AN7" s="33">
        <v>1012.7327284680443</v>
      </c>
      <c r="AO7" s="34">
        <v>1012.7327284680443</v>
      </c>
      <c r="AP7" s="33">
        <v>1013.3059220747011</v>
      </c>
      <c r="AQ7" s="34">
        <v>1013.3059220747011</v>
      </c>
      <c r="AR7" s="33">
        <v>1013.8188056755446</v>
      </c>
      <c r="AS7" s="34">
        <v>1013.8188056755446</v>
      </c>
      <c r="AT7" s="33"/>
      <c r="AU7" s="34"/>
      <c r="AV7" s="33"/>
      <c r="AW7" s="34"/>
    </row>
    <row r="8" spans="1:49" x14ac:dyDescent="0.2">
      <c r="B8" s="35">
        <v>1005.7716594496609</v>
      </c>
      <c r="C8" s="36">
        <v>1005.7716594496609</v>
      </c>
      <c r="D8" s="35">
        <v>1048.4021101174405</v>
      </c>
      <c r="E8" s="36">
        <v>1048.4021101174405</v>
      </c>
      <c r="F8" s="35">
        <v>1095.2122932313434</v>
      </c>
      <c r="G8" s="36">
        <v>1095.2122932313434</v>
      </c>
      <c r="H8" s="35">
        <v>1146.8850052198047</v>
      </c>
      <c r="I8" s="36">
        <v>1146.8850052198047</v>
      </c>
      <c r="J8" s="35">
        <v>1204.2729412156598</v>
      </c>
      <c r="K8" s="36">
        <v>1204.2729412156598</v>
      </c>
      <c r="L8" s="35">
        <v>1268.4572339850881</v>
      </c>
      <c r="M8" s="36">
        <v>1268.4572339850881</v>
      </c>
      <c r="N8" s="35">
        <v>1340.838331570835</v>
      </c>
      <c r="O8" s="36">
        <v>1340.838331570835</v>
      </c>
      <c r="P8" s="35">
        <v>1423.2701556694865</v>
      </c>
      <c r="Q8" s="36">
        <v>1423.2701556694865</v>
      </c>
      <c r="R8" s="35">
        <v>1518.2734678820359</v>
      </c>
      <c r="S8" s="36">
        <v>1518.2734678820359</v>
      </c>
      <c r="T8" s="35">
        <v>1629.3803228244799</v>
      </c>
      <c r="U8" s="36">
        <v>1629.3803228244799</v>
      </c>
      <c r="V8" s="35">
        <v>1761.7203591081848</v>
      </c>
      <c r="W8" s="36">
        <v>1761.7203591081848</v>
      </c>
      <c r="X8" s="35">
        <v>1923.0504667949292</v>
      </c>
      <c r="Y8" s="36">
        <v>1923.0504667949292</v>
      </c>
      <c r="Z8" s="35">
        <v>2125.6595365241615</v>
      </c>
      <c r="AA8" s="36">
        <v>2125.6595365241615</v>
      </c>
      <c r="AB8" s="35">
        <v>2390.0373150729001</v>
      </c>
      <c r="AC8" s="36">
        <v>2390.0373150729001</v>
      </c>
      <c r="AD8" s="35">
        <v>2752.2259832605587</v>
      </c>
      <c r="AE8" s="36">
        <v>2752.2259832605587</v>
      </c>
      <c r="AF8" s="35">
        <v>3278.9752690251762</v>
      </c>
      <c r="AG8" s="36">
        <v>3278.9752690251762</v>
      </c>
      <c r="AH8" s="35">
        <v>4100.6905596891602</v>
      </c>
      <c r="AI8" s="36">
        <v>4100.6905596891602</v>
      </c>
      <c r="AJ8" s="35">
        <v>5497.1820864388646</v>
      </c>
      <c r="AK8" s="36">
        <v>5497.1820864388646</v>
      </c>
      <c r="AL8" s="35">
        <v>8210.4066394092388</v>
      </c>
      <c r="AM8" s="36">
        <v>8210.4066394092388</v>
      </c>
      <c r="AN8" s="35">
        <v>15237.126527266966</v>
      </c>
      <c r="AO8" s="36">
        <v>15237.126527266966</v>
      </c>
      <c r="AP8" s="35">
        <v>18198.601428984042</v>
      </c>
      <c r="AQ8" s="36">
        <v>18198.601428984042</v>
      </c>
      <c r="AR8" s="35">
        <v>22511.705519088009</v>
      </c>
      <c r="AS8" s="36">
        <v>22511.705519088009</v>
      </c>
      <c r="AT8" s="35"/>
      <c r="AU8" s="36"/>
      <c r="AV8" s="35"/>
      <c r="AW8" s="36"/>
    </row>
    <row r="9" spans="1:49" x14ac:dyDescent="0.2">
      <c r="A9" t="s">
        <v>14</v>
      </c>
      <c r="B9" s="41">
        <v>1015.9116825427475</v>
      </c>
      <c r="C9" s="42">
        <v>1005.7716594496609</v>
      </c>
      <c r="D9" s="41">
        <v>1014.7008005682561</v>
      </c>
      <c r="E9" s="42">
        <v>1048.4021101174405</v>
      </c>
      <c r="F9" s="41">
        <v>1013.4873531162232</v>
      </c>
      <c r="G9" s="42">
        <v>1095.2122932313434</v>
      </c>
      <c r="H9" s="41">
        <v>1012.2687089583612</v>
      </c>
      <c r="I9" s="42">
        <v>1146.8850052198047</v>
      </c>
      <c r="J9" s="41">
        <v>1011.0428883858283</v>
      </c>
      <c r="K9" s="42">
        <v>1204.2729412156598</v>
      </c>
      <c r="L9" s="41">
        <v>1009.8090494613895</v>
      </c>
      <c r="M9" s="42">
        <v>1268.4572339850881</v>
      </c>
      <c r="N9" s="41">
        <v>1008.5682288518464</v>
      </c>
      <c r="O9" s="42">
        <v>1340.838331570835</v>
      </c>
      <c r="P9" s="41">
        <v>1007.3245239391931</v>
      </c>
      <c r="Q9" s="42">
        <v>1423.2701556694865</v>
      </c>
      <c r="R9" s="41">
        <v>1006.0869470940085</v>
      </c>
      <c r="S9" s="42">
        <v>1518.2734678820359</v>
      </c>
      <c r="T9" s="41">
        <v>1004.8724018663229</v>
      </c>
      <c r="U9" s="42">
        <v>1629.3803228244799</v>
      </c>
      <c r="V9" s="41">
        <v>1003.7104138595718</v>
      </c>
      <c r="W9" s="42">
        <v>1761.7203591081848</v>
      </c>
      <c r="X9" s="41">
        <v>1002.6507789028617</v>
      </c>
      <c r="Y9" s="42">
        <v>1923.0504667949292</v>
      </c>
      <c r="Z9" s="41">
        <v>1001.7754095739126</v>
      </c>
      <c r="AA9" s="42">
        <v>2125.6595365241615</v>
      </c>
      <c r="AB9" s="41">
        <v>1001.2151811680318</v>
      </c>
      <c r="AC9" s="42">
        <v>2390.0373150729001</v>
      </c>
      <c r="AD9" s="41">
        <v>1001.1667584142442</v>
      </c>
      <c r="AE9" s="42">
        <v>2752.2259832605587</v>
      </c>
      <c r="AF9" s="41">
        <v>1001.8842351794</v>
      </c>
      <c r="AG9" s="42">
        <v>3278.9752690251762</v>
      </c>
      <c r="AH9" s="41">
        <v>1003.5846429735394</v>
      </c>
      <c r="AI9" s="42">
        <v>4100.6905596891602</v>
      </c>
      <c r="AJ9" s="41">
        <v>1006.2446459122901</v>
      </c>
      <c r="AK9" s="42">
        <v>5497.1820864388646</v>
      </c>
      <c r="AL9" s="41">
        <v>1009.4905475647898</v>
      </c>
      <c r="AM9" s="42">
        <v>8210.4066394092388</v>
      </c>
      <c r="AN9" s="41">
        <v>1012.7327284680443</v>
      </c>
      <c r="AO9" s="42">
        <v>15237.126527266966</v>
      </c>
      <c r="AP9" s="41">
        <v>1013.3059220747011</v>
      </c>
      <c r="AQ9" s="42">
        <v>18198.601428984042</v>
      </c>
      <c r="AR9" s="41">
        <v>1013.8188056755446</v>
      </c>
      <c r="AS9" s="42">
        <v>22511.705519088009</v>
      </c>
      <c r="AT9" s="41"/>
      <c r="AU9" s="42"/>
      <c r="AV9" s="41"/>
      <c r="AW9" s="42"/>
    </row>
    <row r="10" spans="1:49" x14ac:dyDescent="0.2">
      <c r="A10" t="s">
        <v>15</v>
      </c>
      <c r="B10" s="41">
        <v>1015.9116825427475</v>
      </c>
      <c r="C10" s="42">
        <v>1005.7716594496609</v>
      </c>
      <c r="D10" s="41">
        <v>1014.7008005682561</v>
      </c>
      <c r="E10" s="42">
        <v>1048.4021101174405</v>
      </c>
      <c r="F10" s="41">
        <v>1013.4873531162232</v>
      </c>
      <c r="G10" s="42">
        <v>1095.2122932313434</v>
      </c>
      <c r="H10" s="41">
        <v>1012.2687089583612</v>
      </c>
      <c r="I10" s="42">
        <v>1146.8850052198047</v>
      </c>
      <c r="J10" s="41">
        <v>1011.0428883858283</v>
      </c>
      <c r="K10" s="42">
        <v>1204.2729412156598</v>
      </c>
      <c r="L10" s="41">
        <v>1009.8090494613895</v>
      </c>
      <c r="M10" s="42">
        <v>1268.4572339850881</v>
      </c>
      <c r="N10" s="41">
        <v>1008.5682288518464</v>
      </c>
      <c r="O10" s="42">
        <v>1340.838331570835</v>
      </c>
      <c r="P10" s="41">
        <v>1007.3245239391931</v>
      </c>
      <c r="Q10" s="42">
        <v>1423.2701556694865</v>
      </c>
      <c r="R10" s="41">
        <v>1006.0869470940085</v>
      </c>
      <c r="S10" s="42">
        <v>1518.2734678820359</v>
      </c>
      <c r="T10" s="41">
        <v>1004.8724018663229</v>
      </c>
      <c r="U10" s="42">
        <v>1629.3803228244799</v>
      </c>
      <c r="V10" s="41">
        <v>1003.7104138595718</v>
      </c>
      <c r="W10" s="42">
        <v>1761.7203591081848</v>
      </c>
      <c r="X10" s="41">
        <v>1002.6507789028617</v>
      </c>
      <c r="Y10" s="42">
        <v>1923.0504667949292</v>
      </c>
      <c r="Z10" s="41">
        <v>1001.7754095739126</v>
      </c>
      <c r="AA10" s="42">
        <v>2125.6595365241615</v>
      </c>
      <c r="AB10" s="41">
        <v>1001.2151811680318</v>
      </c>
      <c r="AC10" s="42">
        <v>2390.0373150729001</v>
      </c>
      <c r="AD10" s="41">
        <v>1001.1667584142442</v>
      </c>
      <c r="AE10" s="42">
        <v>2752.2259832605587</v>
      </c>
      <c r="AF10" s="41">
        <v>1001.8842351794</v>
      </c>
      <c r="AG10" s="42">
        <v>3278.9752690251762</v>
      </c>
      <c r="AH10" s="41">
        <v>1003.5846429735394</v>
      </c>
      <c r="AI10" s="42">
        <v>4100.6905596891602</v>
      </c>
      <c r="AJ10" s="41">
        <v>1006.2446459122901</v>
      </c>
      <c r="AK10" s="42">
        <v>5497.1820864388646</v>
      </c>
      <c r="AL10" s="41">
        <v>1009.4905475647898</v>
      </c>
      <c r="AM10" s="42">
        <v>8210.4066394092388</v>
      </c>
      <c r="AN10" s="41">
        <v>1012.7327284680443</v>
      </c>
      <c r="AO10" s="42">
        <v>15237.126527266966</v>
      </c>
      <c r="AP10" s="41">
        <v>1013.3059220747011</v>
      </c>
      <c r="AQ10" s="42">
        <v>18198.601428984042</v>
      </c>
      <c r="AR10" s="41">
        <v>1013.8188056755446</v>
      </c>
      <c r="AS10" s="42">
        <v>22511.705519088009</v>
      </c>
      <c r="AT10" s="41"/>
      <c r="AU10" s="42"/>
      <c r="AV10" s="41"/>
      <c r="AW10" s="42"/>
    </row>
    <row r="11" spans="1:49" x14ac:dyDescent="0.2">
      <c r="A11" t="s">
        <v>29</v>
      </c>
      <c r="B11" s="41">
        <v>1015.9116825427475</v>
      </c>
      <c r="C11" s="42">
        <v>1005.7716594496609</v>
      </c>
      <c r="D11" s="41">
        <v>1014.7008005682561</v>
      </c>
      <c r="E11" s="42">
        <v>1048.4021101174405</v>
      </c>
      <c r="F11" s="41">
        <v>1013.4873531162232</v>
      </c>
      <c r="G11" s="42">
        <v>1095.2122932313434</v>
      </c>
      <c r="H11" s="41">
        <v>1012.2687089583612</v>
      </c>
      <c r="I11" s="42">
        <v>1146.8850052198047</v>
      </c>
      <c r="J11" s="41">
        <v>1011.0428883858283</v>
      </c>
      <c r="K11" s="42">
        <v>1204.2729412156598</v>
      </c>
      <c r="L11" s="41">
        <v>1009.8090494613895</v>
      </c>
      <c r="M11" s="42">
        <v>1268.4572339850881</v>
      </c>
      <c r="N11" s="41">
        <v>1008.5682288518464</v>
      </c>
      <c r="O11" s="42">
        <v>1340.838331570835</v>
      </c>
      <c r="P11" s="41">
        <v>1007.3245239391931</v>
      </c>
      <c r="Q11" s="42">
        <v>1423.2701556694865</v>
      </c>
      <c r="R11" s="41">
        <v>1006.0869470940085</v>
      </c>
      <c r="S11" s="42">
        <v>1518.2734678820359</v>
      </c>
      <c r="T11" s="41">
        <v>1004.8724018663229</v>
      </c>
      <c r="U11" s="42">
        <v>1629.3803228244799</v>
      </c>
      <c r="V11" s="41">
        <v>1003.7104138595718</v>
      </c>
      <c r="W11" s="42">
        <v>1761.7203591081848</v>
      </c>
      <c r="X11" s="41">
        <v>1002.6507789028617</v>
      </c>
      <c r="Y11" s="42">
        <v>1923.0504667949292</v>
      </c>
      <c r="Z11" s="41">
        <v>1001.7754095739126</v>
      </c>
      <c r="AA11" s="42">
        <v>2125.6595365241615</v>
      </c>
      <c r="AB11" s="41">
        <v>1001.2151811680318</v>
      </c>
      <c r="AC11" s="42">
        <v>2390.0373150729001</v>
      </c>
      <c r="AD11" s="41">
        <v>1001.1667584142442</v>
      </c>
      <c r="AE11" s="42">
        <v>2752.2259832605587</v>
      </c>
      <c r="AF11" s="41">
        <v>1001.8842351794</v>
      </c>
      <c r="AG11" s="42">
        <v>3278.9752690251762</v>
      </c>
      <c r="AH11" s="41">
        <v>1003.5846429735394</v>
      </c>
      <c r="AI11" s="42">
        <v>4100.6905596891602</v>
      </c>
      <c r="AJ11" s="41">
        <v>1006.2446459122901</v>
      </c>
      <c r="AK11" s="42">
        <v>5497.1820864388646</v>
      </c>
      <c r="AL11" s="41">
        <v>1009.4905475647898</v>
      </c>
      <c r="AM11" s="42">
        <v>8210.4066394092388</v>
      </c>
      <c r="AN11" s="41">
        <v>1012.7327284680443</v>
      </c>
      <c r="AO11" s="42">
        <v>15237.126527266966</v>
      </c>
      <c r="AP11" s="41">
        <v>1013.3059220747011</v>
      </c>
      <c r="AQ11" s="42">
        <v>18198.601428984042</v>
      </c>
      <c r="AR11" s="41">
        <v>1013.8188056755446</v>
      </c>
      <c r="AS11" s="42">
        <v>22511.705519088009</v>
      </c>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c r="AU12" s="42"/>
      <c r="AV12" s="41"/>
      <c r="AW12" s="42"/>
    </row>
    <row r="13" spans="1:49" x14ac:dyDescent="0.2">
      <c r="A13" t="s">
        <v>17</v>
      </c>
      <c r="B13" s="97">
        <v>1000</v>
      </c>
      <c r="C13" s="98">
        <v>1000</v>
      </c>
      <c r="D13" s="97">
        <v>1001.1517323887971</v>
      </c>
      <c r="E13" s="98">
        <v>1001.1517323887971</v>
      </c>
      <c r="F13" s="97">
        <v>1002.4634627301532</v>
      </c>
      <c r="G13" s="98">
        <v>1002.4634627301532</v>
      </c>
      <c r="H13" s="97">
        <v>1003.9572530181994</v>
      </c>
      <c r="I13" s="98">
        <v>1003.9572530181994</v>
      </c>
      <c r="J13" s="97">
        <v>1005.6616653498401</v>
      </c>
      <c r="K13" s="98">
        <v>1005.6616653498401</v>
      </c>
      <c r="L13" s="97">
        <v>1007.6142431427314</v>
      </c>
      <c r="M13" s="98">
        <v>1007.6142431427314</v>
      </c>
      <c r="N13" s="97">
        <v>1009.8652894673563</v>
      </c>
      <c r="O13" s="98">
        <v>1009.8652894673563</v>
      </c>
      <c r="P13" s="97">
        <v>1012.4835328100934</v>
      </c>
      <c r="Q13" s="98">
        <v>1012.4835328100934</v>
      </c>
      <c r="R13" s="97">
        <v>1015.565026361517</v>
      </c>
      <c r="S13" s="98">
        <v>1015.565026361517</v>
      </c>
      <c r="T13" s="97">
        <v>1019.2473898162347</v>
      </c>
      <c r="U13" s="98">
        <v>1019.2473898162347</v>
      </c>
      <c r="V13" s="97">
        <v>1023.7334683026312</v>
      </c>
      <c r="W13" s="98">
        <v>1023.7334683026312</v>
      </c>
      <c r="X13" s="97">
        <v>1029.3317138993771</v>
      </c>
      <c r="Y13" s="98">
        <v>1029.3317138993771</v>
      </c>
      <c r="Z13" s="97">
        <v>1036.5274071482222</v>
      </c>
      <c r="AA13" s="98">
        <v>1036.5274071482222</v>
      </c>
      <c r="AB13" s="97">
        <v>1046.1110366939288</v>
      </c>
      <c r="AC13" s="98">
        <v>1046.1110366939288</v>
      </c>
      <c r="AD13" s="97">
        <v>1059.4110317102211</v>
      </c>
      <c r="AE13" s="98">
        <v>1059.4110317102211</v>
      </c>
      <c r="AF13" s="97">
        <v>1078.7100941441149</v>
      </c>
      <c r="AG13" s="98">
        <v>1078.7100941441149</v>
      </c>
      <c r="AH13" s="97">
        <v>1108.0213872504287</v>
      </c>
      <c r="AI13" s="98">
        <v>1108.0213872504287</v>
      </c>
      <c r="AJ13" s="97">
        <v>1155.0396582604428</v>
      </c>
      <c r="AK13" s="98">
        <v>1155.0396582604428</v>
      </c>
      <c r="AL13" s="97">
        <v>1238.5677309939026</v>
      </c>
      <c r="AM13" s="98">
        <v>1238.5677309939026</v>
      </c>
      <c r="AN13" s="97">
        <v>1428.2654189936436</v>
      </c>
      <c r="AO13" s="98">
        <v>1428.2654189936436</v>
      </c>
      <c r="AP13" s="97">
        <v>1501.0693295659491</v>
      </c>
      <c r="AQ13" s="98">
        <v>1501.0693295659491</v>
      </c>
      <c r="AR13" s="97">
        <v>1601.7575451477444</v>
      </c>
      <c r="AS13" s="98">
        <v>1601.7575451477444</v>
      </c>
      <c r="AT13" s="97"/>
      <c r="AU13" s="98"/>
      <c r="AV13" s="97"/>
      <c r="AW13" s="98"/>
    </row>
    <row r="14" spans="1:49" x14ac:dyDescent="0.2">
      <c r="A14" t="s">
        <v>36</v>
      </c>
      <c r="B14" s="41">
        <v>1457.0034251455234</v>
      </c>
      <c r="C14" s="42">
        <v>1457.0034251455236</v>
      </c>
      <c r="D14" s="41">
        <v>1458.6815031808517</v>
      </c>
      <c r="E14" s="42">
        <v>1458.6815031808519</v>
      </c>
      <c r="F14" s="41">
        <v>1460.5926987810749</v>
      </c>
      <c r="G14" s="42">
        <v>1460.5926987810751</v>
      </c>
      <c r="H14" s="41">
        <v>1462.7691563472072</v>
      </c>
      <c r="I14" s="42">
        <v>1462.7691563472074</v>
      </c>
      <c r="J14" s="41">
        <v>1465.2524909522681</v>
      </c>
      <c r="K14" s="42">
        <v>1465.2524909522681</v>
      </c>
      <c r="L14" s="41">
        <v>1468.0974034843737</v>
      </c>
      <c r="M14" s="42">
        <v>1468.0974034843739</v>
      </c>
      <c r="N14" s="41">
        <v>1471.3771856895135</v>
      </c>
      <c r="O14" s="42">
        <v>1471.3771856895137</v>
      </c>
      <c r="P14" s="41">
        <v>1475.1919752077458</v>
      </c>
      <c r="Q14" s="42">
        <v>1475.1919752077461</v>
      </c>
      <c r="R14" s="41">
        <v>1479.6817218667338</v>
      </c>
      <c r="S14" s="42">
        <v>1479.6817218667341</v>
      </c>
      <c r="T14" s="41">
        <v>1485.0469380328882</v>
      </c>
      <c r="U14" s="42">
        <v>1485.0469380328884</v>
      </c>
      <c r="V14" s="41">
        <v>1491.5831697530396</v>
      </c>
      <c r="W14" s="42">
        <v>1491.5831697530398</v>
      </c>
      <c r="X14" s="41">
        <v>1499.7398327623041</v>
      </c>
      <c r="Y14" s="42">
        <v>1499.7398327623043</v>
      </c>
      <c r="Z14" s="41">
        <v>1510.223982472168</v>
      </c>
      <c r="AA14" s="42">
        <v>1510.2239824721682</v>
      </c>
      <c r="AB14" s="41">
        <v>1524.1873635455884</v>
      </c>
      <c r="AC14" s="42">
        <v>1524.1873635455886</v>
      </c>
      <c r="AD14" s="41">
        <v>1543.5655018387447</v>
      </c>
      <c r="AE14" s="42">
        <v>1543.5655018387449</v>
      </c>
      <c r="AF14" s="41">
        <v>1571.6843019070252</v>
      </c>
      <c r="AG14" s="42">
        <v>1571.6843019070257</v>
      </c>
      <c r="AH14" s="41">
        <v>1614.3909563583688</v>
      </c>
      <c r="AI14" s="42">
        <v>1614.3909563583691</v>
      </c>
      <c r="AJ14" s="41">
        <v>1682.8967382643798</v>
      </c>
      <c r="AK14" s="42">
        <v>1682.8967382643802</v>
      </c>
      <c r="AL14" s="41">
        <v>1804.5974263328353</v>
      </c>
      <c r="AM14" s="42">
        <v>1804.5974263328355</v>
      </c>
      <c r="AN14" s="41">
        <v>2080.9876074906447</v>
      </c>
      <c r="AO14" s="42">
        <v>2080.9876074906451</v>
      </c>
      <c r="AP14" s="41">
        <v>2187.063154558482</v>
      </c>
      <c r="AQ14" s="42">
        <v>2187.0631545584824</v>
      </c>
      <c r="AR14" s="41">
        <v>2333.7662295329487</v>
      </c>
      <c r="AS14" s="42">
        <v>2333.7662295329492</v>
      </c>
      <c r="AT14" s="41"/>
      <c r="AU14" s="42"/>
      <c r="AV14" s="41"/>
      <c r="AW14" s="42"/>
    </row>
    <row r="15" spans="1:49" x14ac:dyDescent="0.2">
      <c r="A15" t="s">
        <v>18</v>
      </c>
      <c r="B15" s="154">
        <v>1000</v>
      </c>
      <c r="C15" s="155">
        <v>1000</v>
      </c>
      <c r="D15" s="154">
        <v>992.37888701256065</v>
      </c>
      <c r="E15" s="155">
        <v>992.37888701256065</v>
      </c>
      <c r="F15" s="154">
        <v>984.35849551052297</v>
      </c>
      <c r="G15" s="155">
        <v>984.35849551052297</v>
      </c>
      <c r="H15" s="154">
        <v>975.89846920200989</v>
      </c>
      <c r="I15" s="155">
        <v>975.89846920200989</v>
      </c>
      <c r="J15" s="154">
        <v>966.94956633014351</v>
      </c>
      <c r="K15" s="155">
        <v>966.94956633014351</v>
      </c>
      <c r="L15" s="154">
        <v>957.45069425426516</v>
      </c>
      <c r="M15" s="155">
        <v>957.45069425426516</v>
      </c>
      <c r="N15" s="154">
        <v>947.32480490144269</v>
      </c>
      <c r="O15" s="155">
        <v>947.32480490144269</v>
      </c>
      <c r="P15" s="154">
        <v>936.47267493837478</v>
      </c>
      <c r="Q15" s="155">
        <v>936.47267493837478</v>
      </c>
      <c r="R15" s="154">
        <v>924.76342309620475</v>
      </c>
      <c r="S15" s="155">
        <v>924.76342309620475</v>
      </c>
      <c r="T15" s="154">
        <v>912.01980143877643</v>
      </c>
      <c r="U15" s="155">
        <v>912.01980143877643</v>
      </c>
      <c r="V15" s="154">
        <v>897.99393194101117</v>
      </c>
      <c r="W15" s="155">
        <v>897.99393194101117</v>
      </c>
      <c r="X15" s="154">
        <v>882.32747133137957</v>
      </c>
      <c r="Y15" s="155">
        <v>882.32747133137957</v>
      </c>
      <c r="Z15" s="154">
        <v>864.48269512554918</v>
      </c>
      <c r="AA15" s="155">
        <v>864.48269512554918</v>
      </c>
      <c r="AB15" s="154">
        <v>843.62257373432897</v>
      </c>
      <c r="AC15" s="155">
        <v>843.62257373432897</v>
      </c>
      <c r="AD15" s="154">
        <v>818.40237375295874</v>
      </c>
      <c r="AE15" s="155">
        <v>818.40237375295874</v>
      </c>
      <c r="AF15" s="154">
        <v>786.62332150036298</v>
      </c>
      <c r="AG15" s="155">
        <v>786.62332150036298</v>
      </c>
      <c r="AH15" s="154">
        <v>744.67414634678607</v>
      </c>
      <c r="AI15" s="155">
        <v>744.67414634678607</v>
      </c>
      <c r="AJ15" s="154">
        <v>686.37151252178739</v>
      </c>
      <c r="AK15" s="155">
        <v>686.37151252178739</v>
      </c>
      <c r="AL15" s="154">
        <v>599.04279336023524</v>
      </c>
      <c r="AM15" s="155">
        <v>599.04279336023524</v>
      </c>
      <c r="AN15" s="154">
        <v>446.442587021218</v>
      </c>
      <c r="AO15" s="155">
        <v>446.442587021218</v>
      </c>
      <c r="AP15" s="154">
        <v>399.12003507661677</v>
      </c>
      <c r="AQ15" s="155">
        <v>399.12003507661677</v>
      </c>
      <c r="AR15" s="154">
        <v>341.11615908625117</v>
      </c>
      <c r="AS15" s="155">
        <v>341.11615908625117</v>
      </c>
      <c r="AT15" s="154"/>
      <c r="AU15" s="155"/>
      <c r="AV15" s="154"/>
      <c r="AW15" s="155"/>
    </row>
    <row r="16" spans="1:49" s="29" customFormat="1" x14ac:dyDescent="0.2">
      <c r="A16" t="s">
        <v>61</v>
      </c>
      <c r="B16" s="41">
        <v>1000</v>
      </c>
      <c r="C16" s="42">
        <v>1000</v>
      </c>
      <c r="D16" s="41">
        <v>997.06520019003972</v>
      </c>
      <c r="E16" s="42">
        <v>994.88805931346315</v>
      </c>
      <c r="F16" s="41">
        <v>994.04414247478167</v>
      </c>
      <c r="G16" s="42">
        <v>989.54483782975831</v>
      </c>
      <c r="H16" s="41">
        <v>990.92453301662908</v>
      </c>
      <c r="I16" s="42">
        <v>983.94464822108796</v>
      </c>
      <c r="J16" s="41">
        <v>987.6926233569842</v>
      </c>
      <c r="K16" s="42">
        <v>978.05702470153972</v>
      </c>
      <c r="L16" s="41">
        <v>984.33301000225083</v>
      </c>
      <c r="M16" s="42">
        <v>971.84507018681791</v>
      </c>
      <c r="N16" s="41">
        <v>980.82826481260759</v>
      </c>
      <c r="O16" s="42">
        <v>965.26356445257989</v>
      </c>
      <c r="P16" s="41">
        <v>977.15857736797238</v>
      </c>
      <c r="Q16" s="42">
        <v>958.25580505673815</v>
      </c>
      <c r="R16" s="41">
        <v>973.30121231881901</v>
      </c>
      <c r="S16" s="42">
        <v>950.74902843966493</v>
      </c>
      <c r="T16" s="41">
        <v>969.22984736885587</v>
      </c>
      <c r="U16" s="42">
        <v>942.64727816380287</v>
      </c>
      <c r="V16" s="41">
        <v>964.91345540307509</v>
      </c>
      <c r="W16" s="42">
        <v>933.81978149622375</v>
      </c>
      <c r="X16" s="41">
        <v>960.31471398003237</v>
      </c>
      <c r="Y16" s="42">
        <v>924.08184804466987</v>
      </c>
      <c r="Z16" s="41">
        <v>955.38683232684389</v>
      </c>
      <c r="AA16" s="42">
        <v>913.16183750708751</v>
      </c>
      <c r="AB16" s="41">
        <v>950.06685066909233</v>
      </c>
      <c r="AC16" s="42">
        <v>900.64319343827594</v>
      </c>
      <c r="AD16" s="41">
        <v>944.25864490936851</v>
      </c>
      <c r="AE16" s="42">
        <v>885.86189133598248</v>
      </c>
      <c r="AF16" s="41">
        <v>937.78730298209609</v>
      </c>
      <c r="AG16" s="42">
        <v>867.73008352694853</v>
      </c>
      <c r="AH16" s="41">
        <v>930.28381528173975</v>
      </c>
      <c r="AI16" s="42">
        <v>844.44654169444993</v>
      </c>
      <c r="AJ16" s="41">
        <v>920.94246573127418</v>
      </c>
      <c r="AK16" s="42">
        <v>812.93288201586904</v>
      </c>
      <c r="AL16" s="41">
        <v>908.03390370020065</v>
      </c>
      <c r="AM16" s="42">
        <v>767.27078320717635</v>
      </c>
      <c r="AN16" s="41">
        <v>887.16358398832756</v>
      </c>
      <c r="AO16" s="42">
        <v>694.42294906819313</v>
      </c>
      <c r="AP16" s="41">
        <v>880.99184269678301</v>
      </c>
      <c r="AQ16" s="42">
        <v>675.43533092278199</v>
      </c>
      <c r="AR16" s="41">
        <v>873.53227507371582</v>
      </c>
      <c r="AS16" s="42">
        <v>657.71551455166662</v>
      </c>
      <c r="AT16" s="41"/>
      <c r="AU16" s="42"/>
      <c r="AV16" s="41"/>
      <c r="AW16" s="42"/>
    </row>
    <row r="17" spans="1:49" x14ac:dyDescent="0.2">
      <c r="A17" t="s">
        <v>62</v>
      </c>
      <c r="B17" s="35">
        <v>999.99999999998658</v>
      </c>
      <c r="C17" s="36">
        <v>1000.0000000000002</v>
      </c>
      <c r="D17" s="35">
        <v>998.91699496587432</v>
      </c>
      <c r="E17" s="36">
        <v>1020.0256354135702</v>
      </c>
      <c r="F17" s="35">
        <v>997.83339907682614</v>
      </c>
      <c r="G17" s="36">
        <v>1041.8383571690131</v>
      </c>
      <c r="H17" s="35">
        <v>996.74688435327607</v>
      </c>
      <c r="I17" s="36">
        <v>1065.7148131614088</v>
      </c>
      <c r="J17" s="35">
        <v>995.65572512997312</v>
      </c>
      <c r="K17" s="36">
        <v>1091.9988787286136</v>
      </c>
      <c r="L17" s="35">
        <v>994.55920775419736</v>
      </c>
      <c r="M17" s="36">
        <v>1121.124206095491</v>
      </c>
      <c r="N17" s="35">
        <v>993.45829744950288</v>
      </c>
      <c r="O17" s="36">
        <v>1153.6498638003773</v>
      </c>
      <c r="P17" s="35">
        <v>992.35665831583458</v>
      </c>
      <c r="Q17" s="36">
        <v>1190.3120076042126</v>
      </c>
      <c r="R17" s="35">
        <v>991.26227440457899</v>
      </c>
      <c r="S17" s="36">
        <v>1232.105946711067</v>
      </c>
      <c r="T17" s="35">
        <v>990.19003889665521</v>
      </c>
      <c r="U17" s="36">
        <v>1280.4172900615956</v>
      </c>
      <c r="V17" s="35">
        <v>989.16585864163778</v>
      </c>
      <c r="W17" s="36">
        <v>1337.2432201080544</v>
      </c>
      <c r="X17" s="35">
        <v>988.23331304322676</v>
      </c>
      <c r="Y17" s="36">
        <v>1405.5757731724491</v>
      </c>
      <c r="Z17" s="35">
        <v>987.46396010516366</v>
      </c>
      <c r="AA17" s="36">
        <v>1490.0995496307728</v>
      </c>
      <c r="AB17" s="35">
        <v>986.97206585171796</v>
      </c>
      <c r="AC17" s="36">
        <v>1598.5061843624558</v>
      </c>
      <c r="AD17" s="35">
        <v>986.92956697498278</v>
      </c>
      <c r="AE17" s="36">
        <v>1744.0518659839584</v>
      </c>
      <c r="AF17" s="35">
        <v>987.55955259448854</v>
      </c>
      <c r="AG17" s="36">
        <v>1950.6258797931953</v>
      </c>
      <c r="AH17" s="35">
        <v>989.05510048765279</v>
      </c>
      <c r="AI17" s="36">
        <v>2263.3088396293197</v>
      </c>
      <c r="AJ17" s="35">
        <v>991.40162509691561</v>
      </c>
      <c r="AK17" s="36">
        <v>2775.2544425046976</v>
      </c>
      <c r="AL17" s="35">
        <v>994.27644518344266</v>
      </c>
      <c r="AM17" s="36">
        <v>3725.7462920298758</v>
      </c>
      <c r="AN17" s="35">
        <v>997.16038834308142</v>
      </c>
      <c r="AO17" s="36">
        <v>6057.0323364351252</v>
      </c>
      <c r="AP17" s="35">
        <v>997.67152814128212</v>
      </c>
      <c r="AQ17" s="36">
        <v>7012.3601744408988</v>
      </c>
      <c r="AR17" s="35">
        <v>998.12921138277261</v>
      </c>
      <c r="AS17" s="36">
        <v>8392.5824363380361</v>
      </c>
      <c r="AT17" s="35"/>
      <c r="AU17" s="36"/>
      <c r="AV17" s="35"/>
      <c r="AW17" s="36"/>
    </row>
    <row r="18" spans="1:49" x14ac:dyDescent="0.2">
      <c r="A18" t="s">
        <v>19</v>
      </c>
      <c r="B18" s="33">
        <v>27857.010133999996</v>
      </c>
      <c r="C18" s="34">
        <v>1236.7674480000003</v>
      </c>
      <c r="D18" s="33">
        <v>27932.042794503806</v>
      </c>
      <c r="E18" s="34">
        <v>1145.202206079751</v>
      </c>
      <c r="F18" s="33">
        <v>27995.994795592218</v>
      </c>
      <c r="G18" s="34">
        <v>1053.9345934830287</v>
      </c>
      <c r="H18" s="33">
        <v>28047.795061820751</v>
      </c>
      <c r="I18" s="34">
        <v>963.00496096766346</v>
      </c>
      <c r="J18" s="33">
        <v>28086.118078934767</v>
      </c>
      <c r="K18" s="34">
        <v>872.48415914541397</v>
      </c>
      <c r="L18" s="33">
        <v>28109.325832396928</v>
      </c>
      <c r="M18" s="34">
        <v>782.47877383675427</v>
      </c>
      <c r="N18" s="33">
        <v>28115.348243912769</v>
      </c>
      <c r="O18" s="34">
        <v>693.15657670172277</v>
      </c>
      <c r="P18" s="33">
        <v>28101.544526437312</v>
      </c>
      <c r="Q18" s="34">
        <v>604.76740693068268</v>
      </c>
      <c r="R18" s="33">
        <v>28064.475554122288</v>
      </c>
      <c r="S18" s="34">
        <v>517.68346298118695</v>
      </c>
      <c r="T18" s="33">
        <v>27999.570685521521</v>
      </c>
      <c r="U18" s="34">
        <v>432.45082887339794</v>
      </c>
      <c r="V18" s="33">
        <v>27900.581880487058</v>
      </c>
      <c r="W18" s="34">
        <v>349.87474360469662</v>
      </c>
      <c r="X18" s="33">
        <v>27758.702633834058</v>
      </c>
      <c r="Y18" s="34">
        <v>271.12902543889163</v>
      </c>
      <c r="Z18" s="33">
        <v>27561.024626989543</v>
      </c>
      <c r="AA18" s="34">
        <v>197.91153231037808</v>
      </c>
      <c r="AB18" s="33">
        <v>27287.762250607135</v>
      </c>
      <c r="AC18" s="34">
        <v>132.60164384170952</v>
      </c>
      <c r="AD18" s="33">
        <v>26906.969246600336</v>
      </c>
      <c r="AE18" s="34">
        <v>78.284238328272636</v>
      </c>
      <c r="AF18" s="33">
        <v>26364.152630493863</v>
      </c>
      <c r="AG18" s="34">
        <v>38.202431547717296</v>
      </c>
      <c r="AH18" s="33">
        <v>25560.822177426693</v>
      </c>
      <c r="AI18" s="34">
        <v>13.992316469734055</v>
      </c>
      <c r="AJ18" s="33">
        <v>24304.345019297372</v>
      </c>
      <c r="AK18" s="34">
        <v>3.3231468118229555</v>
      </c>
      <c r="AL18" s="33">
        <v>22155.500413263806</v>
      </c>
      <c r="AM18" s="34">
        <v>0.38833876648952587</v>
      </c>
      <c r="AN18" s="33">
        <v>17754.548822274548</v>
      </c>
      <c r="AO18" s="34">
        <v>9.8672589678220762E-3</v>
      </c>
      <c r="AP18" s="33">
        <v>16240.40429856431</v>
      </c>
      <c r="AQ18" s="34">
        <v>3.1530076309053447E-3</v>
      </c>
      <c r="AR18" s="33">
        <v>14290.093417453787</v>
      </c>
      <c r="AS18" s="34">
        <v>7.582639791129768E-4</v>
      </c>
      <c r="AT18" s="33"/>
      <c r="AU18" s="34"/>
      <c r="AV18" s="33"/>
      <c r="AW18" s="34"/>
    </row>
    <row r="19" spans="1:49" x14ac:dyDescent="0.2">
      <c r="A19" t="s">
        <v>3</v>
      </c>
      <c r="B19" s="41">
        <v>1886.3937399999966</v>
      </c>
      <c r="C19" s="42">
        <v>262.78711299999782</v>
      </c>
      <c r="D19" s="41">
        <v>1885.5104247731369</v>
      </c>
      <c r="E19" s="42">
        <v>273.12760969529717</v>
      </c>
      <c r="F19" s="41">
        <v>1883.8427431242039</v>
      </c>
      <c r="G19" s="42">
        <v>284.22871316179805</v>
      </c>
      <c r="H19" s="41">
        <v>1881.3129614864151</v>
      </c>
      <c r="I19" s="42">
        <v>296.11769165922919</v>
      </c>
      <c r="J19" s="41">
        <v>1877.8304723291274</v>
      </c>
      <c r="K19" s="42">
        <v>308.80390154744424</v>
      </c>
      <c r="L19" s="41">
        <v>1873.2906499728965</v>
      </c>
      <c r="M19" s="42">
        <v>322.26639983139745</v>
      </c>
      <c r="N19" s="41">
        <v>1867.5709614610519</v>
      </c>
      <c r="O19" s="42">
        <v>336.43655764247808</v>
      </c>
      <c r="P19" s="41">
        <v>1860.5280465289877</v>
      </c>
      <c r="Q19" s="42">
        <v>351.16985153458404</v>
      </c>
      <c r="R19" s="41">
        <v>1851.9922405205248</v>
      </c>
      <c r="S19" s="42">
        <v>366.2030081369835</v>
      </c>
      <c r="T19" s="41">
        <v>1841.7605428249506</v>
      </c>
      <c r="U19" s="42">
        <v>381.08610810882283</v>
      </c>
      <c r="V19" s="41">
        <v>1829.5837289161191</v>
      </c>
      <c r="W19" s="42">
        <v>395.07695603603952</v>
      </c>
      <c r="X19" s="41">
        <v>1815.1444812970697</v>
      </c>
      <c r="Y19" s="42">
        <v>406.97407791600142</v>
      </c>
      <c r="Z19" s="41">
        <v>1798.0093986183742</v>
      </c>
      <c r="AA19" s="42">
        <v>414.86427981055192</v>
      </c>
      <c r="AB19" s="41">
        <v>1777.5171000312096</v>
      </c>
      <c r="AC19" s="42">
        <v>415.77824240629627</v>
      </c>
      <c r="AD19" s="41">
        <v>1752.4852446965149</v>
      </c>
      <c r="AE19" s="42">
        <v>405.37836268173362</v>
      </c>
      <c r="AF19" s="41">
        <v>1720.4289584590792</v>
      </c>
      <c r="AG19" s="42">
        <v>378.22714365679127</v>
      </c>
      <c r="AH19" s="41">
        <v>1675.5922297751404</v>
      </c>
      <c r="AI19" s="42">
        <v>329.85220253337042</v>
      </c>
      <c r="AJ19" s="41">
        <v>1604.5297020550365</v>
      </c>
      <c r="AK19" s="42">
        <v>260.77672845965753</v>
      </c>
      <c r="AL19" s="41">
        <v>1475.2710829548187</v>
      </c>
      <c r="AM19" s="42">
        <v>177.90213883030913</v>
      </c>
      <c r="AN19" s="41">
        <v>1192.3403022732844</v>
      </c>
      <c r="AO19" s="42">
        <v>89.475378224248715</v>
      </c>
      <c r="AP19" s="41">
        <v>1092.2935307309288</v>
      </c>
      <c r="AQ19" s="42">
        <v>71.598753232265906</v>
      </c>
      <c r="AR19" s="41">
        <v>962.4105384028835</v>
      </c>
      <c r="AS19" s="42">
        <v>53.706144321273037</v>
      </c>
      <c r="AT19" s="41"/>
      <c r="AU19" s="42"/>
      <c r="AV19" s="41"/>
      <c r="AW19" s="42"/>
    </row>
    <row r="20" spans="1:49" x14ac:dyDescent="0.2">
      <c r="A20" t="s">
        <v>127</v>
      </c>
      <c r="B20" s="82">
        <v>26548.356269999993</v>
      </c>
      <c r="C20" s="83">
        <v>1408.5418709999938</v>
      </c>
      <c r="D20" s="82">
        <v>26599.29533780471</v>
      </c>
      <c r="E20" s="83">
        <v>1338.1147774499941</v>
      </c>
      <c r="F20" s="82">
        <v>26639.445383458871</v>
      </c>
      <c r="G20" s="83">
        <v>1267.6876838999945</v>
      </c>
      <c r="H20" s="82">
        <v>26667.765208186971</v>
      </c>
      <c r="I20" s="83">
        <v>1197.2605903499946</v>
      </c>
      <c r="J20" s="82">
        <v>26682.985761682761</v>
      </c>
      <c r="K20" s="83">
        <v>1126.8334967999949</v>
      </c>
      <c r="L20" s="82">
        <v>26683.56477573204</v>
      </c>
      <c r="M20" s="83">
        <v>1056.4064032499953</v>
      </c>
      <c r="N20" s="82">
        <v>26667.588543385918</v>
      </c>
      <c r="O20" s="83">
        <v>985.97930969999561</v>
      </c>
      <c r="P20" s="82">
        <v>26632.663773278517</v>
      </c>
      <c r="Q20" s="83">
        <v>915.55221614999596</v>
      </c>
      <c r="R20" s="82">
        <v>26575.737984760686</v>
      </c>
      <c r="S20" s="83">
        <v>845.1251225999963</v>
      </c>
      <c r="T20" s="82">
        <v>26492.840611283355</v>
      </c>
      <c r="U20" s="83">
        <v>774.69802904999653</v>
      </c>
      <c r="V20" s="82">
        <v>26378.653833365468</v>
      </c>
      <c r="W20" s="83">
        <v>704.27093549999688</v>
      </c>
      <c r="X20" s="82">
        <v>26225.815897383891</v>
      </c>
      <c r="Y20" s="83">
        <v>633.84384194999734</v>
      </c>
      <c r="Z20" s="82">
        <v>26023.662824213872</v>
      </c>
      <c r="AA20" s="83">
        <v>563.41674839999746</v>
      </c>
      <c r="AB20" s="82">
        <v>25755.864693898908</v>
      </c>
      <c r="AC20" s="83">
        <v>492.98965484999781</v>
      </c>
      <c r="AD20" s="82">
        <v>25395.614559524471</v>
      </c>
      <c r="AE20" s="83">
        <v>422.56256129999804</v>
      </c>
      <c r="AF20" s="82">
        <v>24895.385617153319</v>
      </c>
      <c r="AG20" s="83">
        <v>352.13546774999827</v>
      </c>
      <c r="AH20" s="82">
        <v>24164.483860980206</v>
      </c>
      <c r="AI20" s="83">
        <v>281.70837419999856</v>
      </c>
      <c r="AJ20" s="82">
        <v>23017.481110790588</v>
      </c>
      <c r="AK20" s="83">
        <v>211.28128064999879</v>
      </c>
      <c r="AL20" s="82">
        <v>21027.348662278928</v>
      </c>
      <c r="AM20" s="83">
        <v>140.85418709999902</v>
      </c>
      <c r="AN20" s="82">
        <v>16886.036856022569</v>
      </c>
      <c r="AO20" s="83">
        <v>70.42709354999927</v>
      </c>
      <c r="AP20" s="82">
        <v>15451.669115329219</v>
      </c>
      <c r="AQ20" s="83">
        <v>56.341674839999328</v>
      </c>
      <c r="AR20" s="82">
        <v>13600.562916759021</v>
      </c>
      <c r="AS20" s="83">
        <v>42.256256129999379</v>
      </c>
      <c r="AT20" s="82"/>
      <c r="AU20" s="83"/>
      <c r="AV20" s="82"/>
      <c r="AW20" s="83"/>
    </row>
    <row r="21" spans="1:49" x14ac:dyDescent="0.2">
      <c r="A21" t="s">
        <v>76</v>
      </c>
      <c r="B21" s="82">
        <v>24661.96252999999</v>
      </c>
      <c r="C21" s="83">
        <v>1145.7547579999916</v>
      </c>
      <c r="D21" s="82">
        <v>24713.787803489089</v>
      </c>
      <c r="E21" s="83">
        <v>1065.1520166016383</v>
      </c>
      <c r="F21" s="82">
        <v>24755.614244162305</v>
      </c>
      <c r="G21" s="83">
        <v>984.15593036921757</v>
      </c>
      <c r="H21" s="82">
        <v>24786.478476288641</v>
      </c>
      <c r="I21" s="83">
        <v>902.80251092430183</v>
      </c>
      <c r="J21" s="82">
        <v>24805.202167460051</v>
      </c>
      <c r="K21" s="83">
        <v>821.15569124089109</v>
      </c>
      <c r="L21" s="82">
        <v>24810.347775490947</v>
      </c>
      <c r="M21" s="83">
        <v>739.32027782893897</v>
      </c>
      <c r="N21" s="82">
        <v>24800.124162306216</v>
      </c>
      <c r="O21" s="83">
        <v>657.45908542213067</v>
      </c>
      <c r="P21" s="82">
        <v>24772.281274795037</v>
      </c>
      <c r="Q21" s="83">
        <v>575.81901813711704</v>
      </c>
      <c r="R21" s="82">
        <v>24723.935860765014</v>
      </c>
      <c r="S21" s="83">
        <v>494.76822882501051</v>
      </c>
      <c r="T21" s="82">
        <v>24651.319346519958</v>
      </c>
      <c r="U21" s="83">
        <v>414.85122725108255</v>
      </c>
      <c r="V21" s="82">
        <v>24549.361146280702</v>
      </c>
      <c r="W21" s="83">
        <v>336.8683532441828</v>
      </c>
      <c r="X21" s="82">
        <v>24411.013212932827</v>
      </c>
      <c r="Y21" s="83">
        <v>261.99077950980507</v>
      </c>
      <c r="Z21" s="82">
        <v>24226.038842778849</v>
      </c>
      <c r="AA21" s="83">
        <v>191.91355092256521</v>
      </c>
      <c r="AB21" s="82">
        <v>23978.759878225661</v>
      </c>
      <c r="AC21" s="83">
        <v>129.02020414339867</v>
      </c>
      <c r="AD21" s="82">
        <v>23643.538515760894</v>
      </c>
      <c r="AE21" s="83">
        <v>76.41548848889569</v>
      </c>
      <c r="AF21" s="82">
        <v>23175.319710791631</v>
      </c>
      <c r="AG21" s="83">
        <v>37.400060681669864</v>
      </c>
      <c r="AH21" s="82">
        <v>22489.163768402061</v>
      </c>
      <c r="AI21" s="83">
        <v>13.732389225431591</v>
      </c>
      <c r="AJ21" s="82">
        <v>21413.110826725042</v>
      </c>
      <c r="AK21" s="83">
        <v>3.2673731487845017</v>
      </c>
      <c r="AL21" s="82">
        <v>19552.141833434976</v>
      </c>
      <c r="AM21" s="83">
        <v>0.38223869560121243</v>
      </c>
      <c r="AN21" s="82">
        <v>15693.709200793703</v>
      </c>
      <c r="AO21" s="83">
        <v>9.7167445327047564E-3</v>
      </c>
      <c r="AP21" s="82">
        <v>14359.383360256908</v>
      </c>
      <c r="AQ21" s="83">
        <v>3.1050279560393516E-3</v>
      </c>
      <c r="AR21" s="82">
        <v>12638.156793420538</v>
      </c>
      <c r="AS21" s="83">
        <v>7.4674243901187611E-4</v>
      </c>
      <c r="AT21" s="82"/>
      <c r="AU21" s="83"/>
      <c r="AV21" s="82"/>
      <c r="AW21" s="83"/>
    </row>
    <row r="22" spans="1:49" x14ac:dyDescent="0.2">
      <c r="A22" t="s">
        <v>28</v>
      </c>
      <c r="B22" s="41">
        <v>6533.6044688320717</v>
      </c>
      <c r="C22" s="42">
        <v>379.90788307663411</v>
      </c>
      <c r="D22" s="41">
        <v>6551.072935473695</v>
      </c>
      <c r="E22" s="42">
        <v>371.28724832409034</v>
      </c>
      <c r="F22" s="41">
        <v>6565.6351707174845</v>
      </c>
      <c r="G22" s="42">
        <v>362.22655907806461</v>
      </c>
      <c r="H22" s="41">
        <v>6577.0049162849909</v>
      </c>
      <c r="I22" s="42">
        <v>352.69983645919552</v>
      </c>
      <c r="J22" s="41">
        <v>6584.83404228165</v>
      </c>
      <c r="K22" s="42">
        <v>342.67557754570271</v>
      </c>
      <c r="L22" s="41">
        <v>6588.7012985174024</v>
      </c>
      <c r="M22" s="42">
        <v>332.1156994143243</v>
      </c>
      <c r="N22" s="41">
        <v>6588.0851164021569</v>
      </c>
      <c r="O22" s="42">
        <v>320.97266674546978</v>
      </c>
      <c r="P22" s="41">
        <v>6582.3354190798682</v>
      </c>
      <c r="Q22" s="42">
        <v>309.18668076826026</v>
      </c>
      <c r="R22" s="41">
        <v>6570.6254138098629</v>
      </c>
      <c r="S22" s="42">
        <v>296.68087106827215</v>
      </c>
      <c r="T22" s="41">
        <v>6551.883416954006</v>
      </c>
      <c r="U22" s="42">
        <v>283.35492219782185</v>
      </c>
      <c r="V22" s="41">
        <v>6524.6776394347407</v>
      </c>
      <c r="W22" s="42">
        <v>269.07507067698788</v>
      </c>
      <c r="X22" s="41">
        <v>6487.0324555666784</v>
      </c>
      <c r="Y22" s="42">
        <v>253.66059590519632</v>
      </c>
      <c r="Z22" s="41">
        <v>6436.0928237813587</v>
      </c>
      <c r="AA22" s="42">
        <v>236.86441780746586</v>
      </c>
      <c r="AB22" s="41">
        <v>6367.4964389129746</v>
      </c>
      <c r="AC22" s="42">
        <v>218.35034715017116</v>
      </c>
      <c r="AD22" s="41">
        <v>6274.0934910469477</v>
      </c>
      <c r="AE22" s="42">
        <v>197.67689627002781</v>
      </c>
      <c r="AF22" s="41">
        <v>6143.2281205328945</v>
      </c>
      <c r="AG22" s="42">
        <v>174.32345022861341</v>
      </c>
      <c r="AH22" s="41">
        <v>5950.8390684700998</v>
      </c>
      <c r="AI22" s="42">
        <v>147.81140325187687</v>
      </c>
      <c r="AJ22" s="41">
        <v>5648.2159015420302</v>
      </c>
      <c r="AK22" s="42">
        <v>117.85849590442169</v>
      </c>
      <c r="AL22" s="41">
        <v>5125.3852271104197</v>
      </c>
      <c r="AM22" s="42">
        <v>84.232675567364268</v>
      </c>
      <c r="AN22" s="41">
        <v>4055.9793872127029</v>
      </c>
      <c r="AO22" s="42">
        <v>46.085290700081956</v>
      </c>
      <c r="AP22" s="41">
        <v>3692.1195196727922</v>
      </c>
      <c r="AQ22" s="42">
        <v>37.723225610239425</v>
      </c>
      <c r="AR22" s="41">
        <v>3227.56191606326</v>
      </c>
      <c r="AS22" s="42">
        <v>29.034695641674372</v>
      </c>
      <c r="AT22" s="41"/>
      <c r="AU22" s="42"/>
      <c r="AV22" s="41"/>
      <c r="AW22" s="42"/>
    </row>
    <row r="23" spans="1:49" x14ac:dyDescent="0.2">
      <c r="A23" t="s">
        <v>7</v>
      </c>
      <c r="B23" s="116">
        <v>3278.5018080150408</v>
      </c>
      <c r="C23" s="8">
        <v>0</v>
      </c>
      <c r="D23" s="116">
        <v>3290.3501341898468</v>
      </c>
      <c r="E23" s="8">
        <v>0</v>
      </c>
      <c r="F23" s="116">
        <v>3300.96842766895</v>
      </c>
      <c r="G23" s="8">
        <v>0</v>
      </c>
      <c r="H23" s="116">
        <v>3310.2386293416575</v>
      </c>
      <c r="I23" s="8">
        <v>0</v>
      </c>
      <c r="J23" s="116">
        <v>3318.0168041311022</v>
      </c>
      <c r="K23" s="8">
        <v>0</v>
      </c>
      <c r="L23" s="116">
        <v>3324.1290546270502</v>
      </c>
      <c r="M23" s="8">
        <v>0</v>
      </c>
      <c r="N23" s="116">
        <v>3328.3602838438819</v>
      </c>
      <c r="O23" s="8">
        <v>0</v>
      </c>
      <c r="P23" s="116">
        <v>3330.4434549201478</v>
      </c>
      <c r="Q23" s="8">
        <v>0</v>
      </c>
      <c r="R23" s="116">
        <v>3330.0406443320089</v>
      </c>
      <c r="S23" s="8">
        <v>0</v>
      </c>
      <c r="T23" s="116">
        <v>3326.7168362270399</v>
      </c>
      <c r="U23" s="8">
        <v>0</v>
      </c>
      <c r="V23" s="116">
        <v>3319.8951145029014</v>
      </c>
      <c r="W23" s="8">
        <v>0</v>
      </c>
      <c r="X23" s="116">
        <v>3308.785064887174</v>
      </c>
      <c r="Y23" s="8">
        <v>0</v>
      </c>
      <c r="Z23" s="116">
        <v>3292.2489133555928</v>
      </c>
      <c r="AA23" s="8">
        <v>0</v>
      </c>
      <c r="AB23" s="116">
        <v>3268.5416477589265</v>
      </c>
      <c r="AC23" s="8">
        <v>0</v>
      </c>
      <c r="AD23" s="116">
        <v>3234.750557004822</v>
      </c>
      <c r="AE23" s="8">
        <v>0</v>
      </c>
      <c r="AF23" s="116">
        <v>3185.520958698989</v>
      </c>
      <c r="AG23" s="8">
        <v>0</v>
      </c>
      <c r="AH23" s="116">
        <v>3110.1016931396362</v>
      </c>
      <c r="AI23" s="8">
        <v>0</v>
      </c>
      <c r="AJ23" s="116">
        <v>2985.4480494432755</v>
      </c>
      <c r="AK23" s="8">
        <v>0</v>
      </c>
      <c r="AL23" s="116">
        <v>2756.9320455039192</v>
      </c>
      <c r="AM23" s="8">
        <v>0</v>
      </c>
      <c r="AN23" s="116">
        <v>2253.4601224067069</v>
      </c>
      <c r="AO23" s="8">
        <v>0</v>
      </c>
      <c r="AP23" s="116">
        <v>2073.2806916766854</v>
      </c>
      <c r="AQ23" s="8">
        <v>0</v>
      </c>
      <c r="AR23" s="116">
        <v>1837.3037160212164</v>
      </c>
      <c r="AS23" s="8">
        <v>0</v>
      </c>
      <c r="AT23" s="116"/>
      <c r="AU23" s="8"/>
      <c r="AV23" s="116"/>
      <c r="AW23" s="8"/>
    </row>
    <row r="24" spans="1:49" x14ac:dyDescent="0.2">
      <c r="A24" t="s">
        <v>8</v>
      </c>
      <c r="B24" s="97">
        <v>3196.3846373657216</v>
      </c>
      <c r="C24" s="8">
        <v>0</v>
      </c>
      <c r="D24" s="97">
        <v>3207.9361929844627</v>
      </c>
      <c r="E24" s="8">
        <v>0</v>
      </c>
      <c r="F24" s="97">
        <v>3218.2885272778049</v>
      </c>
      <c r="G24" s="8">
        <v>0</v>
      </c>
      <c r="H24" s="97">
        <v>3227.3265408362195</v>
      </c>
      <c r="I24" s="8">
        <v>0</v>
      </c>
      <c r="J24" s="97">
        <v>3234.9098935392512</v>
      </c>
      <c r="K24" s="8">
        <v>0</v>
      </c>
      <c r="L24" s="97">
        <v>3240.8690498588671</v>
      </c>
      <c r="M24" s="8">
        <v>0</v>
      </c>
      <c r="N24" s="97">
        <v>3244.994297906243</v>
      </c>
      <c r="O24" s="8">
        <v>0</v>
      </c>
      <c r="P24" s="97">
        <v>3247.0252906955461</v>
      </c>
      <c r="Q24" s="8">
        <v>0</v>
      </c>
      <c r="R24" s="97">
        <v>3246.6325723046903</v>
      </c>
      <c r="S24" s="8">
        <v>0</v>
      </c>
      <c r="T24" s="97">
        <v>3243.3920156877616</v>
      </c>
      <c r="U24" s="8">
        <v>0</v>
      </c>
      <c r="V24" s="97">
        <v>3236.7411595452036</v>
      </c>
      <c r="W24" s="8">
        <v>0</v>
      </c>
      <c r="X24" s="97">
        <v>3225.9093847097606</v>
      </c>
      <c r="Y24" s="8">
        <v>0</v>
      </c>
      <c r="Z24" s="97">
        <v>3209.7874172229895</v>
      </c>
      <c r="AA24" s="8">
        <v>0</v>
      </c>
      <c r="AB24" s="97">
        <v>3186.6739509975141</v>
      </c>
      <c r="AC24" s="8">
        <v>0</v>
      </c>
      <c r="AD24" s="97">
        <v>3153.7292311046021</v>
      </c>
      <c r="AE24" s="8">
        <v>0</v>
      </c>
      <c r="AF24" s="97">
        <v>3105.7326943946</v>
      </c>
      <c r="AG24" s="8">
        <v>0</v>
      </c>
      <c r="AH24" s="97">
        <v>3032.2024677053796</v>
      </c>
      <c r="AI24" s="8">
        <v>0</v>
      </c>
      <c r="AJ24" s="97">
        <v>2910.6710441791633</v>
      </c>
      <c r="AK24" s="8">
        <v>0</v>
      </c>
      <c r="AL24" s="97">
        <v>2687.8787179451615</v>
      </c>
      <c r="AM24" s="8">
        <v>0</v>
      </c>
      <c r="AN24" s="97">
        <v>2197.0173383976471</v>
      </c>
      <c r="AO24" s="8">
        <v>0</v>
      </c>
      <c r="AP24" s="97">
        <v>2021.3508913190583</v>
      </c>
      <c r="AQ24" s="8">
        <v>0</v>
      </c>
      <c r="AR24" s="97">
        <v>1791.2844695427561</v>
      </c>
      <c r="AS24" s="8">
        <v>0</v>
      </c>
      <c r="AT24" s="97"/>
      <c r="AU24" s="8"/>
      <c r="AV24" s="97"/>
      <c r="AW24" s="8"/>
    </row>
    <row r="25" spans="1:49" x14ac:dyDescent="0.2">
      <c r="A25" t="s">
        <v>0</v>
      </c>
      <c r="B25" s="41">
        <v>3195.0476040000012</v>
      </c>
      <c r="C25" s="42">
        <v>91.012690000004255</v>
      </c>
      <c r="D25" s="41">
        <v>3218.2456404727736</v>
      </c>
      <c r="E25" s="42">
        <v>80.020494874316853</v>
      </c>
      <c r="F25" s="41">
        <v>3240.3427604162121</v>
      </c>
      <c r="G25" s="42">
        <v>69.667249152885205</v>
      </c>
      <c r="H25" s="41">
        <v>3261.230665879928</v>
      </c>
      <c r="I25" s="42">
        <v>59.968527636634832</v>
      </c>
      <c r="J25" s="41">
        <v>3280.7616055287622</v>
      </c>
      <c r="K25" s="42">
        <v>50.940537084237477</v>
      </c>
      <c r="L25" s="41">
        <v>3298.7344084670503</v>
      </c>
      <c r="M25" s="42">
        <v>42.59982021082557</v>
      </c>
      <c r="N25" s="41">
        <v>3314.869729358617</v>
      </c>
      <c r="O25" s="42">
        <v>34.963727020957897</v>
      </c>
      <c r="P25" s="41">
        <v>3328.7769124299016</v>
      </c>
      <c r="Q25" s="42">
        <v>28.050231256112021</v>
      </c>
      <c r="R25" s="41">
        <v>3339.9012392457207</v>
      </c>
      <c r="S25" s="42">
        <v>21.878035763685052</v>
      </c>
      <c r="T25" s="41">
        <v>3347.4438421329078</v>
      </c>
      <c r="U25" s="42">
        <v>16.466201795161503</v>
      </c>
      <c r="V25" s="41">
        <v>3350.2339217377094</v>
      </c>
      <c r="W25" s="42">
        <v>11.833582175736735</v>
      </c>
      <c r="X25" s="41">
        <v>3346.5255399640223</v>
      </c>
      <c r="Y25" s="42">
        <v>7.9967258632625411</v>
      </c>
      <c r="Z25" s="41">
        <v>3333.6687052962693</v>
      </c>
      <c r="AA25" s="42">
        <v>4.965606489756393</v>
      </c>
      <c r="AB25" s="41">
        <v>3307.5902794425019</v>
      </c>
      <c r="AC25" s="42">
        <v>2.7341510424188566</v>
      </c>
      <c r="AD25" s="41">
        <v>3262.0289241086302</v>
      </c>
      <c r="AE25" s="42">
        <v>1.2621422994962286</v>
      </c>
      <c r="AF25" s="41">
        <v>3187.5928188032431</v>
      </c>
      <c r="AG25" s="42">
        <v>0.44740257728736837</v>
      </c>
      <c r="AH25" s="41">
        <v>3070.7352273394863</v>
      </c>
      <c r="AI25" s="42">
        <v>0.10659225084609075</v>
      </c>
      <c r="AJ25" s="41">
        <v>2890.6991722101584</v>
      </c>
      <c r="AK25" s="42">
        <v>1.3913312004933084E-2</v>
      </c>
      <c r="AL25" s="41">
        <v>2603.1457382266926</v>
      </c>
      <c r="AM25" s="42">
        <v>6.7402854214469103E-4</v>
      </c>
      <c r="AN25" s="41">
        <v>2060.7982699126437</v>
      </c>
      <c r="AO25" s="42">
        <v>3.8520839488900645E-6</v>
      </c>
      <c r="AP25" s="41">
        <v>1880.9955728519249</v>
      </c>
      <c r="AQ25" s="42">
        <v>7.7787824599611907E-7</v>
      </c>
      <c r="AR25" s="41">
        <v>1651.9222509317508</v>
      </c>
      <c r="AS25" s="42">
        <v>1.0592803768915519E-7</v>
      </c>
      <c r="AT25" s="41"/>
      <c r="AU25" s="42"/>
      <c r="AV25" s="41"/>
      <c r="AW25" s="42"/>
    </row>
    <row r="26" spans="1:49" x14ac:dyDescent="0.2">
      <c r="A26" t="s">
        <v>27</v>
      </c>
      <c r="B26" s="33">
        <v>5036.2953101960647</v>
      </c>
      <c r="C26" s="34">
        <v>74.905331803938267</v>
      </c>
      <c r="D26" s="33">
        <v>5066.8039160856342</v>
      </c>
      <c r="E26" s="34">
        <v>69.996782956636679</v>
      </c>
      <c r="F26" s="33">
        <v>5094.5531710703508</v>
      </c>
      <c r="G26" s="34">
        <v>65.025892813729413</v>
      </c>
      <c r="H26" s="33">
        <v>5119.2456300097892</v>
      </c>
      <c r="I26" s="34">
        <v>59.993075039477318</v>
      </c>
      <c r="J26" s="33">
        <v>5140.5201834558347</v>
      </c>
      <c r="K26" s="34">
        <v>54.900227180180444</v>
      </c>
      <c r="L26" s="33">
        <v>5157.9395941940529</v>
      </c>
      <c r="M26" s="34">
        <v>49.751268098383839</v>
      </c>
      <c r="N26" s="33">
        <v>5170.9632083357328</v>
      </c>
      <c r="O26" s="34">
        <v>44.553570538410447</v>
      </c>
      <c r="P26" s="33">
        <v>5178.9169614130087</v>
      </c>
      <c r="Q26" s="34">
        <v>39.319506805016978</v>
      </c>
      <c r="R26" s="33">
        <v>5180.9436078887884</v>
      </c>
      <c r="S26" s="34">
        <v>34.069104453792711</v>
      </c>
      <c r="T26" s="33">
        <v>5175.9299065966279</v>
      </c>
      <c r="U26" s="34">
        <v>28.833737297987518</v>
      </c>
      <c r="V26" s="33">
        <v>5162.3869808087993</v>
      </c>
      <c r="W26" s="34">
        <v>23.662042579411249</v>
      </c>
      <c r="X26" s="33">
        <v>5138.2508449057259</v>
      </c>
      <c r="Y26" s="34">
        <v>18.628180747738224</v>
      </c>
      <c r="Z26" s="33">
        <v>5100.5193485217351</v>
      </c>
      <c r="AA26" s="34">
        <v>13.843832791353405</v>
      </c>
      <c r="AB26" s="33">
        <v>5044.5566269968458</v>
      </c>
      <c r="AC26" s="34">
        <v>9.4722618325590187</v>
      </c>
      <c r="AD26" s="33">
        <v>4962.6593021197696</v>
      </c>
      <c r="AE26" s="34">
        <v>5.7362005334226627</v>
      </c>
      <c r="AF26" s="33">
        <v>4841.0089741506854</v>
      </c>
      <c r="AG26" s="34">
        <v>2.8898635330694651</v>
      </c>
      <c r="AH26" s="33">
        <v>4653.2434282230988</v>
      </c>
      <c r="AI26" s="34">
        <v>1.1026028367958522</v>
      </c>
      <c r="AJ26" s="33">
        <v>4347.1595957487407</v>
      </c>
      <c r="AK26" s="34">
        <v>0.27604777316099438</v>
      </c>
      <c r="AL26" s="33">
        <v>3812.724430058448</v>
      </c>
      <c r="AM26" s="34">
        <v>3.4538193419944643E-2</v>
      </c>
      <c r="AN26" s="33">
        <v>2771.05990209831</v>
      </c>
      <c r="AO26" s="34">
        <v>9.5992313716488633E-4</v>
      </c>
      <c r="AP26" s="33">
        <v>2442.2918665215752</v>
      </c>
      <c r="AQ26" s="34">
        <v>3.1298240809725538E-4</v>
      </c>
      <c r="AR26" s="33">
        <v>2044.4886337569351</v>
      </c>
      <c r="AS26" s="34">
        <v>7.6634203654053513E-5</v>
      </c>
      <c r="AT26" s="33"/>
      <c r="AU26" s="34"/>
      <c r="AV26" s="33"/>
      <c r="AW26" s="34"/>
    </row>
    <row r="27" spans="1:49" x14ac:dyDescent="0.2">
      <c r="A27" t="s">
        <v>2</v>
      </c>
      <c r="B27" s="35">
        <v>6425.1981589998131</v>
      </c>
      <c r="C27" s="36">
        <v>273.22915400000056</v>
      </c>
      <c r="D27" s="35">
        <v>6443.6318724863286</v>
      </c>
      <c r="E27" s="36">
        <v>254.79555809849791</v>
      </c>
      <c r="F27" s="35">
        <v>6462.1273276795446</v>
      </c>
      <c r="G27" s="36">
        <v>236.30014336076917</v>
      </c>
      <c r="H27" s="35">
        <v>6480.6958780634313</v>
      </c>
      <c r="I27" s="36">
        <v>217.73143786162944</v>
      </c>
      <c r="J27" s="35">
        <v>6499.3448520274424</v>
      </c>
      <c r="K27" s="36">
        <v>199.08251757725179</v>
      </c>
      <c r="L27" s="35">
        <v>6518.075811469982</v>
      </c>
      <c r="M27" s="36">
        <v>180.35150524775403</v>
      </c>
      <c r="N27" s="35">
        <v>6536.8799679133854</v>
      </c>
      <c r="O27" s="36">
        <v>161.54734946575178</v>
      </c>
      <c r="P27" s="35">
        <v>6555.7331868007432</v>
      </c>
      <c r="Q27" s="36">
        <v>142.69412782364398</v>
      </c>
      <c r="R27" s="35">
        <v>6574.586875163307</v>
      </c>
      <c r="S27" s="36">
        <v>123.84044171690624</v>
      </c>
      <c r="T27" s="35">
        <v>6593.3556067913878</v>
      </c>
      <c r="U27" s="36">
        <v>105.07172641444751</v>
      </c>
      <c r="V27" s="35">
        <v>6611.8951635566082</v>
      </c>
      <c r="W27" s="36">
        <v>86.532163466209013</v>
      </c>
      <c r="X27" s="35">
        <v>6629.9729361573782</v>
      </c>
      <c r="Y27" s="36">
        <v>68.454390182967714</v>
      </c>
      <c r="Z27" s="35">
        <v>6647.2215142454152</v>
      </c>
      <c r="AA27" s="36">
        <v>51.205845875676253</v>
      </c>
      <c r="AB27" s="35">
        <v>6663.0819601467038</v>
      </c>
      <c r="AC27" s="36">
        <v>35.345368422682625</v>
      </c>
      <c r="AD27" s="35">
        <v>6676.7627746473845</v>
      </c>
      <c r="AE27" s="36">
        <v>21.664541173072163</v>
      </c>
      <c r="AF27" s="35">
        <v>6687.3217999367425</v>
      </c>
      <c r="AG27" s="36">
        <v>11.105521620674706</v>
      </c>
      <c r="AH27" s="35">
        <v>6694.0751188308659</v>
      </c>
      <c r="AI27" s="36">
        <v>4.3521901585527152</v>
      </c>
      <c r="AJ27" s="35">
        <v>6697.286910138715</v>
      </c>
      <c r="AK27" s="36">
        <v>1.1404046800662284</v>
      </c>
      <c r="AL27" s="35">
        <v>6698.2713655262614</v>
      </c>
      <c r="AM27" s="36">
        <v>0.15594796623472881</v>
      </c>
      <c r="AN27" s="35">
        <v>6698.421852559366</v>
      </c>
      <c r="AO27" s="36">
        <v>5.4604269223604779E-3</v>
      </c>
      <c r="AP27" s="35">
        <v>6698.4253425683428</v>
      </c>
      <c r="AQ27" s="36">
        <v>1.9704093870844875E-3</v>
      </c>
      <c r="AR27" s="35">
        <v>6698.4267468262096</v>
      </c>
      <c r="AS27" s="36">
        <v>5.6622331474225963E-4</v>
      </c>
      <c r="AT27" s="35"/>
      <c r="AU27" s="36"/>
      <c r="AV27" s="35"/>
      <c r="AW27" s="36"/>
    </row>
    <row r="28" spans="1:49" x14ac:dyDescent="0.2">
      <c r="A28" t="s">
        <v>35</v>
      </c>
      <c r="B28" s="41">
        <v>13763.097675999827</v>
      </c>
      <c r="C28" s="42">
        <v>382.36647900000054</v>
      </c>
      <c r="D28" s="41">
        <v>13825.953631930694</v>
      </c>
      <c r="E28" s="42">
        <v>356.78058936105185</v>
      </c>
      <c r="F28" s="41">
        <v>13884.812865879172</v>
      </c>
      <c r="G28" s="42">
        <v>331.0414949314852</v>
      </c>
      <c r="H28" s="41">
        <v>13939.281279444805</v>
      </c>
      <c r="I28" s="42">
        <v>305.1389083003728</v>
      </c>
      <c r="J28" s="41">
        <v>13988.864854193798</v>
      </c>
      <c r="K28" s="42">
        <v>279.06905613701889</v>
      </c>
      <c r="L28" s="41">
        <v>14032.947981603471</v>
      </c>
      <c r="M28" s="42">
        <v>252.83595851445006</v>
      </c>
      <c r="N28" s="41">
        <v>14070.74643823819</v>
      </c>
      <c r="O28" s="42">
        <v>226.45930483479952</v>
      </c>
      <c r="P28" s="41">
        <v>14101.254419882294</v>
      </c>
      <c r="Q28" s="42">
        <v>199.98101530632539</v>
      </c>
      <c r="R28" s="41">
        <v>14123.156171825347</v>
      </c>
      <c r="S28" s="42">
        <v>173.47852879389848</v>
      </c>
      <c r="T28" s="41">
        <v>14134.696494938229</v>
      </c>
      <c r="U28" s="42">
        <v>147.08253155521709</v>
      </c>
      <c r="V28" s="41">
        <v>14133.465753602399</v>
      </c>
      <c r="W28" s="42">
        <v>121.00757121501395</v>
      </c>
      <c r="X28" s="41">
        <v>14116.046043726781</v>
      </c>
      <c r="Y28" s="42">
        <v>95.593928292072704</v>
      </c>
      <c r="Z28" s="41">
        <v>14077.370716878035</v>
      </c>
      <c r="AA28" s="42">
        <v>71.371638577209339</v>
      </c>
      <c r="AB28" s="41">
        <v>14009.515027487283</v>
      </c>
      <c r="AC28" s="42">
        <v>49.137830974128931</v>
      </c>
      <c r="AD28" s="41">
        <v>13899.230121858616</v>
      </c>
      <c r="AE28" s="42">
        <v>30.009771792954201</v>
      </c>
      <c r="AF28" s="41">
        <v>13722.665099572499</v>
      </c>
      <c r="AG28" s="42">
        <v>15.301773675504135</v>
      </c>
      <c r="AH28" s="41">
        <v>13433.597980462004</v>
      </c>
      <c r="AI28" s="42">
        <v>5.9459009520218116</v>
      </c>
      <c r="AJ28" s="41">
        <v>12935.278906399122</v>
      </c>
      <c r="AK28" s="42">
        <v>1.534322475997222</v>
      </c>
      <c r="AL28" s="41">
        <v>11996.230359833795</v>
      </c>
      <c r="AM28" s="42">
        <v>0.2029883626192823</v>
      </c>
      <c r="AN28" s="41">
        <v>9870.7862391377985</v>
      </c>
      <c r="AO28" s="42">
        <v>6.387109355807402E-3</v>
      </c>
      <c r="AP28" s="41">
        <v>9097.6123991076474</v>
      </c>
      <c r="AQ28" s="42">
        <v>2.1777691196720214E-3</v>
      </c>
      <c r="AR28" s="41">
        <v>8077.8928670057294</v>
      </c>
      <c r="AS28" s="42">
        <v>5.6558530963058177E-4</v>
      </c>
      <c r="AT28" s="41"/>
      <c r="AU28" s="42"/>
      <c r="AV28" s="41"/>
      <c r="AW28" s="42"/>
    </row>
    <row r="29" spans="1:49" x14ac:dyDescent="0.2">
      <c r="A29" t="s">
        <v>53</v>
      </c>
      <c r="B29" s="35">
        <v>14362.768558000018</v>
      </c>
      <c r="C29" s="36">
        <v>817.26651000000095</v>
      </c>
      <c r="D29" s="35">
        <v>14401.348648101188</v>
      </c>
      <c r="E29" s="36">
        <v>753.12432555115777</v>
      </c>
      <c r="F29" s="35">
        <v>14434.213062667517</v>
      </c>
      <c r="G29" s="36">
        <v>689.5787864372594</v>
      </c>
      <c r="H29" s="35">
        <v>14460.809428694132</v>
      </c>
      <c r="I29" s="36">
        <v>626.68068824007173</v>
      </c>
      <c r="J29" s="35">
        <v>14480.454248362583</v>
      </c>
      <c r="K29" s="36">
        <v>564.50340579283454</v>
      </c>
      <c r="L29" s="35">
        <v>14492.303040434526</v>
      </c>
      <c r="M29" s="36">
        <v>503.14641634551606</v>
      </c>
      <c r="N29" s="35">
        <v>14495.288769746818</v>
      </c>
      <c r="O29" s="36">
        <v>442.75146588366431</v>
      </c>
      <c r="P29" s="35">
        <v>14488.050522948475</v>
      </c>
      <c r="Q29" s="36">
        <v>383.5155538695517</v>
      </c>
      <c r="R29" s="35">
        <v>14468.81637086143</v>
      </c>
      <c r="S29" s="36">
        <v>325.71558511342374</v>
      </c>
      <c r="T29" s="35">
        <v>14435.231953183587</v>
      </c>
      <c r="U29" s="36">
        <v>269.73905460621035</v>
      </c>
      <c r="V29" s="35">
        <v>14384.079608812805</v>
      </c>
      <c r="W29" s="36">
        <v>216.13383894662067</v>
      </c>
      <c r="X29" s="35">
        <v>14310.824997743026</v>
      </c>
      <c r="Y29" s="36">
        <v>165.66939555621462</v>
      </c>
      <c r="Z29" s="35">
        <v>14208.822701596959</v>
      </c>
      <c r="AA29" s="36">
        <v>119.41964982328227</v>
      </c>
      <c r="AB29" s="35">
        <v>14067.886921635776</v>
      </c>
      <c r="AC29" s="36">
        <v>78.835004749252349</v>
      </c>
      <c r="AD29" s="35">
        <v>13871.56857828275</v>
      </c>
      <c r="AE29" s="36">
        <v>45.714070663428807</v>
      </c>
      <c r="AF29" s="35">
        <v>13591.797624472269</v>
      </c>
      <c r="AG29" s="36">
        <v>21.813783637610523</v>
      </c>
      <c r="AH29" s="35">
        <v>13177.810127576462</v>
      </c>
      <c r="AI29" s="36">
        <v>7.7627523635070927</v>
      </c>
      <c r="AJ29" s="35">
        <v>12530.271149754795</v>
      </c>
      <c r="AK29" s="36">
        <v>1.7749105867174872</v>
      </c>
      <c r="AL29" s="35">
        <v>11422.669981297151</v>
      </c>
      <c r="AM29" s="36">
        <v>0.1968895755949108</v>
      </c>
      <c r="AN29" s="35">
        <v>9153.8711028680136</v>
      </c>
      <c r="AO29" s="36">
        <v>4.6224298504748424E-3</v>
      </c>
      <c r="AP29" s="35">
        <v>8373.2402433739844</v>
      </c>
      <c r="AQ29" s="36">
        <v>1.4446262628419887E-3</v>
      </c>
      <c r="AR29" s="35">
        <v>7367.7209904869378</v>
      </c>
      <c r="AS29" s="36">
        <v>3.3841783813445288E-4</v>
      </c>
      <c r="AT29" s="35"/>
      <c r="AU29" s="36"/>
      <c r="AV29" s="35"/>
      <c r="AW29" s="36"/>
    </row>
    <row r="30" spans="1:49" x14ac:dyDescent="0.2">
      <c r="A30" t="s">
        <v>48</v>
      </c>
      <c r="B30" s="119">
        <v>2924829.9599999995</v>
      </c>
      <c r="D30" s="119">
        <v>2979987.2822259492</v>
      </c>
      <c r="F30" s="119">
        <v>3034083.4024865231</v>
      </c>
      <c r="H30" s="119">
        <v>3087024.3413843936</v>
      </c>
      <c r="J30" s="119">
        <v>3138705.9865453183</v>
      </c>
      <c r="L30" s="119">
        <v>3189018.9473388088</v>
      </c>
      <c r="N30" s="119">
        <v>3237852.3916809144</v>
      </c>
      <c r="P30" s="119">
        <v>3285105.9407315338</v>
      </c>
      <c r="R30" s="119">
        <v>3330707.236839666</v>
      </c>
      <c r="T30" s="119">
        <v>3374644.106371548</v>
      </c>
      <c r="V30" s="119">
        <v>3417013.9551533102</v>
      </c>
      <c r="X30" s="119">
        <v>3458104.9545816858</v>
      </c>
      <c r="Z30" s="119">
        <v>3498501.4425571067</v>
      </c>
      <c r="AB30" s="119">
        <v>3539168.695664641</v>
      </c>
      <c r="AD30" s="119">
        <v>3581244.581227602</v>
      </c>
      <c r="AF30" s="119">
        <v>3624595.9480552753</v>
      </c>
      <c r="AH30" s="119">
        <v>3662758.4471181501</v>
      </c>
      <c r="AJ30" s="119">
        <v>3670651.2840778809</v>
      </c>
      <c r="AL30" s="119">
        <v>3577065.8155625872</v>
      </c>
      <c r="AN30" s="119">
        <v>3147683.6302458593</v>
      </c>
      <c r="AP30" s="119">
        <v>2954447.8145924956</v>
      </c>
      <c r="AR30" s="119">
        <v>2680602.9792296463</v>
      </c>
      <c r="AT30" s="119"/>
      <c r="AV30" s="119"/>
    </row>
    <row r="31" spans="1:49" x14ac:dyDescent="0.2">
      <c r="A31" t="s">
        <v>47</v>
      </c>
      <c r="B31" s="80">
        <v>1</v>
      </c>
      <c r="D31" s="80">
        <v>1.0012648182501287</v>
      </c>
      <c r="F31" s="80">
        <v>1.0019841536208309</v>
      </c>
      <c r="H31" s="80">
        <v>1.0021033294915689</v>
      </c>
      <c r="J31" s="80">
        <v>1.0015560413499918</v>
      </c>
      <c r="L31" s="80">
        <v>1.0002620130152418</v>
      </c>
      <c r="N31" s="80">
        <v>0.99812182052376619</v>
      </c>
      <c r="P31" s="80">
        <v>0.99501119886734357</v>
      </c>
      <c r="R31" s="80">
        <v>0.99077151915399553</v>
      </c>
      <c r="T31" s="80">
        <v>0.98519610797129731</v>
      </c>
      <c r="V31" s="80">
        <v>0.97800741446176875</v>
      </c>
      <c r="X31" s="80">
        <v>0.96882064268624912</v>
      </c>
      <c r="Z31" s="80">
        <v>0.95707901642298099</v>
      </c>
      <c r="AB31" s="80">
        <v>0.94193684461997218</v>
      </c>
      <c r="AD31" s="80">
        <v>0.92203479916890774</v>
      </c>
      <c r="AF31" s="80">
        <v>0.89505958605905522</v>
      </c>
      <c r="AH31" s="80">
        <v>0.85686947443505279</v>
      </c>
      <c r="AJ31" s="80">
        <v>0.79964087848006227</v>
      </c>
      <c r="AL31" s="80">
        <v>0.70681902714965772</v>
      </c>
      <c r="AN31" s="80">
        <v>0.53283847237769877</v>
      </c>
      <c r="AP31" s="80">
        <v>0.47734597605722906</v>
      </c>
      <c r="AR31" s="80">
        <v>0.40883311686803392</v>
      </c>
      <c r="AT31" s="80"/>
      <c r="AV31" s="80"/>
    </row>
    <row r="32" spans="1:49" x14ac:dyDescent="0.2">
      <c r="A32" t="s">
        <v>64</v>
      </c>
      <c r="B32" s="86">
        <v>14734457.915000005</v>
      </c>
      <c r="D32" s="86">
        <v>14770081.726193046</v>
      </c>
      <c r="F32" s="86">
        <v>14800026.21997104</v>
      </c>
      <c r="H32" s="86">
        <v>14823743.624117156</v>
      </c>
      <c r="J32" s="86">
        <v>14840582.259833176</v>
      </c>
      <c r="L32" s="86">
        <v>14849776.431363324</v>
      </c>
      <c r="N32" s="86">
        <v>14850408.317740709</v>
      </c>
      <c r="P32" s="86">
        <v>14841378.886225386</v>
      </c>
      <c r="R32" s="86">
        <v>14821352.262962205</v>
      </c>
      <c r="T32" s="86">
        <v>14788684.216088403</v>
      </c>
      <c r="V32" s="86">
        <v>14741292.851030251</v>
      </c>
      <c r="X32" s="86">
        <v>14676450.458099829</v>
      </c>
      <c r="Z32" s="86">
        <v>14590353.374661891</v>
      </c>
      <c r="AB32" s="86">
        <v>14477188.52135613</v>
      </c>
      <c r="AD32" s="86">
        <v>14326826.39231036</v>
      </c>
      <c r="AF32" s="86">
        <v>14118897.66299738</v>
      </c>
      <c r="AH32" s="86">
        <v>13808019.043431286</v>
      </c>
      <c r="AJ32" s="86">
        <v>13289721.546930011</v>
      </c>
      <c r="AL32" s="86">
        <v>12312070.647580655</v>
      </c>
      <c r="AN32" s="86">
        <v>10095957.251998216</v>
      </c>
      <c r="AP32" s="86">
        <v>9293974.2432187349</v>
      </c>
      <c r="AR32" s="86">
        <v>8240319.9939992279</v>
      </c>
      <c r="AT32" s="86"/>
      <c r="AV32" s="86"/>
    </row>
    <row r="33" spans="1:49 16319:16321" x14ac:dyDescent="0.2">
      <c r="A33" t="s">
        <v>54</v>
      </c>
      <c r="B33" s="117">
        <v>7019665.6909999941</v>
      </c>
      <c r="D33" s="117">
        <v>7036637.2868088651</v>
      </c>
      <c r="F33" s="117">
        <v>7050903.1911344286</v>
      </c>
      <c r="H33" s="117">
        <v>7062202.4291991293</v>
      </c>
      <c r="J33" s="117">
        <v>7070224.5553035066</v>
      </c>
      <c r="L33" s="117">
        <v>7074604.7568829944</v>
      </c>
      <c r="N33" s="117">
        <v>7074905.7923337705</v>
      </c>
      <c r="P33" s="117">
        <v>7070604.0677006925</v>
      </c>
      <c r="R33" s="117">
        <v>7061063.1580493581</v>
      </c>
      <c r="T33" s="117">
        <v>7045499.7605472915</v>
      </c>
      <c r="V33" s="117">
        <v>7022921.9239174584</v>
      </c>
      <c r="X33" s="117">
        <v>6992030.2717050426</v>
      </c>
      <c r="Z33" s="117">
        <v>6951012.6331749717</v>
      </c>
      <c r="AB33" s="117">
        <v>6897099.578121081</v>
      </c>
      <c r="AD33" s="117">
        <v>6825465.3326240527</v>
      </c>
      <c r="AF33" s="117">
        <v>6726405.6891834447</v>
      </c>
      <c r="AH33" s="117">
        <v>6578299.5278529339</v>
      </c>
      <c r="AJ33" s="117">
        <v>6331376.6223037383</v>
      </c>
      <c r="AL33" s="117">
        <v>5865612.4581296742</v>
      </c>
      <c r="AN33" s="117">
        <v>4809830.4768650942</v>
      </c>
      <c r="AP33" s="117">
        <v>4427756.5217884313</v>
      </c>
      <c r="AR33" s="117">
        <v>3925783.4851088477</v>
      </c>
      <c r="AT33" s="117"/>
      <c r="AV33" s="117"/>
    </row>
    <row r="34" spans="1:49 16319:16321" x14ac:dyDescent="0.2">
      <c r="A34" t="s">
        <v>75</v>
      </c>
      <c r="B34" s="117">
        <v>1136879.4410000113</v>
      </c>
      <c r="D34" s="117">
        <v>1139628.1008786564</v>
      </c>
      <c r="F34" s="117">
        <v>1141938.5532830951</v>
      </c>
      <c r="H34" s="117">
        <v>1143768.5403709183</v>
      </c>
      <c r="J34" s="117">
        <v>1145067.7687364279</v>
      </c>
      <c r="L34" s="117">
        <v>1145777.1788735818</v>
      </c>
      <c r="N34" s="117">
        <v>1145825.9372760449</v>
      </c>
      <c r="P34" s="117">
        <v>1145129.2456224421</v>
      </c>
      <c r="R34" s="117">
        <v>1143584.0263518975</v>
      </c>
      <c r="T34" s="117">
        <v>1141063.392994296</v>
      </c>
      <c r="V34" s="117">
        <v>1137406.8189612876</v>
      </c>
      <c r="X34" s="117">
        <v>1132403.7066142135</v>
      </c>
      <c r="Z34" s="117">
        <v>1125760.6333570993</v>
      </c>
      <c r="AB34" s="117">
        <v>1117029.0880474146</v>
      </c>
      <c r="AD34" s="117">
        <v>1105427.4590298778</v>
      </c>
      <c r="AF34" s="117">
        <v>1089384.1192646597</v>
      </c>
      <c r="AH34" s="117">
        <v>1065397.3872818216</v>
      </c>
      <c r="AJ34" s="117">
        <v>1025406.6550074692</v>
      </c>
      <c r="AL34" s="117">
        <v>949973.19047010713</v>
      </c>
      <c r="AN34" s="117">
        <v>778982.59326719469</v>
      </c>
      <c r="AP34" s="117">
        <v>717103.28966660844</v>
      </c>
      <c r="AR34" s="117">
        <v>635805.56831352226</v>
      </c>
      <c r="AT34" s="117"/>
      <c r="AV34" s="117"/>
    </row>
    <row r="35" spans="1:49 16319:16321" x14ac:dyDescent="0.2">
      <c r="A35" t="s">
        <v>78</v>
      </c>
      <c r="B35" s="233">
        <v>1</v>
      </c>
      <c r="D35" s="233">
        <v>1.0011517347617065</v>
      </c>
      <c r="F35" s="233">
        <v>1.0024634668599721</v>
      </c>
      <c r="H35" s="233">
        <v>1.0039572528762268</v>
      </c>
      <c r="J35" s="233">
        <v>1.0056616678806749</v>
      </c>
      <c r="L35" s="233">
        <v>1.0076142426549088</v>
      </c>
      <c r="N35" s="233">
        <v>1.0098652882840597</v>
      </c>
      <c r="P35" s="233">
        <v>1.0124835306423472</v>
      </c>
      <c r="R35" s="233">
        <v>1.0155650271079628</v>
      </c>
      <c r="T35" s="233">
        <v>1.019247390213202</v>
      </c>
      <c r="V35" s="233">
        <v>1.023733470714367</v>
      </c>
      <c r="X35" s="233">
        <v>1.029331715549505</v>
      </c>
      <c r="Z35" s="233">
        <v>1.0365274132765736</v>
      </c>
      <c r="AB35" s="233">
        <v>1.0461110392709976</v>
      </c>
      <c r="AD35" s="233">
        <v>1.0594110321207026</v>
      </c>
      <c r="AF35" s="233">
        <v>1.0787100938860585</v>
      </c>
      <c r="AH35" s="233">
        <v>1.1080213863367658</v>
      </c>
      <c r="AJ35" s="233">
        <v>1.1550396587447322</v>
      </c>
      <c r="AL35" s="233">
        <v>1.2385677311485568</v>
      </c>
      <c r="AN35" s="233">
        <v>1.4282654189885473</v>
      </c>
      <c r="AP35" s="233">
        <v>1.5010693295588573</v>
      </c>
      <c r="AR35" s="233">
        <v>1.6017575451501691</v>
      </c>
      <c r="AT35" s="233"/>
      <c r="AV35" s="233"/>
    </row>
    <row r="36" spans="1:49 16319:16321" x14ac:dyDescent="0.2">
      <c r="A36" t="s">
        <v>21</v>
      </c>
      <c r="B36" s="37">
        <v>0.47195767671988087</v>
      </c>
      <c r="C36" s="38">
        <v>0.31738834428178991</v>
      </c>
      <c r="D36" s="37">
        <v>0.47196140979553558</v>
      </c>
      <c r="E36" s="38">
        <v>0.32054583856729596</v>
      </c>
      <c r="F36" s="37">
        <v>0.47196521797991903</v>
      </c>
      <c r="G36" s="38">
        <v>0.32394562919661374</v>
      </c>
      <c r="H36" s="37">
        <v>0.47196911059158653</v>
      </c>
      <c r="I36" s="38">
        <v>0.3276226400284038</v>
      </c>
      <c r="J36" s="37">
        <v>0.47197309568295098</v>
      </c>
      <c r="K36" s="38">
        <v>0.33161970652766742</v>
      </c>
      <c r="L36" s="37">
        <v>0.47197717763941577</v>
      </c>
      <c r="M36" s="38">
        <v>0.33599006318197028</v>
      </c>
      <c r="N36" s="37">
        <v>0.47198135496941007</v>
      </c>
      <c r="O36" s="38">
        <v>0.34080131346002224</v>
      </c>
      <c r="P36" s="37">
        <v>0.47198561524228594</v>
      </c>
      <c r="Q36" s="38">
        <v>0.34614102458084495</v>
      </c>
      <c r="R36" s="37">
        <v>0.4719899278432455</v>
      </c>
      <c r="S36" s="38">
        <v>0.35212552716197704</v>
      </c>
      <c r="T36" s="37">
        <v>0.47199423187483774</v>
      </c>
      <c r="U36" s="38">
        <v>0.35891367870430918</v>
      </c>
      <c r="V36" s="37">
        <v>0.47199841650383689</v>
      </c>
      <c r="W36" s="38">
        <v>0.36672966486766462</v>
      </c>
      <c r="X36" s="37">
        <v>0.47200228999496741</v>
      </c>
      <c r="Y36" s="38">
        <v>0.37590141203727473</v>
      </c>
      <c r="Z36" s="37">
        <v>0.47200553155592045</v>
      </c>
      <c r="AA36" s="38">
        <v>0.38692841009708678</v>
      </c>
      <c r="AB36" s="37">
        <v>0.47200762584008371</v>
      </c>
      <c r="AC36" s="38">
        <v>0.4006042031924999</v>
      </c>
      <c r="AD36" s="37">
        <v>0.47200780757132577</v>
      </c>
      <c r="AE36" s="38">
        <v>0.4182415086029227</v>
      </c>
      <c r="AF36" s="37">
        <v>0.47200512642103581</v>
      </c>
      <c r="AG36" s="38">
        <v>0.44208317582462936</v>
      </c>
      <c r="AH36" s="37">
        <v>0.47199887335445978</v>
      </c>
      <c r="AI36" s="38">
        <v>0.47607290719061518</v>
      </c>
      <c r="AJ36" s="37">
        <v>0.47198937422022225</v>
      </c>
      <c r="AK36" s="38">
        <v>0.52766816530957172</v>
      </c>
      <c r="AL36" s="37">
        <v>0.47197824296397217</v>
      </c>
      <c r="AM36" s="38">
        <v>0.61419202925580552</v>
      </c>
      <c r="AN36" s="37">
        <v>0.47196762029674871</v>
      </c>
      <c r="AO36" s="38">
        <v>0.79565321254751764</v>
      </c>
      <c r="AP36" s="37">
        <v>0.47196579311281756</v>
      </c>
      <c r="AQ36" s="38">
        <v>0.86184965662542745</v>
      </c>
      <c r="AR36" s="37">
        <v>0.47196417101448496</v>
      </c>
      <c r="AS36" s="38">
        <v>0.95170422538953814</v>
      </c>
      <c r="AT36" s="37"/>
      <c r="AU36" s="38"/>
      <c r="AV36" s="37"/>
      <c r="AW36" s="38"/>
    </row>
    <row r="37" spans="1:49 16319:16321" x14ac:dyDescent="0.2">
      <c r="B37" s="39">
        <v>2.1403217525954137E-2</v>
      </c>
      <c r="C37" s="40">
        <v>0.34962461301992576</v>
      </c>
      <c r="D37" s="39">
        <v>2.0501790422740765E-2</v>
      </c>
      <c r="E37" s="40">
        <v>0.3441930830303952</v>
      </c>
      <c r="F37" s="39">
        <v>1.9595318387620676E-2</v>
      </c>
      <c r="G37" s="40">
        <v>0.33860805758010293</v>
      </c>
      <c r="H37" s="39">
        <v>1.8683116966313126E-2</v>
      </c>
      <c r="I37" s="40">
        <v>0.33285446730395912</v>
      </c>
      <c r="J37" s="39">
        <v>1.7764311141413813E-2</v>
      </c>
      <c r="K37" s="40">
        <v>0.32691412593522368</v>
      </c>
      <c r="L37" s="39">
        <v>1.6837791646902203E-2</v>
      </c>
      <c r="M37" s="40">
        <v>0.32076487649074281</v>
      </c>
      <c r="N37" s="39">
        <v>1.5902088065139184E-2</v>
      </c>
      <c r="O37" s="40">
        <v>0.31437897927247693</v>
      </c>
      <c r="P37" s="39">
        <v>1.4955254366667935E-2</v>
      </c>
      <c r="Q37" s="40">
        <v>0.3077211730442696</v>
      </c>
      <c r="R37" s="39">
        <v>1.3994675352719947E-2</v>
      </c>
      <c r="S37" s="40">
        <v>0.30074562061290183</v>
      </c>
      <c r="T37" s="39">
        <v>1.3016830035241123E-2</v>
      </c>
      <c r="U37" s="40">
        <v>0.29339159454378178</v>
      </c>
      <c r="V37" s="39">
        <v>1.2016945088635701E-2</v>
      </c>
      <c r="W37" s="40">
        <v>0.28557680394354601</v>
      </c>
      <c r="X37" s="39">
        <v>1.0988610903767859E-2</v>
      </c>
      <c r="Y37" s="40">
        <v>0.27718779536736976</v>
      </c>
      <c r="Z37" s="39">
        <v>9.9233966970459532E-3</v>
      </c>
      <c r="AA37" s="40">
        <v>0.26806586789069209</v>
      </c>
      <c r="AB37" s="39">
        <v>8.8108928677962835E-3</v>
      </c>
      <c r="AC37" s="40">
        <v>0.25798891657403178</v>
      </c>
      <c r="AD37" s="39">
        <v>7.6402694316730253E-3</v>
      </c>
      <c r="AE37" s="40">
        <v>0.24665462115928996</v>
      </c>
      <c r="AF37" s="39">
        <v>6.4058428469463032E-3</v>
      </c>
      <c r="AG37" s="40">
        <v>0.23368667770849577</v>
      </c>
      <c r="AH37" s="39">
        <v>5.1186489221560849E-3</v>
      </c>
      <c r="AI37" s="40">
        <v>0.2186983781951545</v>
      </c>
      <c r="AJ37" s="39">
        <v>3.8163389457929122E-3</v>
      </c>
      <c r="AK37" s="40">
        <v>0.20136516045622768</v>
      </c>
      <c r="AL37" s="39">
        <v>2.5524648355976167E-3</v>
      </c>
      <c r="AM37" s="40">
        <v>0.18122258473693087</v>
      </c>
      <c r="AN37" s="39">
        <v>1.3709307222412278E-3</v>
      </c>
      <c r="AO37" s="40">
        <v>0.15672138126792159</v>
      </c>
      <c r="AP37" s="39">
        <v>1.1463983941446666E-3</v>
      </c>
      <c r="AQ37" s="40">
        <v>0.15091055751379887</v>
      </c>
      <c r="AR37" s="39">
        <v>9.2521794371093003E-4</v>
      </c>
      <c r="AS37" s="40">
        <v>0.14459473129479269</v>
      </c>
      <c r="AT37" s="39"/>
      <c r="AU37" s="40"/>
      <c r="AV37" s="39"/>
      <c r="AW37" s="40"/>
    </row>
    <row r="38" spans="1:49 16319:16321" x14ac:dyDescent="0.2">
      <c r="A38" t="s">
        <v>22</v>
      </c>
      <c r="B38" s="37">
        <v>0.18079094942242827</v>
      </c>
      <c r="C38" s="38">
        <v>6.0565413429233668E-2</v>
      </c>
      <c r="D38" s="37">
        <v>0.18139754236244512</v>
      </c>
      <c r="E38" s="38">
        <v>6.1121767479167914E-2</v>
      </c>
      <c r="F38" s="37">
        <v>0.18197435769892534</v>
      </c>
      <c r="G38" s="38">
        <v>6.1698224174265619E-2</v>
      </c>
      <c r="H38" s="37">
        <v>0.18251864785543212</v>
      </c>
      <c r="I38" s="38">
        <v>6.2297783989808349E-2</v>
      </c>
      <c r="J38" s="37">
        <v>0.18302708010443575</v>
      </c>
      <c r="K38" s="38">
        <v>6.2924038912012398E-2</v>
      </c>
      <c r="L38" s="37">
        <v>0.18349567061652389</v>
      </c>
      <c r="M38" s="38">
        <v>6.3581620053968738E-2</v>
      </c>
      <c r="N38" s="37">
        <v>0.18391958596690311</v>
      </c>
      <c r="O38" s="38">
        <v>6.4276343954509749E-2</v>
      </c>
      <c r="P38" s="37">
        <v>0.1842929649842128</v>
      </c>
      <c r="Q38" s="38">
        <v>6.5015915795746088E-2</v>
      </c>
      <c r="R38" s="37">
        <v>0.18460860235557755</v>
      </c>
      <c r="S38" s="38">
        <v>6.581068720565024E-2</v>
      </c>
      <c r="T38" s="37">
        <v>0.18485747387809354</v>
      </c>
      <c r="U38" s="38">
        <v>6.667518102139823E-2</v>
      </c>
      <c r="V38" s="37">
        <v>0.18502793249696484</v>
      </c>
      <c r="W38" s="38">
        <v>6.7630039069483769E-2</v>
      </c>
      <c r="X38" s="37">
        <v>0.18510414239039044</v>
      </c>
      <c r="Y38" s="38">
        <v>6.8705962844014035E-2</v>
      </c>
      <c r="Z38" s="37">
        <v>0.18506276227216079</v>
      </c>
      <c r="AA38" s="38">
        <v>6.9949601368567968E-2</v>
      </c>
      <c r="AB38" s="37">
        <v>0.18486516338966591</v>
      </c>
      <c r="AC38" s="38">
        <v>7.143396988250264E-2</v>
      </c>
      <c r="AD38" s="37">
        <v>0.18443769183505482</v>
      </c>
      <c r="AE38" s="38">
        <v>7.3274016020553306E-2</v>
      </c>
      <c r="AF38" s="37">
        <v>0.1836208825673151</v>
      </c>
      <c r="AG38" s="38">
        <v>7.5646062724039953E-2</v>
      </c>
      <c r="AH38" s="37">
        <v>0.18204592152487478</v>
      </c>
      <c r="AI38" s="38">
        <v>7.8800593109856154E-2</v>
      </c>
      <c r="AJ38" s="37">
        <v>0.17886347450618997</v>
      </c>
      <c r="AK38" s="38">
        <v>8.3068184703391057E-2</v>
      </c>
      <c r="AL38" s="37">
        <v>0.17208929425831831</v>
      </c>
      <c r="AM38" s="38">
        <v>8.893830953875731E-2</v>
      </c>
      <c r="AN38" s="37">
        <v>0.15607605295054225</v>
      </c>
      <c r="AO38" s="38">
        <v>9.7283667155719011E-2</v>
      </c>
      <c r="AP38" s="37">
        <v>0.15038368636780056</v>
      </c>
      <c r="AQ38" s="38">
        <v>9.926471633923277E-2</v>
      </c>
      <c r="AR38" s="37">
        <v>0.14307034768994692</v>
      </c>
      <c r="AS38" s="38">
        <v>0.10106533577356637</v>
      </c>
      <c r="AT38" s="37"/>
      <c r="AU38" s="38"/>
      <c r="AV38" s="37"/>
      <c r="AW38" s="38"/>
    </row>
    <row r="39" spans="1:49 16319:16321" x14ac:dyDescent="0.2">
      <c r="A39" t="s">
        <v>23</v>
      </c>
      <c r="B39" s="39">
        <v>0.23064923795097952</v>
      </c>
      <c r="C39" s="40">
        <v>0.22092201281804799</v>
      </c>
      <c r="D39" s="39">
        <v>0.23068960333091867</v>
      </c>
      <c r="E39" s="40">
        <v>0.22248958022069523</v>
      </c>
      <c r="F39" s="39">
        <v>0.23082327936055208</v>
      </c>
      <c r="G39" s="40">
        <v>0.22420759772183554</v>
      </c>
      <c r="H39" s="39">
        <v>0.23105901422123165</v>
      </c>
      <c r="I39" s="40">
        <v>0.22609586314367969</v>
      </c>
      <c r="J39" s="39">
        <v>0.23140773081425234</v>
      </c>
      <c r="K39" s="40">
        <v>0.22817894799631702</v>
      </c>
      <c r="L39" s="39">
        <v>0.23188303591250431</v>
      </c>
      <c r="M39" s="40">
        <v>0.23048740908770021</v>
      </c>
      <c r="N39" s="39">
        <v>0.23250218746014217</v>
      </c>
      <c r="O39" s="40">
        <v>0.23306040063047456</v>
      </c>
      <c r="P39" s="39">
        <v>0.23328729069084633</v>
      </c>
      <c r="Q39" s="40">
        <v>0.23594877334386394</v>
      </c>
      <c r="R39" s="39">
        <v>0.23426722735239533</v>
      </c>
      <c r="S39" s="40">
        <v>0.23922039348861082</v>
      </c>
      <c r="T39" s="39">
        <v>0.23548059650074524</v>
      </c>
      <c r="U39" s="40">
        <v>0.2429680310433808</v>
      </c>
      <c r="V39" s="39">
        <v>0.236980547283166</v>
      </c>
      <c r="W39" s="40">
        <v>0.2473232636762622</v>
      </c>
      <c r="X39" s="39">
        <v>0.23884304045522461</v>
      </c>
      <c r="Y39" s="40">
        <v>0.25247901832773817</v>
      </c>
      <c r="Z39" s="39">
        <v>0.24118194458329478</v>
      </c>
      <c r="AA39" s="40">
        <v>0.25873098590016386</v>
      </c>
      <c r="AB39" s="39">
        <v>0.24417839392449464</v>
      </c>
      <c r="AC39" s="40">
        <v>0.26655301848954022</v>
      </c>
      <c r="AD39" s="39">
        <v>0.248142505885942</v>
      </c>
      <c r="AE39" s="40">
        <v>0.27674205735036111</v>
      </c>
      <c r="AF39" s="39">
        <v>0.25365206663998413</v>
      </c>
      <c r="AG39" s="40">
        <v>0.29070195719880276</v>
      </c>
      <c r="AH39" s="39">
        <v>0.26188809860515938</v>
      </c>
      <c r="AI39" s="40">
        <v>0.31104143248665639</v>
      </c>
      <c r="AJ39" s="39">
        <v>0.27555924279469968</v>
      </c>
      <c r="AK39" s="40">
        <v>0.34317011695328759</v>
      </c>
      <c r="AL39" s="39">
        <v>0.30232995150568642</v>
      </c>
      <c r="AM39" s="40">
        <v>0.40157712721924449</v>
      </c>
      <c r="AN39" s="39">
        <v>0.37727919304576429</v>
      </c>
      <c r="AO39" s="40">
        <v>0.55338842734009197</v>
      </c>
      <c r="AP39" s="39">
        <v>0.41245434654360785</v>
      </c>
      <c r="AQ39" s="40">
        <v>0.62493010412369676</v>
      </c>
      <c r="AR39" s="39">
        <v>0.468746183187635</v>
      </c>
      <c r="AS39" s="40">
        <v>0.74673640096240912</v>
      </c>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0.10353231178325124</v>
      </c>
      <c r="E42" s="135"/>
      <c r="F42" s="177">
        <f>10.8%+(1-10.8%)*(1-SUM(F26:G26)/SUM($B$26:$C$26))</f>
        <v>9.9557061570623412E-2</v>
      </c>
      <c r="G42" s="135"/>
      <c r="H42" s="177">
        <f>10.8%+(1-10.8%)*(1-SUM(H26:I26)/SUM($B$26:$C$26))</f>
        <v>9.6126086903879693E-2</v>
      </c>
      <c r="I42" s="135"/>
      <c r="J42" s="177">
        <f>10.8%+(1-10.8%)*(1-SUM(J26:K26)/SUM($B$26:$C$26))</f>
        <v>9.3302076970720002E-2</v>
      </c>
      <c r="K42" s="135"/>
      <c r="L42" s="177">
        <f>10.8%+(1-10.8%)*(1-SUM(L26:M26)/SUM($B$26:$C$26))</f>
        <v>9.1160653918846785E-2</v>
      </c>
      <c r="M42" s="135"/>
      <c r="N42" s="177">
        <f>10.8%+(1-10.8%)*(1-SUM(N26:O26)/SUM($B$26:$C$26))</f>
        <v>8.9794885270768204E-2</v>
      </c>
      <c r="O42" s="135"/>
      <c r="P42" s="177">
        <f>10.8%+(1-10.8%)*(1-SUM(P26:Q26)/SUM($B$26:$C$26))</f>
        <v>8.932024867074756E-2</v>
      </c>
      <c r="Q42" s="135"/>
      <c r="R42" s="177">
        <f>10.8%+(1-10.8%)*(1-SUM(R26:S26)/SUM($B$26:$C$26))</f>
        <v>8.9882854297548179E-2</v>
      </c>
      <c r="S42" s="135"/>
      <c r="T42" s="177">
        <f>10.8%+(1-10.8%)*(1-SUM(T26:U26)/SUM($B$26:$C$26))</f>
        <v>9.1671508215858954E-2</v>
      </c>
      <c r="U42" s="135"/>
      <c r="V42" s="177">
        <f>10.8%+(1-10.8%)*(1-SUM(V26:W26)/SUM($B$26:$C$26))</f>
        <v>9.4937559122673196E-2</v>
      </c>
      <c r="W42" s="135"/>
      <c r="X42" s="177">
        <f>10.8%+(1-10.8%)*(1-SUM(X26:Y26)/SUM($B$26:$C$26))</f>
        <v>0.10002826868425507</v>
      </c>
      <c r="Y42" s="162"/>
      <c r="Z42" s="177">
        <f>10.8%+(1-10.8%)*(1-SUM(Z26:AA26)/SUM($B$26:$C$26))</f>
        <v>0.10744807780698507</v>
      </c>
      <c r="AA42" s="135"/>
      <c r="AB42" s="177">
        <f>10.8%+(1-10.8%)*(1-SUM(AB26:AC26)/SUM($B$26:$C$26))</f>
        <v>0.11797753901678559</v>
      </c>
      <c r="AC42" s="135"/>
      <c r="AD42" s="177">
        <f>10.8%+(1-10.8%)*(1-SUM(AD26:AE26)/SUM($B$26:$C$26))</f>
        <v>0.13292216471617743</v>
      </c>
      <c r="AE42" s="135"/>
      <c r="AF42" s="177">
        <f>10.8%+(1-10.8%)*(1-SUM(AF26:AG26)/SUM($B$26:$C$26))</f>
        <v>0.1546491586127198</v>
      </c>
      <c r="AG42" s="135"/>
      <c r="AH42" s="177">
        <f>10.8%+(1-10.8%)*(1-SUM(AH26:AI26)/SUM($B$26:$C$26))</f>
        <v>0.18772966461342383</v>
      </c>
      <c r="AI42" s="135"/>
      <c r="AJ42" s="177">
        <f>10.8%+(1-10.8%)*(1-SUM(AJ26:AK26)/SUM($B$26:$C$26))</f>
        <v>0.24129126096992423</v>
      </c>
      <c r="AK42" s="135"/>
      <c r="AL42" s="177">
        <f>10.8%+(1-10.8%)*(1-SUM(AL26:AM26)/SUM($B$26:$C$26))</f>
        <v>0.33460232968865256</v>
      </c>
      <c r="AM42" s="135"/>
      <c r="AN42" s="177">
        <f>10.8%+(1-10.8%)*(1-SUM(AN26:AO26)/SUM($B$26:$C$26))</f>
        <v>0.51639811033598459</v>
      </c>
      <c r="AO42" s="135"/>
      <c r="AP42" s="177">
        <f>10.8%+(1-10.8%)*(1-SUM(AP26:AQ26)/SUM($B$26:$C$26))</f>
        <v>0.57377438752529575</v>
      </c>
      <c r="AQ42" s="135"/>
      <c r="AR42" s="177">
        <f>10.8%+(1-10.8%)*(1-SUM(AR26:AS26)/SUM($B$26:$C$26))</f>
        <v>0.64319852469041561</v>
      </c>
      <c r="AS42" s="135"/>
      <c r="AT42" s="177">
        <f>10.8%+(1-10.8%)*(1-SUM(AT26:AU26)/SUM($B$26:$C$26))</f>
        <v>1</v>
      </c>
      <c r="AU42" s="135"/>
      <c r="AV42" s="177">
        <f>10.8%+(1-10.8%)*(1-SUM(AV26:AW26)/SUM($B$26:$C$26))</f>
        <v>1</v>
      </c>
    </row>
    <row r="43" spans="1:49 16319:16321" x14ac:dyDescent="0.2">
      <c r="A43" t="s">
        <v>108</v>
      </c>
      <c r="B43" s="162">
        <f>SUM(B15:C15*B27:C27)/SUM(B15:C15*B27:C27,B13:C13*B26:C26)</f>
        <v>0.56058995943838341</v>
      </c>
      <c r="C43" s="135"/>
      <c r="D43" s="162">
        <f t="array" ref="D43">SUM(D15:E15*D27:E27)/SUM(D15:E15*D27:E27,D13:E13*D26:E26)</f>
        <v>0.5638103872446798</v>
      </c>
      <c r="E43" s="135"/>
      <c r="F43" s="162">
        <f t="array" ref="F43">SUM(F15:G15*F27:G27)/SUM(F15:G15*F27:G27,F13:G13*F26:G26)</f>
        <v>0.56040163694512424</v>
      </c>
      <c r="G43" s="135"/>
      <c r="H43" s="162">
        <f t="array" ref="H43">SUM(H15:I15*H27:I27)/SUM(H15:I15*H27:I27,H13:I13*H26:I26)</f>
        <v>0.55696867560660002</v>
      </c>
      <c r="I43" s="135"/>
      <c r="J43" s="162">
        <f t="array" ref="J43">SUM(J15:K15*J27:K27)/SUM(J15:K15*J27:K27,J13:K13*J26:K26)</f>
        <v>0.5535045079715939</v>
      </c>
      <c r="K43" s="135"/>
      <c r="L43" s="162">
        <f t="array" ref="L43">SUM(L15:M15*L27:M27)/SUM(L15:M15*L27:M27,L13:M13*L26:M26)</f>
        <v>0.54999977106631526</v>
      </c>
      <c r="M43" s="135"/>
      <c r="N43" s="162">
        <f t="array" ref="N43">SUM(N15:O15*N27:O27)/SUM(N15:O15*N27:O27,N13:O13*N26:O26)</f>
        <v>0.54644184349259228</v>
      </c>
      <c r="O43" s="135"/>
      <c r="P43" s="162">
        <f t="array" ref="P43">SUM(P15:Q15*P27:Q27)/SUM(P15:Q15*P27:Q27,P13:Q13*P26:Q26)</f>
        <v>0.54281292427443706</v>
      </c>
      <c r="Q43" s="135"/>
      <c r="R43" s="162">
        <f t="array" ref="R43">SUM(R15:S15*R27:S27)/SUM(R15:S15*R27:S27,R13:S13*R26:S26)</f>
        <v>0.53908727685013313</v>
      </c>
      <c r="S43" s="135"/>
      <c r="T43" s="162">
        <f t="array" ref="T43">SUM(T15:U15*T27:U27)/SUM(T15:U15*T27:U27,T13:U13*T26:U26)</f>
        <v>0.53522664187805058</v>
      </c>
      <c r="U43" s="135"/>
      <c r="V43" s="162">
        <f t="array" ref="V43">SUM(V15:W15*V27:W27)/SUM(V15:W15*V27:W27,V13:W13*V26:W26)</f>
        <v>0.53117263080506905</v>
      </c>
      <c r="W43" s="135"/>
      <c r="X43" s="162">
        <f t="array" ref="X43">SUM(X15:Y15*X27:Y27)/SUM(X15:Y15*X27:Y27,X13:Y13*X26:Y26)</f>
        <v>0.52683405120258542</v>
      </c>
      <c r="Y43" s="135"/>
      <c r="Z43" s="162">
        <f t="array" ref="Z43">SUM(Z15:AA15*Z27:AA27)/SUM(Z15:AA15*Z27:AA27,Z13:AA13*Z26:AA26)</f>
        <v>0.52206560831517912</v>
      </c>
      <c r="AA43" s="135"/>
      <c r="AB43" s="162">
        <f t="array" ref="AB43">SUM(AB15:AC15*AB27:AC27)/SUM(AB15:AC15*AB27:AC27,AB13:AC13*AB26:AC26)</f>
        <v>0.51663322547149271</v>
      </c>
      <c r="AC43" s="135"/>
      <c r="AD43" s="162">
        <f t="array" ref="AD43">SUM(AD15:AE15*AD27:AE27)/SUM(AD15:AE15*AD27:AE27,AD13:AE13*AD26:AE26)</f>
        <v>0.51016398245836148</v>
      </c>
      <c r="AE43" s="135"/>
      <c r="AF43" s="162">
        <f t="array" ref="AF43">SUM(AF15:AG15*AF27:AG27)/SUM(AF15:AG15*AF27:AG27,AF13:AG13*AF26:AG26)</f>
        <v>0.50209525981167302</v>
      </c>
      <c r="AG43" s="135"/>
      <c r="AH43" s="162">
        <f t="array" ref="AH43">SUM(AH15:AI15*AH27:AI27)/SUM(AH15:AI15*AH27:AI27,AH13:AI13*AH26:AI26)</f>
        <v>0.49167250035189514</v>
      </c>
      <c r="AI43" s="135"/>
      <c r="AJ43" s="162">
        <f t="array" ref="AJ43">SUM(AJ15:AK15*AJ27:AK27)/SUM(AJ15:AK15*AJ27:AK27,AJ13:AK13*AJ26:AK26)</f>
        <v>0.47796819855649736</v>
      </c>
      <c r="AK43" s="135"/>
      <c r="AL43" s="162">
        <f t="array" ref="AL43">SUM(AL15:AM15*AL27:AM27)/SUM(AL15:AM15*AL27:AM27,AL13:AM13*AL26:AM26)</f>
        <v>0.45937520192046266</v>
      </c>
      <c r="AM43" s="135"/>
      <c r="AN43" s="162">
        <f t="array" ref="AN43">SUM(AN15:AO15*AN27:AO27)/SUM(AN15:AO15*AN27:AO27,AN13:AO13*AN26:AO26)</f>
        <v>0.43038938611004224</v>
      </c>
      <c r="AO43" s="135"/>
      <c r="AP43" s="162">
        <f t="array" ref="AP43">SUM(AP15:AQ15*AP27:AQ27)/SUM(AP15:AQ15*AP27:AQ27,AP13:AQ13*AP26:AQ26)</f>
        <v>0.42171549787224283</v>
      </c>
      <c r="AQ43" s="135"/>
      <c r="AR43" s="162">
        <f t="array" ref="AR43">SUM(AR15:AS15*AR27:AS27)/SUM(AR15:AS15*AR27:AS27,AR13:AS13*AR26:AS26)</f>
        <v>0.41098167242502154</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0.29754226190682431</v>
      </c>
      <c r="D44" s="193">
        <f>(SUM(D11:E11*D24:E24)+D34)/D32</f>
        <v>0.29754226181960358</v>
      </c>
      <c r="F44" s="193">
        <f>(SUM(F11:G11*F24:G24)+F34)/F32</f>
        <v>0.29754226167626363</v>
      </c>
      <c r="H44" s="193">
        <f>(SUM(H11:I11*H24:I24)+H34)/H32</f>
        <v>0.29754226213642676</v>
      </c>
      <c r="J44" s="193">
        <f>(SUM(J11:K11*J24:K24)+J34)/J32</f>
        <v>0.29754226174262532</v>
      </c>
      <c r="L44" s="193">
        <f>(SUM(L11:M11*L24:M24)+L34)/L32</f>
        <v>0.29754226226655417</v>
      </c>
      <c r="N44" s="193">
        <f>(SUM(N11:O11*N24:O24)+N34)/N32</f>
        <v>0.29754226243537524</v>
      </c>
      <c r="P44" s="193">
        <f>(SUM(P11:Q11*P24:Q24)+P34)/P32</f>
        <v>0.29754226238974218</v>
      </c>
      <c r="R44" s="193">
        <f>(SUM(R11:S11*R24:S24)+R34)/R32</f>
        <v>0.29754226207673373</v>
      </c>
      <c r="T44" s="193">
        <f>(SUM(T11:U11*T24:U24)+T34)/T32</f>
        <v>0.29754225958828245</v>
      </c>
      <c r="V44" s="193">
        <f>(SUM(V11:W11*V24:W24)+V34)/V32</f>
        <v>0.29754226254708527</v>
      </c>
      <c r="X44" s="193">
        <f>(SUM(X11:Y11*X24:Y24)+X34)/X32</f>
        <v>0.29754226175672227</v>
      </c>
      <c r="Z44" s="193">
        <f>(SUM(Z11:AA11*Z24:AA24)+Z34)/Z32</f>
        <v>0.29754226141157136</v>
      </c>
      <c r="AB44" s="193">
        <f>(SUM(AB11:AC11*AB24:AC24)+AB34)/AB32</f>
        <v>0.29754226235739673</v>
      </c>
      <c r="AD44" s="193">
        <f>(SUM(AD11:AE11*AD24:AE24)+AD34)/AD32</f>
        <v>0.29754226187448685</v>
      </c>
      <c r="AF44" s="193">
        <f>(SUM(AF11:AG11*AF24:AG24)+AF34)/AF32</f>
        <v>0.297542261777964</v>
      </c>
      <c r="AH44" s="193">
        <f>(SUM(AH11:AI11*AH24:AI24)+AH34)/AH32</f>
        <v>0.29754226187947502</v>
      </c>
      <c r="AJ44" s="193">
        <f>(SUM(AJ11:AK11*AJ24:AK24)+AJ34)/AJ32</f>
        <v>0.29754226190977934</v>
      </c>
      <c r="AL44" s="193">
        <f>(SUM(AL11:AM11*AL24:AM24)+AL34)/AL32</f>
        <v>0.29754226190670618</v>
      </c>
      <c r="AN44" s="193">
        <f>(SUM(AN11:AO11*AN24:AO24)+AN34)/AN32</f>
        <v>0.29754226190683319</v>
      </c>
      <c r="AP44" s="193">
        <f>(SUM(AP11:AQ11*AP24:AQ24)+AP34)/AP32</f>
        <v>0.29754226190683697</v>
      </c>
      <c r="AR44" s="193">
        <f>(SUM(AR11:AS11*AR24:AS24)+AR34)/AR32</f>
        <v>0.29754226190681843</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0.22038438808504895</v>
      </c>
      <c r="F45" s="193">
        <f>SUM(F11:G11*F24:G24)/F32</f>
        <v>0.220384388013704</v>
      </c>
      <c r="H45" s="193">
        <f>SUM(H11:I11*H24:I24)/H32</f>
        <v>0.22038438829745335</v>
      </c>
      <c r="J45" s="193">
        <f>SUM(J11:K11*J24:K24)/J32</f>
        <v>0.22038438823818646</v>
      </c>
      <c r="L45" s="193">
        <f>SUM(L11:M11*L24:M24)/L32</f>
        <v>0.22038438826289883</v>
      </c>
      <c r="N45" s="193">
        <f>SUM(N11:O11*N24:O24)/N32</f>
        <v>0.22038438820324321</v>
      </c>
      <c r="P45" s="193">
        <f>SUM(P11:Q11*P24:Q24)/P32</f>
        <v>0.22038438815170477</v>
      </c>
      <c r="R45" s="193">
        <f>SUM(R11:S11*R24:S24)/R32</f>
        <v>0.22038438835088922</v>
      </c>
      <c r="T45" s="193">
        <f>SUM(T11:U11*T24:U24)/T32</f>
        <v>0.22038438831850793</v>
      </c>
      <c r="V45" s="193">
        <f>SUM(V11:W11*V24:W24)/V32</f>
        <v>0.22038438837312532</v>
      </c>
      <c r="X45" s="193">
        <f>SUM(X11:Y11*X24:Y24)/X32</f>
        <v>0.22038438834263341</v>
      </c>
      <c r="Z45" s="193">
        <f>SUM(Z11:AA11*Z24:AA24)/Z32</f>
        <v>0.22038438836703403</v>
      </c>
      <c r="AB45" s="193">
        <f>SUM(AB11:AC11*AB24:AC24)/AB32</f>
        <v>0.2203843883406551</v>
      </c>
      <c r="AD45" s="193">
        <f>SUM(AD11:AE11*AD24:AE24)/AD32</f>
        <v>0.22038438833291915</v>
      </c>
      <c r="AF45" s="193">
        <f>SUM(AF11:AG11*AF24:AG24)/AF32</f>
        <v>0.22038438831878429</v>
      </c>
      <c r="AH45" s="193">
        <f>SUM(AH11:AI11*AH24:AI24)/AH32</f>
        <v>0.22038438833289634</v>
      </c>
      <c r="AJ45" s="193">
        <f>SUM(AJ11:AK11*AJ24:AK24)/AJ32</f>
        <v>0.22038438833158214</v>
      </c>
      <c r="AL45" s="193">
        <f>SUM(AL11:AM11*AL24:AM24)/AL32</f>
        <v>0.2203843883319003</v>
      </c>
      <c r="AN45" s="193">
        <f>SUM(AN11:AO11*AN24:AO24)/AN32</f>
        <v>0.22038438833194091</v>
      </c>
      <c r="AP45" s="193">
        <f>SUM(AP11:AQ11*AP24:AQ24)/AP32</f>
        <v>0.22038438833194124</v>
      </c>
      <c r="AR45" s="193">
        <f>SUM(AR11:AS11*AR24:AS24)/AR32</f>
        <v>0.2203843883319416</v>
      </c>
      <c r="AT45" s="193" t="e">
        <f>SUM(AT11:AU11*AT24:AU24)/AT32</f>
        <v>#DIV/0!</v>
      </c>
      <c r="AV45" s="193" t="e">
        <f>SUM(AV11:AW11*AV24:AW24)/AV32</f>
        <v>#DIV/0!</v>
      </c>
      <c r="XCQ45" s="193"/>
    </row>
    <row r="46" spans="1:49 16319:16321" x14ac:dyDescent="0.2">
      <c r="A46" t="s">
        <v>139</v>
      </c>
      <c r="B46" s="193">
        <f>B34/B32</f>
        <v>7.7157873574883462E-2</v>
      </c>
      <c r="D46" s="193">
        <f>D34/D32</f>
        <v>7.7157873734554669E-2</v>
      </c>
      <c r="F46" s="193">
        <f>F34/F32</f>
        <v>7.7157873662559606E-2</v>
      </c>
      <c r="H46" s="193">
        <f>H34/H32</f>
        <v>7.7157873838973434E-2</v>
      </c>
      <c r="J46" s="193">
        <f>J34/J32</f>
        <v>7.7157873504438881E-2</v>
      </c>
      <c r="L46" s="193">
        <f>L34/L32</f>
        <v>7.7157874003655327E-2</v>
      </c>
      <c r="N46" s="193">
        <f>N34/N32</f>
        <v>7.7157874232132023E-2</v>
      </c>
      <c r="P46" s="193">
        <f>P34/P32</f>
        <v>7.7157874238037411E-2</v>
      </c>
      <c r="R46" s="193">
        <f>R34/R32</f>
        <v>7.7157873725844497E-2</v>
      </c>
      <c r="T46" s="193">
        <f>T34/T32</f>
        <v>7.7157871269774567E-2</v>
      </c>
      <c r="V46" s="193">
        <f>V34/V32</f>
        <v>7.7157874173959959E-2</v>
      </c>
      <c r="X46" s="193">
        <f>X34/X32</f>
        <v>7.715787341408889E-2</v>
      </c>
      <c r="Z46" s="193">
        <f>Z34/Z32</f>
        <v>7.7157873044537348E-2</v>
      </c>
      <c r="AB46" s="193">
        <f>AB34/AB32</f>
        <v>7.7157874016741651E-2</v>
      </c>
      <c r="AD46" s="193">
        <f>AD34/AD32</f>
        <v>7.7157873541567723E-2</v>
      </c>
      <c r="AF46" s="193">
        <f>AF34/AF32</f>
        <v>7.7157873459179696E-2</v>
      </c>
      <c r="AH46" s="193">
        <f>AH34/AH32</f>
        <v>7.7157873546578687E-2</v>
      </c>
      <c r="AJ46" s="193">
        <f>AJ34/AJ32</f>
        <v>7.71578735781972E-2</v>
      </c>
      <c r="AL46" s="193">
        <f>AL34/AL32</f>
        <v>7.7157873574805927E-2</v>
      </c>
      <c r="AN46" s="193">
        <f>AN34/AN32</f>
        <v>7.7157873574892233E-2</v>
      </c>
      <c r="AP46" s="193">
        <f>AP34/AP32</f>
        <v>7.7157873574895744E-2</v>
      </c>
      <c r="AR46" s="193">
        <f>AR34/AR32</f>
        <v>7.7157873574876829E-2</v>
      </c>
      <c r="AT46" s="193" t="e">
        <f>AT34/AT32</f>
        <v>#DIV/0!</v>
      </c>
      <c r="AV46" s="193" t="e">
        <f>AV34/AV32</f>
        <v>#DIV/0!</v>
      </c>
      <c r="XCS46" s="193"/>
    </row>
    <row r="48" spans="1:49 16319:16321" x14ac:dyDescent="0.2">
      <c r="A48" t="s">
        <v>159</v>
      </c>
      <c r="B48" s="191">
        <f>B24/$B$24</f>
        <v>1</v>
      </c>
      <c r="C48" s="191"/>
      <c r="D48" s="191">
        <f>D24/$B$24</f>
        <v>1.0036139441679526</v>
      </c>
      <c r="E48" s="191"/>
      <c r="F48" s="191">
        <f>F24/$B$24</f>
        <v>1.0068527077924312</v>
      </c>
      <c r="G48" s="191"/>
      <c r="H48" s="191">
        <f>H24/$B$24</f>
        <v>1.009680281624679</v>
      </c>
      <c r="I48" s="191"/>
      <c r="J48" s="191">
        <f>J24/$B$24</f>
        <v>1.0120527597721405</v>
      </c>
      <c r="K48" s="191"/>
      <c r="L48" s="191">
        <f>L24/$B$24</f>
        <v>1.0139171024579217</v>
      </c>
      <c r="M48" s="191"/>
      <c r="N48" s="191">
        <f>N24/$B$24</f>
        <v>1.0152077005915605</v>
      </c>
      <c r="O48" s="191"/>
      <c r="P48" s="191">
        <f>P24/$B$24</f>
        <v>1.015843103717192</v>
      </c>
      <c r="Q48" s="191"/>
      <c r="R48" s="191">
        <f>R24/$B$24</f>
        <v>1.0157202404089829</v>
      </c>
      <c r="S48" s="191"/>
      <c r="T48" s="191">
        <f>T24/$B$24</f>
        <v>1.014706421052249</v>
      </c>
      <c r="U48" s="191"/>
      <c r="V48" s="191">
        <f>V24/$B$24</f>
        <v>1.012625677682127</v>
      </c>
      <c r="W48" s="191"/>
      <c r="X48" s="191">
        <f>X24/$B$24</f>
        <v>1.0092369194241815</v>
      </c>
      <c r="Y48" s="191"/>
      <c r="Z48" s="191">
        <f>Z24/$B$24</f>
        <v>1.0041931060800973</v>
      </c>
      <c r="AA48" s="191"/>
      <c r="AB48" s="191">
        <f>AB24/$B$24</f>
        <v>0.99696197815034848</v>
      </c>
      <c r="AC48" s="191"/>
      <c r="AD48" s="191">
        <f>AD24/$B$24</f>
        <v>0.98665510847396842</v>
      </c>
      <c r="AE48" s="191"/>
      <c r="AF48" s="191">
        <f>AF24/$B$24</f>
        <v>0.97163922579548134</v>
      </c>
      <c r="AG48" s="191"/>
      <c r="AH48" s="191">
        <f>AH24/$B$24</f>
        <v>0.94863503980683261</v>
      </c>
      <c r="AI48" s="191"/>
      <c r="AJ48" s="191">
        <f>AJ24/$B$24</f>
        <v>0.91061351320283312</v>
      </c>
      <c r="AK48" s="191"/>
      <c r="AL48" s="191">
        <f>AL24/$B$24</f>
        <v>0.84091216261143031</v>
      </c>
      <c r="AM48" s="191"/>
      <c r="AN48" s="191">
        <f>AN24/$B$24</f>
        <v>0.68734448060928732</v>
      </c>
      <c r="AO48" s="191"/>
      <c r="AP48" s="191">
        <f>AP24/$B$24</f>
        <v>0.63238662446611582</v>
      </c>
      <c r="AQ48" s="191"/>
      <c r="AR48" s="191">
        <f>AR24/$B$24</f>
        <v>0.56040954790066533</v>
      </c>
      <c r="AS48" s="191"/>
      <c r="AT48" s="191">
        <f>AT24/$B$24</f>
        <v>0</v>
      </c>
      <c r="AU48" s="191"/>
      <c r="AV48" s="191">
        <f>AV24/$B$24</f>
        <v>0</v>
      </c>
    </row>
    <row r="49" spans="1:48 16321:16384" x14ac:dyDescent="0.2">
      <c r="A49" t="s">
        <v>160</v>
      </c>
      <c r="B49" s="191">
        <f>B13/B35/$B$13*$B$35</f>
        <v>1</v>
      </c>
      <c r="C49" s="191"/>
      <c r="D49" s="191">
        <f>D13/D35/$B$13*$B$35</f>
        <v>0.99999999762982039</v>
      </c>
      <c r="E49" s="191"/>
      <c r="F49" s="191">
        <f>F13/F35/$B$13*$B$35</f>
        <v>0.99999999588032973</v>
      </c>
      <c r="G49" s="191"/>
      <c r="H49" s="191">
        <f>H13/H35/$B$13*$B$35</f>
        <v>1.0000000001414129</v>
      </c>
      <c r="I49" s="191"/>
      <c r="J49" s="191">
        <f>J13/J35/$B$13*$B$35</f>
        <v>0.99999999748341328</v>
      </c>
      <c r="K49" s="191"/>
      <c r="L49" s="191">
        <f>L13/L35/$B$13*$B$35</f>
        <v>1.0000000004841363</v>
      </c>
      <c r="M49" s="191"/>
      <c r="N49" s="191">
        <f>N13/N35/$B$13*$B$35</f>
        <v>1.0000000011717369</v>
      </c>
      <c r="O49" s="191"/>
      <c r="P49" s="191">
        <f>P13/P35/$B$13*$B$35</f>
        <v>1.0000000021410187</v>
      </c>
      <c r="Q49" s="191"/>
      <c r="R49" s="191">
        <f>R13/R35/$B$13*$B$35</f>
        <v>0.99999999926499461</v>
      </c>
      <c r="S49" s="191"/>
      <c r="T49" s="191">
        <f>T13/T35/$B$13*$B$35</f>
        <v>0.99999999961052899</v>
      </c>
      <c r="U49" s="191"/>
      <c r="V49" s="191">
        <f>V13/V35/$B$13*$B$35</f>
        <v>0.99999999764417602</v>
      </c>
      <c r="W49" s="191"/>
      <c r="X49" s="191">
        <f>X13/X35/$B$13*$B$35</f>
        <v>0.99999999839689391</v>
      </c>
      <c r="Y49" s="191"/>
      <c r="Z49" s="191">
        <f>Z13/Z35/$B$13*$B$35</f>
        <v>0.99999999408761275</v>
      </c>
      <c r="AA49" s="191"/>
      <c r="AB49" s="191">
        <f>AB13/AB35/$B$13*$B$35</f>
        <v>0.99999999753652458</v>
      </c>
      <c r="AC49" s="191"/>
      <c r="AD49" s="191">
        <f>AD13/AD35/$B$13*$B$35</f>
        <v>0.99999999961253794</v>
      </c>
      <c r="AE49" s="191"/>
      <c r="AF49" s="191">
        <f>AF13/AF35/$B$13*$B$35</f>
        <v>1.0000000002392269</v>
      </c>
      <c r="AG49" s="191"/>
      <c r="AH49" s="191">
        <f>AH13/AH35/$B$13*$B$35</f>
        <v>1.0000000008245895</v>
      </c>
      <c r="AI49" s="191"/>
      <c r="AJ49" s="191">
        <f>AJ13/AJ35/$B$13*$B$35</f>
        <v>0.99999999958071628</v>
      </c>
      <c r="AK49" s="191"/>
      <c r="AL49" s="191">
        <f>AL13/AL35/$B$13*$B$35</f>
        <v>0.99999999987513466</v>
      </c>
      <c r="AM49" s="191"/>
      <c r="AN49" s="191">
        <f>AN13/AN35/$B$13*$B$35</f>
        <v>1.0000000000035683</v>
      </c>
      <c r="AO49" s="191"/>
      <c r="AP49" s="191">
        <f>AP13/AP35/$B$13*$B$35</f>
        <v>1.0000000000047244</v>
      </c>
      <c r="AQ49" s="191"/>
      <c r="AR49" s="191">
        <f>AR13/AR35/$B$13*$B$35</f>
        <v>0.99999999999848621</v>
      </c>
      <c r="AS49" s="191"/>
      <c r="AT49" s="191" t="e">
        <f>AT13/AT35/$B$13*$B$35</f>
        <v>#DIV/0!</v>
      </c>
      <c r="AU49" s="191"/>
      <c r="AV49" s="191" t="e">
        <f>AV13/AV35/$B$13*$B$35</f>
        <v>#DIV/0!</v>
      </c>
    </row>
    <row r="51" spans="1:48 16321:16384" x14ac:dyDescent="0.2">
      <c r="A51" t="s">
        <v>166</v>
      </c>
      <c r="B51" s="29">
        <f>B30-B10*B23</f>
        <v>-405838.32800000021</v>
      </c>
      <c r="D51" s="29">
        <f>D30-D10*D23</f>
        <v>-358733.63308635727</v>
      </c>
      <c r="F51" s="29">
        <f>F30-F10*F23</f>
        <v>-311406.35199190211</v>
      </c>
      <c r="H51" s="29">
        <f>H30-H10*H23</f>
        <v>-263826.64228338143</v>
      </c>
      <c r="J51" s="29">
        <f>J30-J10*J23</f>
        <v>-215951.3068161062</v>
      </c>
      <c r="L51" s="29">
        <f>L30-L10*L23</f>
        <v>-167716.65360111976</v>
      </c>
      <c r="N51" s="29">
        <f>N30-N10*N23</f>
        <v>-119026.04477633815</v>
      </c>
      <c r="P51" s="29">
        <f>P30-P10*P23</f>
        <v>-69731.427002305631</v>
      </c>
      <c r="R51" s="29">
        <f>R30-R10*R23</f>
        <v>-19603.188715289813</v>
      </c>
      <c r="T51" s="29">
        <f>T30-T10*T23</f>
        <v>31718.16882294789</v>
      </c>
      <c r="V51" s="29">
        <f>V30-V10*V23</f>
        <v>84800.655805232469</v>
      </c>
      <c r="X51" s="29">
        <f>X30-X10*X23</f>
        <v>140549.03205040516</v>
      </c>
      <c r="Z51" s="29">
        <f>Z30-Z10*Z23</f>
        <v>200407.43896103883</v>
      </c>
      <c r="AB51" s="29">
        <f>AB30-AB10*AB23</f>
        <v>266655.17764843022</v>
      </c>
      <c r="AD51" s="29">
        <f>AD30-AD10*AD23</f>
        <v>342719.85179241328</v>
      </c>
      <c r="AF51" s="29">
        <f>AF30-AF10*AF23</f>
        <v>433072.71870118985</v>
      </c>
      <c r="AH51" s="29">
        <f>AH30-AH10*AH23</f>
        <v>541508.14979720768</v>
      </c>
      <c r="AJ51" s="29">
        <f>AJ30-AJ10*AJ23</f>
        <v>666560.16867629485</v>
      </c>
      <c r="AL51" s="29">
        <f>AL30-AL10*AL23</f>
        <v>793968.97534791986</v>
      </c>
      <c r="AN51" s="29">
        <f>AN30-AN10*AN23</f>
        <v>865530.81198698189</v>
      </c>
      <c r="AP51" s="29">
        <f>AP30-AP10*AP23</f>
        <v>853580.21159337787</v>
      </c>
      <c r="AQ51" s="29"/>
      <c r="AR51" s="29">
        <f>AR30-AR10*AR23</f>
        <v>817909.92018977669</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2061883.7276475499</v>
      </c>
      <c r="F52" s="29">
        <f t="array" ref="F52">Calibration!sL*SUM(F13:G13*F26:G26)</f>
        <v>2073740.3423221631</v>
      </c>
      <c r="H52" s="29">
        <f t="array" ref="H52">Calibration!sL*SUM(H13:I13*H26:I26)</f>
        <v>2084743.8492893977</v>
      </c>
      <c r="J52" s="29">
        <f t="array" ref="J52">Calibration!sL*SUM(J13:K13*J26:K26)</f>
        <v>2094807.6143007674</v>
      </c>
      <c r="L52" s="29">
        <f t="array" ref="L52">Calibration!sL*SUM(L13:M13*L26:M26)</f>
        <v>2103831.9471078957</v>
      </c>
      <c r="N52" s="29">
        <f t="array" ref="N52">Calibration!sL*SUM(N13:O13*N26:O26)</f>
        <v>2111700.6034454969</v>
      </c>
      <c r="P52" s="29">
        <f t="array" ref="P52">Calibration!sL*SUM(P13:Q13*P26:Q26)</f>
        <v>2118279.562458314</v>
      </c>
      <c r="R52" s="29">
        <f t="array" ref="R52">Calibration!sL*SUM(R13:S13*R26:S26)</f>
        <v>2123413.9188300362</v>
      </c>
      <c r="T52" s="29">
        <f t="array" ref="T52">Calibration!sL*SUM(T13:U13*T26:U26)</f>
        <v>2126924.9816823914</v>
      </c>
      <c r="V52" s="29">
        <f t="array" ref="V52">Calibration!sL*SUM(V13:W13*V26:W26)</f>
        <v>2128604.9681009916</v>
      </c>
      <c r="X52" s="29">
        <f t="array" ref="X52">Calibration!sL*SUM(X13:Y13*X26:Y26)</f>
        <v>2128206.9109622212</v>
      </c>
      <c r="Z52" s="29">
        <f t="array" ref="Z52">Calibration!sL*SUM(Z13:AA13*Z26:AA26)</f>
        <v>2125415.8101601973</v>
      </c>
      <c r="AB52" s="29">
        <f t="array" ref="AB52">Calibration!sL*SUM(AB13:AC13*AB26:AC26)</f>
        <v>2119761.7732105628</v>
      </c>
      <c r="AD52" s="29">
        <f t="array" ref="AD52">Calibration!sL*SUM(AD13:AE13*AD26:AE26)</f>
        <v>2110338.8929504515</v>
      </c>
      <c r="AF52" s="29">
        <f t="array" ref="AF52">Calibration!sL*SUM(AF13:AG13*AF26:AG26)</f>
        <v>2094938.891263694</v>
      </c>
      <c r="AH52" s="29">
        <f t="array" ref="AH52">Calibration!sL*SUM(AH13:AI13*AH26:AI26)</f>
        <v>2067656.3685806263</v>
      </c>
      <c r="AJ52" s="29">
        <f t="array" ref="AJ52">Calibration!sL*SUM(AJ13:AK13*AJ26:AK26)</f>
        <v>2013268.0881418739</v>
      </c>
      <c r="AL52" s="29">
        <f t="array" ref="AL52">Calibration!sL*SUM(AL13:AM13*AL26:AM26)</f>
        <v>1893348.9546491511</v>
      </c>
      <c r="AN52" s="29">
        <f t="array" ref="AN52">Calibration!sL*SUM(AN13:AO13*AN26:AO26)</f>
        <v>1586815.8788926094</v>
      </c>
      <c r="AP52" s="29">
        <f t="array" ref="AP52">Calibration!sL*SUM(AP13:AQ13*AP26:AQ26)</f>
        <v>1469839.526646296</v>
      </c>
      <c r="AQ52" s="29"/>
      <c r="AR52" s="29">
        <f t="array" ref="AR52">Calibration!sL*SUM(AR13:AS13*AR26:AS26)</f>
        <v>1312964.6916212963</v>
      </c>
      <c r="AT52" s="29">
        <f t="array" ref="AT52">Calibration!sL*SUM(AT13:AU13*AT26:AU26)</f>
        <v>0</v>
      </c>
      <c r="AV52" s="29">
        <f t="array" ref="AV52">Calibration!sL*SUM(AV13:AW13*AV26:AW26)</f>
        <v>0</v>
      </c>
    </row>
    <row r="53" spans="1:48 16321:16384" x14ac:dyDescent="0.2">
      <c r="A53" t="s">
        <v>168</v>
      </c>
      <c r="B53" s="29">
        <f t="array" ref="B53">Calibration!sK*SUM(B15:C15*B27:C27)</f>
        <v>2740714.4444296514</v>
      </c>
      <c r="D53" s="29">
        <f t="array" ref="D53">Calibration!sK*SUM(D15:E15*D27:E27)</f>
        <v>2719827.1977265249</v>
      </c>
      <c r="F53" s="29">
        <f t="array" ref="F53">Calibration!sK*SUM(F15:G15*F27:G27)</f>
        <v>2697845.6107948152</v>
      </c>
      <c r="H53" s="29">
        <f t="array" ref="H53">Calibration!sK*SUM(H15:I15*H27:I27)</f>
        <v>2674659.0320067755</v>
      </c>
      <c r="J53" s="29">
        <f t="array" ref="J53">Calibration!sK*SUM(J15:K15*J27:K27)</f>
        <v>2650132.6658708872</v>
      </c>
      <c r="L53" s="29">
        <f t="array" ref="L53">Calibration!sK*SUM(L15:M15*L27:M27)</f>
        <v>2624098.9490283532</v>
      </c>
      <c r="N53" s="29">
        <f t="array" ref="N53">Calibration!sK*SUM(N15:O15*N27:O27)</f>
        <v>2596346.7780573354</v>
      </c>
      <c r="P53" s="29">
        <f t="array" ref="P53">Calibration!sK*SUM(P15:Q15*P27:Q27)</f>
        <v>2566604.1876397575</v>
      </c>
      <c r="R53" s="29">
        <f t="array" ref="R53">Calibration!sK*SUM(R15:S15*R27:S27)</f>
        <v>2534512.472828221</v>
      </c>
      <c r="T53" s="29">
        <f t="array" ref="T53">Calibration!sK*SUM(T15:U15*T27:U27)</f>
        <v>2499585.8509491989</v>
      </c>
      <c r="V53" s="29">
        <f t="array" ref="V53">Calibration!sK*SUM(V15:W15*V27:W27)</f>
        <v>2461144.9454332571</v>
      </c>
      <c r="X53" s="29">
        <f t="array" ref="X53">Calibration!sK*SUM(X15:Y15*X27:Y27)</f>
        <v>2418207.6502110837</v>
      </c>
      <c r="Z53" s="29">
        <f t="array" ref="Z53">Calibration!sK*SUM(Z15:AA15*Z27:AA27)</f>
        <v>2369300.2261573314</v>
      </c>
      <c r="AB53" s="29">
        <f t="array" ref="AB53">Calibration!sK*SUM(AB15:AC15*AB27:AC27)</f>
        <v>2312128.5788548193</v>
      </c>
      <c r="AD53" s="29">
        <f t="array" ref="AD53">Calibration!sK*SUM(AD15:AE15*AD27:AE27)</f>
        <v>2243007.2080447571</v>
      </c>
      <c r="AF53" s="29">
        <f t="array" ref="AF53">Calibration!sK*SUM(AF15:AG15*AF27:AG27)</f>
        <v>2155909.9023155663</v>
      </c>
      <c r="AH53" s="29">
        <f t="array" ref="AH53">Calibration!sK*SUM(AH15:AI15*AH27:AI27)</f>
        <v>2040939.1880640325</v>
      </c>
      <c r="AJ53" s="29">
        <f t="array" ref="AJ53">Calibration!sK*SUM(AJ15:AK15*AJ27:AK27)</f>
        <v>1881148.3191243189</v>
      </c>
      <c r="AL53" s="29">
        <f t="array" ref="AL53">Calibration!sK*SUM(AL15:AM15*AL27:AM27)</f>
        <v>1641805.2367146418</v>
      </c>
      <c r="AN53" s="29">
        <f t="array" ref="AN53">Calibration!sK*SUM(AN15:AO15*AN27:AO27)</f>
        <v>1223571.6468551236</v>
      </c>
      <c r="AP53" s="29">
        <f t="array" ref="AP53">Calibration!sK*SUM(AP15:AQ15*AP27:AQ27)</f>
        <v>1093874.0451921467</v>
      </c>
      <c r="AQ53" s="29"/>
      <c r="AR53" s="29">
        <f t="array" ref="AR53">Calibration!sK*SUM(AR15:AS15*AR27:AS27)</f>
        <v>934901.98444298981</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0.20175834754802227</v>
      </c>
      <c r="F55" s="193">
        <f>F30/F32</f>
        <v>0.20500527211177197</v>
      </c>
      <c r="H55" s="193">
        <f>H30/H32</f>
        <v>0.2082486327112423</v>
      </c>
      <c r="J55" s="193">
        <f>J30/J32</f>
        <v>0.21149480064811155</v>
      </c>
      <c r="L55" s="193">
        <f>L30/L32</f>
        <v>0.21475198378094587</v>
      </c>
      <c r="N55" s="193">
        <f>N30/N32</f>
        <v>0.21803120307560073</v>
      </c>
      <c r="P55" s="193">
        <f>P30/P32</f>
        <v>0.22134775790816269</v>
      </c>
      <c r="R55" s="193">
        <f>R30/R32</f>
        <v>0.224723572974035</v>
      </c>
      <c r="T55" s="193">
        <f>T30/T32</f>
        <v>0.22819096391958385</v>
      </c>
      <c r="V55" s="193">
        <f>V30/V32</f>
        <v>0.23179879741107642</v>
      </c>
      <c r="X55" s="193">
        <f>X30/X32</f>
        <v>0.23562270485321485</v>
      </c>
      <c r="Z55" s="193">
        <f>Z30/Z32</f>
        <v>0.23978181698002768</v>
      </c>
      <c r="AB55" s="193">
        <f>AB30/AB32</f>
        <v>0.24446519366960032</v>
      </c>
      <c r="AD55" s="193">
        <f>AD30/AD32</f>
        <v>0.24996775162640095</v>
      </c>
      <c r="AF55" s="193">
        <f>AF30/AF32</f>
        <v>0.2567194716308886</v>
      </c>
      <c r="AH55" s="193">
        <f>AH30/AH32</f>
        <v>0.26526313699289022</v>
      </c>
      <c r="AJ55" s="193">
        <f>AJ30/AJ32</f>
        <v>0.27620227189228197</v>
      </c>
      <c r="AL55" s="193">
        <f>AL30/AL32</f>
        <v>0.29053324318484863</v>
      </c>
      <c r="AN55" s="193">
        <f>AN30/AN32</f>
        <v>0.31177664006281941</v>
      </c>
      <c r="AP55" s="193">
        <f>AP30/AP32</f>
        <v>0.31788853049040694</v>
      </c>
      <c r="AR55" s="193">
        <f>AR30/AR32</f>
        <v>0.32530326263806708</v>
      </c>
      <c r="AT55" s="193" t="e">
        <f>AT30/AT32</f>
        <v>#DIV/0!</v>
      </c>
      <c r="AV55" s="193" t="e">
        <f>AV30/AV32</f>
        <v>#DIV/0!</v>
      </c>
      <c r="XCS55" s="193"/>
      <c r="XFD55" s="193"/>
    </row>
    <row r="56" spans="1:48 16321:16384" x14ac:dyDescent="0.2">
      <c r="A56" t="s">
        <v>170</v>
      </c>
      <c r="B56" s="193">
        <f>(Model!$C$52*B5*B20+B2*C5*C20)/B32</f>
        <v>2.9221206744340551E-2</v>
      </c>
      <c r="D56" s="193">
        <f>(Model!$C$52*D5*D20+D2*E5*E20)/D32</f>
        <v>3.1982403344976582E-2</v>
      </c>
      <c r="F56" s="193">
        <f>(Model!$C$52*F5*F20+F2*G5*G20)/F32</f>
        <v>3.4736738657947824E-2</v>
      </c>
      <c r="H56" s="193">
        <f>(Model!$C$52*H5*H20+H2*I5*I20)/H32</f>
        <v>3.7488611731442828E-2</v>
      </c>
      <c r="J56" s="193">
        <f>(Model!$C$52*J5*J20+J2*K5*K20)/J32</f>
        <v>4.0243438179165737E-2</v>
      </c>
      <c r="L56" s="193">
        <f>(Model!$C$52*L5*L20+L2*M5*M20)/L32</f>
        <v>4.3008148820000904E-2</v>
      </c>
      <c r="N56" s="193">
        <f>(Model!$C$52*N5*N20+N2*O5*O20)/N32</f>
        <v>4.5791974089604219E-2</v>
      </c>
      <c r="P56" s="193">
        <f>(Model!$C$52*P5*P20+P2*Q5*Q20)/P32</f>
        <v>4.8607642270076745E-2</v>
      </c>
      <c r="R56" s="193">
        <f>(Model!$C$52*R5*R20+R2*S5*S20)/R32</f>
        <v>5.1473275878065133E-2</v>
      </c>
      <c r="T56" s="193">
        <f>(Model!$C$52*T5*T20+T2*U5*U20)/T32</f>
        <v>5.4415480141942481E-2</v>
      </c>
      <c r="V56" s="193">
        <f>(Model!$C$52*V5*V20+V2*W5*W20)/V32</f>
        <v>5.7474277558875707E-2</v>
      </c>
      <c r="X56" s="193">
        <f>(Model!$C$52*X5*X20+X2*Y5*Y20)/X32</f>
        <v>6.0711455337088868E-2</v>
      </c>
      <c r="Z56" s="193">
        <f>(Model!$C$52*Z5*Z20+Z2*AA5*AA20)/Z32</f>
        <v>6.4224099684341091E-2</v>
      </c>
      <c r="AB56" s="193">
        <f>(Model!$C$52*AB5*AB20+AB2*AC5*AC20)/AB32</f>
        <v>6.8166087456166674E-2</v>
      </c>
      <c r="AD56" s="193">
        <f>(Model!$C$52*AD5*AD20+AD2*AE5*AE20)/AD32</f>
        <v>7.2777381854651615E-2</v>
      </c>
      <c r="AF56" s="193">
        <f>(Model!$C$52*AF5*AF20+AF2*AG5*AG20)/AF32</f>
        <v>7.8408196413681602E-2</v>
      </c>
      <c r="AH56" s="193">
        <f>(Model!$C$52*AH5*AH20+AH2*AI5*AI20)/AH32</f>
        <v>8.5502298122755935E-2</v>
      </c>
      <c r="AJ56" s="193">
        <f>(Model!$C$52*AJ5*AJ20+AJ2*AK5*AK20)/AJ32</f>
        <v>9.4557763930057104E-2</v>
      </c>
      <c r="AL56" s="193">
        <f>(Model!$C$52*AL5*AL20+AL2*AM5*AM20)/AL32</f>
        <v>0.10640318311359359</v>
      </c>
      <c r="AN56" s="193">
        <f>(Model!$C$52*AN5*AN20+AN2*AO5*AO20)/AN32</f>
        <v>0.12395447661161942</v>
      </c>
      <c r="AP56" s="193">
        <f>(Model!$C$52*AP5*AP20+AP2*AQ5*AQ20)/AP32</f>
        <v>0.12900393604092042</v>
      </c>
      <c r="AR56" s="193">
        <f>(Model!$C$52*AR5*AR20+AR2*AS5*AS20)/AR32</f>
        <v>0.13512978095501604</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0.1591216142202786</v>
      </c>
      <c r="F57" s="193">
        <f t="array" ref="F57">SUM(Model!tauL*F13:G13*F26:G26)/F32</f>
        <v>0.15971282616323423</v>
      </c>
      <c r="H57" s="193">
        <f t="array" ref="H57">SUM(Model!tauL*H13:I13*H26:I26)/H32</f>
        <v>0.16030339085147549</v>
      </c>
      <c r="J57" s="193">
        <f t="array" ref="J57">SUM(Model!tauL*J13:K13*J26:K26)/J32</f>
        <v>0.16089446586866954</v>
      </c>
      <c r="L57" s="193">
        <f t="array" ref="L57">SUM(Model!tauL*L13:M13*L26:M26)/L32</f>
        <v>0.16148754544788485</v>
      </c>
      <c r="N57" s="193">
        <f t="array" ref="N57">SUM(Model!tauL*N13:O13*N26:O26)/N32</f>
        <v>0.16208463679218754</v>
      </c>
      <c r="P57" s="193">
        <f t="array" ref="P57">SUM(Model!tauL*P13:Q13*P26:Q26)/P32</f>
        <v>0.16268852690721089</v>
      </c>
      <c r="R57" s="193">
        <f t="array" ref="R57">SUM(Model!tauL*R13:S13*R26:S26)/R32</f>
        <v>0.16330321445220136</v>
      </c>
      <c r="T57" s="193">
        <f t="array" ref="T57">SUM(Model!tauL*T13:U13*T26:U26)/T32</f>
        <v>0.163934567705701</v>
      </c>
      <c r="V57" s="193">
        <f t="array" ref="V57">SUM(Model!tauL*V13:W13*V26:W26)/V32</f>
        <v>0.16459149898306144</v>
      </c>
      <c r="X57" s="193">
        <f t="array" ref="X57">SUM(Model!tauL*X13:Y13*X26:Y26)/X32</f>
        <v>0.16528776958617594</v>
      </c>
      <c r="Y57" s="193"/>
      <c r="Z57" s="193">
        <f t="array" ref="Z57">SUM(Model!tauL*Z13:AA13*Z26:AA26)/Z32</f>
        <v>0.1660450752452754</v>
      </c>
      <c r="AB57" s="193">
        <f t="array" ref="AB57">SUM(Model!tauL*AB13:AC13*AB26:AC26)/AB32</f>
        <v>0.16689784507602737</v>
      </c>
      <c r="AD57" s="193">
        <f t="array" ref="AD57">SUM(Model!tauL*AD13:AE13*AD26:AE26)/AD32</f>
        <v>0.1678997725041943</v>
      </c>
      <c r="AF57" s="193">
        <f t="array" ref="AF57">SUM(Model!tauL*AF13:AG13*AF26:AG26)/AF32</f>
        <v>0.16912915221767302</v>
      </c>
      <c r="AH57" s="193">
        <f t="array" ref="AH57">SUM(Model!tauL*AH13:AI13*AH26:AI26)/AH32</f>
        <v>0.17068481632404978</v>
      </c>
      <c r="AJ57" s="193">
        <f t="array" ref="AJ57">SUM(Model!tauL*AJ13:AK13*AJ26:AK26)/AJ32</f>
        <v>0.1726766566320288</v>
      </c>
      <c r="AL57" s="193">
        <f t="array" ref="AL57">SUM(Model!tauL*AL13:AM13*AL26:AM26)/AL32</f>
        <v>0.17528609597642825</v>
      </c>
      <c r="AN57" s="193">
        <f t="array" ref="AN57">SUM(Model!tauL*AN13:AO13*AN26:AO26)/AN32</f>
        <v>0.17915417678289366</v>
      </c>
      <c r="AP57" s="193">
        <f t="array" ref="AP57">SUM(Model!tauL*AP13:AQ13*AP26:AQ26)/AP32</f>
        <v>0.18026705369769305</v>
      </c>
      <c r="AR57" s="193">
        <f t="array" ref="AR57">SUM(Model!tauL*AR13:AS13*AR26:AS26)/AR32</f>
        <v>0.18161715712783774</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1.065432998276713E-2</v>
      </c>
      <c r="F58" s="193">
        <f t="array" ref="F58">SUM(Model!tauY/(1+Model!tauY)*F3:G3*F18:G18)/F32</f>
        <v>1.0555707290589945E-2</v>
      </c>
      <c r="H58" s="193">
        <f t="array" ref="H58">SUM(Model!tauY/(1+Model!tauY)*H3:I3*H18:I18)/H32</f>
        <v>1.0456630128323985E-2</v>
      </c>
      <c r="J58" s="193">
        <f t="array" ref="J58">SUM(Model!tauY/(1+Model!tauY)*J3:K3*J18:K18)/J32</f>
        <v>1.0356896600276277E-2</v>
      </c>
      <c r="L58" s="193">
        <f t="array" ref="L58">SUM(Model!tauY/(1+Model!tauY)*L3:M3*L18:M18)/L32</f>
        <v>1.02562895130601E-2</v>
      </c>
      <c r="N58" s="193">
        <f t="array" ref="N58">SUM(Model!tauY/(1+Model!tauY)*N3:O3*N18:O18)/N32</f>
        <v>1.0154592193808954E-2</v>
      </c>
      <c r="P58" s="193">
        <f t="array" ref="P58">SUM(Model!tauY/(1+Model!tauY)*P3:Q3*P18:Q18)/P32</f>
        <v>1.0051588730875078E-2</v>
      </c>
      <c r="R58" s="193">
        <f t="array" ref="R58">SUM(Model!tauY/(1+Model!tauY)*R3:S3*R18:S18)/R32</f>
        <v>9.9470826437684876E-3</v>
      </c>
      <c r="T58" s="193">
        <f t="array" ref="T58">SUM(Model!tauY/(1+Model!tauY)*T3:U3*T18:U18)/T32</f>
        <v>9.8409160719403772E-3</v>
      </c>
      <c r="V58" s="193">
        <f t="array" ref="V58">SUM(Model!tauY/(1+Model!tauY)*V3:W3*V18:W18)/V32</f>
        <v>9.7330208691392729E-3</v>
      </c>
      <c r="X58" s="193">
        <f t="array" ref="X58">SUM(Model!tauY/(1+Model!tauY)*X3:Y3*X18:Y18)/X32</f>
        <v>9.6234799299500327E-3</v>
      </c>
      <c r="Y58" s="193"/>
      <c r="Z58" s="193">
        <f t="array" ref="Z58">SUM(Model!tauY/(1+Model!tauY)*Z3:AA3*Z18:AA18)/Z32</f>
        <v>9.5126420504111804E-3</v>
      </c>
      <c r="AB58" s="193">
        <f t="array" ref="AB58">SUM(Model!tauY/(1+Model!tauY)*AB3:AC3*AB18:AC18)/AB32</f>
        <v>9.4012611374063183E-3</v>
      </c>
      <c r="AD58" s="193">
        <f t="array" ref="AD58">SUM(Model!tauY/(1+Model!tauY)*AD3:AE3*AD18:AE18)/AD32</f>
        <v>9.2905972675550175E-3</v>
      </c>
      <c r="AF58" s="193">
        <f t="array" ref="AF58">SUM(Model!tauY/(1+Model!tauY)*AF3:AG3*AF18:AG18)/AF32</f>
        <v>9.1821229995339947E-3</v>
      </c>
      <c r="AH58" s="193">
        <f t="array" ref="AH58">SUM(Model!tauY/(1+Model!tauY)*AH3:AI3*AH18:AI18)/AH32</f>
        <v>9.0760225460845157E-3</v>
      </c>
      <c r="AJ58" s="193">
        <f t="array" ref="AJ58">SUM(Model!tauY/(1+Model!tauY)*AJ3:AK3*AJ18:AK18)/AJ32</f>
        <v>8.96785133019605E-3</v>
      </c>
      <c r="AL58" s="193">
        <f t="array" ref="AL58">SUM(Model!tauY/(1+Model!tauY)*AL3:AM3*AL18:AM18)/AL32</f>
        <v>8.8439640948267829E-3</v>
      </c>
      <c r="AN58" s="193">
        <f t="array" ref="AN58">SUM(Model!tauY/(1+Model!tauY)*AN3:AO3*AN18:AO18)/AN32</f>
        <v>8.6679866683063763E-3</v>
      </c>
      <c r="AP58" s="193">
        <f t="array" ref="AP58">SUM(Model!tauY/(1+Model!tauY)*AP3:AQ3*AP18:AQ18)/AP32</f>
        <v>8.6175407517934729E-3</v>
      </c>
      <c r="AR58" s="193">
        <f t="array" ref="AR58">SUM(Model!tauY/(1+Model!tauY)*AR3:AS3*AR18:AS18)/AR32</f>
        <v>8.5563245552133065E-3</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3.3613648913518547E-3</v>
      </c>
      <c r="F59" s="193">
        <f>(F2*G5*G20)/F32</f>
        <v>6.1647033132047578E-3</v>
      </c>
      <c r="H59" s="193">
        <f>(H2*I5*I20)/H32</f>
        <v>8.9663020644046472E-3</v>
      </c>
      <c r="J59" s="193">
        <f>(J2*K5*K20)/J32</f>
        <v>1.1771750328459341E-2</v>
      </c>
      <c r="L59" s="193">
        <f>(L2*M5*M20)/L32</f>
        <v>1.4588196663137345E-2</v>
      </c>
      <c r="N59" s="193">
        <f>(N2*O5*O20)/N32</f>
        <v>1.7425145460848227E-2</v>
      </c>
      <c r="P59" s="193">
        <f>(P2*Q5*Q20)/P32</f>
        <v>2.0295683826008826E-2</v>
      </c>
      <c r="R59" s="193">
        <f>(R2*S5*S20)/R32</f>
        <v>2.3218415248539164E-2</v>
      </c>
      <c r="T59" s="193">
        <f>(T2*U5*U20)/T32</f>
        <v>2.62206124546869E-2</v>
      </c>
      <c r="V59" s="193">
        <f>(V2*W5*W20)/V32</f>
        <v>2.9343247435690358E-2</v>
      </c>
      <c r="X59" s="193">
        <f>(X2*Y5*Y20)/X32</f>
        <v>3.2649506934568348E-2</v>
      </c>
      <c r="Z59" s="193">
        <f>(Z2*AA5*AA20)/Z32</f>
        <v>3.6238595809185967E-2</v>
      </c>
      <c r="AB59" s="193">
        <f>(AB2*AC5*AC20)/AB32</f>
        <v>4.0267675549598356E-2</v>
      </c>
      <c r="AD59" s="193">
        <f>(AD2*AE5*AE20)/AD32</f>
        <v>4.4981829997926402E-2</v>
      </c>
      <c r="AF59" s="193">
        <f>(AF2*AG5*AG20)/AF32</f>
        <v>5.0739050016504729E-2</v>
      </c>
      <c r="AH59" s="193">
        <f>(AH2*AI5*AI20)/AH32</f>
        <v>5.7994216522520008E-2</v>
      </c>
      <c r="AJ59" s="193">
        <f>(AJ2*AK5*AK20)/AJ32</f>
        <v>6.7261346721276052E-2</v>
      </c>
      <c r="AL59" s="193">
        <f>(AL2*AM5*AM20)/AL32</f>
        <v>7.9399946318728543E-2</v>
      </c>
      <c r="AN59" s="193">
        <f>(AN2*AO5*AO20)/AN32</f>
        <v>9.7424600247587895E-2</v>
      </c>
      <c r="AP59" s="193">
        <f>(AP2*AQ5*AQ20)/AP32</f>
        <v>0.1026178686859489</v>
      </c>
      <c r="AR59" s="193">
        <f>(AR2*AS5*AS20)/AR32</f>
        <v>0.1089218159129425</v>
      </c>
      <c r="AT59" s="193" t="e">
        <f>(AT2*AU5*AU20)/AT32</f>
        <v>#DIV/0!</v>
      </c>
      <c r="AV59" s="193" t="e">
        <f>(AV2*AW5*AW20)/AV32</f>
        <v>#DIV/0!</v>
      </c>
      <c r="XFD59" s="193"/>
    </row>
    <row r="60" spans="1:48 16321:16384" x14ac:dyDescent="0.2">
      <c r="A60" t="s">
        <v>174</v>
      </c>
      <c r="B60" s="193">
        <f>Model!$C$52*B5*B20/B32</f>
        <v>2.8669464423930927E-2</v>
      </c>
      <c r="D60" s="193">
        <f>Model!$C$52*D5*D20/D32</f>
        <v>2.8621038453624726E-2</v>
      </c>
      <c r="F60" s="193">
        <f>Model!$C$52*F5*F20/F32</f>
        <v>2.8572035344743067E-2</v>
      </c>
      <c r="H60" s="193">
        <f>Model!$C$52*H5*H20/H32</f>
        <v>2.8522309667038177E-2</v>
      </c>
      <c r="J60" s="193">
        <f>Model!$C$52*J5*J20/J32</f>
        <v>2.84716878507064E-2</v>
      </c>
      <c r="L60" s="193">
        <f>Model!$C$52*L5*L20/L32</f>
        <v>2.8419952156863562E-2</v>
      </c>
      <c r="N60" s="193">
        <f>Model!$C$52*N5*N20/N32</f>
        <v>2.8366828628755988E-2</v>
      </c>
      <c r="P60" s="193">
        <f>Model!$C$52*P5*P20/P32</f>
        <v>2.831195844406792E-2</v>
      </c>
      <c r="R60" s="193">
        <f>Model!$C$52*R5*R20/R32</f>
        <v>2.8254860629525973E-2</v>
      </c>
      <c r="T60" s="193">
        <f>Model!$C$52*T5*T20/T32</f>
        <v>2.8194867687255581E-2</v>
      </c>
      <c r="V60" s="193">
        <f>Model!$C$52*V5*V20/V32</f>
        <v>2.8131030123185349E-2</v>
      </c>
      <c r="X60" s="193">
        <f>Model!$C$52*X5*X20/X32</f>
        <v>2.8061948402520517E-2</v>
      </c>
      <c r="Z60" s="193">
        <f>Model!$C$52*Z5*Z20/Z32</f>
        <v>2.7985503875155131E-2</v>
      </c>
      <c r="AB60" s="193">
        <f>Model!$C$52*AB5*AB20/AB32</f>
        <v>2.7898411906568318E-2</v>
      </c>
      <c r="AD60" s="193">
        <f>Model!$C$52*AD5*AD20/AD32</f>
        <v>2.779555185672522E-2</v>
      </c>
      <c r="AF60" s="193">
        <f>Model!$C$52*AF5*AF20/AF32</f>
        <v>2.7669146397176877E-2</v>
      </c>
      <c r="AH60" s="193">
        <f>Model!$C$52*AH5*AH20/AH32</f>
        <v>2.7508081600235931E-2</v>
      </c>
      <c r="AJ60" s="193">
        <f>Model!$C$52*AJ5*AJ20/AJ32</f>
        <v>2.7296417208781044E-2</v>
      </c>
      <c r="AL60" s="193">
        <f>Model!$C$52*AL5*AL20/AL32</f>
        <v>2.7003236794865031E-2</v>
      </c>
      <c r="AN60" s="193">
        <f>Model!$C$52*AN5*AN20/AN32</f>
        <v>2.6529876364031538E-2</v>
      </c>
      <c r="AP60" s="193">
        <f>Model!$C$52*AP5*AP20/AP32</f>
        <v>2.6386067354971506E-2</v>
      </c>
      <c r="AR60" s="193">
        <f>Model!$C$52*AR5*AR20/AR32</f>
        <v>2.6207965042073525E-2</v>
      </c>
      <c r="AT60" s="193" t="e">
        <f>Model!$C$52*AT5*AT20/AT32</f>
        <v>#DIV/0!</v>
      </c>
      <c r="AV60" s="193" t="e">
        <f>Model!$C$52*AV5*AV20/AV32</f>
        <v>#DIV/0!</v>
      </c>
      <c r="XFD60" s="193"/>
    </row>
    <row r="62" spans="1:48 16321:16384" x14ac:dyDescent="0.2">
      <c r="A62" t="s">
        <v>175</v>
      </c>
      <c r="B62">
        <f>B13/B15</f>
        <v>1</v>
      </c>
      <c r="D62">
        <f>D13/D15</f>
        <v>1.0088402176739633</v>
      </c>
      <c r="F62">
        <f>F13/F15</f>
        <v>1.0183926560315206</v>
      </c>
      <c r="H62">
        <f>H13/H15</f>
        <v>1.0287517448809333</v>
      </c>
      <c r="J62">
        <f>J13/J15</f>
        <v>1.0400352824673373</v>
      </c>
      <c r="L62">
        <f>L13/L15</f>
        <v>1.0523928273168546</v>
      </c>
      <c r="N62">
        <f>N13/N15</f>
        <v>1.0660179953510456</v>
      </c>
      <c r="P62">
        <f>P13/P15</f>
        <v>1.081167192493599</v>
      </c>
      <c r="R62">
        <f>R13/R15</f>
        <v>1.098189008126315</v>
      </c>
      <c r="T62">
        <f>T13/T15</f>
        <v>1.1175715573371314</v>
      </c>
      <c r="V62">
        <f>V13/V15</f>
        <v>1.1400227015897919</v>
      </c>
      <c r="X62">
        <f>X13/X15</f>
        <v>1.1666096175677005</v>
      </c>
      <c r="Z62">
        <f>Z13/Z15</f>
        <v>1.1990146396136789</v>
      </c>
      <c r="AB62">
        <f>AB13/AB15</f>
        <v>1.2400225755734304</v>
      </c>
      <c r="AD62">
        <f>AD13/AD15</f>
        <v>1.2944867533216768</v>
      </c>
      <c r="AF62">
        <f>AF13/AF15</f>
        <v>1.3713172043852468</v>
      </c>
      <c r="AH62">
        <f>AH13/AH15</f>
        <v>1.4879278308319785</v>
      </c>
      <c r="AJ62">
        <f>AJ13/AJ15</f>
        <v>1.6828199265099577</v>
      </c>
      <c r="AL62">
        <f>AL13/AL15</f>
        <v>2.0675780507204737</v>
      </c>
      <c r="AN62">
        <f>AN13/AN15</f>
        <v>3.1992140994509617</v>
      </c>
      <c r="AP62">
        <f>AP13/AP15</f>
        <v>3.760947077682526</v>
      </c>
      <c r="AR62">
        <f>AR13/AR15</f>
        <v>4.6956366694511829</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0.99891621976672629</v>
      </c>
      <c r="E65" s="191"/>
      <c r="F65" s="191">
        <f t="array" ref="F65">SQRT((F9:G9*$B$22:$C$22+F10:G10*$B$23:$C$23+F11:G11*$B$24:$C$24+F4:G4*($B$25:$C$25-$B$19:$C$19))/($B$9:$C$9*$B$22:$C$22+$B$10:$C$10*$B$23:$C$23+$B$11:$C$11*$B$24:$C$24+$B$4:$C$4*($B$25:$C$25-$B$19:$C$19))*(F9:G9*F22:G22+F10:G10*F23:G23+F11:G11*F24:G24+F4:G4*(F25:G25-F19:G19))/($B$9:$C$9*F22:G22+$B$10:$C$10*F23:G23+$B$11:$C$11*F24:G24+$B$4:$C$4*(F25:G25-F19:G19)))</f>
        <v>0.9978316335496612</v>
      </c>
      <c r="G65" s="191"/>
      <c r="H65" s="191">
        <f t="array" ref="H65">SQRT((H9:I9*$B$22:$C$22+H10:I10*$B$23:$C$23+H11:I11*$B$24:$C$24+H4:I4*($B$25:$C$25-$B$19:$C$19))/($B$9:$C$9*$B$22:$C$22+$B$10:$C$10*$B$23:$C$23+$B$11:$C$11*$B$24:$C$24+$B$4:$C$4*($B$25:$C$25-$B$19:$C$19))*(H9:I9*H22:I22+H10:I10*H23:I23+H11:I11*H24:I24+H4:I4*(H25:I25-H19:I19))/($B$9:$C$9*H22:I22+$B$10:$C$10*H23:I23+$B$11:$C$11*H24:I24+$B$4:$C$4*(H25:I25-H19:I19)))</f>
        <v>0.99674390574451233</v>
      </c>
      <c r="I65" s="191"/>
      <c r="J65" s="191">
        <f t="array" ref="J65">SQRT((J9:K9*$B$22:$C$22+J10:K10*$B$23:$C$23+J11:K11*$B$24:$C$24+J4:K4*($B$25:$C$25-$B$19:$C$19))/($B$9:$C$9*$B$22:$C$22+$B$10:$C$10*$B$23:$C$23+$B$11:$C$11*$B$24:$C$24+$B$4:$C$4*($B$25:$C$25-$B$19:$C$19))*(J9:K9*J22:K22+J10:K10*J23:K23+J11:K11*J24:K24+J4:K4*(J25:K25-J19:K19))/($B$9:$C$9*J22:K22+$B$10:$C$10*J23:K23+$B$11:$C$11*J24:K24+$B$4:$C$4*(J25:K25-J19:K19)))</f>
        <v>0.99565129445972933</v>
      </c>
      <c r="K65" s="191"/>
      <c r="L65" s="191">
        <f t="array" ref="L65">SQRT((L9:M9*$B$22:$C$22+L10:M10*$B$23:$C$23+L11:M11*$B$24:$C$24+L4:M4*($B$25:$C$25-$B$19:$C$19))/($B$9:$C$9*$B$22:$C$22+$B$10:$C$10*$B$23:$C$23+$B$11:$C$11*$B$24:$C$24+$B$4:$C$4*($B$25:$C$25-$B$19:$C$19))*(L9:M9*L22:M22+L10:M10*L23:M23+L11:M11*L24:M24+L4:M4*(L25:M25-L19:M19))/($B$9:$C$9*L22:M22+$B$10:$C$10*L23:M23+$B$11:$C$11*L24:M24+$B$4:$C$4*(L25:M25-L19:M19)))</f>
        <v>0.99455307974512919</v>
      </c>
      <c r="M65" s="191"/>
      <c r="N65" s="191">
        <f t="array" ref="N65">SQRT((N9:O9*$B$22:$C$22+N10:O10*$B$23:$C$23+N11:O11*$B$24:$C$24+N4:O4*($B$25:$C$25-$B$19:$C$19))/($B$9:$C$9*$B$22:$C$22+$B$10:$C$10*$B$23:$C$23+$B$11:$C$11*$B$24:$C$24+$B$4:$C$4*($B$25:$C$25-$B$19:$C$19))*(N9:O9*N22:O22+N10:O10*N23:O23+N11:O11*N24:O24+N4:O4*(N25:O25-N19:O19))/($B$9:$C$9*N22:O22+$B$10:$C$10*N23:O23+$B$11:$C$11*N24:O24+$B$4:$C$4*(N25:O25-N19:O19)))</f>
        <v>0.99345021394526312</v>
      </c>
      <c r="O65" s="191"/>
      <c r="P65" s="191">
        <f t="array" ref="P65">SQRT((P9:Q9*$B$22:$C$22+P10:Q10*$B$23:$C$23+P11:Q11*$B$24:$C$24+P4:Q4*($B$25:$C$25-$B$19:$C$19))/($B$9:$C$9*$B$22:$C$22+$B$10:$C$10*$B$23:$C$23+$B$11:$C$11*$B$24:$C$24+$B$4:$C$4*($B$25:$C$25-$B$19:$C$19))*(P9:Q9*P22:Q22+P10:Q10*P23:Q23+P11:Q11*P24:Q24+P4:Q4*(P25:Q25-P19:Q19))/($B$9:$C$9*P22:Q22+$B$10:$C$10*P23:Q23+$B$11:$C$11*P24:Q24+$B$4:$C$4*(P25:Q25-P19:Q19)))</f>
        <v>0.99234635707116758</v>
      </c>
      <c r="Q65" s="191"/>
      <c r="R65" s="191">
        <f t="array" ref="R65">SQRT((R9:S9*$B$22:$C$22+R10:S10*$B$23:$C$23+R11:S11*$B$24:$C$24+R4:S4*($B$25:$C$25-$B$19:$C$19))/($B$9:$C$9*$B$22:$C$22+$B$10:$C$10*$B$23:$C$23+$B$11:$C$11*$B$24:$C$24+$B$4:$C$4*($B$25:$C$25-$B$19:$C$19))*(R9:S9*R22:S22+R10:S10*R23:S23+R11:S11*R24:S24+R4:S4*(R25:S25-R19:S19))/($B$9:$C$9*R22:S22+$B$10:$C$10*R23:S23+$B$11:$C$11*R24:S24+$B$4:$C$4*(R25:S25-R19:S19)))</f>
        <v>0.99124949751854685</v>
      </c>
      <c r="S65" s="191"/>
      <c r="T65" s="191">
        <f t="array" ref="T65">SQRT((T9:U9*$B$22:$C$22+T10:U10*$B$23:$C$23+T11:U11*$B$24:$C$24+T4:U4*($B$25:$C$25-$B$19:$C$19))/($B$9:$C$9*$B$22:$C$22+$B$10:$C$10*$B$23:$C$23+$B$11:$C$11*$B$24:$C$24+$B$4:$C$4*($B$25:$C$25-$B$19:$C$19))*(T9:U9*T22:U22+T10:U10*T23:U23+T11:U11*T24:U24+T4:U4*(T25:U25-T19:U19))/($B$9:$C$9*T22:U22+$B$10:$C$10*T23:U23+$B$11:$C$11*T24:U24+$B$4:$C$4*(T25:U25-T19:U19)))</f>
        <v>0.99017454993963738</v>
      </c>
      <c r="U65" s="191"/>
      <c r="V65" s="191">
        <f t="array" ref="V65">SQRT((V9:W9*$B$22:$C$22+V10:W10*$B$23:$C$23+V11:W11*$B$24:$C$24+V4:W4*($B$25:$C$25-$B$19:$C$19))/($B$9:$C$9*$B$22:$C$22+$B$10:$C$10*$B$23:$C$23+$B$11:$C$11*$B$24:$C$24+$B$4:$C$4*($B$25:$C$25-$B$19:$C$19))*(V9:W9*V22:W22+V10:W10*V23:W23+V11:W11*V24:W24+V4:W4*(V25:W25-V19:W19))/($B$9:$C$9*V22:W22+$B$10:$C$10*V23:W23+$B$11:$C$11*V24:W24+$B$4:$C$4*(V25:W25-V19:W19)))</f>
        <v>0.98914748156320498</v>
      </c>
      <c r="W65" s="191"/>
      <c r="X65" s="191">
        <f t="array" ref="X65">SQRT((X9:Y9*$B$22:$C$22+X10:Y10*$B$23:$C$23+X11:Y11*$B$24:$C$24+X4:Y4*($B$25:$C$25-$B$19:$C$19))/($B$9:$C$9*$B$22:$C$22+$B$10:$C$10*$B$23:$C$23+$B$11:$C$11*$B$24:$C$24+$B$4:$C$4*($B$25:$C$25-$B$19:$C$19))*(X9:Y9*X22:Y22+X10:Y10*X23:Y23+X11:Y11*X24:Y24+X4:Y4*(X25:Y25-X19:Y19))/($B$9:$C$9*X22:Y22+$B$10:$C$10*X23:Y23+$B$11:$C$11*X24:Y24+$B$4:$C$4*(X25:Y25-X19:Y19)))</f>
        <v>0.98821198572905922</v>
      </c>
      <c r="Y65" s="191"/>
      <c r="Z65" s="191">
        <f t="array" ref="Z65">SQRT((Z9:AA9*$B$22:$C$22+Z10:AA10*$B$23:$C$23+Z11:AA11*$B$24:$C$24+Z4:AA4*($B$25:$C$25-$B$19:$C$19))/($B$9:$C$9*$B$22:$C$22+$B$10:$C$10*$B$23:$C$23+$B$11:$C$11*$B$24:$C$24+$B$4:$C$4*($B$25:$C$25-$B$19:$C$19))*(Z9:AA9*Z22:AA22+Z10:AA10*Z23:AA23+Z11:AA11*Z24:AA24+Z4:AA4*(Z25:AA25-Z19:AA19))/($B$9:$C$9*Z22:AA22+$B$10:$C$10*Z23:AA23+$B$11:$C$11*Z24:AA24+$B$4:$C$4*(Z25:AA25-Z19:AA19)))</f>
        <v>0.98743983625710807</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0.9869456789089659</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0.98690202495631474</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0.98753270740953214</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0.98903138132842017</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0.99138326699829249</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0.99426456481270831</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0.99715468259727313</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0.99766687751602423</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0.99812549515935123</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0.99880808342368832</v>
      </c>
      <c r="E66" s="191"/>
      <c r="F66" s="191">
        <f t="array" ref="F66">SQRT((F9:G9*$B$22:$C$22)/($B$9:$C$9*$B$22:$C$22)*(F9:G9*F22:G22)/($B$9:$C$9*F22:G22))</f>
        <v>0.99761364155154075</v>
      </c>
      <c r="G66" s="191"/>
      <c r="H66" s="191">
        <f t="array" ref="H66">SQRT((H9:I9*$B$22:$C$22)/($B$9:$C$9*$B$22:$C$22)*(H9:I9*H22:I22)/($B$9:$C$9*H22:I22))</f>
        <v>0.99641408436679435</v>
      </c>
      <c r="I66" s="191"/>
      <c r="J66" s="191">
        <f t="array" ref="J66">SQRT((J9:K9*$B$22:$C$22)/($B$9:$C$9*$B$22:$C$22)*(J9:K9*J22:K22)/($B$9:$C$9*J22:K22))</f>
        <v>0.99520746316773023</v>
      </c>
      <c r="K66" s="191"/>
      <c r="L66" s="191">
        <f t="array" ref="L66">SQRT((L9:M9*$B$22:$C$22)/($B$9:$C$9*$B$22:$C$22)*(L9:M9*L22:M22)/($B$9:$C$9*L22:M22))</f>
        <v>0.99399294920392722</v>
      </c>
      <c r="M66" s="191"/>
      <c r="N66" s="191">
        <f t="array" ref="N66">SQRT((N9:O9*$B$22:$C$22)/($B$9:$C$9*$B$22:$C$22)*(N9:O9*N22:O22)/($B$9:$C$9*N22:O22))</f>
        <v>0.99277156290542778</v>
      </c>
      <c r="O66" s="191"/>
      <c r="P66" s="191">
        <f t="array" ref="P66">SQRT((P9:Q9*$B$22:$C$22)/($B$9:$C$9*$B$22:$C$22)*(P9:Q9*P22:Q22)/($B$9:$C$9*P22:Q22))</f>
        <v>0.99154733747911883</v>
      </c>
      <c r="Q66" s="191"/>
      <c r="R66" s="191">
        <f t="array" ref="R66">SQRT((R9:S9*$B$22:$C$22)/($B$9:$C$9*$B$22:$C$22)*(R9:S9*R22:S22)/($B$9:$C$9*R22:S22))</f>
        <v>0.9903291441396278</v>
      </c>
      <c r="S66" s="191"/>
      <c r="T66" s="191">
        <f t="array" ref="T66">SQRT((T9:U9*$B$22:$C$22)/($B$9:$C$9*$B$22:$C$22)*(T9:U9*T22:U22)/($B$9:$C$9*T22:U22))</f>
        <v>0.98913362168570196</v>
      </c>
      <c r="U66" s="191"/>
      <c r="V66" s="191">
        <f t="array" ref="V66">SQRT((V9:W9*$B$22:$C$22)/($B$9:$C$9*$B$22:$C$22)*(V9:W9*V22:W22)/($B$9:$C$9*V22:W22))</f>
        <v>0.98798983327700596</v>
      </c>
      <c r="W66" s="191"/>
      <c r="X66" s="191">
        <f t="array" ref="X66">SQRT((X9:Y9*$B$22:$C$22)/($B$9:$C$9*$B$22:$C$22)*(X9:Y9*X22:Y22)/($B$9:$C$9*X22:Y22))</f>
        <v>0.9869467948171492</v>
      </c>
      <c r="Y66" s="191"/>
      <c r="Z66" s="191">
        <f t="array" ref="Z66">SQRT((Z9:AA9*$B$22:$C$22)/($B$9:$C$9*$B$22:$C$22)*(Z9:AA9*Z22:AA22)/($B$9:$C$9*Z22:AA22))</f>
        <v>0.98608513593085889</v>
      </c>
      <c r="AA66" s="191"/>
      <c r="AB66" s="191">
        <f t="array" ref="AB66">SQRT((AB9:AC9*$B$22:$C$22)/($B$9:$C$9*$B$22:$C$22)*(AB9:AC9*AB22:AC22)/($B$9:$C$9*AB22:AC22))</f>
        <v>0.98553368208353354</v>
      </c>
      <c r="AC66" s="191"/>
      <c r="AD66" s="191">
        <f t="array" ref="AD66">SQRT((AD9:AE9*$B$22:$C$22)/($B$9:$C$9*$B$22:$C$22)*(AD9:AE9*AD22:AE22)/($B$9:$C$9*AD22:AE22))</f>
        <v>0.98548601774949784</v>
      </c>
      <c r="AE66" s="191"/>
      <c r="AF66" s="191">
        <f t="array" ref="AF66">SQRT((AF9:AG9*$B$22:$C$22)/($B$9:$C$9*$B$22:$C$22)*(AF9:AG9*AF22:AG22)/($B$9:$C$9*AF22:AG22))</f>
        <v>0.98619225705896219</v>
      </c>
      <c r="AG66" s="191"/>
      <c r="AH66" s="191">
        <f t="array" ref="AH66">SQRT((AH9:AI9*$B$22:$C$22)/($B$9:$C$9*$B$22:$C$22)*(AH9:AI9*AH22:AI22)/($B$9:$C$9*AH22:AI22))</f>
        <v>0.9878660322732441</v>
      </c>
      <c r="AI66" s="191"/>
      <c r="AJ66" s="191">
        <f t="array" ref="AJ66">SQRT((AJ9:AK9*$B$22:$C$22)/($B$9:$C$9*$B$22:$C$22)*(AJ9:AK9*AJ22:AK22)/($B$9:$C$9*AJ22:AK22))</f>
        <v>0.99048437300547465</v>
      </c>
      <c r="AK66" s="191"/>
      <c r="AL66" s="191">
        <f t="array" ref="AL66">SQRT((AL9:AM9*$B$22:$C$22)/($B$9:$C$9*$B$22:$C$22)*(AL9:AM9*AL22:AM22)/($B$9:$C$9*AL22:AM22))</f>
        <v>0.99367943583256557</v>
      </c>
      <c r="AM66" s="191"/>
      <c r="AN66" s="191">
        <f t="array" ref="AN66">SQRT((AN9:AO9*$B$22:$C$22)/($B$9:$C$9*$B$22:$C$22)*(AN9:AO9*AN22:AO22)/($B$9:$C$9*AN22:AO22))</f>
        <v>0.99687083618652117</v>
      </c>
      <c r="AO66" s="191"/>
      <c r="AP66" s="191">
        <f t="array" ref="AP66">SQRT((AP9:AQ9*$B$22:$C$22)/($B$9:$C$9*$B$22:$C$22)*(AP9:AQ9*AP22:AQ22)/($B$9:$C$9*AP22:AQ22))</f>
        <v>0.99743505216760153</v>
      </c>
      <c r="AQ66" s="191"/>
      <c r="AR66" s="191">
        <f t="array" ref="AR66">SQRT((AR9:AS9*$B$22:$C$22)/($B$9:$C$9*$B$22:$C$22)*(AR9:AS9*AR22:AS22)/($B$9:$C$9*AR22:AS22))</f>
        <v>0.99793990274630506</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0.99880808342368832</v>
      </c>
      <c r="E68" s="191"/>
      <c r="F68" s="191">
        <f>F66/F67</f>
        <v>0.99761364155154075</v>
      </c>
      <c r="G68" s="191"/>
      <c r="H68" s="191">
        <f>H66/H67</f>
        <v>0.99641408436679435</v>
      </c>
      <c r="I68" s="191"/>
      <c r="J68" s="191">
        <f>J66/J67</f>
        <v>0.99520746316773023</v>
      </c>
      <c r="K68" s="191"/>
      <c r="L68" s="191">
        <f>L66/L67</f>
        <v>0.99399294920392722</v>
      </c>
      <c r="M68" s="191"/>
      <c r="N68" s="191">
        <f>N66/N67</f>
        <v>0.99277156290542778</v>
      </c>
      <c r="O68" s="191"/>
      <c r="P68" s="191">
        <f>P66/P67</f>
        <v>0.99154733747911883</v>
      </c>
      <c r="Q68" s="191"/>
      <c r="R68" s="191">
        <f>R66/R67</f>
        <v>0.9903291441396278</v>
      </c>
      <c r="S68" s="191"/>
      <c r="T68" s="191">
        <f>T66/T67</f>
        <v>0.98913362168570196</v>
      </c>
      <c r="U68" s="191"/>
      <c r="V68" s="191">
        <f>V66/V67</f>
        <v>0.98798983327700596</v>
      </c>
      <c r="W68" s="191"/>
      <c r="X68" s="191">
        <f>X66/X67</f>
        <v>0.9869467948171492</v>
      </c>
      <c r="Y68" s="191"/>
      <c r="Z68" s="191">
        <f>Z66/Z67</f>
        <v>0.98608513593085889</v>
      </c>
      <c r="AA68" s="191"/>
      <c r="AB68" s="191">
        <f>AB66/AB67</f>
        <v>0.98553368208353354</v>
      </c>
      <c r="AC68" s="191"/>
      <c r="AD68" s="191">
        <f>AD66/AD67</f>
        <v>0.98548601774949784</v>
      </c>
      <c r="AE68" s="191"/>
      <c r="AF68" s="191">
        <f>AF66/AF67</f>
        <v>0.98619225705896219</v>
      </c>
      <c r="AG68" s="191"/>
      <c r="AH68" s="191">
        <f>AH66/AH67</f>
        <v>0.9878660322732441</v>
      </c>
      <c r="AI68" s="191"/>
      <c r="AJ68" s="191">
        <f>AJ66/AJ67</f>
        <v>0.99048437300547465</v>
      </c>
      <c r="AK68" s="191"/>
      <c r="AL68" s="191">
        <f>AL66/AL67</f>
        <v>0.99367943583256557</v>
      </c>
      <c r="AM68" s="191"/>
      <c r="AN68" s="191">
        <f>AN66/AN67</f>
        <v>0.99687083618652117</v>
      </c>
      <c r="AO68" s="191"/>
      <c r="AP68" s="191">
        <f>AP66/AP67</f>
        <v>0.99743505216760153</v>
      </c>
      <c r="AQ68" s="191"/>
      <c r="AR68" s="191">
        <f>AR66/AR67</f>
        <v>0.99793990274630506</v>
      </c>
      <c r="AS68" s="191"/>
      <c r="AT68" s="191" t="e">
        <f>AT66/AT67</f>
        <v>#DIV/0!</v>
      </c>
      <c r="AU68" s="191"/>
      <c r="AV68" s="191" t="e">
        <f>AV66/AV67</f>
        <v>#DIV/0!</v>
      </c>
      <c r="XFD68" s="191"/>
    </row>
    <row r="69" spans="1:48 16384:16384" x14ac:dyDescent="0.2">
      <c r="A69" t="s">
        <v>177</v>
      </c>
      <c r="B69" s="191">
        <f>B32/B65/($B$32)</f>
        <v>1</v>
      </c>
      <c r="C69" s="191"/>
      <c r="D69" s="191">
        <f>D32/D65/($B$32)</f>
        <v>1.0035053004032306</v>
      </c>
      <c r="E69" s="191"/>
      <c r="F69" s="191">
        <f>F32/F65/($B$32)</f>
        <v>1.0066327464524905</v>
      </c>
      <c r="G69" s="191"/>
      <c r="H69" s="191">
        <f>H32/H65/($B$32)</f>
        <v>1.0093461797734564</v>
      </c>
      <c r="I69" s="191"/>
      <c r="J69" s="191">
        <f>J32/J65/($B$32)</f>
        <v>1.0116016176323539</v>
      </c>
      <c r="K69" s="191"/>
      <c r="L69" s="191">
        <f>L32/L65/($B$32)</f>
        <v>1.0133460664507259</v>
      </c>
      <c r="M69" s="191"/>
      <c r="N69" s="191">
        <f>N32/N65/($B$32)</f>
        <v>1.0145141870531671</v>
      </c>
      <c r="O69" s="191"/>
      <c r="P69" s="191">
        <f>P32/P65/($B$32)</f>
        <v>1.0150251657938316</v>
      </c>
      <c r="Q69" s="191"/>
      <c r="R69" s="191">
        <f>R32/R65/($B$32)</f>
        <v>1.0147771663957068</v>
      </c>
      <c r="S69" s="191"/>
      <c r="T69" s="191">
        <f>T32/T65/($B$32)</f>
        <v>1.0136397035507629</v>
      </c>
      <c r="U69" s="191"/>
      <c r="V69" s="191">
        <f>V32/V65/($B$32)</f>
        <v>1.011440551511215</v>
      </c>
      <c r="W69" s="191"/>
      <c r="X69" s="191">
        <f>X32/X65/($B$32)</f>
        <v>1.007944810600178</v>
      </c>
      <c r="Y69" s="191"/>
      <c r="Z69" s="191">
        <f>Z32/Z65/($B$32)</f>
        <v>1.0028154212469034</v>
      </c>
      <c r="AA69" s="191"/>
      <c r="AB69" s="191">
        <f>AB32/AB65/($B$32)</f>
        <v>0.99553565123372223</v>
      </c>
      <c r="AC69" s="191"/>
      <c r="AD69" s="191">
        <f>AD32/AD65/($B$32)</f>
        <v>0.98523945553859205</v>
      </c>
      <c r="AE69" s="191"/>
      <c r="AF69" s="191">
        <f>AF32/AF65/($B$32)</f>
        <v>0.97032034888753793</v>
      </c>
      <c r="AG69" s="191"/>
      <c r="AH69" s="191">
        <f>AH32/AH65/($B$32)</f>
        <v>0.94751728866942764</v>
      </c>
      <c r="AI69" s="191"/>
      <c r="AJ69" s="191">
        <f>AJ32/AJ65/($B$32)</f>
        <v>0.90978785370001825</v>
      </c>
      <c r="AK69" s="191"/>
      <c r="AL69" s="191">
        <f>AL32/AL65/($B$32)</f>
        <v>0.84041728218085054</v>
      </c>
      <c r="AM69" s="191"/>
      <c r="AN69" s="191">
        <f>AN32/AN65/($B$32)</f>
        <v>0.68714882363933438</v>
      </c>
      <c r="AO69" s="191"/>
      <c r="AP69" s="191">
        <f>AP32/AP65/($B$32)</f>
        <v>0.63223967837332673</v>
      </c>
      <c r="AQ69" s="191"/>
      <c r="AR69" s="191">
        <f>AR32/AR65/($B$32)</f>
        <v>0.56030534481117866</v>
      </c>
      <c r="AS69" s="191"/>
      <c r="AT69" s="191" t="e">
        <f>AT32/AT65/($B$32)</f>
        <v>#DIV/0!</v>
      </c>
      <c r="AU69" s="191"/>
      <c r="AV69" s="191" t="e">
        <f>AV32/AV65/($B$32)</f>
        <v>#DIV/0!</v>
      </c>
    </row>
    <row r="70" spans="1:48 16384:16384" x14ac:dyDescent="0.2">
      <c r="A70" t="s">
        <v>178</v>
      </c>
      <c r="B70" s="138">
        <f>B18/$B$18</f>
        <v>1</v>
      </c>
      <c r="C70" s="138"/>
      <c r="D70" s="138">
        <f>D18/$B$18</f>
        <v>1.0026934929535827</v>
      </c>
      <c r="E70" s="138"/>
      <c r="F70" s="138">
        <f>F18/$B$18</f>
        <v>1.0049892167509602</v>
      </c>
      <c r="G70" s="138"/>
      <c r="H70" s="138">
        <f>H18/$B$18</f>
        <v>1.0068487223468356</v>
      </c>
      <c r="I70" s="138"/>
      <c r="J70" s="138">
        <f>J18/$B$18</f>
        <v>1.0082244269515177</v>
      </c>
      <c r="K70" s="138"/>
      <c r="L70" s="138">
        <f>L18/$B$18</f>
        <v>1.0090575297630011</v>
      </c>
      <c r="M70" s="138"/>
      <c r="N70" s="138">
        <f>N18/$B$18</f>
        <v>1.00927371992436</v>
      </c>
      <c r="O70" s="138"/>
      <c r="P70" s="138">
        <f>P18/$B$18</f>
        <v>1.0087781995002707</v>
      </c>
      <c r="Q70" s="138"/>
      <c r="R70" s="138">
        <f>R18/$B$18</f>
        <v>1.0074475121028539</v>
      </c>
      <c r="S70" s="138"/>
      <c r="T70" s="138">
        <f>T18/$B$18</f>
        <v>1.0051175826420629</v>
      </c>
      <c r="U70" s="138"/>
      <c r="V70" s="138">
        <f>V18/$B$18</f>
        <v>1.0015641214285909</v>
      </c>
      <c r="W70" s="138"/>
      <c r="X70" s="138">
        <f>X18/$B$18</f>
        <v>0.99647099600089706</v>
      </c>
      <c r="Y70" s="138"/>
      <c r="Z70" s="138">
        <f>Z18/$B$18</f>
        <v>0.98937482861273773</v>
      </c>
      <c r="AA70" s="138"/>
      <c r="AB70" s="138">
        <f>AB18/$B$18</f>
        <v>0.97956536323695109</v>
      </c>
      <c r="AC70" s="138"/>
      <c r="AD70" s="138">
        <f>AD18/$B$18</f>
        <v>0.96589580565790445</v>
      </c>
      <c r="AE70" s="138"/>
      <c r="AF70" s="138">
        <f>AF18/$B$18</f>
        <v>0.94640998813853061</v>
      </c>
      <c r="AG70" s="138"/>
      <c r="AH70" s="138">
        <f>AH18/$B$18</f>
        <v>0.91757234730044612</v>
      </c>
      <c r="AI70" s="138"/>
      <c r="AJ70" s="138">
        <f>AJ18/$B$18</f>
        <v>0.87246782416299118</v>
      </c>
      <c r="AK70" s="138"/>
      <c r="AL70" s="138">
        <f>AL18/$B$18</f>
        <v>0.79532944514467496</v>
      </c>
      <c r="AM70" s="138"/>
      <c r="AN70" s="138">
        <f>AN18/$B$18</f>
        <v>0.63734581481897057</v>
      </c>
      <c r="AO70" s="138"/>
      <c r="AP70" s="138">
        <f>AP18/$B$18</f>
        <v>0.58299164987353025</v>
      </c>
      <c r="AQ70" s="138"/>
      <c r="AR70" s="138">
        <f>AR18/$B$18</f>
        <v>0.51298015647459827</v>
      </c>
      <c r="AS70" s="138"/>
      <c r="AT70" s="138">
        <f>AT18/$B$18</f>
        <v>0</v>
      </c>
      <c r="AU70" s="138"/>
      <c r="AV70" s="138">
        <f>AV18/$B$18</f>
        <v>0</v>
      </c>
    </row>
    <row r="71" spans="1:48 16384:16384" x14ac:dyDescent="0.2">
      <c r="A71" t="s">
        <v>179</v>
      </c>
      <c r="B71" s="138">
        <f>C18/$C$18</f>
        <v>1</v>
      </c>
      <c r="D71" s="138">
        <f>E18/$C$18</f>
        <v>0.9259640589115431</v>
      </c>
      <c r="E71" s="138"/>
      <c r="F71" s="138">
        <f>G18/$C$18</f>
        <v>0.8521687688234082</v>
      </c>
      <c r="G71" s="138"/>
      <c r="H71" s="138">
        <f>I18/$C$18</f>
        <v>0.77864675572190778</v>
      </c>
      <c r="I71" s="138"/>
      <c r="J71" s="138">
        <f>K18/$C$18</f>
        <v>0.70545530653828603</v>
      </c>
      <c r="K71" s="138"/>
      <c r="L71" s="138">
        <f>M18/$C$18</f>
        <v>0.63268060224427425</v>
      </c>
      <c r="M71" s="138"/>
      <c r="N71" s="138">
        <f>O18/$C$18</f>
        <v>0.56045829620001664</v>
      </c>
      <c r="O71" s="138"/>
      <c r="P71" s="138">
        <f>Q18/$C$18</f>
        <v>0.48899039824234003</v>
      </c>
      <c r="Q71" s="138"/>
      <c r="R71" s="138">
        <f>S18/$C$18</f>
        <v>0.41857785294910738</v>
      </c>
      <c r="S71" s="138"/>
      <c r="T71" s="138">
        <f>U18/$C$18</f>
        <v>0.34966220171198897</v>
      </c>
      <c r="U71" s="138"/>
      <c r="V71" s="138">
        <f>W18/$C$18</f>
        <v>0.28289452812692117</v>
      </c>
      <c r="W71" s="138"/>
      <c r="X71" s="138">
        <f>Y18/$C$18</f>
        <v>0.21922393403653972</v>
      </c>
      <c r="Y71" s="138"/>
      <c r="Z71" s="138">
        <f>AA18/$C$18</f>
        <v>0.16002323850811606</v>
      </c>
      <c r="AA71" s="138"/>
      <c r="AB71" s="138">
        <f>AC18/$C$18</f>
        <v>0.10721631140611124</v>
      </c>
      <c r="AC71" s="138"/>
      <c r="AD71" s="138">
        <f>AE18/$C$18</f>
        <v>6.3297460209570958E-2</v>
      </c>
      <c r="AE71" s="138"/>
      <c r="AF71" s="138">
        <f>AG18/$C$18</f>
        <v>3.0888936808205262E-2</v>
      </c>
      <c r="AG71" s="138"/>
      <c r="AH71" s="138">
        <f>AI18/$C$18</f>
        <v>1.1313619623771058E-2</v>
      </c>
      <c r="AI71" s="138"/>
      <c r="AJ71" s="138">
        <f>AK18/$C$18</f>
        <v>2.6869617381965203E-3</v>
      </c>
      <c r="AK71" s="138"/>
      <c r="AL71" s="138">
        <f>AM18/$C$18</f>
        <v>3.1399497708119319E-4</v>
      </c>
      <c r="AM71" s="138"/>
      <c r="AN71" s="138">
        <f>AO18/$C$18</f>
        <v>7.9782654239312373E-6</v>
      </c>
      <c r="AO71" s="138"/>
      <c r="AP71" s="138">
        <f>AQ18/$C$18</f>
        <v>2.5493940966865938E-6</v>
      </c>
      <c r="AQ71" s="138"/>
      <c r="AR71" s="138">
        <f>AS18/$C$18</f>
        <v>6.131015012880389E-7</v>
      </c>
      <c r="AS71" s="138"/>
      <c r="AT71" s="138">
        <f>AU18/$C$18</f>
        <v>0</v>
      </c>
      <c r="AU71" s="138"/>
      <c r="AV71" s="138">
        <f>AW18/$C$18</f>
        <v>0</v>
      </c>
      <c r="XFD71" s="138"/>
    </row>
    <row r="72" spans="1:48 16384:16384" x14ac:dyDescent="0.2">
      <c r="A72" t="s">
        <v>180</v>
      </c>
      <c r="B72" s="138">
        <f>C19/$C$19</f>
        <v>1</v>
      </c>
      <c r="D72" s="138">
        <f>E19/$C$19</f>
        <v>1.0393493294905196</v>
      </c>
      <c r="E72" s="138"/>
      <c r="F72" s="138">
        <f>G19/$C$19</f>
        <v>1.08159304281333</v>
      </c>
      <c r="G72" s="138"/>
      <c r="H72" s="138">
        <f>I19/$C$19</f>
        <v>1.1268349055580653</v>
      </c>
      <c r="I72" s="138"/>
      <c r="J72" s="138">
        <f>K19/$C$19</f>
        <v>1.1751105220576277</v>
      </c>
      <c r="K72" s="138"/>
      <c r="L72" s="138">
        <f>M19/$C$19</f>
        <v>1.2263401966419873</v>
      </c>
      <c r="M72" s="138"/>
      <c r="N72" s="138">
        <f>O19/$C$19</f>
        <v>1.2802627716469523</v>
      </c>
      <c r="O72" s="138"/>
      <c r="P72" s="138">
        <f>Q19/$C$19</f>
        <v>1.3363282830942587</v>
      </c>
      <c r="Q72" s="138"/>
      <c r="R72" s="138">
        <f>S19/$C$19</f>
        <v>1.3935348805973851</v>
      </c>
      <c r="S72" s="138"/>
      <c r="T72" s="138">
        <f>U19/$C$19</f>
        <v>1.4501704583543487</v>
      </c>
      <c r="U72" s="138"/>
      <c r="V72" s="138">
        <f>W19/$C$19</f>
        <v>1.5034106944051051</v>
      </c>
      <c r="W72" s="138"/>
      <c r="X72" s="138">
        <f>Y19/$C$19</f>
        <v>1.5486835456653645</v>
      </c>
      <c r="Y72" s="138"/>
      <c r="Z72" s="138">
        <f>AA19/$C$19</f>
        <v>1.5787086173078639</v>
      </c>
      <c r="AA72" s="138"/>
      <c r="AB72" s="138">
        <f>AC19/$C$19</f>
        <v>1.5821865755125508</v>
      </c>
      <c r="AC72" s="138"/>
      <c r="AD72" s="138">
        <f>AE19/$C$19</f>
        <v>1.5426112721202465</v>
      </c>
      <c r="AE72" s="138"/>
      <c r="AF72" s="138">
        <f>AG19/$C$19</f>
        <v>1.4392910646908108</v>
      </c>
      <c r="AG72" s="138"/>
      <c r="AH72" s="138">
        <f>AI19/$C$19</f>
        <v>1.2552069192729902</v>
      </c>
      <c r="AI72" s="138"/>
      <c r="AJ72" s="138">
        <f>AK19/$C$19</f>
        <v>0.99234975978315842</v>
      </c>
      <c r="AK72" s="138"/>
      <c r="AL72" s="138">
        <f>AM19/$C$19</f>
        <v>0.67698197525504455</v>
      </c>
      <c r="AM72" s="138"/>
      <c r="AN72" s="138">
        <f>AO19/$C$19</f>
        <v>0.34048617225856681</v>
      </c>
      <c r="AO72" s="138"/>
      <c r="AP72" s="138">
        <f>AQ19/$C$19</f>
        <v>0.27245914921355563</v>
      </c>
      <c r="AQ72" s="138"/>
      <c r="AR72" s="138">
        <f>AS19/$C$19</f>
        <v>0.20437130157624389</v>
      </c>
      <c r="AS72" s="138"/>
      <c r="AT72" s="138">
        <f>AU19/$C$19</f>
        <v>0</v>
      </c>
      <c r="AU72" s="138"/>
      <c r="AV72" s="138">
        <f>AW19/$C$19</f>
        <v>0</v>
      </c>
      <c r="XFD72" s="138"/>
    </row>
    <row r="73" spans="1:48 16384:16384" x14ac:dyDescent="0.2">
      <c r="A73" t="s">
        <v>184</v>
      </c>
      <c r="B73" s="193">
        <f t="array" ref="B73">SUM(B9:C9*B22:C22)/B32</f>
        <v>0.47641153352875115</v>
      </c>
      <c r="D73" s="193">
        <f t="array" ref="D73">SUM(D9:E9*D22:E22)/D32</f>
        <v>0.47641153361597177</v>
      </c>
      <c r="E73" s="138"/>
      <c r="F73" s="193">
        <f t="array" ref="F73">SUM(F9:G9*F22:G22)/F32</f>
        <v>0.47641153375931167</v>
      </c>
      <c r="G73" s="138"/>
      <c r="H73" s="193">
        <f t="array" ref="H73">SUM(H9:I9*H22:I22)/H32</f>
        <v>0.47641153329914854</v>
      </c>
      <c r="I73" s="138"/>
      <c r="J73" s="193">
        <f t="array" ref="J73">SUM(J9:K9*J22:K22)/J32</f>
        <v>0.47641153369294981</v>
      </c>
      <c r="K73" s="138"/>
      <c r="L73" s="193">
        <f t="array" ref="L73">SUM(L9:M9*L22:M22)/L32</f>
        <v>0.47641153316902118</v>
      </c>
      <c r="M73" s="138"/>
      <c r="N73" s="193">
        <f t="array" ref="N73">SUM(N9:O9*N22:O22)/N32</f>
        <v>0.47641153300019989</v>
      </c>
      <c r="O73" s="138"/>
      <c r="P73" s="193">
        <f t="array" ref="P73">SUM(P9:Q9*P22:Q22)/P32</f>
        <v>0.47641153304583289</v>
      </c>
      <c r="Q73" s="138"/>
      <c r="R73" s="193">
        <f t="array" ref="R73">SUM(R9:S9*R22:S22)/R32</f>
        <v>0.47641153335884145</v>
      </c>
      <c r="S73" s="138"/>
      <c r="T73" s="193">
        <f t="array" ref="T73">SUM(T9:U9*T22:U22)/T32</f>
        <v>0.4764115358472929</v>
      </c>
      <c r="U73" s="138"/>
      <c r="V73" s="193">
        <f t="array" ref="V73">SUM(V9:W9*V22:W22)/V32</f>
        <v>0.47641153288848997</v>
      </c>
      <c r="W73" s="138"/>
      <c r="X73" s="193">
        <f t="array" ref="X73">SUM(X9:Y9*X22:Y22)/X32</f>
        <v>0.47641153367885281</v>
      </c>
      <c r="Y73" s="138"/>
      <c r="Z73" s="193">
        <f t="array" ref="Z73">SUM(Z9:AA9*Z22:AA22)/Z32</f>
        <v>0.47641153402400388</v>
      </c>
      <c r="AA73" s="138"/>
      <c r="AB73" s="193">
        <f t="array" ref="AB73">SUM(AB9:AC9*AB22:AC22)/AB32</f>
        <v>0.47641153307817852</v>
      </c>
      <c r="AC73" s="138"/>
      <c r="AD73" s="193">
        <f t="array" ref="AD73">SUM(AD9:AE9*AD22:AE22)/AD32</f>
        <v>0.47641153356108834</v>
      </c>
      <c r="AE73" s="138"/>
      <c r="AF73" s="193">
        <f t="array" ref="AF73">SUM(AF9:AG9*AF22:AG22)/AF32</f>
        <v>0.47641153365761135</v>
      </c>
      <c r="AG73" s="138"/>
      <c r="AH73" s="193">
        <f t="array" ref="AH73">SUM(AH9:AI9*AH22:AI22)/AH32</f>
        <v>0.47641153355610016</v>
      </c>
      <c r="AI73" s="138"/>
      <c r="AJ73" s="193">
        <f t="array" ref="AJ73">SUM(AJ9:AK9*AJ22:AK22)/AJ32</f>
        <v>0.47641153352579613</v>
      </c>
      <c r="AK73" s="138"/>
      <c r="AL73" s="193">
        <f t="array" ref="AL73">SUM(AL9:AM9*AL22:AM22)/AL32</f>
        <v>0.47641153352886889</v>
      </c>
      <c r="AM73" s="138"/>
      <c r="AN73" s="193">
        <f t="array" ref="AN73">SUM(AN9:AO9*AN22:AO22)/AN32</f>
        <v>0.4764115335287421</v>
      </c>
      <c r="AO73" s="138"/>
      <c r="AP73" s="193">
        <f t="array" ref="AP73">SUM(AP9:AQ9*AP22:AQ22)/AP32</f>
        <v>0.47641153352873827</v>
      </c>
      <c r="AQ73" s="138"/>
      <c r="AR73" s="193">
        <f t="array" ref="AR73">SUM(AR9:AS9*AR22:AS22)/AR32</f>
        <v>0.47641153352875681</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0.22604620456442487</v>
      </c>
      <c r="O74" s="138"/>
      <c r="P74" s="193">
        <f t="array" ref="P74">SUM(P10:Q10*P23:Q23)/P32</f>
        <v>0.22604620456442487</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0.22604620456442487</v>
      </c>
      <c r="AE74" s="138"/>
      <c r="AF74" s="193">
        <f t="array" ref="AF74">SUM(AF10:AG10*AF23:AG23)/AF32</f>
        <v>0.22604620456442484</v>
      </c>
      <c r="AG74" s="138"/>
      <c r="AH74" s="193">
        <f t="array" ref="AH74">SUM(AH10:AI10*AH23:AI23)/AH32</f>
        <v>0.22604620456442484</v>
      </c>
      <c r="AI74" s="138"/>
      <c r="AJ74" s="193">
        <f t="array" ref="AJ74">SUM(AJ10:AK10*AJ23:AK23)/AJ32</f>
        <v>0.22604620456442484</v>
      </c>
      <c r="AK74" s="138"/>
      <c r="AL74" s="193">
        <f t="array" ref="AL74">SUM(AL10:AM10*AL23:AM23)/AL32</f>
        <v>0.22604620456442484</v>
      </c>
      <c r="AM74" s="138"/>
      <c r="AN74" s="193">
        <f t="array" ref="AN74">SUM(AN10:AO10*AN23:AO23)/AN32</f>
        <v>0.22604620456442487</v>
      </c>
      <c r="AO74" s="138"/>
      <c r="AP74" s="193">
        <f t="array" ref="AP74">SUM(AP10:AQ10*AP23:AQ23)/AP32</f>
        <v>0.22604620456442484</v>
      </c>
      <c r="AQ74" s="138"/>
      <c r="AR74" s="193">
        <f t="array" ref="AR74">SUM(AR10:AS10*AR23:AS23)/AR32</f>
        <v>0.22604620456442484</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0.22038438808504895</v>
      </c>
      <c r="E75" s="138"/>
      <c r="F75" s="193">
        <f t="array" ref="F75">SUM(F11:G11*F24:G24)/F32</f>
        <v>0.220384388013704</v>
      </c>
      <c r="G75" s="138"/>
      <c r="H75" s="193">
        <f t="array" ref="H75">SUM(H11:I11*H24:I24)/H32</f>
        <v>0.22038438829745335</v>
      </c>
      <c r="I75" s="138"/>
      <c r="J75" s="193">
        <f t="array" ref="J75">SUM(J11:K11*J24:K24)/J32</f>
        <v>0.22038438823818646</v>
      </c>
      <c r="K75" s="138"/>
      <c r="L75" s="193">
        <f t="array" ref="L75">SUM(L11:M11*L24:M24)/L32</f>
        <v>0.22038438826289883</v>
      </c>
      <c r="M75" s="138"/>
      <c r="N75" s="193">
        <f t="array" ref="N75">SUM(N11:O11*N24:O24)/N32</f>
        <v>0.22038438820324321</v>
      </c>
      <c r="O75" s="138"/>
      <c r="P75" s="193">
        <f t="array" ref="P75">SUM(P11:Q11*P24:Q24)/P32</f>
        <v>0.22038438815170477</v>
      </c>
      <c r="Q75" s="138"/>
      <c r="R75" s="193">
        <f t="array" ref="R75">SUM(R11:S11*R24:S24)/R32</f>
        <v>0.22038438835088922</v>
      </c>
      <c r="S75" s="138"/>
      <c r="T75" s="193">
        <f t="array" ref="T75">SUM(T11:U11*T24:U24)/T32</f>
        <v>0.22038438831850793</v>
      </c>
      <c r="U75" s="138"/>
      <c r="V75" s="193">
        <f t="array" ref="V75">SUM(V11:W11*V24:W24)/V32</f>
        <v>0.22038438837312532</v>
      </c>
      <c r="W75" s="138"/>
      <c r="X75" s="193">
        <f t="array" ref="X75">SUM(X11:Y11*X24:Y24)/X32</f>
        <v>0.22038438834263341</v>
      </c>
      <c r="Y75" s="138"/>
      <c r="Z75" s="193">
        <f t="array" ref="Z75">SUM(Z11:AA11*Z24:AA24)/Z32</f>
        <v>0.22038438836703403</v>
      </c>
      <c r="AA75" s="138"/>
      <c r="AB75" s="193">
        <f t="array" ref="AB75">SUM(AB11:AC11*AB24:AC24)/AB32</f>
        <v>0.2203843883406551</v>
      </c>
      <c r="AC75" s="138"/>
      <c r="AD75" s="193">
        <f t="array" ref="AD75">SUM(AD11:AE11*AD24:AE24)/AD32</f>
        <v>0.22038438833291915</v>
      </c>
      <c r="AE75" s="138"/>
      <c r="AF75" s="193">
        <f t="array" ref="AF75">SUM(AF11:AG11*AF24:AG24)/AF32</f>
        <v>0.22038438831878429</v>
      </c>
      <c r="AG75" s="138"/>
      <c r="AH75" s="193">
        <f t="array" ref="AH75">SUM(AH11:AI11*AH24:AI24)/AH32</f>
        <v>0.22038438833289634</v>
      </c>
      <c r="AI75" s="138"/>
      <c r="AJ75" s="193">
        <f t="array" ref="AJ75">SUM(AJ11:AK11*AJ24:AK24)/AJ32</f>
        <v>0.22038438833158214</v>
      </c>
      <c r="AK75" s="138"/>
      <c r="AL75" s="193">
        <f t="array" ref="AL75">SUM(AL11:AM11*AL24:AM24)/AL32</f>
        <v>0.2203843883319003</v>
      </c>
      <c r="AM75" s="138"/>
      <c r="AN75" s="193">
        <f t="array" ref="AN75">SUM(AN11:AO11*AN24:AO24)/AN32</f>
        <v>0.22038438833194091</v>
      </c>
      <c r="AO75" s="138"/>
      <c r="AP75" s="193">
        <f t="array" ref="AP75">SUM(AP11:AQ11*AP24:AQ24)/AP32</f>
        <v>0.22038438833194124</v>
      </c>
      <c r="AQ75" s="138"/>
      <c r="AR75" s="193">
        <f t="array" ref="AR75">SUM(AR11:AS11*AR24:AS24)/AR32</f>
        <v>0.2203843883319416</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0.22301874374724862</v>
      </c>
      <c r="D76" s="193">
        <f t="array" ref="D76">SUM(D12:E12*D25:E25)/D32</f>
        <v>0.22330723664839264</v>
      </c>
      <c r="E76" s="138"/>
      <c r="F76" s="193">
        <f t="array" ref="F76">SUM(F12:G12*F25:G25)/F32</f>
        <v>0.22364892875004475</v>
      </c>
      <c r="G76" s="138"/>
      <c r="H76" s="193">
        <f t="array" ref="H76">SUM(H12:I12*H25:I25)/H32</f>
        <v>0.22404591429341858</v>
      </c>
      <c r="I76" s="138"/>
      <c r="J76" s="193">
        <f t="array" ref="J76">SUM(J12:K12*J25:K25)/J32</f>
        <v>0.22449942221137972</v>
      </c>
      <c r="K76" s="138"/>
      <c r="L76" s="193">
        <f t="array" ref="L76">SUM(L12:M12*L25:M25)/L32</f>
        <v>0.22500905950481812</v>
      </c>
      <c r="M76" s="138"/>
      <c r="N76" s="193">
        <f t="array" ref="N76">SUM(N12:O12*N25:O25)/N32</f>
        <v>0.22557180817565609</v>
      </c>
      <c r="O76" s="138"/>
      <c r="P76" s="193">
        <f t="array" ref="P76">SUM(P12:Q12*P25:Q25)/P32</f>
        <v>0.22618027404458757</v>
      </c>
      <c r="Q76" s="138"/>
      <c r="R76" s="193">
        <f t="array" ref="R76">SUM(R12:S12*R25:S25)/R32</f>
        <v>0.22682001043928487</v>
      </c>
      <c r="S76" s="138"/>
      <c r="T76" s="193">
        <f t="array" ref="T76">SUM(T12:U12*T25:U25)/T32</f>
        <v>0.22746513447548761</v>
      </c>
      <c r="U76" s="138"/>
      <c r="V76" s="193">
        <f t="array" ref="V76">SUM(V12:W12*V25:W25)/V32</f>
        <v>0.22807141394511238</v>
      </c>
      <c r="W76" s="138"/>
      <c r="X76" s="193">
        <f t="array" ref="X76">SUM(X12:Y12*X25:Y25)/X32</f>
        <v>0.22856495686093825</v>
      </c>
      <c r="Y76" s="138"/>
      <c r="Z76" s="193">
        <f t="array" ref="Z76">SUM(Z12:AA12*Z25:AA25)/Z32</f>
        <v>0.22882477387998107</v>
      </c>
      <c r="AA76" s="138"/>
      <c r="AB76" s="193">
        <f t="array" ref="AB76">SUM(AB12:AC12*AB25:AC25)/AB32</f>
        <v>0.22865796253199794</v>
      </c>
      <c r="AC76" s="138"/>
      <c r="AD76" s="193">
        <f t="array" ref="AD76">SUM(AD12:AE12*AD25:AE25)/AD32</f>
        <v>0.22777487330757584</v>
      </c>
      <c r="AE76" s="138"/>
      <c r="AF76" s="193">
        <f t="array" ref="AF76">SUM(AF12:AG12*AF25:AG25)/AF32</f>
        <v>0.2257995133526397</v>
      </c>
      <c r="AG76" s="138"/>
      <c r="AH76" s="193">
        <f t="array" ref="AH76">SUM(AH12:AI12*AH25:AI25)/AH32</f>
        <v>0.22239553768946926</v>
      </c>
      <c r="AI76" s="138"/>
      <c r="AJ76" s="193">
        <f t="array" ref="AJ76">SUM(AJ12:AK12*AJ25:AK25)/AJ32</f>
        <v>0.21751494757163906</v>
      </c>
      <c r="AK76" s="138"/>
      <c r="AL76" s="193">
        <f t="array" ref="AL76">SUM(AL12:AM12*AL25:AM25)/AL32</f>
        <v>0.21143043170945078</v>
      </c>
      <c r="AM76" s="138"/>
      <c r="AN76" s="193">
        <f t="array" ref="AN76">SUM(AN12:AO12*AN25:AO25)/AN32</f>
        <v>0.20412113703798118</v>
      </c>
      <c r="AO76" s="138"/>
      <c r="AP76" s="193">
        <f t="array" ref="AP76">SUM(AP12:AQ12*AP25:AQ25)/AP32</f>
        <v>0.20238872245662343</v>
      </c>
      <c r="AQ76" s="138"/>
      <c r="AR76" s="193">
        <f t="array" ref="AR76">SUM(AR12:AS12*AR25:AS25)/AR32</f>
        <v>0.20046821631206588</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0.14586087017236521</v>
      </c>
      <c r="D77" s="193">
        <f t="array" ref="D77">SUM(D4:E4*D19:E19)/D32</f>
        <v>0.14614936291383795</v>
      </c>
      <c r="E77" s="138"/>
      <c r="F77" s="193">
        <f t="array" ref="F77">SUM(F4:G4*F19:G19)/F32</f>
        <v>0.14649105508748514</v>
      </c>
      <c r="G77" s="138"/>
      <c r="H77" s="193">
        <f t="array" ref="H77">SUM(H4:I4*H19:I19)/H32</f>
        <v>0.14688804045444515</v>
      </c>
      <c r="I77" s="138"/>
      <c r="J77" s="193">
        <f t="array" ref="J77">SUM(J4:K4*J19:K19)/J32</f>
        <v>0.14734154870694083</v>
      </c>
      <c r="K77" s="138"/>
      <c r="L77" s="193">
        <f t="array" ref="L77">SUM(L4:M4*L19:M19)/L32</f>
        <v>0.1478511855011628</v>
      </c>
      <c r="M77" s="138"/>
      <c r="N77" s="193">
        <f t="array" ref="N77">SUM(N4:O4*N19:O19)/N32</f>
        <v>0.14841393394352406</v>
      </c>
      <c r="O77" s="138"/>
      <c r="P77" s="193">
        <f t="array" ref="P77">SUM(P4:Q4*P19:Q19)/P32</f>
        <v>0.14902239980655016</v>
      </c>
      <c r="Q77" s="138"/>
      <c r="R77" s="193">
        <f t="array" ref="R77">SUM(R4:S4*R19:S19)/R32</f>
        <v>0.14966213671344036</v>
      </c>
      <c r="S77" s="138"/>
      <c r="T77" s="193">
        <f t="array" ref="T77">SUM(T4:U4*T19:U19)/T32</f>
        <v>0.15030726320571303</v>
      </c>
      <c r="U77" s="138"/>
      <c r="V77" s="193">
        <f t="array" ref="V77">SUM(V4:W4*V19:W19)/V32</f>
        <v>0.15091353977115241</v>
      </c>
      <c r="W77" s="138"/>
      <c r="X77" s="193">
        <f t="array" ref="X77">SUM(X4:Y4*X19:Y19)/X32</f>
        <v>0.15140708344684933</v>
      </c>
      <c r="Y77" s="138"/>
      <c r="Z77" s="193">
        <f t="array" ref="Z77">SUM(Z4:AA4*Z19:AA19)/Z32</f>
        <v>0.15166690083544368</v>
      </c>
      <c r="AA77" s="138"/>
      <c r="AB77" s="193">
        <f t="array" ref="AB77">SUM(AB4:AC4*AB19:AC19)/AB32</f>
        <v>0.15150008851525626</v>
      </c>
      <c r="AC77" s="138"/>
      <c r="AD77" s="193">
        <f t="array" ref="AD77">SUM(AD4:AE4*AD19:AE19)/AD32</f>
        <v>0.15061699976600812</v>
      </c>
      <c r="AE77" s="138"/>
      <c r="AF77" s="193">
        <f t="array" ref="AF77">SUM(AF4:AG4*AF19:AG19)/AF32</f>
        <v>0.14864163989345999</v>
      </c>
      <c r="AG77" s="138"/>
      <c r="AH77" s="193">
        <f t="array" ref="AH77">SUM(AH4:AI4*AH19:AI19)/AH32</f>
        <v>0.1452376641428906</v>
      </c>
      <c r="AI77" s="138"/>
      <c r="AJ77" s="193">
        <f t="array" ref="AJ77">SUM(AJ4:AK4*AJ19:AK19)/AJ32</f>
        <v>0.14035707399344186</v>
      </c>
      <c r="AK77" s="138"/>
      <c r="AL77" s="193">
        <f t="array" ref="AL77">SUM(AL4:AM4*AL19:AM19)/AL32</f>
        <v>0.13427255813464481</v>
      </c>
      <c r="AM77" s="138"/>
      <c r="AN77" s="193">
        <f t="array" ref="AN77">SUM(AN4:AO4*AN19:AO19)/AN32</f>
        <v>0.12696326346308898</v>
      </c>
      <c r="AO77" s="138"/>
      <c r="AP77" s="193">
        <f t="array" ref="AP77">SUM(AP4:AQ4*AP19:AQ19)/AP32</f>
        <v>0.12523084888172767</v>
      </c>
      <c r="AQ77" s="138"/>
      <c r="AR77" s="193">
        <f t="array" ref="AR77">SUM(AR4:AS4*AR19:AS19)/AR32</f>
        <v>0.12331034273718906</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0.34818473005888212</v>
      </c>
      <c r="E78" s="138"/>
      <c r="F78" s="193">
        <f t="array" ref="F78">SUM(F13:G13*F26:G26)/F32</f>
        <v>0.34947840076335751</v>
      </c>
      <c r="G78" s="138"/>
      <c r="H78" s="193">
        <f t="array" ref="H78">SUM(H13:I13*H26:I26)/H32</f>
        <v>0.3507706551661624</v>
      </c>
      <c r="I78" s="138"/>
      <c r="J78" s="193">
        <f t="array" ref="J78">SUM(J13:K13*J26:K26)/J32</f>
        <v>0.35206402625414895</v>
      </c>
      <c r="K78" s="138"/>
      <c r="L78" s="193">
        <f t="array" ref="L78">SUM(L13:M13*L26:M26)/L32</f>
        <v>0.35336178365941673</v>
      </c>
      <c r="M78" s="138"/>
      <c r="N78" s="193">
        <f t="array" ref="N78">SUM(N13:O13*N26:O26)/N32</f>
        <v>0.35466831947829497</v>
      </c>
      <c r="O78" s="138"/>
      <c r="P78" s="193">
        <f t="array" ref="P78">SUM(P13:Q13*P26:Q26)/P32</f>
        <v>0.35598973214567498</v>
      </c>
      <c r="Q78" s="138"/>
      <c r="R78" s="193">
        <f t="array" ref="R78">SUM(R13:S13*R26:S26)/R32</f>
        <v>0.35733477139739345</v>
      </c>
      <c r="S78" s="138"/>
      <c r="T78" s="193">
        <f t="array" ref="T78">SUM(T13:U13*T26:U26)/T32</f>
        <v>0.35871627800929373</v>
      </c>
      <c r="U78" s="138"/>
      <c r="V78" s="193">
        <f t="array" ref="V78">SUM(V13:W13*V26:W26)/V32</f>
        <v>0.36015375361935348</v>
      </c>
      <c r="W78" s="138"/>
      <c r="X78" s="193">
        <f t="array" ref="X78">SUM(X13:Y13*X26:Y26)/X32</f>
        <v>0.36167731025985961</v>
      </c>
      <c r="Y78" s="138"/>
      <c r="Z78" s="193">
        <f t="array" ref="Z78">SUM(Z13:AA13*Z26:AA26)/Z32</f>
        <v>0.36333442182058429</v>
      </c>
      <c r="AA78" s="138"/>
      <c r="AB78" s="193">
        <f t="array" ref="AB78">SUM(AB13:AC13*AB26:AC26)/AB32</f>
        <v>0.36520042497029903</v>
      </c>
      <c r="AC78" s="138"/>
      <c r="AD78" s="193">
        <f t="array" ref="AD78">SUM(AD13:AE13*AD26:AE26)/AD32</f>
        <v>0.36739280991325191</v>
      </c>
      <c r="AE78" s="138"/>
      <c r="AF78" s="193">
        <f t="array" ref="AF78">SUM(AF13:AG13*AF26:AG26)/AF32</f>
        <v>0.37008289853367587</v>
      </c>
      <c r="AG78" s="138"/>
      <c r="AH78" s="193">
        <f t="array" ref="AH78">SUM(AH13:AI13*AH26:AI26)/AH32</f>
        <v>0.37348695202820131</v>
      </c>
      <c r="AI78" s="138"/>
      <c r="AJ78" s="193">
        <f t="array" ref="AJ78">SUM(AJ13:AK13*AJ26:AK26)/AJ32</f>
        <v>0.37784543207098176</v>
      </c>
      <c r="AK78" s="138"/>
      <c r="AL78" s="193">
        <f t="array" ref="AL78">SUM(AL13:AM13*AL26:AM26)/AL32</f>
        <v>0.38355532219613453</v>
      </c>
      <c r="AM78" s="138"/>
      <c r="AN78" s="193">
        <f t="array" ref="AN78">SUM(AN13:AO13*AN26:AO26)/AN32</f>
        <v>0.39201933054625504</v>
      </c>
      <c r="AO78" s="138"/>
      <c r="AP78" s="193">
        <f t="array" ref="AP78">SUM(AP13:AQ13*AP26:AQ26)/AP32</f>
        <v>0.39445449153973128</v>
      </c>
      <c r="AQ78" s="138"/>
      <c r="AR78" s="193">
        <f t="array" ref="AR78">SUM(AR13:AS13*AR26:AS26)/AR32</f>
        <v>0.39740874386227076</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0.45460968782439326</v>
      </c>
      <c r="D79" s="193">
        <f t="array" ref="D79">SUM(D15:E15*D27:E27)/D32</f>
        <v>0.45005695171678123</v>
      </c>
      <c r="F79" s="193">
        <f t="array" ref="F79">SUM(F15:G15*F27:G27)/F32</f>
        <v>0.44551637204413702</v>
      </c>
      <c r="H79" s="193">
        <f t="array" ref="H79">SUM(H15:I15*H27:I27)/H32</f>
        <v>0.44098070834394321</v>
      </c>
      <c r="J79" s="193">
        <f t="array" ref="J79">SUM(J15:K15*J27:K27)/J32</f>
        <v>0.43644119393237557</v>
      </c>
      <c r="L79" s="193">
        <f t="array" ref="L79">SUM(L15:M15*L27:M27)/L32</f>
        <v>0.43188622498435347</v>
      </c>
      <c r="N79" s="193">
        <f t="array" ref="N79">SUM(N15:O15*N27:O27)/N32</f>
        <v>0.42730046311265885</v>
      </c>
      <c r="P79" s="193">
        <f t="array" ref="P79">SUM(P15:Q15*P27:Q27)/P32</f>
        <v>0.42266248933436956</v>
      </c>
      <c r="R79" s="193">
        <f t="array" ref="R79">SUM(R15:S15*R27:S27)/R32</f>
        <v>0.41794166045151693</v>
      </c>
      <c r="T79" s="193">
        <f t="array" ref="T79">SUM(T15:U15*T27:U27)/T32</f>
        <v>0.4130927591067538</v>
      </c>
      <c r="V79" s="193">
        <f t="array" ref="V79">SUM(V15:W15*V27:W27)/V32</f>
        <v>0.40804745920192104</v>
      </c>
      <c r="X79" s="193">
        <f t="array" ref="X79">SUM(X15:Y15*X27:Y27)/X32</f>
        <v>0.40269998945726621</v>
      </c>
      <c r="Z79" s="193">
        <f t="array" ref="Z79">SUM(Z15:AA15*Z27:AA27)/Z32</f>
        <v>0.39688377578547779</v>
      </c>
      <c r="AB79" s="193">
        <f t="array" ref="AB79">SUM(AB15:AC15*AB27:AC27)/AB32</f>
        <v>0.39033438671908149</v>
      </c>
      <c r="AD79" s="193">
        <f t="array" ref="AD79">SUM(AD15:AE15*AD27:AE27)/AD32</f>
        <v>0.38263943915879939</v>
      </c>
      <c r="AF79" s="193">
        <f t="array" ref="AF79">SUM(AF15:AG15*AF27:AG27)/AF32</f>
        <v>0.37319763017488011</v>
      </c>
      <c r="AH79" s="193">
        <f t="array" ref="AH79">SUM(AH15:AI15*AH27:AI27)/AH32</f>
        <v>0.36124991010644947</v>
      </c>
      <c r="AJ79" s="193">
        <f t="array" ref="AJ79">SUM(AJ15:AK15*AJ27:AK27)/AJ32</f>
        <v>0.34595229639341024</v>
      </c>
      <c r="AL79" s="193">
        <f t="array" ref="AL79">SUM(AL15:AM15*AL27:AM27)/AL32</f>
        <v>0.32591143470928124</v>
      </c>
      <c r="AN79" s="193">
        <f t="array" ref="AN79">SUM(AN15:AO15*AN27:AO27)/AN32</f>
        <v>0.29620402938921964</v>
      </c>
      <c r="AP79" s="193">
        <f t="array" ref="AP79">SUM(AP15:AQ15*AP27:AQ27)/AP32</f>
        <v>0.28765697796768885</v>
      </c>
      <c r="AR79" s="193">
        <f t="array" ref="AR79">SUM(AR15:AS15*AR27:AS27)/AR32</f>
        <v>0.27728799350144578</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0.20175834754802227</v>
      </c>
      <c r="F80" s="236">
        <f>F55</f>
        <v>0.20500527211177197</v>
      </c>
      <c r="H80" s="236">
        <f>H55</f>
        <v>0.2082486327112423</v>
      </c>
      <c r="J80" s="236">
        <f>J55</f>
        <v>0.21149480064811155</v>
      </c>
      <c r="L80" s="236">
        <f>L55</f>
        <v>0.21475198378094587</v>
      </c>
      <c r="N80" s="236">
        <f>N55</f>
        <v>0.21803120307560073</v>
      </c>
      <c r="P80" s="236">
        <f>P55</f>
        <v>0.22134775790816269</v>
      </c>
      <c r="R80" s="236">
        <f>R55</f>
        <v>0.224723572974035</v>
      </c>
      <c r="T80" s="236">
        <f>T55</f>
        <v>0.22819096391958385</v>
      </c>
      <c r="V80" s="236">
        <f>V55</f>
        <v>0.23179879741107642</v>
      </c>
      <c r="X80" s="236">
        <f>X55</f>
        <v>0.23562270485321485</v>
      </c>
      <c r="Z80" s="236">
        <f>Z55</f>
        <v>0.23978181698002768</v>
      </c>
      <c r="AB80" s="236">
        <f>AB55</f>
        <v>0.24446519366960032</v>
      </c>
      <c r="AD80" s="236">
        <f>AD55</f>
        <v>0.24996775162640095</v>
      </c>
      <c r="AF80" s="236">
        <f>AF55</f>
        <v>0.2567194716308886</v>
      </c>
      <c r="AH80" s="236">
        <f>AH55</f>
        <v>0.26526313699289022</v>
      </c>
      <c r="AJ80" s="236">
        <f>AJ55</f>
        <v>0.27620227189228197</v>
      </c>
      <c r="AL80" s="236">
        <f>AL55</f>
        <v>0.29053324318484863</v>
      </c>
      <c r="AN80" s="236">
        <f>AN55</f>
        <v>0.31177664006281941</v>
      </c>
      <c r="AP80" s="236">
        <f>AP55</f>
        <v>0.31788853049040694</v>
      </c>
      <c r="AR80" s="236">
        <f>AR55</f>
        <v>0.32530326263806708</v>
      </c>
      <c r="AT80" s="236" t="e">
        <f>AT55</f>
        <v>#DIV/0!</v>
      </c>
      <c r="AV80" s="236" t="e">
        <f>AV55</f>
        <v>#DIV/0!</v>
      </c>
      <c r="XFD80" s="236"/>
    </row>
    <row r="81" spans="1:48 16384:16384" x14ac:dyDescent="0.2">
      <c r="A81" t="s">
        <v>191</v>
      </c>
      <c r="B81" s="236">
        <f>B51/B$32</f>
        <v>-2.7543485504603994E-2</v>
      </c>
      <c r="D81" s="236">
        <f>D51/D$32</f>
        <v>-2.4287857016402577E-2</v>
      </c>
      <c r="F81" s="236">
        <f>F51/F$32</f>
        <v>-2.1040932452652875E-2</v>
      </c>
      <c r="H81" s="236">
        <f>H51/H$32</f>
        <v>-1.7797571853182526E-2</v>
      </c>
      <c r="J81" s="236">
        <f>J51/J$32</f>
        <v>-1.4551403916313302E-2</v>
      </c>
      <c r="L81" s="236">
        <f>L51/L$32</f>
        <v>-1.1294220783478966E-2</v>
      </c>
      <c r="N81" s="236">
        <f>N51/N$32</f>
        <v>-8.0150014888241382E-3</v>
      </c>
      <c r="P81" s="236">
        <f>P51/P$32</f>
        <v>-4.6984466562621698E-3</v>
      </c>
      <c r="R81" s="236">
        <f>R51/R$32</f>
        <v>-1.3226315903898439E-3</v>
      </c>
      <c r="T81" s="236">
        <f>T51/T$32</f>
        <v>2.1447593551590029E-3</v>
      </c>
      <c r="V81" s="236">
        <f>V51/V$32</f>
        <v>5.7525928466515648E-3</v>
      </c>
      <c r="X81" s="236">
        <f>X51/X$32</f>
        <v>9.5765002887900023E-3</v>
      </c>
      <c r="Z81" s="236">
        <f>Z51/Z$32</f>
        <v>1.3735612415602852E-2</v>
      </c>
      <c r="AB81" s="236">
        <f>AB51/AB$32</f>
        <v>1.841898910517549E-2</v>
      </c>
      <c r="AD81" s="236">
        <f>AD51/AD$32</f>
        <v>2.3921547061976082E-2</v>
      </c>
      <c r="AF81" s="236">
        <f>AF51/AF$32</f>
        <v>3.0673267066463773E-2</v>
      </c>
      <c r="AH81" s="236">
        <f>AH51/AH$32</f>
        <v>3.9216932428465363E-2</v>
      </c>
      <c r="AJ81" s="236">
        <f>AJ51/AJ$32</f>
        <v>5.0156067327857101E-2</v>
      </c>
      <c r="AL81" s="236">
        <f>AL51/AL$32</f>
        <v>6.4487038620423792E-2</v>
      </c>
      <c r="AN81" s="236">
        <f>AN51/AN$32</f>
        <v>8.5730435498394569E-2</v>
      </c>
      <c r="AP81" s="236">
        <f>AP51/AP$32</f>
        <v>9.1842325925982099E-2</v>
      </c>
      <c r="AR81" s="236">
        <f>AR51/AR$32</f>
        <v>9.925705807364224E-2</v>
      </c>
      <c r="AT81" s="236" t="e">
        <f>AT51/AT$32</f>
        <v>#DIV/0!</v>
      </c>
      <c r="AV81" s="236" t="e">
        <f>AV51/AV$32</f>
        <v>#DIV/0!</v>
      </c>
      <c r="XFD81" s="236"/>
    </row>
    <row r="82" spans="1:48 16384:16384" x14ac:dyDescent="0.2">
      <c r="A82" t="s">
        <v>192</v>
      </c>
      <c r="B82" s="236">
        <f>B52/B$32</f>
        <v>0.13907860278212886</v>
      </c>
      <c r="D82" s="236">
        <f>D52/D$32</f>
        <v>0.13959866748679092</v>
      </c>
      <c r="F82" s="236">
        <f>F52/F$32</f>
        <v>0.14011734246280416</v>
      </c>
      <c r="H82" s="236">
        <f>H52/H$32</f>
        <v>0.14063544959706875</v>
      </c>
      <c r="J82" s="236">
        <f>J52/J$32</f>
        <v>0.14115400444701387</v>
      </c>
      <c r="L82" s="236">
        <f>L52/L$32</f>
        <v>0.14167431791528648</v>
      </c>
      <c r="N82" s="236">
        <f>N52/N$32</f>
        <v>0.14219815093722379</v>
      </c>
      <c r="P82" s="236">
        <f>P52/P$32</f>
        <v>0.14272794857520527</v>
      </c>
      <c r="R82" s="236">
        <f>R52/R$32</f>
        <v>0.14326721888503643</v>
      </c>
      <c r="T82" s="236">
        <f>T52/T$32</f>
        <v>0.14382111015451526</v>
      </c>
      <c r="V82" s="236">
        <f>V52/V$32</f>
        <v>0.14439744122933057</v>
      </c>
      <c r="X82" s="236">
        <f>X52/X$32</f>
        <v>0.14500828500992752</v>
      </c>
      <c r="Z82" s="236">
        <f>Z52/Z$32</f>
        <v>0.14567267533432518</v>
      </c>
      <c r="AB82" s="236">
        <f>AB52/AB$32</f>
        <v>0.14642081714164187</v>
      </c>
      <c r="AD82" s="236">
        <f>AD52/AD$32</f>
        <v>0.14729981610464227</v>
      </c>
      <c r="AF82" s="236">
        <f>AF52/AF$32</f>
        <v>0.14837836078053615</v>
      </c>
      <c r="AH82" s="236">
        <f>AH52/AH$32</f>
        <v>0.14974315736943064</v>
      </c>
      <c r="AJ82" s="236">
        <f>AJ52/AJ$32</f>
        <v>0.15149061483586526</v>
      </c>
      <c r="AL82" s="236">
        <f>AL52/AL$32</f>
        <v>0.15377989688689755</v>
      </c>
      <c r="AN82" s="236">
        <f>AN52/AN$32</f>
        <v>0.15717339518038698</v>
      </c>
      <c r="AP82" s="236">
        <f>AP52/AP$32</f>
        <v>0.15814973101725038</v>
      </c>
      <c r="AR82" s="236">
        <f>AR52/AR$32</f>
        <v>0.15933418757735435</v>
      </c>
      <c r="AT82" s="236" t="e">
        <f>AT52/AT$32</f>
        <v>#DIV/0!</v>
      </c>
      <c r="AV82" s="236" t="e">
        <f>AV52/AV$32</f>
        <v>#DIV/0!</v>
      </c>
    </row>
    <row r="83" spans="1:48 16384:16384" x14ac:dyDescent="0.2">
      <c r="A83" t="s">
        <v>193</v>
      </c>
      <c r="B83" s="236">
        <f>B53/B$32</f>
        <v>0.18600714462929399</v>
      </c>
      <c r="D83" s="236">
        <f>D53/D$32</f>
        <v>0.18414435668986334</v>
      </c>
      <c r="F83" s="236">
        <f>F53/F$32</f>
        <v>0.18228654265182068</v>
      </c>
      <c r="H83" s="236">
        <f>H53/H$32</f>
        <v>0.18043074002273618</v>
      </c>
      <c r="J83" s="236">
        <f>J53/J$32</f>
        <v>0.17857336184467723</v>
      </c>
      <c r="L83" s="236">
        <f>L53/L$32</f>
        <v>0.17670966032095614</v>
      </c>
      <c r="N83" s="236">
        <f>N53/N$32</f>
        <v>0.17483335962928828</v>
      </c>
      <c r="P83" s="236">
        <f>P53/P$32</f>
        <v>0.17293569602362757</v>
      </c>
      <c r="R83" s="236">
        <f>R53/R$32</f>
        <v>0.17100413159748162</v>
      </c>
      <c r="T83" s="236">
        <f>T53/T$32</f>
        <v>0.16902016531193048</v>
      </c>
      <c r="V83" s="236">
        <f>V53/V$32</f>
        <v>0.16695584100422037</v>
      </c>
      <c r="X83" s="236">
        <f>X53/X$32</f>
        <v>0.16476788151977798</v>
      </c>
      <c r="Z83" s="236">
        <f>Z53/Z$32</f>
        <v>0.16238813175504985</v>
      </c>
      <c r="AB83" s="236">
        <f>AB53/AB$32</f>
        <v>0.15970839748643639</v>
      </c>
      <c r="AD83" s="236">
        <f>AD53/AD$32</f>
        <v>0.15655994891155006</v>
      </c>
      <c r="AF83" s="236">
        <f>AF53/AF$32</f>
        <v>0.15269675818713146</v>
      </c>
      <c r="AH83" s="236">
        <f>AH53/AH$32</f>
        <v>0.14780825414887755</v>
      </c>
      <c r="AJ83" s="236">
        <f>AJ53/AJ$32</f>
        <v>0.14154911466590306</v>
      </c>
      <c r="AL83" s="236">
        <f>AL53/AL$32</f>
        <v>0.13334923780974725</v>
      </c>
      <c r="AN83" s="236">
        <f>AN53/AN$32</f>
        <v>0.12119421827117496</v>
      </c>
      <c r="AP83" s="236">
        <f>AP53/AP$32</f>
        <v>0.117697124670889</v>
      </c>
      <c r="AR83" s="236">
        <f>AR53/AR$32</f>
        <v>0.1134545727743346</v>
      </c>
      <c r="AT83" s="236" t="e">
        <f>AT53/AT$32</f>
        <v>#DIV/0!</v>
      </c>
      <c r="AV83" s="236" t="e">
        <f>AV53/AV$32</f>
        <v>#DIV/0!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9"/>
  <dimension ref="A1:XFD83"/>
  <sheetViews>
    <sheetView showGridLines="0" workbookViewId="0">
      <pane xSplit="1" ySplit="1" topLeftCell="B56" activePane="bottomRight" state="frozen"/>
      <selection pane="topRight" activeCell="B1" sqref="B1"/>
      <selection pane="bottomLeft" activeCell="A2" sqref="A2"/>
      <selection pane="bottomRight" activeCell="M79"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2.9449456070509542E-2</v>
      </c>
      <c r="E2" s="227"/>
      <c r="F2" s="226">
        <v>5.4935784092662587E-2</v>
      </c>
      <c r="G2" s="227"/>
      <c r="H2" s="226">
        <v>8.2465092916601299E-2</v>
      </c>
      <c r="I2" s="227"/>
      <c r="J2" s="226">
        <v>0.11231712316789143</v>
      </c>
      <c r="K2" s="227"/>
      <c r="L2" s="226">
        <v>0.14482785334642248</v>
      </c>
      <c r="M2" s="227"/>
      <c r="N2" s="226">
        <v>0.1804047821562875</v>
      </c>
      <c r="O2" s="227"/>
      <c r="P2" s="226">
        <v>0.21954669965117662</v>
      </c>
      <c r="Q2" s="227"/>
      <c r="R2" s="226">
        <v>0.26286906384065184</v>
      </c>
      <c r="S2" s="227"/>
      <c r="T2" s="226">
        <v>0.31113756856379271</v>
      </c>
      <c r="U2" s="227"/>
      <c r="V2" s="226">
        <v>0.36530895329183771</v>
      </c>
      <c r="W2" s="227"/>
      <c r="X2" s="226">
        <v>0.42658246047356113</v>
      </c>
      <c r="Y2" s="227"/>
      <c r="Z2" s="226">
        <v>0.49645345735571561</v>
      </c>
      <c r="AA2" s="227"/>
      <c r="AB2" s="226">
        <v>0.57675839207470636</v>
      </c>
      <c r="AC2" s="227"/>
      <c r="AD2" s="226">
        <v>0.66967874050767817</v>
      </c>
      <c r="AE2" s="227"/>
      <c r="AF2" s="226">
        <v>0.77764410905982495</v>
      </c>
      <c r="AG2" s="227"/>
      <c r="AH2" s="226">
        <v>0.90305368118464702</v>
      </c>
      <c r="AI2" s="227"/>
      <c r="AJ2" s="226">
        <v>1.0477531423040558</v>
      </c>
      <c r="AK2" s="227"/>
      <c r="AL2" s="226">
        <v>1.2123487879488954</v>
      </c>
      <c r="AM2" s="227"/>
      <c r="AN2" s="226">
        <v>1.3956566022961636</v>
      </c>
      <c r="AO2" s="227"/>
      <c r="AP2" s="226">
        <v>1.4343257025873144</v>
      </c>
      <c r="AQ2" s="227"/>
      <c r="AR2" s="226">
        <v>1.4735951013660467</v>
      </c>
      <c r="AS2" s="227"/>
      <c r="AT2" s="226">
        <v>1.5134311960467499</v>
      </c>
      <c r="AU2" s="227"/>
      <c r="AV2" s="226">
        <v>1.5537989159417764</v>
      </c>
      <c r="AW2" s="227"/>
    </row>
    <row r="3" spans="1:49" x14ac:dyDescent="0.2">
      <c r="A3" t="s">
        <v>12</v>
      </c>
      <c r="B3" s="84">
        <v>1000</v>
      </c>
      <c r="C3" s="85">
        <v>1000</v>
      </c>
      <c r="D3" s="84">
        <v>999.06759934097374</v>
      </c>
      <c r="E3" s="85">
        <v>1010.6225596190815</v>
      </c>
      <c r="F3" s="84">
        <v>998.12943881848764</v>
      </c>
      <c r="G3" s="85">
        <v>1022.0358685015383</v>
      </c>
      <c r="H3" s="84">
        <v>997.18483519287201</v>
      </c>
      <c r="I3" s="85">
        <v>1034.3300488915245</v>
      </c>
      <c r="J3" s="84">
        <v>996.23342788881143</v>
      </c>
      <c r="K3" s="85">
        <v>1047.6105197209567</v>
      </c>
      <c r="L3" s="84">
        <v>995.27538196399894</v>
      </c>
      <c r="M3" s="85">
        <v>1062.0013727026026</v>
      </c>
      <c r="N3" s="84">
        <v>994.31165748626245</v>
      </c>
      <c r="O3" s="85">
        <v>1077.6498187272407</v>
      </c>
      <c r="P3" s="84">
        <v>993.34439405170633</v>
      </c>
      <c r="Q3" s="85">
        <v>1094.7316487914238</v>
      </c>
      <c r="R3" s="84">
        <v>992.3774378785173</v>
      </c>
      <c r="S3" s="85">
        <v>1113.4580603132656</v>
      </c>
      <c r="T3" s="84">
        <v>991.41705785634304</v>
      </c>
      <c r="U3" s="85">
        <v>1134.0838875468073</v>
      </c>
      <c r="V3" s="84">
        <v>990.47287089850715</v>
      </c>
      <c r="W3" s="85">
        <v>1156.9172628546435</v>
      </c>
      <c r="X3" s="84">
        <v>989.55901775945688</v>
      </c>
      <c r="Y3" s="85">
        <v>1182.3291458616309</v>
      </c>
      <c r="Z3" s="84">
        <v>988.69546435896018</v>
      </c>
      <c r="AA3" s="85">
        <v>1210.7609641411116</v>
      </c>
      <c r="AB3" s="84">
        <v>987.90916429777883</v>
      </c>
      <c r="AC3" s="85">
        <v>1242.7239000019997</v>
      </c>
      <c r="AD3" s="84">
        <v>987.2343849650382</v>
      </c>
      <c r="AE3" s="85">
        <v>1278.7792157117958</v>
      </c>
      <c r="AF3" s="84">
        <v>986.71091698934015</v>
      </c>
      <c r="AG3" s="85">
        <v>1319.4827827347949</v>
      </c>
      <c r="AH3" s="84">
        <v>986.37855910727581</v>
      </c>
      <c r="AI3" s="85">
        <v>1365.2751239273514</v>
      </c>
      <c r="AJ3" s="84">
        <v>986.26701774519631</v>
      </c>
      <c r="AK3" s="85">
        <v>1416.3178759436569</v>
      </c>
      <c r="AL3" s="84">
        <v>986.38378493039352</v>
      </c>
      <c r="AM3" s="85">
        <v>1472.3221950384932</v>
      </c>
      <c r="AN3" s="84">
        <v>986.70674351554442</v>
      </c>
      <c r="AO3" s="85">
        <v>1532.4689202004377</v>
      </c>
      <c r="AP3" s="84">
        <v>986.79218241150818</v>
      </c>
      <c r="AQ3" s="85">
        <v>1544.890210328208</v>
      </c>
      <c r="AR3" s="84">
        <v>986.88352238054597</v>
      </c>
      <c r="AS3" s="85">
        <v>1557.4161772267314</v>
      </c>
      <c r="AT3" s="84">
        <v>986.98027888868</v>
      </c>
      <c r="AU3" s="85">
        <v>1570.0351343165703</v>
      </c>
      <c r="AV3" s="84">
        <v>987.08196039910274</v>
      </c>
      <c r="AW3" s="85">
        <v>1582.7352818292618</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999.02132818724476</v>
      </c>
      <c r="E5" s="42">
        <v>1009.231295590832</v>
      </c>
      <c r="F5" s="41">
        <v>998.0359822755172</v>
      </c>
      <c r="G5" s="42">
        <v>1018.9344165838921</v>
      </c>
      <c r="H5" s="41">
        <v>997.04322886842317</v>
      </c>
      <c r="I5" s="42">
        <v>1029.1342568372313</v>
      </c>
      <c r="J5" s="41">
        <v>996.04267177315171</v>
      </c>
      <c r="K5" s="42">
        <v>1039.8548826261147</v>
      </c>
      <c r="L5" s="41">
        <v>995.03446695124342</v>
      </c>
      <c r="M5" s="42">
        <v>1051.1192500701129</v>
      </c>
      <c r="N5" s="41">
        <v>994.01960799707604</v>
      </c>
      <c r="O5" s="42">
        <v>1062.947481609777</v>
      </c>
      <c r="P5" s="41">
        <v>993.00033430120141</v>
      </c>
      <c r="Q5" s="42">
        <v>1075.3543561141039</v>
      </c>
      <c r="R5" s="41">
        <v>991.98069144485657</v>
      </c>
      <c r="S5" s="42">
        <v>1088.3463596150052</v>
      </c>
      <c r="T5" s="41">
        <v>990.96729322788735</v>
      </c>
      <c r="U5" s="42">
        <v>1101.9160834365323</v>
      </c>
      <c r="V5" s="41">
        <v>989.9703079937218</v>
      </c>
      <c r="W5" s="42">
        <v>1116.0366984824284</v>
      </c>
      <c r="X5" s="41">
        <v>989.00471272556274</v>
      </c>
      <c r="Y5" s="42">
        <v>1130.6496250444261</v>
      </c>
      <c r="Z5" s="41">
        <v>988.09168333272328</v>
      </c>
      <c r="AA5" s="42">
        <v>1145.6520988781815</v>
      </c>
      <c r="AB5" s="41">
        <v>987.25983906918395</v>
      </c>
      <c r="AC5" s="42">
        <v>1160.8795240768873</v>
      </c>
      <c r="AD5" s="41">
        <v>986.54559759909512</v>
      </c>
      <c r="AE5" s="42">
        <v>1176.0869490689347</v>
      </c>
      <c r="AF5" s="41">
        <v>985.99127528156396</v>
      </c>
      <c r="AG5" s="42">
        <v>1190.9377384760182</v>
      </c>
      <c r="AH5" s="41">
        <v>985.63921781920772</v>
      </c>
      <c r="AI5" s="42">
        <v>1205.0111547530853</v>
      </c>
      <c r="AJ5" s="41">
        <v>985.52104602480972</v>
      </c>
      <c r="AK5" s="42">
        <v>1217.8524730778538</v>
      </c>
      <c r="AL5" s="41">
        <v>985.64475404882637</v>
      </c>
      <c r="AM5" s="42">
        <v>1229.064664789438</v>
      </c>
      <c r="AN5" s="41">
        <v>985.98685496616395</v>
      </c>
      <c r="AO5" s="42">
        <v>1238.4128275748135</v>
      </c>
      <c r="AP5" s="41">
        <v>986.07734451042961</v>
      </c>
      <c r="AQ5" s="42">
        <v>1240.0536906409225</v>
      </c>
      <c r="AR5" s="41">
        <v>986.17407773892774</v>
      </c>
      <c r="AS5" s="42">
        <v>1241.6197069010664</v>
      </c>
      <c r="AT5" s="41">
        <v>986.27654031811289</v>
      </c>
      <c r="AU5" s="42">
        <v>1243.1121652560321</v>
      </c>
      <c r="AV5" s="41">
        <v>986.38421057322137</v>
      </c>
      <c r="AW5" s="42">
        <v>1244.5326048917873</v>
      </c>
    </row>
    <row r="6" spans="1:49" x14ac:dyDescent="0.2">
      <c r="A6" t="s">
        <v>77</v>
      </c>
      <c r="B6" s="41">
        <v>1000.0000000000003</v>
      </c>
      <c r="C6" s="42">
        <v>1000.0000000000002</v>
      </c>
      <c r="D6" s="41">
        <v>998.94654840780242</v>
      </c>
      <c r="E6" s="42">
        <v>1011.4474590472768</v>
      </c>
      <c r="F6" s="41">
        <v>997.88607209693293</v>
      </c>
      <c r="G6" s="42">
        <v>1023.7069372212251</v>
      </c>
      <c r="H6" s="41">
        <v>996.81778508080095</v>
      </c>
      <c r="I6" s="42">
        <v>1036.8694343536713</v>
      </c>
      <c r="J6" s="41">
        <v>995.74126478320409</v>
      </c>
      <c r="K6" s="42">
        <v>1051.0414191832485</v>
      </c>
      <c r="L6" s="41">
        <v>994.65668274780637</v>
      </c>
      <c r="M6" s="42">
        <v>1066.3482417286832</v>
      </c>
      <c r="N6" s="41">
        <v>993.56511133602805</v>
      </c>
      <c r="O6" s="42">
        <v>1082.9386346235383</v>
      </c>
      <c r="P6" s="41">
        <v>992.46896196108651</v>
      </c>
      <c r="Q6" s="42">
        <v>1100.9902279504993</v>
      </c>
      <c r="R6" s="41">
        <v>991.37258647705835</v>
      </c>
      <c r="S6" s="42">
        <v>1120.7164350955177</v>
      </c>
      <c r="T6" s="41">
        <v>990.28309493355584</v>
      </c>
      <c r="U6" s="42">
        <v>1142.374735563546</v>
      </c>
      <c r="V6" s="41">
        <v>989.21141345184617</v>
      </c>
      <c r="W6" s="42">
        <v>1166.2763741985618</v>
      </c>
      <c r="X6" s="41">
        <v>988.17362942500392</v>
      </c>
      <c r="Y6" s="42">
        <v>1192.7958479673198</v>
      </c>
      <c r="Z6" s="41">
        <v>987.19248202724725</v>
      </c>
      <c r="AA6" s="42">
        <v>1222.3783998486538</v>
      </c>
      <c r="AB6" s="41">
        <v>986.29869589452187</v>
      </c>
      <c r="AC6" s="42">
        <v>1255.5389095361966</v>
      </c>
      <c r="AD6" s="41">
        <v>985.53136030588996</v>
      </c>
      <c r="AE6" s="42">
        <v>1292.8414338668583</v>
      </c>
      <c r="AF6" s="41">
        <v>984.93588940856637</v>
      </c>
      <c r="AG6" s="42">
        <v>1334.8424134346558</v>
      </c>
      <c r="AH6" s="41">
        <v>984.55772412485533</v>
      </c>
      <c r="AI6" s="42">
        <v>1381.9788461660962</v>
      </c>
      <c r="AJ6" s="41">
        <v>984.430793525902</v>
      </c>
      <c r="AK6" s="42">
        <v>1434.4028605935994</v>
      </c>
      <c r="AL6" s="41">
        <v>984.56367075172614</v>
      </c>
      <c r="AM6" s="42">
        <v>1491.8092969517857</v>
      </c>
      <c r="AN6" s="41">
        <v>984.93114116536128</v>
      </c>
      <c r="AO6" s="42">
        <v>1553.357367056431</v>
      </c>
      <c r="AP6" s="41">
        <v>985.02834443987115</v>
      </c>
      <c r="AQ6" s="42">
        <v>1566.0567733783325</v>
      </c>
      <c r="AR6" s="41">
        <v>985.1322561254392</v>
      </c>
      <c r="AS6" s="42">
        <v>1578.8597125160645</v>
      </c>
      <c r="AT6" s="41">
        <v>985.24232400523067</v>
      </c>
      <c r="AU6" s="42">
        <v>1591.7543260708728</v>
      </c>
      <c r="AV6" s="41">
        <v>985.35798795871926</v>
      </c>
      <c r="AW6" s="42">
        <v>1604.7286498006386</v>
      </c>
    </row>
    <row r="7" spans="1:49" x14ac:dyDescent="0.2">
      <c r="A7" t="s">
        <v>13</v>
      </c>
      <c r="B7" s="33">
        <v>1015.9116825427475</v>
      </c>
      <c r="C7" s="34">
        <v>1015.9116825427475</v>
      </c>
      <c r="D7" s="33">
        <v>1014.9174384147941</v>
      </c>
      <c r="E7" s="34">
        <v>1014.9174384147941</v>
      </c>
      <c r="F7" s="33">
        <v>1013.9164139917243</v>
      </c>
      <c r="G7" s="34">
        <v>1013.9164139917243</v>
      </c>
      <c r="H7" s="33">
        <v>1012.9078642075734</v>
      </c>
      <c r="I7" s="34">
        <v>1012.9078642075734</v>
      </c>
      <c r="J7" s="33">
        <v>1011.8913865654361</v>
      </c>
      <c r="K7" s="34">
        <v>1011.8913865654361</v>
      </c>
      <c r="L7" s="33">
        <v>1010.8671395084635</v>
      </c>
      <c r="M7" s="34">
        <v>1010.8671395084635</v>
      </c>
      <c r="N7" s="33">
        <v>1009.8361324407917</v>
      </c>
      <c r="O7" s="34">
        <v>1009.8361324407917</v>
      </c>
      <c r="P7" s="33">
        <v>1008.8006403854442</v>
      </c>
      <c r="Q7" s="34">
        <v>1008.8006403854442</v>
      </c>
      <c r="R7" s="33">
        <v>1007.7647732956623</v>
      </c>
      <c r="S7" s="34">
        <v>1007.7647732956623</v>
      </c>
      <c r="T7" s="33">
        <v>1006.7352502079752</v>
      </c>
      <c r="U7" s="34">
        <v>1006.7352502079752</v>
      </c>
      <c r="V7" s="33">
        <v>1005.7224012612638</v>
      </c>
      <c r="W7" s="34">
        <v>1005.7224012612638</v>
      </c>
      <c r="X7" s="33">
        <v>1004.741441747733</v>
      </c>
      <c r="Y7" s="34">
        <v>1004.741441747733</v>
      </c>
      <c r="Z7" s="33">
        <v>1003.8138845210425</v>
      </c>
      <c r="AA7" s="34">
        <v>1003.8138845210425</v>
      </c>
      <c r="AB7" s="33">
        <v>1002.9688042156567</v>
      </c>
      <c r="AC7" s="34">
        <v>1002.9688042156567</v>
      </c>
      <c r="AD7" s="33">
        <v>1002.243197962037</v>
      </c>
      <c r="AE7" s="34">
        <v>1002.243197962037</v>
      </c>
      <c r="AF7" s="33">
        <v>1001.6800554437629</v>
      </c>
      <c r="AG7" s="34">
        <v>1001.6800554437629</v>
      </c>
      <c r="AH7" s="33">
        <v>1001.3223961548289</v>
      </c>
      <c r="AI7" s="34">
        <v>1001.3223961548289</v>
      </c>
      <c r="AJ7" s="33">
        <v>1001.2023440483529</v>
      </c>
      <c r="AK7" s="34">
        <v>1001.2023440483529</v>
      </c>
      <c r="AL7" s="33">
        <v>1001.3280204751757</v>
      </c>
      <c r="AM7" s="34">
        <v>1001.3280204751757</v>
      </c>
      <c r="AN7" s="33">
        <v>1001.6755647937075</v>
      </c>
      <c r="AO7" s="34">
        <v>1001.6755647937075</v>
      </c>
      <c r="AP7" s="33">
        <v>1001.7674941788749</v>
      </c>
      <c r="AQ7" s="34">
        <v>1001.7674941788749</v>
      </c>
      <c r="AR7" s="33">
        <v>1001.8657665957963</v>
      </c>
      <c r="AS7" s="34">
        <v>1001.8657665957963</v>
      </c>
      <c r="AT7" s="33">
        <v>1001.9698595270139</v>
      </c>
      <c r="AU7" s="34">
        <v>1001.9698595270139</v>
      </c>
      <c r="AV7" s="33">
        <v>1002.079242997041</v>
      </c>
      <c r="AW7" s="34">
        <v>1002.079242997041</v>
      </c>
    </row>
    <row r="8" spans="1:49" x14ac:dyDescent="0.2">
      <c r="B8" s="35">
        <v>1005.7716594496609</v>
      </c>
      <c r="C8" s="36">
        <v>1005.7716594496609</v>
      </c>
      <c r="D8" s="35">
        <v>1038.9526082953178</v>
      </c>
      <c r="E8" s="36">
        <v>1038.9526082953178</v>
      </c>
      <c r="F8" s="35">
        <v>1074.910377697928</v>
      </c>
      <c r="G8" s="36">
        <v>1074.910377697928</v>
      </c>
      <c r="H8" s="35">
        <v>1114.001908950971</v>
      </c>
      <c r="I8" s="36">
        <v>1114.001908950971</v>
      </c>
      <c r="J8" s="35">
        <v>1156.6483915547653</v>
      </c>
      <c r="K8" s="36">
        <v>1156.6483915547653</v>
      </c>
      <c r="L8" s="35">
        <v>1203.3505946688688</v>
      </c>
      <c r="M8" s="36">
        <v>1203.3505946688688</v>
      </c>
      <c r="N8" s="35">
        <v>1254.7082904731633</v>
      </c>
      <c r="O8" s="36">
        <v>1254.7082904731633</v>
      </c>
      <c r="P8" s="35">
        <v>1311.4448559544714</v>
      </c>
      <c r="Q8" s="36">
        <v>1311.4448559544714</v>
      </c>
      <c r="R8" s="35">
        <v>1374.4389483013831</v>
      </c>
      <c r="S8" s="36">
        <v>1374.4389483013831</v>
      </c>
      <c r="T8" s="35">
        <v>1444.7635743983124</v>
      </c>
      <c r="U8" s="36">
        <v>1444.7635743983124</v>
      </c>
      <c r="V8" s="35">
        <v>1523.7348966403226</v>
      </c>
      <c r="W8" s="36">
        <v>1523.7348966403226</v>
      </c>
      <c r="X8" s="35">
        <v>1612.9649240293866</v>
      </c>
      <c r="Y8" s="36">
        <v>1612.9649240293866</v>
      </c>
      <c r="Z8" s="35">
        <v>1714.4150442930868</v>
      </c>
      <c r="AA8" s="36">
        <v>1714.4150442930868</v>
      </c>
      <c r="AB8" s="35">
        <v>1830.4265317759232</v>
      </c>
      <c r="AC8" s="36">
        <v>1830.4265317759232</v>
      </c>
      <c r="AD8" s="35">
        <v>1963.6873758489367</v>
      </c>
      <c r="AE8" s="36">
        <v>1963.6873758489367</v>
      </c>
      <c r="AF8" s="35">
        <v>2117.0634550589243</v>
      </c>
      <c r="AG8" s="36">
        <v>2117.0634550589243</v>
      </c>
      <c r="AH8" s="35">
        <v>2293.2009139214215</v>
      </c>
      <c r="AI8" s="36">
        <v>2293.2009139214215</v>
      </c>
      <c r="AJ8" s="35">
        <v>2493.8612286079406</v>
      </c>
      <c r="AK8" s="36">
        <v>2493.8612286079406</v>
      </c>
      <c r="AL8" s="35">
        <v>2719.1197214577287</v>
      </c>
      <c r="AM8" s="36">
        <v>2719.1197214577287</v>
      </c>
      <c r="AN8" s="35">
        <v>2966.8118667478625</v>
      </c>
      <c r="AO8" s="36">
        <v>2966.8118667478625</v>
      </c>
      <c r="AP8" s="35">
        <v>3018.6945717154558</v>
      </c>
      <c r="AQ8" s="36">
        <v>3018.6945717154558</v>
      </c>
      <c r="AR8" s="35">
        <v>3071.2644247500243</v>
      </c>
      <c r="AS8" s="36">
        <v>3071.2644247500243</v>
      </c>
      <c r="AT8" s="35">
        <v>3124.4768963397341</v>
      </c>
      <c r="AU8" s="36">
        <v>3124.4768963397341</v>
      </c>
      <c r="AV8" s="35">
        <v>3178.2860172268411</v>
      </c>
      <c r="AW8" s="36">
        <v>3178.2860172268411</v>
      </c>
    </row>
    <row r="9" spans="1:49" x14ac:dyDescent="0.2">
      <c r="A9" t="s">
        <v>14</v>
      </c>
      <c r="B9" s="41">
        <v>1015.9116825427475</v>
      </c>
      <c r="C9" s="42">
        <v>1005.7716594496609</v>
      </c>
      <c r="D9" s="41">
        <v>1014.9174384147941</v>
      </c>
      <c r="E9" s="42">
        <v>1038.9526082953178</v>
      </c>
      <c r="F9" s="41">
        <v>1013.9164139917243</v>
      </c>
      <c r="G9" s="42">
        <v>1074.910377697928</v>
      </c>
      <c r="H9" s="41">
        <v>1012.9078642075734</v>
      </c>
      <c r="I9" s="42">
        <v>1114.001908950971</v>
      </c>
      <c r="J9" s="41">
        <v>1011.8913865654361</v>
      </c>
      <c r="K9" s="42">
        <v>1156.6483915547653</v>
      </c>
      <c r="L9" s="41">
        <v>1010.8671395084635</v>
      </c>
      <c r="M9" s="42">
        <v>1203.3505946688688</v>
      </c>
      <c r="N9" s="41">
        <v>1009.8361324407917</v>
      </c>
      <c r="O9" s="42">
        <v>1254.7082904731633</v>
      </c>
      <c r="P9" s="41">
        <v>1008.8006403854442</v>
      </c>
      <c r="Q9" s="42">
        <v>1311.4448559544714</v>
      </c>
      <c r="R9" s="41">
        <v>1007.7647732956623</v>
      </c>
      <c r="S9" s="42">
        <v>1374.4389483013831</v>
      </c>
      <c r="T9" s="41">
        <v>1006.7352502079752</v>
      </c>
      <c r="U9" s="42">
        <v>1444.7635743983124</v>
      </c>
      <c r="V9" s="41">
        <v>1005.7224012612638</v>
      </c>
      <c r="W9" s="42">
        <v>1523.7348966403226</v>
      </c>
      <c r="X9" s="41">
        <v>1004.741441747733</v>
      </c>
      <c r="Y9" s="42">
        <v>1612.9649240293866</v>
      </c>
      <c r="Z9" s="41">
        <v>1003.8138845210425</v>
      </c>
      <c r="AA9" s="42">
        <v>1714.4150442930868</v>
      </c>
      <c r="AB9" s="41">
        <v>1002.9688042156567</v>
      </c>
      <c r="AC9" s="42">
        <v>1830.4265317759232</v>
      </c>
      <c r="AD9" s="41">
        <v>1002.243197962037</v>
      </c>
      <c r="AE9" s="42">
        <v>1963.6873758489367</v>
      </c>
      <c r="AF9" s="41">
        <v>1001.6800554437629</v>
      </c>
      <c r="AG9" s="42">
        <v>2117.0634550589243</v>
      </c>
      <c r="AH9" s="41">
        <v>1001.3223961548289</v>
      </c>
      <c r="AI9" s="42">
        <v>2293.2009139214215</v>
      </c>
      <c r="AJ9" s="41">
        <v>1001.2023440483529</v>
      </c>
      <c r="AK9" s="42">
        <v>2493.8612286079406</v>
      </c>
      <c r="AL9" s="41">
        <v>1001.3280204751757</v>
      </c>
      <c r="AM9" s="42">
        <v>2719.1197214577287</v>
      </c>
      <c r="AN9" s="41">
        <v>1001.6755647937075</v>
      </c>
      <c r="AO9" s="42">
        <v>2966.8118667478625</v>
      </c>
      <c r="AP9" s="41">
        <v>1001.7674941788749</v>
      </c>
      <c r="AQ9" s="42">
        <v>3018.6945717154558</v>
      </c>
      <c r="AR9" s="41">
        <v>1001.8657665957963</v>
      </c>
      <c r="AS9" s="42">
        <v>3071.2644247500243</v>
      </c>
      <c r="AT9" s="41">
        <v>1001.9698595270139</v>
      </c>
      <c r="AU9" s="42">
        <v>3124.4768963397341</v>
      </c>
      <c r="AV9" s="41">
        <v>1002.079242997041</v>
      </c>
      <c r="AW9" s="42">
        <v>3178.2860172268411</v>
      </c>
    </row>
    <row r="10" spans="1:49" x14ac:dyDescent="0.2">
      <c r="A10" t="s">
        <v>15</v>
      </c>
      <c r="B10" s="41">
        <v>1015.9116825427475</v>
      </c>
      <c r="C10" s="42">
        <v>1005.7716594496609</v>
      </c>
      <c r="D10" s="41">
        <v>1014.9174384147941</v>
      </c>
      <c r="E10" s="42">
        <v>1038.9526082953178</v>
      </c>
      <c r="F10" s="41">
        <v>1013.9164139917243</v>
      </c>
      <c r="G10" s="42">
        <v>1074.910377697928</v>
      </c>
      <c r="H10" s="41">
        <v>1012.9078642075734</v>
      </c>
      <c r="I10" s="42">
        <v>1114.001908950971</v>
      </c>
      <c r="J10" s="41">
        <v>1011.8913865654361</v>
      </c>
      <c r="K10" s="42">
        <v>1156.6483915547653</v>
      </c>
      <c r="L10" s="41">
        <v>1010.8671395084635</v>
      </c>
      <c r="M10" s="42">
        <v>1203.3505946688688</v>
      </c>
      <c r="N10" s="41">
        <v>1009.8361324407917</v>
      </c>
      <c r="O10" s="42">
        <v>1254.7082904731633</v>
      </c>
      <c r="P10" s="41">
        <v>1008.8006403854442</v>
      </c>
      <c r="Q10" s="42">
        <v>1311.4448559544714</v>
      </c>
      <c r="R10" s="41">
        <v>1007.7647732956623</v>
      </c>
      <c r="S10" s="42">
        <v>1374.4389483013831</v>
      </c>
      <c r="T10" s="41">
        <v>1006.7352502079752</v>
      </c>
      <c r="U10" s="42">
        <v>1444.7635743983124</v>
      </c>
      <c r="V10" s="41">
        <v>1005.7224012612638</v>
      </c>
      <c r="W10" s="42">
        <v>1523.7348966403226</v>
      </c>
      <c r="X10" s="41">
        <v>1004.741441747733</v>
      </c>
      <c r="Y10" s="42">
        <v>1612.9649240293866</v>
      </c>
      <c r="Z10" s="41">
        <v>1003.8138845210425</v>
      </c>
      <c r="AA10" s="42">
        <v>1714.4150442930868</v>
      </c>
      <c r="AB10" s="41">
        <v>1002.9688042156567</v>
      </c>
      <c r="AC10" s="42">
        <v>1830.4265317759232</v>
      </c>
      <c r="AD10" s="41">
        <v>1002.243197962037</v>
      </c>
      <c r="AE10" s="42">
        <v>1963.6873758489367</v>
      </c>
      <c r="AF10" s="41">
        <v>1001.6800554437629</v>
      </c>
      <c r="AG10" s="42">
        <v>2117.0634550589243</v>
      </c>
      <c r="AH10" s="41">
        <v>1001.3223961548289</v>
      </c>
      <c r="AI10" s="42">
        <v>2293.2009139214215</v>
      </c>
      <c r="AJ10" s="41">
        <v>1001.2023440483529</v>
      </c>
      <c r="AK10" s="42">
        <v>2493.8612286079406</v>
      </c>
      <c r="AL10" s="41">
        <v>1001.3280204751757</v>
      </c>
      <c r="AM10" s="42">
        <v>2719.1197214577287</v>
      </c>
      <c r="AN10" s="41">
        <v>1001.6755647937075</v>
      </c>
      <c r="AO10" s="42">
        <v>2966.8118667478625</v>
      </c>
      <c r="AP10" s="41">
        <v>1001.7674941788749</v>
      </c>
      <c r="AQ10" s="42">
        <v>3018.6945717154558</v>
      </c>
      <c r="AR10" s="41">
        <v>1001.8657665957963</v>
      </c>
      <c r="AS10" s="42">
        <v>3071.2644247500243</v>
      </c>
      <c r="AT10" s="41">
        <v>1001.9698595270139</v>
      </c>
      <c r="AU10" s="42">
        <v>3124.4768963397341</v>
      </c>
      <c r="AV10" s="41">
        <v>1002.079242997041</v>
      </c>
      <c r="AW10" s="42">
        <v>3178.2860172268411</v>
      </c>
    </row>
    <row r="11" spans="1:49" x14ac:dyDescent="0.2">
      <c r="A11" t="s">
        <v>29</v>
      </c>
      <c r="B11" s="41">
        <v>1015.9116825427475</v>
      </c>
      <c r="C11" s="42">
        <v>1005.7716594496609</v>
      </c>
      <c r="D11" s="41">
        <v>1014.9174384147941</v>
      </c>
      <c r="E11" s="42">
        <v>1038.9526082953178</v>
      </c>
      <c r="F11" s="41">
        <v>1013.9164139917243</v>
      </c>
      <c r="G11" s="42">
        <v>1074.910377697928</v>
      </c>
      <c r="H11" s="41">
        <v>1012.9078642075734</v>
      </c>
      <c r="I11" s="42">
        <v>1114.001908950971</v>
      </c>
      <c r="J11" s="41">
        <v>1011.8913865654361</v>
      </c>
      <c r="K11" s="42">
        <v>1156.6483915547653</v>
      </c>
      <c r="L11" s="41">
        <v>1010.8671395084635</v>
      </c>
      <c r="M11" s="42">
        <v>1203.3505946688688</v>
      </c>
      <c r="N11" s="41">
        <v>1009.8361324407917</v>
      </c>
      <c r="O11" s="42">
        <v>1254.7082904731633</v>
      </c>
      <c r="P11" s="41">
        <v>1008.8006403854442</v>
      </c>
      <c r="Q11" s="42">
        <v>1311.4448559544714</v>
      </c>
      <c r="R11" s="41">
        <v>1007.7647732956623</v>
      </c>
      <c r="S11" s="42">
        <v>1374.4389483013831</v>
      </c>
      <c r="T11" s="41">
        <v>1006.7352502079752</v>
      </c>
      <c r="U11" s="42">
        <v>1444.7635743983124</v>
      </c>
      <c r="V11" s="41">
        <v>1005.7224012612638</v>
      </c>
      <c r="W11" s="42">
        <v>1523.7348966403226</v>
      </c>
      <c r="X11" s="41">
        <v>1004.741441747733</v>
      </c>
      <c r="Y11" s="42">
        <v>1612.9649240293866</v>
      </c>
      <c r="Z11" s="41">
        <v>1003.8138845210425</v>
      </c>
      <c r="AA11" s="42">
        <v>1714.4150442930868</v>
      </c>
      <c r="AB11" s="41">
        <v>1002.9688042156567</v>
      </c>
      <c r="AC11" s="42">
        <v>1830.4265317759232</v>
      </c>
      <c r="AD11" s="41">
        <v>1002.243197962037</v>
      </c>
      <c r="AE11" s="42">
        <v>1963.6873758489367</v>
      </c>
      <c r="AF11" s="41">
        <v>1001.6800554437629</v>
      </c>
      <c r="AG11" s="42">
        <v>2117.0634550589243</v>
      </c>
      <c r="AH11" s="41">
        <v>1001.3223961548289</v>
      </c>
      <c r="AI11" s="42">
        <v>2293.2009139214215</v>
      </c>
      <c r="AJ11" s="41">
        <v>1001.2023440483529</v>
      </c>
      <c r="AK11" s="42">
        <v>2493.8612286079406</v>
      </c>
      <c r="AL11" s="41">
        <v>1001.3280204751757</v>
      </c>
      <c r="AM11" s="42">
        <v>2719.1197214577287</v>
      </c>
      <c r="AN11" s="41">
        <v>1001.6755647937075</v>
      </c>
      <c r="AO11" s="42">
        <v>2966.8118667478625</v>
      </c>
      <c r="AP11" s="41">
        <v>1001.7674941788749</v>
      </c>
      <c r="AQ11" s="42">
        <v>3018.6945717154558</v>
      </c>
      <c r="AR11" s="41">
        <v>1001.8657665957963</v>
      </c>
      <c r="AS11" s="42">
        <v>3071.2644247500243</v>
      </c>
      <c r="AT11" s="41">
        <v>1001.9698595270139</v>
      </c>
      <c r="AU11" s="42">
        <v>3124.4768963397341</v>
      </c>
      <c r="AV11" s="41">
        <v>1002.079242997041</v>
      </c>
      <c r="AW11" s="42">
        <v>3178.2860172268411</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997.92738855753998</v>
      </c>
      <c r="E13" s="98">
        <v>997.92738855753998</v>
      </c>
      <c r="F13" s="97">
        <v>995.81206447370096</v>
      </c>
      <c r="G13" s="98">
        <v>995.81206447370096</v>
      </c>
      <c r="H13" s="97">
        <v>993.65358753854082</v>
      </c>
      <c r="I13" s="98">
        <v>993.65358753854082</v>
      </c>
      <c r="J13" s="97">
        <v>991.45213291176628</v>
      </c>
      <c r="K13" s="98">
        <v>991.45213291176628</v>
      </c>
      <c r="L13" s="97">
        <v>989.20881262982755</v>
      </c>
      <c r="M13" s="98">
        <v>989.20881262982755</v>
      </c>
      <c r="N13" s="97">
        <v>986.92604658730659</v>
      </c>
      <c r="O13" s="98">
        <v>986.92604658730659</v>
      </c>
      <c r="P13" s="97">
        <v>984.60813446252041</v>
      </c>
      <c r="Q13" s="98">
        <v>984.60813446252041</v>
      </c>
      <c r="R13" s="97">
        <v>982.26203853450306</v>
      </c>
      <c r="S13" s="98">
        <v>982.26203853450306</v>
      </c>
      <c r="T13" s="97">
        <v>979.89848257504616</v>
      </c>
      <c r="U13" s="98">
        <v>979.89848257504616</v>
      </c>
      <c r="V13" s="97">
        <v>977.53340527628427</v>
      </c>
      <c r="W13" s="98">
        <v>977.53340527628427</v>
      </c>
      <c r="X13" s="97">
        <v>975.18999609901516</v>
      </c>
      <c r="Y13" s="98">
        <v>975.18999609901516</v>
      </c>
      <c r="Z13" s="97">
        <v>972.90114530058611</v>
      </c>
      <c r="AA13" s="98">
        <v>972.90114530058611</v>
      </c>
      <c r="AB13" s="97">
        <v>970.71223549927606</v>
      </c>
      <c r="AC13" s="98">
        <v>970.71223549927606</v>
      </c>
      <c r="AD13" s="97">
        <v>968.68347012552033</v>
      </c>
      <c r="AE13" s="98">
        <v>968.68347012552033</v>
      </c>
      <c r="AF13" s="97">
        <v>966.88999661277478</v>
      </c>
      <c r="AG13" s="98">
        <v>966.88999661277478</v>
      </c>
      <c r="AH13" s="97">
        <v>965.41708290081249</v>
      </c>
      <c r="AI13" s="98">
        <v>965.41708290081249</v>
      </c>
      <c r="AJ13" s="97">
        <v>964.34730316285129</v>
      </c>
      <c r="AK13" s="98">
        <v>964.34730316285129</v>
      </c>
      <c r="AL13" s="97">
        <v>963.74057799710556</v>
      </c>
      <c r="AM13" s="98">
        <v>963.74057799710556</v>
      </c>
      <c r="AN13" s="97">
        <v>963.61470495060883</v>
      </c>
      <c r="AO13" s="98">
        <v>963.61470495060883</v>
      </c>
      <c r="AP13" s="97">
        <v>963.64526909329254</v>
      </c>
      <c r="AQ13" s="98">
        <v>963.64526909329254</v>
      </c>
      <c r="AR13" s="97">
        <v>963.69346659333985</v>
      </c>
      <c r="AS13" s="98">
        <v>963.69346659333985</v>
      </c>
      <c r="AT13" s="97">
        <v>963.75876565309966</v>
      </c>
      <c r="AU13" s="98">
        <v>963.75876565309966</v>
      </c>
      <c r="AV13" s="97">
        <v>963.84058410117041</v>
      </c>
      <c r="AW13" s="98">
        <v>963.84058410117041</v>
      </c>
    </row>
    <row r="14" spans="1:49" x14ac:dyDescent="0.2">
      <c r="A14" t="s">
        <v>36</v>
      </c>
      <c r="B14" s="41">
        <v>1457.0034251455234</v>
      </c>
      <c r="C14" s="42">
        <v>1457.0034251455236</v>
      </c>
      <c r="D14" s="41">
        <v>1453.9836231748632</v>
      </c>
      <c r="E14" s="42">
        <v>1453.9836231748634</v>
      </c>
      <c r="F14" s="41">
        <v>1450.9015887394169</v>
      </c>
      <c r="G14" s="42">
        <v>1450.9015887394171</v>
      </c>
      <c r="H14" s="41">
        <v>1447.756680451791</v>
      </c>
      <c r="I14" s="42">
        <v>1447.7566804517912</v>
      </c>
      <c r="J14" s="41">
        <v>1444.549153520278</v>
      </c>
      <c r="K14" s="42">
        <v>1444.5491535202782</v>
      </c>
      <c r="L14" s="41">
        <v>1441.280628185795</v>
      </c>
      <c r="M14" s="42">
        <v>1441.2806281857952</v>
      </c>
      <c r="N14" s="41">
        <v>1437.954630243036</v>
      </c>
      <c r="O14" s="42">
        <v>1437.9546302430363</v>
      </c>
      <c r="P14" s="41">
        <v>1434.5774243380363</v>
      </c>
      <c r="Q14" s="42">
        <v>1434.5774243380365</v>
      </c>
      <c r="R14" s="41">
        <v>1431.1591545351948</v>
      </c>
      <c r="S14" s="42">
        <v>1431.1591545351951</v>
      </c>
      <c r="T14" s="41">
        <v>1427.7154454067431</v>
      </c>
      <c r="U14" s="42">
        <v>1427.7154454067434</v>
      </c>
      <c r="V14" s="41">
        <v>1424.2695196817131</v>
      </c>
      <c r="W14" s="42">
        <v>1424.2695196817133</v>
      </c>
      <c r="X14" s="41">
        <v>1420.8551644839147</v>
      </c>
      <c r="Y14" s="42">
        <v>1420.8551644839149</v>
      </c>
      <c r="Z14" s="41">
        <v>1417.5203010309565</v>
      </c>
      <c r="AA14" s="42">
        <v>1417.5203010309565</v>
      </c>
      <c r="AB14" s="41">
        <v>1414.331051953113</v>
      </c>
      <c r="AC14" s="42">
        <v>1414.3310519531133</v>
      </c>
      <c r="AD14" s="41">
        <v>1411.3751338547343</v>
      </c>
      <c r="AE14" s="42">
        <v>1411.3751338547345</v>
      </c>
      <c r="AF14" s="41">
        <v>1408.7620368037562</v>
      </c>
      <c r="AG14" s="42">
        <v>1408.7620368037565</v>
      </c>
      <c r="AH14" s="41">
        <v>1406.6159964804833</v>
      </c>
      <c r="AI14" s="42">
        <v>1406.6159964804835</v>
      </c>
      <c r="AJ14" s="41">
        <v>1405.0573237381227</v>
      </c>
      <c r="AK14" s="42">
        <v>1405.0573237381229</v>
      </c>
      <c r="AL14" s="41">
        <v>1404.1733230935092</v>
      </c>
      <c r="AM14" s="42">
        <v>1404.1733230935095</v>
      </c>
      <c r="AN14" s="41">
        <v>1403.9899256336298</v>
      </c>
      <c r="AO14" s="42">
        <v>1403.98992563363</v>
      </c>
      <c r="AP14" s="41">
        <v>1404.0344576942066</v>
      </c>
      <c r="AQ14" s="42">
        <v>1404.0344576942068</v>
      </c>
      <c r="AR14" s="41">
        <v>1404.1046816168591</v>
      </c>
      <c r="AS14" s="42">
        <v>1404.1046816168594</v>
      </c>
      <c r="AT14" s="41">
        <v>1404.1998225705879</v>
      </c>
      <c r="AU14" s="42">
        <v>1404.1998225705881</v>
      </c>
      <c r="AV14" s="41">
        <v>1404.3190323296672</v>
      </c>
      <c r="AW14" s="42">
        <v>1404.3190323296674</v>
      </c>
    </row>
    <row r="15" spans="1:49" x14ac:dyDescent="0.2">
      <c r="A15" t="s">
        <v>18</v>
      </c>
      <c r="B15" s="154">
        <v>1000</v>
      </c>
      <c r="C15" s="155">
        <v>1000</v>
      </c>
      <c r="D15" s="154">
        <v>997.35518087445746</v>
      </c>
      <c r="E15" s="155">
        <v>997.35518087445746</v>
      </c>
      <c r="F15" s="154">
        <v>994.61398742427048</v>
      </c>
      <c r="G15" s="155">
        <v>994.61398742427048</v>
      </c>
      <c r="H15" s="154">
        <v>991.76463650913752</v>
      </c>
      <c r="I15" s="155">
        <v>991.76463650913752</v>
      </c>
      <c r="J15" s="154">
        <v>988.79392010189054</v>
      </c>
      <c r="K15" s="155">
        <v>988.79392010189054</v>
      </c>
      <c r="L15" s="154">
        <v>985.68698615298524</v>
      </c>
      <c r="M15" s="155">
        <v>985.68698615298524</v>
      </c>
      <c r="N15" s="154">
        <v>982.42717350119972</v>
      </c>
      <c r="O15" s="155">
        <v>982.42717350119972</v>
      </c>
      <c r="P15" s="154">
        <v>978.99582901131794</v>
      </c>
      <c r="Q15" s="155">
        <v>978.99582901131794</v>
      </c>
      <c r="R15" s="154">
        <v>975.37213499902805</v>
      </c>
      <c r="S15" s="155">
        <v>975.37213499902805</v>
      </c>
      <c r="T15" s="154">
        <v>971.53303839343664</v>
      </c>
      <c r="U15" s="155">
        <v>971.53303839343664</v>
      </c>
      <c r="V15" s="154">
        <v>967.45328869065656</v>
      </c>
      <c r="W15" s="155">
        <v>967.45328869065656</v>
      </c>
      <c r="X15" s="154">
        <v>963.10587647771388</v>
      </c>
      <c r="Y15" s="155">
        <v>963.10587647771388</v>
      </c>
      <c r="Z15" s="154">
        <v>958.46299678339824</v>
      </c>
      <c r="AA15" s="155">
        <v>958.46299678339824</v>
      </c>
      <c r="AB15" s="154">
        <v>953.49808546846634</v>
      </c>
      <c r="AC15" s="155">
        <v>953.49808546846634</v>
      </c>
      <c r="AD15" s="154">
        <v>948.18950865299519</v>
      </c>
      <c r="AE15" s="155">
        <v>948.18950865299519</v>
      </c>
      <c r="AF15" s="154">
        <v>942.52648677428374</v>
      </c>
      <c r="AG15" s="155">
        <v>942.52648677428374</v>
      </c>
      <c r="AH15" s="154">
        <v>936.51741089546397</v>
      </c>
      <c r="AI15" s="155">
        <v>936.51741089546397</v>
      </c>
      <c r="AJ15" s="154">
        <v>930.19869249567409</v>
      </c>
      <c r="AK15" s="155">
        <v>930.19869249567409</v>
      </c>
      <c r="AL15" s="154">
        <v>923.64022480341475</v>
      </c>
      <c r="AM15" s="155">
        <v>923.64022480341475</v>
      </c>
      <c r="AN15" s="154">
        <v>916.94217862055325</v>
      </c>
      <c r="AO15" s="155">
        <v>916.94217862055325</v>
      </c>
      <c r="AP15" s="154">
        <v>915.59602569696892</v>
      </c>
      <c r="AQ15" s="155">
        <v>915.59602569696892</v>
      </c>
      <c r="AR15" s="154">
        <v>914.24993732592566</v>
      </c>
      <c r="AS15" s="155">
        <v>914.24993732592566</v>
      </c>
      <c r="AT15" s="154">
        <v>912.9048633793974</v>
      </c>
      <c r="AU15" s="155">
        <v>912.9048633793974</v>
      </c>
      <c r="AV15" s="154">
        <v>911.5617379453181</v>
      </c>
      <c r="AW15" s="155">
        <v>911.5617379453181</v>
      </c>
    </row>
    <row r="16" spans="1:49" s="29" customFormat="1" x14ac:dyDescent="0.2">
      <c r="A16" t="s">
        <v>61</v>
      </c>
      <c r="B16" s="41">
        <v>1000</v>
      </c>
      <c r="C16" s="42">
        <v>1000</v>
      </c>
      <c r="D16" s="41">
        <v>997.66023318153191</v>
      </c>
      <c r="E16" s="42">
        <v>997.51849375314771</v>
      </c>
      <c r="F16" s="41">
        <v>995.25264353523653</v>
      </c>
      <c r="G16" s="42">
        <v>994.95590559758193</v>
      </c>
      <c r="H16" s="41">
        <v>992.7714765754414</v>
      </c>
      <c r="I16" s="42">
        <v>992.30368220466221</v>
      </c>
      <c r="J16" s="41">
        <v>990.21063342537309</v>
      </c>
      <c r="K16" s="42">
        <v>989.55242472234681</v>
      </c>
      <c r="L16" s="41">
        <v>987.56373661304474</v>
      </c>
      <c r="M16" s="42">
        <v>986.69182258296519</v>
      </c>
      <c r="N16" s="41">
        <v>984.82424682758381</v>
      </c>
      <c r="O16" s="42">
        <v>983.71063980572092</v>
      </c>
      <c r="P16" s="41">
        <v>981.98567647802463</v>
      </c>
      <c r="Q16" s="42">
        <v>980.59674510212767</v>
      </c>
      <c r="R16" s="41">
        <v>979.0419176871136</v>
      </c>
      <c r="S16" s="42">
        <v>977.33720838818397</v>
      </c>
      <c r="T16" s="41">
        <v>975.98778251591762</v>
      </c>
      <c r="U16" s="42">
        <v>973.91855865304296</v>
      </c>
      <c r="V16" s="41">
        <v>972.81977703543032</v>
      </c>
      <c r="W16" s="42">
        <v>970.32721831217418</v>
      </c>
      <c r="X16" s="41">
        <v>969.53736483944385</v>
      </c>
      <c r="Y16" s="42">
        <v>966.55038672222543</v>
      </c>
      <c r="Z16" s="41">
        <v>966.14468507070012</v>
      </c>
      <c r="AA16" s="42">
        <v>962.5774122786122</v>
      </c>
      <c r="AB16" s="41">
        <v>962.65293993927833</v>
      </c>
      <c r="AC16" s="42">
        <v>958.40202320795129</v>
      </c>
      <c r="AD16" s="41">
        <v>959.08329485268177</v>
      </c>
      <c r="AE16" s="42">
        <v>954.0256023645868</v>
      </c>
      <c r="AF16" s="41">
        <v>955.46964611290662</v>
      </c>
      <c r="AG16" s="42">
        <v>949.46142937225557</v>
      </c>
      <c r="AH16" s="41">
        <v>951.85990169391243</v>
      </c>
      <c r="AI16" s="42">
        <v>944.73923409110785</v>
      </c>
      <c r="AJ16" s="41">
        <v>948.31334559282743</v>
      </c>
      <c r="AK16" s="42">
        <v>939.90788931923669</v>
      </c>
      <c r="AL16" s="41">
        <v>944.89276722529701</v>
      </c>
      <c r="AM16" s="42">
        <v>935.03370698493541</v>
      </c>
      <c r="AN16" s="41">
        <v>941.65295540636646</v>
      </c>
      <c r="AO16" s="42">
        <v>930.19274324729952</v>
      </c>
      <c r="AP16" s="41">
        <v>941.03032020302976</v>
      </c>
      <c r="AQ16" s="42">
        <v>929.23523496453686</v>
      </c>
      <c r="AR16" s="41">
        <v>940.41666355061886</v>
      </c>
      <c r="AS16" s="42">
        <v>928.28261962087379</v>
      </c>
      <c r="AT16" s="41">
        <v>939.81214503828801</v>
      </c>
      <c r="AU16" s="42">
        <v>927.33542402601665</v>
      </c>
      <c r="AV16" s="41">
        <v>939.21689154329351</v>
      </c>
      <c r="AW16" s="42">
        <v>926.39414995349648</v>
      </c>
    </row>
    <row r="17" spans="1:49" x14ac:dyDescent="0.2">
      <c r="A17" t="s">
        <v>62</v>
      </c>
      <c r="B17" s="35">
        <v>999.99999999998658</v>
      </c>
      <c r="C17" s="36">
        <v>1000.0000000000002</v>
      </c>
      <c r="D17" s="35">
        <v>999.11062894111512</v>
      </c>
      <c r="E17" s="36">
        <v>1016.317434543579</v>
      </c>
      <c r="F17" s="35">
        <v>998.21634889557015</v>
      </c>
      <c r="G17" s="36">
        <v>1033.8918894034466</v>
      </c>
      <c r="H17" s="35">
        <v>997.31652304842385</v>
      </c>
      <c r="I17" s="36">
        <v>1052.8735705127503</v>
      </c>
      <c r="J17" s="35">
        <v>996.41082432865494</v>
      </c>
      <c r="K17" s="36">
        <v>1073.4386618032088</v>
      </c>
      <c r="L17" s="35">
        <v>995.49942591941283</v>
      </c>
      <c r="M17" s="36">
        <v>1095.7953842983418</v>
      </c>
      <c r="N17" s="35">
        <v>994.58325686771911</v>
      </c>
      <c r="O17" s="36">
        <v>1120.1916062467537</v>
      </c>
      <c r="P17" s="35">
        <v>993.66436409877883</v>
      </c>
      <c r="Q17" s="36">
        <v>1146.92436076124</v>
      </c>
      <c r="R17" s="35">
        <v>992.74640865351671</v>
      </c>
      <c r="S17" s="36">
        <v>1176.3519796324565</v>
      </c>
      <c r="T17" s="35">
        <v>991.83533768503389</v>
      </c>
      <c r="U17" s="36">
        <v>1208.9087255657498</v>
      </c>
      <c r="V17" s="35">
        <v>990.94025680247762</v>
      </c>
      <c r="W17" s="36">
        <v>1245.1227008066862</v>
      </c>
      <c r="X17" s="35">
        <v>990.07452797956523</v>
      </c>
      <c r="Y17" s="36">
        <v>1285.6339417461679</v>
      </c>
      <c r="Z17" s="35">
        <v>989.25699168994743</v>
      </c>
      <c r="AA17" s="36">
        <v>1331.2110895374944</v>
      </c>
      <c r="AB17" s="35">
        <v>988.51305206982079</v>
      </c>
      <c r="AC17" s="36">
        <v>1382.7558259769603</v>
      </c>
      <c r="AD17" s="35">
        <v>987.87497800634355</v>
      </c>
      <c r="AE17" s="36">
        <v>1441.2779448535052</v>
      </c>
      <c r="AF17" s="35">
        <v>987.38020696594526</v>
      </c>
      <c r="AG17" s="36">
        <v>1507.8122979099255</v>
      </c>
      <c r="AH17" s="35">
        <v>987.06617225301818</v>
      </c>
      <c r="AI17" s="36">
        <v>1583.2436187153967</v>
      </c>
      <c r="AJ17" s="35">
        <v>986.96079792328044</v>
      </c>
      <c r="AK17" s="36">
        <v>1668.0333243119142</v>
      </c>
      <c r="AL17" s="35">
        <v>987.07110958670694</v>
      </c>
      <c r="AM17" s="36">
        <v>1761.9150544315389</v>
      </c>
      <c r="AN17" s="35">
        <v>987.37626331102888</v>
      </c>
      <c r="AO17" s="36">
        <v>1863.7215164752467</v>
      </c>
      <c r="AP17" s="35">
        <v>987.45700448054799</v>
      </c>
      <c r="AQ17" s="36">
        <v>1884.8718134673352</v>
      </c>
      <c r="AR17" s="35">
        <v>987.54332804561329</v>
      </c>
      <c r="AS17" s="36">
        <v>1906.2436433827054</v>
      </c>
      <c r="AT17" s="35">
        <v>987.63477720882133</v>
      </c>
      <c r="AU17" s="36">
        <v>1927.8179784976448</v>
      </c>
      <c r="AV17" s="35">
        <v>987.73088847209522</v>
      </c>
      <c r="AW17" s="36">
        <v>1949.5754284583429</v>
      </c>
    </row>
    <row r="18" spans="1:49" x14ac:dyDescent="0.2">
      <c r="A18" t="s">
        <v>19</v>
      </c>
      <c r="B18" s="33">
        <v>27857.010133999996</v>
      </c>
      <c r="C18" s="34">
        <v>1236.7674480000003</v>
      </c>
      <c r="D18" s="33">
        <v>27641.425765460208</v>
      </c>
      <c r="E18" s="34">
        <v>1150.7296486322159</v>
      </c>
      <c r="F18" s="33">
        <v>27400.836534296468</v>
      </c>
      <c r="G18" s="34">
        <v>1065.2637824005608</v>
      </c>
      <c r="H18" s="33">
        <v>27131.304882354576</v>
      </c>
      <c r="I18" s="34">
        <v>980.46211824970169</v>
      </c>
      <c r="J18" s="33">
        <v>26828.040643732085</v>
      </c>
      <c r="K18" s="34">
        <v>896.44007465083712</v>
      </c>
      <c r="L18" s="33">
        <v>26485.130408727891</v>
      </c>
      <c r="M18" s="34">
        <v>813.34888543928389</v>
      </c>
      <c r="N18" s="33">
        <v>26095.217764428256</v>
      </c>
      <c r="O18" s="34">
        <v>731.38332161304425</v>
      </c>
      <c r="P18" s="33">
        <v>25649.051964761318</v>
      </c>
      <c r="Q18" s="34">
        <v>650.7937266353191</v>
      </c>
      <c r="R18" s="33">
        <v>25134.862153608381</v>
      </c>
      <c r="S18" s="34">
        <v>571.90355482361372</v>
      </c>
      <c r="T18" s="33">
        <v>24537.51145099492</v>
      </c>
      <c r="U18" s="34">
        <v>495.12704603157601</v>
      </c>
      <c r="V18" s="33">
        <v>23837.315393115638</v>
      </c>
      <c r="W18" s="34">
        <v>420.99531138462106</v>
      </c>
      <c r="X18" s="33">
        <v>23008.460552548931</v>
      </c>
      <c r="Y18" s="34">
        <v>350.17479698236656</v>
      </c>
      <c r="Z18" s="33">
        <v>22016.886447481105</v>
      </c>
      <c r="AA18" s="34">
        <v>283.48858351097726</v>
      </c>
      <c r="AB18" s="33">
        <v>20817.64106421683</v>
      </c>
      <c r="AC18" s="34">
        <v>221.91658390990054</v>
      </c>
      <c r="AD18" s="33">
        <v>19351.934101665298</v>
      </c>
      <c r="AE18" s="34">
        <v>166.55748655237821</v>
      </c>
      <c r="AF18" s="33">
        <v>17544.675065831296</v>
      </c>
      <c r="AG18" s="34">
        <v>118.52104625230469</v>
      </c>
      <c r="AH18" s="33">
        <v>15304.178975883195</v>
      </c>
      <c r="AI18" s="34">
        <v>78.72461292801411</v>
      </c>
      <c r="AJ18" s="33">
        <v>12526.497631439481</v>
      </c>
      <c r="AK18" s="34">
        <v>47.61303700888071</v>
      </c>
      <c r="AL18" s="33">
        <v>9106.1565342682115</v>
      </c>
      <c r="AM18" s="34">
        <v>24.9079326683873</v>
      </c>
      <c r="AN18" s="33">
        <v>4951.6889790133209</v>
      </c>
      <c r="AO18" s="34">
        <v>9.5607440991972084</v>
      </c>
      <c r="AP18" s="33">
        <v>4026.5386079224986</v>
      </c>
      <c r="AQ18" s="34">
        <v>7.2405657062305844</v>
      </c>
      <c r="AR18" s="33">
        <v>3069.0448810333073</v>
      </c>
      <c r="AS18" s="34">
        <v>5.1382379936722282</v>
      </c>
      <c r="AT18" s="33">
        <v>2078.928041037379</v>
      </c>
      <c r="AU18" s="34">
        <v>3.239853297430189</v>
      </c>
      <c r="AV18" s="33">
        <v>1055.9672470883547</v>
      </c>
      <c r="AW18" s="34">
        <v>1.5316245873420571</v>
      </c>
    </row>
    <row r="19" spans="1:49" x14ac:dyDescent="0.2">
      <c r="A19" t="s">
        <v>3</v>
      </c>
      <c r="B19" s="41">
        <v>1886.3937399999966</v>
      </c>
      <c r="C19" s="42">
        <v>262.78711299999782</v>
      </c>
      <c r="D19" s="41">
        <v>1866.9482947460695</v>
      </c>
      <c r="E19" s="42">
        <v>268.69100024996544</v>
      </c>
      <c r="F19" s="41">
        <v>1845.8651616162826</v>
      </c>
      <c r="G19" s="42">
        <v>274.79970137150787</v>
      </c>
      <c r="H19" s="41">
        <v>1822.8902962504244</v>
      </c>
      <c r="I19" s="42">
        <v>281.05984718179354</v>
      </c>
      <c r="J19" s="41">
        <v>1797.7172719774821</v>
      </c>
      <c r="K19" s="42">
        <v>287.39265803568702</v>
      </c>
      <c r="L19" s="41">
        <v>1769.9709615539007</v>
      </c>
      <c r="M19" s="42">
        <v>293.6847112110604</v>
      </c>
      <c r="N19" s="41">
        <v>1739.1884523172853</v>
      </c>
      <c r="O19" s="42">
        <v>299.77590052864974</v>
      </c>
      <c r="P19" s="41">
        <v>1704.7919400583837</v>
      </c>
      <c r="Q19" s="42">
        <v>305.44312930488968</v>
      </c>
      <c r="R19" s="41">
        <v>1666.0508719815957</v>
      </c>
      <c r="S19" s="42">
        <v>310.37884710601753</v>
      </c>
      <c r="T19" s="41">
        <v>1622.0304541410007</v>
      </c>
      <c r="U19" s="42">
        <v>314.16314523475472</v>
      </c>
      <c r="V19" s="41">
        <v>1571.5187236206366</v>
      </c>
      <c r="W19" s="42">
        <v>316.22900474727294</v>
      </c>
      <c r="X19" s="41">
        <v>1512.9276605875664</v>
      </c>
      <c r="Y19" s="42">
        <v>315.82059067548289</v>
      </c>
      <c r="Z19" s="41">
        <v>1444.1576841650412</v>
      </c>
      <c r="AA19" s="42">
        <v>311.95049343427877</v>
      </c>
      <c r="AB19" s="41">
        <v>1362.4232841624687</v>
      </c>
      <c r="AC19" s="42">
        <v>303.36763917597551</v>
      </c>
      <c r="AD19" s="41">
        <v>1264.0487341729588</v>
      </c>
      <c r="AE19" s="42">
        <v>288.56347931097542</v>
      </c>
      <c r="AF19" s="41">
        <v>1144.2771269526684</v>
      </c>
      <c r="AG19" s="42">
        <v>265.86226717692836</v>
      </c>
      <c r="AH19" s="41">
        <v>997.19591035832457</v>
      </c>
      <c r="AI19" s="42">
        <v>233.64836784871045</v>
      </c>
      <c r="AJ19" s="41">
        <v>815.94447632683864</v>
      </c>
      <c r="AK19" s="42">
        <v>190.74495231187313</v>
      </c>
      <c r="AL19" s="41">
        <v>593.35157463246333</v>
      </c>
      <c r="AM19" s="42">
        <v>136.83647568435836</v>
      </c>
      <c r="AN19" s="41">
        <v>322.94906497374086</v>
      </c>
      <c r="AO19" s="42">
        <v>72.693839503903902</v>
      </c>
      <c r="AP19" s="41">
        <v>262.67532398011213</v>
      </c>
      <c r="AQ19" s="42">
        <v>58.774364868085897</v>
      </c>
      <c r="AR19" s="41">
        <v>200.26484972163183</v>
      </c>
      <c r="AS19" s="42">
        <v>44.528094212762625</v>
      </c>
      <c r="AT19" s="41">
        <v>135.6943489019454</v>
      </c>
      <c r="AU19" s="42">
        <v>29.972061823265147</v>
      </c>
      <c r="AV19" s="41">
        <v>68.944508823065178</v>
      </c>
      <c r="AW19" s="42">
        <v>15.123568746555526</v>
      </c>
    </row>
    <row r="20" spans="1:49" x14ac:dyDescent="0.2">
      <c r="A20" t="s">
        <v>127</v>
      </c>
      <c r="B20" s="82">
        <v>26548.356269999993</v>
      </c>
      <c r="C20" s="83">
        <v>1408.5418709999938</v>
      </c>
      <c r="D20" s="82">
        <v>26326.192988711024</v>
      </c>
      <c r="E20" s="83">
        <v>1338.1147774499941</v>
      </c>
      <c r="F20" s="82">
        <v>26080.316963711837</v>
      </c>
      <c r="G20" s="83">
        <v>1267.6876838999945</v>
      </c>
      <c r="H20" s="82">
        <v>25807.019307992396</v>
      </c>
      <c r="I20" s="83">
        <v>1197.2605903499946</v>
      </c>
      <c r="J20" s="82">
        <v>25501.797476431508</v>
      </c>
      <c r="K20" s="83">
        <v>1126.8334967999949</v>
      </c>
      <c r="L20" s="82">
        <v>25159.104722282089</v>
      </c>
      <c r="M20" s="83">
        <v>1056.4064032499953</v>
      </c>
      <c r="N20" s="82">
        <v>24772.054738613431</v>
      </c>
      <c r="O20" s="83">
        <v>985.97930969999561</v>
      </c>
      <c r="P20" s="82">
        <v>24332.00430254162</v>
      </c>
      <c r="Q20" s="83">
        <v>915.55221614999607</v>
      </c>
      <c r="R20" s="82">
        <v>23827.973645817019</v>
      </c>
      <c r="S20" s="83">
        <v>845.12512259999642</v>
      </c>
      <c r="T20" s="82">
        <v>23245.861865634135</v>
      </c>
      <c r="U20" s="83">
        <v>774.69802904999653</v>
      </c>
      <c r="V20" s="82">
        <v>22567.347278942598</v>
      </c>
      <c r="W20" s="83">
        <v>704.27093549999688</v>
      </c>
      <c r="X20" s="82">
        <v>21768.411146415776</v>
      </c>
      <c r="Y20" s="83">
        <v>633.84384194999723</v>
      </c>
      <c r="Z20" s="82">
        <v>20817.348760728244</v>
      </c>
      <c r="AA20" s="83">
        <v>563.41674839999746</v>
      </c>
      <c r="AB20" s="82">
        <v>19672.266833665286</v>
      </c>
      <c r="AC20" s="83">
        <v>492.98965484999781</v>
      </c>
      <c r="AD20" s="82">
        <v>18278.257143658091</v>
      </c>
      <c r="AE20" s="83">
        <v>422.56256129999809</v>
      </c>
      <c r="AF20" s="82">
        <v>16564.958926713323</v>
      </c>
      <c r="AG20" s="83">
        <v>352.13546774999827</v>
      </c>
      <c r="AH20" s="82">
        <v>14446.073776086618</v>
      </c>
      <c r="AI20" s="83">
        <v>281.70837419999856</v>
      </c>
      <c r="AJ20" s="82">
        <v>11823.17426841248</v>
      </c>
      <c r="AK20" s="83">
        <v>211.28128064999879</v>
      </c>
      <c r="AL20" s="82">
        <v>8595.607184661465</v>
      </c>
      <c r="AM20" s="83">
        <v>140.85418709999902</v>
      </c>
      <c r="AN20" s="82">
        <v>4675.1663885871085</v>
      </c>
      <c r="AO20" s="83">
        <v>70.427093549999285</v>
      </c>
      <c r="AP20" s="82">
        <v>3801.9167718624794</v>
      </c>
      <c r="AQ20" s="83">
        <v>56.341674839999335</v>
      </c>
      <c r="AR20" s="82">
        <v>2898.0298496306559</v>
      </c>
      <c r="AS20" s="83">
        <v>42.256256129999379</v>
      </c>
      <c r="AT20" s="82">
        <v>1963.223056728041</v>
      </c>
      <c r="AU20" s="83">
        <v>28.170837419999433</v>
      </c>
      <c r="AV20" s="82">
        <v>997.26998688227548</v>
      </c>
      <c r="AW20" s="83">
        <v>14.08541870999948</v>
      </c>
    </row>
    <row r="21" spans="1:49" x14ac:dyDescent="0.2">
      <c r="A21" t="s">
        <v>76</v>
      </c>
      <c r="B21" s="82">
        <v>24661.96252999999</v>
      </c>
      <c r="C21" s="83">
        <v>1145.7547579999916</v>
      </c>
      <c r="D21" s="82">
        <v>24459.246622675033</v>
      </c>
      <c r="E21" s="83">
        <v>1069.532790799843</v>
      </c>
      <c r="F21" s="82">
        <v>24234.459497091404</v>
      </c>
      <c r="G21" s="83">
        <v>993.34175536281873</v>
      </c>
      <c r="H21" s="82">
        <v>23984.146269246183</v>
      </c>
      <c r="I21" s="83">
        <v>917.26291206138524</v>
      </c>
      <c r="J21" s="82">
        <v>23704.110752234075</v>
      </c>
      <c r="K21" s="83">
        <v>841.40410654400648</v>
      </c>
      <c r="L21" s="82">
        <v>23389.181210229144</v>
      </c>
      <c r="M21" s="83">
        <v>765.90778970534075</v>
      </c>
      <c r="N21" s="82">
        <v>23032.934054511355</v>
      </c>
      <c r="O21" s="83">
        <v>690.9610075431932</v>
      </c>
      <c r="P21" s="82">
        <v>22627.303550379154</v>
      </c>
      <c r="Q21" s="83">
        <v>616.80836029045361</v>
      </c>
      <c r="R21" s="82">
        <v>22162.039984107258</v>
      </c>
      <c r="S21" s="83">
        <v>543.76818570469106</v>
      </c>
      <c r="T21" s="82">
        <v>21623.976484358591</v>
      </c>
      <c r="U21" s="83">
        <v>472.25234537131996</v>
      </c>
      <c r="V21" s="82">
        <v>20996.002199576767</v>
      </c>
      <c r="W21" s="83">
        <v>402.78888979909499</v>
      </c>
      <c r="X21" s="82">
        <v>20255.684786213489</v>
      </c>
      <c r="Y21" s="83">
        <v>336.04628415337345</v>
      </c>
      <c r="Z21" s="82">
        <v>19373.416880173376</v>
      </c>
      <c r="AA21" s="83">
        <v>272.85250552582028</v>
      </c>
      <c r="AB21" s="82">
        <v>18310.087785091593</v>
      </c>
      <c r="AC21" s="83">
        <v>214.19801810205396</v>
      </c>
      <c r="AD21" s="82">
        <v>17014.461495601296</v>
      </c>
      <c r="AE21" s="83">
        <v>161.2006815691596</v>
      </c>
      <c r="AF21" s="82">
        <v>15420.930451944927</v>
      </c>
      <c r="AG21" s="83">
        <v>115.00171830170294</v>
      </c>
      <c r="AH21" s="82">
        <v>13449.105748100377</v>
      </c>
      <c r="AI21" s="83">
        <v>76.566570366430085</v>
      </c>
      <c r="AJ21" s="82">
        <v>11007.419381104519</v>
      </c>
      <c r="AK21" s="83">
        <v>46.405720339284706</v>
      </c>
      <c r="AL21" s="82">
        <v>8002.3910985645507</v>
      </c>
      <c r="AM21" s="83">
        <v>24.32108866597909</v>
      </c>
      <c r="AN21" s="82">
        <v>4352.2875455849507</v>
      </c>
      <c r="AO21" s="83">
        <v>9.3500549166596727</v>
      </c>
      <c r="AP21" s="82">
        <v>3539.2978183285122</v>
      </c>
      <c r="AQ21" s="83">
        <v>7.0829721222082345</v>
      </c>
      <c r="AR21" s="82">
        <v>2697.8073735505909</v>
      </c>
      <c r="AS21" s="83">
        <v>5.0277464618443473</v>
      </c>
      <c r="AT21" s="82">
        <v>1827.556989270118</v>
      </c>
      <c r="AU21" s="83">
        <v>3.1709976087233605</v>
      </c>
      <c r="AV21" s="82">
        <v>928.33961980787717</v>
      </c>
      <c r="AW21" s="83">
        <v>1.4994398202071995</v>
      </c>
    </row>
    <row r="22" spans="1:49" x14ac:dyDescent="0.2">
      <c r="A22" t="s">
        <v>28</v>
      </c>
      <c r="B22" s="41">
        <v>6533.6044688320717</v>
      </c>
      <c r="C22" s="42">
        <v>379.90788307663411</v>
      </c>
      <c r="D22" s="41">
        <v>6467.6065068185635</v>
      </c>
      <c r="E22" s="42">
        <v>368.60065677707598</v>
      </c>
      <c r="F22" s="41">
        <v>6395.7551511637894</v>
      </c>
      <c r="G22" s="42">
        <v>356.92855792212163</v>
      </c>
      <c r="H22" s="41">
        <v>6317.1561094131284</v>
      </c>
      <c r="I22" s="42">
        <v>344.86057130764874</v>
      </c>
      <c r="J22" s="41">
        <v>6230.7267633312094</v>
      </c>
      <c r="K22" s="42">
        <v>332.3607729350955</v>
      </c>
      <c r="L22" s="41">
        <v>6135.1361739576569</v>
      </c>
      <c r="M22" s="42">
        <v>319.38673680475949</v>
      </c>
      <c r="N22" s="41">
        <v>6028.7360383427149</v>
      </c>
      <c r="O22" s="42">
        <v>305.88817008435592</v>
      </c>
      <c r="P22" s="41">
        <v>5909.4630652872884</v>
      </c>
      <c r="Q22" s="42">
        <v>291.80500799650162</v>
      </c>
      <c r="R22" s="41">
        <v>5774.7033407402168</v>
      </c>
      <c r="S22" s="42">
        <v>277.0648547229631</v>
      </c>
      <c r="T22" s="41">
        <v>5621.1105770645554</v>
      </c>
      <c r="U22" s="42">
        <v>261.58013107017109</v>
      </c>
      <c r="V22" s="41">
        <v>5444.3516125597616</v>
      </c>
      <c r="W22" s="42">
        <v>245.24429905681387</v>
      </c>
      <c r="X22" s="41">
        <v>5238.7699655641918</v>
      </c>
      <c r="Y22" s="42">
        <v>227.9284271943794</v>
      </c>
      <c r="Z22" s="41">
        <v>4996.9357225086651</v>
      </c>
      <c r="AA22" s="42">
        <v>209.47761946410554</v>
      </c>
      <c r="AB22" s="41">
        <v>4709.0902381077121</v>
      </c>
      <c r="AC22" s="42">
        <v>189.70973428449392</v>
      </c>
      <c r="AD22" s="41">
        <v>4362.5381637837099</v>
      </c>
      <c r="AE22" s="42">
        <v>168.41905650000689</v>
      </c>
      <c r="AF22" s="41">
        <v>3941.1628377138504</v>
      </c>
      <c r="AG22" s="42">
        <v>145.38948527914954</v>
      </c>
      <c r="AH22" s="41">
        <v>3425.4328379570329</v>
      </c>
      <c r="AI22" s="42">
        <v>120.42206779221003</v>
      </c>
      <c r="AJ22" s="41">
        <v>2793.4204868644811</v>
      </c>
      <c r="AK22" s="42">
        <v>93.376499221075733</v>
      </c>
      <c r="AL22" s="41">
        <v>2023.1865841923416</v>
      </c>
      <c r="AM22" s="42">
        <v>64.214970816175224</v>
      </c>
      <c r="AN22" s="41">
        <v>1096.1327066019228</v>
      </c>
      <c r="AO22" s="42">
        <v>33.024550037914501</v>
      </c>
      <c r="AP22" s="41">
        <v>890.69131078381679</v>
      </c>
      <c r="AQ22" s="42">
        <v>26.558735986342921</v>
      </c>
      <c r="AR22" s="41">
        <v>678.39997732965787</v>
      </c>
      <c r="AS22" s="42">
        <v>20.021322016801015</v>
      </c>
      <c r="AT22" s="41">
        <v>459.20976589506694</v>
      </c>
      <c r="AU22" s="42">
        <v>13.41433193729673</v>
      </c>
      <c r="AV22" s="41">
        <v>233.08438396829231</v>
      </c>
      <c r="AW22" s="42">
        <v>6.7398489056056317</v>
      </c>
    </row>
    <row r="23" spans="1:49" x14ac:dyDescent="0.2">
      <c r="A23" t="s">
        <v>7</v>
      </c>
      <c r="B23" s="116">
        <v>3278.5018080150408</v>
      </c>
      <c r="C23" s="8">
        <v>0</v>
      </c>
      <c r="D23" s="116">
        <v>3255.2457762990575</v>
      </c>
      <c r="E23" s="8">
        <v>0</v>
      </c>
      <c r="F23" s="116">
        <v>3229.0552106054774</v>
      </c>
      <c r="G23" s="8">
        <v>0</v>
      </c>
      <c r="H23" s="116">
        <v>3199.4630506676031</v>
      </c>
      <c r="I23" s="8">
        <v>0</v>
      </c>
      <c r="J23" s="116">
        <v>3165.9016968963524</v>
      </c>
      <c r="K23" s="8">
        <v>0</v>
      </c>
      <c r="L23" s="116">
        <v>3127.670726636883</v>
      </c>
      <c r="M23" s="8">
        <v>0</v>
      </c>
      <c r="N23" s="116">
        <v>3083.8993154922082</v>
      </c>
      <c r="O23" s="8">
        <v>0</v>
      </c>
      <c r="P23" s="116">
        <v>3033.492907008469</v>
      </c>
      <c r="Q23" s="8">
        <v>0</v>
      </c>
      <c r="R23" s="116">
        <v>2975.0587866569022</v>
      </c>
      <c r="S23" s="8">
        <v>0</v>
      </c>
      <c r="T23" s="116">
        <v>2906.8053864612875</v>
      </c>
      <c r="U23" s="8">
        <v>0</v>
      </c>
      <c r="V23" s="116">
        <v>2826.4001990976367</v>
      </c>
      <c r="W23" s="8">
        <v>0</v>
      </c>
      <c r="X23" s="116">
        <v>2730.7790691501118</v>
      </c>
      <c r="Y23" s="8">
        <v>0</v>
      </c>
      <c r="Z23" s="116">
        <v>2615.8870967468019</v>
      </c>
      <c r="AA23" s="8">
        <v>0</v>
      </c>
      <c r="AB23" s="116">
        <v>2476.350481974845</v>
      </c>
      <c r="AC23" s="8">
        <v>0</v>
      </c>
      <c r="AD23" s="116">
        <v>2305.1010331532302</v>
      </c>
      <c r="AE23" s="8">
        <v>0</v>
      </c>
      <c r="AF23" s="116">
        <v>2093.0423934564924</v>
      </c>
      <c r="AG23" s="8">
        <v>0</v>
      </c>
      <c r="AH23" s="116">
        <v>1828.9582517237166</v>
      </c>
      <c r="AI23" s="8">
        <v>0</v>
      </c>
      <c r="AJ23" s="116">
        <v>1499.9692376440255</v>
      </c>
      <c r="AK23" s="8">
        <v>0</v>
      </c>
      <c r="AL23" s="116">
        <v>1092.7867103164094</v>
      </c>
      <c r="AM23" s="8">
        <v>0</v>
      </c>
      <c r="AN23" s="116">
        <v>595.61529228030588</v>
      </c>
      <c r="AO23" s="8">
        <v>0</v>
      </c>
      <c r="AP23" s="116">
        <v>484.56448483253223</v>
      </c>
      <c r="AQ23" s="8">
        <v>0</v>
      </c>
      <c r="AR23" s="116">
        <v>369.51415876613208</v>
      </c>
      <c r="AS23" s="8">
        <v>0</v>
      </c>
      <c r="AT23" s="116">
        <v>250.42404628464055</v>
      </c>
      <c r="AU23" s="8">
        <v>0</v>
      </c>
      <c r="AV23" s="116">
        <v>127.26120672496168</v>
      </c>
      <c r="AW23" s="8">
        <v>0</v>
      </c>
    </row>
    <row r="24" spans="1:49" x14ac:dyDescent="0.2">
      <c r="A24" t="s">
        <v>8</v>
      </c>
      <c r="B24" s="97">
        <v>3196.3846373657216</v>
      </c>
      <c r="C24" s="8">
        <v>0</v>
      </c>
      <c r="D24" s="97">
        <v>3189.4811075287989</v>
      </c>
      <c r="E24" s="8">
        <v>0</v>
      </c>
      <c r="F24" s="97">
        <v>3179.528649977759</v>
      </c>
      <c r="G24" s="8">
        <v>0</v>
      </c>
      <c r="H24" s="97">
        <v>3166.0293105983937</v>
      </c>
      <c r="I24" s="8">
        <v>0</v>
      </c>
      <c r="J24" s="97">
        <v>3148.3772547105582</v>
      </c>
      <c r="K24" s="8">
        <v>0</v>
      </c>
      <c r="L24" s="97">
        <v>3125.8238859451581</v>
      </c>
      <c r="M24" s="8">
        <v>0</v>
      </c>
      <c r="N24" s="97">
        <v>3097.4374233428475</v>
      </c>
      <c r="O24" s="8">
        <v>0</v>
      </c>
      <c r="P24" s="97">
        <v>3062.0451578774268</v>
      </c>
      <c r="Q24" s="8">
        <v>0</v>
      </c>
      <c r="R24" s="97">
        <v>3018.1525575340124</v>
      </c>
      <c r="S24" s="8">
        <v>0</v>
      </c>
      <c r="T24" s="97">
        <v>2963.8331980707999</v>
      </c>
      <c r="U24" s="8">
        <v>0</v>
      </c>
      <c r="V24" s="97">
        <v>2896.572157722776</v>
      </c>
      <c r="W24" s="8">
        <v>0</v>
      </c>
      <c r="X24" s="97">
        <v>2813.0535098712407</v>
      </c>
      <c r="Y24" s="8">
        <v>0</v>
      </c>
      <c r="Z24" s="97">
        <v>2708.8674692541181</v>
      </c>
      <c r="AA24" s="8">
        <v>0</v>
      </c>
      <c r="AB24" s="97">
        <v>2578.1313307758887</v>
      </c>
      <c r="AC24" s="8">
        <v>0</v>
      </c>
      <c r="AD24" s="97">
        <v>2413.0402526940811</v>
      </c>
      <c r="AE24" s="8">
        <v>0</v>
      </c>
      <c r="AF24" s="97">
        <v>2203.4364969325302</v>
      </c>
      <c r="AG24" s="8">
        <v>0</v>
      </c>
      <c r="AH24" s="97">
        <v>1936.612421826356</v>
      </c>
      <c r="AI24" s="8">
        <v>0</v>
      </c>
      <c r="AJ24" s="97">
        <v>1597.7026870638374</v>
      </c>
      <c r="AK24" s="8">
        <v>0</v>
      </c>
      <c r="AL24" s="97">
        <v>1170.9929069459517</v>
      </c>
      <c r="AM24" s="8">
        <v>0</v>
      </c>
      <c r="AN24" s="97">
        <v>642.06008498737651</v>
      </c>
      <c r="AO24" s="8">
        <v>0</v>
      </c>
      <c r="AP24" s="97">
        <v>522.96567145215352</v>
      </c>
      <c r="AQ24" s="8">
        <v>0</v>
      </c>
      <c r="AR24" s="97">
        <v>399.26504454533517</v>
      </c>
      <c r="AS24" s="8">
        <v>0</v>
      </c>
      <c r="AT24" s="97">
        <v>270.90139719479697</v>
      </c>
      <c r="AU24" s="8">
        <v>0</v>
      </c>
      <c r="AV24" s="97">
        <v>137.82635035924079</v>
      </c>
      <c r="AW24" s="8">
        <v>0</v>
      </c>
    </row>
    <row r="25" spans="1:49" x14ac:dyDescent="0.2">
      <c r="A25" t="s">
        <v>0</v>
      </c>
      <c r="B25" s="41">
        <v>3195.0476040000012</v>
      </c>
      <c r="C25" s="42">
        <v>91.012690000004255</v>
      </c>
      <c r="D25" s="41">
        <v>3182.1729008815387</v>
      </c>
      <c r="E25" s="42">
        <v>81.176674020166644</v>
      </c>
      <c r="F25" s="41">
        <v>3166.3520013697894</v>
      </c>
      <c r="G25" s="42">
        <v>71.846648790075506</v>
      </c>
      <c r="H25" s="41">
        <v>3147.1022361887854</v>
      </c>
      <c r="I25" s="42">
        <v>63.038831759878455</v>
      </c>
      <c r="J25" s="41">
        <v>3123.829676141127</v>
      </c>
      <c r="K25" s="42">
        <v>54.769120203498879</v>
      </c>
      <c r="L25" s="41">
        <v>3095.7928925559904</v>
      </c>
      <c r="M25" s="42">
        <v>47.053341266542134</v>
      </c>
      <c r="N25" s="41">
        <v>3062.0595444170863</v>
      </c>
      <c r="O25" s="42">
        <v>39.90692974135694</v>
      </c>
      <c r="P25" s="41">
        <v>3021.4455195049159</v>
      </c>
      <c r="Q25" s="42">
        <v>33.344681042956474</v>
      </c>
      <c r="R25" s="41">
        <v>2972.4312016808772</v>
      </c>
      <c r="S25" s="42">
        <v>27.380491945756322</v>
      </c>
      <c r="T25" s="41">
        <v>2913.049059235927</v>
      </c>
      <c r="U25" s="42">
        <v>22.026720130293704</v>
      </c>
      <c r="V25" s="41">
        <v>2840.7291970860651</v>
      </c>
      <c r="W25" s="42">
        <v>17.293462567247985</v>
      </c>
      <c r="X25" s="41">
        <v>2752.0960665302891</v>
      </c>
      <c r="Y25" s="42">
        <v>13.186975757936152</v>
      </c>
      <c r="Z25" s="41">
        <v>2642.7042689475188</v>
      </c>
      <c r="AA25" s="42">
        <v>9.7076885956365704</v>
      </c>
      <c r="AB25" s="41">
        <v>2506.7226811132473</v>
      </c>
      <c r="AC25" s="42">
        <v>6.8470746087925427</v>
      </c>
      <c r="AD25" s="41">
        <v>2336.6093732430245</v>
      </c>
      <c r="AE25" s="42">
        <v>4.5834847137982919</v>
      </c>
      <c r="AF25" s="41">
        <v>2122.8945753343296</v>
      </c>
      <c r="AG25" s="42">
        <v>2.8773617793964759</v>
      </c>
      <c r="AH25" s="41">
        <v>1854.2930614328332</v>
      </c>
      <c r="AI25" s="42">
        <v>1.6674150989414973</v>
      </c>
      <c r="AJ25" s="41">
        <v>1518.4288686600526</v>
      </c>
      <c r="AK25" s="42">
        <v>0.87075673497427541</v>
      </c>
      <c r="AL25" s="41">
        <v>1103.3015931614059</v>
      </c>
      <c r="AM25" s="42">
        <v>0.39006784547500223</v>
      </c>
      <c r="AN25" s="41">
        <v>599.16136850366752</v>
      </c>
      <c r="AO25" s="42">
        <v>0.12756716298158438</v>
      </c>
      <c r="AP25" s="41">
        <v>487.04814954448494</v>
      </c>
      <c r="AQ25" s="42">
        <v>9.3539688460569162E-2</v>
      </c>
      <c r="AR25" s="41">
        <v>371.09275833309948</v>
      </c>
      <c r="AS25" s="42">
        <v>6.4270162034842995E-2</v>
      </c>
      <c r="AT25" s="41">
        <v>251.27448304449217</v>
      </c>
      <c r="AU25" s="42">
        <v>3.9237539464789445E-2</v>
      </c>
      <c r="AV25" s="41">
        <v>127.57935998913382</v>
      </c>
      <c r="AW25" s="42">
        <v>1.7961106984664469E-2</v>
      </c>
    </row>
    <row r="26" spans="1:49" x14ac:dyDescent="0.2">
      <c r="A26" t="s">
        <v>27</v>
      </c>
      <c r="B26" s="33">
        <v>5036.2953101960647</v>
      </c>
      <c r="C26" s="34">
        <v>74.905331803938267</v>
      </c>
      <c r="D26" s="33">
        <v>5003.8233103065195</v>
      </c>
      <c r="E26" s="34">
        <v>70.063281686646505</v>
      </c>
      <c r="F26" s="33">
        <v>4966.9871839113775</v>
      </c>
      <c r="G26" s="34">
        <v>65.222748637125363</v>
      </c>
      <c r="H26" s="33">
        <v>4925.0593809660922</v>
      </c>
      <c r="I26" s="34">
        <v>60.386816650761013</v>
      </c>
      <c r="J26" s="33">
        <v>4877.1518311513901</v>
      </c>
      <c r="K26" s="34">
        <v>55.559848932494731</v>
      </c>
      <c r="L26" s="33">
        <v>4822.1648019471559</v>
      </c>
      <c r="M26" s="34">
        <v>50.74818900790418</v>
      </c>
      <c r="N26" s="33">
        <v>4758.7261515218788</v>
      </c>
      <c r="O26" s="34">
        <v>45.960719498003527</v>
      </c>
      <c r="P26" s="33">
        <v>4685.105433012227</v>
      </c>
      <c r="Q26" s="34">
        <v>41.20969306243466</v>
      </c>
      <c r="R26" s="33">
        <v>4599.0947388251434</v>
      </c>
      <c r="S26" s="34">
        <v>36.511913630613094</v>
      </c>
      <c r="T26" s="33">
        <v>4497.8470152250293</v>
      </c>
      <c r="U26" s="34">
        <v>31.890070129385247</v>
      </c>
      <c r="V26" s="33">
        <v>4377.6500987944746</v>
      </c>
      <c r="W26" s="34">
        <v>27.37461146440349</v>
      </c>
      <c r="X26" s="33">
        <v>4233.6225864319613</v>
      </c>
      <c r="Y26" s="34">
        <v>23.005475138716747</v>
      </c>
      <c r="Z26" s="33">
        <v>4059.3057848705239</v>
      </c>
      <c r="AA26" s="34">
        <v>18.834058744138215</v>
      </c>
      <c r="AB26" s="33">
        <v>3846.151458204185</v>
      </c>
      <c r="AC26" s="34">
        <v>14.924194374504927</v>
      </c>
      <c r="AD26" s="33">
        <v>3582.9471270053027</v>
      </c>
      <c r="AE26" s="34">
        <v>11.350883927820588</v>
      </c>
      <c r="AF26" s="33">
        <v>3255.3289552520832</v>
      </c>
      <c r="AG26" s="34">
        <v>8.1945435362080303</v>
      </c>
      <c r="AH26" s="33">
        <v>2845.7067988468762</v>
      </c>
      <c r="AI26" s="34">
        <v>5.5284445576649732</v>
      </c>
      <c r="AJ26" s="33">
        <v>2334.0822021850004</v>
      </c>
      <c r="AK26" s="34">
        <v>3.3996573286515681</v>
      </c>
      <c r="AL26" s="33">
        <v>1700.1155816350345</v>
      </c>
      <c r="AM26" s="34">
        <v>1.8097303193194323</v>
      </c>
      <c r="AN26" s="33">
        <v>926.14503228759474</v>
      </c>
      <c r="AO26" s="34">
        <v>0.70717799181310625</v>
      </c>
      <c r="AP26" s="33">
        <v>753.36108222302266</v>
      </c>
      <c r="AQ26" s="34">
        <v>0.53748809950192589</v>
      </c>
      <c r="AR26" s="33">
        <v>574.40251264749702</v>
      </c>
      <c r="AS26" s="34">
        <v>0.38279723101937935</v>
      </c>
      <c r="AT26" s="33">
        <v>389.21568954606892</v>
      </c>
      <c r="AU26" s="34">
        <v>0.24223424673482555</v>
      </c>
      <c r="AV26" s="33">
        <v>197.7584516281575</v>
      </c>
      <c r="AW26" s="34">
        <v>0.11492488226275531</v>
      </c>
    </row>
    <row r="27" spans="1:49" x14ac:dyDescent="0.2">
      <c r="A27" t="s">
        <v>2</v>
      </c>
      <c r="B27" s="35">
        <v>6425.1981589998131</v>
      </c>
      <c r="C27" s="36">
        <v>273.22915400000056</v>
      </c>
      <c r="D27" s="35">
        <v>6385.9683344831801</v>
      </c>
      <c r="E27" s="36">
        <v>255.61103170092341</v>
      </c>
      <c r="F27" s="35">
        <v>6341.3550559896248</v>
      </c>
      <c r="G27" s="36">
        <v>237.99635621068916</v>
      </c>
      <c r="H27" s="35">
        <v>6290.4634064889469</v>
      </c>
      <c r="I27" s="36">
        <v>220.39640609782364</v>
      </c>
      <c r="J27" s="35">
        <v>6232.1972747975478</v>
      </c>
      <c r="K27" s="36">
        <v>202.82675058963943</v>
      </c>
      <c r="L27" s="35">
        <v>6165.1941838054645</v>
      </c>
      <c r="M27" s="36">
        <v>185.31027722594754</v>
      </c>
      <c r="N27" s="35">
        <v>6087.7470520968118</v>
      </c>
      <c r="O27" s="36">
        <v>167.87898833370167</v>
      </c>
      <c r="P27" s="35">
        <v>5997.693307865924</v>
      </c>
      <c r="Q27" s="36">
        <v>150.57691963370957</v>
      </c>
      <c r="R27" s="35">
        <v>5892.2600162882563</v>
      </c>
      <c r="S27" s="36">
        <v>133.46459219511826</v>
      </c>
      <c r="T27" s="35">
        <v>5767.8522318999621</v>
      </c>
      <c r="U27" s="36">
        <v>116.62367831181287</v>
      </c>
      <c r="V27" s="35">
        <v>5619.7545234068539</v>
      </c>
      <c r="W27" s="36">
        <v>100.16426377683199</v>
      </c>
      <c r="X27" s="35">
        <v>5441.7251193854199</v>
      </c>
      <c r="Y27" s="36">
        <v>84.230663953379761</v>
      </c>
      <c r="Z27" s="35">
        <v>5225.4431125460005</v>
      </c>
      <c r="AA27" s="36">
        <v>69.009101024488288</v>
      </c>
      <c r="AB27" s="35">
        <v>4959.7995846843378</v>
      </c>
      <c r="AC27" s="36">
        <v>54.731382469918017</v>
      </c>
      <c r="AD27" s="35">
        <v>4630.0724375147856</v>
      </c>
      <c r="AE27" s="36">
        <v>41.670616580424934</v>
      </c>
      <c r="AF27" s="35">
        <v>4217.1623646428061</v>
      </c>
      <c r="AG27" s="36">
        <v>30.120631330520919</v>
      </c>
      <c r="AH27" s="35">
        <v>3697.3023284709575</v>
      </c>
      <c r="AI27" s="36">
        <v>20.350586615937676</v>
      </c>
      <c r="AJ27" s="35">
        <v>3042.8891611371851</v>
      </c>
      <c r="AK27" s="36">
        <v>12.535643299417666</v>
      </c>
      <c r="AL27" s="35">
        <v>2224.9905478912583</v>
      </c>
      <c r="AM27" s="36">
        <v>6.6859848054975153</v>
      </c>
      <c r="AN27" s="35">
        <v>1217.2820589635262</v>
      </c>
      <c r="AO27" s="36">
        <v>2.6182522112052231</v>
      </c>
      <c r="AP27" s="35">
        <v>991.07494574023031</v>
      </c>
      <c r="AQ27" s="36">
        <v>1.9908895285850245</v>
      </c>
      <c r="AR27" s="35">
        <v>756.33823282505807</v>
      </c>
      <c r="AS27" s="36">
        <v>1.4185520438545365</v>
      </c>
      <c r="AT27" s="35">
        <v>512.96929312003044</v>
      </c>
      <c r="AU27" s="36">
        <v>0.89807509555188314</v>
      </c>
      <c r="AV27" s="35">
        <v>260.88064910271538</v>
      </c>
      <c r="AW27" s="36">
        <v>0.42627918811759852</v>
      </c>
    </row>
    <row r="28" spans="1:49" x14ac:dyDescent="0.2">
      <c r="A28" t="s">
        <v>35</v>
      </c>
      <c r="B28" s="41">
        <v>13763.097675999827</v>
      </c>
      <c r="C28" s="42">
        <v>382.36647900000054</v>
      </c>
      <c r="D28" s="41">
        <v>13676.555700467481</v>
      </c>
      <c r="E28" s="42">
        <v>357.69346948705942</v>
      </c>
      <c r="F28" s="41">
        <v>13578.270926235033</v>
      </c>
      <c r="G28" s="42">
        <v>333.02610959471275</v>
      </c>
      <c r="H28" s="41">
        <v>13466.28815282355</v>
      </c>
      <c r="I28" s="42">
        <v>308.3801705863392</v>
      </c>
      <c r="J28" s="41">
        <v>13338.217018956255</v>
      </c>
      <c r="K28" s="42">
        <v>283.77757816920109</v>
      </c>
      <c r="L28" s="41">
        <v>13191.092287073736</v>
      </c>
      <c r="M28" s="42">
        <v>259.25046153200151</v>
      </c>
      <c r="N28" s="41">
        <v>13021.207057306017</v>
      </c>
      <c r="O28" s="42">
        <v>234.84376407263971</v>
      </c>
      <c r="P28" s="41">
        <v>12823.876680239508</v>
      </c>
      <c r="Q28" s="42">
        <v>210.61937297831514</v>
      </c>
      <c r="R28" s="41">
        <v>12593.110210325611</v>
      </c>
      <c r="S28" s="42">
        <v>186.66229230976188</v>
      </c>
      <c r="T28" s="41">
        <v>12321.163106736567</v>
      </c>
      <c r="U28" s="42">
        <v>163.08725283700903</v>
      </c>
      <c r="V28" s="41">
        <v>11997.909452877888</v>
      </c>
      <c r="W28" s="42">
        <v>140.04870579472515</v>
      </c>
      <c r="X28" s="41">
        <v>11609.992936081188</v>
      </c>
      <c r="Y28" s="42">
        <v>117.74915944256514</v>
      </c>
      <c r="Z28" s="41">
        <v>11139.679583839703</v>
      </c>
      <c r="AA28" s="42">
        <v>96.449728831865798</v>
      </c>
      <c r="AB28" s="41">
        <v>10563.402888269587</v>
      </c>
      <c r="AC28" s="42">
        <v>76.475234979175696</v>
      </c>
      <c r="AD28" s="41">
        <v>9850.1023227757523</v>
      </c>
      <c r="AE28" s="42">
        <v>58.208078112182392</v>
      </c>
      <c r="AF28" s="41">
        <v>8959.7520046744412</v>
      </c>
      <c r="AG28" s="42">
        <v>42.059270060640053</v>
      </c>
      <c r="AH28" s="41">
        <v>7842.9658558146239</v>
      </c>
      <c r="AI28" s="42">
        <v>28.404745214213396</v>
      </c>
      <c r="AJ28" s="41">
        <v>6443.0294478876185</v>
      </c>
      <c r="AK28" s="42">
        <v>17.488258819102672</v>
      </c>
      <c r="AL28" s="41">
        <v>4701.4305430588392</v>
      </c>
      <c r="AM28" s="42">
        <v>9.3222516793239105</v>
      </c>
      <c r="AN28" s="41">
        <v>2566.2060998961178</v>
      </c>
      <c r="AO28" s="42">
        <v>3.6483370650781319</v>
      </c>
      <c r="AP28" s="41">
        <v>2088.3165588023526</v>
      </c>
      <c r="AQ28" s="42">
        <v>2.7737888699138256</v>
      </c>
      <c r="AR28" s="41">
        <v>1592.9146060027883</v>
      </c>
      <c r="AS28" s="42">
        <v>1.9761207013882489</v>
      </c>
      <c r="AT28" s="41">
        <v>1079.8208663438331</v>
      </c>
      <c r="AU28" s="42">
        <v>1.2508984113413442</v>
      </c>
      <c r="AV28" s="41">
        <v>548.88788730233557</v>
      </c>
      <c r="AW28" s="42">
        <v>0.59366846935289785</v>
      </c>
    </row>
    <row r="29" spans="1:49" x14ac:dyDescent="0.2">
      <c r="A29" t="s">
        <v>53</v>
      </c>
      <c r="B29" s="35">
        <v>14362.768558000018</v>
      </c>
      <c r="C29" s="36">
        <v>817.26651000000095</v>
      </c>
      <c r="D29" s="35">
        <v>14251.529692763506</v>
      </c>
      <c r="E29" s="36">
        <v>757.42684276671321</v>
      </c>
      <c r="F29" s="35">
        <v>14127.398249094786</v>
      </c>
      <c r="G29" s="36">
        <v>698.27505498689766</v>
      </c>
      <c r="H29" s="35">
        <v>13988.344291547617</v>
      </c>
      <c r="I29" s="36">
        <v>639.88882336444794</v>
      </c>
      <c r="J29" s="35">
        <v>13831.898392205474</v>
      </c>
      <c r="K29" s="36">
        <v>582.36163403460353</v>
      </c>
      <c r="L29" s="35">
        <v>13655.012137907226</v>
      </c>
      <c r="M29" s="36">
        <v>525.81074913625446</v>
      </c>
      <c r="N29" s="35">
        <v>13453.893320503759</v>
      </c>
      <c r="O29" s="36">
        <v>470.38173620892769</v>
      </c>
      <c r="P29" s="35">
        <v>13223.773312934443</v>
      </c>
      <c r="Q29" s="36">
        <v>416.25555415626997</v>
      </c>
      <c r="R29" s="35">
        <v>12958.584527038116</v>
      </c>
      <c r="S29" s="36">
        <v>363.65876414256616</v>
      </c>
      <c r="T29" s="35">
        <v>12650.524402401259</v>
      </c>
      <c r="U29" s="36">
        <v>312.87327832200873</v>
      </c>
      <c r="V29" s="35">
        <v>12289.446367308925</v>
      </c>
      <c r="W29" s="36">
        <v>264.25062427973393</v>
      </c>
      <c r="X29" s="35">
        <v>11862.044690778403</v>
      </c>
      <c r="Y29" s="36">
        <v>218.22037164878964</v>
      </c>
      <c r="Z29" s="35">
        <v>11350.762600240711</v>
      </c>
      <c r="AA29" s="36">
        <v>175.29893256467992</v>
      </c>
      <c r="AB29" s="35">
        <v>10732.428927900424</v>
      </c>
      <c r="AC29" s="36">
        <v>136.0836105427941</v>
      </c>
      <c r="AD29" s="35">
        <v>9976.738680413242</v>
      </c>
      <c r="AE29" s="36">
        <v>101.22162273123523</v>
      </c>
      <c r="AF29" s="35">
        <v>9044.9831407214624</v>
      </c>
      <c r="AG29" s="36">
        <v>71.336310653253889</v>
      </c>
      <c r="AH29" s="35">
        <v>7889.8968559895266</v>
      </c>
      <c r="AI29" s="36">
        <v>46.898277447505713</v>
      </c>
      <c r="AJ29" s="35">
        <v>6457.8888475630811</v>
      </c>
      <c r="AK29" s="36">
        <v>28.058906957157497</v>
      </c>
      <c r="AL29" s="35">
        <v>4694.5764879782037</v>
      </c>
      <c r="AM29" s="36">
        <v>14.515294942946737</v>
      </c>
      <c r="AN29" s="35">
        <v>2552.7940351429756</v>
      </c>
      <c r="AO29" s="36">
        <v>5.5090258503391905</v>
      </c>
      <c r="AP29" s="35">
        <v>2075.8433566305903</v>
      </c>
      <c r="AQ29" s="36">
        <v>4.1627393327508857</v>
      </c>
      <c r="AR29" s="35">
        <v>1582.2177890438984</v>
      </c>
      <c r="AS29" s="36">
        <v>2.9474623343079949</v>
      </c>
      <c r="AT29" s="35">
        <v>1071.7729981111067</v>
      </c>
      <c r="AU29" s="36">
        <v>1.8543484422017174</v>
      </c>
      <c r="AV29" s="35">
        <v>544.39502683097498</v>
      </c>
      <c r="AW29" s="36">
        <v>0.87469320952404828</v>
      </c>
    </row>
    <row r="30" spans="1:49" x14ac:dyDescent="0.2">
      <c r="A30" t="s">
        <v>48</v>
      </c>
      <c r="B30" s="119">
        <v>2924829.9599999995</v>
      </c>
      <c r="D30" s="119">
        <v>2928237.5359195108</v>
      </c>
      <c r="F30" s="119">
        <v>2928679.3882818874</v>
      </c>
      <c r="H30" s="119">
        <v>2925674.0978725813</v>
      </c>
      <c r="J30" s="119">
        <v>2918636.7415494174</v>
      </c>
      <c r="L30" s="119">
        <v>2906846.3868086929</v>
      </c>
      <c r="N30" s="119">
        <v>2889407.464901214</v>
      </c>
      <c r="P30" s="119">
        <v>2865194.8038615119</v>
      </c>
      <c r="R30" s="119">
        <v>2832776.3867546078</v>
      </c>
      <c r="T30" s="119">
        <v>2790307.1731311269</v>
      </c>
      <c r="V30" s="119">
        <v>2735377.1247641165</v>
      </c>
      <c r="X30" s="119">
        <v>2664801.547814589</v>
      </c>
      <c r="Z30" s="119">
        <v>2574328.0522009502</v>
      </c>
      <c r="AB30" s="119">
        <v>2458247.708155321</v>
      </c>
      <c r="AD30" s="119">
        <v>2308917.3551419973</v>
      </c>
      <c r="AF30" s="119">
        <v>2116267.7513136705</v>
      </c>
      <c r="AH30" s="119">
        <v>1867503.1417310392</v>
      </c>
      <c r="AJ30" s="119">
        <v>1547357.2346649212</v>
      </c>
      <c r="AL30" s="119">
        <v>1139290.4924129511</v>
      </c>
      <c r="AN30" s="119">
        <v>627635.71932164673</v>
      </c>
      <c r="AP30" s="119">
        <v>511703.36006432661</v>
      </c>
      <c r="AR30" s="119">
        <v>391038.19287600106</v>
      </c>
      <c r="AT30" s="119">
        <v>265571.29051848064</v>
      </c>
      <c r="AV30" s="119">
        <v>135242.38979453378</v>
      </c>
    </row>
    <row r="31" spans="1:49" x14ac:dyDescent="0.2">
      <c r="A31" t="s">
        <v>47</v>
      </c>
      <c r="B31" s="80">
        <v>1</v>
      </c>
      <c r="D31" s="80">
        <v>0.98881140689527169</v>
      </c>
      <c r="F31" s="80">
        <v>0.9766871074894794</v>
      </c>
      <c r="H31" s="80">
        <v>0.96348970116720944</v>
      </c>
      <c r="J31" s="80">
        <v>0.94905359824883972</v>
      </c>
      <c r="L31" s="80">
        <v>0.93317616126788905</v>
      </c>
      <c r="N31" s="80">
        <v>0.91560762188937272</v>
      </c>
      <c r="P31" s="80">
        <v>0.89603687452765779</v>
      </c>
      <c r="R31" s="80">
        <v>0.8740718257403306</v>
      </c>
      <c r="T31" s="80">
        <v>0.84921328762188597</v>
      </c>
      <c r="V31" s="80">
        <v>0.82081863961184331</v>
      </c>
      <c r="X31" s="80">
        <v>0.78805442966101846</v>
      </c>
      <c r="Z31" s="80">
        <v>0.7498337102118855</v>
      </c>
      <c r="AB31" s="80">
        <v>0.70474042721691843</v>
      </c>
      <c r="AD31" s="80">
        <v>0.65094975524330234</v>
      </c>
      <c r="AF31" s="80">
        <v>0.58617124035034385</v>
      </c>
      <c r="AH31" s="80">
        <v>0.50766810768411263</v>
      </c>
      <c r="AJ31" s="80">
        <v>0.41242416502127127</v>
      </c>
      <c r="AL31" s="80">
        <v>0.29749960490289951</v>
      </c>
      <c r="AN31" s="80">
        <v>0.16050522953912505</v>
      </c>
      <c r="AP31" s="80">
        <v>0.13031186559214572</v>
      </c>
      <c r="AR31" s="80">
        <v>9.9168240865660298E-2</v>
      </c>
      <c r="AT31" s="80">
        <v>6.7069895099529958E-2</v>
      </c>
      <c r="AV31" s="80">
        <v>3.4014136271143122E-2</v>
      </c>
    </row>
    <row r="32" spans="1:49" x14ac:dyDescent="0.2">
      <c r="A32" t="s">
        <v>64</v>
      </c>
      <c r="B32" s="86">
        <v>14734457.915000005</v>
      </c>
      <c r="D32" s="86">
        <v>14615621.222476257</v>
      </c>
      <c r="F32" s="86">
        <v>14483729.492504202</v>
      </c>
      <c r="H32" s="86">
        <v>14336720.634206127</v>
      </c>
      <c r="J32" s="86">
        <v>14172096.647122787</v>
      </c>
      <c r="L32" s="86">
        <v>13986784.546336798</v>
      </c>
      <c r="N32" s="86">
        <v>13776975.214400811</v>
      </c>
      <c r="P32" s="86">
        <v>13537894.135810053</v>
      </c>
      <c r="R32" s="86">
        <v>13263480.576698042</v>
      </c>
      <c r="T32" s="86">
        <v>12945952.59267427</v>
      </c>
      <c r="V32" s="86">
        <v>12575190.106107863</v>
      </c>
      <c r="X32" s="86">
        <v>12137902.975718549</v>
      </c>
      <c r="Z32" s="86">
        <v>11616491.385527726</v>
      </c>
      <c r="AB32" s="86">
        <v>10987586.748076994</v>
      </c>
      <c r="AD32" s="86">
        <v>10220352.230840685</v>
      </c>
      <c r="AF32" s="86">
        <v>9274912.7319503855</v>
      </c>
      <c r="AH32" s="86">
        <v>8101781.0611422267</v>
      </c>
      <c r="AJ32" s="86">
        <v>6643653.7592985891</v>
      </c>
      <c r="AL32" s="86">
        <v>4840771.1845957739</v>
      </c>
      <c r="AN32" s="86">
        <v>2639342.1886657043</v>
      </c>
      <c r="AP32" s="86">
        <v>2147441.2750001061</v>
      </c>
      <c r="AR32" s="86">
        <v>1637734.1378219025</v>
      </c>
      <c r="AT32" s="86">
        <v>1110026.8060749255</v>
      </c>
      <c r="AV32" s="86">
        <v>564158.17263365618</v>
      </c>
    </row>
    <row r="33" spans="1:49 16319:16321" x14ac:dyDescent="0.2">
      <c r="A33" t="s">
        <v>54</v>
      </c>
      <c r="B33" s="117">
        <v>7019665.6909999941</v>
      </c>
      <c r="D33" s="117">
        <v>6947045.2423530603</v>
      </c>
      <c r="F33" s="117">
        <v>6868427.3386443323</v>
      </c>
      <c r="H33" s="117">
        <v>6782872.4374101171</v>
      </c>
      <c r="J33" s="117">
        <v>6689243.2972888667</v>
      </c>
      <c r="L33" s="117">
        <v>6586141.7743268311</v>
      </c>
      <c r="N33" s="117">
        <v>6471835.9074289333</v>
      </c>
      <c r="P33" s="117">
        <v>6344156.3012747103</v>
      </c>
      <c r="R33" s="117">
        <v>6200351.3305674745</v>
      </c>
      <c r="T33" s="117">
        <v>6036891.6084043002</v>
      </c>
      <c r="V33" s="117">
        <v>5849193.6737691993</v>
      </c>
      <c r="X33" s="117">
        <v>5631249.8464394053</v>
      </c>
      <c r="Z33" s="117">
        <v>5375125.0405653492</v>
      </c>
      <c r="AB33" s="117">
        <v>5070320.3360290099</v>
      </c>
      <c r="AD33" s="117">
        <v>4703046.5756034693</v>
      </c>
      <c r="AF33" s="117">
        <v>4255582.9758284222</v>
      </c>
      <c r="AH33" s="117">
        <v>3706114.6130879754</v>
      </c>
      <c r="AJ33" s="117">
        <v>3029647.1704319888</v>
      </c>
      <c r="AL33" s="117">
        <v>2200481.6109603439</v>
      </c>
      <c r="AN33" s="117">
        <v>1195946.9749208291</v>
      </c>
      <c r="AP33" s="117">
        <v>972438.31464439863</v>
      </c>
      <c r="AR33" s="117">
        <v>741156.48739261378</v>
      </c>
      <c r="AT33" s="117">
        <v>502027.11484522885</v>
      </c>
      <c r="AV33" s="117">
        <v>254990.19057628588</v>
      </c>
    </row>
    <row r="34" spans="1:49 16319:16321" x14ac:dyDescent="0.2">
      <c r="A34" t="s">
        <v>75</v>
      </c>
      <c r="B34" s="117">
        <v>1136879.4410000113</v>
      </c>
      <c r="D34" s="117">
        <v>1127710.2799056703</v>
      </c>
      <c r="F34" s="117">
        <v>1117533.7871720744</v>
      </c>
      <c r="H34" s="117">
        <v>1106190.9245164457</v>
      </c>
      <c r="J34" s="117">
        <v>1093488.8663314567</v>
      </c>
      <c r="L34" s="117">
        <v>1079190.5610575713</v>
      </c>
      <c r="N34" s="117">
        <v>1063002.1213125079</v>
      </c>
      <c r="P34" s="117">
        <v>1044555.1311845991</v>
      </c>
      <c r="R34" s="117">
        <v>1023381.9745390203</v>
      </c>
      <c r="T34" s="117">
        <v>998882.1799904654</v>
      </c>
      <c r="V34" s="117">
        <v>970274.93128540344</v>
      </c>
      <c r="X34" s="117">
        <v>936534.79102517595</v>
      </c>
      <c r="Z34" s="117">
        <v>896303.77994383546</v>
      </c>
      <c r="AB34" s="117">
        <v>847778.83238359564</v>
      </c>
      <c r="AD34" s="117">
        <v>788580.64447288855</v>
      </c>
      <c r="AF34" s="117">
        <v>715632.5429841294</v>
      </c>
      <c r="AH34" s="117">
        <v>625116.19832473958</v>
      </c>
      <c r="AJ34" s="117">
        <v>512610.19675631507</v>
      </c>
      <c r="AL34" s="117">
        <v>373503.61069005937</v>
      </c>
      <c r="AN34" s="117">
        <v>203646.03118900437</v>
      </c>
      <c r="AP34" s="117">
        <v>165692.00038474749</v>
      </c>
      <c r="AR34" s="117">
        <v>126364.08456073988</v>
      </c>
      <c r="AT34" s="117">
        <v>85647.309858746419</v>
      </c>
      <c r="AV34" s="117">
        <v>43529.24352649779</v>
      </c>
    </row>
    <row r="35" spans="1:49 16319:16321" x14ac:dyDescent="0.2">
      <c r="A35" t="s">
        <v>78</v>
      </c>
      <c r="B35" s="233">
        <v>1</v>
      </c>
      <c r="D35" s="233">
        <v>1.0008529873752876</v>
      </c>
      <c r="F35" s="233">
        <v>1.0018113327597249</v>
      </c>
      <c r="H35" s="233">
        <v>1.0028870590875065</v>
      </c>
      <c r="J35" s="233">
        <v>1.0040946714243517</v>
      </c>
      <c r="L35" s="233">
        <v>1.0054518629838691</v>
      </c>
      <c r="N35" s="233">
        <v>1.006980410820068</v>
      </c>
      <c r="P35" s="233">
        <v>1.0087073389205838</v>
      </c>
      <c r="R35" s="233">
        <v>1.0106664357017139</v>
      </c>
      <c r="T35" s="233">
        <v>1.0129001486237765</v>
      </c>
      <c r="V35" s="233">
        <v>1.0154619437470398</v>
      </c>
      <c r="X35" s="233">
        <v>1.0184188720901621</v>
      </c>
      <c r="Z35" s="233">
        <v>1.0218540890879269</v>
      </c>
      <c r="AB35" s="233">
        <v>1.0258681058161805</v>
      </c>
      <c r="AD35" s="233">
        <v>1.0305766275636914</v>
      </c>
      <c r="AF35" s="233">
        <v>1.0361013160359802</v>
      </c>
      <c r="AH35" s="233">
        <v>1.0425491535102342</v>
      </c>
      <c r="AJ35" s="233">
        <v>1.0499794006021472</v>
      </c>
      <c r="AL35" s="233">
        <v>1.0583667198713951</v>
      </c>
      <c r="AN35" s="233">
        <v>1.0675809871830777</v>
      </c>
      <c r="AP35" s="233">
        <v>1.0695048593581022</v>
      </c>
      <c r="AR35" s="233">
        <v>1.0714510945864815</v>
      </c>
      <c r="AT35" s="233">
        <v>1.0734175754207038</v>
      </c>
      <c r="AV35" s="233">
        <v>1.0754021538128045</v>
      </c>
    </row>
    <row r="36" spans="1:49 16319:16321" x14ac:dyDescent="0.2">
      <c r="A36" t="s">
        <v>21</v>
      </c>
      <c r="B36" s="37">
        <v>0.47195767671988087</v>
      </c>
      <c r="C36" s="38">
        <v>0.31738834428178991</v>
      </c>
      <c r="D36" s="37">
        <v>0.47196073697396923</v>
      </c>
      <c r="E36" s="38">
        <v>0.31996386730129922</v>
      </c>
      <c r="F36" s="37">
        <v>0.47196386367427373</v>
      </c>
      <c r="G36" s="38">
        <v>0.32271186508054667</v>
      </c>
      <c r="H36" s="37">
        <v>0.47196706039447489</v>
      </c>
      <c r="I36" s="38">
        <v>0.32565112879790625</v>
      </c>
      <c r="J36" s="37">
        <v>0.47197032978607462</v>
      </c>
      <c r="K36" s="38">
        <v>0.32880340917901463</v>
      </c>
      <c r="L36" s="37">
        <v>0.47197367272487689</v>
      </c>
      <c r="M36" s="38">
        <v>0.33219404342625153</v>
      </c>
      <c r="N36" s="37">
        <v>0.47197708725932946</v>
      </c>
      <c r="O36" s="38">
        <v>0.33585271946408113</v>
      </c>
      <c r="P36" s="37">
        <v>0.47198056698198765</v>
      </c>
      <c r="Q36" s="38">
        <v>0.33981439196184704</v>
      </c>
      <c r="R36" s="37">
        <v>0.47198409875636876</v>
      </c>
      <c r="S36" s="38">
        <v>0.34412040681730099</v>
      </c>
      <c r="T36" s="37">
        <v>0.47198765951793908</v>
      </c>
      <c r="U36" s="38">
        <v>0.34881975575982155</v>
      </c>
      <c r="V36" s="37">
        <v>0.47199121220525958</v>
      </c>
      <c r="W36" s="38">
        <v>0.35397049837295941</v>
      </c>
      <c r="X36" s="37">
        <v>0.47199470018188228</v>
      </c>
      <c r="Y36" s="38">
        <v>0.3596408376685542</v>
      </c>
      <c r="Z36" s="37">
        <v>0.47199804119847533</v>
      </c>
      <c r="AA36" s="38">
        <v>0.36590959067374285</v>
      </c>
      <c r="AB36" s="37">
        <v>0.47200112165237079</v>
      </c>
      <c r="AC36" s="38">
        <v>0.37286464057079655</v>
      </c>
      <c r="AD36" s="37">
        <v>0.47200379457693636</v>
      </c>
      <c r="AE36" s="38">
        <v>0.3805974362888293</v>
      </c>
      <c r="AF36" s="37">
        <v>0.47200588681773464</v>
      </c>
      <c r="AG36" s="38">
        <v>0.38919068007798557</v>
      </c>
      <c r="AH36" s="37">
        <v>0.47200722379009485</v>
      </c>
      <c r="AI36" s="38">
        <v>0.39869658356620213</v>
      </c>
      <c r="AJ36" s="37">
        <v>0.47200767397260196</v>
      </c>
      <c r="AK36" s="38">
        <v>0.40910741942605938</v>
      </c>
      <c r="AL36" s="37">
        <v>0.47200720272471469</v>
      </c>
      <c r="AM36" s="38">
        <v>0.42032835189952489</v>
      </c>
      <c r="AN36" s="37">
        <v>0.47200590357286792</v>
      </c>
      <c r="AO36" s="38">
        <v>0.4321707392552589</v>
      </c>
      <c r="AP36" s="37">
        <v>0.47200556093168816</v>
      </c>
      <c r="AQ36" s="38">
        <v>0.4345918944017646</v>
      </c>
      <c r="AR36" s="37">
        <v>0.47200519510958588</v>
      </c>
      <c r="AS36" s="38">
        <v>0.43702546436596629</v>
      </c>
      <c r="AT36" s="37">
        <v>0.47200480814034129</v>
      </c>
      <c r="AU36" s="38">
        <v>0.43946919822722752</v>
      </c>
      <c r="AV36" s="37">
        <v>0.47200440207945743</v>
      </c>
      <c r="AW36" s="38">
        <v>0.44192085188497798</v>
      </c>
    </row>
    <row r="37" spans="1:49 16319:16321" x14ac:dyDescent="0.2">
      <c r="B37" s="39">
        <v>2.1403217525954137E-2</v>
      </c>
      <c r="C37" s="40">
        <v>0.34962461301992576</v>
      </c>
      <c r="D37" s="39">
        <v>2.069421012341861E-2</v>
      </c>
      <c r="E37" s="40">
        <v>0.34543015485731438</v>
      </c>
      <c r="F37" s="39">
        <v>1.9976946487317262E-2</v>
      </c>
      <c r="G37" s="40">
        <v>0.34111187695787326</v>
      </c>
      <c r="H37" s="39">
        <v>1.9251384779608211E-2</v>
      </c>
      <c r="I37" s="40">
        <v>0.33666261262695668</v>
      </c>
      <c r="J37" s="39">
        <v>1.8517488209442132E-2</v>
      </c>
      <c r="K37" s="40">
        <v>0.33207445549432996</v>
      </c>
      <c r="L37" s="39">
        <v>1.7775224449602764E-2</v>
      </c>
      <c r="M37" s="40">
        <v>0.32733863576697952</v>
      </c>
      <c r="N37" s="39">
        <v>1.7024572196479685E-2</v>
      </c>
      <c r="O37" s="40">
        <v>0.32244541838879698</v>
      </c>
      <c r="P37" s="39">
        <v>1.6265538623370959E-2</v>
      </c>
      <c r="Q37" s="40">
        <v>0.31738404738472742</v>
      </c>
      <c r="R37" s="39">
        <v>1.5498185369631995E-2</v>
      </c>
      <c r="S37" s="40">
        <v>0.31214272572677021</v>
      </c>
      <c r="T37" s="39">
        <v>1.4722685277067804E-2</v>
      </c>
      <c r="U37" s="40">
        <v>0.30670879231918463</v>
      </c>
      <c r="V37" s="39">
        <v>1.393940407622038E-2</v>
      </c>
      <c r="W37" s="40">
        <v>0.30106909034980456</v>
      </c>
      <c r="X37" s="39">
        <v>1.3149074347019842E-2</v>
      </c>
      <c r="Y37" s="40">
        <v>0.2952110759676122</v>
      </c>
      <c r="Z37" s="39">
        <v>1.2353044958758124E-2</v>
      </c>
      <c r="AA37" s="40">
        <v>0.2891247135157014</v>
      </c>
      <c r="AB37" s="39">
        <v>1.1553689847275504E-2</v>
      </c>
      <c r="AC37" s="40">
        <v>0.2828060534213232</v>
      </c>
      <c r="AD37" s="39">
        <v>1.0754988419394472E-2</v>
      </c>
      <c r="AE37" s="40">
        <v>0.27626309454943504</v>
      </c>
      <c r="AF37" s="39">
        <v>9.9632326736334553E-3</v>
      </c>
      <c r="AG37" s="40">
        <v>0.26952428964943392</v>
      </c>
      <c r="AH37" s="39">
        <v>9.1876467052300348E-3</v>
      </c>
      <c r="AI37" s="40">
        <v>0.26264867639911949</v>
      </c>
      <c r="AJ37" s="39">
        <v>8.4403915461089603E-3</v>
      </c>
      <c r="AK37" s="40">
        <v>0.25573320625447371</v>
      </c>
      <c r="AL37" s="39">
        <v>7.7353579106891838E-3</v>
      </c>
      <c r="AM37" s="40">
        <v>0.24891011131365956</v>
      </c>
      <c r="AN37" s="39">
        <v>7.0856029578993864E-3</v>
      </c>
      <c r="AO37" s="40">
        <v>0.24232859308414903</v>
      </c>
      <c r="AP37" s="39">
        <v>6.9631943220575124E-3</v>
      </c>
      <c r="AQ37" s="40">
        <v>0.24105385409505611</v>
      </c>
      <c r="AR37" s="39">
        <v>6.8434351494075975E-3</v>
      </c>
      <c r="AS37" s="40">
        <v>0.23979531088582995</v>
      </c>
      <c r="AT37" s="39">
        <v>6.7263644457381429E-3</v>
      </c>
      <c r="AU37" s="40">
        <v>0.23855382879656473</v>
      </c>
      <c r="AV37" s="39">
        <v>6.6120116336280278E-3</v>
      </c>
      <c r="AW37" s="40">
        <v>0.23733019554490492</v>
      </c>
    </row>
    <row r="38" spans="1:49 16319:16321" x14ac:dyDescent="0.2">
      <c r="A38" t="s">
        <v>22</v>
      </c>
      <c r="B38" s="37">
        <v>0.18079094942242827</v>
      </c>
      <c r="C38" s="38">
        <v>6.0565413429233668E-2</v>
      </c>
      <c r="D38" s="37">
        <v>0.18102623767545045</v>
      </c>
      <c r="E38" s="38">
        <v>6.0885962024116919E-2</v>
      </c>
      <c r="F38" s="37">
        <v>0.18127137022602977</v>
      </c>
      <c r="G38" s="38">
        <v>6.1226852648783928E-2</v>
      </c>
      <c r="H38" s="37">
        <v>0.18152681569581305</v>
      </c>
      <c r="I38" s="38">
        <v>6.1590157872251264E-2</v>
      </c>
      <c r="J38" s="37">
        <v>0.1817930685255188</v>
      </c>
      <c r="K38" s="38">
        <v>6.1978319023873692E-2</v>
      </c>
      <c r="L38" s="37">
        <v>0.1820706459635956</v>
      </c>
      <c r="M38" s="38">
        <v>6.239412128842526E-2</v>
      </c>
      <c r="N38" s="37">
        <v>0.18236008583951138</v>
      </c>
      <c r="O38" s="38">
        <v>6.2840808834194531E-2</v>
      </c>
      <c r="P38" s="37">
        <v>0.18266193383868506</v>
      </c>
      <c r="Q38" s="38">
        <v>6.3322203911665945E-2</v>
      </c>
      <c r="R38" s="37">
        <v>0.18297672414984356</v>
      </c>
      <c r="S38" s="38">
        <v>6.3842781396723586E-2</v>
      </c>
      <c r="T38" s="37">
        <v>0.18330493800106432</v>
      </c>
      <c r="U38" s="38">
        <v>6.4407853267121881E-2</v>
      </c>
      <c r="V38" s="37">
        <v>0.18364694289604303</v>
      </c>
      <c r="W38" s="38">
        <v>6.5023554239524675E-2</v>
      </c>
      <c r="X38" s="37">
        <v>0.18400286176308092</v>
      </c>
      <c r="Y38" s="38">
        <v>6.5697118516142711E-2</v>
      </c>
      <c r="Z38" s="37">
        <v>0.18437238137888196</v>
      </c>
      <c r="AA38" s="38">
        <v>6.6436745038831235E-2</v>
      </c>
      <c r="AB38" s="37">
        <v>0.18475443237491898</v>
      </c>
      <c r="AC38" s="38">
        <v>6.7251370364299762E-2</v>
      </c>
      <c r="AD38" s="37">
        <v>0.18514672012535316</v>
      </c>
      <c r="AE38" s="38">
        <v>6.8149947281120962E-2</v>
      </c>
      <c r="AF38" s="37">
        <v>0.1855451265433761</v>
      </c>
      <c r="AG38" s="38">
        <v>6.9139986486144306E-2</v>
      </c>
      <c r="AH38" s="37">
        <v>0.18594312072089789</v>
      </c>
      <c r="AI38" s="38">
        <v>7.0225109429501928E-2</v>
      </c>
      <c r="AJ38" s="37">
        <v>0.18633158851416154</v>
      </c>
      <c r="AK38" s="38">
        <v>7.1401816439843335E-2</v>
      </c>
      <c r="AL38" s="37">
        <v>0.18669957794346867</v>
      </c>
      <c r="AM38" s="38">
        <v>7.2656785427090434E-2</v>
      </c>
      <c r="AN38" s="37">
        <v>0.18703618830117627</v>
      </c>
      <c r="AO38" s="38">
        <v>7.3966836103529457E-2</v>
      </c>
      <c r="AP38" s="37">
        <v>0.18709893424112006</v>
      </c>
      <c r="AQ38" s="38">
        <v>7.4232887499302944E-2</v>
      </c>
      <c r="AR38" s="37">
        <v>0.1871600236924861</v>
      </c>
      <c r="AS38" s="38">
        <v>7.4499708166650996E-2</v>
      </c>
      <c r="AT38" s="37">
        <v>0.18721941397829789</v>
      </c>
      <c r="AU38" s="38">
        <v>7.4767041744440321E-2</v>
      </c>
      <c r="AV38" s="37">
        <v>0.18727706959987811</v>
      </c>
      <c r="AW38" s="38">
        <v>7.5034628728566616E-2</v>
      </c>
    </row>
    <row r="39" spans="1:49 16319:16321" x14ac:dyDescent="0.2">
      <c r="A39" t="s">
        <v>23</v>
      </c>
      <c r="B39" s="39">
        <v>0.23064923795097952</v>
      </c>
      <c r="C39" s="40">
        <v>0.22092201281804799</v>
      </c>
      <c r="D39" s="39">
        <v>0.23102890526229189</v>
      </c>
      <c r="E39" s="40">
        <v>0.22212952625731738</v>
      </c>
      <c r="F39" s="39">
        <v>0.23142925027315933</v>
      </c>
      <c r="G39" s="40">
        <v>0.22341542080250476</v>
      </c>
      <c r="H39" s="39">
        <v>0.23185259366496908</v>
      </c>
      <c r="I39" s="40">
        <v>0.22478829318900176</v>
      </c>
      <c r="J39" s="39">
        <v>0.23230161895008142</v>
      </c>
      <c r="K39" s="40">
        <v>0.22625801358628497</v>
      </c>
      <c r="L39" s="39">
        <v>0.23277945355231441</v>
      </c>
      <c r="M39" s="40">
        <v>0.22783614823036585</v>
      </c>
      <c r="N39" s="39">
        <v>0.23328975857006778</v>
      </c>
      <c r="O39" s="40">
        <v>0.22953625461878122</v>
      </c>
      <c r="P39" s="39">
        <v>0.23383684184920464</v>
      </c>
      <c r="Q39" s="40">
        <v>0.2313742641807722</v>
      </c>
      <c r="R39" s="39">
        <v>0.23442579395416971</v>
      </c>
      <c r="S39" s="40">
        <v>0.23336905509580433</v>
      </c>
      <c r="T39" s="39">
        <v>0.23506264045639777</v>
      </c>
      <c r="U39" s="40">
        <v>0.235542936396925</v>
      </c>
      <c r="V39" s="39">
        <v>0.23575450635812259</v>
      </c>
      <c r="W39" s="40">
        <v>0.2379225161615208</v>
      </c>
      <c r="X39" s="39">
        <v>0.23650974418549583</v>
      </c>
      <c r="Y39" s="40">
        <v>0.24053890993651747</v>
      </c>
      <c r="Z39" s="39">
        <v>0.23733796897262147</v>
      </c>
      <c r="AA39" s="40">
        <v>0.2434281485688686</v>
      </c>
      <c r="AB39" s="39">
        <v>0.23824983673148598</v>
      </c>
      <c r="AC39" s="40">
        <v>0.2466304298021246</v>
      </c>
      <c r="AD39" s="39">
        <v>0.23925631480505882</v>
      </c>
      <c r="AE39" s="40">
        <v>0.25018759254223349</v>
      </c>
      <c r="AF39" s="39">
        <v>0.2403670828225162</v>
      </c>
      <c r="AG39" s="40">
        <v>0.25413740667122409</v>
      </c>
      <c r="AH39" s="39">
        <v>0.24158776072191018</v>
      </c>
      <c r="AI39" s="40">
        <v>0.25850348269792423</v>
      </c>
      <c r="AJ39" s="39">
        <v>0.24291619658315552</v>
      </c>
      <c r="AK39" s="40">
        <v>0.26328174144992134</v>
      </c>
      <c r="AL39" s="39">
        <v>0.24433915005943424</v>
      </c>
      <c r="AM39" s="40">
        <v>0.26842792994953157</v>
      </c>
      <c r="AN39" s="39">
        <v>0.24583168775799871</v>
      </c>
      <c r="AO39" s="40">
        <v>0.2738544389473902</v>
      </c>
      <c r="AP39" s="39">
        <v>0.24613571164826795</v>
      </c>
      <c r="AQ39" s="40">
        <v>0.27496325692781748</v>
      </c>
      <c r="AR39" s="39">
        <v>0.24644091635779822</v>
      </c>
      <c r="AS39" s="40">
        <v>0.27607752805562763</v>
      </c>
      <c r="AT39" s="39">
        <v>0.2467470172099176</v>
      </c>
      <c r="AU39" s="40">
        <v>0.27719622251545312</v>
      </c>
      <c r="AV39" s="39">
        <v>0.24705373184826349</v>
      </c>
      <c r="AW39" s="40">
        <v>0.27831832398130452</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0.11451199883107606</v>
      </c>
      <c r="E42" s="135"/>
      <c r="F42" s="177">
        <f>10.8%+(1-10.8%)*(1-SUM(F26:G26)/SUM($B$26:$C$26))</f>
        <v>0.12178535451176645</v>
      </c>
      <c r="G42" s="135"/>
      <c r="H42" s="177">
        <f>10.8%+(1-10.8%)*(1-SUM(H26:I26)/SUM($B$26:$C$26))</f>
        <v>0.12994649990219848</v>
      </c>
      <c r="I42" s="135"/>
      <c r="J42" s="177">
        <f>10.8%+(1-10.8%)*(1-SUM(J26:K26)/SUM($B$26:$C$26))</f>
        <v>0.13914965840332932</v>
      </c>
      <c r="K42" s="135"/>
      <c r="L42" s="177">
        <f>10.8%+(1-10.8%)*(1-SUM(L26:M26)/SUM($B$26:$C$26))</f>
        <v>0.14958564682151043</v>
      </c>
      <c r="M42" s="135"/>
      <c r="N42" s="177">
        <f>10.8%+(1-10.8%)*(1-SUM(N26:O26)/SUM($B$26:$C$26))</f>
        <v>0.16149237935752081</v>
      </c>
      <c r="O42" s="135"/>
      <c r="P42" s="177">
        <f>10.8%+(1-10.8%)*(1-SUM(P26:Q26)/SUM($B$26:$C$26))</f>
        <v>0.17516971299938353</v>
      </c>
      <c r="Q42" s="135"/>
      <c r="R42" s="177">
        <f>10.8%+(1-10.8%)*(1-SUM(R26:S26)/SUM($B$26:$C$26))</f>
        <v>0.19100003627082585</v>
      </c>
      <c r="S42" s="135"/>
      <c r="T42" s="177">
        <f>10.8%+(1-10.8%)*(1-SUM(T26:U26)/SUM($B$26:$C$26))</f>
        <v>0.20947625359604602</v>
      </c>
      <c r="U42" s="135"/>
      <c r="V42" s="177">
        <f>10.8%+(1-10.8%)*(1-SUM(V26:W26)/SUM($B$26:$C$26))</f>
        <v>0.23124089293951128</v>
      </c>
      <c r="W42" s="135"/>
      <c r="X42" s="177">
        <f>10.8%+(1-10.8%)*(1-SUM(X26:Y26)/SUM($B$26:$C$26))</f>
        <v>0.25713888049690803</v>
      </c>
      <c r="Y42" s="162"/>
      <c r="Z42" s="177">
        <f>10.8%+(1-10.8%)*(1-SUM(Z26:AA26)/SUM($B$26:$C$26))</f>
        <v>0.28828840906530079</v>
      </c>
      <c r="AA42" s="135"/>
      <c r="AB42" s="177">
        <f>10.8%+(1-10.8%)*(1-SUM(AB26:AC26)/SUM($B$26:$C$26))</f>
        <v>0.32617016561640411</v>
      </c>
      <c r="AC42" s="135"/>
      <c r="AD42" s="177">
        <f>10.8%+(1-10.8%)*(1-SUM(AD26:AE26)/SUM($B$26:$C$26))</f>
        <v>0.37272784805062953</v>
      </c>
      <c r="AE42" s="135"/>
      <c r="AF42" s="177">
        <f>10.8%+(1-10.8%)*(1-SUM(AF26:AG26)/SUM($B$26:$C$26))</f>
        <v>0.43045417998302993</v>
      </c>
      <c r="AG42" s="135"/>
      <c r="AH42" s="177">
        <f>10.8%+(1-10.8%)*(1-SUM(AH26:AI26)/SUM($B$26:$C$26))</f>
        <v>0.50240618295867545</v>
      </c>
      <c r="AI42" s="135"/>
      <c r="AJ42" s="177">
        <f>10.8%+(1-10.8%)*(1-SUM(AJ26:AK26)/SUM($B$26:$C$26))</f>
        <v>0.59206574644068211</v>
      </c>
      <c r="AK42" s="135"/>
      <c r="AL42" s="177">
        <f>10.8%+(1-10.8%)*(1-SUM(AL26:AM26)/SUM($B$26:$C$26))</f>
        <v>0.70298223752193623</v>
      </c>
      <c r="AM42" s="135"/>
      <c r="AN42" s="177">
        <f>10.8%+(1-10.8%)*(1-SUM(AN26:AO26)/SUM($B$26:$C$26))</f>
        <v>0.8382469737588456</v>
      </c>
      <c r="AO42" s="135"/>
      <c r="AP42" s="177">
        <f>10.8%+(1-10.8%)*(1-SUM(AP26:AQ26)/SUM($B$26:$C$26))</f>
        <v>0.86843061506883978</v>
      </c>
      <c r="AQ42" s="135"/>
      <c r="AR42" s="177">
        <f>10.8%+(1-10.8%)*(1-SUM(AR26:AS26)/SUM($B$26:$C$26))</f>
        <v>0.89968922522849448</v>
      </c>
      <c r="AS42" s="135"/>
      <c r="AT42" s="177">
        <f>10.8%+(1-10.8%)*(1-SUM(AT26:AU26)/SUM($B$26:$C$26))</f>
        <v>0.93203231640555495</v>
      </c>
      <c r="AU42" s="135"/>
      <c r="AV42" s="177">
        <f>10.8%+(1-10.8%)*(1-SUM(AV26:AW26)/SUM($B$26:$C$26))</f>
        <v>0.96546739910835722</v>
      </c>
    </row>
    <row r="43" spans="1:49 16319:16321" x14ac:dyDescent="0.2">
      <c r="A43" t="s">
        <v>108</v>
      </c>
      <c r="B43" s="162">
        <f>SUM(B15:C15*B27:C27)/SUM(B15:C15*B27:C27,B13:C13*B26:C26)</f>
        <v>0.56058995943838341</v>
      </c>
      <c r="C43" s="135"/>
      <c r="D43" s="162">
        <f t="array" ref="D43">SUM(D15:E15*D27:E27)/SUM(D15:E15*D27:E27,D13:E13*D26:E26)</f>
        <v>0.56676614695179361</v>
      </c>
      <c r="E43" s="135"/>
      <c r="F43" s="162">
        <f t="array" ref="F43">SUM(F15:G15*F27:G27)/SUM(F15:G15*F27:G27,F13:G13*F26:G26)</f>
        <v>0.56632509338164805</v>
      </c>
      <c r="G43" s="135"/>
      <c r="H43" s="162">
        <f t="array" ref="H43">SUM(H15:I15*H27:I27)/SUM(H15:I15*H27:I27,H13:I13*H26:I26)</f>
        <v>0.56587625191867608</v>
      </c>
      <c r="I43" s="135"/>
      <c r="J43" s="162">
        <f t="array" ref="J43">SUM(J15:K15*J27:K27)/SUM(J15:K15*J27:K27,J13:K13*J26:K26)</f>
        <v>0.5654183289563961</v>
      </c>
      <c r="K43" s="135"/>
      <c r="L43" s="162">
        <f t="array" ref="L43">SUM(L15:M15*L27:M27)/SUM(L15:M15*L27:M27,L13:M13*L26:M26)</f>
        <v>0.56494987241655981</v>
      </c>
      <c r="M43" s="135"/>
      <c r="N43" s="162">
        <f t="array" ref="N43">SUM(N15:O15*N27:O27)/SUM(N15:O15*N27:O27,N13:O13*N26:O26)</f>
        <v>0.56446923861366727</v>
      </c>
      <c r="O43" s="135"/>
      <c r="P43" s="162">
        <f t="array" ref="P43">SUM(P15:Q15*P27:Q27)/SUM(P15:Q15*P27:Q27,P13:Q13*P26:Q26)</f>
        <v>0.56397456538776547</v>
      </c>
      <c r="Q43" s="135"/>
      <c r="R43" s="162">
        <f t="array" ref="R43">SUM(R15:S15*R27:S27)/SUM(R15:S15*R27:S27,R13:S13*R26:S26)</f>
        <v>0.56346376025169853</v>
      </c>
      <c r="S43" s="135"/>
      <c r="T43" s="162">
        <f t="array" ref="T43">SUM(T15:U15*T27:U27)/SUM(T15:U15*T27:U27,T13:U13*T26:U26)</f>
        <v>0.56293446805568303</v>
      </c>
      <c r="U43" s="135"/>
      <c r="V43" s="162">
        <f t="array" ref="V43">SUM(V15:W15*V27:W27)/SUM(V15:W15*V27:W27,V13:W13*V26:W26)</f>
        <v>0.5623840834418532</v>
      </c>
      <c r="W43" s="135"/>
      <c r="X43" s="162">
        <f t="array" ref="X43">SUM(X15:Y15*X27:Y27)/SUM(X15:Y15*X27:Y27,X13:Y13*X26:Y26)</f>
        <v>0.56180971322333029</v>
      </c>
      <c r="Y43" s="135"/>
      <c r="Z43" s="162">
        <f t="array" ref="Z43">SUM(Z15:AA15*Z27:AA27)/SUM(Z15:AA15*Z27:AA27,Z13:AA13*Z26:AA26)</f>
        <v>0.56120822828271233</v>
      </c>
      <c r="AA43" s="135"/>
      <c r="AB43" s="162">
        <f t="array" ref="AB43">SUM(AB15:AC15*AB27:AC27)/SUM(AB15:AC15*AB27:AC27,AB13:AC13*AB26:AC26)</f>
        <v>0.56057634078749596</v>
      </c>
      <c r="AC43" s="135"/>
      <c r="AD43" s="162">
        <f t="array" ref="AD43">SUM(AD15:AE15*AD27:AE27)/SUM(AD15:AE15*AD27:AE27,AD13:AE13*AD26:AE26)</f>
        <v>0.55991079384323406</v>
      </c>
      <c r="AE43" s="135"/>
      <c r="AF43" s="162">
        <f t="array" ref="AF43">SUM(AF15:AG15*AF27:AG27)/SUM(AF15:AG15*AF27:AG27,AF13:AG13*AF26:AG26)</f>
        <v>0.55920872611567407</v>
      </c>
      <c r="AG43" s="135"/>
      <c r="AH43" s="162">
        <f t="array" ref="AH43">SUM(AH15:AI15*AH27:AI27)/SUM(AH15:AI15*AH27:AI27,AH13:AI13*AH26:AI26)</f>
        <v>0.55846831691570509</v>
      </c>
      <c r="AI43" s="135"/>
      <c r="AJ43" s="162">
        <f t="array" ref="AJ43">SUM(AJ15:AK15*AJ27:AK27)/SUM(AJ15:AK15*AJ27:AK27,AJ13:AK13*AJ26:AK26)</f>
        <v>0.55768971961917957</v>
      </c>
      <c r="AK43" s="135"/>
      <c r="AL43" s="162">
        <f t="array" ref="AL43">SUM(AL15:AM15*AL27:AM27)/SUM(AL15:AM15*AL27:AM27,AL13:AM13*AL26:AM26)</f>
        <v>0.55687612131850017</v>
      </c>
      <c r="AM43" s="135"/>
      <c r="AN43" s="162">
        <f t="array" ref="AN43">SUM(AN15:AO15*AN27:AO27)/SUM(AN15:AO15*AN27:AO27,AN13:AO13*AN26:AO26)</f>
        <v>0.55603442486625843</v>
      </c>
      <c r="AO43" s="135"/>
      <c r="AP43" s="162">
        <f t="array" ref="AP43">SUM(AP15:AQ15*AP27:AQ27)/SUM(AP15:AQ15*AP27:AQ27,AP13:AQ13*AP26:AQ26)</f>
        <v>0.55586357656211771</v>
      </c>
      <c r="AQ43" s="135"/>
      <c r="AR43" s="162">
        <f t="array" ref="AR43">SUM(AR15:AS15*AR27:AS27)/SUM(AR15:AS15*AR27:AS27,AR13:AS13*AR26:AS26)</f>
        <v>0.55569210610843489</v>
      </c>
      <c r="AS43" s="135"/>
      <c r="AT43" s="162">
        <f t="array" ref="AT43">SUM(AT15:AU15*AT27:AU27)/SUM(AT15:AU15*AT27:AU27,AT13:AU13*AT26:AU26)</f>
        <v>0.55552011375172605</v>
      </c>
      <c r="AU43" s="135"/>
      <c r="AV43" s="162">
        <f t="array" ref="AV43">SUM(AV15:AW15*AV27:AW27)/SUM(AV15:AW15*AV27:AW27,AV13:AW13*AV26:AW26)</f>
        <v>0.55534770247547238</v>
      </c>
    </row>
    <row r="44" spans="1:49 16319:16321" x14ac:dyDescent="0.2">
      <c r="A44" t="s">
        <v>142</v>
      </c>
      <c r="B44" s="193">
        <f>(SUM(B11:C11*B24:C24)+B34)/B32</f>
        <v>0.29754226190682431</v>
      </c>
      <c r="D44" s="193">
        <f>(SUM(D11:E11*D24:E24)+D34)/D32</f>
        <v>0.29863734212808757</v>
      </c>
      <c r="F44" s="193">
        <f>(SUM(F11:G11*F24:G24)+F34)/F32</f>
        <v>0.29973703087925252</v>
      </c>
      <c r="H44" s="193">
        <f>(SUM(H11:I11*H24:I24)+H34)/H32</f>
        <v>0.30084194437342965</v>
      </c>
      <c r="J44" s="193">
        <f>(SUM(J11:K11*J24:K24)+J34)/J32</f>
        <v>0.30195283016930219</v>
      </c>
      <c r="L44" s="193">
        <f>(SUM(L11:M11*L24:M24)+L34)/L32</f>
        <v>0.30307060191045782</v>
      </c>
      <c r="N44" s="193">
        <f>(SUM(N11:O11*N24:O24)+N34)/N32</f>
        <v>0.30419640626178562</v>
      </c>
      <c r="P44" s="193">
        <f>(SUM(P11:Q11*P24:Q24)+P34)/P32</f>
        <v>0.30533170121389497</v>
      </c>
      <c r="R44" s="193">
        <f>(SUM(R11:S11*R24:S24)+R34)/R32</f>
        <v>0.30647836206700929</v>
      </c>
      <c r="T44" s="193">
        <f>(SUM(T11:U11*T24:U24)+T34)/T32</f>
        <v>0.30763881666604082</v>
      </c>
      <c r="V44" s="193">
        <f>(SUM(V11:W11*V24:W24)+V34)/V32</f>
        <v>0.30881620113962865</v>
      </c>
      <c r="X44" s="193">
        <f>(SUM(X11:Y11*X24:Y24)+X34)/X32</f>
        <v>0.31001452538995655</v>
      </c>
      <c r="Z44" s="193">
        <f>(SUM(Z11:AA11*Z24:AA24)+Z34)/Z32</f>
        <v>0.31123877571267605</v>
      </c>
      <c r="AB44" s="193">
        <f>(SUM(AB11:AC11*AB24:AC24)+AB34)/AB32</f>
        <v>0.3124948370417861</v>
      </c>
      <c r="AD44" s="193">
        <f>(SUM(AD11:AE11*AD24:AE24)+AD34)/AD32</f>
        <v>0.31378897240612308</v>
      </c>
      <c r="AF44" s="193">
        <f>(SUM(AF11:AG11*AF24:AG24)+AF34)/AF32</f>
        <v>0.31512651599727759</v>
      </c>
      <c r="AH44" s="193">
        <f>(SUM(AH11:AI11*AH24:AI24)+AH34)/AH32</f>
        <v>0.3165093662268858</v>
      </c>
      <c r="AJ44" s="193">
        <f>(SUM(AJ11:AK11*AJ24:AK24)+AJ34)/AJ32</f>
        <v>0.31793256371626183</v>
      </c>
      <c r="AL44" s="193">
        <f>(SUM(AL11:AM11*AL24:AM24)+AL34)/AL32</f>
        <v>0.31938126410778139</v>
      </c>
      <c r="AN44" s="193">
        <f>(SUM(AN11:AO11*AN24:AO24)+AN34)/AN32</f>
        <v>0.32083067253902142</v>
      </c>
      <c r="AP44" s="193">
        <f>(SUM(AP11:AQ11*AP24:AQ24)+AP34)/AP32</f>
        <v>0.32111798289660332</v>
      </c>
      <c r="AR44" s="193">
        <f>(SUM(AR11:AS11*AR24:AS24)+AR34)/AR32</f>
        <v>0.32140385446755471</v>
      </c>
      <c r="AT44" s="193">
        <f>(SUM(AT11:AU11*AT24:AU24)+AT34)/AT32</f>
        <v>0.32168803743968893</v>
      </c>
      <c r="AV44" s="193">
        <f>(SUM(AV11:AW11*AV24:AW24)+AV34)/AV32</f>
        <v>0.32197028629678753</v>
      </c>
    </row>
    <row r="45" spans="1:49 16319:16321" x14ac:dyDescent="0.2">
      <c r="A45" t="s">
        <v>82</v>
      </c>
      <c r="B45" s="193">
        <f>SUM(B11:C11*B24:C24)/B32</f>
        <v>0.22038438833194082</v>
      </c>
      <c r="D45" s="193">
        <f>SUM(D11:E11*D24:E24)/D32</f>
        <v>0.22147946681510053</v>
      </c>
      <c r="F45" s="193">
        <f>SUM(F11:G11*F24:G24)/F32</f>
        <v>0.22257915605492398</v>
      </c>
      <c r="H45" s="193">
        <f>SUM(H11:I11*H24:I24)/H32</f>
        <v>0.22368406756601153</v>
      </c>
      <c r="J45" s="193">
        <f>SUM(J11:K11*J24:K24)/J32</f>
        <v>0.22479495483450082</v>
      </c>
      <c r="L45" s="193">
        <f>SUM(L11:M11*L24:M24)/L32</f>
        <v>0.2259127278127821</v>
      </c>
      <c r="N45" s="193">
        <f>SUM(N11:O11*N24:O24)/N32</f>
        <v>0.2270385319991266</v>
      </c>
      <c r="P45" s="193">
        <f>SUM(P11:Q11*P24:Q24)/P32</f>
        <v>0.22817382712315498</v>
      </c>
      <c r="R45" s="193">
        <f>SUM(R11:S11*R24:S24)/R32</f>
        <v>0.22932048720745318</v>
      </c>
      <c r="T45" s="193">
        <f>SUM(T11:U11*T24:U24)/T32</f>
        <v>0.23048094258609839</v>
      </c>
      <c r="V45" s="193">
        <f>SUM(V11:W11*V24:W24)/V32</f>
        <v>0.23165832733427488</v>
      </c>
      <c r="X45" s="193">
        <f>SUM(X11:Y11*X24:Y24)/X32</f>
        <v>0.23285665117571369</v>
      </c>
      <c r="Z45" s="193">
        <f>SUM(Z11:AA11*Z24:AA24)/Z32</f>
        <v>0.23408090160100709</v>
      </c>
      <c r="AB45" s="193">
        <f>SUM(AB11:AC11*AB24:AC24)/AB32</f>
        <v>0.23533696317726616</v>
      </c>
      <c r="AD45" s="193">
        <f>SUM(AD11:AE11*AD24:AE24)/AD32</f>
        <v>0.23663109891392711</v>
      </c>
      <c r="AF45" s="193">
        <f>SUM(AF11:AG11*AF24:AG24)/AF32</f>
        <v>0.23796864253083458</v>
      </c>
      <c r="AH45" s="193">
        <f>SUM(AH11:AI11*AH24:AI24)/AH32</f>
        <v>0.23935149271646441</v>
      </c>
      <c r="AJ45" s="193">
        <f>SUM(AJ11:AK11*AJ24:AK24)/AJ32</f>
        <v>0.24077469015326108</v>
      </c>
      <c r="AL45" s="193">
        <f>SUM(AL11:AM11*AL24:AM24)/AL32</f>
        <v>0.24222339061055503</v>
      </c>
      <c r="AN45" s="193">
        <f>SUM(AN11:AO11*AN24:AO24)/AN32</f>
        <v>0.24367279885991511</v>
      </c>
      <c r="AP45" s="193">
        <f>SUM(AP11:AQ11*AP24:AQ24)/AP32</f>
        <v>0.24396011026293174</v>
      </c>
      <c r="AR45" s="193">
        <f>SUM(AR11:AS11*AR24:AS24)/AR32</f>
        <v>0.24424598027877015</v>
      </c>
      <c r="AT45" s="193">
        <f>SUM(AT11:AU11*AT24:AU24)/AT32</f>
        <v>0.24453016216134602</v>
      </c>
      <c r="AV45" s="193">
        <f>SUM(AV11:AW11*AV24:AW24)/AV32</f>
        <v>0.24481241526340253</v>
      </c>
      <c r="XCQ45" s="193"/>
    </row>
    <row r="46" spans="1:49 16319:16321" x14ac:dyDescent="0.2">
      <c r="A46" t="s">
        <v>139</v>
      </c>
      <c r="B46" s="193">
        <f>B34/B32</f>
        <v>7.7157873574883462E-2</v>
      </c>
      <c r="D46" s="193">
        <f>D34/D32</f>
        <v>7.715787531298704E-2</v>
      </c>
      <c r="F46" s="193">
        <f>F34/F32</f>
        <v>7.7157874824328523E-2</v>
      </c>
      <c r="H46" s="193">
        <f>H34/H32</f>
        <v>7.7157876807418119E-2</v>
      </c>
      <c r="J46" s="193">
        <f>J34/J32</f>
        <v>7.7157875334801382E-2</v>
      </c>
      <c r="L46" s="193">
        <f>L34/L32</f>
        <v>7.7157874097675744E-2</v>
      </c>
      <c r="N46" s="193">
        <f>N34/N32</f>
        <v>7.7157874262659049E-2</v>
      </c>
      <c r="P46" s="193">
        <f>P34/P32</f>
        <v>7.7157874090739972E-2</v>
      </c>
      <c r="R46" s="193">
        <f>R34/R32</f>
        <v>7.715787485955608E-2</v>
      </c>
      <c r="T46" s="193">
        <f>T34/T32</f>
        <v>7.7157874079942415E-2</v>
      </c>
      <c r="V46" s="193">
        <f>V34/V32</f>
        <v>7.7157873805353744E-2</v>
      </c>
      <c r="X46" s="193">
        <f>X34/X32</f>
        <v>7.7157874214242861E-2</v>
      </c>
      <c r="Z46" s="193">
        <f>Z34/Z32</f>
        <v>7.7157874111668981E-2</v>
      </c>
      <c r="AB46" s="193">
        <f>AB34/AB32</f>
        <v>7.7157873864519944E-2</v>
      </c>
      <c r="AD46" s="193">
        <f>AD34/AD32</f>
        <v>7.715787349219598E-2</v>
      </c>
      <c r="AF46" s="193">
        <f>AF34/AF32</f>
        <v>7.7157873466443039E-2</v>
      </c>
      <c r="AH46" s="193">
        <f>AH34/AH32</f>
        <v>7.7157873510421401E-2</v>
      </c>
      <c r="AJ46" s="193">
        <f>AJ34/AJ32</f>
        <v>7.7157873563000731E-2</v>
      </c>
      <c r="AL46" s="193">
        <f>AL34/AL32</f>
        <v>7.7157873497226373E-2</v>
      </c>
      <c r="AN46" s="193">
        <f>AN34/AN32</f>
        <v>7.7157873679106301E-2</v>
      </c>
      <c r="AP46" s="193">
        <f>AP34/AP32</f>
        <v>7.7157872633671576E-2</v>
      </c>
      <c r="AR46" s="193">
        <f>AR34/AR32</f>
        <v>7.7157874188784545E-2</v>
      </c>
      <c r="AT46" s="193">
        <f>AT34/AT32</f>
        <v>7.7157875278342905E-2</v>
      </c>
      <c r="AV46" s="193">
        <f>AV34/AV32</f>
        <v>7.7157871033384992E-2</v>
      </c>
      <c r="XCS46" s="193"/>
    </row>
    <row r="48" spans="1:49 16319:16321" x14ac:dyDescent="0.2">
      <c r="A48" t="s">
        <v>159</v>
      </c>
      <c r="B48" s="191">
        <f>B24/$B$24</f>
        <v>1</v>
      </c>
      <c r="C48" s="191"/>
      <c r="D48" s="191">
        <f>D24/$B$24</f>
        <v>0.99784020678981489</v>
      </c>
      <c r="E48" s="191"/>
      <c r="F48" s="191">
        <f>F24/$B$24</f>
        <v>0.99472654598857846</v>
      </c>
      <c r="G48" s="191"/>
      <c r="H48" s="191">
        <f>H24/$B$24</f>
        <v>0.99050323092769432</v>
      </c>
      <c r="I48" s="191"/>
      <c r="J48" s="191">
        <f>J24/$B$24</f>
        <v>0.98498072413001947</v>
      </c>
      <c r="K48" s="191"/>
      <c r="L48" s="191">
        <f>L24/$B$24</f>
        <v>0.97792482462976804</v>
      </c>
      <c r="M48" s="191"/>
      <c r="N48" s="191">
        <f>N24/$B$24</f>
        <v>0.96904402152789071</v>
      </c>
      <c r="O48" s="191"/>
      <c r="P48" s="191">
        <f>P24/$B$24</f>
        <v>0.95797142874550612</v>
      </c>
      <c r="Q48" s="191"/>
      <c r="R48" s="191">
        <f>R24/$B$24</f>
        <v>0.94423947676754016</v>
      </c>
      <c r="S48" s="191"/>
      <c r="T48" s="191">
        <f>T24/$B$24</f>
        <v>0.92724547710047267</v>
      </c>
      <c r="U48" s="191"/>
      <c r="V48" s="191">
        <f>V24/$B$24</f>
        <v>0.90620262776321125</v>
      </c>
      <c r="W48" s="191"/>
      <c r="X48" s="191">
        <f>X24/$B$24</f>
        <v>0.88007352963302921</v>
      </c>
      <c r="Y48" s="191"/>
      <c r="Z48" s="191">
        <f>Z24/$B$24</f>
        <v>0.84747856612357286</v>
      </c>
      <c r="AA48" s="191"/>
      <c r="AB48" s="191">
        <f>AB24/$B$24</f>
        <v>0.80657731257920129</v>
      </c>
      <c r="AC48" s="191"/>
      <c r="AD48" s="191">
        <f>AD24/$B$24</f>
        <v>0.75492799723964754</v>
      </c>
      <c r="AE48" s="191"/>
      <c r="AF48" s="191">
        <f>AF24/$B$24</f>
        <v>0.68935273658068796</v>
      </c>
      <c r="AG48" s="191"/>
      <c r="AH48" s="191">
        <f>AH24/$B$24</f>
        <v>0.60587590091235133</v>
      </c>
      <c r="AI48" s="191"/>
      <c r="AJ48" s="191">
        <f>AJ24/$B$24</f>
        <v>0.4998468170528354</v>
      </c>
      <c r="AK48" s="191"/>
      <c r="AL48" s="191">
        <f>AL24/$B$24</f>
        <v>0.36634918503144148</v>
      </c>
      <c r="AM48" s="191"/>
      <c r="AN48" s="191">
        <f>AN24/$B$24</f>
        <v>0.20087072046389445</v>
      </c>
      <c r="AO48" s="191"/>
      <c r="AP48" s="191">
        <f>AP24/$B$24</f>
        <v>0.16361162087274705</v>
      </c>
      <c r="AQ48" s="191"/>
      <c r="AR48" s="191">
        <f>AR24/$B$24</f>
        <v>0.12491145148112923</v>
      </c>
      <c r="AS48" s="191"/>
      <c r="AT48" s="191">
        <f>AT24/$B$24</f>
        <v>8.4752439999855114E-2</v>
      </c>
      <c r="AU48" s="191"/>
      <c r="AV48" s="191">
        <f>AV24/$B$24</f>
        <v>4.3119450878361568E-2</v>
      </c>
    </row>
    <row r="49" spans="1:48 16321:16384" x14ac:dyDescent="0.2">
      <c r="A49" t="s">
        <v>160</v>
      </c>
      <c r="B49" s="191">
        <f>B13/B35/$B$13*$B$35</f>
        <v>1</v>
      </c>
      <c r="C49" s="191"/>
      <c r="D49" s="191">
        <f>D13/D35/$B$13*$B$35</f>
        <v>0.99707689455429416</v>
      </c>
      <c r="E49" s="191"/>
      <c r="F49" s="191">
        <f>F13/F35/$B$13*$B$35</f>
        <v>0.99401157873758772</v>
      </c>
      <c r="G49" s="191"/>
      <c r="H49" s="191">
        <f>H13/H35/$B$13*$B$35</f>
        <v>0.99079310928853059</v>
      </c>
      <c r="I49" s="191"/>
      <c r="J49" s="191">
        <f>J13/J35/$B$13*$B$35</f>
        <v>0.98740901742397313</v>
      </c>
      <c r="K49" s="191"/>
      <c r="L49" s="191">
        <f>L13/L35/$B$13*$B$35</f>
        <v>0.98384502435965726</v>
      </c>
      <c r="M49" s="191"/>
      <c r="N49" s="191">
        <f>N13/N35/$B$13*$B$35</f>
        <v>0.98008465307043113</v>
      </c>
      <c r="O49" s="191"/>
      <c r="P49" s="191">
        <f>P13/P35/$B$13*$B$35</f>
        <v>0.97610882410764255</v>
      </c>
      <c r="Q49" s="191"/>
      <c r="R49" s="191">
        <f>R13/R35/$B$13*$B$35</f>
        <v>0.97189537896596967</v>
      </c>
      <c r="S49" s="191"/>
      <c r="T49" s="191">
        <f>T13/T35/$B$13*$B$35</f>
        <v>0.96741863835880604</v>
      </c>
      <c r="U49" s="191"/>
      <c r="V49" s="191">
        <f>V13/V35/$B$13*$B$35</f>
        <v>0.96264898088568462</v>
      </c>
      <c r="W49" s="191"/>
      <c r="X49" s="191">
        <f>X13/X35/$B$13*$B$35</f>
        <v>0.95755295077905844</v>
      </c>
      <c r="Y49" s="191"/>
      <c r="Z49" s="191">
        <f>Z13/Z35/$B$13*$B$35</f>
        <v>0.95209399824290519</v>
      </c>
      <c r="AA49" s="191"/>
      <c r="AB49" s="191">
        <f>AB13/AB35/$B$13*$B$35</f>
        <v>0.94623493019794935</v>
      </c>
      <c r="AC49" s="191"/>
      <c r="AD49" s="191">
        <f>AD13/AD35/$B$13*$B$35</f>
        <v>0.93994317765143964</v>
      </c>
      <c r="AE49" s="191"/>
      <c r="AF49" s="191">
        <f>AF13/AF35/$B$13*$B$35</f>
        <v>0.9332002398298257</v>
      </c>
      <c r="AG49" s="191"/>
      <c r="AH49" s="191">
        <f>AH13/AH35/$B$13*$B$35</f>
        <v>0.92601589061799128</v>
      </c>
      <c r="AI49" s="191"/>
      <c r="AJ49" s="191">
        <f>AJ13/AJ35/$B$13*$B$35</f>
        <v>0.91844402148252891</v>
      </c>
      <c r="AK49" s="191"/>
      <c r="AL49" s="191">
        <f>AL13/AL35/$B$13*$B$35</f>
        <v>0.91059229273026665</v>
      </c>
      <c r="AM49" s="191"/>
      <c r="AN49" s="191">
        <f>AN13/AN35/$B$13*$B$35</f>
        <v>0.90261508636755083</v>
      </c>
      <c r="AO49" s="191"/>
      <c r="AP49" s="191">
        <f>AP13/AP35/$B$13*$B$35</f>
        <v>0.90102000066802435</v>
      </c>
      <c r="AQ49" s="191"/>
      <c r="AR49" s="191">
        <f>AR13/AR35/$B$13*$B$35</f>
        <v>0.89942832805193984</v>
      </c>
      <c r="AS49" s="191"/>
      <c r="AT49" s="191">
        <f>AT13/AT35/$B$13*$B$35</f>
        <v>0.89784142510930509</v>
      </c>
      <c r="AU49" s="191"/>
      <c r="AV49" s="191">
        <f>AV13/AV35/$B$13*$B$35</f>
        <v>0.89626060416924402</v>
      </c>
    </row>
    <row r="51" spans="1:48 16321:16384" x14ac:dyDescent="0.2">
      <c r="A51" t="s">
        <v>166</v>
      </c>
      <c r="B51" s="29">
        <f>B30-B10*B23</f>
        <v>-405838.32800000021</v>
      </c>
      <c r="D51" s="29">
        <f>D30-D10*D23</f>
        <v>-375568.16877250653</v>
      </c>
      <c r="F51" s="29">
        <f>F30-F10*F23</f>
        <v>-345312.69143651053</v>
      </c>
      <c r="H51" s="29">
        <f>H30-H10*H23</f>
        <v>-315087.18739018776</v>
      </c>
      <c r="J51" s="29">
        <f>J30-J10*J23</f>
        <v>-284911.91625289945</v>
      </c>
      <c r="L51" s="29">
        <f>L30-L10*L23</f>
        <v>-254813.17395109078</v>
      </c>
      <c r="N51" s="29">
        <f>N30-N10*N23</f>
        <v>-224825.49269224238</v>
      </c>
      <c r="P51" s="29">
        <f>P30-P10*P23</f>
        <v>-194994.78333333461</v>
      </c>
      <c r="R51" s="29">
        <f>R30-R10*R23</f>
        <v>-165383.05692195334</v>
      </c>
      <c r="T51" s="29">
        <f>T30-T10*T23</f>
        <v>-136076.27491386747</v>
      </c>
      <c r="V51" s="29">
        <f>V30-V10*V23</f>
        <v>-107196.87039767299</v>
      </c>
      <c r="X51" s="29">
        <f>X30-X10*X23</f>
        <v>-78925.351217826828</v>
      </c>
      <c r="Z51" s="29">
        <f>Z30-Z10*Z23</f>
        <v>-51535.735852929298</v>
      </c>
      <c r="AB51" s="29">
        <f>AB30-AB10*AB23</f>
        <v>-25454.573569854721</v>
      </c>
      <c r="AD51" s="29">
        <f>AD30-AD10*AD23</f>
        <v>-1354.475951091852</v>
      </c>
      <c r="AF51" s="29">
        <f>AF30-AF10*AF23</f>
        <v>19708.930590025149</v>
      </c>
      <c r="AH51" s="29">
        <f>AH30-AH10*AH23</f>
        <v>36126.282647900516</v>
      </c>
      <c r="AJ51" s="29">
        <f>AJ30-AJ10*AJ23</f>
        <v>45584.517935302109</v>
      </c>
      <c r="AL51" s="29">
        <f>AL30-AL10*AL23</f>
        <v>45052.538970241556</v>
      </c>
      <c r="AN51" s="29">
        <f>AN30-AN10*AN23</f>
        <v>31022.435027002124</v>
      </c>
      <c r="AP51" s="29">
        <f>AP30-AP10*AP23</f>
        <v>26282.410325563338</v>
      </c>
      <c r="AQ51" s="29"/>
      <c r="AR51" s="29">
        <f>AR30-AR10*AR23</f>
        <v>20834.60693576932</v>
      </c>
      <c r="AT51" s="29">
        <f>AT30-AT10*AT23</f>
        <v>14653.94404047291</v>
      </c>
      <c r="AV51" s="29">
        <f>AV30-AV10*AV23</f>
        <v>7716.5760966942325</v>
      </c>
      <c r="XFD51" s="29"/>
    </row>
    <row r="52" spans="1:48 16321:16384" x14ac:dyDescent="0.2">
      <c r="A52" t="s">
        <v>167</v>
      </c>
      <c r="B52" s="29">
        <f t="array" ref="B52">Calibration!sL*SUM(B13:C13*B26:C26)</f>
        <v>2049247.8195702801</v>
      </c>
      <c r="D52" s="29">
        <f t="array" ref="D52">Calibration!sL*SUM(D13:E13*D26:E26)</f>
        <v>2030071.1068971211</v>
      </c>
      <c r="F52" s="29">
        <f t="array" ref="F52">Calibration!sL*SUM(F13:G13*F26:G26)</f>
        <v>2009128.3698293837</v>
      </c>
      <c r="H52" s="29">
        <f t="array" ref="H52">Calibration!sL*SUM(H13:I13*H26:I26)</f>
        <v>1986143.3504981378</v>
      </c>
      <c r="J52" s="29">
        <f t="array" ref="J52">Calibration!sL*SUM(J13:K13*J26:K26)</f>
        <v>1960780.7511690417</v>
      </c>
      <c r="L52" s="29">
        <f t="array" ref="L52">Calibration!sL*SUM(L13:M13*L26:M26)</f>
        <v>1932627.6361449372</v>
      </c>
      <c r="N52" s="29">
        <f t="array" ref="N52">Calibration!sL*SUM(N13:O13*N26:O26)</f>
        <v>1901171.3111431401</v>
      </c>
      <c r="P52" s="29">
        <f t="array" ref="P52">Calibration!sL*SUM(P13:Q13*P26:Q26)</f>
        <v>1865768.0257962768</v>
      </c>
      <c r="R52" s="29">
        <f t="array" ref="R52">Calibration!sL*SUM(R13:S13*R26:S26)</f>
        <v>1825599.4222283943</v>
      </c>
      <c r="T52" s="29">
        <f t="array" ref="T52">Calibration!sL*SUM(T13:U13*T26:U26)</f>
        <v>1779613.2581402196</v>
      </c>
      <c r="V52" s="29">
        <f t="array" ref="V52">Calibration!sL*SUM(V13:W13*V26:W26)</f>
        <v>1726440.0746245927</v>
      </c>
      <c r="X52" s="29">
        <f t="array" ref="X52">Calibration!sL*SUM(X13:Y13*X26:Y26)</f>
        <v>1664280.3794312847</v>
      </c>
      <c r="Z52" s="29">
        <f t="array" ref="Z52">Calibration!sL*SUM(Z13:AA13*Z26:AA26)</f>
        <v>1590751.6439851918</v>
      </c>
      <c r="AB52" s="29">
        <f t="array" ref="AB52">Calibration!sL*SUM(AB13:AC13*AB26:AC26)</f>
        <v>1502693.3583505624</v>
      </c>
      <c r="AD52" s="29">
        <f t="array" ref="AD52">Calibration!sL*SUM(AD13:AE13*AD26:AE26)</f>
        <v>1395942.4797711342</v>
      </c>
      <c r="AF52" s="29">
        <f t="array" ref="AF52">Calibration!sL*SUM(AF13:AG13*AF26:AG26)</f>
        <v>1265130.6086542555</v>
      </c>
      <c r="AH52" s="29">
        <f t="array" ref="AH52">Calibration!sL*SUM(AH13:AI13*AH26:AI26)</f>
        <v>1103620.0499724704</v>
      </c>
      <c r="AJ52" s="29">
        <f t="array" ref="AJ52">Calibration!sL*SUM(AJ13:AK13*AJ26:AK26)</f>
        <v>903760.32394269097</v>
      </c>
      <c r="AL52" s="29">
        <f t="array" ref="AL52">Calibration!sL*SUM(AL13:AM13*AL26:AM26)</f>
        <v>657615.73260086251</v>
      </c>
      <c r="AN52" s="29">
        <f t="array" ref="AN52">Calibration!sL*SUM(AN13:AO13*AN26:AO26)</f>
        <v>358084.44898089708</v>
      </c>
      <c r="AP52" s="29">
        <f t="array" ref="AP52">Calibration!sL*SUM(AP13:AQ13*AP26:AQ26)</f>
        <v>291273.96339712263</v>
      </c>
      <c r="AQ52" s="29"/>
      <c r="AR52" s="29">
        <f t="array" ref="AR52">Calibration!sL*SUM(AR13:AS13*AR26:AS26)</f>
        <v>222083.41486314734</v>
      </c>
      <c r="AT52" s="29">
        <f t="array" ref="AT52">Calibration!sL*SUM(AT13:AU13*AT26:AU26)</f>
        <v>150487.50343816646</v>
      </c>
      <c r="AV52" s="29">
        <f t="array" ref="AV52">Calibration!sL*SUM(AV13:AW13*AV26:AW26)</f>
        <v>76465.252268666314</v>
      </c>
    </row>
    <row r="53" spans="1:48 16321:16384" x14ac:dyDescent="0.2">
      <c r="A53" t="s">
        <v>168</v>
      </c>
      <c r="B53" s="29">
        <f t="array" ref="B53">Calibration!sK*SUM(B15:C15*B27:C27)</f>
        <v>2740714.4444296514</v>
      </c>
      <c r="D53" s="29">
        <f t="array" ref="D53">Calibration!sK*SUM(D15:E15*D27:E27)</f>
        <v>2710267.481909154</v>
      </c>
      <c r="F53" s="29">
        <f t="array" ref="F53">Calibration!sK*SUM(F15:G15*F27:G27)</f>
        <v>2677494.4876864091</v>
      </c>
      <c r="H53" s="29">
        <f t="array" ref="H53">Calibration!sK*SUM(H15:I15*H27:I27)</f>
        <v>2642030.9611101556</v>
      </c>
      <c r="J53" s="29">
        <f t="array" ref="J53">Calibration!sK*SUM(J15:K15*J27:K27)</f>
        <v>2603435.9625514215</v>
      </c>
      <c r="L53" s="29">
        <f t="array" ref="L53">Calibration!sK*SUM(L15:M15*L27:M27)</f>
        <v>2561168.7121601584</v>
      </c>
      <c r="N53" s="29">
        <f t="array" ref="N53">Calibration!sK*SUM(N15:O15*N27:O27)</f>
        <v>2514560.4748160583</v>
      </c>
      <c r="P53" s="29">
        <f t="array" ref="P53">Calibration!sK*SUM(P15:Q15*P27:Q27)</f>
        <v>2462774.954865945</v>
      </c>
      <c r="R53" s="29">
        <f t="array" ref="R53">Calibration!sK*SUM(R15:S15*R27:S27)</f>
        <v>2404753.487596273</v>
      </c>
      <c r="T53" s="29">
        <f t="array" ref="T53">Calibration!sK*SUM(T15:U15*T27:U27)</f>
        <v>2339140.4703741614</v>
      </c>
      <c r="V53" s="29">
        <f t="array" ref="V53">Calibration!sK*SUM(V15:W15*V27:W27)</f>
        <v>2264179.2578280279</v>
      </c>
      <c r="X53" s="29">
        <f t="array" ref="X53">Calibration!sK*SUM(X15:Y15*X27:Y27)</f>
        <v>2177571.2695749304</v>
      </c>
      <c r="Z53" s="29">
        <f t="array" ref="Z53">Calibration!sK*SUM(Z15:AA15*Z27:AA27)</f>
        <v>2076286.705853947</v>
      </c>
      <c r="AB53" s="29">
        <f t="array" ref="AB53">Calibration!sK*SUM(AB15:AC15*AB27:AC27)</f>
        <v>1956325.3503582603</v>
      </c>
      <c r="AD53" s="29">
        <f t="array" ref="AD53">Calibration!sK*SUM(AD15:AE15*AD27:AE27)</f>
        <v>1812445.8239778893</v>
      </c>
      <c r="AF53" s="29">
        <f t="array" ref="AF53">Calibration!sK*SUM(AF15:AG15*AF27:AG27)</f>
        <v>1637931.3753648924</v>
      </c>
      <c r="AH53" s="29">
        <f t="array" ref="AH53">Calibration!sK*SUM(AH15:AI15*AH27:AI27)</f>
        <v>1424543.2409197537</v>
      </c>
      <c r="AJ53" s="29">
        <f t="array" ref="AJ53">Calibration!sK*SUM(AJ15:AK15*AJ27:AK27)</f>
        <v>1162889.0049863008</v>
      </c>
      <c r="AL53" s="29">
        <f t="array" ref="AL53">Calibration!sK*SUM(AL15:AM15*AL27:AM27)</f>
        <v>843383.35306199931</v>
      </c>
      <c r="AN53" s="29">
        <f t="array" ref="AN53">Calibration!sK*SUM(AN15:AO15*AN27:AO27)</f>
        <v>457675.04414723127</v>
      </c>
      <c r="AP53" s="29">
        <f t="array" ref="AP53">Calibration!sK*SUM(AP15:AQ15*AP27:AQ27)</f>
        <v>372025.64600020763</v>
      </c>
      <c r="AQ53" s="29"/>
      <c r="AR53" s="29">
        <f t="array" ref="AR53">Calibration!sK*SUM(AR15:AS15*AR27:AS27)</f>
        <v>283456.03803206526</v>
      </c>
      <c r="AT53" s="29">
        <f t="array" ref="AT53">Calibration!sK*SUM(AT15:AU15*AT27:AU27)</f>
        <v>191940.88821599199</v>
      </c>
      <c r="AV53" s="29">
        <f t="array" ref="AV53">Calibration!sK*SUM(AV15:AW15*AV27:AW27)</f>
        <v>97460.346730555422</v>
      </c>
      <c r="XFD53" s="29"/>
    </row>
    <row r="55" spans="1:48 16321:16384" x14ac:dyDescent="0.2">
      <c r="A55" t="s">
        <v>169</v>
      </c>
      <c r="B55" s="193">
        <f>B30/B32</f>
        <v>0.19850271905982084</v>
      </c>
      <c r="D55" s="193">
        <f>D30/D32</f>
        <v>0.20034985111795289</v>
      </c>
      <c r="F55" s="193">
        <f>F30/F32</f>
        <v>0.20220478363653324</v>
      </c>
      <c r="H55" s="193">
        <f>H30/H32</f>
        <v>0.20406857136437365</v>
      </c>
      <c r="J55" s="193">
        <f>J30/J32</f>
        <v>0.20594248079319707</v>
      </c>
      <c r="L55" s="193">
        <f>L30/L32</f>
        <v>0.20782806635639561</v>
      </c>
      <c r="N55" s="193">
        <f>N30/N32</f>
        <v>0.20972727466918653</v>
      </c>
      <c r="P55" s="193">
        <f>P30/P32</f>
        <v>0.21164257713336523</v>
      </c>
      <c r="R55" s="193">
        <f>R30/R32</f>
        <v>0.21357715046014192</v>
      </c>
      <c r="T55" s="193">
        <f>T30/T32</f>
        <v>0.21553509895518069</v>
      </c>
      <c r="V55" s="193">
        <f>V30/V32</f>
        <v>0.21752173141585537</v>
      </c>
      <c r="X55" s="193">
        <f>X30/X32</f>
        <v>0.21954381684755855</v>
      </c>
      <c r="Z55" s="193">
        <f>Z30/Z32</f>
        <v>0.22160977585780742</v>
      </c>
      <c r="AB55" s="193">
        <f>AB30/AB32</f>
        <v>0.2237295381158701</v>
      </c>
      <c r="AD55" s="193">
        <f>AD30/AD32</f>
        <v>0.225913677238507</v>
      </c>
      <c r="AF55" s="193">
        <f>AF30/AF32</f>
        <v>0.22817117664336758</v>
      </c>
      <c r="AH55" s="193">
        <f>AH30/AH32</f>
        <v>0.23050525898409674</v>
      </c>
      <c r="AJ55" s="193">
        <f>AJ30/AJ32</f>
        <v>0.23290756724027187</v>
      </c>
      <c r="AL55" s="193">
        <f>AL30/AL32</f>
        <v>0.23535309746479721</v>
      </c>
      <c r="AN55" s="193">
        <f>AN30/AN32</f>
        <v>0.23780005564149387</v>
      </c>
      <c r="AP55" s="193">
        <f>AP30/AP32</f>
        <v>0.2382851470824511</v>
      </c>
      <c r="AR55" s="193">
        <f>AR30/AR32</f>
        <v>0.2387678096495324</v>
      </c>
      <c r="AT55" s="193">
        <f>AT30/AT32</f>
        <v>0.23924763714269698</v>
      </c>
      <c r="AV55" s="193">
        <f>AV30/AV32</f>
        <v>0.23972424109923385</v>
      </c>
      <c r="XCS55" s="193"/>
      <c r="XFD55" s="193"/>
    </row>
    <row r="56" spans="1:48 16321:16384" x14ac:dyDescent="0.2">
      <c r="A56" t="s">
        <v>170</v>
      </c>
      <c r="B56" s="193">
        <f>(Model!$C$52*B5*B20+B2*C5*C20)/B32</f>
        <v>2.9221206744340551E-2</v>
      </c>
      <c r="D56" s="193">
        <f>(Model!$C$52*D5*D20+D2*E5*E20)/D32</f>
        <v>3.1353754067644977E-2</v>
      </c>
      <c r="F56" s="193">
        <f>(Model!$C$52*F5*F20+F2*G5*G20)/F32</f>
        <v>3.3494600229109717E-2</v>
      </c>
      <c r="H56" s="193">
        <f>(Model!$C$52*H5*H20+H2*I5*I20)/H32</f>
        <v>3.5644667900116431E-2</v>
      </c>
      <c r="J56" s="193">
        <f>(Model!$C$52*J5*J20+J2*K5*K20)/J32</f>
        <v>3.7805101553054131E-2</v>
      </c>
      <c r="L56" s="193">
        <f>(Model!$C$52*L5*L20+L2*M5*M20)/L32</f>
        <v>3.9977310886413223E-2</v>
      </c>
      <c r="N56" s="193">
        <f>(Model!$C$52*N5*N20+N2*O5*O20)/N32</f>
        <v>4.2163101131066597E-2</v>
      </c>
      <c r="P56" s="193">
        <f>(Model!$C$52*P5*P20+P2*Q5*Q20)/P32</f>
        <v>4.4364824391363342E-2</v>
      </c>
      <c r="R56" s="193">
        <f>(Model!$C$52*R5*R20+R2*S5*S20)/R32</f>
        <v>4.6585563787719317E-2</v>
      </c>
      <c r="T56" s="193">
        <f>(Model!$C$52*T5*T20+T2*U5*U20)/T32</f>
        <v>4.8829394426557982E-2</v>
      </c>
      <c r="V56" s="193">
        <f>(Model!$C$52*V5*V20+V2*W5*W20)/V32</f>
        <v>5.1101648971900393E-2</v>
      </c>
      <c r="X56" s="193">
        <f>(Model!$C$52*X5*X20+X2*Y5*Y20)/X32</f>
        <v>5.3409239708958008E-2</v>
      </c>
      <c r="Z56" s="193">
        <f>(Model!$C$52*Z5*Z20+Z2*AA5*AA20)/Z32</f>
        <v>5.5760822544631321E-2</v>
      </c>
      <c r="AB56" s="193">
        <f>(Model!$C$52*AB5*AB20+AB2*AC5*AC20)/AB32</f>
        <v>5.8166612644529325E-2</v>
      </c>
      <c r="AD56" s="193">
        <f>(Model!$C$52*AD5*AD20+AD2*AE5*AE20)/AD32</f>
        <v>6.0637365092297363E-2</v>
      </c>
      <c r="AF56" s="193">
        <f>(Model!$C$52*AF5*AF20+AF2*AG5*AG20)/AF32</f>
        <v>6.3181803251107935E-2</v>
      </c>
      <c r="AH56" s="193">
        <f>(Model!$C$52*AH5*AH20+AH2*AI5*AI20)/AH32</f>
        <v>6.580189160050523E-2</v>
      </c>
      <c r="AJ56" s="193">
        <f>(Model!$C$52*AJ5*AJ20+AJ2*AK5*AK20)/AJ32</f>
        <v>6.8486332936818911E-2</v>
      </c>
      <c r="AL56" s="193">
        <f>(Model!$C$52*AL5*AL20+AL2*AM5*AM20)/AL32</f>
        <v>7.1205119632880676E-2</v>
      </c>
      <c r="AN56" s="193">
        <f>(Model!$C$52*AN5*AN20+AN2*AO5*AO20)/AN32</f>
        <v>7.3909874410113929E-2</v>
      </c>
      <c r="AP56" s="193">
        <f>(Model!$C$52*AP5*AP20+AP2*AQ5*AQ20)/AP32</f>
        <v>7.4444061040094586E-2</v>
      </c>
      <c r="AR56" s="193">
        <f>(Model!$C$52*AR5*AR20+AR2*AS5*AS20)/AR32</f>
        <v>7.4974878820044985E-2</v>
      </c>
      <c r="AT56" s="193">
        <f>(Model!$C$52*AT5*AT20+AT2*AU5*AU20)/AT32</f>
        <v>7.5501875824907444E-2</v>
      </c>
      <c r="AV56" s="193">
        <f>(Model!$C$52*AV5*AV20+AV2*AW5*AW20)/AV32</f>
        <v>7.6024621027514977E-2</v>
      </c>
      <c r="XFD56" s="193"/>
    </row>
    <row r="57" spans="1:48 16321:16384" x14ac:dyDescent="0.2">
      <c r="A57" t="s">
        <v>171</v>
      </c>
      <c r="B57" s="193">
        <f t="array" ref="B57">SUM(Model!tauL*B13:C13*B26:C26)/B32</f>
        <v>0.15852881819439493</v>
      </c>
      <c r="D57" s="193">
        <f t="array" ref="D57">SUM(Model!tauL*D13:E13*D26:E26)/D32</f>
        <v>0.15832222105354204</v>
      </c>
      <c r="F57" s="193">
        <f t="array" ref="F57">SUM(Model!tauL*F13:G13*F26:G26)/F32</f>
        <v>0.15811576882831962</v>
      </c>
      <c r="H57" s="193">
        <f t="array" ref="H57">SUM(Model!tauL*H13:I13*H26:I26)/H32</f>
        <v>0.15790965002756197</v>
      </c>
      <c r="J57" s="193">
        <f t="array" ref="J57">SUM(Model!tauL*J13:K13*J26:K26)/J32</f>
        <v>0.15770404488601644</v>
      </c>
      <c r="L57" s="193">
        <f t="array" ref="L57">SUM(Model!tauL*L13:M13*L26:M26)/L32</f>
        <v>0.15749914610962276</v>
      </c>
      <c r="N57" s="193">
        <f t="array" ref="N57">SUM(Model!tauL*N13:O13*N26:O26)/N32</f>
        <v>0.15729513050732638</v>
      </c>
      <c r="P57" s="193">
        <f t="array" ref="P57">SUM(Model!tauL*P13:Q13*P26:Q26)/P32</f>
        <v>0.15709213262218141</v>
      </c>
      <c r="R57" s="193">
        <f t="array" ref="R57">SUM(Model!tauL*R13:S13*R26:S26)/R32</f>
        <v>0.15689022539504904</v>
      </c>
      <c r="T57" s="193">
        <f t="array" ref="T57">SUM(Model!tauL*T13:U13*T26:U26)/T32</f>
        <v>0.15668936599824887</v>
      </c>
      <c r="V57" s="193">
        <f t="array" ref="V57">SUM(Model!tauL*V13:W13*V26:W26)/V32</f>
        <v>0.1564893736250664</v>
      </c>
      <c r="X57" s="193">
        <f t="array" ref="X57">SUM(Model!tauL*X13:Y13*X26:Y26)/X32</f>
        <v>0.15628983569952146</v>
      </c>
      <c r="Y57" s="193"/>
      <c r="Z57" s="193">
        <f t="array" ref="Z57">SUM(Model!tauL*Z13:AA13*Z26:AA26)/Z32</f>
        <v>0.1560900821118254</v>
      </c>
      <c r="AB57" s="193">
        <f t="array" ref="AB57">SUM(Model!tauL*AB13:AC13*AB26:AC26)/AB32</f>
        <v>0.15588917298290825</v>
      </c>
      <c r="AD57" s="193">
        <f t="array" ref="AD57">SUM(Model!tauL*AD13:AE13*AD26:AE26)/AD32</f>
        <v>0.15568600087941453</v>
      </c>
      <c r="AF57" s="193">
        <f t="array" ref="AF57">SUM(Model!tauL*AF13:AG13*AF26:AG26)/AF32</f>
        <v>0.15547960701055</v>
      </c>
      <c r="AH57" s="193">
        <f t="array" ref="AH57">SUM(Model!tauL*AH13:AI13*AH26:AI26)/AH32</f>
        <v>0.15526979589507681</v>
      </c>
      <c r="AJ57" s="193">
        <f t="array" ref="AJ57">SUM(Model!tauL*AJ13:AK13*AJ26:AK26)/AJ32</f>
        <v>0.15505800207585541</v>
      </c>
      <c r="AL57" s="193">
        <f t="array" ref="AL57">SUM(Model!tauL*AL13:AM13*AL26:AM26)/AL32</f>
        <v>0.15484797948690951</v>
      </c>
      <c r="AN57" s="193">
        <f t="array" ref="AN57">SUM(Model!tauL*AN13:AO13*AN26:AO26)/AN32</f>
        <v>0.15464563420201421</v>
      </c>
      <c r="AP57" s="193">
        <f t="array" ref="AP57">SUM(Model!tauL*AP13:AQ13*AP26:AQ26)/AP32</f>
        <v>0.15460668635593283</v>
      </c>
      <c r="AR57" s="193">
        <f t="array" ref="AR57">SUM(Model!tauL*AR13:AS13*AR26:AS26)/AR32</f>
        <v>0.15456837032043089</v>
      </c>
      <c r="AT57" s="193">
        <f t="array" ref="AT57">SUM(Model!tauL*AT13:AU13*AT26:AU26)/AT32</f>
        <v>0.1545307362321616</v>
      </c>
      <c r="AV57" s="193">
        <f t="array" ref="AV57">SUM(Model!tauL*AV13:AW13*AV26:AW26)/AV32</f>
        <v>0.15449383179926182</v>
      </c>
      <c r="XFD57" s="193"/>
    </row>
    <row r="58" spans="1:48 16321:16384" x14ac:dyDescent="0.2">
      <c r="A58" t="s">
        <v>172</v>
      </c>
      <c r="B58" s="193">
        <f t="array" ref="B58">SUM(Model!tauY/(1+Model!tauY)*B3:C3*B18:C18)/B32</f>
        <v>1.075269412108535E-2</v>
      </c>
      <c r="D58" s="193">
        <f t="array" ref="D58">SUM(Model!tauY/(1+Model!tauY)*D3:E3*D18:E18)/D32</f>
        <v>1.0673875996765884E-2</v>
      </c>
      <c r="F58" s="193">
        <f t="array" ref="F58">SUM(Model!tauY/(1+Model!tauY)*F3:G3*F18:G18)/F32</f>
        <v>1.0594414579103907E-2</v>
      </c>
      <c r="H58" s="193">
        <f t="array" ref="H58">SUM(Model!tauY/(1+Model!tauY)*H3:I3*H18:I18)/H32</f>
        <v>1.0514253436695235E-2</v>
      </c>
      <c r="J58" s="193">
        <f t="array" ref="J58">SUM(Model!tauY/(1+Model!tauY)*J3:K3*J18:K18)/J32</f>
        <v>1.043333435412655E-2</v>
      </c>
      <c r="L58" s="193">
        <f t="array" ref="L58">SUM(Model!tauY/(1+Model!tauY)*L3:M3*L18:M18)/L32</f>
        <v>1.035160936035965E-2</v>
      </c>
      <c r="N58" s="193">
        <f t="array" ref="N58">SUM(Model!tauY/(1+Model!tauY)*N3:O3*N18:O18)/N32</f>
        <v>1.0269043030793562E-2</v>
      </c>
      <c r="P58" s="193">
        <f t="array" ref="P58">SUM(Model!tauY/(1+Model!tauY)*P3:Q3*P18:Q18)/P32</f>
        <v>1.0185620119820469E-2</v>
      </c>
      <c r="R58" s="193">
        <f t="array" ref="R58">SUM(Model!tauY/(1+Model!tauY)*R3:S3*R18:S18)/R32</f>
        <v>1.010136127737356E-2</v>
      </c>
      <c r="T58" s="193">
        <f t="array" ref="T58">SUM(Model!tauY/(1+Model!tauY)*T3:U3*T18:U18)/T32</f>
        <v>1.0016338530373843E-2</v>
      </c>
      <c r="V58" s="193">
        <f t="array" ref="V58">SUM(Model!tauY/(1+Model!tauY)*V3:W3*V18:W18)/V32</f>
        <v>9.93070881888862E-3</v>
      </c>
      <c r="X58" s="193">
        <f t="array" ref="X58">SUM(Model!tauY/(1+Model!tauY)*X3:Y3*X18:Y18)/X32</f>
        <v>9.8447414390790897E-3</v>
      </c>
      <c r="Y58" s="193"/>
      <c r="Z58" s="193">
        <f t="array" ref="Z58">SUM(Model!tauY/(1+Model!tauY)*Z3:AA3*Z18:AA18)/Z32</f>
        <v>9.7588712013506745E-3</v>
      </c>
      <c r="AB58" s="193">
        <f t="array" ref="AB58">SUM(Model!tauY/(1+Model!tauY)*AB3:AC3*AB18:AC18)/AB32</f>
        <v>9.6737524884325261E-3</v>
      </c>
      <c r="AD58" s="193">
        <f t="array" ref="AD58">SUM(Model!tauY/(1+Model!tauY)*AD3:AE3*AD18:AE18)/AD32</f>
        <v>9.5903112667951335E-3</v>
      </c>
      <c r="AF58" s="193">
        <f t="array" ref="AF58">SUM(Model!tauY/(1+Model!tauY)*AF3:AG3*AF18:AG18)/AF32</f>
        <v>9.5097663817096719E-3</v>
      </c>
      <c r="AH58" s="193">
        <f t="array" ref="AH58">SUM(Model!tauY/(1+Model!tauY)*AH3:AI3*AH18:AI18)/AH32</f>
        <v>9.4335714885147356E-3</v>
      </c>
      <c r="AJ58" s="193">
        <f t="array" ref="AJ58">SUM(Model!tauY/(1+Model!tauY)*AJ3:AK3*AJ18:AK18)/AJ32</f>
        <v>9.3632322275975337E-3</v>
      </c>
      <c r="AL58" s="193">
        <f t="array" ref="AL58">SUM(Model!tauY/(1+Model!tauY)*AL3:AM3*AL18:AM18)/AL32</f>
        <v>9.299998345007018E-3</v>
      </c>
      <c r="AN58" s="193">
        <f t="array" ref="AN58">SUM(Model!tauY/(1+Model!tauY)*AN3:AO3*AN18:AO18)/AN32</f>
        <v>9.2445470293657638E-3</v>
      </c>
      <c r="AP58" s="193">
        <f t="array" ref="AP58">SUM(Model!tauY/(1+Model!tauY)*AP3:AQ3*AP18:AQ18)/AP32</f>
        <v>9.2343996864237016E-3</v>
      </c>
      <c r="AR58" s="193">
        <f t="array" ref="AR58">SUM(Model!tauY/(1+Model!tauY)*AR3:AS3*AR18:AS18)/AR32</f>
        <v>9.2245605090565015E-3</v>
      </c>
      <c r="AT58" s="193">
        <f t="array" ref="AT58">SUM(Model!tauY/(1+Model!tauY)*AT3:AU3*AT18:AU18)/AT32</f>
        <v>9.2150250856279335E-3</v>
      </c>
      <c r="AV58" s="193">
        <f t="array" ref="AV58">SUM(Model!tauY/(1+Model!tauY)*AV3:AW3*AV18:AW18)/AV32</f>
        <v>9.2057882724570321E-3</v>
      </c>
      <c r="XFD58" s="193"/>
    </row>
    <row r="59" spans="1:48 16321:16384" x14ac:dyDescent="0.2">
      <c r="A59" t="s">
        <v>173</v>
      </c>
      <c r="B59" s="193">
        <f>(B2*C5*C20)/B32</f>
        <v>5.5174232040962052E-4</v>
      </c>
      <c r="D59" s="193">
        <f>(D2*E5*E20)/D32</f>
        <v>2.7210973197584237E-3</v>
      </c>
      <c r="F59" s="193">
        <f>(F2*G5*G20)/F32</f>
        <v>4.8992931368576249E-3</v>
      </c>
      <c r="H59" s="193">
        <f>(H2*I5*I20)/H32</f>
        <v>7.0873038447080254E-3</v>
      </c>
      <c r="J59" s="193">
        <f>(J2*K5*K20)/J32</f>
        <v>9.2863350671780493E-3</v>
      </c>
      <c r="L59" s="193">
        <f>(L2*M5*M20)/L32</f>
        <v>1.1497865479854076E-2</v>
      </c>
      <c r="N59" s="193">
        <f>(N2*O5*O20)/N32</f>
        <v>1.3723780946705979E-2</v>
      </c>
      <c r="P59" s="193">
        <f>(P2*Q5*Q20)/P32</f>
        <v>1.5966529075526346E-2</v>
      </c>
      <c r="R59" s="193">
        <f>(R2*S5*S20)/R32</f>
        <v>1.8229305097585313E-2</v>
      </c>
      <c r="T59" s="193">
        <f>(T2*U5*U20)/T32</f>
        <v>2.0516317637616292E-2</v>
      </c>
      <c r="V59" s="193">
        <f>(V2*W5*W20)/V32</f>
        <v>2.2833053734818854E-2</v>
      </c>
      <c r="X59" s="193">
        <f>(X2*Y5*Y20)/X32</f>
        <v>2.5186606183247338E-2</v>
      </c>
      <c r="Z59" s="193">
        <f>(Z2*AA5*AA20)/Z32</f>
        <v>2.7585831098303995E-2</v>
      </c>
      <c r="AB59" s="193">
        <f>(AB2*AC5*AC20)/AB32</f>
        <v>3.0041150600168487E-2</v>
      </c>
      <c r="AD59" s="193">
        <f>(AD2*AE5*AE20)/AD32</f>
        <v>3.2563501345565037E-2</v>
      </c>
      <c r="AF59" s="193">
        <f>(AF2*AG5*AG20)/AF32</f>
        <v>3.5161701444456073E-2</v>
      </c>
      <c r="AH59" s="193">
        <f>(AH2*AI5*AI20)/AH32</f>
        <v>3.7837626759217896E-2</v>
      </c>
      <c r="AJ59" s="193">
        <f>(AJ2*AK5*AK20)/AJ32</f>
        <v>4.0579592759733302E-2</v>
      </c>
      <c r="AL59" s="193">
        <f>(AL2*AM5*AM20)/AL32</f>
        <v>4.3356830087142618E-2</v>
      </c>
      <c r="AN59" s="193">
        <f>(AN2*AO5*AO20)/AN32</f>
        <v>4.6119870832325362E-2</v>
      </c>
      <c r="AP59" s="193">
        <f>(AP2*AQ5*AQ20)/AP32</f>
        <v>4.6665586316732378E-2</v>
      </c>
      <c r="AR59" s="193">
        <f>(AR2*AS5*AS20)/AR32</f>
        <v>4.7207867283727348E-2</v>
      </c>
      <c r="AT59" s="193">
        <f>(AT2*AU5*AU20)/AT32</f>
        <v>4.7746252322038517E-2</v>
      </c>
      <c r="AV59" s="193">
        <f>(AV2*AW5*AW20)/AV32</f>
        <v>4.8280301191908293E-2</v>
      </c>
      <c r="XFD59" s="193"/>
    </row>
    <row r="60" spans="1:48 16321:16384" x14ac:dyDescent="0.2">
      <c r="A60" t="s">
        <v>174</v>
      </c>
      <c r="B60" s="193">
        <f>Model!$C$52*B5*B20/B32</f>
        <v>2.8669464423930927E-2</v>
      </c>
      <c r="D60" s="193">
        <f>Model!$C$52*D5*D20/D32</f>
        <v>2.8632656747886558E-2</v>
      </c>
      <c r="F60" s="193">
        <f>Model!$C$52*F5*F20/F32</f>
        <v>2.8595307092252092E-2</v>
      </c>
      <c r="H60" s="193">
        <f>Model!$C$52*H5*H20/H32</f>
        <v>2.8557364055408405E-2</v>
      </c>
      <c r="J60" s="193">
        <f>Model!$C$52*J5*J20/J32</f>
        <v>2.8518766485876073E-2</v>
      </c>
      <c r="L60" s="193">
        <f>Model!$C$52*L5*L20/L32</f>
        <v>2.8479445406559143E-2</v>
      </c>
      <c r="N60" s="193">
        <f>Model!$C$52*N5*N20/N32</f>
        <v>2.8439320184360618E-2</v>
      </c>
      <c r="P60" s="193">
        <f>Model!$C$52*P5*P20/P32</f>
        <v>2.8398295315836999E-2</v>
      </c>
      <c r="R60" s="193">
        <f>Model!$C$52*R5*R20/R32</f>
        <v>2.8356258690134004E-2</v>
      </c>
      <c r="T60" s="193">
        <f>Model!$C$52*T5*T20/T32</f>
        <v>2.8313076788941693E-2</v>
      </c>
      <c r="V60" s="193">
        <f>Model!$C$52*V5*V20/V32</f>
        <v>2.8268595237081535E-2</v>
      </c>
      <c r="X60" s="193">
        <f>Model!$C$52*X5*X20/X32</f>
        <v>2.8222633525710666E-2</v>
      </c>
      <c r="Z60" s="193">
        <f>Model!$C$52*Z5*Z20/Z32</f>
        <v>2.8174991446327315E-2</v>
      </c>
      <c r="AB60" s="193">
        <f>Model!$C$52*AB5*AB20/AB32</f>
        <v>2.8125462044360838E-2</v>
      </c>
      <c r="AD60" s="193">
        <f>Model!$C$52*AD5*AD20/AD32</f>
        <v>2.8073863746732319E-2</v>
      </c>
      <c r="AF60" s="193">
        <f>Model!$C$52*AF5*AF20/AF32</f>
        <v>2.8020101806651862E-2</v>
      </c>
      <c r="AH60" s="193">
        <f>Model!$C$52*AH5*AH20/AH32</f>
        <v>2.796426484128732E-2</v>
      </c>
      <c r="AJ60" s="193">
        <f>Model!$C$52*AJ5*AJ20/AJ32</f>
        <v>2.7906740177085599E-2</v>
      </c>
      <c r="AL60" s="193">
        <f>Model!$C$52*AL5*AL20/AL32</f>
        <v>2.7848289545738064E-2</v>
      </c>
      <c r="AN60" s="193">
        <f>Model!$C$52*AN5*AN20/AN32</f>
        <v>2.7790003577788561E-2</v>
      </c>
      <c r="AP60" s="193">
        <f>Model!$C$52*AP5*AP20/AP32</f>
        <v>2.7778474723362208E-2</v>
      </c>
      <c r="AR60" s="193">
        <f>Model!$C$52*AR5*AR20/AR32</f>
        <v>2.7767011536317644E-2</v>
      </c>
      <c r="AT60" s="193">
        <f>Model!$C$52*AT5*AT20/AT32</f>
        <v>2.7755623502868938E-2</v>
      </c>
      <c r="AV60" s="193">
        <f>Model!$C$52*AV5*AV20/AV32</f>
        <v>2.7744319835606678E-2</v>
      </c>
      <c r="XFD60" s="193"/>
    </row>
    <row r="62" spans="1:48 16321:16384" x14ac:dyDescent="0.2">
      <c r="A62" t="s">
        <v>175</v>
      </c>
      <c r="B62">
        <f>B13/B15</f>
        <v>1</v>
      </c>
      <c r="D62">
        <f>D13/D15</f>
        <v>1.0005737250821527</v>
      </c>
      <c r="F62">
        <f>F13/F15</f>
        <v>1.0012045648508656</v>
      </c>
      <c r="H62">
        <f>H13/H15</f>
        <v>1.0019046364024957</v>
      </c>
      <c r="J62">
        <f>J13/J15</f>
        <v>1.00268833854642</v>
      </c>
      <c r="L62">
        <f>L13/L15</f>
        <v>1.0035729663943191</v>
      </c>
      <c r="N62">
        <f>N13/N15</f>
        <v>1.0045793451234393</v>
      </c>
      <c r="P62">
        <f>P13/P15</f>
        <v>1.0057327164068415</v>
      </c>
      <c r="R62">
        <f>R13/R15</f>
        <v>1.0070638716119176</v>
      </c>
      <c r="T62">
        <f>T13/T15</f>
        <v>1.0086105606819538</v>
      </c>
      <c r="V62">
        <f>V13/V15</f>
        <v>1.0104192281978492</v>
      </c>
      <c r="X62">
        <f>X13/X15</f>
        <v>1.012547031345604</v>
      </c>
      <c r="Z62">
        <f>Z13/Z15</f>
        <v>1.0150638559502478</v>
      </c>
      <c r="AB62">
        <f>AB13/AB15</f>
        <v>1.0180536807500271</v>
      </c>
      <c r="AD62">
        <f>AD13/AD15</f>
        <v>1.0216137821453424</v>
      </c>
      <c r="AF62">
        <f>AF13/AF15</f>
        <v>1.0258491513823373</v>
      </c>
      <c r="AH62">
        <f>AH13/AH15</f>
        <v>1.0308586596139369</v>
      </c>
      <c r="AJ62">
        <f>AJ13/AJ15</f>
        <v>1.0367110929553753</v>
      </c>
      <c r="AL62">
        <f>AL13/AL15</f>
        <v>1.0434155552311786</v>
      </c>
      <c r="AN62">
        <f>AN13/AN15</f>
        <v>1.0509001847862094</v>
      </c>
      <c r="AP62">
        <f>AP13/AP15</f>
        <v>1.0524786500244445</v>
      </c>
      <c r="AR62">
        <f>AR13/AR15</f>
        <v>1.0540809763816126</v>
      </c>
      <c r="AT62">
        <f>AT13/AT15</f>
        <v>1.0557055880778758</v>
      </c>
      <c r="AV62">
        <f>AV13/AV15</f>
        <v>1.0573508562060647</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0.99911000963027141</v>
      </c>
      <c r="E65" s="191"/>
      <c r="F65" s="191">
        <f t="array" ref="F65">SQRT((F9:G9*$B$22:$C$22+F10:G10*$B$23:$C$23+F11:G11*$B$24:$C$24+F4:G4*($B$25:$C$25-$B$19:$C$19))/($B$9:$C$9*$B$22:$C$22+$B$10:$C$10*$B$23:$C$23+$B$11:$C$11*$B$24:$C$24+$B$4:$C$4*($B$25:$C$25-$B$19:$C$19))*(F9:G9*F22:G22+F10:G10*F23:G23+F11:G11*F24:G24+F4:G4*(F25:G25-F19:G19))/($B$9:$C$9*F22:G22+$B$10:$C$10*F23:G23+$B$11:$C$11*F24:G24+$B$4:$C$4*(F25:G25-F19:G19)))</f>
        <v>0.99821496290278777</v>
      </c>
      <c r="G65" s="191"/>
      <c r="H65" s="191">
        <f t="array" ref="H65">SQRT((H9:I9*$B$22:$C$22+H10:I10*$B$23:$C$23+H11:I11*$B$24:$C$24+H4:I4*($B$25:$C$25-$B$19:$C$19))/($B$9:$C$9*$B$22:$C$22+$B$10:$C$10*$B$23:$C$23+$B$11:$C$11*$B$24:$C$24+$B$4:$C$4*($B$25:$C$25-$B$19:$C$19))*(H9:I9*H22:I22+H10:I10*H23:I23+H11:I11*H24:I24+H4:I4*(H25:I25-H19:I19))/($B$9:$C$9*H22:I22+$B$10:$C$10*H23:I23+$B$11:$C$11*H24:I24+$B$4:$C$4*(H25:I25-H19:I19)))</f>
        <v>0.99731421625868488</v>
      </c>
      <c r="I65" s="191"/>
      <c r="J65" s="191">
        <f t="array" ref="J65">SQRT((J9:K9*$B$22:$C$22+J10:K10*$B$23:$C$23+J11:K11*$B$24:$C$24+J4:K4*($B$25:$C$25-$B$19:$C$19))/($B$9:$C$9*$B$22:$C$22+$B$10:$C$10*$B$23:$C$23+$B$11:$C$11*$B$24:$C$24+$B$4:$C$4*($B$25:$C$25-$B$19:$C$19))*(J9:K9*J22:K22+J10:K10*J23:K23+J11:K11*J24:K24+J4:K4*(J25:K25-J19:K19))/($B$9:$C$9*J22:K22+$B$10:$C$10*J23:K23+$B$11:$C$11*J24:K24+$B$4:$C$4*(J25:K25-J19:K19)))</f>
        <v>0.99640743491735584</v>
      </c>
      <c r="K65" s="191"/>
      <c r="L65" s="191">
        <f t="array" ref="L65">SQRT((L9:M9*$B$22:$C$22+L10:M10*$B$23:$C$23+L11:M11*$B$24:$C$24+L4:M4*($B$25:$C$25-$B$19:$C$19))/($B$9:$C$9*$B$22:$C$22+$B$10:$C$10*$B$23:$C$23+$B$11:$C$11*$B$24:$C$24+$B$4:$C$4*($B$25:$C$25-$B$19:$C$19))*(L9:M9*L22:M22+L10:M10*L23:M23+L11:M11*L24:M24+L4:M4*(L25:M25-L19:M19))/($B$9:$C$9*L22:M22+$B$10:$C$10*L23:M23+$B$11:$C$11*L24:M24+$B$4:$C$4*(L25:M25-L19:M19)))</f>
        <v>0.99549478552637916</v>
      </c>
      <c r="M65" s="191"/>
      <c r="N65" s="191">
        <f t="array" ref="N65">SQRT((N9:O9*$B$22:$C$22+N10:O10*$B$23:$C$23+N11:O11*$B$24:$C$24+N4:O4*($B$25:$C$25-$B$19:$C$19))/($B$9:$C$9*$B$22:$C$22+$B$10:$C$10*$B$23:$C$23+$B$11:$C$11*$B$24:$C$24+$B$4:$C$4*($B$25:$C$25-$B$19:$C$19))*(N9:O9*N22:O22+N10:O10*N23:O23+N11:O11*N24:O24+N4:O4*(N25:O25-N19:O19))/($B$9:$C$9*N22:O22+$B$10:$C$10*N23:O23+$B$11:$C$11*N24:O24+$B$4:$C$4*(N25:O25-N19:O19)))</f>
        <v>0.99457719102536379</v>
      </c>
      <c r="O65" s="191"/>
      <c r="P65" s="191">
        <f t="array" ref="P65">SQRT((P9:Q9*$B$22:$C$22+P10:Q10*$B$23:$C$23+P11:Q11*$B$24:$C$24+P4:Q4*($B$25:$C$25-$B$19:$C$19))/($B$9:$C$9*$B$22:$C$22+$B$10:$C$10*$B$23:$C$23+$B$11:$C$11*$B$24:$C$24+$B$4:$C$4*($B$25:$C$25-$B$19:$C$19))*(P9:Q9*P22:Q22+P10:Q10*P23:Q23+P11:Q11*P24:Q24+P4:Q4*(P25:Q25-P19:Q19))/($B$9:$C$9*P22:Q22+$B$10:$C$10*P23:Q23+$B$11:$C$11*P24:Q24+$B$4:$C$4*(P25:Q25-P19:Q19)))</f>
        <v>0.99365669420465963</v>
      </c>
      <c r="Q65" s="191"/>
      <c r="R65" s="191">
        <f t="array" ref="R65">SQRT((R9:S9*$B$22:$C$22+R10:S10*$B$23:$C$23+R11:S11*$B$24:$C$24+R4:S4*($B$25:$C$25-$B$19:$C$19))/($B$9:$C$9*$B$22:$C$22+$B$10:$C$10*$B$23:$C$23+$B$11:$C$11*$B$24:$C$24+$B$4:$C$4*($B$25:$C$25-$B$19:$C$19))*(R9:S9*R22:S22+R10:S10*R23:S23+R11:S11*R24:S24+R4:S4*(R25:S25-R19:S19))/($B$9:$C$9*R22:S22+$B$10:$C$10*R23:S23+$B$11:$C$11*R24:S24+$B$4:$C$4*(R25:S25-R19:S19)))</f>
        <v>0.99273695564029019</v>
      </c>
      <c r="S65" s="191"/>
      <c r="T65" s="191">
        <f t="array" ref="T65">SQRT((T9:U9*$B$22:$C$22+T10:U10*$B$23:$C$23+T11:U11*$B$24:$C$24+T4:U4*($B$25:$C$25-$B$19:$C$19))/($B$9:$C$9*$B$22:$C$22+$B$10:$C$10*$B$23:$C$23+$B$11:$C$11*$B$24:$C$24+$B$4:$C$4*($B$25:$C$25-$B$19:$C$19))*(T9:U9*T22:U22+T10:U10*T23:U23+T11:U11*T24:U24+T4:U4*(T25:U25-T19:U19))/($B$9:$C$9*T22:U22+$B$10:$C$10*T23:U23+$B$11:$C$11*T24:U24+$B$4:$C$4*(T25:U25-T19:U19)))</f>
        <v>0.99182392931011498</v>
      </c>
      <c r="U65" s="191"/>
      <c r="V65" s="191">
        <f t="array" ref="V65">SQRT((V9:W9*$B$22:$C$22+V10:W10*$B$23:$C$23+V11:W11*$B$24:$C$24+V4:W4*($B$25:$C$25-$B$19:$C$19))/($B$9:$C$9*$B$22:$C$22+$B$10:$C$10*$B$23:$C$23+$B$11:$C$11*$B$24:$C$24+$B$4:$C$4*($B$25:$C$25-$B$19:$C$19))*(V9:W9*V22:W22+V10:W10*V23:W23+V11:W11*V24:W24+V4:W4*(V25:W25-V19:W19))/($B$9:$C$9*V22:W22+$B$10:$C$10*V23:W23+$B$11:$C$11*V24:W24+$B$4:$C$4*(V25:W25-V19:W19)))</f>
        <v>0.99092673516566554</v>
      </c>
      <c r="W65" s="191"/>
      <c r="X65" s="191">
        <f t="array" ref="X65">SQRT((X9:Y9*$B$22:$C$22+X10:Y10*$B$23:$C$23+X11:Y11*$B$24:$C$24+X4:Y4*($B$25:$C$25-$B$19:$C$19))/($B$9:$C$9*$B$22:$C$22+$B$10:$C$10*$B$23:$C$23+$B$11:$C$11*$B$24:$C$24+$B$4:$C$4*($B$25:$C$25-$B$19:$C$19))*(X9:Y9*X22:Y22+X10:Y10*X23:Y23+X11:Y11*X24:Y24+X4:Y4*(X25:Y25-X19:Y19))/($B$9:$C$9*X22:Y22+$B$10:$C$10*X23:Y23+$B$11:$C$11*X24:Y24+$B$4:$C$4*(X25:Y25-X19:Y19)))</f>
        <v>0.99005876673276116</v>
      </c>
      <c r="Y65" s="191"/>
      <c r="Z65" s="191">
        <f t="array" ref="Z65">SQRT((Z9:AA9*$B$22:$C$22+Z10:AA10*$B$23:$C$23+Z11:AA11*$B$24:$C$24+Z4:AA4*($B$25:$C$25-$B$19:$C$19))/($B$9:$C$9*$B$22:$C$22+$B$10:$C$10*$B$23:$C$23+$B$11:$C$11*$B$24:$C$24+$B$4:$C$4*($B$25:$C$25-$B$19:$C$19))*(Z9:AA9*Z22:AA22+Z10:AA10*Z23:AA23+Z11:AA11*Z24:AA24+Z4:AA4*(Z25:AA25-Z19:AA19))/($B$9:$C$9*Z22:AA22+$B$10:$C$10*Z23:AA23+$B$11:$C$11*Z24:AA24+$B$4:$C$4*(Z25:AA25-Z19:AA19)))</f>
        <v>0.98923891616403559</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0.98849266728928442</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0.9878523996938201</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0.98735569777208243</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0.98704014943520824</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0.98693381935413294</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0.9870438063934589</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0.98734924367871846</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0.98743010551771793</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0.98751656835621782</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0.98760817406056911</v>
      </c>
      <c r="AU65" s="191"/>
      <c r="AV65" s="191">
        <f t="array" ref="AV65">SQRT((AV9:AW9*$B$22:$C$22+AV10:AW10*$B$23:$C$23+AV11:AW11*$B$24:$C$24+AV4:AW4*($B$25:$C$25-$B$19:$C$19))/($B$9:$C$9*$B$22:$C$22+$B$10:$C$10*$B$23:$C$23+$B$11:$C$11*$B$24:$C$24+$B$4:$C$4*($B$25:$C$25-$B$19:$C$19))*(AV9:AW9*AV22:AW22+AV10:AW10*AV23:AW23+AV11:AW11*AV24:AW24+AV4:AW4*(AV25:AW25-AV19:AW19))/($B$9:$C$9*AV22:AW22+$B$10:$C$10*AV23:AW23+$B$11:$C$11*AV24:AW24+$B$4:$C$4*(AV25:AW25-AV19:AW19)))</f>
        <v>0.98770445777216431</v>
      </c>
    </row>
    <row r="66" spans="1:48 16384:16384" x14ac:dyDescent="0.2">
      <c r="A66" t="s">
        <v>182</v>
      </c>
      <c r="B66" s="191">
        <f t="array" ref="B66">SQRT((B9:C9*$B$22:$C$22)/($B$9:$C$9*$B$22:$C$22)*(B9:C9*B22:C22)/($B$9:$C$9*B22:C22))</f>
        <v>1</v>
      </c>
      <c r="C66" s="191"/>
      <c r="D66" s="191">
        <f t="array" ref="D66">SQRT((D9:E9*$B$22:$C$22)/($B$9:$C$9*$B$22:$C$22)*(D9:E9*D22:E22)/($B$9:$C$9*D22:E22))</f>
        <v>0.99902132818724465</v>
      </c>
      <c r="E66" s="191"/>
      <c r="F66" s="191">
        <f t="array" ref="F66">SQRT((F9:G9*$B$22:$C$22)/($B$9:$C$9*$B$22:$C$22)*(F9:G9*F22:G22)/($B$9:$C$9*F22:G22))</f>
        <v>0.99803598227551715</v>
      </c>
      <c r="G66" s="191"/>
      <c r="H66" s="191">
        <f t="array" ref="H66">SQRT((H9:I9*$B$22:$C$22)/($B$9:$C$9*$B$22:$C$22)*(H9:I9*H22:I22)/($B$9:$C$9*H22:I22))</f>
        <v>0.99704322886842311</v>
      </c>
      <c r="I66" s="191"/>
      <c r="J66" s="191">
        <f t="array" ref="J66">SQRT((J9:K9*$B$22:$C$22)/($B$9:$C$9*$B$22:$C$22)*(J9:K9*J22:K22)/($B$9:$C$9*J22:K22))</f>
        <v>0.99604267177315164</v>
      </c>
      <c r="K66" s="191"/>
      <c r="L66" s="191">
        <f t="array" ref="L66">SQRT((L9:M9*$B$22:$C$22)/($B$9:$C$9*$B$22:$C$22)*(L9:M9*L22:M22)/($B$9:$C$9*L22:M22))</f>
        <v>0.99503446695124342</v>
      </c>
      <c r="M66" s="191"/>
      <c r="N66" s="191">
        <f t="array" ref="N66">SQRT((N9:O9*$B$22:$C$22)/($B$9:$C$9*$B$22:$C$22)*(N9:O9*N22:O22)/($B$9:$C$9*N22:O22))</f>
        <v>0.994019607997076</v>
      </c>
      <c r="O66" s="191"/>
      <c r="P66" s="191">
        <f t="array" ref="P66">SQRT((P9:Q9*$B$22:$C$22)/($B$9:$C$9*$B$22:$C$22)*(P9:Q9*P22:Q22)/($B$9:$C$9*P22:Q22))</f>
        <v>0.99300033430120138</v>
      </c>
      <c r="Q66" s="191"/>
      <c r="R66" s="191">
        <f t="array" ref="R66">SQRT((R9:S9*$B$22:$C$22)/($B$9:$C$9*$B$22:$C$22)*(R9:S9*R22:S22)/($B$9:$C$9*R22:S22))</f>
        <v>0.99198069144485657</v>
      </c>
      <c r="S66" s="191"/>
      <c r="T66" s="191">
        <f t="array" ref="T66">SQRT((T9:U9*$B$22:$C$22)/($B$9:$C$9*$B$22:$C$22)*(T9:U9*T22:U22)/($B$9:$C$9*T22:U22))</f>
        <v>0.99096729322788735</v>
      </c>
      <c r="U66" s="191"/>
      <c r="V66" s="191">
        <f t="array" ref="V66">SQRT((V9:W9*$B$22:$C$22)/($B$9:$C$9*$B$22:$C$22)*(V9:W9*V22:W22)/($B$9:$C$9*V22:W22))</f>
        <v>0.98997030799372188</v>
      </c>
      <c r="W66" s="191"/>
      <c r="X66" s="191">
        <f t="array" ref="X66">SQRT((X9:Y9*$B$22:$C$22)/($B$9:$C$9*$B$22:$C$22)*(X9:Y9*X22:Y22)/($B$9:$C$9*X22:Y22))</f>
        <v>0.98900471272556278</v>
      </c>
      <c r="Y66" s="191"/>
      <c r="Z66" s="191">
        <f t="array" ref="Z66">SQRT((Z9:AA9*$B$22:$C$22)/($B$9:$C$9*$B$22:$C$22)*(Z9:AA9*Z22:AA22)/($B$9:$C$9*Z22:AA22))</f>
        <v>0.98809168333272335</v>
      </c>
      <c r="AA66" s="191"/>
      <c r="AB66" s="191">
        <f t="array" ref="AB66">SQRT((AB9:AC9*$B$22:$C$22)/($B$9:$C$9*$B$22:$C$22)*(AB9:AC9*AB22:AC22)/($B$9:$C$9*AB22:AC22))</f>
        <v>0.98725983906918391</v>
      </c>
      <c r="AC66" s="191"/>
      <c r="AD66" s="191">
        <f t="array" ref="AD66">SQRT((AD9:AE9*$B$22:$C$22)/($B$9:$C$9*$B$22:$C$22)*(AD9:AE9*AD22:AE22)/($B$9:$C$9*AD22:AE22))</f>
        <v>0.98654559759909521</v>
      </c>
      <c r="AE66" s="191"/>
      <c r="AF66" s="191">
        <f t="array" ref="AF66">SQRT((AF9:AG9*$B$22:$C$22)/($B$9:$C$9*$B$22:$C$22)*(AF9:AG9*AF22:AG22)/($B$9:$C$9*AF22:AG22))</f>
        <v>0.98599127528156383</v>
      </c>
      <c r="AG66" s="191"/>
      <c r="AH66" s="191">
        <f t="array" ref="AH66">SQRT((AH9:AI9*$B$22:$C$22)/($B$9:$C$9*$B$22:$C$22)*(AH9:AI9*AH22:AI22)/($B$9:$C$9*AH22:AI22))</f>
        <v>0.98563921781920771</v>
      </c>
      <c r="AI66" s="191"/>
      <c r="AJ66" s="191">
        <f t="array" ref="AJ66">SQRT((AJ9:AK9*$B$22:$C$22)/($B$9:$C$9*$B$22:$C$22)*(AJ9:AK9*AJ22:AK22)/($B$9:$C$9*AJ22:AK22))</f>
        <v>0.98552104602480961</v>
      </c>
      <c r="AK66" s="191"/>
      <c r="AL66" s="191">
        <f t="array" ref="AL66">SQRT((AL9:AM9*$B$22:$C$22)/($B$9:$C$9*$B$22:$C$22)*(AL9:AM9*AL22:AM22)/($B$9:$C$9*AL22:AM22))</f>
        <v>0.98564475404882634</v>
      </c>
      <c r="AM66" s="191"/>
      <c r="AN66" s="191">
        <f t="array" ref="AN66">SQRT((AN9:AO9*$B$22:$C$22)/($B$9:$C$9*$B$22:$C$22)*(AN9:AO9*AN22:AO22)/($B$9:$C$9*AN22:AO22))</f>
        <v>0.98598685496616389</v>
      </c>
      <c r="AO66" s="191"/>
      <c r="AP66" s="191">
        <f t="array" ref="AP66">SQRT((AP9:AQ9*$B$22:$C$22)/($B$9:$C$9*$B$22:$C$22)*(AP9:AQ9*AP22:AQ22)/($B$9:$C$9*AP22:AQ22))</f>
        <v>0.98607734451042961</v>
      </c>
      <c r="AQ66" s="191"/>
      <c r="AR66" s="191">
        <f t="array" ref="AR66">SQRT((AR9:AS9*$B$22:$C$22)/($B$9:$C$9*$B$22:$C$22)*(AR9:AS9*AR22:AS22)/($B$9:$C$9*AR22:AS22))</f>
        <v>0.98617407773892785</v>
      </c>
      <c r="AS66" s="191"/>
      <c r="AT66" s="191">
        <f t="array" ref="AT66">SQRT((AT9:AU9*$B$22:$C$22)/($B$9:$C$9*$B$22:$C$22)*(AT9:AU9*AT22:AU22)/($B$9:$C$9*AT22:AU22))</f>
        <v>0.98627654031811285</v>
      </c>
      <c r="AU66" s="191"/>
      <c r="AV66" s="191">
        <f t="array" ref="AV66">SQRT((AV9:AW9*$B$22:$C$22)/($B$9:$C$9*$B$22:$C$22)*(AV9:AW9*AV22:AW22)/($B$9:$C$9*AV22:AW22))</f>
        <v>0.98638421057322134</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0.99902132818724465</v>
      </c>
      <c r="E68" s="191"/>
      <c r="F68" s="191">
        <f>F66/F67</f>
        <v>0.99803598227551715</v>
      </c>
      <c r="G68" s="191"/>
      <c r="H68" s="191">
        <f>H66/H67</f>
        <v>0.99704322886842311</v>
      </c>
      <c r="I68" s="191"/>
      <c r="J68" s="191">
        <f>J66/J67</f>
        <v>0.99604267177315164</v>
      </c>
      <c r="K68" s="191"/>
      <c r="L68" s="191">
        <f>L66/L67</f>
        <v>0.99503446695124342</v>
      </c>
      <c r="M68" s="191"/>
      <c r="N68" s="191">
        <f>N66/N67</f>
        <v>0.994019607997076</v>
      </c>
      <c r="O68" s="191"/>
      <c r="P68" s="191">
        <f>P66/P67</f>
        <v>0.99300033430120138</v>
      </c>
      <c r="Q68" s="191"/>
      <c r="R68" s="191">
        <f>R66/R67</f>
        <v>0.99198069144485657</v>
      </c>
      <c r="S68" s="191"/>
      <c r="T68" s="191">
        <f>T66/T67</f>
        <v>0.99096729322788735</v>
      </c>
      <c r="U68" s="191"/>
      <c r="V68" s="191">
        <f>V66/V67</f>
        <v>0.98997030799372188</v>
      </c>
      <c r="W68" s="191"/>
      <c r="X68" s="191">
        <f>X66/X67</f>
        <v>0.98900471272556278</v>
      </c>
      <c r="Y68" s="191"/>
      <c r="Z68" s="191">
        <f>Z66/Z67</f>
        <v>0.98809168333272335</v>
      </c>
      <c r="AA68" s="191"/>
      <c r="AB68" s="191">
        <f>AB66/AB67</f>
        <v>0.98725983906918391</v>
      </c>
      <c r="AC68" s="191"/>
      <c r="AD68" s="191">
        <f>AD66/AD67</f>
        <v>0.98654559759909521</v>
      </c>
      <c r="AE68" s="191"/>
      <c r="AF68" s="191">
        <f>AF66/AF67</f>
        <v>0.98599127528156383</v>
      </c>
      <c r="AG68" s="191"/>
      <c r="AH68" s="191">
        <f>AH66/AH67</f>
        <v>0.98563921781920771</v>
      </c>
      <c r="AI68" s="191"/>
      <c r="AJ68" s="191">
        <f>AJ66/AJ67</f>
        <v>0.98552104602480961</v>
      </c>
      <c r="AK68" s="191"/>
      <c r="AL68" s="191">
        <f>AL66/AL67</f>
        <v>0.98564475404882634</v>
      </c>
      <c r="AM68" s="191"/>
      <c r="AN68" s="191">
        <f>AN66/AN67</f>
        <v>0.98598685496616389</v>
      </c>
      <c r="AO68" s="191"/>
      <c r="AP68" s="191">
        <f>AP66/AP67</f>
        <v>0.98607734451042961</v>
      </c>
      <c r="AQ68" s="191"/>
      <c r="AR68" s="191">
        <f>AR66/AR67</f>
        <v>0.98617407773892785</v>
      </c>
      <c r="AS68" s="191"/>
      <c r="AT68" s="191">
        <f>AT66/AT67</f>
        <v>0.98627654031811285</v>
      </c>
      <c r="AU68" s="191"/>
      <c r="AV68" s="191">
        <f>AV66/AV67</f>
        <v>0.98638421057322134</v>
      </c>
      <c r="XFD68" s="191"/>
    </row>
    <row r="69" spans="1:48 16384:16384" x14ac:dyDescent="0.2">
      <c r="A69" t="s">
        <v>177</v>
      </c>
      <c r="B69" s="191">
        <f>B32/B65/($B$32)</f>
        <v>1</v>
      </c>
      <c r="C69" s="191"/>
      <c r="D69" s="191">
        <f>D32/D65/($B$32)</f>
        <v>0.99281837554505592</v>
      </c>
      <c r="E69" s="191"/>
      <c r="F69" s="191">
        <f>F32/F65/($B$32)</f>
        <v>0.98474133242796602</v>
      </c>
      <c r="G69" s="191"/>
      <c r="H69" s="191">
        <f>H32/H65/($B$32)</f>
        <v>0.97562663952848749</v>
      </c>
      <c r="I69" s="191"/>
      <c r="J69" s="191">
        <f>J32/J65/($B$32)</f>
        <v>0.96530150486253241</v>
      </c>
      <c r="K69" s="191"/>
      <c r="L69" s="191">
        <f>L32/L65/($B$32)</f>
        <v>0.95355277170744679</v>
      </c>
      <c r="M69" s="191"/>
      <c r="N69" s="191">
        <f>N32/N65/($B$32)</f>
        <v>0.94011551328534371</v>
      </c>
      <c r="O69" s="191"/>
      <c r="P69" s="191">
        <f>P32/P65/($B$32)</f>
        <v>0.92465684354257416</v>
      </c>
      <c r="Q69" s="191"/>
      <c r="R69" s="191">
        <f>R32/R65/($B$32)</f>
        <v>0.90675331886312704</v>
      </c>
      <c r="S69" s="191"/>
      <c r="T69" s="191">
        <f>T32/T65/($B$32)</f>
        <v>0.88586035796286078</v>
      </c>
      <c r="U69" s="191"/>
      <c r="V69" s="191">
        <f>V32/V65/($B$32)</f>
        <v>0.86126906942642467</v>
      </c>
      <c r="W69" s="191"/>
      <c r="X69" s="191">
        <f>X32/X65/($B$32)</f>
        <v>0.83204827638216339</v>
      </c>
      <c r="Y69" s="191"/>
      <c r="Z69" s="191">
        <f>Z32/Z65/($B$32)</f>
        <v>0.79696567900125936</v>
      </c>
      <c r="AA69" s="191"/>
      <c r="AB69" s="191">
        <f>AB32/AB65/($B$32)</f>
        <v>0.75438787963951848</v>
      </c>
      <c r="AC69" s="191"/>
      <c r="AD69" s="191">
        <f>AD32/AD65/($B$32)</f>
        <v>0.70216574971623158</v>
      </c>
      <c r="AE69" s="191"/>
      <c r="AF69" s="191">
        <f>AF32/AF65/($B$32)</f>
        <v>0.63753206488424519</v>
      </c>
      <c r="AG69" s="191"/>
      <c r="AH69" s="191">
        <f>AH32/AH65/($B$32)</f>
        <v>0.55707224546961265</v>
      </c>
      <c r="AI69" s="191"/>
      <c r="AJ69" s="191">
        <f>AJ32/AJ65/($B$32)</f>
        <v>0.4568617476778537</v>
      </c>
      <c r="AK69" s="191"/>
      <c r="AL69" s="191">
        <f>AL32/AL65/($B$32)</f>
        <v>0.33284647687224239</v>
      </c>
      <c r="AM69" s="191"/>
      <c r="AN69" s="191">
        <f>AN32/AN65/($B$32)</f>
        <v>0.18142232960391841</v>
      </c>
      <c r="AO69" s="191"/>
      <c r="AP69" s="191">
        <f>AP32/AP65/($B$32)</f>
        <v>0.14759810083219613</v>
      </c>
      <c r="AQ69" s="191"/>
      <c r="AR69" s="191">
        <f>AR32/AR65/($B$32)</f>
        <v>0.11255501450177335</v>
      </c>
      <c r="AS69" s="191"/>
      <c r="AT69" s="191">
        <f>AT32/AT65/($B$32)</f>
        <v>7.628069271543432E-2</v>
      </c>
      <c r="AU69" s="191"/>
      <c r="AV69" s="191">
        <f>AV32/AV65/($B$32)</f>
        <v>3.8764992776477013E-2</v>
      </c>
    </row>
    <row r="70" spans="1:48 16384:16384" x14ac:dyDescent="0.2">
      <c r="A70" t="s">
        <v>178</v>
      </c>
      <c r="B70" s="138">
        <f>B18/$B$18</f>
        <v>1</v>
      </c>
      <c r="C70" s="138"/>
      <c r="D70" s="138">
        <f>D18/$B$18</f>
        <v>0.99226103707818003</v>
      </c>
      <c r="E70" s="138"/>
      <c r="F70" s="138">
        <f>F18/$B$18</f>
        <v>0.98362445942657861</v>
      </c>
      <c r="G70" s="138"/>
      <c r="H70" s="138">
        <f>H18/$B$18</f>
        <v>0.97394891813031703</v>
      </c>
      <c r="I70" s="138"/>
      <c r="J70" s="138">
        <f>J18/$B$18</f>
        <v>0.96306245769670618</v>
      </c>
      <c r="K70" s="138"/>
      <c r="L70" s="138">
        <f>L18/$B$18</f>
        <v>0.95075280086868685</v>
      </c>
      <c r="M70" s="138"/>
      <c r="N70" s="138">
        <f>N18/$B$18</f>
        <v>0.93675587002707661</v>
      </c>
      <c r="O70" s="138"/>
      <c r="P70" s="138">
        <f>P18/$B$18</f>
        <v>0.92073958552558999</v>
      </c>
      <c r="Q70" s="138"/>
      <c r="R70" s="138">
        <f>R18/$B$18</f>
        <v>0.9022814017980636</v>
      </c>
      <c r="S70" s="138"/>
      <c r="T70" s="138">
        <f>T18/$B$18</f>
        <v>0.8808379410770445</v>
      </c>
      <c r="U70" s="138"/>
      <c r="V70" s="138">
        <f>V18/$B$18</f>
        <v>0.85570257821824725</v>
      </c>
      <c r="W70" s="138"/>
      <c r="X70" s="138">
        <f>X18/$B$18</f>
        <v>0.82594867295060781</v>
      </c>
      <c r="Y70" s="138"/>
      <c r="Z70" s="138">
        <f>Z18/$B$18</f>
        <v>0.79035353548617504</v>
      </c>
      <c r="AA70" s="138"/>
      <c r="AB70" s="138">
        <f>AB18/$B$18</f>
        <v>0.74730349610665914</v>
      </c>
      <c r="AC70" s="138"/>
      <c r="AD70" s="138">
        <f>AD18/$B$18</f>
        <v>0.69468812369228039</v>
      </c>
      <c r="AE70" s="138"/>
      <c r="AF70" s="138">
        <f>AF18/$B$18</f>
        <v>0.62981184920551447</v>
      </c>
      <c r="AG70" s="138"/>
      <c r="AH70" s="138">
        <f>AH18/$B$18</f>
        <v>0.54938340124319951</v>
      </c>
      <c r="AI70" s="138"/>
      <c r="AJ70" s="138">
        <f>AJ18/$B$18</f>
        <v>0.44967128816709079</v>
      </c>
      <c r="AK70" s="138"/>
      <c r="AL70" s="138">
        <f>AL18/$B$18</f>
        <v>0.32688922789865305</v>
      </c>
      <c r="AM70" s="138"/>
      <c r="AN70" s="138">
        <f>AN18/$B$18</f>
        <v>0.1777537846019481</v>
      </c>
      <c r="AO70" s="138"/>
      <c r="AP70" s="138">
        <f>AP18/$B$18</f>
        <v>0.14454310023056041</v>
      </c>
      <c r="AQ70" s="138"/>
      <c r="AR70" s="138">
        <f>AR18/$B$18</f>
        <v>0.11017136678596678</v>
      </c>
      <c r="AS70" s="138"/>
      <c r="AT70" s="138">
        <f>AT18/$B$18</f>
        <v>7.4628541650275992E-2</v>
      </c>
      <c r="AU70" s="138"/>
      <c r="AV70" s="138">
        <f>AV18/$B$18</f>
        <v>3.790669716559162E-2</v>
      </c>
    </row>
    <row r="71" spans="1:48 16384:16384" x14ac:dyDescent="0.2">
      <c r="A71" t="s">
        <v>179</v>
      </c>
      <c r="B71" s="138">
        <f>C18/$C$18</f>
        <v>1</v>
      </c>
      <c r="D71" s="138">
        <f>E18/$C$18</f>
        <v>0.93043332478800467</v>
      </c>
      <c r="E71" s="138"/>
      <c r="F71" s="138">
        <f>G18/$C$18</f>
        <v>0.8613290915145112</v>
      </c>
      <c r="G71" s="138"/>
      <c r="H71" s="138">
        <f>I18/$C$18</f>
        <v>0.79276190510610967</v>
      </c>
      <c r="I71" s="138"/>
      <c r="J71" s="138">
        <f>K18/$C$18</f>
        <v>0.7248250882576891</v>
      </c>
      <c r="K71" s="138"/>
      <c r="L71" s="138">
        <f>M18/$C$18</f>
        <v>0.65764092251503348</v>
      </c>
      <c r="M71" s="138"/>
      <c r="N71" s="138">
        <f>O18/$C$18</f>
        <v>0.59136689180797719</v>
      </c>
      <c r="O71" s="138"/>
      <c r="P71" s="138">
        <f>Q18/$C$18</f>
        <v>0.5262054137079123</v>
      </c>
      <c r="Q71" s="138"/>
      <c r="R71" s="138">
        <f>S18/$C$18</f>
        <v>0.462418020257931</v>
      </c>
      <c r="S71" s="138"/>
      <c r="T71" s="138">
        <f>U18/$C$18</f>
        <v>0.40033964900374375</v>
      </c>
      <c r="U71" s="138"/>
      <c r="V71" s="138">
        <f>W18/$C$18</f>
        <v>0.34039973486157032</v>
      </c>
      <c r="W71" s="138"/>
      <c r="X71" s="138">
        <f>Y18/$C$18</f>
        <v>0.28313713911911309</v>
      </c>
      <c r="Y71" s="138"/>
      <c r="Z71" s="138">
        <f>AA18/$C$18</f>
        <v>0.22921737143826992</v>
      </c>
      <c r="AA71" s="138"/>
      <c r="AB71" s="138">
        <f>AC18/$C$18</f>
        <v>0.1794327496804399</v>
      </c>
      <c r="AC71" s="138"/>
      <c r="AD71" s="138">
        <f>AE18/$C$18</f>
        <v>0.13467162870572105</v>
      </c>
      <c r="AE71" s="138"/>
      <c r="AF71" s="138">
        <f>AG18/$C$18</f>
        <v>9.583131124931149E-2</v>
      </c>
      <c r="AG71" s="138"/>
      <c r="AH71" s="138">
        <f>AI18/$C$18</f>
        <v>6.3653529251049709E-2</v>
      </c>
      <c r="AI71" s="138"/>
      <c r="AJ71" s="138">
        <f>AK18/$C$18</f>
        <v>3.849797072673334E-2</v>
      </c>
      <c r="AK71" s="138"/>
      <c r="AL71" s="138">
        <f>AM18/$C$18</f>
        <v>2.0139544187281436E-2</v>
      </c>
      <c r="AM71" s="138"/>
      <c r="AN71" s="138">
        <f>AO18/$C$18</f>
        <v>7.730429932205983E-3</v>
      </c>
      <c r="AO71" s="138"/>
      <c r="AP71" s="138">
        <f>AQ18/$C$18</f>
        <v>5.8544277810185239E-3</v>
      </c>
      <c r="AQ71" s="138"/>
      <c r="AR71" s="138">
        <f>AS18/$C$18</f>
        <v>4.1545708548372364E-3</v>
      </c>
      <c r="AS71" s="138"/>
      <c r="AT71" s="138">
        <f>AU18/$C$18</f>
        <v>2.6196139805178542E-3</v>
      </c>
      <c r="AU71" s="138"/>
      <c r="AV71" s="138">
        <f>AW18/$C$18</f>
        <v>1.2384095246190995E-3</v>
      </c>
      <c r="XFD71" s="138"/>
    </row>
    <row r="72" spans="1:48 16384:16384" x14ac:dyDescent="0.2">
      <c r="A72" t="s">
        <v>180</v>
      </c>
      <c r="B72" s="138">
        <f>C19/$C$19</f>
        <v>1</v>
      </c>
      <c r="D72" s="138">
        <f>E19/$C$19</f>
        <v>1.0224664260837162</v>
      </c>
      <c r="E72" s="138"/>
      <c r="F72" s="138">
        <f>G19/$C$19</f>
        <v>1.0457122430182113</v>
      </c>
      <c r="G72" s="138"/>
      <c r="H72" s="138">
        <f>I19/$C$19</f>
        <v>1.069534361762237</v>
      </c>
      <c r="I72" s="138"/>
      <c r="J72" s="138">
        <f>K19/$C$19</f>
        <v>1.0936329972759715</v>
      </c>
      <c r="K72" s="138"/>
      <c r="L72" s="138">
        <f>M19/$C$19</f>
        <v>1.117576535083221</v>
      </c>
      <c r="M72" s="138"/>
      <c r="N72" s="138">
        <f>O19/$C$19</f>
        <v>1.1407557132706589</v>
      </c>
      <c r="O72" s="138"/>
      <c r="P72" s="138">
        <f>Q19/$C$19</f>
        <v>1.1623215682760373</v>
      </c>
      <c r="Q72" s="138"/>
      <c r="R72" s="138">
        <f>S19/$C$19</f>
        <v>1.1811037594755269</v>
      </c>
      <c r="S72" s="138"/>
      <c r="T72" s="138">
        <f>U19/$C$19</f>
        <v>1.1955043824190774</v>
      </c>
      <c r="U72" s="138"/>
      <c r="V72" s="138">
        <f>W19/$C$19</f>
        <v>1.2033657249671736</v>
      </c>
      <c r="W72" s="138"/>
      <c r="X72" s="138">
        <f>Y19/$C$19</f>
        <v>1.2018115617240541</v>
      </c>
      <c r="Y72" s="138"/>
      <c r="Z72" s="138">
        <f>AA19/$C$19</f>
        <v>1.1870844421289461</v>
      </c>
      <c r="AA72" s="138"/>
      <c r="AB72" s="138">
        <f>AC19/$C$19</f>
        <v>1.1544235777497127</v>
      </c>
      <c r="AC72" s="138"/>
      <c r="AD72" s="138">
        <f>AE19/$C$19</f>
        <v>1.0980883956473841</v>
      </c>
      <c r="AE72" s="138"/>
      <c r="AF72" s="138">
        <f>AG19/$C$19</f>
        <v>1.0117020737502092</v>
      </c>
      <c r="AG72" s="138"/>
      <c r="AH72" s="138">
        <f>AI19/$C$19</f>
        <v>0.8891165368855527</v>
      </c>
      <c r="AI72" s="138"/>
      <c r="AJ72" s="138">
        <f>AK19/$C$19</f>
        <v>0.72585352506184242</v>
      </c>
      <c r="AK72" s="138"/>
      <c r="AL72" s="138">
        <f>AM19/$C$19</f>
        <v>0.52071227588835189</v>
      </c>
      <c r="AM72" s="138"/>
      <c r="AN72" s="138">
        <f>AO19/$C$19</f>
        <v>0.27662634850706896</v>
      </c>
      <c r="AO72" s="138"/>
      <c r="AP72" s="138">
        <f>AQ19/$C$19</f>
        <v>0.22365771364171266</v>
      </c>
      <c r="AQ72" s="138"/>
      <c r="AR72" s="138">
        <f>AS19/$C$19</f>
        <v>0.16944550173875153</v>
      </c>
      <c r="AS72" s="138"/>
      <c r="AT72" s="138">
        <f>AU19/$C$19</f>
        <v>0.11405453441419479</v>
      </c>
      <c r="AU72" s="138"/>
      <c r="AV72" s="138">
        <f>AW19/$C$19</f>
        <v>5.7550648408530032E-2</v>
      </c>
      <c r="XFD72" s="138"/>
    </row>
    <row r="73" spans="1:48 16384:16384" x14ac:dyDescent="0.2">
      <c r="A73" t="s">
        <v>184</v>
      </c>
      <c r="B73" s="193">
        <f t="array" ref="B73">SUM(B9:C9*B22:C22)/B32</f>
        <v>0.47641153352875115</v>
      </c>
      <c r="D73" s="193">
        <f t="array" ref="D73">SUM(D9:E9*D22:E22)/D32</f>
        <v>0.47531645330748762</v>
      </c>
      <c r="E73" s="138"/>
      <c r="F73" s="193">
        <f t="array" ref="F73">SUM(F9:G9*F22:G22)/F32</f>
        <v>0.47421676455632278</v>
      </c>
      <c r="G73" s="138"/>
      <c r="H73" s="193">
        <f t="array" ref="H73">SUM(H9:I9*H22:I22)/H32</f>
        <v>0.47311185106214559</v>
      </c>
      <c r="I73" s="138"/>
      <c r="J73" s="193">
        <f t="array" ref="J73">SUM(J9:K9*J22:K22)/J32</f>
        <v>0.47200096526627294</v>
      </c>
      <c r="K73" s="138"/>
      <c r="L73" s="193">
        <f t="array" ref="L73">SUM(L9:M9*L22:M22)/L32</f>
        <v>0.47088319352511743</v>
      </c>
      <c r="M73" s="138"/>
      <c r="N73" s="193">
        <f t="array" ref="N73">SUM(N9:O9*N22:O22)/N32</f>
        <v>0.46975738917378951</v>
      </c>
      <c r="O73" s="138"/>
      <c r="P73" s="193">
        <f t="array" ref="P73">SUM(P9:Q9*P22:Q22)/P32</f>
        <v>0.46862209422168033</v>
      </c>
      <c r="Q73" s="138"/>
      <c r="R73" s="193">
        <f t="array" ref="R73">SUM(R9:S9*R22:S22)/R32</f>
        <v>0.4674754333685659</v>
      </c>
      <c r="S73" s="138"/>
      <c r="T73" s="193">
        <f t="array" ref="T73">SUM(T9:U9*T22:U22)/T32</f>
        <v>0.46631497876953432</v>
      </c>
      <c r="U73" s="138"/>
      <c r="V73" s="193">
        <f t="array" ref="V73">SUM(V9:W9*V22:W22)/V32</f>
        <v>0.46513759429594659</v>
      </c>
      <c r="W73" s="138"/>
      <c r="X73" s="193">
        <f t="array" ref="X73">SUM(X9:Y9*X22:Y22)/X32</f>
        <v>0.46393927004561875</v>
      </c>
      <c r="Y73" s="138"/>
      <c r="Z73" s="193">
        <f t="array" ref="Z73">SUM(Z9:AA9*Z22:AA22)/Z32</f>
        <v>0.46271501972289919</v>
      </c>
      <c r="AA73" s="138"/>
      <c r="AB73" s="193">
        <f t="array" ref="AB73">SUM(AB9:AC9*AB22:AC22)/AB32</f>
        <v>0.46145895839378936</v>
      </c>
      <c r="AC73" s="138"/>
      <c r="AD73" s="193">
        <f t="array" ref="AD73">SUM(AD9:AE9*AD22:AE22)/AD32</f>
        <v>0.46016482302945222</v>
      </c>
      <c r="AE73" s="138"/>
      <c r="AF73" s="193">
        <f t="array" ref="AF73">SUM(AF9:AG9*AF22:AG22)/AF32</f>
        <v>0.45882727943829743</v>
      </c>
      <c r="AG73" s="138"/>
      <c r="AH73" s="193">
        <f t="array" ref="AH73">SUM(AH9:AI9*AH22:AI22)/AH32</f>
        <v>0.45744442920868933</v>
      </c>
      <c r="AI73" s="138"/>
      <c r="AJ73" s="193">
        <f t="array" ref="AJ73">SUM(AJ9:AK9*AJ22:AK22)/AJ32</f>
        <v>0.45602123171931341</v>
      </c>
      <c r="AK73" s="138"/>
      <c r="AL73" s="193">
        <f t="array" ref="AL73">SUM(AL9:AM9*AL22:AM22)/AL32</f>
        <v>0.45457253132779385</v>
      </c>
      <c r="AM73" s="138"/>
      <c r="AN73" s="193">
        <f t="array" ref="AN73">SUM(AN9:AO9*AN22:AO22)/AN32</f>
        <v>0.45312312289655393</v>
      </c>
      <c r="AO73" s="138"/>
      <c r="AP73" s="193">
        <f t="array" ref="AP73">SUM(AP9:AQ9*AP22:AQ22)/AP32</f>
        <v>0.45283581253897198</v>
      </c>
      <c r="AQ73" s="138"/>
      <c r="AR73" s="193">
        <f t="array" ref="AR73">SUM(AR9:AS9*AR22:AS22)/AR32</f>
        <v>0.45254994096802048</v>
      </c>
      <c r="AS73" s="138"/>
      <c r="AT73" s="193">
        <f t="array" ref="AT73">SUM(AT9:AU9*AT22:AU22)/AT32</f>
        <v>0.45226575799588647</v>
      </c>
      <c r="AU73" s="138"/>
      <c r="AV73" s="193">
        <f t="array" ref="AV73">SUM(AV9:AW9*AV22:AW22)/AV32</f>
        <v>0.45198350913878793</v>
      </c>
      <c r="XFD73" s="193"/>
    </row>
    <row r="74" spans="1:48 16384:16384" x14ac:dyDescent="0.2">
      <c r="A74" t="s">
        <v>185</v>
      </c>
      <c r="B74" s="193">
        <f t="array" ref="B74">SUM(B10:C10*B23:C23)/B32</f>
        <v>0.22604620456442484</v>
      </c>
      <c r="D74" s="193">
        <f t="array" ref="D74">SUM(D10:E10*D23:E23)/D32</f>
        <v>0.22604620456442487</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0.22604620456442481</v>
      </c>
      <c r="M74" s="138"/>
      <c r="N74" s="193">
        <f t="array" ref="N74">SUM(N10:O10*N23:O23)/N32</f>
        <v>0.22604620456442484</v>
      </c>
      <c r="O74" s="138"/>
      <c r="P74" s="193">
        <f t="array" ref="P74">SUM(P10:Q10*P23:Q23)/P32</f>
        <v>0.22604620456442481</v>
      </c>
      <c r="Q74" s="138"/>
      <c r="R74" s="193">
        <f t="array" ref="R74">SUM(R10:S10*R23:S23)/R32</f>
        <v>0.22604620456442484</v>
      </c>
      <c r="S74" s="138"/>
      <c r="T74" s="193">
        <f t="array" ref="T74">SUM(T10:U10*T23:U23)/T32</f>
        <v>0.22604620456442484</v>
      </c>
      <c r="U74" s="138"/>
      <c r="V74" s="193">
        <f t="array" ref="V74">SUM(V10:W10*V23:W23)/V32</f>
        <v>0.22604620456442487</v>
      </c>
      <c r="W74" s="138"/>
      <c r="X74" s="193">
        <f t="array" ref="X74">SUM(X10:Y10*X23:Y23)/X32</f>
        <v>0.22604620456442481</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0.22604620456442487</v>
      </c>
      <c r="AK74" s="138"/>
      <c r="AL74" s="193">
        <f t="array" ref="AL74">SUM(AL10:AM10*AL23:AM23)/AL32</f>
        <v>0.22604620456442484</v>
      </c>
      <c r="AM74" s="138"/>
      <c r="AN74" s="193">
        <f t="array" ref="AN74">SUM(AN10:AO10*AN23:AO23)/AN32</f>
        <v>0.22604620456442484</v>
      </c>
      <c r="AO74" s="138"/>
      <c r="AP74" s="193">
        <f t="array" ref="AP74">SUM(AP10:AQ10*AP23:AQ23)/AP32</f>
        <v>0.22604620456442484</v>
      </c>
      <c r="AQ74" s="138"/>
      <c r="AR74" s="193">
        <f t="array" ref="AR74">SUM(AR10:AS10*AR23:AS23)/AR32</f>
        <v>0.22604620456442484</v>
      </c>
      <c r="AS74" s="138"/>
      <c r="AT74" s="193">
        <f t="array" ref="AT74">SUM(AT10:AU10*AT23:AU23)/AT32</f>
        <v>0.22604620456442484</v>
      </c>
      <c r="AU74" s="138"/>
      <c r="AV74" s="193">
        <f t="array" ref="AV74">SUM(AV10:AW10*AV23:AW23)/AV32</f>
        <v>0.22604620456442484</v>
      </c>
      <c r="XFD74" s="193"/>
    </row>
    <row r="75" spans="1:48 16384:16384" x14ac:dyDescent="0.2">
      <c r="A75" t="s">
        <v>186</v>
      </c>
      <c r="B75" s="193">
        <f t="array" ref="B75">SUM(B11:C11*B24:C24)/B32</f>
        <v>0.22038438833194082</v>
      </c>
      <c r="D75" s="193">
        <f t="array" ref="D75">SUM(D11:E11*D24:E24)/D32</f>
        <v>0.22147946681510053</v>
      </c>
      <c r="E75" s="138"/>
      <c r="F75" s="193">
        <f t="array" ref="F75">SUM(F11:G11*F24:G24)/F32</f>
        <v>0.22257915605492398</v>
      </c>
      <c r="G75" s="138"/>
      <c r="H75" s="193">
        <f t="array" ref="H75">SUM(H11:I11*H24:I24)/H32</f>
        <v>0.22368406756601153</v>
      </c>
      <c r="I75" s="138"/>
      <c r="J75" s="193">
        <f t="array" ref="J75">SUM(J11:K11*J24:K24)/J32</f>
        <v>0.22479495483450082</v>
      </c>
      <c r="K75" s="138"/>
      <c r="L75" s="193">
        <f t="array" ref="L75">SUM(L11:M11*L24:M24)/L32</f>
        <v>0.2259127278127821</v>
      </c>
      <c r="M75" s="138"/>
      <c r="N75" s="193">
        <f t="array" ref="N75">SUM(N11:O11*N24:O24)/N32</f>
        <v>0.2270385319991266</v>
      </c>
      <c r="O75" s="138"/>
      <c r="P75" s="193">
        <f t="array" ref="P75">SUM(P11:Q11*P24:Q24)/P32</f>
        <v>0.22817382712315498</v>
      </c>
      <c r="Q75" s="138"/>
      <c r="R75" s="193">
        <f t="array" ref="R75">SUM(R11:S11*R24:S24)/R32</f>
        <v>0.22932048720745318</v>
      </c>
      <c r="S75" s="138"/>
      <c r="T75" s="193">
        <f t="array" ref="T75">SUM(T11:U11*T24:U24)/T32</f>
        <v>0.23048094258609839</v>
      </c>
      <c r="U75" s="138"/>
      <c r="V75" s="193">
        <f t="array" ref="V75">SUM(V11:W11*V24:W24)/V32</f>
        <v>0.23165832733427488</v>
      </c>
      <c r="W75" s="138"/>
      <c r="X75" s="193">
        <f t="array" ref="X75">SUM(X11:Y11*X24:Y24)/X32</f>
        <v>0.23285665117571369</v>
      </c>
      <c r="Y75" s="138"/>
      <c r="Z75" s="193">
        <f t="array" ref="Z75">SUM(Z11:AA11*Z24:AA24)/Z32</f>
        <v>0.23408090160100709</v>
      </c>
      <c r="AA75" s="138"/>
      <c r="AB75" s="193">
        <f t="array" ref="AB75">SUM(AB11:AC11*AB24:AC24)/AB32</f>
        <v>0.23533696317726616</v>
      </c>
      <c r="AC75" s="138"/>
      <c r="AD75" s="193">
        <f t="array" ref="AD75">SUM(AD11:AE11*AD24:AE24)/AD32</f>
        <v>0.23663109891392711</v>
      </c>
      <c r="AE75" s="138"/>
      <c r="AF75" s="193">
        <f t="array" ref="AF75">SUM(AF11:AG11*AF24:AG24)/AF32</f>
        <v>0.23796864253083458</v>
      </c>
      <c r="AG75" s="138"/>
      <c r="AH75" s="193">
        <f t="array" ref="AH75">SUM(AH11:AI11*AH24:AI24)/AH32</f>
        <v>0.23935149271646441</v>
      </c>
      <c r="AI75" s="138"/>
      <c r="AJ75" s="193">
        <f t="array" ref="AJ75">SUM(AJ11:AK11*AJ24:AK24)/AJ32</f>
        <v>0.24077469015326108</v>
      </c>
      <c r="AK75" s="138"/>
      <c r="AL75" s="193">
        <f t="array" ref="AL75">SUM(AL11:AM11*AL24:AM24)/AL32</f>
        <v>0.24222339061055503</v>
      </c>
      <c r="AM75" s="138"/>
      <c r="AN75" s="193">
        <f t="array" ref="AN75">SUM(AN11:AO11*AN24:AO24)/AN32</f>
        <v>0.24367279885991511</v>
      </c>
      <c r="AO75" s="138"/>
      <c r="AP75" s="193">
        <f t="array" ref="AP75">SUM(AP11:AQ11*AP24:AQ24)/AP32</f>
        <v>0.24396011026293174</v>
      </c>
      <c r="AQ75" s="138"/>
      <c r="AR75" s="193">
        <f t="array" ref="AR75">SUM(AR11:AS11*AR24:AS24)/AR32</f>
        <v>0.24424598027877015</v>
      </c>
      <c r="AS75" s="138"/>
      <c r="AT75" s="193">
        <f t="array" ref="AT75">SUM(AT11:AU11*AT24:AU24)/AT32</f>
        <v>0.24453016216134602</v>
      </c>
      <c r="AU75" s="138"/>
      <c r="AV75" s="193">
        <f t="array" ref="AV75">SUM(AV11:AW11*AV24:AW24)/AV32</f>
        <v>0.24481241526340253</v>
      </c>
      <c r="XFD75" s="193"/>
    </row>
    <row r="76" spans="1:48 16384:16384" x14ac:dyDescent="0.2">
      <c r="A76" t="s">
        <v>187</v>
      </c>
      <c r="B76" s="193">
        <f t="array" ref="B76">SUM(B12:C12*B25:C25)/B32</f>
        <v>0.22301874374724862</v>
      </c>
      <c r="D76" s="193">
        <f t="array" ref="D76">SUM(D12:E12*D25:E25)/D32</f>
        <v>0.22327819838976443</v>
      </c>
      <c r="E76" s="138"/>
      <c r="F76" s="193">
        <f t="array" ref="F76">SUM(F12:G12*F25:G25)/F32</f>
        <v>0.22357491914190589</v>
      </c>
      <c r="G76" s="138"/>
      <c r="H76" s="193">
        <f t="array" ref="H76">SUM(H12:I12*H25:I25)/H32</f>
        <v>0.22391041507006529</v>
      </c>
      <c r="I76" s="138"/>
      <c r="J76" s="193">
        <f t="array" ref="J76">SUM(J12:K12*J25:K25)/J32</f>
        <v>0.22428571265705724</v>
      </c>
      <c r="K76" s="138"/>
      <c r="L76" s="193">
        <f t="array" ref="L76">SUM(L12:M12*L25:M25)/L32</f>
        <v>0.22470112579561097</v>
      </c>
      <c r="M76" s="138"/>
      <c r="N76" s="193">
        <f t="array" ref="N76">SUM(N12:O12*N25:O25)/N32</f>
        <v>0.22515584341880909</v>
      </c>
      <c r="O76" s="138"/>
      <c r="P76" s="193">
        <f t="array" ref="P76">SUM(P12:Q12*P25:Q25)/P32</f>
        <v>0.22564736951720049</v>
      </c>
      <c r="Q76" s="138"/>
      <c r="R76" s="193">
        <f t="array" ref="R76">SUM(R12:S12*R25:S25)/R32</f>
        <v>0.22617077593470111</v>
      </c>
      <c r="S76" s="138"/>
      <c r="T76" s="193">
        <f t="array" ref="T76">SUM(T12:U12*T25:U25)/T32</f>
        <v>0.22671763691048066</v>
      </c>
      <c r="U76" s="138"/>
      <c r="V76" s="193">
        <f t="array" ref="V76">SUM(V12:W12*V25:W25)/V32</f>
        <v>0.22727470801933644</v>
      </c>
      <c r="W76" s="138"/>
      <c r="X76" s="193">
        <f t="array" ref="X76">SUM(X12:Y12*X25:Y25)/X32</f>
        <v>0.22782214092665573</v>
      </c>
      <c r="Y76" s="138"/>
      <c r="Z76" s="193">
        <f t="array" ref="Z76">SUM(Z12:AA12*Z25:AA25)/Z32</f>
        <v>0.22833159079751333</v>
      </c>
      <c r="AA76" s="138"/>
      <c r="AB76" s="193">
        <f t="array" ref="AB76">SUM(AB12:AC12*AB25:AC25)/AB32</f>
        <v>0.22876449700494564</v>
      </c>
      <c r="AC76" s="138"/>
      <c r="AD76" s="193">
        <f t="array" ref="AD76">SUM(AD12:AE12*AD25:AE25)/AD32</f>
        <v>0.22907164108220229</v>
      </c>
      <c r="AE76" s="138"/>
      <c r="AF76" s="193">
        <f t="array" ref="AF76">SUM(AF12:AG12*AF25:AG25)/AF32</f>
        <v>0.22919589634421345</v>
      </c>
      <c r="AG76" s="138"/>
      <c r="AH76" s="193">
        <f t="array" ref="AH76">SUM(AH12:AI12*AH25:AI25)/AH32</f>
        <v>0.22908055185955772</v>
      </c>
      <c r="AI76" s="138"/>
      <c r="AJ76" s="193">
        <f t="array" ref="AJ76">SUM(AJ12:AK12*AJ25:AK25)/AJ32</f>
        <v>0.22868434756531147</v>
      </c>
      <c r="AK76" s="138"/>
      <c r="AL76" s="193">
        <f t="array" ref="AL76">SUM(AL12:AM12*AL25:AM25)/AL32</f>
        <v>0.22799913875686403</v>
      </c>
      <c r="AM76" s="138"/>
      <c r="AN76" s="193">
        <f t="array" ref="AN76">SUM(AN12:AO12*AN25:AO25)/AN32</f>
        <v>0.22705996147078383</v>
      </c>
      <c r="AO76" s="138"/>
      <c r="AP76" s="193">
        <f t="array" ref="AP76">SUM(AP12:AQ12*AP25:AQ25)/AP32</f>
        <v>0.22684750214318269</v>
      </c>
      <c r="AQ76" s="138"/>
      <c r="AR76" s="193">
        <f t="array" ref="AR76">SUM(AR12:AS12*AR25:AS25)/AR32</f>
        <v>0.22662837631799812</v>
      </c>
      <c r="AS76" s="138"/>
      <c r="AT76" s="193">
        <f t="array" ref="AT76">SUM(AT12:AU12*AT25:AU25)/AT32</f>
        <v>0.22640328973009827</v>
      </c>
      <c r="AU76" s="138"/>
      <c r="AV76" s="193">
        <f t="array" ref="AV76">SUM(AV12:AW12*AV25:AW25)/AV32</f>
        <v>0.22617295518463676</v>
      </c>
      <c r="XFD76" s="193"/>
    </row>
    <row r="77" spans="1:48 16384:16384" x14ac:dyDescent="0.2">
      <c r="A77" t="s">
        <v>188</v>
      </c>
      <c r="B77" s="193">
        <f t="array" ref="B77">SUM(B4:C4*B19:C19)/B32</f>
        <v>0.14586087017236521</v>
      </c>
      <c r="D77" s="193">
        <f t="array" ref="D77">SUM(D4:E4*D19:E19)/D32</f>
        <v>0.14612032307677739</v>
      </c>
      <c r="E77" s="138"/>
      <c r="F77" s="193">
        <f t="array" ref="F77">SUM(F4:G4*F19:G19)/F32</f>
        <v>0.14641704431757738</v>
      </c>
      <c r="G77" s="138"/>
      <c r="H77" s="193">
        <f t="array" ref="H77">SUM(H4:I4*H19:I19)/H32</f>
        <v>0.14675253826264714</v>
      </c>
      <c r="I77" s="138"/>
      <c r="J77" s="193">
        <f t="array" ref="J77">SUM(J4:K4*J19:K19)/J32</f>
        <v>0.14712783732225584</v>
      </c>
      <c r="K77" s="138"/>
      <c r="L77" s="193">
        <f t="array" ref="L77">SUM(L4:M4*L19:M19)/L32</f>
        <v>0.14754325169793525</v>
      </c>
      <c r="M77" s="138"/>
      <c r="N77" s="193">
        <f t="array" ref="N77">SUM(N4:O4*N19:O19)/N32</f>
        <v>0.14799796915615007</v>
      </c>
      <c r="O77" s="138"/>
      <c r="P77" s="193">
        <f t="array" ref="P77">SUM(P4:Q4*P19:Q19)/P32</f>
        <v>0.1484894954264605</v>
      </c>
      <c r="Q77" s="138"/>
      <c r="R77" s="193">
        <f t="array" ref="R77">SUM(R4:S4*R19:S19)/R32</f>
        <v>0.14901290107514506</v>
      </c>
      <c r="S77" s="138"/>
      <c r="T77" s="193">
        <f t="array" ref="T77">SUM(T4:U4*T19:U19)/T32</f>
        <v>0.14955976283053823</v>
      </c>
      <c r="U77" s="138"/>
      <c r="V77" s="193">
        <f t="array" ref="V77">SUM(V4:W4*V19:W19)/V32</f>
        <v>0.1501168342139827</v>
      </c>
      <c r="W77" s="138"/>
      <c r="X77" s="193">
        <f t="array" ref="X77">SUM(X4:Y4*X19:Y19)/X32</f>
        <v>0.1506642667124129</v>
      </c>
      <c r="Y77" s="138"/>
      <c r="Z77" s="193">
        <f t="array" ref="Z77">SUM(Z4:AA4*Z19:AA19)/Z32</f>
        <v>0.15117371668584434</v>
      </c>
      <c r="AA77" s="138"/>
      <c r="AB77" s="193">
        <f t="array" ref="AB77">SUM(AB4:AC4*AB19:AC19)/AB32</f>
        <v>0.15160662314042569</v>
      </c>
      <c r="AC77" s="138"/>
      <c r="AD77" s="193">
        <f t="array" ref="AD77">SUM(AD4:AE4*AD19:AE19)/AD32</f>
        <v>0.1519137675900063</v>
      </c>
      <c r="AE77" s="138"/>
      <c r="AF77" s="193">
        <f t="array" ref="AF77">SUM(AF4:AG4*AF19:AG19)/AF32</f>
        <v>0.15203802287777041</v>
      </c>
      <c r="AG77" s="138"/>
      <c r="AH77" s="193">
        <f t="array" ref="AH77">SUM(AH4:AI4*AH19:AI19)/AH32</f>
        <v>0.15192267834913634</v>
      </c>
      <c r="AI77" s="138"/>
      <c r="AJ77" s="193">
        <f t="array" ref="AJ77">SUM(AJ4:AK4*AJ19:AK19)/AJ32</f>
        <v>0.15152647400231076</v>
      </c>
      <c r="AK77" s="138"/>
      <c r="AL77" s="193">
        <f t="array" ref="AL77">SUM(AL4:AM4*AL19:AM19)/AL32</f>
        <v>0.15084126525963767</v>
      </c>
      <c r="AM77" s="138"/>
      <c r="AN77" s="193">
        <f t="array" ref="AN77">SUM(AN4:AO4*AN19:AO19)/AN32</f>
        <v>0.14990208779167752</v>
      </c>
      <c r="AO77" s="138"/>
      <c r="AP77" s="193">
        <f t="array" ref="AP77">SUM(AP4:AQ4*AP19:AQ19)/AP32</f>
        <v>0.14968962950951112</v>
      </c>
      <c r="AQ77" s="138"/>
      <c r="AR77" s="193">
        <f t="array" ref="AR77">SUM(AR4:AS4*AR19:AS19)/AR32</f>
        <v>0.14947050212921359</v>
      </c>
      <c r="AS77" s="138"/>
      <c r="AT77" s="193">
        <f t="array" ref="AT77">SUM(AT4:AU4*AT19:AU19)/AT32</f>
        <v>0.1492454144517554</v>
      </c>
      <c r="AU77" s="138"/>
      <c r="AV77" s="193">
        <f t="array" ref="AV77">SUM(AV4:AW4*AV19:AW19)/AV32</f>
        <v>0.14901508415125178</v>
      </c>
      <c r="XFD77" s="193"/>
    </row>
    <row r="78" spans="1:48 16384:16384" x14ac:dyDescent="0.2">
      <c r="A78" t="s">
        <v>189</v>
      </c>
      <c r="B78" s="193">
        <f t="array" ref="B78">SUM(B13:C13*B26:C26)/B32</f>
        <v>0.346887593115773</v>
      </c>
      <c r="D78" s="193">
        <f t="array" ref="D78">SUM(D13:E13*D26:E26)/D32</f>
        <v>0.34643552398568472</v>
      </c>
      <c r="E78" s="138"/>
      <c r="F78" s="193">
        <f t="array" ref="F78">SUM(F13:G13*F26:G26)/F32</f>
        <v>0.34598377195525593</v>
      </c>
      <c r="G78" s="138"/>
      <c r="H78" s="193">
        <f t="array" ref="H78">SUM(H13:I13*H26:I26)/H32</f>
        <v>0.34553274951337376</v>
      </c>
      <c r="I78" s="138"/>
      <c r="J78" s="193">
        <f t="array" ref="J78">SUM(J13:K13*J26:K26)/J32</f>
        <v>0.34508285104383807</v>
      </c>
      <c r="K78" s="138"/>
      <c r="L78" s="193">
        <f t="array" ref="L78">SUM(L13:M13*L26:M26)/L32</f>
        <v>0.34463449821950548</v>
      </c>
      <c r="M78" s="138"/>
      <c r="N78" s="193">
        <f t="array" ref="N78">SUM(N13:O13*N26:O26)/N32</f>
        <v>0.34418807792794764</v>
      </c>
      <c r="O78" s="138"/>
      <c r="P78" s="193">
        <f t="array" ref="P78">SUM(P13:Q13*P26:Q26)/P32</f>
        <v>0.34374388457189059</v>
      </c>
      <c r="Q78" s="138"/>
      <c r="R78" s="193">
        <f t="array" ref="R78">SUM(R13:S13*R26:S26)/R32</f>
        <v>0.34330207775814936</v>
      </c>
      <c r="S78" s="138"/>
      <c r="T78" s="193">
        <f t="array" ref="T78">SUM(T13:U13*T26:U26)/T32</f>
        <v>0.34286256377258956</v>
      </c>
      <c r="U78" s="138"/>
      <c r="V78" s="193">
        <f t="array" ref="V78">SUM(V13:W13*V26:W26)/V32</f>
        <v>0.3424249469798516</v>
      </c>
      <c r="W78" s="138"/>
      <c r="X78" s="193">
        <f t="array" ref="X78">SUM(X13:Y13*X26:Y26)/X32</f>
        <v>0.34198832459462242</v>
      </c>
      <c r="Y78" s="138"/>
      <c r="Z78" s="193">
        <f t="array" ref="Z78">SUM(Z13:AA13*Z26:AA26)/Z32</f>
        <v>0.34155123030450318</v>
      </c>
      <c r="AA78" s="138"/>
      <c r="AB78" s="193">
        <f t="array" ref="AB78">SUM(AB13:AC13*AB26:AC26)/AB32</f>
        <v>0.34111160749674585</v>
      </c>
      <c r="AC78" s="138"/>
      <c r="AD78" s="193">
        <f t="array" ref="AD78">SUM(AD13:AE13*AD26:AE26)/AD32</f>
        <v>0.34066703292177625</v>
      </c>
      <c r="AE78" s="138"/>
      <c r="AF78" s="193">
        <f t="array" ref="AF78">SUM(AF13:AG13*AF26:AG26)/AF32</f>
        <v>0.34021540858482779</v>
      </c>
      <c r="AG78" s="138"/>
      <c r="AH78" s="193">
        <f t="array" ref="AH78">SUM(AH13:AI13*AH26:AI26)/AH32</f>
        <v>0.339756306740227</v>
      </c>
      <c r="AI78" s="138"/>
      <c r="AJ78" s="193">
        <f t="array" ref="AJ78">SUM(AJ13:AK13*AJ26:AK26)/AJ32</f>
        <v>0.33929286640790574</v>
      </c>
      <c r="AK78" s="138"/>
      <c r="AL78" s="193">
        <f t="array" ref="AL78">SUM(AL13:AM13*AL26:AM26)/AL32</f>
        <v>0.3388333018239445</v>
      </c>
      <c r="AM78" s="138"/>
      <c r="AN78" s="193">
        <f t="array" ref="AN78">SUM(AN13:AO13*AN26:AO26)/AN32</f>
        <v>0.33839053646648387</v>
      </c>
      <c r="AO78" s="138"/>
      <c r="AP78" s="193">
        <f t="array" ref="AP78">SUM(AP13:AQ13*AP26:AQ26)/AP32</f>
        <v>0.33830531205909775</v>
      </c>
      <c r="AQ78" s="138"/>
      <c r="AR78" s="193">
        <f t="array" ref="AR78">SUM(AR13:AS13*AR26:AS26)/AR32</f>
        <v>0.33822147015902954</v>
      </c>
      <c r="AS78" s="138"/>
      <c r="AT78" s="193">
        <f t="array" ref="AT78">SUM(AT13:AU13*AT26:AU26)/AT32</f>
        <v>0.33813912047366923</v>
      </c>
      <c r="AU78" s="138"/>
      <c r="AV78" s="193">
        <f t="array" ref="AV78">SUM(AV13:AW13*AV26:AW26)/AV32</f>
        <v>0.33805836739640721</v>
      </c>
      <c r="XFD78" s="193"/>
    </row>
    <row r="79" spans="1:48 16384:16384" x14ac:dyDescent="0.2">
      <c r="A79" t="s">
        <v>190</v>
      </c>
      <c r="B79" s="193">
        <f t="array" ref="B79">SUM(B15:C15*B27:C27)/B32</f>
        <v>0.45460968782439326</v>
      </c>
      <c r="D79" s="193">
        <f t="array" ref="D79">SUM(D15:E15*D27:E27)/D32</f>
        <v>0.45321464542786882</v>
      </c>
      <c r="F79" s="193">
        <f t="array" ref="F79">SUM(F15:G15*F27:G27)/F32</f>
        <v>0.45181145823945046</v>
      </c>
      <c r="H79" s="193">
        <f t="array" ref="H79">SUM(H15:I15*H27:I27)/H32</f>
        <v>0.45039871251907315</v>
      </c>
      <c r="J79" s="193">
        <f t="array" ref="J79">SUM(J15:K15*J27:K27)/J32</f>
        <v>0.44897468528795564</v>
      </c>
      <c r="L79" s="193">
        <f t="array" ref="L79">SUM(L15:M15*L27:M27)/L32</f>
        <v>0.4475374294933685</v>
      </c>
      <c r="N79" s="193">
        <f t="array" ref="N79">SUM(N15:O15*N27:O27)/N32</f>
        <v>0.44608463859009279</v>
      </c>
      <c r="P79" s="193">
        <f t="array" ref="P79">SUM(P15:Q15*P27:Q27)/P32</f>
        <v>0.44461353058116881</v>
      </c>
      <c r="R79" s="193">
        <f t="array" ref="R79">SUM(R15:S15*R27:S27)/R32</f>
        <v>0.4431207813293136</v>
      </c>
      <c r="T79" s="193">
        <f t="array" ref="T79">SUM(T15:U15*T27:U27)/T32</f>
        <v>0.44160232470155097</v>
      </c>
      <c r="V79" s="193">
        <f t="array" ref="V79">SUM(V15:W15*V27:W27)/V32</f>
        <v>0.44005332682935294</v>
      </c>
      <c r="X79" s="193">
        <f t="array" ref="X79">SUM(X15:Y15*X27:Y27)/X32</f>
        <v>0.43846787198219023</v>
      </c>
      <c r="Z79" s="193">
        <f t="array" ref="Z79">SUM(Z15:AA15*Z27:AA27)/Z32</f>
        <v>0.43683900469872694</v>
      </c>
      <c r="AB79" s="193">
        <f t="array" ref="AB79">SUM(AB15:AC15*AB27:AC27)/AB32</f>
        <v>0.43515885574607477</v>
      </c>
      <c r="AD79" s="193">
        <f t="array" ref="AD79">SUM(AD15:AE15*AD27:AE27)/AD32</f>
        <v>0.43341928447912331</v>
      </c>
      <c r="AF79" s="193">
        <f t="array" ref="AF79">SUM(AF15:AG15*AF27:AG27)/AF32</f>
        <v>0.43161341095325667</v>
      </c>
      <c r="AH79" s="193">
        <f t="array" ref="AH79">SUM(AH15:AI15*AH27:AI27)/AH32</f>
        <v>0.42973843113878152</v>
      </c>
      <c r="AJ79" s="193">
        <f t="array" ref="AJ79">SUM(AJ15:AK15*AJ27:AK27)/AJ32</f>
        <v>0.42779956046442763</v>
      </c>
      <c r="AL79" s="193">
        <f t="array" ref="AL79">SUM(AL15:AM15*AL27:AM27)/AL32</f>
        <v>0.4258136019541402</v>
      </c>
      <c r="AN79" s="193">
        <f t="array" ref="AN79">SUM(AN15:AO15*AN27:AO27)/AN32</f>
        <v>0.42380940744706391</v>
      </c>
      <c r="AP79" s="193">
        <f t="array" ref="AP79">SUM(AP15:AQ15*AP27:AQ27)/AP32</f>
        <v>0.42340954447172169</v>
      </c>
      <c r="AR79" s="193">
        <f t="array" ref="AR79">SUM(AR15:AS15*AR27:AS27)/AR32</f>
        <v>0.42301071772006715</v>
      </c>
      <c r="AT79" s="193">
        <f t="array" ref="AT79">SUM(AT15:AU15*AT27:AU27)/AT32</f>
        <v>0.42261323511165022</v>
      </c>
      <c r="AV79" s="193">
        <f t="array" ref="AV79">SUM(AV15:AW15*AV27:AW27)/AV32</f>
        <v>0.42221740150987946</v>
      </c>
      <c r="XFD79" s="193"/>
    </row>
    <row r="80" spans="1:48 16384:16384" x14ac:dyDescent="0.2">
      <c r="A80" t="s">
        <v>169</v>
      </c>
      <c r="B80" s="236">
        <f>B55</f>
        <v>0.19850271905982084</v>
      </c>
      <c r="D80" s="236">
        <f>D55</f>
        <v>0.20034985111795289</v>
      </c>
      <c r="F80" s="236">
        <f>F55</f>
        <v>0.20220478363653324</v>
      </c>
      <c r="H80" s="236">
        <f>H55</f>
        <v>0.20406857136437365</v>
      </c>
      <c r="J80" s="236">
        <f>J55</f>
        <v>0.20594248079319707</v>
      </c>
      <c r="L80" s="236">
        <f>L55</f>
        <v>0.20782806635639561</v>
      </c>
      <c r="N80" s="236">
        <f>N55</f>
        <v>0.20972727466918653</v>
      </c>
      <c r="P80" s="236">
        <f>P55</f>
        <v>0.21164257713336523</v>
      </c>
      <c r="R80" s="236">
        <f>R55</f>
        <v>0.21357715046014192</v>
      </c>
      <c r="T80" s="236">
        <f>T55</f>
        <v>0.21553509895518069</v>
      </c>
      <c r="V80" s="236">
        <f>V55</f>
        <v>0.21752173141585537</v>
      </c>
      <c r="X80" s="236">
        <f>X55</f>
        <v>0.21954381684755855</v>
      </c>
      <c r="Z80" s="236">
        <f>Z55</f>
        <v>0.22160977585780742</v>
      </c>
      <c r="AB80" s="236">
        <f>AB55</f>
        <v>0.2237295381158701</v>
      </c>
      <c r="AD80" s="236">
        <f>AD55</f>
        <v>0.225913677238507</v>
      </c>
      <c r="AF80" s="236">
        <f>AF55</f>
        <v>0.22817117664336758</v>
      </c>
      <c r="AH80" s="236">
        <f>AH55</f>
        <v>0.23050525898409674</v>
      </c>
      <c r="AJ80" s="236">
        <f>AJ55</f>
        <v>0.23290756724027187</v>
      </c>
      <c r="AL80" s="236">
        <f>AL55</f>
        <v>0.23535309746479721</v>
      </c>
      <c r="AN80" s="236">
        <f>AN55</f>
        <v>0.23780005564149387</v>
      </c>
      <c r="AP80" s="236">
        <f>AP55</f>
        <v>0.2382851470824511</v>
      </c>
      <c r="AR80" s="236">
        <f>AR55</f>
        <v>0.2387678096495324</v>
      </c>
      <c r="AT80" s="236">
        <f>AT55</f>
        <v>0.23924763714269698</v>
      </c>
      <c r="AV80" s="236">
        <f>AV55</f>
        <v>0.23972424109923385</v>
      </c>
      <c r="XFD80" s="236"/>
    </row>
    <row r="81" spans="1:48 16384:16384" x14ac:dyDescent="0.2">
      <c r="A81" t="s">
        <v>191</v>
      </c>
      <c r="B81" s="236">
        <f>B51/B$32</f>
        <v>-2.7543485504603994E-2</v>
      </c>
      <c r="D81" s="236">
        <f>D51/D$32</f>
        <v>-2.5696353446471962E-2</v>
      </c>
      <c r="F81" s="236">
        <f>F51/F$32</f>
        <v>-2.3841420927891606E-2</v>
      </c>
      <c r="H81" s="236">
        <f>H51/H$32</f>
        <v>-2.1977633200051205E-2</v>
      </c>
      <c r="J81" s="236">
        <f>J51/J$32</f>
        <v>-2.0103723771227749E-2</v>
      </c>
      <c r="L81" s="236">
        <f>L51/L$32</f>
        <v>-1.82181382080292E-2</v>
      </c>
      <c r="N81" s="236">
        <f>N51/N$32</f>
        <v>-1.6318929895238293E-2</v>
      </c>
      <c r="P81" s="236">
        <f>P51/P$32</f>
        <v>-1.4403627431059602E-2</v>
      </c>
      <c r="R81" s="236">
        <f>R51/R$32</f>
        <v>-1.2469054104282905E-2</v>
      </c>
      <c r="T81" s="236">
        <f>T51/T$32</f>
        <v>-1.0511105609244158E-2</v>
      </c>
      <c r="V81" s="236">
        <f>V51/V$32</f>
        <v>-8.5244731485694739E-3</v>
      </c>
      <c r="X81" s="236">
        <f>X51/X$32</f>
        <v>-6.5023877168662696E-3</v>
      </c>
      <c r="Z81" s="236">
        <f>Z51/Z$32</f>
        <v>-4.4364287066174304E-3</v>
      </c>
      <c r="AB81" s="236">
        <f>AB51/AB$32</f>
        <v>-2.3166664485547461E-3</v>
      </c>
      <c r="AD81" s="236">
        <f>AD51/AD$32</f>
        <v>-1.3252732591785031E-4</v>
      </c>
      <c r="AF81" s="236">
        <f>AF51/AF$32</f>
        <v>2.1249720789427453E-3</v>
      </c>
      <c r="AH81" s="236">
        <f>AH51/AH$32</f>
        <v>4.4590544196719218E-3</v>
      </c>
      <c r="AJ81" s="236">
        <f>AJ51/AJ$32</f>
        <v>6.8613626758470244E-3</v>
      </c>
      <c r="AL81" s="236">
        <f>AL51/AL$32</f>
        <v>9.3068929003723693E-3</v>
      </c>
      <c r="AN81" s="236">
        <f>AN51/AN$32</f>
        <v>1.1753851077069031E-2</v>
      </c>
      <c r="AP81" s="236">
        <f>AP51/AP$32</f>
        <v>1.2238942518026269E-2</v>
      </c>
      <c r="AR81" s="236">
        <f>AR51/AR$32</f>
        <v>1.2721605085107534E-2</v>
      </c>
      <c r="AT81" s="236">
        <f>AT51/AT$32</f>
        <v>1.3201432578272157E-2</v>
      </c>
      <c r="AV81" s="236">
        <f>AV51/AV$32</f>
        <v>1.3678036534809E-2</v>
      </c>
      <c r="XFD81" s="236"/>
    </row>
    <row r="82" spans="1:48 16384:16384" x14ac:dyDescent="0.2">
      <c r="A82" t="s">
        <v>192</v>
      </c>
      <c r="B82" s="236">
        <f>B52/B$32</f>
        <v>0.13907860278212886</v>
      </c>
      <c r="D82" s="236">
        <f>D52/D$32</f>
        <v>0.1388973534546194</v>
      </c>
      <c r="F82" s="236">
        <f>F52/F$32</f>
        <v>0.13871623126275401</v>
      </c>
      <c r="H82" s="236">
        <f>H52/H$32</f>
        <v>0.13853540158684394</v>
      </c>
      <c r="J82" s="236">
        <f>J52/J$32</f>
        <v>0.13835502254827753</v>
      </c>
      <c r="L82" s="236">
        <f>L52/L$32</f>
        <v>0.13817526320952025</v>
      </c>
      <c r="N82" s="236">
        <f>N52/N$32</f>
        <v>0.13799627868647696</v>
      </c>
      <c r="P82" s="236">
        <f>P52/P$32</f>
        <v>0.13781818701484747</v>
      </c>
      <c r="R82" s="236">
        <f>R52/R$32</f>
        <v>0.13764105218623385</v>
      </c>
      <c r="T82" s="236">
        <f>T52/T$32</f>
        <v>0.13746483662756884</v>
      </c>
      <c r="V82" s="236">
        <f>V52/V$32</f>
        <v>0.13728938171567268</v>
      </c>
      <c r="X82" s="236">
        <f>X52/X$32</f>
        <v>0.13711432549433122</v>
      </c>
      <c r="Z82" s="236">
        <f>Z52/Z$32</f>
        <v>0.13693908007085615</v>
      </c>
      <c r="AB82" s="236">
        <f>AB52/AB$32</f>
        <v>0.1367628208818063</v>
      </c>
      <c r="AD82" s="236">
        <f>AD52/AD$32</f>
        <v>0.13658457636702309</v>
      </c>
      <c r="AF82" s="236">
        <f>AF52/AF$32</f>
        <v>0.13640350537165821</v>
      </c>
      <c r="AH82" s="236">
        <f>AH52/AH$32</f>
        <v>0.13621943639845494</v>
      </c>
      <c r="AJ82" s="236">
        <f>AJ52/AJ$32</f>
        <v>0.13603362798336235</v>
      </c>
      <c r="AL82" s="236">
        <f>AL52/AL$32</f>
        <v>0.13584937348278658</v>
      </c>
      <c r="AN82" s="236">
        <f>AN52/AN$32</f>
        <v>0.13567185434258658</v>
      </c>
      <c r="AP82" s="236">
        <f>AP52/AP$32</f>
        <v>0.1356376850850593</v>
      </c>
      <c r="AR82" s="236">
        <f>AR52/AR$32</f>
        <v>0.13560407012001729</v>
      </c>
      <c r="AT82" s="236">
        <f>AT52/AT$32</f>
        <v>0.13557105343274811</v>
      </c>
      <c r="AV82" s="236">
        <f>AV52/AV$32</f>
        <v>0.13553867687798271</v>
      </c>
    </row>
    <row r="83" spans="1:48 16384:16384" x14ac:dyDescent="0.2">
      <c r="A83" t="s">
        <v>193</v>
      </c>
      <c r="B83" s="236">
        <f>B53/B$32</f>
        <v>0.18600714462929399</v>
      </c>
      <c r="D83" s="236">
        <f>D53/D$32</f>
        <v>0.18543635201364134</v>
      </c>
      <c r="F83" s="236">
        <f>F53/F$32</f>
        <v>0.18486222689205145</v>
      </c>
      <c r="H83" s="236">
        <f>H53/H$32</f>
        <v>0.18428419082161002</v>
      </c>
      <c r="J83" s="236">
        <f>J53/J$32</f>
        <v>0.18370153883193915</v>
      </c>
      <c r="L83" s="236">
        <f>L53/L$32</f>
        <v>0.18311347427103539</v>
      </c>
      <c r="N83" s="236">
        <f>N53/N$32</f>
        <v>0.18251905339770344</v>
      </c>
      <c r="P83" s="236">
        <f>P53/P$32</f>
        <v>0.18191713793591299</v>
      </c>
      <c r="R83" s="236">
        <f>R53/R$32</f>
        <v>0.1813063677886381</v>
      </c>
      <c r="T83" s="236">
        <f>T53/T$32</f>
        <v>0.18068507926545407</v>
      </c>
      <c r="V83" s="236">
        <f>V53/V$32</f>
        <v>0.18005129455087118</v>
      </c>
      <c r="X83" s="236">
        <f>X53/X$32</f>
        <v>0.17940259317701632</v>
      </c>
      <c r="Z83" s="236">
        <f>Z53/Z$32</f>
        <v>0.17873612926194438</v>
      </c>
      <c r="AB83" s="236">
        <f>AB53/AB$32</f>
        <v>0.17804868304686186</v>
      </c>
      <c r="AD83" s="236">
        <f>AD53/AD$32</f>
        <v>0.17733692372252075</v>
      </c>
      <c r="AF83" s="236">
        <f>AF53/AF$32</f>
        <v>0.17659803630523843</v>
      </c>
      <c r="AH83" s="236">
        <f>AH53/AH$32</f>
        <v>0.1758308735041175</v>
      </c>
      <c r="AJ83" s="236">
        <f>AJ53/AJ$32</f>
        <v>0.17503756925301811</v>
      </c>
      <c r="AL83" s="236">
        <f>AL53/AL$32</f>
        <v>0.17422499864191074</v>
      </c>
      <c r="AN83" s="236">
        <f>AN53/AN$32</f>
        <v>0.1734049666286753</v>
      </c>
      <c r="AP83" s="236">
        <f>AP53/AP$32</f>
        <v>0.17324135953388958</v>
      </c>
      <c r="AR83" s="236">
        <f>AR53/AR$32</f>
        <v>0.17307817641821058</v>
      </c>
      <c r="AT83" s="236">
        <f>AT53/AT$32</f>
        <v>0.17291554326935435</v>
      </c>
      <c r="AV83" s="236">
        <f>AV53/AV$32</f>
        <v>0.17275358482459249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6"/>
  <dimension ref="A1:XFD83"/>
  <sheetViews>
    <sheetView showGridLines="0" workbookViewId="0">
      <pane xSplit="1" ySplit="1" topLeftCell="AH12" activePane="bottomRight" state="frozen"/>
      <selection pane="topRight" activeCell="B1" sqref="B1"/>
      <selection pane="bottomLeft" activeCell="A2" sqref="A2"/>
      <selection pane="bottomRight" activeCell="AR31" sqref="AR31"/>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c r="AV1" s="94"/>
    </row>
    <row r="2" spans="1:49" x14ac:dyDescent="0.2">
      <c r="A2" s="229" t="s">
        <v>155</v>
      </c>
      <c r="B2" s="226">
        <v>5.7716594496607888E-3</v>
      </c>
      <c r="C2" s="227"/>
      <c r="D2" s="226">
        <v>2.6717159326695314E-2</v>
      </c>
      <c r="E2" s="227"/>
      <c r="F2" s="226">
        <v>4.8861046207077478E-2</v>
      </c>
      <c r="G2" s="227"/>
      <c r="H2" s="226">
        <v>7.2285723331902585E-2</v>
      </c>
      <c r="I2" s="227"/>
      <c r="J2" s="226">
        <v>9.7078634488949503E-2</v>
      </c>
      <c r="K2" s="227"/>
      <c r="L2" s="226">
        <v>0.12333046280282915</v>
      </c>
      <c r="M2" s="227"/>
      <c r="N2" s="226">
        <v>0.15113931170757408</v>
      </c>
      <c r="O2" s="227"/>
      <c r="P2" s="226">
        <v>0.18062194220240715</v>
      </c>
      <c r="Q2" s="227"/>
      <c r="R2" s="226">
        <v>0.21193947598337481</v>
      </c>
      <c r="S2" s="227"/>
      <c r="T2" s="226">
        <v>0.24535810430461344</v>
      </c>
      <c r="U2" s="227"/>
      <c r="V2" s="226">
        <v>0.28139263424779037</v>
      </c>
      <c r="W2" s="227"/>
      <c r="X2" s="226">
        <v>0.32112044412942803</v>
      </c>
      <c r="Y2" s="227"/>
      <c r="Z2" s="226">
        <v>0.36687597378761705</v>
      </c>
      <c r="AA2" s="227"/>
      <c r="AB2" s="226">
        <v>0.42378536271769812</v>
      </c>
      <c r="AC2" s="227"/>
      <c r="AD2" s="226">
        <v>0.50332039629236081</v>
      </c>
      <c r="AE2" s="227"/>
      <c r="AF2" s="226">
        <v>0.63248588702621811</v>
      </c>
      <c r="AG2" s="227"/>
      <c r="AH2" s="226">
        <v>0.88131289154790338</v>
      </c>
      <c r="AI2" s="227"/>
      <c r="AJ2" s="226">
        <v>1.4496777135191738</v>
      </c>
      <c r="AK2" s="227"/>
      <c r="AL2" s="226">
        <v>2.9663129992618691</v>
      </c>
      <c r="AM2" s="227"/>
      <c r="AN2" s="226">
        <v>8.8921099499081038</v>
      </c>
      <c r="AO2" s="227"/>
      <c r="AP2" s="226">
        <v>12.346340315430762</v>
      </c>
      <c r="AQ2" s="227"/>
      <c r="AR2" s="226">
        <v>18.629541858234877</v>
      </c>
      <c r="AS2" s="227"/>
      <c r="AT2" s="226"/>
      <c r="AU2" s="227"/>
      <c r="AV2" s="226"/>
      <c r="AW2" s="227"/>
    </row>
    <row r="3" spans="1:49" x14ac:dyDescent="0.2">
      <c r="A3" t="s">
        <v>12</v>
      </c>
      <c r="B3" s="84">
        <v>1000</v>
      </c>
      <c r="C3" s="85">
        <v>1000</v>
      </c>
      <c r="D3" s="84">
        <v>1000.2068551966361</v>
      </c>
      <c r="E3" s="85">
        <v>1010.7045452171062</v>
      </c>
      <c r="F3" s="84">
        <v>1000.705982829497</v>
      </c>
      <c r="G3" s="85">
        <v>1022.2246363463258</v>
      </c>
      <c r="H3" s="84">
        <v>1001.5654859103331</v>
      </c>
      <c r="I3" s="85">
        <v>1034.6523734557722</v>
      </c>
      <c r="J3" s="84">
        <v>1002.8744716097132</v>
      </c>
      <c r="K3" s="85">
        <v>1048.0984734022679</v>
      </c>
      <c r="L3" s="84">
        <v>1004.7522484697943</v>
      </c>
      <c r="M3" s="85">
        <v>1062.6991774426292</v>
      </c>
      <c r="N3" s="84">
        <v>1007.3603572311102</v>
      </c>
      <c r="O3" s="85">
        <v>1078.6278811016944</v>
      </c>
      <c r="P3" s="84">
        <v>1010.9204004995097</v>
      </c>
      <c r="Q3" s="85">
        <v>1096.1141215457847</v>
      </c>
      <c r="R3" s="84">
        <v>1015.7415230950994</v>
      </c>
      <c r="S3" s="85">
        <v>1115.4764142851584</v>
      </c>
      <c r="T3" s="84">
        <v>1022.2622685138375</v>
      </c>
      <c r="U3" s="85">
        <v>1137.1811828086736</v>
      </c>
      <c r="V3" s="84">
        <v>1031.1145396042646</v>
      </c>
      <c r="W3" s="85">
        <v>1161.9495434340831</v>
      </c>
      <c r="X3" s="84">
        <v>1043.2244582269864</v>
      </c>
      <c r="Y3" s="85">
        <v>1190.9577711167426</v>
      </c>
      <c r="Z3" s="84">
        <v>1059.9757612919041</v>
      </c>
      <c r="AA3" s="85">
        <v>1226.2216793186292</v>
      </c>
      <c r="AB3" s="84">
        <v>1083.4956230567641</v>
      </c>
      <c r="AC3" s="85">
        <v>1271.3648327550568</v>
      </c>
      <c r="AD3" s="84">
        <v>1117.2333773752873</v>
      </c>
      <c r="AE3" s="85">
        <v>1333.277676351393</v>
      </c>
      <c r="AF3" s="84">
        <v>1167.3548840425535</v>
      </c>
      <c r="AG3" s="85">
        <v>1426.2003243670142</v>
      </c>
      <c r="AH3" s="84">
        <v>1246.3118810685617</v>
      </c>
      <c r="AI3" s="85">
        <v>1583.1008559036468</v>
      </c>
      <c r="AJ3" s="84">
        <v>1380.2261267226461</v>
      </c>
      <c r="AK3" s="85">
        <v>1887.0668500061583</v>
      </c>
      <c r="AL3" s="84">
        <v>1623.1157391574757</v>
      </c>
      <c r="AM3" s="85">
        <v>2563.2510389961672</v>
      </c>
      <c r="AN3" s="84">
        <v>2175.57743247604</v>
      </c>
      <c r="AO3" s="85">
        <v>4667.6601917805392</v>
      </c>
      <c r="AP3" s="84">
        <v>2399.8409389426715</v>
      </c>
      <c r="AQ3" s="85">
        <v>5734.9472017503931</v>
      </c>
      <c r="AR3" s="84">
        <v>2731.5458862463834</v>
      </c>
      <c r="AS3" s="85">
        <v>7531.3782154127421</v>
      </c>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c r="AU4" s="102"/>
      <c r="AV4" s="101"/>
      <c r="AW4" s="102"/>
    </row>
    <row r="5" spans="1:49" x14ac:dyDescent="0.2">
      <c r="A5" t="s">
        <v>128</v>
      </c>
      <c r="B5" s="41">
        <v>1000</v>
      </c>
      <c r="C5" s="42">
        <v>1000</v>
      </c>
      <c r="D5" s="41">
        <v>1000.2170363739704</v>
      </c>
      <c r="E5" s="42">
        <v>1009.301778599955</v>
      </c>
      <c r="F5" s="41">
        <v>1000.7406055932535</v>
      </c>
      <c r="G5" s="42">
        <v>1019.0929876776947</v>
      </c>
      <c r="H5" s="41">
        <v>1001.6417824903285</v>
      </c>
      <c r="I5" s="42">
        <v>1029.3981173089201</v>
      </c>
      <c r="J5" s="41">
        <v>1003.0132363178229</v>
      </c>
      <c r="K5" s="42">
        <v>1040.2428979482274</v>
      </c>
      <c r="L5" s="41">
        <v>1004.9785340042724</v>
      </c>
      <c r="M5" s="42">
        <v>1051.6560618459753</v>
      </c>
      <c r="N5" s="41">
        <v>1007.7041554324786</v>
      </c>
      <c r="O5" s="42">
        <v>1063.6721309840184</v>
      </c>
      <c r="P5" s="41">
        <v>1011.4171235193637</v>
      </c>
      <c r="Q5" s="42">
        <v>1076.3354325234823</v>
      </c>
      <c r="R5" s="41">
        <v>1016.4318685935812</v>
      </c>
      <c r="S5" s="42">
        <v>1089.708290968252</v>
      </c>
      <c r="T5" s="41">
        <v>1023.190512385685</v>
      </c>
      <c r="U5" s="42">
        <v>1103.8870543366893</v>
      </c>
      <c r="V5" s="41">
        <v>1032.323221265387</v>
      </c>
      <c r="W5" s="42">
        <v>1119.0221645732745</v>
      </c>
      <c r="X5" s="41">
        <v>1044.7412784833562</v>
      </c>
      <c r="Y5" s="42">
        <v>1135.3512021219142</v>
      </c>
      <c r="Z5" s="41">
        <v>1061.7841177300147</v>
      </c>
      <c r="AA5" s="42">
        <v>1153.2293458898566</v>
      </c>
      <c r="AB5" s="41">
        <v>1085.4712466387537</v>
      </c>
      <c r="AC5" s="42">
        <v>1173.1235680007574</v>
      </c>
      <c r="AD5" s="41">
        <v>1119.0084315122988</v>
      </c>
      <c r="AE5" s="42">
        <v>1195.4555516468449</v>
      </c>
      <c r="AF5" s="41">
        <v>1168.0069050081263</v>
      </c>
      <c r="AG5" s="42">
        <v>1220.0330955748711</v>
      </c>
      <c r="AH5" s="41">
        <v>1243.550422149933</v>
      </c>
      <c r="AI5" s="42">
        <v>1244.572377872772</v>
      </c>
      <c r="AJ5" s="41">
        <v>1368.0953166893701</v>
      </c>
      <c r="AK5" s="42">
        <v>1262.8916809513989</v>
      </c>
      <c r="AL5" s="41">
        <v>1585.4253074004107</v>
      </c>
      <c r="AM5" s="42">
        <v>1270.0850317026059</v>
      </c>
      <c r="AN5" s="41">
        <v>2049.3417453058546</v>
      </c>
      <c r="AO5" s="42">
        <v>1271.0466582258744</v>
      </c>
      <c r="AP5" s="41">
        <v>2227.5046861566866</v>
      </c>
      <c r="AQ5" s="42">
        <v>1271.0579081209617</v>
      </c>
      <c r="AR5" s="41">
        <v>2481.3917394536379</v>
      </c>
      <c r="AS5" s="42">
        <v>1271.0608769758969</v>
      </c>
      <c r="AT5" s="41"/>
      <c r="AU5" s="42"/>
      <c r="AV5" s="41"/>
      <c r="AW5" s="42"/>
    </row>
    <row r="6" spans="1:49" x14ac:dyDescent="0.2">
      <c r="A6" t="s">
        <v>77</v>
      </c>
      <c r="B6" s="41">
        <v>1000.0000000000003</v>
      </c>
      <c r="C6" s="42">
        <v>1000.0000000000002</v>
      </c>
      <c r="D6" s="41">
        <v>1000.2336415281178</v>
      </c>
      <c r="E6" s="42">
        <v>1011.5356677230238</v>
      </c>
      <c r="F6" s="41">
        <v>1000.7972998643133</v>
      </c>
      <c r="G6" s="42">
        <v>1023.9093672930866</v>
      </c>
      <c r="H6" s="41">
        <v>1001.7675857447645</v>
      </c>
      <c r="I6" s="42">
        <v>1037.2139525226871</v>
      </c>
      <c r="J6" s="41">
        <v>1003.2444681769613</v>
      </c>
      <c r="K6" s="42">
        <v>1051.5612595783291</v>
      </c>
      <c r="L6" s="41">
        <v>1005.3613841529968</v>
      </c>
      <c r="M6" s="42">
        <v>1067.0892132910108</v>
      </c>
      <c r="N6" s="41">
        <v>1008.2983369979939</v>
      </c>
      <c r="O6" s="42">
        <v>1083.9738154410265</v>
      </c>
      <c r="P6" s="41">
        <v>1012.3011637355334</v>
      </c>
      <c r="Q6" s="42">
        <v>1102.4486931772042</v>
      </c>
      <c r="R6" s="41">
        <v>1017.7110042099266</v>
      </c>
      <c r="S6" s="42">
        <v>1122.8388765875363</v>
      </c>
      <c r="T6" s="41">
        <v>1025.008716603013</v>
      </c>
      <c r="U6" s="42">
        <v>1145.6213374754409</v>
      </c>
      <c r="V6" s="41">
        <v>1034.8818672475822</v>
      </c>
      <c r="W6" s="42">
        <v>1171.5344479987943</v>
      </c>
      <c r="X6" s="41">
        <v>1048.328933973849</v>
      </c>
      <c r="Y6" s="42">
        <v>1201.7829909325803</v>
      </c>
      <c r="Z6" s="41">
        <v>1066.8257954657006</v>
      </c>
      <c r="AA6" s="42">
        <v>1238.4301501224811</v>
      </c>
      <c r="AB6" s="41">
        <v>1092.6144303332851</v>
      </c>
      <c r="AC6" s="42">
        <v>1285.17868305804</v>
      </c>
      <c r="AD6" s="41">
        <v>1129.288293014238</v>
      </c>
      <c r="AE6" s="42">
        <v>1349.054014234536</v>
      </c>
      <c r="AF6" s="41">
        <v>1183.2121870697965</v>
      </c>
      <c r="AG6" s="42">
        <v>1444.5406002515897</v>
      </c>
      <c r="AH6" s="41">
        <v>1267.1565010023046</v>
      </c>
      <c r="AI6" s="42">
        <v>1605.102069287698</v>
      </c>
      <c r="AJ6" s="41">
        <v>1407.7308431942006</v>
      </c>
      <c r="AK6" s="42">
        <v>1914.957052068344</v>
      </c>
      <c r="AL6" s="41">
        <v>1659.7474490048373</v>
      </c>
      <c r="AM6" s="42">
        <v>2602.3915022879273</v>
      </c>
      <c r="AN6" s="41">
        <v>2228.1851544216843</v>
      </c>
      <c r="AO6" s="42">
        <v>4739.5337696463957</v>
      </c>
      <c r="AP6" s="41">
        <v>2458.3209776006215</v>
      </c>
      <c r="AQ6" s="42">
        <v>5823.2799490113939</v>
      </c>
      <c r="AR6" s="41">
        <v>2798.4937312796474</v>
      </c>
      <c r="AS6" s="42">
        <v>7647.3940593539246</v>
      </c>
      <c r="AT6" s="41"/>
      <c r="AU6" s="42"/>
      <c r="AV6" s="41"/>
      <c r="AW6" s="42"/>
    </row>
    <row r="7" spans="1:49" x14ac:dyDescent="0.2">
      <c r="A7" t="s">
        <v>13</v>
      </c>
      <c r="B7" s="33">
        <v>1015.9116825427475</v>
      </c>
      <c r="C7" s="34">
        <v>1015.9116825427475</v>
      </c>
      <c r="D7" s="33">
        <v>1016.1321723306006</v>
      </c>
      <c r="E7" s="34">
        <v>1016.1321723306006</v>
      </c>
      <c r="F7" s="33">
        <v>1016.6640724170901</v>
      </c>
      <c r="G7" s="34">
        <v>1016.6640724170901</v>
      </c>
      <c r="H7" s="33">
        <v>1017.5795885548663</v>
      </c>
      <c r="I7" s="34">
        <v>1017.5795885548663</v>
      </c>
      <c r="J7" s="33">
        <v>1018.9728645202858</v>
      </c>
      <c r="K7" s="34">
        <v>1018.9728645202858</v>
      </c>
      <c r="L7" s="33">
        <v>1020.9694333996241</v>
      </c>
      <c r="M7" s="34">
        <v>1020.9694333996241</v>
      </c>
      <c r="N7" s="33">
        <v>1023.7384240507276</v>
      </c>
      <c r="O7" s="34">
        <v>1023.7384240507276</v>
      </c>
      <c r="P7" s="33">
        <v>1027.5104717071026</v>
      </c>
      <c r="Q7" s="34">
        <v>1027.5104717071026</v>
      </c>
      <c r="R7" s="33">
        <v>1032.6050098129738</v>
      </c>
      <c r="S7" s="34">
        <v>1032.6050098129738</v>
      </c>
      <c r="T7" s="33">
        <v>1039.4711949995171</v>
      </c>
      <c r="U7" s="34">
        <v>1039.4711949995171</v>
      </c>
      <c r="V7" s="33">
        <v>1048.7492206436682</v>
      </c>
      <c r="W7" s="34">
        <v>1048.7492206436682</v>
      </c>
      <c r="X7" s="33">
        <v>1061.3648700458875</v>
      </c>
      <c r="Y7" s="34">
        <v>1061.3648700458875</v>
      </c>
      <c r="Z7" s="33">
        <v>1078.6788895402658</v>
      </c>
      <c r="AA7" s="34">
        <v>1078.6788895402658</v>
      </c>
      <c r="AB7" s="33">
        <v>1102.7429205245498</v>
      </c>
      <c r="AC7" s="34">
        <v>1102.7429205245498</v>
      </c>
      <c r="AD7" s="33">
        <v>1136.8137384371803</v>
      </c>
      <c r="AE7" s="34">
        <v>1136.8137384371803</v>
      </c>
      <c r="AF7" s="33">
        <v>1186.5918600883526</v>
      </c>
      <c r="AG7" s="34">
        <v>1186.5918600883526</v>
      </c>
      <c r="AH7" s="33">
        <v>1263.3374016930823</v>
      </c>
      <c r="AI7" s="34">
        <v>1263.3374016930823</v>
      </c>
      <c r="AJ7" s="33">
        <v>1389.8640150567508</v>
      </c>
      <c r="AK7" s="34">
        <v>1389.8640150567508</v>
      </c>
      <c r="AL7" s="33">
        <v>1610.6520915870037</v>
      </c>
      <c r="AM7" s="34">
        <v>1610.6520915870037</v>
      </c>
      <c r="AN7" s="33">
        <v>2081.9502205787612</v>
      </c>
      <c r="AO7" s="34">
        <v>2081.9502205787612</v>
      </c>
      <c r="AP7" s="33">
        <v>2262.9480335852941</v>
      </c>
      <c r="AQ7" s="34">
        <v>2262.9480335852941</v>
      </c>
      <c r="AR7" s="33">
        <v>2520.8748570760199</v>
      </c>
      <c r="AS7" s="34">
        <v>2520.8748570760199</v>
      </c>
      <c r="AT7" s="33"/>
      <c r="AU7" s="34"/>
      <c r="AV7" s="33"/>
      <c r="AW7" s="34"/>
    </row>
    <row r="8" spans="1:49" x14ac:dyDescent="0.2">
      <c r="B8" s="35">
        <v>1005.7716594496609</v>
      </c>
      <c r="C8" s="36">
        <v>1005.7716594496609</v>
      </c>
      <c r="D8" s="35">
        <v>1036.2674550275269</v>
      </c>
      <c r="E8" s="36">
        <v>1036.2674550275269</v>
      </c>
      <c r="F8" s="35">
        <v>1068.8869372379233</v>
      </c>
      <c r="G8" s="36">
        <v>1068.8869372379233</v>
      </c>
      <c r="H8" s="35">
        <v>1103.8089048150939</v>
      </c>
      <c r="I8" s="36">
        <v>1103.8089048150939</v>
      </c>
      <c r="J8" s="35">
        <v>1141.2282580178692</v>
      </c>
      <c r="K8" s="36">
        <v>1141.2282580178692</v>
      </c>
      <c r="L8" s="35">
        <v>1181.3572906628401</v>
      </c>
      <c r="M8" s="36">
        <v>1181.3572906628401</v>
      </c>
      <c r="N8" s="35">
        <v>1224.4348047434717</v>
      </c>
      <c r="O8" s="36">
        <v>1224.4348047434717</v>
      </c>
      <c r="P8" s="35">
        <v>1270.7452288071415</v>
      </c>
      <c r="Q8" s="36">
        <v>1270.7452288071415</v>
      </c>
      <c r="R8" s="35">
        <v>1320.6604951308022</v>
      </c>
      <c r="S8" s="36">
        <v>1320.6604951308022</v>
      </c>
      <c r="T8" s="35">
        <v>1374.734689355143</v>
      </c>
      <c r="U8" s="36">
        <v>1374.734689355143</v>
      </c>
      <c r="V8" s="35">
        <v>1433.9067592442127</v>
      </c>
      <c r="W8" s="36">
        <v>1433.9067592442127</v>
      </c>
      <c r="X8" s="35">
        <v>1499.9356843901833</v>
      </c>
      <c r="Y8" s="36">
        <v>1499.9356843901833</v>
      </c>
      <c r="Z8" s="35">
        <v>1576.3214851636544</v>
      </c>
      <c r="AA8" s="36">
        <v>1576.3214851636544</v>
      </c>
      <c r="AB8" s="35">
        <v>1670.2761647786385</v>
      </c>
      <c r="AC8" s="36">
        <v>1670.2761647786385</v>
      </c>
      <c r="AD8" s="35">
        <v>1797.1527136516377</v>
      </c>
      <c r="AE8" s="36">
        <v>1797.1527136516377</v>
      </c>
      <c r="AF8" s="35">
        <v>1991.6868102308863</v>
      </c>
      <c r="AG8" s="36">
        <v>1991.6868102308863</v>
      </c>
      <c r="AH8" s="35">
        <v>2341.4300589564746</v>
      </c>
      <c r="AI8" s="36">
        <v>2341.4300589564746</v>
      </c>
      <c r="AJ8" s="35">
        <v>3093.6776054154088</v>
      </c>
      <c r="AK8" s="36">
        <v>3093.6776054154088</v>
      </c>
      <c r="AL8" s="35">
        <v>5037.5547714099685</v>
      </c>
      <c r="AM8" s="36">
        <v>5037.5547714099685</v>
      </c>
      <c r="AN8" s="35">
        <v>12573.333294633616</v>
      </c>
      <c r="AO8" s="36">
        <v>12573.333294633616</v>
      </c>
      <c r="AP8" s="35">
        <v>16963.971402401879</v>
      </c>
      <c r="AQ8" s="36">
        <v>16963.971402401879</v>
      </c>
      <c r="AR8" s="35">
        <v>24950.342688963101</v>
      </c>
      <c r="AS8" s="36">
        <v>24950.342688963101</v>
      </c>
      <c r="AT8" s="35"/>
      <c r="AU8" s="36"/>
      <c r="AV8" s="35"/>
      <c r="AW8" s="36"/>
    </row>
    <row r="9" spans="1:49" x14ac:dyDescent="0.2">
      <c r="A9" t="s">
        <v>14</v>
      </c>
      <c r="B9" s="41">
        <v>1015.9116825427475</v>
      </c>
      <c r="C9" s="42">
        <v>1005.7716594496609</v>
      </c>
      <c r="D9" s="41">
        <v>1016.1321723306006</v>
      </c>
      <c r="E9" s="42">
        <v>1036.2674550275269</v>
      </c>
      <c r="F9" s="41">
        <v>1016.6640724170901</v>
      </c>
      <c r="G9" s="42">
        <v>1068.8869372379233</v>
      </c>
      <c r="H9" s="41">
        <v>1017.5795885548663</v>
      </c>
      <c r="I9" s="42">
        <v>1103.8089048150939</v>
      </c>
      <c r="J9" s="41">
        <v>1018.9728645202858</v>
      </c>
      <c r="K9" s="42">
        <v>1141.2282580178692</v>
      </c>
      <c r="L9" s="41">
        <v>1020.9694333996241</v>
      </c>
      <c r="M9" s="42">
        <v>1181.3572906628401</v>
      </c>
      <c r="N9" s="41">
        <v>1023.7384240507276</v>
      </c>
      <c r="O9" s="42">
        <v>1224.4348047434717</v>
      </c>
      <c r="P9" s="41">
        <v>1027.5104717071026</v>
      </c>
      <c r="Q9" s="42">
        <v>1270.7452288071415</v>
      </c>
      <c r="R9" s="41">
        <v>1032.6050098129738</v>
      </c>
      <c r="S9" s="42">
        <v>1320.6604951308022</v>
      </c>
      <c r="T9" s="41">
        <v>1039.4711949995171</v>
      </c>
      <c r="U9" s="42">
        <v>1374.734689355143</v>
      </c>
      <c r="V9" s="41">
        <v>1048.7492206436682</v>
      </c>
      <c r="W9" s="42">
        <v>1433.9067592442127</v>
      </c>
      <c r="X9" s="41">
        <v>1061.3648700458875</v>
      </c>
      <c r="Y9" s="42">
        <v>1499.9356843901833</v>
      </c>
      <c r="Z9" s="41">
        <v>1078.6788895402658</v>
      </c>
      <c r="AA9" s="42">
        <v>1576.3214851636544</v>
      </c>
      <c r="AB9" s="41">
        <v>1102.7429205245498</v>
      </c>
      <c r="AC9" s="42">
        <v>1670.2761647786385</v>
      </c>
      <c r="AD9" s="41">
        <v>1136.8137384371803</v>
      </c>
      <c r="AE9" s="42">
        <v>1797.1527136516377</v>
      </c>
      <c r="AF9" s="41">
        <v>1186.5918600883526</v>
      </c>
      <c r="AG9" s="42">
        <v>1991.6868102308863</v>
      </c>
      <c r="AH9" s="41">
        <v>1263.3374016930823</v>
      </c>
      <c r="AI9" s="42">
        <v>2341.4300589564746</v>
      </c>
      <c r="AJ9" s="41">
        <v>1389.8640150567508</v>
      </c>
      <c r="AK9" s="42">
        <v>3093.6776054154088</v>
      </c>
      <c r="AL9" s="41">
        <v>1610.6520915870037</v>
      </c>
      <c r="AM9" s="42">
        <v>5037.5547714099685</v>
      </c>
      <c r="AN9" s="41">
        <v>2081.9502205787612</v>
      </c>
      <c r="AO9" s="42">
        <v>12573.333294633616</v>
      </c>
      <c r="AP9" s="41">
        <v>2262.9480335852941</v>
      </c>
      <c r="AQ9" s="42">
        <v>16963.971402401879</v>
      </c>
      <c r="AR9" s="41">
        <v>2520.8748570760199</v>
      </c>
      <c r="AS9" s="42">
        <v>24950.342688963101</v>
      </c>
      <c r="AT9" s="41"/>
      <c r="AU9" s="42"/>
      <c r="AV9" s="41"/>
      <c r="AW9" s="42"/>
    </row>
    <row r="10" spans="1:49" x14ac:dyDescent="0.2">
      <c r="A10" t="s">
        <v>15</v>
      </c>
      <c r="B10" s="41">
        <v>1015.9116825427475</v>
      </c>
      <c r="C10" s="42">
        <v>1005.7716594496609</v>
      </c>
      <c r="D10" s="41">
        <v>1016.1321723306006</v>
      </c>
      <c r="E10" s="42">
        <v>1036.2674550275269</v>
      </c>
      <c r="F10" s="41">
        <v>1016.6640724170901</v>
      </c>
      <c r="G10" s="42">
        <v>1068.8869372379233</v>
      </c>
      <c r="H10" s="41">
        <v>1017.5795885548663</v>
      </c>
      <c r="I10" s="42">
        <v>1103.8089048150939</v>
      </c>
      <c r="J10" s="41">
        <v>1018.9728645202858</v>
      </c>
      <c r="K10" s="42">
        <v>1141.2282580178692</v>
      </c>
      <c r="L10" s="41">
        <v>1020.9694333996241</v>
      </c>
      <c r="M10" s="42">
        <v>1181.3572906628401</v>
      </c>
      <c r="N10" s="41">
        <v>1023.7384240507276</v>
      </c>
      <c r="O10" s="42">
        <v>1224.4348047434717</v>
      </c>
      <c r="P10" s="41">
        <v>1027.5104717071026</v>
      </c>
      <c r="Q10" s="42">
        <v>1270.7452288071415</v>
      </c>
      <c r="R10" s="41">
        <v>1032.6050098129738</v>
      </c>
      <c r="S10" s="42">
        <v>1320.6604951308022</v>
      </c>
      <c r="T10" s="41">
        <v>1039.4711949995171</v>
      </c>
      <c r="U10" s="42">
        <v>1374.734689355143</v>
      </c>
      <c r="V10" s="41">
        <v>1048.7492206436682</v>
      </c>
      <c r="W10" s="42">
        <v>1433.9067592442127</v>
      </c>
      <c r="X10" s="41">
        <v>1061.3648700458875</v>
      </c>
      <c r="Y10" s="42">
        <v>1499.9356843901833</v>
      </c>
      <c r="Z10" s="41">
        <v>1078.6788895402658</v>
      </c>
      <c r="AA10" s="42">
        <v>1576.3214851636544</v>
      </c>
      <c r="AB10" s="41">
        <v>1102.7429205245498</v>
      </c>
      <c r="AC10" s="42">
        <v>1670.2761647786385</v>
      </c>
      <c r="AD10" s="41">
        <v>1136.8137384371803</v>
      </c>
      <c r="AE10" s="42">
        <v>1797.1527136516377</v>
      </c>
      <c r="AF10" s="41">
        <v>1186.5918600883526</v>
      </c>
      <c r="AG10" s="42">
        <v>1991.6868102308863</v>
      </c>
      <c r="AH10" s="41">
        <v>1263.3374016930823</v>
      </c>
      <c r="AI10" s="42">
        <v>2341.4300589564746</v>
      </c>
      <c r="AJ10" s="41">
        <v>1389.8640150567508</v>
      </c>
      <c r="AK10" s="42">
        <v>3093.6776054154088</v>
      </c>
      <c r="AL10" s="41">
        <v>1610.6520915870037</v>
      </c>
      <c r="AM10" s="42">
        <v>5037.5547714099685</v>
      </c>
      <c r="AN10" s="41">
        <v>2081.9502205787612</v>
      </c>
      <c r="AO10" s="42">
        <v>12573.333294633616</v>
      </c>
      <c r="AP10" s="41">
        <v>2262.9480335852941</v>
      </c>
      <c r="AQ10" s="42">
        <v>16963.971402401879</v>
      </c>
      <c r="AR10" s="41">
        <v>2520.8748570760199</v>
      </c>
      <c r="AS10" s="42">
        <v>24950.342688963101</v>
      </c>
      <c r="AT10" s="41"/>
      <c r="AU10" s="42"/>
      <c r="AV10" s="41"/>
      <c r="AW10" s="42"/>
    </row>
    <row r="11" spans="1:49" x14ac:dyDescent="0.2">
      <c r="A11" t="s">
        <v>29</v>
      </c>
      <c r="B11" s="41">
        <v>1015.9116825427475</v>
      </c>
      <c r="C11" s="42">
        <v>1005.7716594496609</v>
      </c>
      <c r="D11" s="41">
        <v>1016.1321723306006</v>
      </c>
      <c r="E11" s="42">
        <v>1036.2674550275269</v>
      </c>
      <c r="F11" s="41">
        <v>1016.6640724170901</v>
      </c>
      <c r="G11" s="42">
        <v>1068.8869372379233</v>
      </c>
      <c r="H11" s="41">
        <v>1017.5795885548663</v>
      </c>
      <c r="I11" s="42">
        <v>1103.8089048150939</v>
      </c>
      <c r="J11" s="41">
        <v>1018.9728645202858</v>
      </c>
      <c r="K11" s="42">
        <v>1141.2282580178692</v>
      </c>
      <c r="L11" s="41">
        <v>1020.9694333996241</v>
      </c>
      <c r="M11" s="42">
        <v>1181.3572906628401</v>
      </c>
      <c r="N11" s="41">
        <v>1023.7384240507276</v>
      </c>
      <c r="O11" s="42">
        <v>1224.4348047434717</v>
      </c>
      <c r="P11" s="41">
        <v>1027.5104717071026</v>
      </c>
      <c r="Q11" s="42">
        <v>1270.7452288071415</v>
      </c>
      <c r="R11" s="41">
        <v>1032.6050098129738</v>
      </c>
      <c r="S11" s="42">
        <v>1320.6604951308022</v>
      </c>
      <c r="T11" s="41">
        <v>1039.4711949995171</v>
      </c>
      <c r="U11" s="42">
        <v>1374.734689355143</v>
      </c>
      <c r="V11" s="41">
        <v>1048.7492206436682</v>
      </c>
      <c r="W11" s="42">
        <v>1433.9067592442127</v>
      </c>
      <c r="X11" s="41">
        <v>1061.3648700458875</v>
      </c>
      <c r="Y11" s="42">
        <v>1499.9356843901833</v>
      </c>
      <c r="Z11" s="41">
        <v>1078.6788895402658</v>
      </c>
      <c r="AA11" s="42">
        <v>1576.3214851636544</v>
      </c>
      <c r="AB11" s="41">
        <v>1102.7429205245498</v>
      </c>
      <c r="AC11" s="42">
        <v>1670.2761647786385</v>
      </c>
      <c r="AD11" s="41">
        <v>1136.8137384371803</v>
      </c>
      <c r="AE11" s="42">
        <v>1797.1527136516377</v>
      </c>
      <c r="AF11" s="41">
        <v>1186.5918600883526</v>
      </c>
      <c r="AG11" s="42">
        <v>1991.6868102308863</v>
      </c>
      <c r="AH11" s="41">
        <v>1263.3374016930823</v>
      </c>
      <c r="AI11" s="42">
        <v>2341.4300589564746</v>
      </c>
      <c r="AJ11" s="41">
        <v>1389.8640150567508</v>
      </c>
      <c r="AK11" s="42">
        <v>3093.6776054154088</v>
      </c>
      <c r="AL11" s="41">
        <v>1610.6520915870037</v>
      </c>
      <c r="AM11" s="42">
        <v>5037.5547714099685</v>
      </c>
      <c r="AN11" s="41">
        <v>2081.9502205787612</v>
      </c>
      <c r="AO11" s="42">
        <v>12573.333294633616</v>
      </c>
      <c r="AP11" s="41">
        <v>2262.9480335852941</v>
      </c>
      <c r="AQ11" s="42">
        <v>16963.971402401879</v>
      </c>
      <c r="AR11" s="41">
        <v>2520.8748570760199</v>
      </c>
      <c r="AS11" s="42">
        <v>24950.342688963101</v>
      </c>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c r="AU12" s="42"/>
      <c r="AV12" s="41"/>
      <c r="AW12" s="42"/>
    </row>
    <row r="13" spans="1:49" x14ac:dyDescent="0.2">
      <c r="A13" t="s">
        <v>17</v>
      </c>
      <c r="B13" s="97">
        <v>1000</v>
      </c>
      <c r="C13" s="98">
        <v>1000</v>
      </c>
      <c r="D13" s="97">
        <v>997.7575516251685</v>
      </c>
      <c r="E13" s="98">
        <v>997.7575516251685</v>
      </c>
      <c r="F13" s="97">
        <v>995.70469845678747</v>
      </c>
      <c r="G13" s="98">
        <v>995.70469845678747</v>
      </c>
      <c r="H13" s="97">
        <v>993.90219543393209</v>
      </c>
      <c r="I13" s="98">
        <v>993.90219543393209</v>
      </c>
      <c r="J13" s="97">
        <v>992.43106097886118</v>
      </c>
      <c r="K13" s="98">
        <v>992.43106097886118</v>
      </c>
      <c r="L13" s="97">
        <v>991.40174124383452</v>
      </c>
      <c r="M13" s="98">
        <v>991.40174124383452</v>
      </c>
      <c r="N13" s="97">
        <v>990.9660424795992</v>
      </c>
      <c r="O13" s="98">
        <v>990.9660424795992</v>
      </c>
      <c r="P13" s="97">
        <v>991.33496065136308</v>
      </c>
      <c r="Q13" s="98">
        <v>991.33496065136308</v>
      </c>
      <c r="R13" s="97">
        <v>992.8063072979304</v>
      </c>
      <c r="S13" s="98">
        <v>992.8063072979304</v>
      </c>
      <c r="T13" s="97">
        <v>995.80694904198219</v>
      </c>
      <c r="U13" s="98">
        <v>995.80694904198219</v>
      </c>
      <c r="V13" s="97">
        <v>1000.9578943974977</v>
      </c>
      <c r="W13" s="98">
        <v>1000.9578943974977</v>
      </c>
      <c r="X13" s="97">
        <v>1009.1774012032954</v>
      </c>
      <c r="Y13" s="98">
        <v>1009.1774012032954</v>
      </c>
      <c r="Z13" s="97">
        <v>1021.8489877963441</v>
      </c>
      <c r="AA13" s="98">
        <v>1021.8489877963441</v>
      </c>
      <c r="AB13" s="97">
        <v>1041.11605290596</v>
      </c>
      <c r="AC13" s="98">
        <v>1041.11605290596</v>
      </c>
      <c r="AD13" s="97">
        <v>1070.4792832493349</v>
      </c>
      <c r="AE13" s="98">
        <v>1070.4792832493349</v>
      </c>
      <c r="AF13" s="97">
        <v>1116.247516991865</v>
      </c>
      <c r="AG13" s="98">
        <v>1116.247516991865</v>
      </c>
      <c r="AH13" s="97">
        <v>1191.3566509189525</v>
      </c>
      <c r="AI13" s="98">
        <v>1191.3566509189525</v>
      </c>
      <c r="AJ13" s="97">
        <v>1323.933064474729</v>
      </c>
      <c r="AK13" s="98">
        <v>1323.933064474729</v>
      </c>
      <c r="AL13" s="97">
        <v>1576.6423379751277</v>
      </c>
      <c r="AM13" s="98">
        <v>1576.6423379751277</v>
      </c>
      <c r="AN13" s="97">
        <v>2205.8470523821511</v>
      </c>
      <c r="AO13" s="98">
        <v>2205.8470523821511</v>
      </c>
      <c r="AP13" s="97">
        <v>2482.9344714506351</v>
      </c>
      <c r="AQ13" s="98">
        <v>2482.9344714506351</v>
      </c>
      <c r="AR13" s="97">
        <v>2915.5459082608313</v>
      </c>
      <c r="AS13" s="98">
        <v>2915.5459082608313</v>
      </c>
      <c r="AT13" s="97"/>
      <c r="AU13" s="98"/>
      <c r="AV13" s="97"/>
      <c r="AW13" s="98"/>
    </row>
    <row r="14" spans="1:49" x14ac:dyDescent="0.2">
      <c r="A14" t="s">
        <v>36</v>
      </c>
      <c r="B14" s="41">
        <v>1457.0034251455234</v>
      </c>
      <c r="C14" s="42">
        <v>1457.0034251455236</v>
      </c>
      <c r="D14" s="41">
        <v>1453.7361701826817</v>
      </c>
      <c r="E14" s="42">
        <v>1453.7361701826819</v>
      </c>
      <c r="F14" s="41">
        <v>1450.7451560850297</v>
      </c>
      <c r="G14" s="42">
        <v>1450.74515608503</v>
      </c>
      <c r="H14" s="41">
        <v>1448.1189030068942</v>
      </c>
      <c r="I14" s="42">
        <v>1448.1189030068945</v>
      </c>
      <c r="J14" s="41">
        <v>1445.9754550670064</v>
      </c>
      <c r="K14" s="42">
        <v>1445.9754550670066</v>
      </c>
      <c r="L14" s="41">
        <v>1444.4757326875026</v>
      </c>
      <c r="M14" s="42">
        <v>1444.4757326875028</v>
      </c>
      <c r="N14" s="41">
        <v>1443.8409180956801</v>
      </c>
      <c r="O14" s="42">
        <v>1443.8409180956803</v>
      </c>
      <c r="P14" s="41">
        <v>1444.3784331355384</v>
      </c>
      <c r="Q14" s="42">
        <v>1444.3784331355387</v>
      </c>
      <c r="R14" s="41">
        <v>1446.5221902391636</v>
      </c>
      <c r="S14" s="42">
        <v>1446.5221902391638</v>
      </c>
      <c r="T14" s="41">
        <v>1450.8941355378815</v>
      </c>
      <c r="U14" s="42">
        <v>1450.8941355378818</v>
      </c>
      <c r="V14" s="41">
        <v>1458.3990805636051</v>
      </c>
      <c r="W14" s="42">
        <v>1458.3990805636054</v>
      </c>
      <c r="X14" s="41">
        <v>1470.3749301326593</v>
      </c>
      <c r="Y14" s="42">
        <v>1470.3749301326595</v>
      </c>
      <c r="Z14" s="41">
        <v>1488.8374752007594</v>
      </c>
      <c r="AA14" s="42">
        <v>1488.8374752007596</v>
      </c>
      <c r="AB14" s="41">
        <v>1516.9096550579716</v>
      </c>
      <c r="AC14" s="42">
        <v>1516.9096550579718</v>
      </c>
      <c r="AD14" s="41">
        <v>1559.6919822416057</v>
      </c>
      <c r="AE14" s="42">
        <v>1559.691982241606</v>
      </c>
      <c r="AF14" s="41">
        <v>1626.3764555673331</v>
      </c>
      <c r="AG14" s="42">
        <v>1626.3764555673333</v>
      </c>
      <c r="AH14" s="41">
        <v>1735.8107209588134</v>
      </c>
      <c r="AI14" s="42">
        <v>1735.8107209588136</v>
      </c>
      <c r="AJ14" s="41">
        <v>1928.9750096030891</v>
      </c>
      <c r="AK14" s="42">
        <v>1928.9750096030893</v>
      </c>
      <c r="AL14" s="41">
        <v>2297.173286659207</v>
      </c>
      <c r="AM14" s="42">
        <v>2297.173286659207</v>
      </c>
      <c r="AN14" s="41">
        <v>3213.9267106679508</v>
      </c>
      <c r="AO14" s="42">
        <v>3213.9267106679513</v>
      </c>
      <c r="AP14" s="41">
        <v>3617.6440293154646</v>
      </c>
      <c r="AQ14" s="42">
        <v>3617.6440293154656</v>
      </c>
      <c r="AR14" s="41">
        <v>4247.9603745050472</v>
      </c>
      <c r="AS14" s="42">
        <v>4247.9603745050472</v>
      </c>
      <c r="AT14" s="41"/>
      <c r="AU14" s="42"/>
      <c r="AV14" s="41"/>
      <c r="AW14" s="42"/>
    </row>
    <row r="15" spans="1:49" x14ac:dyDescent="0.2">
      <c r="A15" t="s">
        <v>18</v>
      </c>
      <c r="B15" s="154">
        <v>1000</v>
      </c>
      <c r="C15" s="155">
        <v>1000</v>
      </c>
      <c r="D15" s="154">
        <v>1000.2170363739704</v>
      </c>
      <c r="E15" s="155">
        <v>1000.2170363739704</v>
      </c>
      <c r="F15" s="154">
        <v>1000.7406055932535</v>
      </c>
      <c r="G15" s="155">
        <v>1000.7406055932535</v>
      </c>
      <c r="H15" s="154">
        <v>1001.6417824903285</v>
      </c>
      <c r="I15" s="155">
        <v>1001.6417824903285</v>
      </c>
      <c r="J15" s="154">
        <v>1003.0132363178229</v>
      </c>
      <c r="K15" s="155">
        <v>1003.0132363178229</v>
      </c>
      <c r="L15" s="154">
        <v>1004.9785340042724</v>
      </c>
      <c r="M15" s="155">
        <v>1004.9785340042724</v>
      </c>
      <c r="N15" s="154">
        <v>1007.7041554324786</v>
      </c>
      <c r="O15" s="155">
        <v>1007.7041554324786</v>
      </c>
      <c r="P15" s="154">
        <v>1011.4171235193637</v>
      </c>
      <c r="Q15" s="155">
        <v>1011.4171235193637</v>
      </c>
      <c r="R15" s="154">
        <v>1016.4318685935812</v>
      </c>
      <c r="S15" s="155">
        <v>1016.4318685935812</v>
      </c>
      <c r="T15" s="154">
        <v>1023.190512385685</v>
      </c>
      <c r="U15" s="155">
        <v>1023.190512385685</v>
      </c>
      <c r="V15" s="154">
        <v>1032.323221265387</v>
      </c>
      <c r="W15" s="155">
        <v>1032.323221265387</v>
      </c>
      <c r="X15" s="154">
        <v>1044.7412784833562</v>
      </c>
      <c r="Y15" s="155">
        <v>1044.7412784833562</v>
      </c>
      <c r="Z15" s="154">
        <v>1061.7841177300147</v>
      </c>
      <c r="AA15" s="155">
        <v>1061.7841177300147</v>
      </c>
      <c r="AB15" s="154">
        <v>1085.4712466387537</v>
      </c>
      <c r="AC15" s="155">
        <v>1085.4712466387537</v>
      </c>
      <c r="AD15" s="154">
        <v>1119.0084315122988</v>
      </c>
      <c r="AE15" s="155">
        <v>1119.0084315122988</v>
      </c>
      <c r="AF15" s="154">
        <v>1168.0069050081263</v>
      </c>
      <c r="AG15" s="155">
        <v>1168.0069050081263</v>
      </c>
      <c r="AH15" s="154">
        <v>1243.550422149933</v>
      </c>
      <c r="AI15" s="155">
        <v>1243.550422149933</v>
      </c>
      <c r="AJ15" s="154">
        <v>1368.0953166893701</v>
      </c>
      <c r="AK15" s="155">
        <v>1368.0953166893701</v>
      </c>
      <c r="AL15" s="154">
        <v>1585.4253074004107</v>
      </c>
      <c r="AM15" s="155">
        <v>1585.4253074004107</v>
      </c>
      <c r="AN15" s="154">
        <v>2049.3417453058546</v>
      </c>
      <c r="AO15" s="155">
        <v>2049.3417453058546</v>
      </c>
      <c r="AP15" s="154">
        <v>2227.5046861566866</v>
      </c>
      <c r="AQ15" s="155">
        <v>2227.5046861566866</v>
      </c>
      <c r="AR15" s="154">
        <v>2481.3917394536379</v>
      </c>
      <c r="AS15" s="155">
        <v>2481.3917394536379</v>
      </c>
      <c r="AT15" s="154"/>
      <c r="AU15" s="155"/>
      <c r="AV15" s="154"/>
      <c r="AW15" s="155"/>
    </row>
    <row r="16" spans="1:49" s="29" customFormat="1" x14ac:dyDescent="0.2">
      <c r="A16" t="s">
        <v>61</v>
      </c>
      <c r="B16" s="41">
        <v>1000</v>
      </c>
      <c r="C16" s="42">
        <v>1000</v>
      </c>
      <c r="D16" s="41">
        <v>998.90529144917787</v>
      </c>
      <c r="E16" s="42">
        <v>999.51485034298992</v>
      </c>
      <c r="F16" s="41">
        <v>998.05377667939547</v>
      </c>
      <c r="G16" s="42">
        <v>999.30244976970732</v>
      </c>
      <c r="H16" s="41">
        <v>997.51088059452798</v>
      </c>
      <c r="I16" s="42">
        <v>999.43086710072771</v>
      </c>
      <c r="J16" s="41">
        <v>997.36288902394244</v>
      </c>
      <c r="K16" s="42">
        <v>999.98937591170966</v>
      </c>
      <c r="L16" s="41">
        <v>997.72617575402046</v>
      </c>
      <c r="M16" s="42">
        <v>1001.0977172933661</v>
      </c>
      <c r="N16" s="41">
        <v>998.75917059390997</v>
      </c>
      <c r="O16" s="42">
        <v>1002.9180902273573</v>
      </c>
      <c r="P16" s="41">
        <v>1000.6800946724816</v>
      </c>
      <c r="Q16" s="42">
        <v>1005.6728381353307</v>
      </c>
      <c r="R16" s="41">
        <v>1003.7942359538129</v>
      </c>
      <c r="S16" s="42">
        <v>1009.6715327357921</v>
      </c>
      <c r="T16" s="41">
        <v>1008.5352941080282</v>
      </c>
      <c r="U16" s="42">
        <v>1015.3518236732772</v>
      </c>
      <c r="V16" s="41">
        <v>1015.5283038833024</v>
      </c>
      <c r="W16" s="42">
        <v>1023.3411618271746</v>
      </c>
      <c r="X16" s="41">
        <v>1025.6881657980953</v>
      </c>
      <c r="Y16" s="42">
        <v>1034.5527800624527</v>
      </c>
      <c r="Z16" s="41">
        <v>1040.3780951433562</v>
      </c>
      <c r="AA16" s="42">
        <v>1050.3388088072793</v>
      </c>
      <c r="AB16" s="41">
        <v>1061.6847771137559</v>
      </c>
      <c r="AC16" s="42">
        <v>1072.7545773773481</v>
      </c>
      <c r="AD16" s="41">
        <v>1092.9741100036574</v>
      </c>
      <c r="AE16" s="42">
        <v>1105.0912130190213</v>
      </c>
      <c r="AF16" s="41">
        <v>1140.2358403450428</v>
      </c>
      <c r="AG16" s="42">
        <v>1153.1617534889201</v>
      </c>
      <c r="AH16" s="41">
        <v>1215.5558318392934</v>
      </c>
      <c r="AI16" s="42">
        <v>1228.5845839034948</v>
      </c>
      <c r="AJ16" s="41">
        <v>1344.4416854192089</v>
      </c>
      <c r="AK16" s="42">
        <v>1355.4459729557852</v>
      </c>
      <c r="AL16" s="41">
        <v>1580.7389576786156</v>
      </c>
      <c r="AM16" s="42">
        <v>1582.9169273218422</v>
      </c>
      <c r="AN16" s="41">
        <v>2131.9236540612528</v>
      </c>
      <c r="AO16" s="42">
        <v>2093.6593624666107</v>
      </c>
      <c r="AP16" s="41">
        <v>2361.618430303316</v>
      </c>
      <c r="AQ16" s="42">
        <v>2299.5602580462673</v>
      </c>
      <c r="AR16" s="41">
        <v>2707.6380007125845</v>
      </c>
      <c r="AS16" s="42">
        <v>2603.1605210719185</v>
      </c>
      <c r="AT16" s="41"/>
      <c r="AU16" s="42"/>
      <c r="AV16" s="41"/>
      <c r="AW16" s="42"/>
    </row>
    <row r="17" spans="1:49" x14ac:dyDescent="0.2">
      <c r="A17" t="s">
        <v>62</v>
      </c>
      <c r="B17" s="35">
        <v>999.99999999998658</v>
      </c>
      <c r="C17" s="36">
        <v>1000.0000000000002</v>
      </c>
      <c r="D17" s="35">
        <v>1000.1973841894217</v>
      </c>
      <c r="E17" s="36">
        <v>1015.84971600122</v>
      </c>
      <c r="F17" s="35">
        <v>1000.6737844311557</v>
      </c>
      <c r="G17" s="36">
        <v>1032.8239586415625</v>
      </c>
      <c r="H17" s="35">
        <v>1001.4945291923877</v>
      </c>
      <c r="I17" s="36">
        <v>1051.0329013668052</v>
      </c>
      <c r="J17" s="35">
        <v>1002.7454263243186</v>
      </c>
      <c r="K17" s="36">
        <v>1070.6042595597585</v>
      </c>
      <c r="L17" s="35">
        <v>1004.5418218442928</v>
      </c>
      <c r="M17" s="36">
        <v>1091.6888070593357</v>
      </c>
      <c r="N17" s="35">
        <v>1007.0406592034936</v>
      </c>
      <c r="O17" s="36">
        <v>1114.4714913191744</v>
      </c>
      <c r="P17" s="35">
        <v>1010.458506595733</v>
      </c>
      <c r="Q17" s="36">
        <v>1139.190626554984</v>
      </c>
      <c r="R17" s="35">
        <v>1015.099600711231</v>
      </c>
      <c r="S17" s="36">
        <v>1166.1733382244888</v>
      </c>
      <c r="T17" s="35">
        <v>1021.399162543792</v>
      </c>
      <c r="U17" s="36">
        <v>1195.9040954139023</v>
      </c>
      <c r="V17" s="35">
        <v>1029.9907154848563</v>
      </c>
      <c r="W17" s="36">
        <v>1229.156342504242</v>
      </c>
      <c r="X17" s="35">
        <v>1041.8141827323307</v>
      </c>
      <c r="Y17" s="36">
        <v>1267.2530745870079</v>
      </c>
      <c r="Z17" s="35">
        <v>1058.2944841880178</v>
      </c>
      <c r="AA17" s="36">
        <v>1312.5870027053959</v>
      </c>
      <c r="AB17" s="35">
        <v>1081.658863241157</v>
      </c>
      <c r="AC17" s="36">
        <v>1369.6905596325366</v>
      </c>
      <c r="AD17" s="35">
        <v>1115.5830372180785</v>
      </c>
      <c r="AE17" s="36">
        <v>1447.5841844576635</v>
      </c>
      <c r="AF17" s="35">
        <v>1166.7485887964258</v>
      </c>
      <c r="AG17" s="36">
        <v>1565.6244332426113</v>
      </c>
      <c r="AH17" s="35">
        <v>1248.8806439882451</v>
      </c>
      <c r="AI17" s="36">
        <v>1770.2562753666034</v>
      </c>
      <c r="AJ17" s="35">
        <v>1391.5204760266743</v>
      </c>
      <c r="AK17" s="36">
        <v>2184.4344916027585</v>
      </c>
      <c r="AL17" s="35">
        <v>1658.2759763661186</v>
      </c>
      <c r="AM17" s="36">
        <v>3166.8442097542738</v>
      </c>
      <c r="AN17" s="35">
        <v>2293.8982221968613</v>
      </c>
      <c r="AO17" s="36">
        <v>6545.7004958247762</v>
      </c>
      <c r="AP17" s="35">
        <v>2561.6769993207972</v>
      </c>
      <c r="AQ17" s="36">
        <v>8380.5729093621376</v>
      </c>
      <c r="AR17" s="35">
        <v>2967.0976627114183</v>
      </c>
      <c r="AS17" s="36">
        <v>11595.917125350888</v>
      </c>
      <c r="AT17" s="35"/>
      <c r="AU17" s="36"/>
      <c r="AV17" s="35"/>
      <c r="AW17" s="36"/>
    </row>
    <row r="18" spans="1:49" x14ac:dyDescent="0.2">
      <c r="A18" t="s">
        <v>19</v>
      </c>
      <c r="B18" s="33">
        <v>27857.010133999996</v>
      </c>
      <c r="C18" s="34">
        <v>1236.7674480000003</v>
      </c>
      <c r="D18" s="33">
        <v>27537.466921970838</v>
      </c>
      <c r="E18" s="34">
        <v>1150.5417662549607</v>
      </c>
      <c r="F18" s="33">
        <v>27177.537570484739</v>
      </c>
      <c r="G18" s="34">
        <v>1064.8494716704693</v>
      </c>
      <c r="H18" s="33">
        <v>26770.628093517756</v>
      </c>
      <c r="I18" s="34">
        <v>979.78647621324831</v>
      </c>
      <c r="J18" s="33">
        <v>26309.009725121676</v>
      </c>
      <c r="K18" s="34">
        <v>895.46664003987564</v>
      </c>
      <c r="L18" s="33">
        <v>25783.593277104323</v>
      </c>
      <c r="M18" s="34">
        <v>812.02948703578522</v>
      </c>
      <c r="N18" s="33">
        <v>25183.861364013082</v>
      </c>
      <c r="O18" s="34">
        <v>729.64137731666233</v>
      </c>
      <c r="P18" s="33">
        <v>24497.928838151493</v>
      </c>
      <c r="Q18" s="34">
        <v>648.49238353330361</v>
      </c>
      <c r="R18" s="33">
        <v>23712.8407715799</v>
      </c>
      <c r="S18" s="34">
        <v>568.79241120028144</v>
      </c>
      <c r="T18" s="33">
        <v>22815.375561678786</v>
      </c>
      <c r="U18" s="34">
        <v>490.76473635740604</v>
      </c>
      <c r="V18" s="33">
        <v>21793.720209695311</v>
      </c>
      <c r="W18" s="34">
        <v>414.62527184822119</v>
      </c>
      <c r="X18" s="33">
        <v>20640.306660238733</v>
      </c>
      <c r="Y18" s="34">
        <v>340.57675663963391</v>
      </c>
      <c r="Z18" s="33">
        <v>19355.967120879621</v>
      </c>
      <c r="AA18" s="34">
        <v>268.83838893500723</v>
      </c>
      <c r="AB18" s="33">
        <v>17954.458420623017</v>
      </c>
      <c r="AC18" s="34">
        <v>199.81351370353065</v>
      </c>
      <c r="AD18" s="33">
        <v>16464.43008399013</v>
      </c>
      <c r="AE18" s="34">
        <v>134.58818882259845</v>
      </c>
      <c r="AF18" s="33">
        <v>14924.475851378691</v>
      </c>
      <c r="AG18" s="34">
        <v>76.061705792057168</v>
      </c>
      <c r="AH18" s="33">
        <v>13371.752712351245</v>
      </c>
      <c r="AI18" s="34">
        <v>30.583122776453635</v>
      </c>
      <c r="AJ18" s="33">
        <v>11834.115140360074</v>
      </c>
      <c r="AK18" s="34">
        <v>6.2596283770342742</v>
      </c>
      <c r="AL18" s="33">
        <v>10273.985159084783</v>
      </c>
      <c r="AM18" s="34">
        <v>0.37466540823186845</v>
      </c>
      <c r="AN18" s="33">
        <v>8264.0942417337119</v>
      </c>
      <c r="AO18" s="34">
        <v>1.5563921953995145E-3</v>
      </c>
      <c r="AP18" s="33">
        <v>7675.5206615272737</v>
      </c>
      <c r="AQ18" s="34">
        <v>2.3975965618435667E-4</v>
      </c>
      <c r="AR18" s="33">
        <v>6937.0855114491969</v>
      </c>
      <c r="AS18" s="34">
        <v>2.0327138116356192E-5</v>
      </c>
      <c r="AT18" s="33"/>
      <c r="AU18" s="34"/>
      <c r="AV18" s="33"/>
      <c r="AW18" s="34"/>
    </row>
    <row r="19" spans="1:49" x14ac:dyDescent="0.2">
      <c r="A19" t="s">
        <v>3</v>
      </c>
      <c r="B19" s="41">
        <v>1886.3937399999966</v>
      </c>
      <c r="C19" s="42">
        <v>262.78711299999782</v>
      </c>
      <c r="D19" s="41">
        <v>1865.8265414592552</v>
      </c>
      <c r="E19" s="42">
        <v>268.84119007137878</v>
      </c>
      <c r="F19" s="41">
        <v>1843.9906387862004</v>
      </c>
      <c r="G19" s="42">
        <v>275.14206291906856</v>
      </c>
      <c r="H19" s="41">
        <v>1820.7102804388878</v>
      </c>
      <c r="I19" s="42">
        <v>281.63686885672439</v>
      </c>
      <c r="J19" s="41">
        <v>1795.794648843618</v>
      </c>
      <c r="K19" s="42">
        <v>288.25160069725035</v>
      </c>
      <c r="L19" s="41">
        <v>1769.0436021650467</v>
      </c>
      <c r="M19" s="42">
        <v>294.88676304116723</v>
      </c>
      <c r="N19" s="41">
        <v>1740.2636280062136</v>
      </c>
      <c r="O19" s="42">
        <v>301.41474509829141</v>
      </c>
      <c r="P19" s="41">
        <v>1709.2979845592959</v>
      </c>
      <c r="Q19" s="42">
        <v>307.67929466601686</v>
      </c>
      <c r="R19" s="41">
        <v>1676.0826147056837</v>
      </c>
      <c r="S19" s="42">
        <v>313.50013814272421</v>
      </c>
      <c r="T19" s="41">
        <v>1640.7465232342643</v>
      </c>
      <c r="U19" s="42">
        <v>318.68655250586681</v>
      </c>
      <c r="V19" s="41">
        <v>1603.7853342444607</v>
      </c>
      <c r="W19" s="42">
        <v>323.06000338987161</v>
      </c>
      <c r="X19" s="41">
        <v>1566.3484615638913</v>
      </c>
      <c r="Y19" s="42">
        <v>326.48093141499231</v>
      </c>
      <c r="Z19" s="41">
        <v>1530.6998241795691</v>
      </c>
      <c r="AA19" s="42">
        <v>328.84370149051296</v>
      </c>
      <c r="AB19" s="41">
        <v>1500.9392024422223</v>
      </c>
      <c r="AC19" s="42">
        <v>329.93010040138267</v>
      </c>
      <c r="AD19" s="41">
        <v>1484.2186969666011</v>
      </c>
      <c r="AE19" s="42">
        <v>328.84570167583706</v>
      </c>
      <c r="AF19" s="41">
        <v>1493.3483227717891</v>
      </c>
      <c r="AG19" s="42">
        <v>322.49056927266378</v>
      </c>
      <c r="AH19" s="41">
        <v>1553.6771430302947</v>
      </c>
      <c r="AI19" s="42">
        <v>302.54861169232851</v>
      </c>
      <c r="AJ19" s="41">
        <v>1718.503475754906</v>
      </c>
      <c r="AK19" s="42">
        <v>255.04935771238902</v>
      </c>
      <c r="AL19" s="41">
        <v>2095.5155168231713</v>
      </c>
      <c r="AM19" s="42">
        <v>177.93707199849842</v>
      </c>
      <c r="AN19" s="41">
        <v>3057.0502885324672</v>
      </c>
      <c r="AO19" s="42">
        <v>89.508857434963531</v>
      </c>
      <c r="AP19" s="41">
        <v>3458.6560995172622</v>
      </c>
      <c r="AQ19" s="42">
        <v>71.612156369266486</v>
      </c>
      <c r="AR19" s="41">
        <v>4053.0962848446989</v>
      </c>
      <c r="AS19" s="42">
        <v>53.710120883408798</v>
      </c>
      <c r="AT19" s="41"/>
      <c r="AU19" s="42"/>
      <c r="AV19" s="41"/>
      <c r="AW19" s="42"/>
    </row>
    <row r="20" spans="1:49" x14ac:dyDescent="0.2">
      <c r="A20" t="s">
        <v>127</v>
      </c>
      <c r="B20" s="82">
        <v>26548.356269999993</v>
      </c>
      <c r="C20" s="83">
        <v>1408.5418709999938</v>
      </c>
      <c r="D20" s="82">
        <v>26247.507114710679</v>
      </c>
      <c r="E20" s="83">
        <v>1338.1147774499941</v>
      </c>
      <c r="F20" s="82">
        <v>25913.194729228097</v>
      </c>
      <c r="G20" s="83">
        <v>1267.6876838999945</v>
      </c>
      <c r="H20" s="82">
        <v>25540.022120929912</v>
      </c>
      <c r="I20" s="83">
        <v>1197.2605903499946</v>
      </c>
      <c r="J20" s="82">
        <v>25121.677374277751</v>
      </c>
      <c r="K20" s="83">
        <v>1126.8334967999949</v>
      </c>
      <c r="L20" s="82">
        <v>24650.756770756176</v>
      </c>
      <c r="M20" s="83">
        <v>1056.4064032499953</v>
      </c>
      <c r="N20" s="82">
        <v>24118.71882973253</v>
      </c>
      <c r="O20" s="83">
        <v>985.97930969999561</v>
      </c>
      <c r="P20" s="82">
        <v>23515.946612656338</v>
      </c>
      <c r="Q20" s="83">
        <v>915.55221614999596</v>
      </c>
      <c r="R20" s="82">
        <v>22832.010970125597</v>
      </c>
      <c r="S20" s="83">
        <v>845.12512259999642</v>
      </c>
      <c r="T20" s="82">
        <v>22056.356571980512</v>
      </c>
      <c r="U20" s="83">
        <v>774.69802904999653</v>
      </c>
      <c r="V20" s="82">
        <v>21179.716124026636</v>
      </c>
      <c r="W20" s="83">
        <v>704.27093549999688</v>
      </c>
      <c r="X20" s="82">
        <v>20196.502441234537</v>
      </c>
      <c r="Y20" s="83">
        <v>633.84384194999711</v>
      </c>
      <c r="Z20" s="82">
        <v>19108.336167318324</v>
      </c>
      <c r="AA20" s="83">
        <v>563.41674839999746</v>
      </c>
      <c r="AB20" s="82">
        <v>17927.995818891402</v>
      </c>
      <c r="AC20" s="83">
        <v>492.98965484999781</v>
      </c>
      <c r="AD20" s="82">
        <v>16681.552672445654</v>
      </c>
      <c r="AE20" s="83">
        <v>422.56256129999809</v>
      </c>
      <c r="AF20" s="82">
        <v>15405.492558396016</v>
      </c>
      <c r="AG20" s="83">
        <v>352.13546774999827</v>
      </c>
      <c r="AH20" s="82">
        <v>14139.66983637036</v>
      </c>
      <c r="AI20" s="83">
        <v>281.70837419999856</v>
      </c>
      <c r="AJ20" s="82">
        <v>12921.799348005836</v>
      </c>
      <c r="AK20" s="83">
        <v>211.28128064999876</v>
      </c>
      <c r="AL20" s="82">
        <v>11732.879189691257</v>
      </c>
      <c r="AM20" s="83">
        <v>140.85418709999902</v>
      </c>
      <c r="AN20" s="82">
        <v>10244.224796643721</v>
      </c>
      <c r="AO20" s="83">
        <v>70.42709354999927</v>
      </c>
      <c r="AP20" s="82">
        <v>9810.1448355137672</v>
      </c>
      <c r="AQ20" s="83">
        <v>56.341674839999328</v>
      </c>
      <c r="AR20" s="82">
        <v>9264.0640110671029</v>
      </c>
      <c r="AS20" s="83">
        <v>42.256256129999379</v>
      </c>
      <c r="AT20" s="82"/>
      <c r="AU20" s="83"/>
      <c r="AV20" s="82"/>
      <c r="AW20" s="83"/>
    </row>
    <row r="21" spans="1:49" x14ac:dyDescent="0.2">
      <c r="A21" t="s">
        <v>76</v>
      </c>
      <c r="B21" s="82">
        <v>24661.96252999999</v>
      </c>
      <c r="C21" s="83">
        <v>1145.7547579999916</v>
      </c>
      <c r="D21" s="82">
        <v>24381.680667822518</v>
      </c>
      <c r="E21" s="83">
        <v>1069.3843072864229</v>
      </c>
      <c r="F21" s="82">
        <v>24069.205177617845</v>
      </c>
      <c r="G21" s="83">
        <v>993.00735526678079</v>
      </c>
      <c r="H21" s="82">
        <v>23719.317106212337</v>
      </c>
      <c r="I21" s="83">
        <v>916.70650081494159</v>
      </c>
      <c r="J21" s="82">
        <v>23325.900172409958</v>
      </c>
      <c r="K21" s="83">
        <v>840.58707855321461</v>
      </c>
      <c r="L21" s="82">
        <v>22881.759903132628</v>
      </c>
      <c r="M21" s="83">
        <v>764.7809212055181</v>
      </c>
      <c r="N21" s="82">
        <v>22378.564700454124</v>
      </c>
      <c r="O21" s="83">
        <v>689.44839972394163</v>
      </c>
      <c r="P21" s="82">
        <v>21806.883094544519</v>
      </c>
      <c r="Q21" s="83">
        <v>614.7786558091035</v>
      </c>
      <c r="R21" s="82">
        <v>21156.39990009995</v>
      </c>
      <c r="S21" s="83">
        <v>540.98573575351304</v>
      </c>
      <c r="T21" s="82">
        <v>20416.517366026455</v>
      </c>
      <c r="U21" s="83">
        <v>468.29831243080008</v>
      </c>
      <c r="V21" s="82">
        <v>19577.623388973796</v>
      </c>
      <c r="W21" s="83">
        <v>396.94496125187891</v>
      </c>
      <c r="X21" s="82">
        <v>18633.24639393363</v>
      </c>
      <c r="Y21" s="83">
        <v>327.14252539050739</v>
      </c>
      <c r="Z21" s="82">
        <v>17583.215663339535</v>
      </c>
      <c r="AA21" s="83">
        <v>259.12242611965877</v>
      </c>
      <c r="AB21" s="82">
        <v>16437.074513235399</v>
      </c>
      <c r="AC21" s="83">
        <v>193.28646245661884</v>
      </c>
      <c r="AD21" s="82">
        <v>15215.40557716464</v>
      </c>
      <c r="AE21" s="83">
        <v>130.69081515003501</v>
      </c>
      <c r="AF21" s="82">
        <v>13945.405179136016</v>
      </c>
      <c r="AG21" s="83">
        <v>74.159467642121271</v>
      </c>
      <c r="AH21" s="82">
        <v>12650.146400097068</v>
      </c>
      <c r="AI21" s="83">
        <v>29.940671272083041</v>
      </c>
      <c r="AJ21" s="82">
        <v>11337.216750848753</v>
      </c>
      <c r="AK21" s="83">
        <v>6.1494961521595437</v>
      </c>
      <c r="AL21" s="82">
        <v>9944.9395683987113</v>
      </c>
      <c r="AM21" s="83">
        <v>0.36878477931446269</v>
      </c>
      <c r="AN21" s="82">
        <v>8049.989562103533</v>
      </c>
      <c r="AO21" s="83">
        <v>1.532740535573444E-3</v>
      </c>
      <c r="AP21" s="82">
        <v>7482.1342131726224</v>
      </c>
      <c r="AQ21" s="83">
        <v>2.3612012558358152E-4</v>
      </c>
      <c r="AR21" s="82">
        <v>6766.0239557975092</v>
      </c>
      <c r="AS21" s="83">
        <v>2.001870504632376E-5</v>
      </c>
      <c r="AT21" s="82"/>
      <c r="AU21" s="83"/>
      <c r="AV21" s="82"/>
      <c r="AW21" s="83"/>
    </row>
    <row r="22" spans="1:49" x14ac:dyDescent="0.2">
      <c r="A22" t="s">
        <v>28</v>
      </c>
      <c r="B22" s="41">
        <v>6533.6044688320717</v>
      </c>
      <c r="C22" s="42">
        <v>379.90788307663411</v>
      </c>
      <c r="D22" s="41">
        <v>6444.5217471522847</v>
      </c>
      <c r="E22" s="42">
        <v>368.11984345508972</v>
      </c>
      <c r="F22" s="41">
        <v>6346.0695962994287</v>
      </c>
      <c r="G22" s="42">
        <v>355.92933563509496</v>
      </c>
      <c r="H22" s="41">
        <v>6236.7594180070364</v>
      </c>
      <c r="I22" s="42">
        <v>343.30111736216594</v>
      </c>
      <c r="J22" s="41">
        <v>6114.8534039780479</v>
      </c>
      <c r="K22" s="42">
        <v>330.19587259230883</v>
      </c>
      <c r="L22" s="41">
        <v>5978.3187348933243</v>
      </c>
      <c r="M22" s="42">
        <v>316.56979831975781</v>
      </c>
      <c r="N22" s="41">
        <v>5824.8175997106346</v>
      </c>
      <c r="O22" s="42">
        <v>302.37498674281863</v>
      </c>
      <c r="P22" s="41">
        <v>5651.7273065383088</v>
      </c>
      <c r="Q22" s="42">
        <v>287.56060570695365</v>
      </c>
      <c r="R22" s="41">
        <v>5456.2185265575954</v>
      </c>
      <c r="S22" s="42">
        <v>272.07529553896944</v>
      </c>
      <c r="T22" s="41">
        <v>5235.451660605484</v>
      </c>
      <c r="U22" s="42">
        <v>255.87144619283475</v>
      </c>
      <c r="V22" s="41">
        <v>4986.9764454192427</v>
      </c>
      <c r="W22" s="42">
        <v>238.91272933468917</v>
      </c>
      <c r="X22" s="41">
        <v>4709.3995715772162</v>
      </c>
      <c r="Y22" s="42">
        <v>221.18328918988709</v>
      </c>
      <c r="Z22" s="41">
        <v>4403.3667100900302</v>
      </c>
      <c r="AA22" s="42">
        <v>202.69583022913471</v>
      </c>
      <c r="AB22" s="41">
        <v>4072.653685771159</v>
      </c>
      <c r="AC22" s="42">
        <v>183.48501760278288</v>
      </c>
      <c r="AD22" s="41">
        <v>3724.7495634063393</v>
      </c>
      <c r="AE22" s="42">
        <v>163.55777934563321</v>
      </c>
      <c r="AF22" s="41">
        <v>3370.0738106223271</v>
      </c>
      <c r="AG22" s="42">
        <v>142.75756530003312</v>
      </c>
      <c r="AH22" s="41">
        <v>3020.1336677145637</v>
      </c>
      <c r="AI22" s="42">
        <v>120.54816187908634</v>
      </c>
      <c r="AJ22" s="41">
        <v>2686.3386135504529</v>
      </c>
      <c r="AK22" s="42">
        <v>96.066205797067312</v>
      </c>
      <c r="AL22" s="41">
        <v>2365.4877121599579</v>
      </c>
      <c r="AM22" s="42">
        <v>68.976539368396061</v>
      </c>
      <c r="AN22" s="41">
        <v>1972.2891231808919</v>
      </c>
      <c r="AO22" s="42">
        <v>38.751994239989997</v>
      </c>
      <c r="AP22" s="41">
        <v>1858.7750483666266</v>
      </c>
      <c r="AQ22" s="42">
        <v>32.079426295605437</v>
      </c>
      <c r="AR22" s="41">
        <v>1716.2204584558103</v>
      </c>
      <c r="AS22" s="42">
        <v>25.070873583364911</v>
      </c>
      <c r="AT22" s="41"/>
      <c r="AU22" s="42"/>
      <c r="AV22" s="41"/>
      <c r="AW22" s="42"/>
    </row>
    <row r="23" spans="1:49" x14ac:dyDescent="0.2">
      <c r="A23" t="s">
        <v>7</v>
      </c>
      <c r="B23" s="116">
        <v>3278.5018080150408</v>
      </c>
      <c r="C23" s="8">
        <v>0</v>
      </c>
      <c r="D23" s="116">
        <v>3242.2558065881753</v>
      </c>
      <c r="E23" s="8">
        <v>0</v>
      </c>
      <c r="F23" s="116">
        <v>3201.1216311346629</v>
      </c>
      <c r="G23" s="8">
        <v>0</v>
      </c>
      <c r="H23" s="116">
        <v>3154.297692455365</v>
      </c>
      <c r="I23" s="8">
        <v>0</v>
      </c>
      <c r="J23" s="116">
        <v>3100.8467467969631</v>
      </c>
      <c r="K23" s="8">
        <v>0</v>
      </c>
      <c r="L23" s="116">
        <v>3039.6689081653485</v>
      </c>
      <c r="M23" s="8">
        <v>0</v>
      </c>
      <c r="N23" s="116">
        <v>2969.4957311621847</v>
      </c>
      <c r="O23" s="8">
        <v>0</v>
      </c>
      <c r="P23" s="116">
        <v>2888.9016357355677</v>
      </c>
      <c r="Q23" s="8">
        <v>0</v>
      </c>
      <c r="R23" s="116">
        <v>2796.3459642247822</v>
      </c>
      <c r="S23" s="8">
        <v>0</v>
      </c>
      <c r="T23" s="116">
        <v>2690.2803918416812</v>
      </c>
      <c r="U23" s="8">
        <v>0</v>
      </c>
      <c r="V23" s="116">
        <v>2569.3708932852301</v>
      </c>
      <c r="W23" s="8">
        <v>0</v>
      </c>
      <c r="X23" s="116">
        <v>2432.873177697787</v>
      </c>
      <c r="Y23" s="8">
        <v>0</v>
      </c>
      <c r="Z23" s="116">
        <v>2281.1927160042337</v>
      </c>
      <c r="AA23" s="8">
        <v>0</v>
      </c>
      <c r="AB23" s="116">
        <v>2116.5350458402313</v>
      </c>
      <c r="AC23" s="8">
        <v>0</v>
      </c>
      <c r="AD23" s="116">
        <v>1943.3409224327436</v>
      </c>
      <c r="AE23" s="8">
        <v>0</v>
      </c>
      <c r="AF23" s="116">
        <v>1768.1004491188394</v>
      </c>
      <c r="AG23" s="8">
        <v>0</v>
      </c>
      <c r="AH23" s="116">
        <v>1598.7962536995294</v>
      </c>
      <c r="AI23" s="8">
        <v>0</v>
      </c>
      <c r="AJ23" s="116">
        <v>1444.4792587425304</v>
      </c>
      <c r="AK23" s="8">
        <v>0</v>
      </c>
      <c r="AL23" s="116">
        <v>1305.978593894318</v>
      </c>
      <c r="AM23" s="8">
        <v>0</v>
      </c>
      <c r="AN23" s="116">
        <v>1142.470540122004</v>
      </c>
      <c r="AO23" s="8">
        <v>0</v>
      </c>
      <c r="AP23" s="116">
        <v>1094.4729924974918</v>
      </c>
      <c r="AQ23" s="8">
        <v>0</v>
      </c>
      <c r="AR23" s="116">
        <v>1033.1260533421273</v>
      </c>
      <c r="AS23" s="8">
        <v>0</v>
      </c>
      <c r="AT23" s="116"/>
      <c r="AU23" s="8"/>
      <c r="AV23" s="116"/>
      <c r="AW23" s="8"/>
    </row>
    <row r="24" spans="1:49" x14ac:dyDescent="0.2">
      <c r="A24" t="s">
        <v>8</v>
      </c>
      <c r="B24" s="97">
        <v>3196.3846373657216</v>
      </c>
      <c r="C24" s="8">
        <v>0</v>
      </c>
      <c r="D24" s="97">
        <v>3196.3846373657216</v>
      </c>
      <c r="E24" s="8">
        <v>0</v>
      </c>
      <c r="F24" s="97">
        <v>3196.3846373657216</v>
      </c>
      <c r="G24" s="8">
        <v>0</v>
      </c>
      <c r="H24" s="97">
        <v>3196.3846373657216</v>
      </c>
      <c r="I24" s="8">
        <v>0</v>
      </c>
      <c r="J24" s="97">
        <v>3196.3846373657216</v>
      </c>
      <c r="K24" s="8">
        <v>0</v>
      </c>
      <c r="L24" s="97">
        <v>3196.3846373657216</v>
      </c>
      <c r="M24" s="8">
        <v>0</v>
      </c>
      <c r="N24" s="97">
        <v>3196.3846373657216</v>
      </c>
      <c r="O24" s="8">
        <v>0</v>
      </c>
      <c r="P24" s="97">
        <v>3196.3846373657216</v>
      </c>
      <c r="Q24" s="8">
        <v>0</v>
      </c>
      <c r="R24" s="97">
        <v>3196.3846373657216</v>
      </c>
      <c r="S24" s="8">
        <v>0</v>
      </c>
      <c r="T24" s="97">
        <v>3196.3846373657216</v>
      </c>
      <c r="U24" s="8">
        <v>0</v>
      </c>
      <c r="V24" s="97">
        <v>3196.3846373657216</v>
      </c>
      <c r="W24" s="8">
        <v>0</v>
      </c>
      <c r="X24" s="97">
        <v>3196.3846373657216</v>
      </c>
      <c r="Y24" s="8">
        <v>0</v>
      </c>
      <c r="Z24" s="97">
        <v>3196.3846373657216</v>
      </c>
      <c r="AA24" s="8">
        <v>0</v>
      </c>
      <c r="AB24" s="97">
        <v>3196.3846373657216</v>
      </c>
      <c r="AC24" s="8">
        <v>0</v>
      </c>
      <c r="AD24" s="97">
        <v>3196.3846373657216</v>
      </c>
      <c r="AE24" s="8">
        <v>0</v>
      </c>
      <c r="AF24" s="97">
        <v>3196.3846373657216</v>
      </c>
      <c r="AG24" s="8">
        <v>0</v>
      </c>
      <c r="AH24" s="97">
        <v>3196.3846373657216</v>
      </c>
      <c r="AI24" s="8">
        <v>0</v>
      </c>
      <c r="AJ24" s="97">
        <v>3196.3846373657216</v>
      </c>
      <c r="AK24" s="8">
        <v>0</v>
      </c>
      <c r="AL24" s="97">
        <v>3196.3846373657216</v>
      </c>
      <c r="AM24" s="8">
        <v>0</v>
      </c>
      <c r="AN24" s="97">
        <v>3196.3846373657216</v>
      </c>
      <c r="AO24" s="8">
        <v>0</v>
      </c>
      <c r="AP24" s="97">
        <v>3196.3846373657216</v>
      </c>
      <c r="AQ24" s="8">
        <v>0</v>
      </c>
      <c r="AR24" s="97">
        <v>3196.3846373657216</v>
      </c>
      <c r="AS24" s="8">
        <v>0</v>
      </c>
      <c r="AT24" s="97"/>
      <c r="AU24" s="8"/>
      <c r="AV24" s="97"/>
      <c r="AW24" s="8"/>
    </row>
    <row r="25" spans="1:49" x14ac:dyDescent="0.2">
      <c r="A25" t="s">
        <v>0</v>
      </c>
      <c r="B25" s="41">
        <v>3195.0476040000012</v>
      </c>
      <c r="C25" s="42">
        <v>91.012690000004255</v>
      </c>
      <c r="D25" s="41">
        <v>3155.7857618865814</v>
      </c>
      <c r="E25" s="42">
        <v>81.137088293231841</v>
      </c>
      <c r="F25" s="41">
        <v>3108.3287884985948</v>
      </c>
      <c r="G25" s="42">
        <v>71.765671072706297</v>
      </c>
      <c r="H25" s="41">
        <v>3051.2935478583813</v>
      </c>
      <c r="I25" s="42">
        <v>62.916928367153204</v>
      </c>
      <c r="J25" s="41">
        <v>2983.053394369223</v>
      </c>
      <c r="K25" s="42">
        <v>54.607835440594044</v>
      </c>
      <c r="L25" s="41">
        <v>2901.6854086921262</v>
      </c>
      <c r="M25" s="42">
        <v>46.853746876055716</v>
      </c>
      <c r="N25" s="41">
        <v>2804.9538933122544</v>
      </c>
      <c r="O25" s="42">
        <v>39.66767908042582</v>
      </c>
      <c r="P25" s="41">
        <v>2690.3225807203139</v>
      </c>
      <c r="Q25" s="42">
        <v>33.059455226248964</v>
      </c>
      <c r="R25" s="41">
        <v>2555.0157978554716</v>
      </c>
      <c r="S25" s="42">
        <v>27.034984833974015</v>
      </c>
      <c r="T25" s="41">
        <v>2396.1893169985265</v>
      </c>
      <c r="U25" s="42">
        <v>21.595765104747716</v>
      </c>
      <c r="V25" s="41">
        <v>2211.2943629569795</v>
      </c>
      <c r="W25" s="42">
        <v>16.738656434441122</v>
      </c>
      <c r="X25" s="41">
        <v>1998.7014826760537</v>
      </c>
      <c r="Y25" s="42">
        <v>12.457860393051384</v>
      </c>
      <c r="Z25" s="41">
        <v>1758.6279441290469</v>
      </c>
      <c r="AA25" s="42">
        <v>8.7504266460229871</v>
      </c>
      <c r="AB25" s="41">
        <v>1494.1923053018327</v>
      </c>
      <c r="AC25" s="42">
        <v>5.6280504872115609</v>
      </c>
      <c r="AD25" s="41">
        <v>1212.0315532863974</v>
      </c>
      <c r="AE25" s="42">
        <v>3.1342845589262271</v>
      </c>
      <c r="AF25" s="41">
        <v>921.78640783270055</v>
      </c>
      <c r="AG25" s="42">
        <v>1.3528755313388756</v>
      </c>
      <c r="AH25" s="41">
        <v>635.65903881096961</v>
      </c>
      <c r="AI25" s="42">
        <v>0.35831203715475268</v>
      </c>
      <c r="AJ25" s="41">
        <v>374.00520417604559</v>
      </c>
      <c r="AK25" s="42">
        <v>3.6325643252979004E-2</v>
      </c>
      <c r="AL25" s="41">
        <v>169.77893649392757</v>
      </c>
      <c r="AM25" s="42">
        <v>6.3869414386906638E-4</v>
      </c>
      <c r="AN25" s="41">
        <v>42.309696640845708</v>
      </c>
      <c r="AO25" s="42">
        <v>2.4128816602477574E-7</v>
      </c>
      <c r="AP25" s="41">
        <v>26.541217767804834</v>
      </c>
      <c r="AQ25" s="42">
        <v>1.6310689338387234E-8</v>
      </c>
      <c r="AR25" s="41">
        <v>14.291765350994002</v>
      </c>
      <c r="AS25" s="42">
        <v>4.6493507567592338E-10</v>
      </c>
      <c r="AT25" s="41"/>
      <c r="AU25" s="42"/>
      <c r="AV25" s="41"/>
      <c r="AW25" s="42"/>
    </row>
    <row r="26" spans="1:49" x14ac:dyDescent="0.2">
      <c r="A26" t="s">
        <v>27</v>
      </c>
      <c r="B26" s="33">
        <v>5036.2953101960647</v>
      </c>
      <c r="C26" s="34">
        <v>74.905331803938267</v>
      </c>
      <c r="D26" s="33">
        <v>4988.4754354409952</v>
      </c>
      <c r="E26" s="34">
        <v>70.037839714888534</v>
      </c>
      <c r="F26" s="33">
        <v>4933.4728643645976</v>
      </c>
      <c r="G26" s="34">
        <v>65.164566499535496</v>
      </c>
      <c r="H26" s="33">
        <v>4870.03629688399</v>
      </c>
      <c r="I26" s="34">
        <v>60.288608183559766</v>
      </c>
      <c r="J26" s="33">
        <v>4796.6892692628926</v>
      </c>
      <c r="K26" s="34">
        <v>55.414129243717468</v>
      </c>
      <c r="L26" s="33">
        <v>4711.683370787845</v>
      </c>
      <c r="M26" s="34">
        <v>50.546813653719475</v>
      </c>
      <c r="N26" s="33">
        <v>4612.98025929904</v>
      </c>
      <c r="O26" s="34">
        <v>45.694065506966908</v>
      </c>
      <c r="P26" s="33">
        <v>4498.256342454677</v>
      </c>
      <c r="Q26" s="34">
        <v>40.865029401035741</v>
      </c>
      <c r="R26" s="33">
        <v>4364.9513493054937</v>
      </c>
      <c r="S26" s="34">
        <v>36.070553432106273</v>
      </c>
      <c r="T26" s="33">
        <v>4210.4127676974313</v>
      </c>
      <c r="U26" s="34">
        <v>31.323021489338146</v>
      </c>
      <c r="V26" s="33">
        <v>4032.2066898392368</v>
      </c>
      <c r="W26" s="34">
        <v>26.635522633229389</v>
      </c>
      <c r="X26" s="33">
        <v>3828.6568879829924</v>
      </c>
      <c r="Y26" s="34">
        <v>22.021840132313034</v>
      </c>
      <c r="Z26" s="33">
        <v>3599.6498045076864</v>
      </c>
      <c r="AA26" s="34">
        <v>17.498738600286085</v>
      </c>
      <c r="AB26" s="33">
        <v>3347.5393642215599</v>
      </c>
      <c r="AC26" s="34">
        <v>13.096774019603556</v>
      </c>
      <c r="AD26" s="33">
        <v>3077.6071351125697</v>
      </c>
      <c r="AE26" s="34">
        <v>8.8918909717802244</v>
      </c>
      <c r="AF26" s="33">
        <v>2797.2436171671111</v>
      </c>
      <c r="AG26" s="34">
        <v>5.0777744552305846</v>
      </c>
      <c r="AH26" s="33">
        <v>2513.8721584220521</v>
      </c>
      <c r="AI26" s="34">
        <v>2.0752083962751819</v>
      </c>
      <c r="AJ26" s="33">
        <v>2233.1589630083008</v>
      </c>
      <c r="AK26" s="34">
        <v>0.43750229361029658</v>
      </c>
      <c r="AL26" s="33">
        <v>1946.6747550733025</v>
      </c>
      <c r="AM26" s="34">
        <v>2.7713100826545906E-2</v>
      </c>
      <c r="AN26" s="33">
        <v>1564.5529844645716</v>
      </c>
      <c r="AO26" s="34">
        <v>1.2949953455841027E-4</v>
      </c>
      <c r="AP26" s="33">
        <v>1448.5421325522318</v>
      </c>
      <c r="AQ26" s="34">
        <v>2.077294976349476E-5</v>
      </c>
      <c r="AR26" s="33">
        <v>1300.72518350781</v>
      </c>
      <c r="AS26" s="34">
        <v>1.856674958189048E-6</v>
      </c>
      <c r="AT26" s="33"/>
      <c r="AU26" s="34"/>
      <c r="AV26" s="33"/>
      <c r="AW26" s="34"/>
    </row>
    <row r="27" spans="1:49" x14ac:dyDescent="0.2">
      <c r="A27" t="s">
        <v>2</v>
      </c>
      <c r="B27" s="35">
        <v>6425.1981589998131</v>
      </c>
      <c r="C27" s="36">
        <v>273.22915400000056</v>
      </c>
      <c r="D27" s="35">
        <v>6354.7964330195764</v>
      </c>
      <c r="E27" s="36">
        <v>255.28560778537701</v>
      </c>
      <c r="F27" s="35">
        <v>6274.9967217939284</v>
      </c>
      <c r="G27" s="36">
        <v>237.33869573692186</v>
      </c>
      <c r="H27" s="35">
        <v>6184.2390159323613</v>
      </c>
      <c r="I27" s="36">
        <v>219.40122275056095</v>
      </c>
      <c r="J27" s="35">
        <v>6080.6937739442756</v>
      </c>
      <c r="K27" s="36">
        <v>201.48978100243878</v>
      </c>
      <c r="L27" s="35">
        <v>5962.2086797507218</v>
      </c>
      <c r="M27" s="36">
        <v>183.62673817434859</v>
      </c>
      <c r="N27" s="35">
        <v>5826.2936498448771</v>
      </c>
      <c r="O27" s="36">
        <v>165.84095219314054</v>
      </c>
      <c r="P27" s="35">
        <v>5670.1377395487534</v>
      </c>
      <c r="Q27" s="36">
        <v>148.1675889794376</v>
      </c>
      <c r="R27" s="35">
        <v>5490.6846428496674</v>
      </c>
      <c r="S27" s="36">
        <v>130.64804322774455</v>
      </c>
      <c r="T27" s="35">
        <v>5284.8321794770209</v>
      </c>
      <c r="U27" s="36">
        <v>113.32965947540768</v>
      </c>
      <c r="V27" s="35">
        <v>5049.8466532170532</v>
      </c>
      <c r="W27" s="36">
        <v>96.262171389546253</v>
      </c>
      <c r="X27" s="35">
        <v>4784.0646709095809</v>
      </c>
      <c r="Y27" s="36">
        <v>79.497900360955626</v>
      </c>
      <c r="Z27" s="35">
        <v>4487.928064572181</v>
      </c>
      <c r="AA27" s="36">
        <v>63.099540908309862</v>
      </c>
      <c r="AB27" s="35">
        <v>4165.1392197267232</v>
      </c>
      <c r="AC27" s="36">
        <v>47.178370353216941</v>
      </c>
      <c r="AD27" s="35">
        <v>3823.2743504709579</v>
      </c>
      <c r="AE27" s="36">
        <v>32.006043713092112</v>
      </c>
      <c r="AF27" s="35">
        <v>3472.9192661622042</v>
      </c>
      <c r="AG27" s="36">
        <v>18.271837962764977</v>
      </c>
      <c r="AH27" s="35">
        <v>3125.6875545261605</v>
      </c>
      <c r="AI27" s="36">
        <v>7.4729070403722861</v>
      </c>
      <c r="AJ27" s="35">
        <v>2793.4749449303636</v>
      </c>
      <c r="AK27" s="36">
        <v>1.5802269566608289</v>
      </c>
      <c r="AL27" s="35">
        <v>2475.2619989328587</v>
      </c>
      <c r="AM27" s="36">
        <v>0.1009196428532073</v>
      </c>
      <c r="AN27" s="35">
        <v>2086.1340883048279</v>
      </c>
      <c r="AO27" s="36">
        <v>4.8291503191643986E-4</v>
      </c>
      <c r="AP27" s="35">
        <v>1972.3975266834354</v>
      </c>
      <c r="AQ27" s="36">
        <v>7.8281002989258829E-5</v>
      </c>
      <c r="AR27" s="35">
        <v>1827.9975891015322</v>
      </c>
      <c r="AS27" s="36">
        <v>7.1081655663676976E-6</v>
      </c>
      <c r="AT27" s="35"/>
      <c r="AU27" s="36"/>
      <c r="AV27" s="35"/>
      <c r="AW27" s="36"/>
    </row>
    <row r="28" spans="1:49" x14ac:dyDescent="0.2">
      <c r="A28" t="s">
        <v>35</v>
      </c>
      <c r="B28" s="41">
        <v>13763.097675999827</v>
      </c>
      <c r="C28" s="42">
        <v>382.36647900000054</v>
      </c>
      <c r="D28" s="41">
        <v>13623.016062998469</v>
      </c>
      <c r="E28" s="42">
        <v>357.3309139072112</v>
      </c>
      <c r="F28" s="41">
        <v>13463.057998130314</v>
      </c>
      <c r="G28" s="42">
        <v>332.28343369157795</v>
      </c>
      <c r="H28" s="41">
        <v>13279.838918305466</v>
      </c>
      <c r="I28" s="42">
        <v>307.24136617741107</v>
      </c>
      <c r="J28" s="41">
        <v>13069.376688834371</v>
      </c>
      <c r="K28" s="42">
        <v>282.22738650543425</v>
      </c>
      <c r="L28" s="41">
        <v>12826.970303682381</v>
      </c>
      <c r="M28" s="42">
        <v>257.27216371866018</v>
      </c>
      <c r="N28" s="41">
        <v>12547.158858119083</v>
      </c>
      <c r="O28" s="42">
        <v>232.41536914156788</v>
      </c>
      <c r="P28" s="41">
        <v>12223.745546787468</v>
      </c>
      <c r="Q28" s="42">
        <v>207.70552396878438</v>
      </c>
      <c r="R28" s="41">
        <v>11849.944352518043</v>
      </c>
      <c r="S28" s="42">
        <v>183.19986714735265</v>
      </c>
      <c r="T28" s="41">
        <v>11418.790602378775</v>
      </c>
      <c r="U28" s="42">
        <v>158.96383575689896</v>
      </c>
      <c r="V28" s="41">
        <v>10924.009159398254</v>
      </c>
      <c r="W28" s="42">
        <v>135.06629238657808</v>
      </c>
      <c r="X28" s="41">
        <v>10361.502939591044</v>
      </c>
      <c r="Y28" s="42">
        <v>111.57971051013604</v>
      </c>
      <c r="Z28" s="41">
        <v>9731.5623178767091</v>
      </c>
      <c r="AA28" s="42">
        <v>88.591288248294532</v>
      </c>
      <c r="AB28" s="41">
        <v>9041.3405660947355</v>
      </c>
      <c r="AC28" s="42">
        <v>66.256895045395908</v>
      </c>
      <c r="AD28" s="41">
        <v>8306.1394814637169</v>
      </c>
      <c r="AE28" s="42">
        <v>44.958862440243266</v>
      </c>
      <c r="AF28" s="41">
        <v>7547.3551508919363</v>
      </c>
      <c r="AG28" s="42">
        <v>25.668563528760409</v>
      </c>
      <c r="AH28" s="41">
        <v>6787.4762355949679</v>
      </c>
      <c r="AI28" s="42">
        <v>10.49590386870239</v>
      </c>
      <c r="AJ28" s="41">
        <v>6046.7091356406327</v>
      </c>
      <c r="AK28" s="42">
        <v>2.217596385031575</v>
      </c>
      <c r="AL28" s="41">
        <v>5311.5615452745933</v>
      </c>
      <c r="AM28" s="42">
        <v>0.14129759233857822</v>
      </c>
      <c r="AN28" s="41">
        <v>4363.9275181226458</v>
      </c>
      <c r="AO28" s="42">
        <v>6.7148456558006387E-4</v>
      </c>
      <c r="AP28" s="41">
        <v>4079.3357669779639</v>
      </c>
      <c r="AQ28" s="42">
        <v>1.085078931094577E-4</v>
      </c>
      <c r="AR28" s="41">
        <v>3715.935125874189</v>
      </c>
      <c r="AS28" s="42">
        <v>9.8054748307513376E-6</v>
      </c>
      <c r="AT28" s="41"/>
      <c r="AU28" s="42"/>
      <c r="AV28" s="41"/>
      <c r="AW28" s="42"/>
    </row>
    <row r="29" spans="1:49" x14ac:dyDescent="0.2">
      <c r="A29" t="s">
        <v>53</v>
      </c>
      <c r="B29" s="35">
        <v>14362.768558000018</v>
      </c>
      <c r="C29" s="36">
        <v>817.26651000000095</v>
      </c>
      <c r="D29" s="35">
        <v>14198.03440514853</v>
      </c>
      <c r="E29" s="36">
        <v>757.5902464397434</v>
      </c>
      <c r="F29" s="35">
        <v>14012.503084875892</v>
      </c>
      <c r="G29" s="36">
        <v>698.59891152671787</v>
      </c>
      <c r="H29" s="35">
        <v>13802.778805990441</v>
      </c>
      <c r="I29" s="36">
        <v>640.37121500032777</v>
      </c>
      <c r="J29" s="35">
        <v>13564.880918286408</v>
      </c>
      <c r="K29" s="36">
        <v>582.99691208488412</v>
      </c>
      <c r="L29" s="35">
        <v>13294.127415772375</v>
      </c>
      <c r="M29" s="36">
        <v>526.5813779832589</v>
      </c>
      <c r="N29" s="35">
        <v>12985.099418161421</v>
      </c>
      <c r="O29" s="36">
        <v>471.24524952262772</v>
      </c>
      <c r="P29" s="35">
        <v>12631.671286783232</v>
      </c>
      <c r="Q29" s="36">
        <v>417.1210398998079</v>
      </c>
      <c r="R29" s="35">
        <v>12227.162445758669</v>
      </c>
      <c r="S29" s="36">
        <v>364.34897075805964</v>
      </c>
      <c r="T29" s="35">
        <v>11764.748267140092</v>
      </c>
      <c r="U29" s="36">
        <v>313.07062806832283</v>
      </c>
      <c r="V29" s="35">
        <v>11238.318480840087</v>
      </c>
      <c r="W29" s="36">
        <v>263.41319599185675</v>
      </c>
      <c r="X29" s="35">
        <v>10643.93110712628</v>
      </c>
      <c r="Y29" s="36">
        <v>215.48337567877246</v>
      </c>
      <c r="Z29" s="35">
        <v>9981.9422298533991</v>
      </c>
      <c r="AA29" s="36">
        <v>169.38524019891625</v>
      </c>
      <c r="AB29" s="35">
        <v>9259.320745351517</v>
      </c>
      <c r="AC29" s="36">
        <v>125.32967911301765</v>
      </c>
      <c r="AD29" s="35">
        <v>8490.6363826633806</v>
      </c>
      <c r="AE29" s="36">
        <v>83.960758430186885</v>
      </c>
      <c r="AF29" s="35">
        <v>7695.4555608534793</v>
      </c>
      <c r="AG29" s="36">
        <v>47.085455473673854</v>
      </c>
      <c r="AH29" s="35">
        <v>6892.3418338672591</v>
      </c>
      <c r="AI29" s="36">
        <v>18.689091689681945</v>
      </c>
      <c r="AJ29" s="35">
        <v>6094.5822227163371</v>
      </c>
      <c r="AK29" s="36">
        <v>3.7336876991884576</v>
      </c>
      <c r="AL29" s="35">
        <v>5281.2845732676969</v>
      </c>
      <c r="AM29" s="36">
        <v>0.21351793698570506</v>
      </c>
      <c r="AN29" s="35">
        <v>4229.4021069052405</v>
      </c>
      <c r="AO29" s="36">
        <v>8.1169874092090169E-4</v>
      </c>
      <c r="AP29" s="35">
        <v>3921.4225115842837</v>
      </c>
      <c r="AQ29" s="36">
        <v>1.2148726766442654E-4</v>
      </c>
      <c r="AR29" s="35">
        <v>3535.5048743390062</v>
      </c>
      <c r="AS29" s="36">
        <v>9.9300273186828517E-6</v>
      </c>
      <c r="AT29" s="35"/>
      <c r="AU29" s="36"/>
      <c r="AV29" s="35"/>
      <c r="AW29" s="36"/>
    </row>
    <row r="30" spans="1:49" x14ac:dyDescent="0.2">
      <c r="A30" t="s">
        <v>48</v>
      </c>
      <c r="B30" s="119">
        <v>2924829.9599999995</v>
      </c>
      <c r="D30" s="119">
        <v>2916035.0727559193</v>
      </c>
      <c r="F30" s="119">
        <v>2903020.5716023073</v>
      </c>
      <c r="H30" s="119">
        <v>2885112.1781563014</v>
      </c>
      <c r="J30" s="119">
        <v>2861530.5759022813</v>
      </c>
      <c r="L30" s="119">
        <v>2831375.5618216801</v>
      </c>
      <c r="N30" s="119">
        <v>2793632.8598541957</v>
      </c>
      <c r="P30" s="119">
        <v>2747202.3372129118</v>
      </c>
      <c r="R30" s="119">
        <v>2690965.3180409661</v>
      </c>
      <c r="T30" s="119">
        <v>2623929.3963789186</v>
      </c>
      <c r="V30" s="119">
        <v>2545507.8841411564</v>
      </c>
      <c r="X30" s="119">
        <v>2455996.0212258608</v>
      </c>
      <c r="Z30" s="119">
        <v>2357326.0050100707</v>
      </c>
      <c r="AB30" s="119">
        <v>2254134.5190002285</v>
      </c>
      <c r="AD30" s="119">
        <v>2155172.3261489174</v>
      </c>
      <c r="AF30" s="119">
        <v>2075528.8867675455</v>
      </c>
      <c r="AH30" s="119">
        <v>2041792.2328828531</v>
      </c>
      <c r="AJ30" s="119">
        <v>2100467.559007016</v>
      </c>
      <c r="AL30" s="119">
        <v>2311762.0214777105</v>
      </c>
      <c r="AN30" s="119">
        <v>2796113.0213443274</v>
      </c>
      <c r="AP30" s="119">
        <v>2966606.4547890131</v>
      </c>
      <c r="AR30" s="119">
        <v>3193154.2809646721</v>
      </c>
      <c r="AT30" s="119"/>
      <c r="AV30" s="119"/>
    </row>
    <row r="31" spans="1:49" x14ac:dyDescent="0.2">
      <c r="A31" t="s">
        <v>47</v>
      </c>
      <c r="B31" s="80">
        <v>1</v>
      </c>
      <c r="D31" s="80">
        <v>0.9854052866733567</v>
      </c>
      <c r="F31" s="80">
        <v>0.96936972552985057</v>
      </c>
      <c r="H31" s="80">
        <v>0.95167247233942498</v>
      </c>
      <c r="J31" s="80">
        <v>0.93205670165836585</v>
      </c>
      <c r="L31" s="80">
        <v>0.91022317708384493</v>
      </c>
      <c r="N31" s="80">
        <v>0.88582915373908311</v>
      </c>
      <c r="P31" s="80">
        <v>0.85849175535916089</v>
      </c>
      <c r="R31" s="80">
        <v>0.82779987013728895</v>
      </c>
      <c r="T31" s="80">
        <v>0.79334315669080779</v>
      </c>
      <c r="V31" s="80">
        <v>0.75477035351508237</v>
      </c>
      <c r="X31" s="80">
        <v>0.7118854866339287</v>
      </c>
      <c r="Z31" s="80">
        <v>0.66478751117693635</v>
      </c>
      <c r="AB31" s="80">
        <v>0.61402071355320575</v>
      </c>
      <c r="AD31" s="80">
        <v>0.56064077525284139</v>
      </c>
      <c r="AF31" s="80">
        <v>0.50606001175502702</v>
      </c>
      <c r="AH31" s="80">
        <v>0.45169195315506255</v>
      </c>
      <c r="AJ31" s="80">
        <v>0.39863470271289164</v>
      </c>
      <c r="AL31" s="80">
        <v>0.34543972875679724</v>
      </c>
      <c r="AN31" s="80">
        <v>0.27748029865320223</v>
      </c>
      <c r="AP31" s="80">
        <v>0.25779695852780221</v>
      </c>
      <c r="AR31" s="80">
        <v>0.23329741121827807</v>
      </c>
      <c r="AT31" s="80"/>
      <c r="AV31" s="80"/>
    </row>
    <row r="32" spans="1:49" x14ac:dyDescent="0.2">
      <c r="A32" t="s">
        <v>64</v>
      </c>
      <c r="B32" s="86">
        <v>14734457.915000005</v>
      </c>
      <c r="D32" s="86">
        <v>14574721.3157077</v>
      </c>
      <c r="F32" s="86">
        <v>14397345.711169673</v>
      </c>
      <c r="H32" s="86">
        <v>14199525.952020541</v>
      </c>
      <c r="J32" s="86">
        <v>13978021.431992587</v>
      </c>
      <c r="L32" s="86">
        <v>13729091.576087646</v>
      </c>
      <c r="N32" s="86">
        <v>13448519.898412712</v>
      </c>
      <c r="P32" s="86">
        <v>13131725.384064408</v>
      </c>
      <c r="R32" s="86">
        <v>12774029.351179998</v>
      </c>
      <c r="T32" s="86">
        <v>12371227.285943778</v>
      </c>
      <c r="V32" s="86">
        <v>11920685.538913449</v>
      </c>
      <c r="X32" s="86">
        <v>11423178.411957813</v>
      </c>
      <c r="Z32" s="86">
        <v>10885714.407230755</v>
      </c>
      <c r="AB32" s="86">
        <v>10325296.292144613</v>
      </c>
      <c r="AD32" s="86">
        <v>9773296.8502865639</v>
      </c>
      <c r="AF32" s="86">
        <v>9281348.495922327</v>
      </c>
      <c r="AH32" s="86">
        <v>8935425.8740041535</v>
      </c>
      <c r="AJ32" s="86">
        <v>8881501.6650717668</v>
      </c>
      <c r="AL32" s="86">
        <v>9305518.5681042075</v>
      </c>
      <c r="AN32" s="86">
        <v>10522480.559207238</v>
      </c>
      <c r="AP32" s="86">
        <v>10956766.608653778</v>
      </c>
      <c r="AR32" s="86">
        <v>11521456.407900358</v>
      </c>
      <c r="AT32" s="86"/>
      <c r="AV32" s="86"/>
    </row>
    <row r="33" spans="1:49 16319:16321" x14ac:dyDescent="0.2">
      <c r="A33" t="s">
        <v>54</v>
      </c>
      <c r="B33" s="117">
        <v>7019665.6909999941</v>
      </c>
      <c r="D33" s="117">
        <v>6929956.4958879855</v>
      </c>
      <c r="F33" s="117">
        <v>6832269.1770561785</v>
      </c>
      <c r="H33" s="117">
        <v>6725337.912868618</v>
      </c>
      <c r="J33" s="117">
        <v>6607698.5496563427</v>
      </c>
      <c r="L33" s="117">
        <v>6477662.7306951052</v>
      </c>
      <c r="N33" s="117">
        <v>6333328.0477624582</v>
      </c>
      <c r="P33" s="117">
        <v>6172625.2583960956</v>
      </c>
      <c r="R33" s="117">
        <v>5993437.6796770897</v>
      </c>
      <c r="T33" s="117">
        <v>5793856.5471085487</v>
      </c>
      <c r="V33" s="117">
        <v>5572666.2379642567</v>
      </c>
      <c r="X33" s="117">
        <v>5330151.9725279147</v>
      </c>
      <c r="Z33" s="117">
        <v>5069332.5052217552</v>
      </c>
      <c r="AB33" s="117">
        <v>4797560.6712282756</v>
      </c>
      <c r="AD33" s="117">
        <v>4528284.7829080569</v>
      </c>
      <c r="AF33" s="117">
        <v>4283230.5114501389</v>
      </c>
      <c r="AH33" s="117">
        <v>4097702.9103119588</v>
      </c>
      <c r="AJ33" s="117">
        <v>4030843.2407428324</v>
      </c>
      <c r="AL33" s="117">
        <v>4157450.8262244025</v>
      </c>
      <c r="AN33" s="117">
        <v>4593449.5144626647</v>
      </c>
      <c r="AP33" s="117">
        <v>4750505.8108627759</v>
      </c>
      <c r="AR33" s="117">
        <v>4951903.8903373592</v>
      </c>
      <c r="AT33" s="117"/>
      <c r="AV33" s="117"/>
    </row>
    <row r="34" spans="1:49 16319:16321" x14ac:dyDescent="0.2">
      <c r="A34" t="s">
        <v>75</v>
      </c>
      <c r="B34" s="117">
        <v>1136879.4410000113</v>
      </c>
      <c r="D34" s="117">
        <v>1102255.1186491791</v>
      </c>
      <c r="F34" s="117">
        <v>1060961.7578660322</v>
      </c>
      <c r="H34" s="117">
        <v>1011863.3269299221</v>
      </c>
      <c r="J34" s="117">
        <v>953614.98026894871</v>
      </c>
      <c r="L34" s="117">
        <v>884608.7903619681</v>
      </c>
      <c r="N34" s="117">
        <v>802943.19928817521</v>
      </c>
      <c r="P34" s="117">
        <v>706404.75672125001</v>
      </c>
      <c r="R34" s="117">
        <v>592468.02984103793</v>
      </c>
      <c r="T34" s="117">
        <v>458352.00636314315</v>
      </c>
      <c r="V34" s="117">
        <v>301187.68175708799</v>
      </c>
      <c r="X34" s="117">
        <v>118329.95009022148</v>
      </c>
      <c r="Z34" s="117">
        <v>-92165.154895011976</v>
      </c>
      <c r="AB34" s="117">
        <v>-331048.94705456065</v>
      </c>
      <c r="AD34" s="117">
        <v>-597898.56079711451</v>
      </c>
      <c r="AF34" s="117">
        <v>-892699.60868041345</v>
      </c>
      <c r="AH34" s="117">
        <v>-1220208.4038744988</v>
      </c>
      <c r="AJ34" s="117">
        <v>-1599511.3036479964</v>
      </c>
      <c r="AL34" s="117">
        <v>-2103673.0136335986</v>
      </c>
      <c r="AN34" s="117">
        <v>-3104249.4490852966</v>
      </c>
      <c r="AP34" s="117">
        <v>-3503727.0381024131</v>
      </c>
      <c r="AR34" s="117">
        <v>-4092514.6403766484</v>
      </c>
      <c r="AT34" s="117"/>
      <c r="AV34" s="117"/>
    </row>
    <row r="35" spans="1:49 16319:16321" x14ac:dyDescent="0.2">
      <c r="A35" t="s">
        <v>78</v>
      </c>
      <c r="B35" s="233">
        <v>1</v>
      </c>
      <c r="D35" s="233">
        <v>1.0018419953881987</v>
      </c>
      <c r="F35" s="233">
        <v>1.0040594691412494</v>
      </c>
      <c r="H35" s="233">
        <v>1.0067262817439782</v>
      </c>
      <c r="J35" s="233">
        <v>1.0099375205559664</v>
      </c>
      <c r="L35" s="233">
        <v>1.0138184842239184</v>
      </c>
      <c r="N35" s="233">
        <v>1.0185366845264188</v>
      </c>
      <c r="P35" s="233">
        <v>1.024319709188537</v>
      </c>
      <c r="R35" s="233">
        <v>1.0314829861151498</v>
      </c>
      <c r="T35" s="233">
        <v>1.0404727932613123</v>
      </c>
      <c r="V35" s="233">
        <v>1.0519332547355595</v>
      </c>
      <c r="X35" s="233">
        <v>1.0668147347936585</v>
      </c>
      <c r="Z35" s="233">
        <v>1.0865545735125011</v>
      </c>
      <c r="AB35" s="233">
        <v>1.1134021579600659</v>
      </c>
      <c r="AD35" s="233">
        <v>1.1510879943851546</v>
      </c>
      <c r="AF35" s="233">
        <v>1.2064460953922529</v>
      </c>
      <c r="AH35" s="233">
        <v>1.2936466238436666</v>
      </c>
      <c r="AJ35" s="233">
        <v>1.4436712153191258</v>
      </c>
      <c r="AL35" s="233">
        <v>1.72602817005158</v>
      </c>
      <c r="AN35" s="233">
        <v>2.4264962381191131</v>
      </c>
      <c r="AP35" s="233">
        <v>2.7350544776217944</v>
      </c>
      <c r="AR35" s="233">
        <v>3.217048789329731</v>
      </c>
      <c r="AT35" s="233"/>
      <c r="AV35" s="233"/>
    </row>
    <row r="36" spans="1:49 16319:16321" x14ac:dyDescent="0.2">
      <c r="A36" t="s">
        <v>21</v>
      </c>
      <c r="B36" s="37">
        <v>0.47195767671988087</v>
      </c>
      <c r="C36" s="38">
        <v>0.31738834428178991</v>
      </c>
      <c r="D36" s="37">
        <v>0.47195700404400115</v>
      </c>
      <c r="E36" s="38">
        <v>0.31971422094075247</v>
      </c>
      <c r="F36" s="37">
        <v>0.47195539066305403</v>
      </c>
      <c r="G36" s="38">
        <v>0.3221427407159303</v>
      </c>
      <c r="H36" s="37">
        <v>0.47195264338231785</v>
      </c>
      <c r="I36" s="38">
        <v>0.32467465932258815</v>
      </c>
      <c r="J36" s="37">
        <v>0.47194853480981391</v>
      </c>
      <c r="K36" s="38">
        <v>0.32730886808723147</v>
      </c>
      <c r="L36" s="37">
        <v>0.4719427977111354</v>
      </c>
      <c r="M36" s="38">
        <v>0.33004143305238531</v>
      </c>
      <c r="N36" s="37">
        <v>0.47193513090904171</v>
      </c>
      <c r="O36" s="38">
        <v>0.33286488897964933</v>
      </c>
      <c r="P36" s="37">
        <v>0.47192521978584062</v>
      </c>
      <c r="Q36" s="38">
        <v>0.33576761388266529</v>
      </c>
      <c r="R36" s="37">
        <v>0.47191278704619533</v>
      </c>
      <c r="S36" s="38">
        <v>0.3387337382796492</v>
      </c>
      <c r="T36" s="37">
        <v>0.47189771057452273</v>
      </c>
      <c r="U36" s="38">
        <v>0.34174501354591325</v>
      </c>
      <c r="V36" s="37">
        <v>0.4718802758217055</v>
      </c>
      <c r="W36" s="38">
        <v>0.34478715378987984</v>
      </c>
      <c r="X36" s="37">
        <v>0.47186168635498127</v>
      </c>
      <c r="Y36" s="38">
        <v>0.34786625485054101</v>
      </c>
      <c r="Z36" s="37">
        <v>0.47184506147844713</v>
      </c>
      <c r="AA36" s="38">
        <v>0.35104590353439707</v>
      </c>
      <c r="AB36" s="37">
        <v>0.47183732369675951</v>
      </c>
      <c r="AC36" s="38">
        <v>0.35452534221352328</v>
      </c>
      <c r="AD36" s="37">
        <v>0.47185279359439403</v>
      </c>
      <c r="AE36" s="38">
        <v>0.35879968302790088</v>
      </c>
      <c r="AF36" s="37">
        <v>0.47192078307838808</v>
      </c>
      <c r="AG36" s="38">
        <v>0.36501066842401542</v>
      </c>
      <c r="AH36" s="37">
        <v>0.47210426254858406</v>
      </c>
      <c r="AI36" s="38">
        <v>0.37582234998442826</v>
      </c>
      <c r="AJ36" s="37">
        <v>0.47254132952535866</v>
      </c>
      <c r="AK36" s="38">
        <v>0.39752150107031742</v>
      </c>
      <c r="AL36" s="37">
        <v>0.47351263603795901</v>
      </c>
      <c r="AM36" s="38">
        <v>0.44426563701930422</v>
      </c>
      <c r="AN36" s="37">
        <v>0.47592385832110407</v>
      </c>
      <c r="AO36" s="38">
        <v>0.56471635428763556</v>
      </c>
      <c r="AP36" s="37">
        <v>0.4769073227966506</v>
      </c>
      <c r="AQ36" s="38">
        <v>0.61530229091371813</v>
      </c>
      <c r="AR36" s="37">
        <v>0.4783468276976478</v>
      </c>
      <c r="AS36" s="38">
        <v>0.6904247664966483</v>
      </c>
      <c r="AT36" s="37"/>
      <c r="AU36" s="38"/>
      <c r="AV36" s="37"/>
      <c r="AW36" s="38"/>
    </row>
    <row r="37" spans="1:49 16319:16321" x14ac:dyDescent="0.2">
      <c r="B37" s="39">
        <v>2.1403217525954137E-2</v>
      </c>
      <c r="C37" s="40">
        <v>0.34962461301992576</v>
      </c>
      <c r="D37" s="39">
        <v>2.0771316481105428E-2</v>
      </c>
      <c r="E37" s="40">
        <v>0.34592888509093067</v>
      </c>
      <c r="F37" s="39">
        <v>2.0140941579473812E-2</v>
      </c>
      <c r="G37" s="40">
        <v>0.3421865939173474</v>
      </c>
      <c r="H37" s="39">
        <v>1.9513716693449382E-2</v>
      </c>
      <c r="I37" s="40">
        <v>0.3384056529386093</v>
      </c>
      <c r="J37" s="39">
        <v>1.889155173760778E-2</v>
      </c>
      <c r="K37" s="40">
        <v>0.33459627932800062</v>
      </c>
      <c r="L37" s="39">
        <v>1.8276743305207874E-2</v>
      </c>
      <c r="M37" s="40">
        <v>0.33077184177381275</v>
      </c>
      <c r="N37" s="39">
        <v>1.7671979749587074E-2</v>
      </c>
      <c r="O37" s="40">
        <v>0.32694915438535133</v>
      </c>
      <c r="P37" s="39">
        <v>1.7080313452419265E-2</v>
      </c>
      <c r="Q37" s="40">
        <v>0.32314855130479103</v>
      </c>
      <c r="R37" s="39">
        <v>1.6505038237308214E-2</v>
      </c>
      <c r="S37" s="40">
        <v>0.3193932643185714</v>
      </c>
      <c r="T37" s="39">
        <v>1.5949283653035346E-2</v>
      </c>
      <c r="U37" s="40">
        <v>0.31570666100078298</v>
      </c>
      <c r="V37" s="39">
        <v>1.5415062123949701E-2</v>
      </c>
      <c r="W37" s="40">
        <v>0.31210512815916669</v>
      </c>
      <c r="X37" s="39">
        <v>1.4901174716772594E-2</v>
      </c>
      <c r="Y37" s="40">
        <v>0.30858169633060162</v>
      </c>
      <c r="Z37" s="39">
        <v>1.4398966603915953E-2</v>
      </c>
      <c r="AA37" s="40">
        <v>0.3050717345677959</v>
      </c>
      <c r="AB37" s="39">
        <v>1.3884225603978661E-2</v>
      </c>
      <c r="AC37" s="40">
        <v>0.30138539247290186</v>
      </c>
      <c r="AD37" s="39">
        <v>1.3302688495571471E-2</v>
      </c>
      <c r="AE37" s="40">
        <v>0.29708099266830107</v>
      </c>
      <c r="AF37" s="39">
        <v>1.2544947247898345E-2</v>
      </c>
      <c r="AG37" s="40">
        <v>0.29122591968261602</v>
      </c>
      <c r="AH37" s="39">
        <v>1.1407445641438939E-2</v>
      </c>
      <c r="AI37" s="40">
        <v>0.28194206869528721</v>
      </c>
      <c r="AJ37" s="39">
        <v>9.5951691779134884E-3</v>
      </c>
      <c r="AK37" s="40">
        <v>0.26594844973718795</v>
      </c>
      <c r="AL37" s="39">
        <v>6.9873392024444522E-3</v>
      </c>
      <c r="AM37" s="40">
        <v>0.23975643082178746</v>
      </c>
      <c r="AN37" s="39">
        <v>3.8328203460252018E-3</v>
      </c>
      <c r="AO37" s="40">
        <v>0.19966627594976358</v>
      </c>
      <c r="AP37" s="39">
        <v>3.1609846818004043E-3</v>
      </c>
      <c r="AQ37" s="40">
        <v>0.18897475234264552</v>
      </c>
      <c r="AR37" s="39">
        <v>2.4773197513877675E-3</v>
      </c>
      <c r="AS37" s="40">
        <v>0.17671138798636046</v>
      </c>
      <c r="AT37" s="39"/>
      <c r="AU37" s="40"/>
      <c r="AV37" s="39"/>
      <c r="AW37" s="40"/>
    </row>
    <row r="38" spans="1:49 16319:16321" x14ac:dyDescent="0.2">
      <c r="A38" t="s">
        <v>22</v>
      </c>
      <c r="B38" s="37">
        <v>0.18079094942242827</v>
      </c>
      <c r="C38" s="38">
        <v>6.0565413429233668E-2</v>
      </c>
      <c r="D38" s="37">
        <v>0.18115229877810321</v>
      </c>
      <c r="E38" s="38">
        <v>6.0873791607638263E-2</v>
      </c>
      <c r="F38" s="37">
        <v>0.18152758878797143</v>
      </c>
      <c r="G38" s="38">
        <v>6.1196035902905038E-2</v>
      </c>
      <c r="H38" s="37">
        <v>0.1819171474001845</v>
      </c>
      <c r="I38" s="38">
        <v>6.153239470763841E-2</v>
      </c>
      <c r="J38" s="37">
        <v>0.18232116371459925</v>
      </c>
      <c r="K38" s="38">
        <v>6.1882963324295194E-2</v>
      </c>
      <c r="L38" s="37">
        <v>0.1827395941345302</v>
      </c>
      <c r="M38" s="38">
        <v>6.2247510048230467E-2</v>
      </c>
      <c r="N38" s="37">
        <v>0.18317207963552556</v>
      </c>
      <c r="O38" s="38">
        <v>6.2625375873023997E-2</v>
      </c>
      <c r="P38" s="37">
        <v>0.18361782223195061</v>
      </c>
      <c r="Q38" s="38">
        <v>6.3015434627594361E-2</v>
      </c>
      <c r="R38" s="37">
        <v>0.18407542948362965</v>
      </c>
      <c r="S38" s="38">
        <v>6.3416024408604887E-2</v>
      </c>
      <c r="T38" s="37">
        <v>0.18454277714232917</v>
      </c>
      <c r="U38" s="38">
        <v>6.3824922959678038E-2</v>
      </c>
      <c r="V38" s="37">
        <v>0.18501690629420123</v>
      </c>
      <c r="W38" s="38">
        <v>6.4239988350202781E-2</v>
      </c>
      <c r="X38" s="37">
        <v>0.18549418625443564</v>
      </c>
      <c r="Y38" s="38">
        <v>6.4660431761684956E-2</v>
      </c>
      <c r="Z38" s="37">
        <v>0.18597106422156923</v>
      </c>
      <c r="AA38" s="38">
        <v>6.5090178041933122E-2</v>
      </c>
      <c r="AB38" s="37">
        <v>0.18644613420232592</v>
      </c>
      <c r="AC38" s="38">
        <v>6.5544986306760186E-2</v>
      </c>
      <c r="AD38" s="37">
        <v>0.18692460774000361</v>
      </c>
      <c r="AE38" s="38">
        <v>6.6067394543073032E-2</v>
      </c>
      <c r="AF38" s="37">
        <v>0.18742659005399562</v>
      </c>
      <c r="AG38" s="38">
        <v>6.6758619233607E-2</v>
      </c>
      <c r="AH38" s="37">
        <v>0.18799870237654293</v>
      </c>
      <c r="AI38" s="38">
        <v>6.7854692650055781E-2</v>
      </c>
      <c r="AJ38" s="37">
        <v>0.18870519143354836</v>
      </c>
      <c r="AK38" s="38">
        <v>6.9892694463369903E-2</v>
      </c>
      <c r="AL38" s="37">
        <v>0.18947611125873129</v>
      </c>
      <c r="AM38" s="38">
        <v>7.3967599403772955E-2</v>
      </c>
      <c r="AN38" s="37">
        <v>0.18931935414816209</v>
      </c>
      <c r="AO38" s="38">
        <v>8.3204949845670936E-2</v>
      </c>
      <c r="AP38" s="37">
        <v>0.18872232861190699</v>
      </c>
      <c r="AQ38" s="38">
        <v>8.6640722188565222E-2</v>
      </c>
      <c r="AR38" s="37">
        <v>0.18750312092319604</v>
      </c>
      <c r="AS38" s="38">
        <v>9.1339712829278122E-2</v>
      </c>
      <c r="AT38" s="37"/>
      <c r="AU38" s="38"/>
      <c r="AV38" s="37"/>
      <c r="AW38" s="38"/>
    </row>
    <row r="39" spans="1:49 16319:16321" x14ac:dyDescent="0.2">
      <c r="A39" t="s">
        <v>23</v>
      </c>
      <c r="B39" s="39">
        <v>0.23064923795097952</v>
      </c>
      <c r="C39" s="40">
        <v>0.22092201281804799</v>
      </c>
      <c r="D39" s="39">
        <v>0.23076909909783264</v>
      </c>
      <c r="E39" s="40">
        <v>0.22188295572818481</v>
      </c>
      <c r="F39" s="39">
        <v>0.23088908277726677</v>
      </c>
      <c r="G39" s="40">
        <v>0.22288473821994742</v>
      </c>
      <c r="H39" s="39">
        <v>0.23100836462741842</v>
      </c>
      <c r="I39" s="40">
        <v>0.22392758838488885</v>
      </c>
      <c r="J39" s="39">
        <v>0.23112590848062234</v>
      </c>
      <c r="K39" s="40">
        <v>0.22501092948975332</v>
      </c>
      <c r="L39" s="39">
        <v>0.23124040996431353</v>
      </c>
      <c r="M39" s="40">
        <v>0.22613309135442314</v>
      </c>
      <c r="N39" s="39">
        <v>0.23135029079259709</v>
      </c>
      <c r="O39" s="40">
        <v>0.22729104646318055</v>
      </c>
      <c r="P39" s="39">
        <v>0.23145375990799871</v>
      </c>
      <c r="Q39" s="40">
        <v>0.22848007585246896</v>
      </c>
      <c r="R39" s="39">
        <v>0.23154900316415539</v>
      </c>
      <c r="S39" s="40">
        <v>0.22969371717187198</v>
      </c>
      <c r="T39" s="39">
        <v>0.23163467834180837</v>
      </c>
      <c r="U39" s="40">
        <v>0.23092461841609138</v>
      </c>
      <c r="V39" s="39">
        <v>0.23171108946193325</v>
      </c>
      <c r="W39" s="40">
        <v>0.23216667657629955</v>
      </c>
      <c r="X39" s="39">
        <v>0.23178263529027657</v>
      </c>
      <c r="Y39" s="40">
        <v>0.23342139124624051</v>
      </c>
      <c r="Z39" s="39">
        <v>0.23186276544823092</v>
      </c>
      <c r="AA39" s="40">
        <v>0.23471179528443176</v>
      </c>
      <c r="AB39" s="39">
        <v>0.23198356208519896</v>
      </c>
      <c r="AC39" s="40">
        <v>0.23611201003760393</v>
      </c>
      <c r="AD39" s="39">
        <v>0.23221419332265117</v>
      </c>
      <c r="AE39" s="40">
        <v>0.23780722508480653</v>
      </c>
      <c r="AF39" s="39">
        <v>0.23269958025637352</v>
      </c>
      <c r="AG39" s="40">
        <v>0.24022387839575687</v>
      </c>
      <c r="AH39" s="39">
        <v>0.23375301815438299</v>
      </c>
      <c r="AI39" s="40">
        <v>0.24434741654720032</v>
      </c>
      <c r="AJ39" s="39">
        <v>0.23605270962788411</v>
      </c>
      <c r="AK39" s="40">
        <v>0.2524474076541775</v>
      </c>
      <c r="AL39" s="39">
        <v>0.24092520678250207</v>
      </c>
      <c r="AM39" s="40">
        <v>0.26935938209366622</v>
      </c>
      <c r="AN39" s="39">
        <v>0.25243348239784608</v>
      </c>
      <c r="AO39" s="40">
        <v>0.3102784975045953</v>
      </c>
      <c r="AP39" s="39">
        <v>0.25697247309486992</v>
      </c>
      <c r="AQ39" s="40">
        <v>0.32649781132930378</v>
      </c>
      <c r="AR39" s="39">
        <v>0.26351089172600567</v>
      </c>
      <c r="AS39" s="40">
        <v>0.349688457159059</v>
      </c>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0.11719492982505279</v>
      </c>
      <c r="E42" s="135"/>
      <c r="F42" s="177">
        <f>10.8%+(1-10.8%)*(1-SUM(F26:G26)/SUM($B$26:$C$26))</f>
        <v>0.12764438326058497</v>
      </c>
      <c r="G42" s="135"/>
      <c r="H42" s="177">
        <f>10.8%+(1-10.8%)*(1-SUM(H26:I26)/SUM($B$26:$C$26))</f>
        <v>0.13956619523365385</v>
      </c>
      <c r="I42" s="135"/>
      <c r="J42" s="177">
        <f>10.8%+(1-10.8%)*(1-SUM(J26:K26)/SUM($B$26:$C$26))</f>
        <v>0.15321730947069068</v>
      </c>
      <c r="K42" s="135"/>
      <c r="L42" s="177">
        <f>10.8%+(1-10.8%)*(1-SUM(L26:M26)/SUM($B$26:$C$26))</f>
        <v>0.16890186434558041</v>
      </c>
      <c r="M42" s="135"/>
      <c r="N42" s="177">
        <f>10.8%+(1-10.8%)*(1-SUM(N26:O26)/SUM($B$26:$C$26))</f>
        <v>0.18697429649310271</v>
      </c>
      <c r="O42" s="135"/>
      <c r="P42" s="177">
        <f>10.8%+(1-10.8%)*(1-SUM(P26:Q26)/SUM($B$26:$C$26))</f>
        <v>0.20783852028337318</v>
      </c>
      <c r="Q42" s="135"/>
      <c r="R42" s="177">
        <f>10.8%+(1-10.8%)*(1-SUM(R26:S26)/SUM($B$26:$C$26))</f>
        <v>0.23193945763283219</v>
      </c>
      <c r="S42" s="135"/>
      <c r="T42" s="177">
        <f>10.8%+(1-10.8%)*(1-SUM(T26:U26)/SUM($B$26:$C$26))</f>
        <v>0.25973786024684969</v>
      </c>
      <c r="U42" s="135"/>
      <c r="V42" s="177">
        <f>10.8%+(1-10.8%)*(1-SUM(V26:W26)/SUM($B$26:$C$26))</f>
        <v>0.2916562062199245</v>
      </c>
      <c r="W42" s="135"/>
      <c r="X42" s="177">
        <f>10.8%+(1-10.8%)*(1-SUM(X26:Y26)/SUM($B$26:$C$26))</f>
        <v>0.32798462317166655</v>
      </c>
      <c r="Y42" s="162"/>
      <c r="Z42" s="177">
        <f>10.8%+(1-10.8%)*(1-SUM(Z26:AA26)/SUM($B$26:$C$26))</f>
        <v>0.36874000329014878</v>
      </c>
      <c r="AA42" s="135"/>
      <c r="AB42" s="177">
        <f>10.8%+(1-10.8%)*(1-SUM(AB26:AC26)/SUM($B$26:$C$26))</f>
        <v>0.41350621013028199</v>
      </c>
      <c r="AC42" s="135"/>
      <c r="AD42" s="177">
        <f>10.8%+(1-10.8%)*(1-SUM(AD26:AE26)/SUM($B$26:$C$26))</f>
        <v>0.4613482576590977</v>
      </c>
      <c r="AE42" s="135"/>
      <c r="AF42" s="177">
        <f>10.8%+(1-10.8%)*(1-SUM(AF26:AG26)/SUM($B$26:$C$26))</f>
        <v>0.51094256390823034</v>
      </c>
      <c r="AG42" s="135"/>
      <c r="AH42" s="177">
        <f>10.8%+(1-10.8%)*(1-SUM(AH26:AI26)/SUM($B$26:$C$26))</f>
        <v>0.56092018130523114</v>
      </c>
      <c r="AI42" s="135"/>
      <c r="AJ42" s="177">
        <f>10.8%+(1-10.8%)*(1-SUM(AJ26:AK26)/SUM($B$26:$C$26))</f>
        <v>0.61019568852814687</v>
      </c>
      <c r="AK42" s="135"/>
      <c r="AL42" s="177">
        <f>10.8%+(1-10.8%)*(1-SUM(AL26:AM26)/SUM($B$26:$C$26))</f>
        <v>0.66026405080982109</v>
      </c>
      <c r="AM42" s="135"/>
      <c r="AN42" s="177">
        <f>10.8%+(1-10.8%)*(1-SUM(AN26:AO26)/SUM($B$26:$C$26))</f>
        <v>0.72695625247262952</v>
      </c>
      <c r="AO42" s="135"/>
      <c r="AP42" s="177">
        <f>10.8%+(1-10.8%)*(1-SUM(AP26:AQ26)/SUM($B$26:$C$26))</f>
        <v>0.74720233243270495</v>
      </c>
      <c r="AQ42" s="135"/>
      <c r="AR42" s="177">
        <f>10.8%+(1-10.8%)*(1-SUM(AR26:AS26)/SUM($B$26:$C$26))</f>
        <v>0.77299915487349791</v>
      </c>
      <c r="AS42" s="135"/>
      <c r="AT42" s="177">
        <f>10.8%+(1-10.8%)*(1-SUM(AT26:AU26)/SUM($B$26:$C$26))</f>
        <v>1</v>
      </c>
      <c r="AU42" s="135"/>
      <c r="AV42" s="177">
        <f>10.8%+(1-10.8%)*(1-SUM(AV26:AW26)/SUM($B$26:$C$26))</f>
        <v>1</v>
      </c>
    </row>
    <row r="43" spans="1:49 16319:16321" x14ac:dyDescent="0.2">
      <c r="A43" t="s">
        <v>108</v>
      </c>
      <c r="B43" s="162">
        <f>SUM(B15:C15*B27:C27)/SUM(B15:C15*B27:C27,B13:C13*B26:C26)</f>
        <v>0.56058995943838341</v>
      </c>
      <c r="C43" s="135"/>
      <c r="D43" s="162">
        <f t="array" ref="D43">SUM(D15:E15*D27:E27)/SUM(D15:E15*D27:E27,D13:E13*D26:E26)</f>
        <v>0.56708932649454358</v>
      </c>
      <c r="E43" s="135"/>
      <c r="F43" s="162">
        <f t="array" ref="F43">SUM(F15:G15*F27:G27)/SUM(F15:G15*F27:G27,F13:G13*F26:G26)</f>
        <v>0.56698921764524546</v>
      </c>
      <c r="G43" s="135"/>
      <c r="H43" s="162">
        <f t="array" ref="H43">SUM(H15:I15*H27:I27)/SUM(H15:I15*H27:I27,H13:I13*H26:I26)</f>
        <v>0.566901070889967</v>
      </c>
      <c r="I43" s="135"/>
      <c r="J43" s="162">
        <f t="array" ref="J43">SUM(J15:K15*J27:K27)/SUM(J15:K15*J27:K27,J13:K13*J26:K26)</f>
        <v>0.56682572242127449</v>
      </c>
      <c r="K43" s="135"/>
      <c r="L43" s="162">
        <f t="array" ref="L43">SUM(L15:M15*L27:M27)/SUM(L15:M15*L27:M27,L13:M13*L26:M26)</f>
        <v>0.56676396118564187</v>
      </c>
      <c r="M43" s="135"/>
      <c r="N43" s="162">
        <f t="array" ref="N43">SUM(N15:O15*N27:O27)/SUM(N15:O15*N27:O27,N13:O13*N26:O26)</f>
        <v>0.56671637530733843</v>
      </c>
      <c r="O43" s="135"/>
      <c r="P43" s="162">
        <f t="array" ref="P43">SUM(P15:Q15*P27:Q27)/SUM(P15:Q15*P27:Q27,P13:Q13*P26:Q26)</f>
        <v>0.56668307665516515</v>
      </c>
      <c r="Q43" s="135"/>
      <c r="R43" s="162">
        <f t="array" ref="R43">SUM(R15:S15*R27:S27)/SUM(R15:S15*R27:S27,R13:S13*R26:S26)</f>
        <v>0.56666323767637483</v>
      </c>
      <c r="S43" s="135"/>
      <c r="T43" s="162">
        <f t="array" ref="T43">SUM(T15:U15*T27:U27)/SUM(T15:U15*T27:U27,T13:U13*T26:U26)</f>
        <v>0.56665426712905675</v>
      </c>
      <c r="U43" s="135"/>
      <c r="V43" s="162">
        <f t="array" ref="V43">SUM(V15:W15*V27:W27)/SUM(V15:W15*V27:W27,V13:W13*V26:W26)</f>
        <v>0.56665033515311147</v>
      </c>
      <c r="W43" s="135"/>
      <c r="X43" s="162">
        <f t="array" ref="X43">SUM(X15:Y15*X27:Y27)/SUM(X15:Y15*X27:Y27,X13:Y13*X26:Y26)</f>
        <v>0.56664003007259478</v>
      </c>
      <c r="Y43" s="135"/>
      <c r="Z43" s="162">
        <f t="array" ref="Z43">SUM(Z15:AA15*Z27:AA27)/SUM(Z15:AA15*Z27:AA27,Z13:AA13*Z26:AA26)</f>
        <v>0.5666028092866886</v>
      </c>
      <c r="AA43" s="135"/>
      <c r="AB43" s="162">
        <f t="array" ref="AB43">SUM(AB15:AC15*AB27:AC27)/SUM(AB15:AC15*AB27:AC27,AB13:AC13*AB26:AC26)</f>
        <v>0.56650451404840252</v>
      </c>
      <c r="AC43" s="135"/>
      <c r="AD43" s="162">
        <f t="array" ref="AD43">SUM(AD15:AE15*AD27:AE27)/SUM(AD15:AE15*AD27:AE27,AD13:AE13*AD26:AE26)</f>
        <v>0.56629308811398815</v>
      </c>
      <c r="AE43" s="135"/>
      <c r="AF43" s="162">
        <f t="array" ref="AF43">SUM(AF15:AG15*AF27:AG27)/SUM(AF15:AG15*AF27:AG27,AF13:AG13*AF26:AG26)</f>
        <v>0.56589472622860382</v>
      </c>
      <c r="AG43" s="135"/>
      <c r="AH43" s="162">
        <f t="array" ref="AH43">SUM(AH15:AI15*AH27:AI27)/SUM(AH15:AI15*AH27:AI27,AH13:AI13*AH26:AI26)</f>
        <v>0.56519438313026082</v>
      </c>
      <c r="AI43" s="135"/>
      <c r="AJ43" s="162">
        <f t="array" ref="AJ43">SUM(AJ15:AK15*AJ27:AK27)/SUM(AJ15:AK15*AJ27:AK27,AJ13:AK13*AJ26:AK26)</f>
        <v>0.56391131973314201</v>
      </c>
      <c r="AK43" s="135"/>
      <c r="AL43" s="162">
        <f t="array" ref="AL43">SUM(AL15:AM15*AL27:AM27)/SUM(AL15:AM15*AL27:AM27,AL13:AM13*AL26:AM26)</f>
        <v>0.56114378443217883</v>
      </c>
      <c r="AM43" s="135"/>
      <c r="AN43" s="162">
        <f t="array" ref="AN43">SUM(AN15:AO15*AN27:AO27)/SUM(AN15:AO15*AN27:AO27,AN13:AO13*AN26:AO26)</f>
        <v>0.55332633895266559</v>
      </c>
      <c r="AO43" s="135"/>
      <c r="AP43" s="162">
        <f t="array" ref="AP43">SUM(AP15:AQ15*AP27:AQ27)/SUM(AP15:AQ15*AP27:AQ27,AP13:AQ13*AP26:AQ26)</f>
        <v>0.54986693926258923</v>
      </c>
      <c r="AQ43" s="135"/>
      <c r="AR43" s="162">
        <f t="array" ref="AR43">SUM(AR15:AS15*AR27:AS27)/SUM(AR15:AS15*AR27:AS27,AR13:AS13*AR26:AS26)</f>
        <v>0.5446462034926266</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0.29754226190682431</v>
      </c>
      <c r="D44" s="193">
        <f>(SUM(D11:E11*D24:E24)+D34)/D32</f>
        <v>0.29847599069571207</v>
      </c>
      <c r="F44" s="193">
        <f>(SUM(F11:G11*F24:G24)+F34)/F32</f>
        <v>0.29940318630797724</v>
      </c>
      <c r="H44" s="193">
        <f>(SUM(H11:I11*H24:I24)+H34)/H32</f>
        <v>0.30032263791713509</v>
      </c>
      <c r="J44" s="193">
        <f>(SUM(J11:K11*J24:K24)+J34)/J32</f>
        <v>0.30123320462772385</v>
      </c>
      <c r="L44" s="193">
        <f>(SUM(L11:M11*L24:M24)+L34)/L32</f>
        <v>0.3021335956215222</v>
      </c>
      <c r="N44" s="193">
        <f>(SUM(N11:O11*N24:O24)+N34)/N32</f>
        <v>0.30302256318079279</v>
      </c>
      <c r="P44" s="193">
        <f>(SUM(P11:Q11*P24:Q24)+P34)/P32</f>
        <v>0.30389939832743196</v>
      </c>
      <c r="R44" s="193">
        <f>(SUM(R11:S11*R24:S24)+R34)/R32</f>
        <v>0.30476451185815429</v>
      </c>
      <c r="T44" s="193">
        <f>(SUM(T11:U11*T24:U24)+T34)/T32</f>
        <v>0.30562058861691588</v>
      </c>
      <c r="V44" s="193">
        <f>(SUM(V11:W11*V24:W24)+V34)/V32</f>
        <v>0.30647512403089389</v>
      </c>
      <c r="X44" s="193">
        <f>(SUM(X11:Y11*X24:Y24)+X34)/X32</f>
        <v>0.30734531044961916</v>
      </c>
      <c r="Z44" s="193">
        <f>(SUM(Z11:AA11*Z24:AA24)+Z34)/Z32</f>
        <v>0.30826708755588944</v>
      </c>
      <c r="AB44" s="193">
        <f>(SUM(AB11:AC11*AB24:AC24)+AB34)/AB32</f>
        <v>0.30931234249458656</v>
      </c>
      <c r="AD44" s="193">
        <f>(SUM(AD11:AE11*AD24:AE24)+AD34)/AD32</f>
        <v>0.31062142640236795</v>
      </c>
      <c r="AF44" s="193">
        <f>(SUM(AF11:AG11*AF24:AG24)+AF34)/AF32</f>
        <v>0.31246584319114251</v>
      </c>
      <c r="AH44" s="193">
        <f>(SUM(AH11:AI11*AH24:AI24)+AH34)/AH32</f>
        <v>0.3153631285672604</v>
      </c>
      <c r="AJ44" s="193">
        <f>(SUM(AJ11:AK11*AJ24:AK24)+AJ34)/AJ32</f>
        <v>0.32010675551496043</v>
      </c>
      <c r="AL44" s="193">
        <f>(SUM(AL11:AM11*AL24:AM24)+AL34)/AL32</f>
        <v>0.32718118455985573</v>
      </c>
      <c r="AN44" s="193">
        <f>(SUM(AN11:AO11*AN24:AO24)+AN34)/AN32</f>
        <v>0.33741704075909668</v>
      </c>
      <c r="AP44" s="193">
        <f>(SUM(AP11:AQ11*AP24:AQ24)+AP34)/AP32</f>
        <v>0.3403855740306605</v>
      </c>
      <c r="AR44" s="193">
        <f>(SUM(AR11:AS11*AR24:AS24)+AR34)/AR32</f>
        <v>0.34415536414161146</v>
      </c>
      <c r="AT44" s="193" t="e">
        <f>(SUM(AT11:AU11*AT24:AU24)+AT34)/AT32</f>
        <v>#DIV/0!</v>
      </c>
      <c r="AV44" s="193" t="e">
        <f>(SUM(AV11:AW11*AV24:AW24)+AV34)/AV32</f>
        <v>#DIV/0!</v>
      </c>
    </row>
    <row r="45" spans="1:49 16319:16321" x14ac:dyDescent="0.2">
      <c r="A45" t="s">
        <v>82</v>
      </c>
      <c r="B45" s="193">
        <f>SUM(B11:C11*B24:C24)/B32</f>
        <v>0.22038438833194082</v>
      </c>
      <c r="D45" s="193">
        <f>SUM(D11:E11*D24:E24)/D32</f>
        <v>0.22284812140251067</v>
      </c>
      <c r="F45" s="193">
        <f>SUM(F11:G11*F24:G24)/F32</f>
        <v>0.2257117032283619</v>
      </c>
      <c r="H45" s="193">
        <f>SUM(H11:I11*H24:I24)/H32</f>
        <v>0.22906227821576514</v>
      </c>
      <c r="J45" s="193">
        <f>SUM(J11:K11*J24:K24)/J32</f>
        <v>0.23301074661329163</v>
      </c>
      <c r="L45" s="193">
        <f>SUM(L11:M11*L24:M24)/L32</f>
        <v>0.23770043298585905</v>
      </c>
      <c r="N45" s="193">
        <f>SUM(N11:O11*N24:O24)/N32</f>
        <v>0.24331761383666878</v>
      </c>
      <c r="P45" s="193">
        <f>SUM(P11:Q11*P24:Q24)/P32</f>
        <v>0.25010564799676444</v>
      </c>
      <c r="R45" s="193">
        <f>SUM(R11:S11*R24:S24)/R32</f>
        <v>0.25838384264618725</v>
      </c>
      <c r="T45" s="193">
        <f>SUM(T11:U11*T24:U24)/T32</f>
        <v>0.26857074741935549</v>
      </c>
      <c r="V45" s="193">
        <f>SUM(V11:W11*V24:W24)/V32</f>
        <v>0.28120915415240816</v>
      </c>
      <c r="X45" s="193">
        <f>SUM(X11:Y11*X24:Y24)/X32</f>
        <v>0.29698655163286519</v>
      </c>
      <c r="Z45" s="193">
        <f>SUM(Z11:AA11*Z24:AA24)/Z32</f>
        <v>0.31673370274044649</v>
      </c>
      <c r="AB45" s="193">
        <f>SUM(AB11:AC11*AB24:AC24)/AB32</f>
        <v>0.34137427444189733</v>
      </c>
      <c r="AD45" s="193">
        <f>SUM(AD11:AE11*AD24:AE24)/AD32</f>
        <v>0.37179817872618415</v>
      </c>
      <c r="AF45" s="193">
        <f>SUM(AF11:AG11*AF24:AG24)/AF32</f>
        <v>0.40864794529328996</v>
      </c>
      <c r="AH45" s="193">
        <f>SUM(AH11:AI11*AH24:AI24)/AH32</f>
        <v>0.45192163412483577</v>
      </c>
      <c r="AJ45" s="193">
        <f>SUM(AJ11:AK11*AJ24:AK24)/AJ32</f>
        <v>0.5002014471523426</v>
      </c>
      <c r="AL45" s="193">
        <f>SUM(AL11:AM11*AL24:AM24)/AL32</f>
        <v>0.55324843682929858</v>
      </c>
      <c r="AN45" s="193">
        <f>SUM(AN11:AO11*AN24:AO24)/AN32</f>
        <v>0.63242822482529659</v>
      </c>
      <c r="AP45" s="193">
        <f>SUM(AP11:AQ11*AP24:AQ24)/AP32</f>
        <v>0.66016303787981556</v>
      </c>
      <c r="AR45" s="193">
        <f>SUM(AR11:AS11*AR24:AS24)/AR32</f>
        <v>0.69936346418444784</v>
      </c>
      <c r="AT45" s="193" t="e">
        <f>SUM(AT11:AU11*AT24:AU24)/AT32</f>
        <v>#DIV/0!</v>
      </c>
      <c r="AV45" s="193" t="e">
        <f>SUM(AV11:AW11*AV24:AW24)/AV32</f>
        <v>#DIV/0!</v>
      </c>
      <c r="XCQ45" s="193"/>
    </row>
    <row r="46" spans="1:49 16319:16321" x14ac:dyDescent="0.2">
      <c r="A46" t="s">
        <v>139</v>
      </c>
      <c r="B46" s="193">
        <f>B34/B32</f>
        <v>7.7157873574883462E-2</v>
      </c>
      <c r="D46" s="193">
        <f>D34/D32</f>
        <v>7.562786929320145E-2</v>
      </c>
      <c r="F46" s="193">
        <f>F34/F32</f>
        <v>7.3691483079615316E-2</v>
      </c>
      <c r="H46" s="193">
        <f>H34/H32</f>
        <v>7.1260359701369999E-2</v>
      </c>
      <c r="J46" s="193">
        <f>J34/J32</f>
        <v>6.8222458014432275E-2</v>
      </c>
      <c r="L46" s="193">
        <f>L34/L32</f>
        <v>6.4433162635663135E-2</v>
      </c>
      <c r="N46" s="193">
        <f>N34/N32</f>
        <v>5.9704949344124042E-2</v>
      </c>
      <c r="P46" s="193">
        <f>P34/P32</f>
        <v>5.3793750330667536E-2</v>
      </c>
      <c r="R46" s="193">
        <f>R34/R32</f>
        <v>4.6380669211967075E-2</v>
      </c>
      <c r="T46" s="193">
        <f>T34/T32</f>
        <v>3.7049841197560399E-2</v>
      </c>
      <c r="V46" s="193">
        <f>V34/V32</f>
        <v>2.5265969878485759E-2</v>
      </c>
      <c r="X46" s="193">
        <f>X34/X32</f>
        <v>1.0358758816753959E-2</v>
      </c>
      <c r="Z46" s="193">
        <f>Z34/Z32</f>
        <v>-8.466615184557106E-3</v>
      </c>
      <c r="AB46" s="193">
        <f>AB34/AB32</f>
        <v>-3.2061931947310753E-2</v>
      </c>
      <c r="AD46" s="193">
        <f>AD34/AD32</f>
        <v>-6.1176752323816246E-2</v>
      </c>
      <c r="AF46" s="193">
        <f>AF34/AF32</f>
        <v>-9.6182102102147393E-2</v>
      </c>
      <c r="AH46" s="193">
        <f>AH34/AH32</f>
        <v>-0.13655850555757534</v>
      </c>
      <c r="AJ46" s="193">
        <f>AJ34/AJ32</f>
        <v>-0.1800946916373822</v>
      </c>
      <c r="AL46" s="193">
        <f>AL34/AL32</f>
        <v>-0.22606725226944285</v>
      </c>
      <c r="AN46" s="193">
        <f>AN34/AN32</f>
        <v>-0.29501118406619992</v>
      </c>
      <c r="AP46" s="193">
        <f>AP34/AP32</f>
        <v>-0.31977746384915506</v>
      </c>
      <c r="AR46" s="193">
        <f>AR34/AR32</f>
        <v>-0.35520810004283637</v>
      </c>
      <c r="AT46" s="193" t="e">
        <f>AT34/AT32</f>
        <v>#DIV/0!</v>
      </c>
      <c r="AV46" s="193" t="e">
        <f>AV34/AV32</f>
        <v>#DIV/0!</v>
      </c>
      <c r="XCS46" s="193"/>
    </row>
    <row r="48" spans="1:49 16319:16321" x14ac:dyDescent="0.2">
      <c r="A48" t="s">
        <v>159</v>
      </c>
      <c r="B48" s="191">
        <f>B24/$B$24</f>
        <v>1</v>
      </c>
      <c r="C48" s="191"/>
      <c r="D48" s="191">
        <f>D24/$B$24</f>
        <v>1</v>
      </c>
      <c r="E48" s="191"/>
      <c r="F48" s="191">
        <f>F24/$B$24</f>
        <v>1</v>
      </c>
      <c r="G48" s="191"/>
      <c r="H48" s="191">
        <f>H24/$B$24</f>
        <v>1</v>
      </c>
      <c r="I48" s="191"/>
      <c r="J48" s="191">
        <f>J24/$B$24</f>
        <v>1</v>
      </c>
      <c r="K48" s="191"/>
      <c r="L48" s="191">
        <f>L24/$B$24</f>
        <v>1</v>
      </c>
      <c r="M48" s="191"/>
      <c r="N48" s="191">
        <f>N24/$B$24</f>
        <v>1</v>
      </c>
      <c r="O48" s="191"/>
      <c r="P48" s="191">
        <f>P24/$B$24</f>
        <v>1</v>
      </c>
      <c r="Q48" s="191"/>
      <c r="R48" s="191">
        <f>R24/$B$24</f>
        <v>1</v>
      </c>
      <c r="S48" s="191"/>
      <c r="T48" s="191">
        <f>T24/$B$24</f>
        <v>1</v>
      </c>
      <c r="U48" s="191"/>
      <c r="V48" s="191">
        <f>V24/$B$24</f>
        <v>1</v>
      </c>
      <c r="W48" s="191"/>
      <c r="X48" s="191">
        <f>X24/$B$24</f>
        <v>1</v>
      </c>
      <c r="Y48" s="191"/>
      <c r="Z48" s="191">
        <f>Z24/$B$24</f>
        <v>1</v>
      </c>
      <c r="AA48" s="191"/>
      <c r="AB48" s="191">
        <f>AB24/$B$24</f>
        <v>1</v>
      </c>
      <c r="AC48" s="191"/>
      <c r="AD48" s="191">
        <f>AD24/$B$24</f>
        <v>1</v>
      </c>
      <c r="AE48" s="191"/>
      <c r="AF48" s="191">
        <f>AF24/$B$24</f>
        <v>1</v>
      </c>
      <c r="AG48" s="191"/>
      <c r="AH48" s="191">
        <f>AH24/$B$24</f>
        <v>1</v>
      </c>
      <c r="AI48" s="191"/>
      <c r="AJ48" s="191">
        <f>AJ24/$B$24</f>
        <v>1</v>
      </c>
      <c r="AK48" s="191"/>
      <c r="AL48" s="191">
        <f>AL24/$B$24</f>
        <v>1</v>
      </c>
      <c r="AM48" s="191"/>
      <c r="AN48" s="191">
        <f>AN24/$B$24</f>
        <v>1</v>
      </c>
      <c r="AO48" s="191"/>
      <c r="AP48" s="191">
        <f>AP24/$B$24</f>
        <v>1</v>
      </c>
      <c r="AQ48" s="191"/>
      <c r="AR48" s="191">
        <f>AR24/$B$24</f>
        <v>1</v>
      </c>
      <c r="AS48" s="191"/>
      <c r="AT48" s="191">
        <f>AT24/$B$24</f>
        <v>0</v>
      </c>
      <c r="AU48" s="191"/>
      <c r="AV48" s="191">
        <f>AV24/$B$24</f>
        <v>0</v>
      </c>
    </row>
    <row r="49" spans="1:48 16321:16384" x14ac:dyDescent="0.2">
      <c r="A49" t="s">
        <v>160</v>
      </c>
      <c r="B49" s="191">
        <f>B13/B35/$B$13*$B$35</f>
        <v>1</v>
      </c>
      <c r="C49" s="191"/>
      <c r="D49" s="191">
        <f>D13/D35/$B$13*$B$35</f>
        <v>0.99592306593072344</v>
      </c>
      <c r="E49" s="191"/>
      <c r="F49" s="191">
        <f>F13/F35/$B$13*$B$35</f>
        <v>0.99167900812527809</v>
      </c>
      <c r="G49" s="191"/>
      <c r="H49" s="191">
        <f>H13/H35/$B$13*$B$35</f>
        <v>0.98726159578566819</v>
      </c>
      <c r="I49" s="191"/>
      <c r="J49" s="191">
        <f>J13/J35/$B$13*$B$35</f>
        <v>0.98266579939770138</v>
      </c>
      <c r="K49" s="191"/>
      <c r="L49" s="191">
        <f>L13/L35/$B$13*$B$35</f>
        <v>0.97788880028435854</v>
      </c>
      <c r="M49" s="191"/>
      <c r="N49" s="191">
        <f>N13/N35/$B$13*$B$35</f>
        <v>0.97293112514681901</v>
      </c>
      <c r="O49" s="191"/>
      <c r="P49" s="191">
        <f>P13/P35/$B$13*$B$35</f>
        <v>0.96779838536612328</v>
      </c>
      <c r="Q49" s="191"/>
      <c r="R49" s="191">
        <f>R13/R35/$B$13*$B$35</f>
        <v>0.96250381311388722</v>
      </c>
      <c r="S49" s="191"/>
      <c r="T49" s="191">
        <f>T13/T35/$B$13*$B$35</f>
        <v>0.95707158850417695</v>
      </c>
      <c r="U49" s="191"/>
      <c r="V49" s="191">
        <f>V13/V35/$B$13*$B$35</f>
        <v>0.95154125976283899</v>
      </c>
      <c r="W49" s="191"/>
      <c r="X49" s="191">
        <f>X13/X35/$B$13*$B$35</f>
        <v>0.94597249952541085</v>
      </c>
      <c r="Y49" s="191"/>
      <c r="Z49" s="191">
        <f>Z13/Z35/$B$13*$B$35</f>
        <v>0.94044883957647574</v>
      </c>
      <c r="AA49" s="191"/>
      <c r="AB49" s="191">
        <f>AB13/AB35/$B$13*$B$35</f>
        <v>0.93507637421275902</v>
      </c>
      <c r="AC49" s="191"/>
      <c r="AD49" s="191">
        <f>AD13/AD35/$B$13*$B$35</f>
        <v>0.92997172107691362</v>
      </c>
      <c r="AE49" s="191"/>
      <c r="AF49" s="191">
        <f>AF13/AF35/$B$13*$B$35</f>
        <v>0.92523613052843312</v>
      </c>
      <c r="AG49" s="191"/>
      <c r="AH49" s="191">
        <f>AH13/AH35/$B$13*$B$35</f>
        <v>0.92092896851476225</v>
      </c>
      <c r="AI49" s="191"/>
      <c r="AJ49" s="191">
        <f>AJ13/AJ35/$B$13*$B$35</f>
        <v>0.91705995826901043</v>
      </c>
      <c r="AK49" s="191"/>
      <c r="AL49" s="191">
        <f>AL13/AL35/$B$13*$B$35</f>
        <v>0.91345110429339738</v>
      </c>
      <c r="AM49" s="191"/>
      <c r="AN49" s="191">
        <f>AN13/AN35/$B$13*$B$35</f>
        <v>0.90906675136327542</v>
      </c>
      <c r="AO49" s="191"/>
      <c r="AP49" s="191">
        <f>AP13/AP35/$B$13*$B$35</f>
        <v>0.90781901851169544</v>
      </c>
      <c r="AQ49" s="191"/>
      <c r="AR49" s="191">
        <f>AR13/AR35/$B$13*$B$35</f>
        <v>0.90627966785305802</v>
      </c>
      <c r="AS49" s="191"/>
      <c r="AT49" s="191" t="e">
        <f>AT13/AT35/$B$13*$B$35</f>
        <v>#DIV/0!</v>
      </c>
      <c r="AU49" s="191"/>
      <c r="AV49" s="191" t="e">
        <f>AV13/AV35/$B$13*$B$35</f>
        <v>#DIV/0!</v>
      </c>
    </row>
    <row r="51" spans="1:48 16321:16384" x14ac:dyDescent="0.2">
      <c r="A51" t="s">
        <v>166</v>
      </c>
      <c r="B51" s="29">
        <f>B30-B10*B23</f>
        <v>-405838.32800000021</v>
      </c>
      <c r="D51" s="29">
        <f>D30-D10*D23</f>
        <v>-378525.3632440269</v>
      </c>
      <c r="F51" s="29">
        <f>F30-F10*F23</f>
        <v>-351444.78220949741</v>
      </c>
      <c r="H51" s="29">
        <f>H30-H10*H23</f>
        <v>-324636.76991199329</v>
      </c>
      <c r="J51" s="29">
        <f>J30-J10*J23</f>
        <v>-298148.11611982947</v>
      </c>
      <c r="L51" s="29">
        <f>L30-L10*L23</f>
        <v>-272033.48107034992</v>
      </c>
      <c r="N51" s="29">
        <f>N30-N10*N23</f>
        <v>-246354.02019114234</v>
      </c>
      <c r="P51" s="29">
        <f>P30-P10*P23</f>
        <v>-221174.3452371615</v>
      </c>
      <c r="R51" s="29">
        <f>R30-R10*R23</f>
        <v>-196555.53378783492</v>
      </c>
      <c r="T51" s="29">
        <f>T30-T10*T23</f>
        <v>-172539.57741252286</v>
      </c>
      <c r="V51" s="29">
        <f>V30-V10*V23</f>
        <v>-149117.83773625409</v>
      </c>
      <c r="X51" s="29">
        <f>X30-X10*X23</f>
        <v>-126170.10285947612</v>
      </c>
      <c r="Z51" s="29">
        <f>Z30-Z10*Z23</f>
        <v>-103348.42071671924</v>
      </c>
      <c r="AB51" s="29">
        <f>AB30-AB10*AB23</f>
        <v>-79859.518842190038</v>
      </c>
      <c r="AD51" s="29">
        <f>AD30-AD10*AD23</f>
        <v>-54044.332939808257</v>
      </c>
      <c r="AF51" s="29">
        <f>AF30-AF10*AF23</f>
        <v>-22484.713975429768</v>
      </c>
      <c r="AH51" s="29">
        <f>AH30-AH10*AH23</f>
        <v>21973.12789745559</v>
      </c>
      <c r="AJ51" s="29">
        <f>AJ30-AJ10*AJ23</f>
        <v>92837.816784923431</v>
      </c>
      <c r="AL51" s="29">
        <f>AL30-AL10*AL23</f>
        <v>208284.86765397293</v>
      </c>
      <c r="AN51" s="29">
        <f>AN30-AN10*AN23</f>
        <v>417546.22833258472</v>
      </c>
      <c r="AP51" s="29">
        <f>AP30-AP10*AP23</f>
        <v>489870.9486046019</v>
      </c>
      <c r="AQ51" s="29"/>
      <c r="AR51" s="29">
        <f>AR30-AR10*AR23</f>
        <v>588772.78890432464</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2023575.7650023685</v>
      </c>
      <c r="F52" s="29">
        <f t="array" ref="F52">Calibration!sL*SUM(F13:G13*F26:G26)</f>
        <v>1995509.250629067</v>
      </c>
      <c r="H52" s="29">
        <f t="array" ref="H52">Calibration!sL*SUM(H13:I13*H26:I26)</f>
        <v>1964675.1037935945</v>
      </c>
      <c r="J52" s="29">
        <f t="array" ref="J52">Calibration!sL*SUM(J13:K13*J26:K26)</f>
        <v>1930642.8785895552</v>
      </c>
      <c r="L52" s="29">
        <f t="array" ref="L52">Calibration!sL*SUM(L13:M13*L26:M26)</f>
        <v>1892917.1792963587</v>
      </c>
      <c r="N52" s="29">
        <f t="array" ref="N52">Calibration!sL*SUM(N13:O13*N26:O26)</f>
        <v>1850941.4276798053</v>
      </c>
      <c r="P52" s="29">
        <f t="array" ref="P52">Calibration!sL*SUM(P13:Q13*P26:Q26)</f>
        <v>1804113.1410339905</v>
      </c>
      <c r="R52" s="29">
        <f t="array" ref="R52">Calibration!sL*SUM(R13:S13*R26:S26)</f>
        <v>1751820.5213813328</v>
      </c>
      <c r="T52" s="29">
        <f t="array" ref="T52">Calibration!sL*SUM(T13:U13*T26:U26)</f>
        <v>1693519.9539718863</v>
      </c>
      <c r="V52" s="29">
        <f t="array" ref="V52">Calibration!sL*SUM(V13:W13*V26:W26)</f>
        <v>1628881.645260416</v>
      </c>
      <c r="X52" s="29">
        <f t="array" ref="X52">Calibration!sL*SUM(X13:Y13*X26:Y26)</f>
        <v>1558031.9326366647</v>
      </c>
      <c r="Z52" s="29">
        <f t="array" ref="Z52">Calibration!sL*SUM(Z13:AA13*Z26:AA26)</f>
        <v>1481919.5078468379</v>
      </c>
      <c r="AB52" s="29">
        <f t="array" ref="AB52">Calibration!sL*SUM(AB13:AC13*AB26:AC26)</f>
        <v>1402788.4715711526</v>
      </c>
      <c r="AD52" s="29">
        <f t="array" ref="AD52">Calibration!sL*SUM(AD13:AE13*AD26:AE26)</f>
        <v>1324695.2015239424</v>
      </c>
      <c r="AF52" s="29">
        <f t="array" ref="AF52">Calibration!sL*SUM(AF13:AG13*AF26:AG26)</f>
        <v>1254151.4940188604</v>
      </c>
      <c r="AH52" s="29">
        <f t="array" ref="AH52">Calibration!sL*SUM(AH13:AI13*AH26:AI26)</f>
        <v>1201752.1206344971</v>
      </c>
      <c r="AJ52" s="29">
        <f t="array" ref="AJ52">Calibration!sL*SUM(AJ13:AK13*AJ26:AK26)</f>
        <v>1185611.2025998454</v>
      </c>
      <c r="AL52" s="29">
        <f t="array" ref="AL52">Calibration!sL*SUM(AL13:AM13*AL26:AM26)</f>
        <v>1230564.3128040852</v>
      </c>
      <c r="AN52" s="29">
        <f t="array" ref="AN52">Calibration!sL*SUM(AN13:AO13*AN26:AO26)</f>
        <v>1383685.0849503819</v>
      </c>
      <c r="AP52" s="29">
        <f t="array" ref="AP52">Calibration!sL*SUM(AP13:AQ13*AP26:AQ26)</f>
        <v>1442008.923454057</v>
      </c>
      <c r="AQ52" s="29"/>
      <c r="AR52" s="29">
        <f t="array" ref="AR52">Calibration!sL*SUM(AR13:AS13*AR26:AS26)</f>
        <v>1520466.9540403103</v>
      </c>
      <c r="AT52" s="29">
        <f t="array" ref="AT52">Calibration!sL*SUM(AT13:AU13*AT26:AU26)</f>
        <v>0</v>
      </c>
      <c r="AV52" s="29">
        <f t="array" ref="AV52">Calibration!sL*SUM(AV13:AW13*AV26:AW26)</f>
        <v>0</v>
      </c>
    </row>
    <row r="53" spans="1:48 16321:16384" x14ac:dyDescent="0.2">
      <c r="A53" t="s">
        <v>168</v>
      </c>
      <c r="B53" s="29">
        <f t="array" ref="B53">Calibration!sK*SUM(B15:C15*B27:C27)</f>
        <v>2740714.4444296514</v>
      </c>
      <c r="D53" s="29">
        <f t="array" ref="D53">Calibration!sK*SUM(D15:E15*D27:E27)</f>
        <v>2705154.2679676982</v>
      </c>
      <c r="F53" s="29">
        <f t="array" ref="F53">Calibration!sK*SUM(F15:G15*F27:G27)</f>
        <v>2666546.8735216171</v>
      </c>
      <c r="H53" s="29">
        <f t="array" ref="H53">Calibration!sK*SUM(H15:I15*H27:I27)</f>
        <v>2624401.61879601</v>
      </c>
      <c r="J53" s="29">
        <f t="array" ref="J53">Calibration!sK*SUM(J15:K15*J27:K27)</f>
        <v>2578150.260776666</v>
      </c>
      <c r="L53" s="29">
        <f t="array" ref="L53">Calibration!sK*SUM(L15:M15*L27:M27)</f>
        <v>2527136.2125340421</v>
      </c>
      <c r="N53" s="29">
        <f t="array" ref="N53">Calibration!sK*SUM(N15:O15*N27:O27)</f>
        <v>2470617.705755638</v>
      </c>
      <c r="P53" s="29">
        <f t="array" ref="P53">Calibration!sK*SUM(P15:Q15*P27:Q27)</f>
        <v>2407785.250592195</v>
      </c>
      <c r="R53" s="29">
        <f t="array" ref="R53">Calibration!sK*SUM(R15:S15*R27:S27)</f>
        <v>2337806.1760637276</v>
      </c>
      <c r="T53" s="29">
        <f t="array" ref="T53">Calibration!sK*SUM(T15:U15*T27:U27)</f>
        <v>2259921.452811623</v>
      </c>
      <c r="V53" s="29">
        <f t="array" ref="V53">Calibration!sK*SUM(V15:W15*V27:W27)</f>
        <v>2173629.913200506</v>
      </c>
      <c r="X53" s="29">
        <f t="array" ref="X53">Calibration!sK*SUM(X15:Y15*X27:Y27)</f>
        <v>2078998.6223066957</v>
      </c>
      <c r="Z53" s="29">
        <f t="array" ref="Z53">Calibration!sK*SUM(Z15:AA15*Z27:AA27)</f>
        <v>1977136.4116333448</v>
      </c>
      <c r="AB53" s="29">
        <f t="array" ref="AB53">Calibration!sK*SUM(AB15:AC15*AB27:AC27)</f>
        <v>1870812.9652962796</v>
      </c>
      <c r="AD53" s="29">
        <f t="array" ref="AD53">Calibration!sK*SUM(AD15:AE15*AD27:AE27)</f>
        <v>1765144.517868066</v>
      </c>
      <c r="AF53" s="29">
        <f t="array" ref="AF53">Calibration!sK*SUM(AF15:AG15*AF27:AG27)</f>
        <v>1668437.6137533435</v>
      </c>
      <c r="AH53" s="29">
        <f t="array" ref="AH53">Calibration!sK*SUM(AH15:AI15*AH27:AI27)</f>
        <v>1594178.604957077</v>
      </c>
      <c r="AJ53" s="29">
        <f t="array" ref="AJ53">Calibration!sK*SUM(AJ15:AK15*AJ27:AK27)</f>
        <v>1564579.6626269098</v>
      </c>
      <c r="AL53" s="29">
        <f t="array" ref="AL53">Calibration!sK*SUM(AL15:AM15*AL27:AM27)</f>
        <v>1605741.4077760277</v>
      </c>
      <c r="AN53" s="29">
        <f t="array" ref="AN53">Calibration!sK*SUM(AN15:AO15*AN27:AO27)</f>
        <v>1749232.9384474254</v>
      </c>
      <c r="AP53" s="29">
        <f t="array" ref="AP53">Calibration!sK*SUM(AP15:AQ15*AP27:AQ27)</f>
        <v>1797645.4195464209</v>
      </c>
      <c r="AQ53" s="29"/>
      <c r="AR53" s="29">
        <f t="array" ref="AR53">Calibration!sK*SUM(AR15:AS15*AR27:AS27)</f>
        <v>1855931.28255921</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0.20007484257096592</v>
      </c>
      <c r="F55" s="193">
        <f>F30/F32</f>
        <v>0.20163581745141407</v>
      </c>
      <c r="H55" s="193">
        <f>H30/H32</f>
        <v>0.20318369697023303</v>
      </c>
      <c r="J55" s="193">
        <f>J30/J32</f>
        <v>0.2047164249836442</v>
      </c>
      <c r="L55" s="193">
        <f>L30/L32</f>
        <v>0.20623182139400748</v>
      </c>
      <c r="N55" s="193">
        <f>N30/N32</f>
        <v>0.20772790470302385</v>
      </c>
      <c r="P55" s="193">
        <f>P30/P32</f>
        <v>0.20920345627595083</v>
      </c>
      <c r="R55" s="193">
        <f>R30/R32</f>
        <v>0.21065908368156275</v>
      </c>
      <c r="T55" s="193">
        <f>T30/T32</f>
        <v>0.21209936053476555</v>
      </c>
      <c r="V55" s="193">
        <f>V30/V32</f>
        <v>0.21353703827113749</v>
      </c>
      <c r="X55" s="193">
        <f>X30/X32</f>
        <v>0.21500110850539791</v>
      </c>
      <c r="Z55" s="193">
        <f>Z30/Z32</f>
        <v>0.21655225526073277</v>
      </c>
      <c r="AB55" s="193">
        <f>AB30/AB32</f>
        <v>0.21831184841786599</v>
      </c>
      <c r="AD55" s="193">
        <f>AD30/AD32</f>
        <v>0.22051640906473902</v>
      </c>
      <c r="AF55" s="193">
        <f>AF30/AF32</f>
        <v>0.22362363482843139</v>
      </c>
      <c r="AH55" s="193">
        <f>AH30/AH32</f>
        <v>0.22850530704116095</v>
      </c>
      <c r="AJ55" s="193">
        <f>AJ30/AJ32</f>
        <v>0.23649914600224795</v>
      </c>
      <c r="AL55" s="193">
        <f>AL30/AL32</f>
        <v>0.24842914498086704</v>
      </c>
      <c r="AN55" s="193">
        <f>AN30/AN32</f>
        <v>0.26572755403170695</v>
      </c>
      <c r="AP55" s="193">
        <f>AP30/AP32</f>
        <v>0.27075564906584337</v>
      </c>
      <c r="AR55" s="193">
        <f>AR30/AR32</f>
        <v>0.27714849303036898</v>
      </c>
      <c r="AT55" s="193" t="e">
        <f>AT30/AT32</f>
        <v>#DIV/0!</v>
      </c>
      <c r="AV55" s="193" t="e">
        <f>AV30/AV32</f>
        <v>#DIV/0!</v>
      </c>
      <c r="XCS55" s="193"/>
      <c r="XFD55" s="193"/>
    </row>
    <row r="56" spans="1:48 16321:16384" x14ac:dyDescent="0.2">
      <c r="A56" t="s">
        <v>170</v>
      </c>
      <c r="B56" s="193">
        <f>(Model!$C$52*B5*B20+B2*C5*C20)/B32</f>
        <v>2.9221206744340551E-2</v>
      </c>
      <c r="D56" s="193">
        <f>(Model!$C$52*D5*D20+D2*E5*E20)/D32</f>
        <v>3.1137186402035572E-2</v>
      </c>
      <c r="F56" s="193">
        <f>(Model!$C$52*F5*F20+F2*G5*G20)/F32</f>
        <v>3.3044359891395057E-2</v>
      </c>
      <c r="H56" s="193">
        <f>(Model!$C$52*H5*H20+H2*I5*I20)/H32</f>
        <v>3.4940675097314675E-2</v>
      </c>
      <c r="J56" s="193">
        <f>(Model!$C$52*J5*J20+J2*K5*K20)/J32</f>
        <v>3.6823975383990029E-2</v>
      </c>
      <c r="L56" s="193">
        <f>(Model!$C$52*L5*L20+L2*M5*M20)/L32</f>
        <v>3.8691924897434005E-2</v>
      </c>
      <c r="N56" s="193">
        <f>(Model!$C$52*N5*N20+N2*O5*O20)/N32</f>
        <v>4.054235638281483E-2</v>
      </c>
      <c r="P56" s="193">
        <f>(Model!$C$52*P5*P20+P2*Q5*Q20)/P32</f>
        <v>4.2373916629857789E-2</v>
      </c>
      <c r="R56" s="193">
        <f>(Model!$C$52*R5*R20+R2*S5*S20)/R32</f>
        <v>4.4187220185777844E-2</v>
      </c>
      <c r="T56" s="193">
        <f>(Model!$C$52*T5*T20+T2*U5*U20)/T32</f>
        <v>4.5987164962524057E-2</v>
      </c>
      <c r="V56" s="193">
        <f>(Model!$C$52*V5*V20+V2*W5*W20)/V32</f>
        <v>4.77876939282805E-2</v>
      </c>
      <c r="X56" s="193">
        <f>(Model!$C$52*X5*X20+X2*Y5*Y20)/X32</f>
        <v>4.9620868736293469E-2</v>
      </c>
      <c r="Z56" s="193">
        <f>(Model!$C$52*Z5*Z20+Z2*AA5*AA20)/Z32</f>
        <v>5.155455633034773E-2</v>
      </c>
      <c r="AB56" s="193">
        <f>(Model!$C$52*AB5*AB20+AB2*AC5*AC20)/AB32</f>
        <v>5.3726069316302076E-2</v>
      </c>
      <c r="AD56" s="193">
        <f>(Model!$C$52*AD5*AD20+AD2*AE5*AE20)/AD32</f>
        <v>5.6406232990251735E-2</v>
      </c>
      <c r="AF56" s="193">
        <f>(Model!$C$52*AF5*AF20+AF2*AG5*AG20)/AF32</f>
        <v>6.012456370786412E-2</v>
      </c>
      <c r="AH56" s="193">
        <f>(Model!$C$52*AH5*AH20+AH2*AI5*AI20)/AH32</f>
        <v>6.5892254064682215E-2</v>
      </c>
      <c r="AJ56" s="193">
        <f>(Model!$C$52*AJ5*AJ20+AJ2*AK5*AK20)/AJ32</f>
        <v>7.5223939856335895E-2</v>
      </c>
      <c r="AL56" s="193">
        <f>(Model!$C$52*AL5*AL20+AL2*AM5*AM20)/AL32</f>
        <v>8.8834028191558195E-2</v>
      </c>
      <c r="AN56" s="193">
        <f>(Model!$C$52*AN5*AN20+AN2*AO5*AO20)/AN32</f>
        <v>0.10739252430871561</v>
      </c>
      <c r="AP56" s="193">
        <f>(Model!$C$52*AP5*AP20+AP2*AQ5*AQ20)/AP32</f>
        <v>0.11243001198402308</v>
      </c>
      <c r="AR56" s="193">
        <f>(Model!$C$52*AR5*AR20+AR2*AS5*AS20)/AR32</f>
        <v>0.11859368102934241</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0.15825852482507125</v>
      </c>
      <c r="F57" s="193">
        <f t="array" ref="F57">SUM(Model!tauL*F13:G13*F26:G26)/F32</f>
        <v>0.15798622257805633</v>
      </c>
      <c r="H57" s="193">
        <f t="array" ref="H57">SUM(Model!tauL*H13:I13*H26:I26)/H32</f>
        <v>0.15771202174014101</v>
      </c>
      <c r="J57" s="193">
        <f t="array" ref="J57">SUM(Model!tauL*J13:K13*J26:K26)/J32</f>
        <v>0.15743603675495338</v>
      </c>
      <c r="L57" s="193">
        <f t="array" ref="L57">SUM(Model!tauL*L13:M13*L26:M26)/L32</f>
        <v>0.15715844168426149</v>
      </c>
      <c r="N57" s="193">
        <f t="array" ref="N57">SUM(Model!tauL*N13:O13*N26:O26)/N32</f>
        <v>0.15687946118378152</v>
      </c>
      <c r="P57" s="193">
        <f t="array" ref="P57">SUM(Model!tauL*P13:Q13*P26:Q26)/P32</f>
        <v>0.15659932325634449</v>
      </c>
      <c r="R57" s="193">
        <f t="array" ref="R57">SUM(Model!tauL*R13:S13*R26:S26)/R32</f>
        <v>0.15631822062940862</v>
      </c>
      <c r="T57" s="193">
        <f t="array" ref="T57">SUM(Model!tauL*T13:U13*T26:U26)/T32</f>
        <v>0.15603622514908042</v>
      </c>
      <c r="V57" s="193">
        <f t="array" ref="V57">SUM(Model!tauL*V13:W13*V26:W26)/V32</f>
        <v>0.15575292126225374</v>
      </c>
      <c r="X57" s="193">
        <f t="array" ref="X57">SUM(Model!tauL*X13:Y13*X26:Y26)/X32</f>
        <v>0.15546667048888982</v>
      </c>
      <c r="Y57" s="193"/>
      <c r="Z57" s="193">
        <f t="array" ref="Z57">SUM(Model!tauL*Z13:AA13*Z26:AA26)/Z32</f>
        <v>0.15517279469880821</v>
      </c>
      <c r="AB57" s="193">
        <f t="array" ref="AB57">SUM(Model!tauL*AB13:AC13*AB26:AC26)/AB32</f>
        <v>0.15485939855812847</v>
      </c>
      <c r="AD57" s="193">
        <f t="array" ref="AD57">SUM(Model!tauL*AD13:AE13*AD26:AE26)/AD32</f>
        <v>0.15449796953046266</v>
      </c>
      <c r="AF57" s="193">
        <f t="array" ref="AF57">SUM(Model!tauL*AF13:AG13*AF26:AG26)/AF32</f>
        <v>0.15402344149491756</v>
      </c>
      <c r="AH57" s="193">
        <f t="array" ref="AH57">SUM(Model!tauL*AH13:AI13*AH26:AI26)/AH32</f>
        <v>0.15330190224682202</v>
      </c>
      <c r="AJ57" s="193">
        <f t="array" ref="AJ57">SUM(Model!tauL*AJ13:AK13*AJ26:AK26)/AJ32</f>
        <v>0.15216115483182513</v>
      </c>
      <c r="AL57" s="193">
        <f t="array" ref="AL57">SUM(Model!tauL*AL13:AM13*AL26:AM26)/AL32</f>
        <v>0.15073414403867064</v>
      </c>
      <c r="AN57" s="193">
        <f t="array" ref="AN57">SUM(Model!tauL*AN13:AO13*AN26:AO26)/AN32</f>
        <v>0.14988805725232396</v>
      </c>
      <c r="AP57" s="193">
        <f t="array" ref="AP57">SUM(Model!tauL*AP13:AQ13*AP26:AQ26)/AP32</f>
        <v>0.15001456954006784</v>
      </c>
      <c r="AR57" s="193">
        <f t="array" ref="AR57">SUM(Model!tauL*AR13:AS13*AR26:AS26)/AR32</f>
        <v>0.15042412974799124</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1.0679131343859094E-2</v>
      </c>
      <c r="F58" s="193">
        <f t="array" ref="F58">SUM(Model!tauY/(1+Model!tauY)*F3:G3*F18:G18)/F32</f>
        <v>1.0605234981962641E-2</v>
      </c>
      <c r="H58" s="193">
        <f t="array" ref="H58">SUM(Model!tauY/(1+Model!tauY)*H3:I3*H18:I18)/H32</f>
        <v>1.0531000132777373E-2</v>
      </c>
      <c r="J58" s="193">
        <f t="array" ref="J58">SUM(Model!tauY/(1+Model!tauY)*J3:K3*J18:K18)/J32</f>
        <v>1.0456412844700775E-2</v>
      </c>
      <c r="L58" s="193">
        <f t="array" ref="L58">SUM(Model!tauY/(1+Model!tauY)*L3:M3*L18:M18)/L32</f>
        <v>1.038145481231198E-2</v>
      </c>
      <c r="N58" s="193">
        <f t="array" ref="N58">SUM(Model!tauY/(1+Model!tauY)*N3:O3*N18:O18)/N32</f>
        <v>1.0306087136427479E-2</v>
      </c>
      <c r="P58" s="193">
        <f t="array" ref="P58">SUM(Model!tauY/(1+Model!tauY)*P3:Q3*P18:Q18)/P32</f>
        <v>1.023021638974852E-2</v>
      </c>
      <c r="R58" s="193">
        <f t="array" ref="R58">SUM(Model!tauY/(1+Model!tauY)*R3:S3*R18:S18)/R32</f>
        <v>1.0153642866376298E-2</v>
      </c>
      <c r="T58" s="193">
        <f t="array" ref="T58">SUM(Model!tauY/(1+Model!tauY)*T3:U3*T18:U18)/T32</f>
        <v>1.0075970423161072E-2</v>
      </c>
      <c r="V58" s="193">
        <f t="array" ref="V58">SUM(Model!tauY/(1+Model!tauY)*V3:W3*V18:W18)/V32</f>
        <v>9.9964230806032818E-3</v>
      </c>
      <c r="X58" s="193">
        <f t="array" ref="X58">SUM(Model!tauY/(1+Model!tauY)*X3:Y3*X18:Y18)/X32</f>
        <v>9.9135692802146177E-3</v>
      </c>
      <c r="Y58" s="193"/>
      <c r="Z58" s="193">
        <f t="array" ref="Z58">SUM(Model!tauY/(1+Model!tauY)*Z3:AA3*Z18:AA18)/Z32</f>
        <v>9.8249042315768382E-3</v>
      </c>
      <c r="AB58" s="193">
        <f t="array" ref="AB58">SUM(Model!tauY/(1+Model!tauY)*AB3:AC3*AB18:AC18)/AB32</f>
        <v>9.7263805434354266E-3</v>
      </c>
      <c r="AD58" s="193">
        <f t="array" ref="AD58">SUM(Model!tauY/(1+Model!tauY)*AD3:AE3*AD18:AE18)/AD32</f>
        <v>9.6122065440246447E-3</v>
      </c>
      <c r="AF58" s="193">
        <f t="array" ref="AF58">SUM(Model!tauY/(1+Model!tauY)*AF3:AG3*AF18:AG18)/AF32</f>
        <v>9.4756296256497032E-3</v>
      </c>
      <c r="AH58" s="193">
        <f t="array" ref="AH58">SUM(Model!tauY/(1+Model!tauY)*AH3:AI3*AH18:AI18)/AH32</f>
        <v>9.3111507296567211E-3</v>
      </c>
      <c r="AJ58" s="193">
        <f t="array" ref="AJ58">SUM(Model!tauY/(1+Model!tauY)*AJ3:AK3*AJ18:AK18)/AJ32</f>
        <v>9.1140513140869333E-3</v>
      </c>
      <c r="AL58" s="193">
        <f t="array" ref="AL58">SUM(Model!tauY/(1+Model!tauY)*AL3:AM3*AL18:AM18)/AL32</f>
        <v>8.8609727506382008E-3</v>
      </c>
      <c r="AN58" s="193">
        <f t="array" ref="AN58">SUM(Model!tauY/(1+Model!tauY)*AN3:AO3*AN18:AO18)/AN32</f>
        <v>8.4469724706674083E-3</v>
      </c>
      <c r="AP58" s="193">
        <f t="array" ref="AP58">SUM(Model!tauY/(1+Model!tauY)*AP3:AQ3*AP18:AQ18)/AP32</f>
        <v>8.3110675417524781E-3</v>
      </c>
      <c r="AR58" s="193">
        <f t="array" ref="AR58">SUM(Model!tauY/(1+Model!tauY)*AR3:AS3*AR18:AS18)/AR32</f>
        <v>8.1306822530352995E-3</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2.4757365393176249E-3</v>
      </c>
      <c r="F59" s="193">
        <f>(F2*G5*G20)/F32</f>
        <v>4.3843620801067035E-3</v>
      </c>
      <c r="H59" s="193">
        <f>(H2*I5*I20)/H32</f>
        <v>6.2740899716706971E-3</v>
      </c>
      <c r="J59" s="193">
        <f>(J2*K5*K20)/J32</f>
        <v>8.1409008396876766E-3</v>
      </c>
      <c r="L59" s="193">
        <f>(L2*M5*M20)/L32</f>
        <v>9.9800637115842143E-3</v>
      </c>
      <c r="N59" s="193">
        <f>(N2*O5*O20)/N32</f>
        <v>1.1786328257400244E-2</v>
      </c>
      <c r="P59" s="193">
        <f>(P2*Q5*Q20)/P32</f>
        <v>1.355437420620831E-2</v>
      </c>
      <c r="R59" s="193">
        <f>(R2*S5*S20)/R32</f>
        <v>1.5279713588538503E-2</v>
      </c>
      <c r="T59" s="193">
        <f>(T2*U5*U20)/T32</f>
        <v>1.6960736729819275E-2</v>
      </c>
      <c r="V59" s="193">
        <f>(V2*W5*W20)/V32</f>
        <v>1.8603298219680438E-2</v>
      </c>
      <c r="X59" s="193">
        <f>(X2*Y5*Y20)/X32</f>
        <v>2.0229888794730286E-2</v>
      </c>
      <c r="Z59" s="193">
        <f>(Z2*AA5*AA20)/Z32</f>
        <v>2.1898167494170315E-2</v>
      </c>
      <c r="AB59" s="193">
        <f>(AB2*AC5*AC20)/AB32</f>
        <v>2.3736954384521704E-2</v>
      </c>
      <c r="AD59" s="193">
        <f>(AD2*AE5*AE20)/AD32</f>
        <v>2.6015243146557048E-2</v>
      </c>
      <c r="AF59" s="193">
        <f>(AF2*AG5*AG20)/AF32</f>
        <v>2.927663387176983E-2</v>
      </c>
      <c r="AH59" s="193">
        <f>(AH2*AI5*AI20)/AH32</f>
        <v>3.4580779743898608E-2</v>
      </c>
      <c r="AJ59" s="193">
        <f>(AJ2*AK5*AK20)/AJ32</f>
        <v>4.3552409187508981E-2</v>
      </c>
      <c r="AL59" s="193">
        <f>(AL2*AM5*AM20)/AL32</f>
        <v>5.7026793695220838E-2</v>
      </c>
      <c r="AN59" s="193">
        <f>(AN2*AO5*AO20)/AN32</f>
        <v>7.5646345345318847E-2</v>
      </c>
      <c r="AP59" s="193">
        <f>(AP2*AQ5*AQ20)/AP32</f>
        <v>8.0695798401755642E-2</v>
      </c>
      <c r="AR59" s="193">
        <f>(AR2*AS5*AS20)/AR32</f>
        <v>8.6846468171823218E-2</v>
      </c>
      <c r="AT59" s="193" t="e">
        <f>(AT2*AU5*AU20)/AT32</f>
        <v>#DIV/0!</v>
      </c>
      <c r="AV59" s="193" t="e">
        <f>(AV2*AW5*AW20)/AV32</f>
        <v>#DIV/0!</v>
      </c>
      <c r="XFD59" s="193"/>
    </row>
    <row r="60" spans="1:48 16321:16384" x14ac:dyDescent="0.2">
      <c r="A60" t="s">
        <v>174</v>
      </c>
      <c r="B60" s="193">
        <f>Model!$C$52*B5*B20/B32</f>
        <v>2.8669464423930927E-2</v>
      </c>
      <c r="D60" s="193">
        <f>Model!$C$52*D5*D20/D32</f>
        <v>2.8661449862717948E-2</v>
      </c>
      <c r="F60" s="193">
        <f>Model!$C$52*F5*F20/F32</f>
        <v>2.8659997811288352E-2</v>
      </c>
      <c r="H60" s="193">
        <f>Model!$C$52*H5*H20/H32</f>
        <v>2.8666585125643979E-2</v>
      </c>
      <c r="J60" s="193">
        <f>Model!$C$52*J5*J20/J32</f>
        <v>2.8683074544302353E-2</v>
      </c>
      <c r="L60" s="193">
        <f>Model!$C$52*L5*L20/L32</f>
        <v>2.8711861185849789E-2</v>
      </c>
      <c r="N60" s="193">
        <f>Model!$C$52*N5*N20/N32</f>
        <v>2.8756028125414584E-2</v>
      </c>
      <c r="P60" s="193">
        <f>Model!$C$52*P5*P20/P32</f>
        <v>2.8819542423649473E-2</v>
      </c>
      <c r="R60" s="193">
        <f>Model!$C$52*R5*R20/R32</f>
        <v>2.8907506597239341E-2</v>
      </c>
      <c r="T60" s="193">
        <f>Model!$C$52*T5*T20/T32</f>
        <v>2.9026428232704779E-2</v>
      </c>
      <c r="V60" s="193">
        <f>Model!$C$52*V5*V20/V32</f>
        <v>2.9184395708600062E-2</v>
      </c>
      <c r="X60" s="193">
        <f>Model!$C$52*X5*X20/X32</f>
        <v>2.939097994156319E-2</v>
      </c>
      <c r="Z60" s="193">
        <f>Model!$C$52*Z5*Z20/Z32</f>
        <v>2.9656388836177411E-2</v>
      </c>
      <c r="AB60" s="193">
        <f>Model!$C$52*AB5*AB20/AB32</f>
        <v>2.9989114931780372E-2</v>
      </c>
      <c r="AD60" s="193">
        <f>Model!$C$52*AD5*AD20/AD32</f>
        <v>3.0390989843694687E-2</v>
      </c>
      <c r="AF60" s="193">
        <f>Model!$C$52*AF5*AF20/AF32</f>
        <v>3.0847929836094287E-2</v>
      </c>
      <c r="AH60" s="193">
        <f>Model!$C$52*AH5*AH20/AH32</f>
        <v>3.1311474320783614E-2</v>
      </c>
      <c r="AJ60" s="193">
        <f>Model!$C$52*AJ5*AJ20/AJ32</f>
        <v>3.1671530668826921E-2</v>
      </c>
      <c r="AL60" s="193">
        <f>Model!$C$52*AL5*AL20/AL32</f>
        <v>3.180723449633735E-2</v>
      </c>
      <c r="AN60" s="193">
        <f>Model!$C$52*AN5*AN20/AN32</f>
        <v>3.1746178963396751E-2</v>
      </c>
      <c r="AP60" s="193">
        <f>Model!$C$52*AP5*AP20/AP32</f>
        <v>3.173421358226744E-2</v>
      </c>
      <c r="AR60" s="193">
        <f>Model!$C$52*AR5*AR20/AR32</f>
        <v>3.1747212857519205E-2</v>
      </c>
      <c r="AT60" s="193" t="e">
        <f>Model!$C$52*AT5*AT20/AT32</f>
        <v>#DIV/0!</v>
      </c>
      <c r="AV60" s="193" t="e">
        <f>Model!$C$52*AV5*AV20/AV32</f>
        <v>#DIV/0!</v>
      </c>
      <c r="XFD60" s="193"/>
    </row>
    <row r="62" spans="1:48 16321:16384" x14ac:dyDescent="0.2">
      <c r="A62" t="s">
        <v>175</v>
      </c>
      <c r="B62">
        <f>B13/B15</f>
        <v>1</v>
      </c>
      <c r="D62">
        <f>D13/D15</f>
        <v>0.99754104893302153</v>
      </c>
      <c r="F62">
        <f>F13/F15</f>
        <v>0.99496781972439241</v>
      </c>
      <c r="H62">
        <f>H13/H15</f>
        <v>0.99227309883464132</v>
      </c>
      <c r="J62">
        <f>J13/J15</f>
        <v>0.98944961546289245</v>
      </c>
      <c r="L62">
        <f>L13/L15</f>
        <v>0.986490464919343</v>
      </c>
      <c r="N62">
        <f>N13/N15</f>
        <v>0.98338985419218017</v>
      </c>
      <c r="P62">
        <f>P13/P15</f>
        <v>0.98014452949133191</v>
      </c>
      <c r="R62">
        <f>R13/R15</f>
        <v>0.9767563748976692</v>
      </c>
      <c r="T62">
        <f>T13/T15</f>
        <v>0.97323708242773388</v>
      </c>
      <c r="V62">
        <f>V13/V15</f>
        <v>0.96961675740526043</v>
      </c>
      <c r="X62">
        <f>X13/X15</f>
        <v>0.96595915370388297</v>
      </c>
      <c r="Z62">
        <f>Z13/Z15</f>
        <v>0.96238865390165396</v>
      </c>
      <c r="AB62">
        <f>AB13/AB15</f>
        <v>0.95913738491909117</v>
      </c>
      <c r="AD62">
        <f>AD13/AD15</f>
        <v>0.95663200839570217</v>
      </c>
      <c r="AF62">
        <f>AF13/AF15</f>
        <v>0.95568571744368147</v>
      </c>
      <c r="AH62">
        <f>AH13/AH15</f>
        <v>0.95802842385695597</v>
      </c>
      <c r="AJ62">
        <f>AJ13/AJ15</f>
        <v>0.96771990103620231</v>
      </c>
      <c r="AL62">
        <f>AL13/AL15</f>
        <v>0.99446018088377541</v>
      </c>
      <c r="AN62">
        <f>AN13/AN15</f>
        <v>1.0763685741701119</v>
      </c>
      <c r="AP62">
        <f>AP13/AP15</f>
        <v>1.114670818374198</v>
      </c>
      <c r="AR62">
        <f>AR13/AR15</f>
        <v>1.1749639776357066</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1.000197522753516</v>
      </c>
      <c r="E65" s="191"/>
      <c r="F65" s="191">
        <f t="array" ref="F65">SQRT((F9:G9*$B$22:$C$22+F10:G10*$B$23:$C$23+F11:G11*$B$24:$C$24+F4:G4*($B$25:$C$25-$B$19:$C$19))/($B$9:$C$9*$B$22:$C$22+$B$10:$C$10*$B$23:$C$23+$B$11:$C$11*$B$24:$C$24+$B$4:$C$4*($B$25:$C$25-$B$19:$C$19))*(F9:G9*F22:G22+F10:G10*F23:G23+F11:G11*F24:G24+F4:G4*(F25:G25-F19:G19))/($B$9:$C$9*F22:G22+$B$10:$C$10*F23:G23+$B$11:$C$11*F24:G24+$B$4:$C$4*(F25:G25-F19:G19)))</f>
        <v>1.0006742943666989</v>
      </c>
      <c r="G65" s="191"/>
      <c r="H65" s="191">
        <f t="array" ref="H65">SQRT((H9:I9*$B$22:$C$22+H10:I10*$B$23:$C$23+H11:I11*$B$24:$C$24+H4:I4*($B$25:$C$25-$B$19:$C$19))/($B$9:$C$9*$B$22:$C$22+$B$10:$C$10*$B$23:$C$23+$B$11:$C$11*$B$24:$C$24+$B$4:$C$4*($B$25:$C$25-$B$19:$C$19))*(H9:I9*H22:I22+H10:I10*H23:I23+H11:I11*H24:I24+H4:I4*(H25:I25-H19:I19))/($B$9:$C$9*H22:I22+$B$10:$C$10*H23:I23+$B$11:$C$11*H24:I24+$B$4:$C$4*(H25:I25-H19:I19)))</f>
        <v>1.0014957574133796</v>
      </c>
      <c r="I65" s="191"/>
      <c r="J65" s="191">
        <f t="array" ref="J65">SQRT((J9:K9*$B$22:$C$22+J10:K10*$B$23:$C$23+J11:K11*$B$24:$C$24+J4:K4*($B$25:$C$25-$B$19:$C$19))/($B$9:$C$9*$B$22:$C$22+$B$10:$C$10*$B$23:$C$23+$B$11:$C$11*$B$24:$C$24+$B$4:$C$4*($B$25:$C$25-$B$19:$C$19))*(J9:K9*J22:K22+J10:K10*J23:K23+J11:K11*J24:K24+J4:K4*(J25:K25-J19:K19))/($B$9:$C$9*J22:K22+$B$10:$C$10*J23:K23+$B$11:$C$11*J24:K24+$B$4:$C$4*(J25:K25-J19:K19)))</f>
        <v>1.002747838006838</v>
      </c>
      <c r="K65" s="191"/>
      <c r="L65" s="191">
        <f t="array" ref="L65">SQRT((L9:M9*$B$22:$C$22+L10:M10*$B$23:$C$23+L11:M11*$B$24:$C$24+L4:M4*($B$25:$C$25-$B$19:$C$19))/($B$9:$C$9*$B$22:$C$22+$B$10:$C$10*$B$23:$C$23+$B$11:$C$11*$B$24:$C$24+$B$4:$C$4*($B$25:$C$25-$B$19:$C$19))*(L9:M9*L22:M22+L10:M10*L23:M23+L11:M11*L24:M24+L4:M4*(L25:M25-L19:M19))/($B$9:$C$9*L22:M22+$B$10:$C$10*L23:M23+$B$11:$C$11*L24:M24+$B$4:$C$4*(L25:M25-L19:M19)))</f>
        <v>1.0045460358317253</v>
      </c>
      <c r="M65" s="191"/>
      <c r="N65" s="191">
        <f t="array" ref="N65">SQRT((N9:O9*$B$22:$C$22+N10:O10*$B$23:$C$23+N11:O11*$B$24:$C$24+N4:O4*($B$25:$C$25-$B$19:$C$19))/($B$9:$C$9*$B$22:$C$22+$B$10:$C$10*$B$23:$C$23+$B$11:$C$11*$B$24:$C$24+$B$4:$C$4*($B$25:$C$25-$B$19:$C$19))*(N9:O9*N22:O22+N10:O10*N23:O23+N11:O11*N24:O24+N4:O4*(N25:O25-N19:O19))/($B$9:$C$9*N22:O22+$B$10:$C$10*N23:O23+$B$11:$C$11*N24:O24+$B$4:$C$4*(N25:O25-N19:O19)))</f>
        <v>1.007047455646239</v>
      </c>
      <c r="O65" s="191"/>
      <c r="P65" s="191">
        <f t="array" ref="P65">SQRT((P9:Q9*$B$22:$C$22+P10:Q10*$B$23:$C$23+P11:Q11*$B$24:$C$24+P4:Q4*($B$25:$C$25-$B$19:$C$19))/($B$9:$C$9*$B$22:$C$22+$B$10:$C$10*$B$23:$C$23+$B$11:$C$11*$B$24:$C$24+$B$4:$C$4*($B$25:$C$25-$B$19:$C$19))*(P9:Q9*P22:Q22+P10:Q10*P23:Q23+P11:Q11*P24:Q24+P4:Q4*(P25:Q25-P19:Q19))/($B$9:$C$9*P22:Q22+$B$10:$C$10*P23:Q23+$B$11:$C$11*P24:Q24+$B$4:$C$4*(P25:Q25-P19:Q19)))</f>
        <v>1.0104688014508802</v>
      </c>
      <c r="Q65" s="191"/>
      <c r="R65" s="191">
        <f t="array" ref="R65">SQRT((R9:S9*$B$22:$C$22+R10:S10*$B$23:$C$23+R11:S11*$B$24:$C$24+R4:S4*($B$25:$C$25-$B$19:$C$19))/($B$9:$C$9*$B$22:$C$22+$B$10:$C$10*$B$23:$C$23+$B$11:$C$11*$B$24:$C$24+$B$4:$C$4*($B$25:$C$25-$B$19:$C$19))*(R9:S9*R22:S22+R10:S10*R23:S23+R11:S11*R24:S24+R4:S4*(R25:S25-R19:S19))/($B$9:$C$9*R22:S22+$B$10:$C$10*R23:S23+$B$11:$C$11*R24:S24+$B$4:$C$4*(R25:S25-R19:S19)))</f>
        <v>1.0151143467974153</v>
      </c>
      <c r="S65" s="191"/>
      <c r="T65" s="191">
        <f t="array" ref="T65">SQRT((T9:U9*$B$22:$C$22+T10:U10*$B$23:$C$23+T11:U11*$B$24:$C$24+T4:U4*($B$25:$C$25-$B$19:$C$19))/($B$9:$C$9*$B$22:$C$22+$B$10:$C$10*$B$23:$C$23+$B$11:$C$11*$B$24:$C$24+$B$4:$C$4*($B$25:$C$25-$B$19:$C$19))*(T9:U9*T22:U22+T10:U10*T23:U23+T11:U11*T24:U24+T4:U4*(T25:U25-T19:U19))/($B$9:$C$9*T22:U22+$B$10:$C$10*T23:U23+$B$11:$C$11*T24:U24+$B$4:$C$4*(T25:U25-T19:U19)))</f>
        <v>1.0214190460501305</v>
      </c>
      <c r="U65" s="191"/>
      <c r="V65" s="191">
        <f t="array" ref="V65">SQRT((V9:W9*$B$22:$C$22+V10:W10*$B$23:$C$23+V11:W11*$B$24:$C$24+V4:W4*($B$25:$C$25-$B$19:$C$19))/($B$9:$C$9*$B$22:$C$22+$B$10:$C$10*$B$23:$C$23+$B$11:$C$11*$B$24:$C$24+$B$4:$C$4*($B$25:$C$25-$B$19:$C$19))*(V9:W9*V22:W22+V10:W10*V23:W23+V11:W11*V24:W24+V4:W4*(V25:W25-V19:W19))/($B$9:$C$9*V22:W22+$B$10:$C$10*V23:W23+$B$11:$C$11*V24:W24+$B$4:$C$4*(V25:W25-V19:W19)))</f>
        <v>1.0300154023638934</v>
      </c>
      <c r="W65" s="191"/>
      <c r="X65" s="191">
        <f t="array" ref="X65">SQRT((X9:Y9*$B$22:$C$22+X10:Y10*$B$23:$C$23+X11:Y11*$B$24:$C$24+X4:Y4*($B$25:$C$25-$B$19:$C$19))/($B$9:$C$9*$B$22:$C$22+$B$10:$C$10*$B$23:$C$23+$B$11:$C$11*$B$24:$C$24+$B$4:$C$4*($B$25:$C$25-$B$19:$C$19))*(X9:Y9*X22:Y22+X10:Y10*X23:Y23+X11:Y11*X24:Y24+X4:Y4*(X25:Y25-X19:Y19))/($B$9:$C$9*X22:Y22+$B$10:$C$10*X23:Y23+$B$11:$C$11*X24:Y24+$B$4:$C$4*(X25:Y25-X19:Y19)))</f>
        <v>1.0418405653941369</v>
      </c>
      <c r="Y65" s="191"/>
      <c r="Z65" s="191">
        <f t="array" ref="Z65">SQRT((Z9:AA9*$B$22:$C$22+Z10:AA10*$B$23:$C$23+Z11:AA11*$B$24:$C$24+Z4:AA4*($B$25:$C$25-$B$19:$C$19))/($B$9:$C$9*$B$22:$C$22+$B$10:$C$10*$B$23:$C$23+$B$11:$C$11*$B$24:$C$24+$B$4:$C$4*($B$25:$C$25-$B$19:$C$19))*(Z9:AA9*Z22:AA22+Z10:AA10*Z23:AA23+Z11:AA11*Z24:AA24+Z4:AA4*(Z25:AA25-Z19:AA19))/($B$9:$C$9*Z22:AA22+$B$10:$C$10*Z23:AA23+$B$11:$C$11*Z24:AA24+$B$4:$C$4*(Z25:AA25-Z19:AA19)))</f>
        <v>1.0583127352432291</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1.0816439790252685</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1.1154781761575507</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1.1664391521127508</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1.2482095679249563</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1.3909090656335328</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1.6649353709454771</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2.4138263874413775</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2.8076971404569684</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3.5839317253566798</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1.0002170363739702</v>
      </c>
      <c r="E66" s="191"/>
      <c r="F66" s="191">
        <f t="array" ref="F66">SQRT((F9:G9*$B$22:$C$22)/($B$9:$C$9*$B$22:$C$22)*(F9:G9*F22:G22)/($B$9:$C$9*F22:G22))</f>
        <v>1.0007406055932535</v>
      </c>
      <c r="G66" s="191"/>
      <c r="H66" s="191">
        <f t="array" ref="H66">SQRT((H9:I9*$B$22:$C$22)/($B$9:$C$9*$B$22:$C$22)*(H9:I9*H22:I22)/($B$9:$C$9*H22:I22))</f>
        <v>1.0016417824903285</v>
      </c>
      <c r="I66" s="191"/>
      <c r="J66" s="191">
        <f t="array" ref="J66">SQRT((J9:K9*$B$22:$C$22)/($B$9:$C$9*$B$22:$C$22)*(J9:K9*J22:K22)/($B$9:$C$9*J22:K22))</f>
        <v>1.003013236317823</v>
      </c>
      <c r="K66" s="191"/>
      <c r="L66" s="191">
        <f t="array" ref="L66">SQRT((L9:M9*$B$22:$C$22)/($B$9:$C$9*$B$22:$C$22)*(L9:M9*L22:M22)/($B$9:$C$9*L22:M22))</f>
        <v>1.0049785340042725</v>
      </c>
      <c r="M66" s="191"/>
      <c r="N66" s="191">
        <f t="array" ref="N66">SQRT((N9:O9*$B$22:$C$22)/($B$9:$C$9*$B$22:$C$22)*(N9:O9*N22:O22)/($B$9:$C$9*N22:O22))</f>
        <v>1.0077041554324786</v>
      </c>
      <c r="O66" s="191"/>
      <c r="P66" s="191">
        <f t="array" ref="P66">SQRT((P9:Q9*$B$22:$C$22)/($B$9:$C$9*$B$22:$C$22)*(P9:Q9*P22:Q22)/($B$9:$C$9*P22:Q22))</f>
        <v>1.0114171235193636</v>
      </c>
      <c r="Q66" s="191"/>
      <c r="R66" s="191">
        <f t="array" ref="R66">SQRT((R9:S9*$B$22:$C$22)/($B$9:$C$9*$B$22:$C$22)*(R9:S9*R22:S22)/($B$9:$C$9*R22:S22))</f>
        <v>1.0164318685935811</v>
      </c>
      <c r="S66" s="191"/>
      <c r="T66" s="191">
        <f t="array" ref="T66">SQRT((T9:U9*$B$22:$C$22)/($B$9:$C$9*$B$22:$C$22)*(T9:U9*T22:U22)/($B$9:$C$9*T22:U22))</f>
        <v>1.023190512385685</v>
      </c>
      <c r="U66" s="191"/>
      <c r="V66" s="191">
        <f t="array" ref="V66">SQRT((V9:W9*$B$22:$C$22)/($B$9:$C$9*$B$22:$C$22)*(V9:W9*V22:W22)/($B$9:$C$9*V22:W22))</f>
        <v>1.0323232212653868</v>
      </c>
      <c r="W66" s="191"/>
      <c r="X66" s="191">
        <f t="array" ref="X66">SQRT((X9:Y9*$B$22:$C$22)/($B$9:$C$9*$B$22:$C$22)*(X9:Y9*X22:Y22)/($B$9:$C$9*X22:Y22))</f>
        <v>1.0447412784833563</v>
      </c>
      <c r="Y66" s="191"/>
      <c r="Z66" s="191">
        <f t="array" ref="Z66">SQRT((Z9:AA9*$B$22:$C$22)/($B$9:$C$9*$B$22:$C$22)*(Z9:AA9*Z22:AA22)/($B$9:$C$9*Z22:AA22))</f>
        <v>1.0617841177300147</v>
      </c>
      <c r="AA66" s="191"/>
      <c r="AB66" s="191">
        <f t="array" ref="AB66">SQRT((AB9:AC9*$B$22:$C$22)/($B$9:$C$9*$B$22:$C$22)*(AB9:AC9*AB22:AC22)/($B$9:$C$9*AB22:AC22))</f>
        <v>1.0854712466387535</v>
      </c>
      <c r="AC66" s="191"/>
      <c r="AD66" s="191">
        <f t="array" ref="AD66">SQRT((AD9:AE9*$B$22:$C$22)/($B$9:$C$9*$B$22:$C$22)*(AD9:AE9*AD22:AE22)/($B$9:$C$9*AD22:AE22))</f>
        <v>1.1190084315122988</v>
      </c>
      <c r="AE66" s="191"/>
      <c r="AF66" s="191">
        <f t="array" ref="AF66">SQRT((AF9:AG9*$B$22:$C$22)/($B$9:$C$9*$B$22:$C$22)*(AF9:AG9*AF22:AG22)/($B$9:$C$9*AF22:AG22))</f>
        <v>1.1680069050081263</v>
      </c>
      <c r="AG66" s="191"/>
      <c r="AH66" s="191">
        <f t="array" ref="AH66">SQRT((AH9:AI9*$B$22:$C$22)/($B$9:$C$9*$B$22:$C$22)*(AH9:AI9*AH22:AI22)/($B$9:$C$9*AH22:AI22))</f>
        <v>1.2435504221499329</v>
      </c>
      <c r="AI66" s="191"/>
      <c r="AJ66" s="191">
        <f t="array" ref="AJ66">SQRT((AJ9:AK9*$B$22:$C$22)/($B$9:$C$9*$B$22:$C$22)*(AJ9:AK9*AJ22:AK22)/($B$9:$C$9*AJ22:AK22))</f>
        <v>1.3680953166893701</v>
      </c>
      <c r="AK66" s="191"/>
      <c r="AL66" s="191">
        <f t="array" ref="AL66">SQRT((AL9:AM9*$B$22:$C$22)/($B$9:$C$9*$B$22:$C$22)*(AL9:AM9*AL22:AM22)/($B$9:$C$9*AL22:AM22))</f>
        <v>1.5854253074004105</v>
      </c>
      <c r="AM66" s="191"/>
      <c r="AN66" s="191">
        <f t="array" ref="AN66">SQRT((AN9:AO9*$B$22:$C$22)/($B$9:$C$9*$B$22:$C$22)*(AN9:AO9*AN22:AO22)/($B$9:$C$9*AN22:AO22))</f>
        <v>2.0493417453058544</v>
      </c>
      <c r="AO66" s="191"/>
      <c r="AP66" s="191">
        <f t="array" ref="AP66">SQRT((AP9:AQ9*$B$22:$C$22)/($B$9:$C$9*$B$22:$C$22)*(AP9:AQ9*AP22:AQ22)/($B$9:$C$9*AP22:AQ22))</f>
        <v>2.2275046861566867</v>
      </c>
      <c r="AQ66" s="191"/>
      <c r="AR66" s="191">
        <f t="array" ref="AR66">SQRT((AR9:AS9*$B$22:$C$22)/($B$9:$C$9*$B$22:$C$22)*(AR9:AS9*AR22:AS22)/($B$9:$C$9*AR22:AS22))</f>
        <v>2.4813917394536378</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1.0002170363739702</v>
      </c>
      <c r="E68" s="191"/>
      <c r="F68" s="191">
        <f>F66/F67</f>
        <v>1.0007406055932535</v>
      </c>
      <c r="G68" s="191"/>
      <c r="H68" s="191">
        <f>H66/H67</f>
        <v>1.0016417824903285</v>
      </c>
      <c r="I68" s="191"/>
      <c r="J68" s="191">
        <f>J66/J67</f>
        <v>1.003013236317823</v>
      </c>
      <c r="K68" s="191"/>
      <c r="L68" s="191">
        <f>L66/L67</f>
        <v>1.0049785340042725</v>
      </c>
      <c r="M68" s="191"/>
      <c r="N68" s="191">
        <f>N66/N67</f>
        <v>1.0077041554324786</v>
      </c>
      <c r="O68" s="191"/>
      <c r="P68" s="191">
        <f>P66/P67</f>
        <v>1.0114171235193636</v>
      </c>
      <c r="Q68" s="191"/>
      <c r="R68" s="191">
        <f>R66/R67</f>
        <v>1.0164318685935811</v>
      </c>
      <c r="S68" s="191"/>
      <c r="T68" s="191">
        <f>T66/T67</f>
        <v>1.023190512385685</v>
      </c>
      <c r="U68" s="191"/>
      <c r="V68" s="191">
        <f>V66/V67</f>
        <v>1.0323232212653868</v>
      </c>
      <c r="W68" s="191"/>
      <c r="X68" s="191">
        <f>X66/X67</f>
        <v>1.0447412784833563</v>
      </c>
      <c r="Y68" s="191"/>
      <c r="Z68" s="191">
        <f>Z66/Z67</f>
        <v>1.0617841177300147</v>
      </c>
      <c r="AA68" s="191"/>
      <c r="AB68" s="191">
        <f>AB66/AB67</f>
        <v>1.0854712466387535</v>
      </c>
      <c r="AC68" s="191"/>
      <c r="AD68" s="191">
        <f>AD66/AD67</f>
        <v>1.1190084315122988</v>
      </c>
      <c r="AE68" s="191"/>
      <c r="AF68" s="191">
        <f>AF66/AF67</f>
        <v>1.1680069050081263</v>
      </c>
      <c r="AG68" s="191"/>
      <c r="AH68" s="191">
        <f>AH66/AH67</f>
        <v>1.2435504221499329</v>
      </c>
      <c r="AI68" s="191"/>
      <c r="AJ68" s="191">
        <f>AJ66/AJ67</f>
        <v>1.3680953166893701</v>
      </c>
      <c r="AK68" s="191"/>
      <c r="AL68" s="191">
        <f>AL66/AL67</f>
        <v>1.5854253074004105</v>
      </c>
      <c r="AM68" s="191"/>
      <c r="AN68" s="191">
        <f>AN66/AN67</f>
        <v>2.0493417453058544</v>
      </c>
      <c r="AO68" s="191"/>
      <c r="AP68" s="191">
        <f>AP66/AP67</f>
        <v>2.2275046861566867</v>
      </c>
      <c r="AQ68" s="191"/>
      <c r="AR68" s="191">
        <f>AR66/AR67</f>
        <v>2.4813917394536378</v>
      </c>
      <c r="AS68" s="191"/>
      <c r="AT68" s="191" t="e">
        <f>AT66/AT67</f>
        <v>#DIV/0!</v>
      </c>
      <c r="AU68" s="191"/>
      <c r="AV68" s="191" t="e">
        <f>AV66/AV67</f>
        <v>#DIV/0!</v>
      </c>
      <c r="XFD68" s="191"/>
    </row>
    <row r="69" spans="1:48 16384:16384" x14ac:dyDescent="0.2">
      <c r="A69" t="s">
        <v>177</v>
      </c>
      <c r="B69" s="191">
        <f>B32/B65/($B$32)</f>
        <v>1</v>
      </c>
      <c r="C69" s="191"/>
      <c r="D69" s="191">
        <f>D32/D65/($B$32)</f>
        <v>0.98896363403441945</v>
      </c>
      <c r="E69" s="191"/>
      <c r="F69" s="191">
        <f>F32/F65/($B$32)</f>
        <v>0.97646240443539412</v>
      </c>
      <c r="G69" s="191"/>
      <c r="H69" s="191">
        <f>H32/H65/($B$32)</f>
        <v>0.96225587046479444</v>
      </c>
      <c r="I69" s="191"/>
      <c r="J69" s="191">
        <f>J32/J65/($B$32)</f>
        <v>0.9460624494825397</v>
      </c>
      <c r="K69" s="191"/>
      <c r="L69" s="191">
        <f>L32/L65/($B$32)</f>
        <v>0.92755099374154693</v>
      </c>
      <c r="M69" s="191"/>
      <c r="N69" s="191">
        <f>N32/N65/($B$32)</f>
        <v>0.90633842088268246</v>
      </c>
      <c r="O69" s="191"/>
      <c r="P69" s="191">
        <f>P32/P65/($B$32)</f>
        <v>0.8819921509744747</v>
      </c>
      <c r="Q69" s="191"/>
      <c r="R69" s="191">
        <f>R32/R65/($B$32)</f>
        <v>0.85404111971651053</v>
      </c>
      <c r="S69" s="191"/>
      <c r="T69" s="191">
        <f>T32/T65/($B$32)</f>
        <v>0.82200540177476222</v>
      </c>
      <c r="U69" s="191"/>
      <c r="V69" s="191">
        <f>V32/V65/($B$32)</f>
        <v>0.78545869200851626</v>
      </c>
      <c r="W69" s="191"/>
      <c r="X69" s="191">
        <f>X32/X65/($B$32)</f>
        <v>0.74413466093234726</v>
      </c>
      <c r="Y69" s="191"/>
      <c r="Z69" s="191">
        <f>Z32/Z65/($B$32)</f>
        <v>0.69808571527918251</v>
      </c>
      <c r="AA69" s="191"/>
      <c r="AB69" s="191">
        <f>AB32/AB65/($B$32)</f>
        <v>0.6478642611380544</v>
      </c>
      <c r="AC69" s="191"/>
      <c r="AD69" s="191">
        <f>AD32/AD65/($B$32)</f>
        <v>0.59462867631681326</v>
      </c>
      <c r="AE69" s="191"/>
      <c r="AF69" s="191">
        <f>AF32/AF65/($B$32)</f>
        <v>0.54002619755590608</v>
      </c>
      <c r="AG69" s="191"/>
      <c r="AH69" s="191">
        <f>AH32/AH65/($B$32)</f>
        <v>0.48584035611962079</v>
      </c>
      <c r="AI69" s="191"/>
      <c r="AJ69" s="191">
        <f>AJ32/AJ65/($B$32)</f>
        <v>0.43336466850998784</v>
      </c>
      <c r="AK69" s="191"/>
      <c r="AL69" s="191">
        <f>AL32/AL65/($B$32)</f>
        <v>0.37932287850034357</v>
      </c>
      <c r="AM69" s="191"/>
      <c r="AN69" s="191">
        <f>AN32/AN65/($B$32)</f>
        <v>0.29585433611279593</v>
      </c>
      <c r="AO69" s="191"/>
      <c r="AP69" s="191">
        <f>AP32/AP65/($B$32)</f>
        <v>0.26484878714009613</v>
      </c>
      <c r="AQ69" s="191"/>
      <c r="AR69" s="191">
        <f>AR32/AR65/($B$32)</f>
        <v>0.21817927318356931</v>
      </c>
      <c r="AS69" s="191"/>
      <c r="AT69" s="191" t="e">
        <f>AT32/AT65/($B$32)</f>
        <v>#DIV/0!</v>
      </c>
      <c r="AU69" s="191"/>
      <c r="AV69" s="191" t="e">
        <f>AV32/AV65/($B$32)</f>
        <v>#DIV/0!</v>
      </c>
    </row>
    <row r="70" spans="1:48 16384:16384" x14ac:dyDescent="0.2">
      <c r="A70" t="s">
        <v>178</v>
      </c>
      <c r="B70" s="138">
        <f>B18/$B$18</f>
        <v>1</v>
      </c>
      <c r="C70" s="138"/>
      <c r="D70" s="138">
        <f>D18/$B$18</f>
        <v>0.98852916337783325</v>
      </c>
      <c r="E70" s="138"/>
      <c r="F70" s="138">
        <f>F18/$B$18</f>
        <v>0.97560856099607229</v>
      </c>
      <c r="G70" s="138"/>
      <c r="H70" s="138">
        <f>H18/$B$18</f>
        <v>0.96100148453633616</v>
      </c>
      <c r="I70" s="138"/>
      <c r="J70" s="138">
        <f>J18/$B$18</f>
        <v>0.94443048979657163</v>
      </c>
      <c r="K70" s="138"/>
      <c r="L70" s="138">
        <f>L18/$B$18</f>
        <v>0.9255692966717548</v>
      </c>
      <c r="M70" s="138"/>
      <c r="N70" s="138">
        <f>N18/$B$18</f>
        <v>0.90404035619298972</v>
      </c>
      <c r="O70" s="138"/>
      <c r="P70" s="138">
        <f>P18/$B$18</f>
        <v>0.87941701999997901</v>
      </c>
      <c r="Q70" s="138"/>
      <c r="R70" s="138">
        <f>R18/$B$18</f>
        <v>0.85123423718175484</v>
      </c>
      <c r="S70" s="138"/>
      <c r="T70" s="138">
        <f>T18/$B$18</f>
        <v>0.81901738384451384</v>
      </c>
      <c r="U70" s="138"/>
      <c r="V70" s="138">
        <f>V18/$B$18</f>
        <v>0.782342401602377</v>
      </c>
      <c r="W70" s="138"/>
      <c r="X70" s="138">
        <f>X18/$B$18</f>
        <v>0.74093761537771263</v>
      </c>
      <c r="Y70" s="138"/>
      <c r="Z70" s="138">
        <f>Z18/$B$18</f>
        <v>0.6948328994307722</v>
      </c>
      <c r="AA70" s="138"/>
      <c r="AB70" s="138">
        <f>AB18/$B$18</f>
        <v>0.64452209100176439</v>
      </c>
      <c r="AC70" s="138"/>
      <c r="AD70" s="138">
        <f>AD18/$B$18</f>
        <v>0.59103363946064646</v>
      </c>
      <c r="AE70" s="138"/>
      <c r="AF70" s="138">
        <f>AF18/$B$18</f>
        <v>0.53575296773012593</v>
      </c>
      <c r="AG70" s="138"/>
      <c r="AH70" s="138">
        <f>AH18/$B$18</f>
        <v>0.48001392281617378</v>
      </c>
      <c r="AI70" s="138"/>
      <c r="AJ70" s="138">
        <f>AJ18/$B$18</f>
        <v>0.42481641365798684</v>
      </c>
      <c r="AK70" s="138"/>
      <c r="AL70" s="138">
        <f>AL18/$B$18</f>
        <v>0.36881148083243842</v>
      </c>
      <c r="AM70" s="138"/>
      <c r="AN70" s="138">
        <f>AN18/$B$18</f>
        <v>0.29666120671174367</v>
      </c>
      <c r="AO70" s="138"/>
      <c r="AP70" s="138">
        <f>AP18/$B$18</f>
        <v>0.27553282368085724</v>
      </c>
      <c r="AQ70" s="138"/>
      <c r="AR70" s="138">
        <f>AR18/$B$18</f>
        <v>0.24902476892099615</v>
      </c>
      <c r="AS70" s="138"/>
      <c r="AT70" s="138">
        <f>AT18/$B$18</f>
        <v>0</v>
      </c>
      <c r="AU70" s="138"/>
      <c r="AV70" s="138">
        <f>AV18/$B$18</f>
        <v>0</v>
      </c>
    </row>
    <row r="71" spans="1:48 16384:16384" x14ac:dyDescent="0.2">
      <c r="A71" t="s">
        <v>179</v>
      </c>
      <c r="B71" s="138">
        <f>C18/$C$18</f>
        <v>1</v>
      </c>
      <c r="D71" s="138">
        <f>E18/$C$18</f>
        <v>0.9302814107175309</v>
      </c>
      <c r="E71" s="138"/>
      <c r="F71" s="138">
        <f>G18/$C$18</f>
        <v>0.86099409666098281</v>
      </c>
      <c r="G71" s="138"/>
      <c r="H71" s="138">
        <f>I18/$C$18</f>
        <v>0.79221560835683325</v>
      </c>
      <c r="I71" s="138"/>
      <c r="J71" s="138">
        <f>K18/$C$18</f>
        <v>0.72403800850996802</v>
      </c>
      <c r="K71" s="138"/>
      <c r="L71" s="138">
        <f>M18/$C$18</f>
        <v>0.65657411047560577</v>
      </c>
      <c r="M71" s="138"/>
      <c r="N71" s="138">
        <f>O18/$C$18</f>
        <v>0.58995842629637363</v>
      </c>
      <c r="O71" s="138"/>
      <c r="P71" s="138">
        <f>Q18/$C$18</f>
        <v>0.52434464100910216</v>
      </c>
      <c r="Q71" s="138"/>
      <c r="R71" s="138">
        <f>S18/$C$18</f>
        <v>0.45990247569992748</v>
      </c>
      <c r="S71" s="138"/>
      <c r="T71" s="138">
        <f>U18/$C$18</f>
        <v>0.39681246231943673</v>
      </c>
      <c r="U71" s="138"/>
      <c r="V71" s="138">
        <f>W18/$C$18</f>
        <v>0.33524917923633862</v>
      </c>
      <c r="W71" s="138"/>
      <c r="X71" s="138">
        <f>Y18/$C$18</f>
        <v>0.27537655295697422</v>
      </c>
      <c r="Y71" s="138"/>
      <c r="Z71" s="138">
        <f>AA18/$C$18</f>
        <v>0.21737181825876062</v>
      </c>
      <c r="AA71" s="138"/>
      <c r="AB71" s="138">
        <f>AC18/$C$18</f>
        <v>0.16156110352568934</v>
      </c>
      <c r="AC71" s="138"/>
      <c r="AD71" s="138">
        <f>AE18/$C$18</f>
        <v>0.1088225511111596</v>
      </c>
      <c r="AE71" s="138"/>
      <c r="AF71" s="138">
        <f>AG18/$C$18</f>
        <v>6.150041053801826E-2</v>
      </c>
      <c r="AG71" s="138"/>
      <c r="AH71" s="138">
        <f>AI18/$C$18</f>
        <v>2.4728272745139092E-2</v>
      </c>
      <c r="AI71" s="138"/>
      <c r="AJ71" s="138">
        <f>AK18/$C$18</f>
        <v>5.0612816396136849E-3</v>
      </c>
      <c r="AK71" s="138"/>
      <c r="AL71" s="138">
        <f>AM18/$C$18</f>
        <v>3.0293925413200912E-4</v>
      </c>
      <c r="AM71" s="138"/>
      <c r="AN71" s="138">
        <f>AO18/$C$18</f>
        <v>1.2584356080170005E-6</v>
      </c>
      <c r="AO71" s="138"/>
      <c r="AP71" s="138">
        <f>AQ18/$C$18</f>
        <v>1.9385993427630754E-7</v>
      </c>
      <c r="AQ71" s="138"/>
      <c r="AR71" s="138">
        <f>AS18/$C$18</f>
        <v>1.6435699491628427E-8</v>
      </c>
      <c r="AS71" s="138"/>
      <c r="AT71" s="138">
        <f>AU18/$C$18</f>
        <v>0</v>
      </c>
      <c r="AU71" s="138"/>
      <c r="AV71" s="138">
        <f>AW18/$C$18</f>
        <v>0</v>
      </c>
      <c r="XFD71" s="138"/>
    </row>
    <row r="72" spans="1:48 16384:16384" x14ac:dyDescent="0.2">
      <c r="A72" t="s">
        <v>180</v>
      </c>
      <c r="B72" s="138">
        <f>C19/$C$19</f>
        <v>1</v>
      </c>
      <c r="D72" s="138">
        <f>E19/$C$19</f>
        <v>1.023037952669243</v>
      </c>
      <c r="E72" s="138"/>
      <c r="F72" s="138">
        <f>G19/$C$19</f>
        <v>1.0470150525192263</v>
      </c>
      <c r="G72" s="138"/>
      <c r="H72" s="138">
        <f>I19/$C$19</f>
        <v>1.0717301379110122</v>
      </c>
      <c r="I72" s="138"/>
      <c r="J72" s="138">
        <f>K19/$C$19</f>
        <v>1.0969015847335435</v>
      </c>
      <c r="K72" s="138"/>
      <c r="L72" s="138">
        <f>M19/$C$19</f>
        <v>1.122150777010019</v>
      </c>
      <c r="M72" s="138"/>
      <c r="N72" s="138">
        <f>O19/$C$19</f>
        <v>1.1469921095342825</v>
      </c>
      <c r="O72" s="138"/>
      <c r="P72" s="138">
        <f>Q19/$C$19</f>
        <v>1.1708309861679533</v>
      </c>
      <c r="Q72" s="138"/>
      <c r="R72" s="138">
        <f>S19/$C$19</f>
        <v>1.1929814006622419</v>
      </c>
      <c r="S72" s="138"/>
      <c r="T72" s="138">
        <f>U19/$C$19</f>
        <v>1.2127175829427734</v>
      </c>
      <c r="U72" s="138"/>
      <c r="V72" s="138">
        <f>W19/$C$19</f>
        <v>1.2293601451828968</v>
      </c>
      <c r="W72" s="138"/>
      <c r="X72" s="138">
        <f>Y19/$C$19</f>
        <v>1.2423780134720497</v>
      </c>
      <c r="Y72" s="138"/>
      <c r="Z72" s="138">
        <f>AA19/$C$19</f>
        <v>1.2513692080879006</v>
      </c>
      <c r="AA72" s="138"/>
      <c r="AB72" s="138">
        <f>AC19/$C$19</f>
        <v>1.2555033488319705</v>
      </c>
      <c r="AC72" s="138"/>
      <c r="AD72" s="138">
        <f>AE19/$C$19</f>
        <v>1.2513768195164114</v>
      </c>
      <c r="AE72" s="138"/>
      <c r="AF72" s="138">
        <f>AG19/$C$19</f>
        <v>1.2271932424352425</v>
      </c>
      <c r="AG72" s="138"/>
      <c r="AH72" s="138">
        <f>AI19/$C$19</f>
        <v>1.1513068819791441</v>
      </c>
      <c r="AI72" s="138"/>
      <c r="AJ72" s="138">
        <f>AK19/$C$19</f>
        <v>0.97055504282811289</v>
      </c>
      <c r="AK72" s="138"/>
      <c r="AL72" s="138">
        <f>AM19/$C$19</f>
        <v>0.67711490859332935</v>
      </c>
      <c r="AM72" s="138"/>
      <c r="AN72" s="138">
        <f>AO19/$C$19</f>
        <v>0.34061357276284804</v>
      </c>
      <c r="AO72" s="138"/>
      <c r="AP72" s="138">
        <f>AQ19/$C$19</f>
        <v>0.27251015299698916</v>
      </c>
      <c r="AQ72" s="138"/>
      <c r="AR72" s="138">
        <f>AS19/$C$19</f>
        <v>0.20438643383326505</v>
      </c>
      <c r="AS72" s="138"/>
      <c r="AT72" s="138">
        <f>AU19/$C$19</f>
        <v>0</v>
      </c>
      <c r="AU72" s="138"/>
      <c r="AV72" s="138">
        <f>AW19/$C$19</f>
        <v>0</v>
      </c>
      <c r="XFD72" s="138"/>
    </row>
    <row r="73" spans="1:48 16384:16384" x14ac:dyDescent="0.2">
      <c r="A73" t="s">
        <v>184</v>
      </c>
      <c r="B73" s="193">
        <f t="array" ref="B73">SUM(B9:C9*B22:C22)/B32</f>
        <v>0.47641153352875115</v>
      </c>
      <c r="D73" s="193">
        <f t="array" ref="D73">SUM(D9:E9*D22:E22)/D32</f>
        <v>0.47547780473986301</v>
      </c>
      <c r="E73" s="138"/>
      <c r="F73" s="193">
        <f t="array" ref="F73">SUM(F9:G9*F22:G22)/F32</f>
        <v>0.47455060912759817</v>
      </c>
      <c r="G73" s="138"/>
      <c r="H73" s="193">
        <f t="array" ref="H73">SUM(H9:I9*H22:I22)/H32</f>
        <v>0.47363115751843998</v>
      </c>
      <c r="I73" s="138"/>
      <c r="J73" s="193">
        <f t="array" ref="J73">SUM(J9:K9*J22:K22)/J32</f>
        <v>0.47272059080785128</v>
      </c>
      <c r="K73" s="138"/>
      <c r="L73" s="193">
        <f t="array" ref="L73">SUM(L9:M9*L22:M22)/L32</f>
        <v>0.47182019981405299</v>
      </c>
      <c r="M73" s="138"/>
      <c r="N73" s="193">
        <f t="array" ref="N73">SUM(N9:O9*N22:O22)/N32</f>
        <v>0.47093123225478245</v>
      </c>
      <c r="O73" s="138"/>
      <c r="P73" s="193">
        <f t="array" ref="P73">SUM(P9:Q9*P22:Q22)/P32</f>
        <v>0.47005439710814306</v>
      </c>
      <c r="Q73" s="138"/>
      <c r="R73" s="193">
        <f t="array" ref="R73">SUM(R9:S9*R22:S22)/R32</f>
        <v>0.46918928357742085</v>
      </c>
      <c r="S73" s="138"/>
      <c r="T73" s="193">
        <f t="array" ref="T73">SUM(T9:U9*T22:U22)/T32</f>
        <v>0.46833320681865914</v>
      </c>
      <c r="U73" s="138"/>
      <c r="V73" s="193">
        <f t="array" ref="V73">SUM(V9:W9*V22:W22)/V32</f>
        <v>0.46747867140468125</v>
      </c>
      <c r="W73" s="138"/>
      <c r="X73" s="193">
        <f t="array" ref="X73">SUM(X9:Y9*X22:Y22)/X32</f>
        <v>0.46660848498595614</v>
      </c>
      <c r="Y73" s="138"/>
      <c r="Z73" s="193">
        <f t="array" ref="Z73">SUM(Z9:AA9*Z22:AA22)/Z32</f>
        <v>0.46568670787968591</v>
      </c>
      <c r="AA73" s="138"/>
      <c r="AB73" s="193">
        <f t="array" ref="AB73">SUM(AB9:AC9*AB22:AC22)/AB32</f>
        <v>0.46464145294098869</v>
      </c>
      <c r="AC73" s="138"/>
      <c r="AD73" s="193">
        <f t="array" ref="AD73">SUM(AD9:AE9*AD22:AE22)/AD32</f>
        <v>0.46333236903320724</v>
      </c>
      <c r="AE73" s="138"/>
      <c r="AF73" s="193">
        <f t="array" ref="AF73">SUM(AF9:AG9*AF22:AG22)/AF32</f>
        <v>0.46148795224443268</v>
      </c>
      <c r="AG73" s="138"/>
      <c r="AH73" s="193">
        <f t="array" ref="AH73">SUM(AH9:AI9*AH22:AI22)/AH32</f>
        <v>0.45859066686831479</v>
      </c>
      <c r="AI73" s="138"/>
      <c r="AJ73" s="193">
        <f t="array" ref="AJ73">SUM(AJ9:AK9*AJ22:AK22)/AJ32</f>
        <v>0.45384703992061481</v>
      </c>
      <c r="AK73" s="138"/>
      <c r="AL73" s="193">
        <f t="array" ref="AL73">SUM(AL9:AM9*AL22:AM22)/AL32</f>
        <v>0.44677261087571951</v>
      </c>
      <c r="AM73" s="138"/>
      <c r="AN73" s="193">
        <f t="array" ref="AN73">SUM(AN9:AO9*AN22:AO22)/AN32</f>
        <v>0.43653675467647862</v>
      </c>
      <c r="AO73" s="138"/>
      <c r="AP73" s="193">
        <f t="array" ref="AP73">SUM(AP9:AQ9*AP22:AQ22)/AP32</f>
        <v>0.43356822140491469</v>
      </c>
      <c r="AQ73" s="138"/>
      <c r="AR73" s="193">
        <f t="array" ref="AR73">SUM(AR9:AS9*AR22:AS22)/AR32</f>
        <v>0.42979843129396367</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0.22604620456442487</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0.22604620456442487</v>
      </c>
      <c r="O74" s="138"/>
      <c r="P74" s="193">
        <f t="array" ref="P74">SUM(P10:Q10*P23:Q23)/P32</f>
        <v>0.22604620456442481</v>
      </c>
      <c r="Q74" s="138"/>
      <c r="R74" s="193">
        <f t="array" ref="R74">SUM(R10:S10*R23:S23)/R32</f>
        <v>0.22604620456442484</v>
      </c>
      <c r="S74" s="138"/>
      <c r="T74" s="193">
        <f t="array" ref="T74">SUM(T10:U10*T23:U23)/T32</f>
        <v>0.22604620456442481</v>
      </c>
      <c r="U74" s="138"/>
      <c r="V74" s="193">
        <f t="array" ref="V74">SUM(V10:W10*V23:W23)/V32</f>
        <v>0.22604620456442484</v>
      </c>
      <c r="W74" s="138"/>
      <c r="X74" s="193">
        <f t="array" ref="X74">SUM(X10:Y10*X23:Y23)/X32</f>
        <v>0.22604620456442479</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0.22604620456442487</v>
      </c>
      <c r="AK74" s="138"/>
      <c r="AL74" s="193">
        <f t="array" ref="AL74">SUM(AL10:AM10*AL23:AM23)/AL32</f>
        <v>0.22604620456442484</v>
      </c>
      <c r="AM74" s="138"/>
      <c r="AN74" s="193">
        <f t="array" ref="AN74">SUM(AN10:AO10*AN23:AO23)/AN32</f>
        <v>0.22604620456442481</v>
      </c>
      <c r="AO74" s="138"/>
      <c r="AP74" s="193">
        <f t="array" ref="AP74">SUM(AP10:AQ10*AP23:AQ23)/AP32</f>
        <v>0.22604620456442484</v>
      </c>
      <c r="AQ74" s="138"/>
      <c r="AR74" s="193">
        <f t="array" ref="AR74">SUM(AR10:AS10*AR23:AS23)/AR32</f>
        <v>0.22604620456442481</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0.22284812140251067</v>
      </c>
      <c r="E75" s="138"/>
      <c r="F75" s="193">
        <f t="array" ref="F75">SUM(F11:G11*F24:G24)/F32</f>
        <v>0.2257117032283619</v>
      </c>
      <c r="G75" s="138"/>
      <c r="H75" s="193">
        <f t="array" ref="H75">SUM(H11:I11*H24:I24)/H32</f>
        <v>0.22906227821576514</v>
      </c>
      <c r="I75" s="138"/>
      <c r="J75" s="193">
        <f t="array" ref="J75">SUM(J11:K11*J24:K24)/J32</f>
        <v>0.23301074661329163</v>
      </c>
      <c r="K75" s="138"/>
      <c r="L75" s="193">
        <f t="array" ref="L75">SUM(L11:M11*L24:M24)/L32</f>
        <v>0.23770043298585905</v>
      </c>
      <c r="M75" s="138"/>
      <c r="N75" s="193">
        <f t="array" ref="N75">SUM(N11:O11*N24:O24)/N32</f>
        <v>0.24331761383666878</v>
      </c>
      <c r="O75" s="138"/>
      <c r="P75" s="193">
        <f t="array" ref="P75">SUM(P11:Q11*P24:Q24)/P32</f>
        <v>0.25010564799676444</v>
      </c>
      <c r="Q75" s="138"/>
      <c r="R75" s="193">
        <f t="array" ref="R75">SUM(R11:S11*R24:S24)/R32</f>
        <v>0.25838384264618725</v>
      </c>
      <c r="S75" s="138"/>
      <c r="T75" s="193">
        <f t="array" ref="T75">SUM(T11:U11*T24:U24)/T32</f>
        <v>0.26857074741935549</v>
      </c>
      <c r="U75" s="138"/>
      <c r="V75" s="193">
        <f t="array" ref="V75">SUM(V11:W11*V24:W24)/V32</f>
        <v>0.28120915415240816</v>
      </c>
      <c r="W75" s="138"/>
      <c r="X75" s="193">
        <f t="array" ref="X75">SUM(X11:Y11*X24:Y24)/X32</f>
        <v>0.29698655163286519</v>
      </c>
      <c r="Y75" s="138"/>
      <c r="Z75" s="193">
        <f t="array" ref="Z75">SUM(Z11:AA11*Z24:AA24)/Z32</f>
        <v>0.31673370274044649</v>
      </c>
      <c r="AA75" s="138"/>
      <c r="AB75" s="193">
        <f t="array" ref="AB75">SUM(AB11:AC11*AB24:AC24)/AB32</f>
        <v>0.34137427444189733</v>
      </c>
      <c r="AC75" s="138"/>
      <c r="AD75" s="193">
        <f t="array" ref="AD75">SUM(AD11:AE11*AD24:AE24)/AD32</f>
        <v>0.37179817872618415</v>
      </c>
      <c r="AE75" s="138"/>
      <c r="AF75" s="193">
        <f t="array" ref="AF75">SUM(AF11:AG11*AF24:AG24)/AF32</f>
        <v>0.40864794529328996</v>
      </c>
      <c r="AG75" s="138"/>
      <c r="AH75" s="193">
        <f t="array" ref="AH75">SUM(AH11:AI11*AH24:AI24)/AH32</f>
        <v>0.45192163412483577</v>
      </c>
      <c r="AI75" s="138"/>
      <c r="AJ75" s="193">
        <f t="array" ref="AJ75">SUM(AJ11:AK11*AJ24:AK24)/AJ32</f>
        <v>0.5002014471523426</v>
      </c>
      <c r="AK75" s="138"/>
      <c r="AL75" s="193">
        <f t="array" ref="AL75">SUM(AL11:AM11*AL24:AM24)/AL32</f>
        <v>0.55324843682929858</v>
      </c>
      <c r="AM75" s="138"/>
      <c r="AN75" s="193">
        <f t="array" ref="AN75">SUM(AN11:AO11*AN24:AO24)/AN32</f>
        <v>0.63242822482529659</v>
      </c>
      <c r="AO75" s="138"/>
      <c r="AP75" s="193">
        <f t="array" ref="AP75">SUM(AP11:AQ11*AP24:AQ24)/AP32</f>
        <v>0.66016303787981556</v>
      </c>
      <c r="AQ75" s="138"/>
      <c r="AR75" s="193">
        <f t="array" ref="AR75">SUM(AR11:AS11*AR24:AS24)/AR32</f>
        <v>0.69936346418444784</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0.22301874374724862</v>
      </c>
      <c r="D76" s="193">
        <f t="array" ref="D76">SUM(D12:E12*D25:E25)/D32</f>
        <v>0.22209157760644557</v>
      </c>
      <c r="E76" s="138"/>
      <c r="F76" s="193">
        <f t="array" ref="F76">SUM(F12:G12*F25:G25)/F32</f>
        <v>0.22088060697911399</v>
      </c>
      <c r="G76" s="138"/>
      <c r="H76" s="193">
        <f t="array" ref="H76">SUM(H12:I12*H25:I25)/H32</f>
        <v>0.21931791855223123</v>
      </c>
      <c r="I76" s="138"/>
      <c r="J76" s="193">
        <f t="array" ref="J76">SUM(J12:K12*J25:K25)/J32</f>
        <v>0.21731696754000429</v>
      </c>
      <c r="K76" s="138"/>
      <c r="L76" s="193">
        <f t="array" ref="L76">SUM(L12:M12*L25:M25)/L32</f>
        <v>0.21476578688598286</v>
      </c>
      <c r="M76" s="138"/>
      <c r="N76" s="193">
        <f t="array" ref="N76">SUM(N12:O12*N25:O25)/N32</f>
        <v>0.2115193042714256</v>
      </c>
      <c r="O76" s="138"/>
      <c r="P76" s="193">
        <f t="array" ref="P76">SUM(P12:Q12*P25:Q25)/P32</f>
        <v>0.20738950566628794</v>
      </c>
      <c r="Q76" s="138"/>
      <c r="R76" s="193">
        <f t="array" ref="R76">SUM(R12:S12*R25:S25)/R32</f>
        <v>0.20213283621827041</v>
      </c>
      <c r="S76" s="138"/>
      <c r="T76" s="193">
        <f t="array" ref="T76">SUM(T12:U12*T25:U25)/T32</f>
        <v>0.19543615408718326</v>
      </c>
      <c r="U76" s="138"/>
      <c r="V76" s="193">
        <f t="array" ref="V76">SUM(V12:W12*V25:W25)/V32</f>
        <v>0.18690477255844984</v>
      </c>
      <c r="W76" s="138"/>
      <c r="X76" s="193">
        <f t="array" ref="X76">SUM(X12:Y12*X25:Y25)/X32</f>
        <v>0.17605952306267211</v>
      </c>
      <c r="Y76" s="138"/>
      <c r="Z76" s="193">
        <f t="array" ref="Z76">SUM(Z12:AA12*Z25:AA25)/Z32</f>
        <v>0.16235759130343361</v>
      </c>
      <c r="AA76" s="138"/>
      <c r="AB76" s="193">
        <f t="array" ref="AB76">SUM(AB12:AC12*AB25:AC25)/AB32</f>
        <v>0.14525688303299281</v>
      </c>
      <c r="AC76" s="138"/>
      <c r="AD76" s="193">
        <f t="array" ref="AD76">SUM(AD12:AE12*AD25:AE25)/AD32</f>
        <v>0.12433530429495689</v>
      </c>
      <c r="AE76" s="138"/>
      <c r="AF76" s="193">
        <f t="array" ref="AF76">SUM(AF12:AG12*AF25:AG25)/AF32</f>
        <v>9.9461762886030189E-2</v>
      </c>
      <c r="AG76" s="138"/>
      <c r="AH76" s="193">
        <f t="array" ref="AH76">SUM(AH12:AI12*AH25:AI25)/AH32</f>
        <v>7.1179299097370446E-2</v>
      </c>
      <c r="AI76" s="138"/>
      <c r="AJ76" s="193">
        <f t="array" ref="AJ76">SUM(AJ12:AK12*AJ25:AK25)/AJ32</f>
        <v>4.2114672036857197E-2</v>
      </c>
      <c r="AK76" s="138"/>
      <c r="AL76" s="193">
        <f t="array" ref="AL76">SUM(AL12:AM12*AL25:AM25)/AL32</f>
        <v>1.8245041793803037E-2</v>
      </c>
      <c r="AM76" s="138"/>
      <c r="AN76" s="193">
        <f t="array" ref="AN76">SUM(AN12:AO12*AN25:AO25)/AN32</f>
        <v>4.020886201126085E-3</v>
      </c>
      <c r="AO76" s="138"/>
      <c r="AP76" s="193">
        <f t="array" ref="AP76">SUM(AP12:AQ12*AP25:AQ25)/AP32</f>
        <v>2.4223585964816456E-3</v>
      </c>
      <c r="AQ76" s="138"/>
      <c r="AR76" s="193">
        <f t="array" ref="AR76">SUM(AR12:AS12*AR25:AS25)/AR32</f>
        <v>1.2404478084609993E-3</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0.14586087017236521</v>
      </c>
      <c r="D77" s="193">
        <f t="array" ref="D77">SUM(D4:E4*D19:E19)/D32</f>
        <v>0.1464637083132441</v>
      </c>
      <c r="E77" s="138"/>
      <c r="F77" s="193">
        <f t="array" ref="F77">SUM(F4:G4*F19:G19)/F32</f>
        <v>0.14718912389949868</v>
      </c>
      <c r="G77" s="138"/>
      <c r="H77" s="193">
        <f t="array" ref="H77">SUM(H4:I4*H19:I19)/H32</f>
        <v>0.14805755885086122</v>
      </c>
      <c r="I77" s="138"/>
      <c r="J77" s="193">
        <f t="array" ref="J77">SUM(J4:K4*J19:K19)/J32</f>
        <v>0.14909450952557202</v>
      </c>
      <c r="K77" s="138"/>
      <c r="L77" s="193">
        <f t="array" ref="L77">SUM(L4:M4*L19:M19)/L32</f>
        <v>0.15033262425031974</v>
      </c>
      <c r="M77" s="138"/>
      <c r="N77" s="193">
        <f t="array" ref="N77">SUM(N4:O4*N19:O19)/N32</f>
        <v>0.15181435492730155</v>
      </c>
      <c r="O77" s="138"/>
      <c r="P77" s="193">
        <f t="array" ref="P77">SUM(P4:Q4*P19:Q19)/P32</f>
        <v>0.15359575533562042</v>
      </c>
      <c r="Q77" s="138"/>
      <c r="R77" s="193">
        <f t="array" ref="R77">SUM(R4:S4*R19:S19)/R32</f>
        <v>0.15575216700630334</v>
      </c>
      <c r="S77" s="138"/>
      <c r="T77" s="193">
        <f t="array" ref="T77">SUM(T4:U4*T19:U19)/T32</f>
        <v>0.15838631288962285</v>
      </c>
      <c r="U77" s="138"/>
      <c r="V77" s="193">
        <f t="array" ref="V77">SUM(V4:W4*V19:W19)/V32</f>
        <v>0.16163880267996408</v>
      </c>
      <c r="W77" s="138"/>
      <c r="X77" s="193">
        <f t="array" ref="X77">SUM(X4:Y4*X19:Y19)/X32</f>
        <v>0.16570076424591818</v>
      </c>
      <c r="Y77" s="138"/>
      <c r="Z77" s="193">
        <f t="array" ref="Z77">SUM(Z4:AA4*Z19:AA19)/Z32</f>
        <v>0.17082420648799071</v>
      </c>
      <c r="AA77" s="138"/>
      <c r="AB77" s="193">
        <f t="array" ref="AB77">SUM(AB4:AC4*AB19:AC19)/AB32</f>
        <v>0.17731881498030355</v>
      </c>
      <c r="AC77" s="138"/>
      <c r="AD77" s="193">
        <f t="array" ref="AD77">SUM(AD4:AE4*AD19:AE19)/AD32</f>
        <v>0.18551205661877312</v>
      </c>
      <c r="AE77" s="138"/>
      <c r="AF77" s="193">
        <f t="array" ref="AF77">SUM(AF4:AG4*AF19:AG19)/AF32</f>
        <v>0.1956438649881776</v>
      </c>
      <c r="AG77" s="138"/>
      <c r="AH77" s="193">
        <f t="array" ref="AH77">SUM(AH4:AI4*AH19:AI19)/AH32</f>
        <v>0.20773780465494579</v>
      </c>
      <c r="AI77" s="138"/>
      <c r="AJ77" s="193">
        <f t="array" ref="AJ77">SUM(AJ4:AK4*AJ19:AK19)/AJ32</f>
        <v>0.22220936367423938</v>
      </c>
      <c r="AK77" s="138"/>
      <c r="AL77" s="193">
        <f t="array" ref="AL77">SUM(AL4:AM4*AL19:AM19)/AL32</f>
        <v>0.24431229406324589</v>
      </c>
      <c r="AM77" s="138"/>
      <c r="AN77" s="193">
        <f t="array" ref="AN77">SUM(AN4:AO4*AN19:AO19)/AN32</f>
        <v>0.29903207026732598</v>
      </c>
      <c r="AO77" s="138"/>
      <c r="AP77" s="193">
        <f t="array" ref="AP77">SUM(AP4:AQ4*AP19:AQ19)/AP32</f>
        <v>0.32219982244563672</v>
      </c>
      <c r="AQ77" s="138"/>
      <c r="AR77" s="193">
        <f t="array" ref="AR77">SUM(AR4:AS4*AR19:AS19)/AR32</f>
        <v>0.35644854785129743</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0.34629614597456704</v>
      </c>
      <c r="E78" s="138"/>
      <c r="F78" s="193">
        <f t="array" ref="F78">SUM(F13:G13*F26:G26)/F32</f>
        <v>0.34570030307267147</v>
      </c>
      <c r="G78" s="138"/>
      <c r="H78" s="193">
        <f t="array" ref="H78">SUM(H13:I13*H26:I26)/H32</f>
        <v>0.34510030573604755</v>
      </c>
      <c r="I78" s="138"/>
      <c r="J78" s="193">
        <f t="array" ref="J78">SUM(J13:K13*J26:K26)/J32</f>
        <v>0.3444964043865123</v>
      </c>
      <c r="K78" s="138"/>
      <c r="L78" s="193">
        <f t="array" ref="L78">SUM(L13:M13*L26:M26)/L32</f>
        <v>0.34388897990035328</v>
      </c>
      <c r="M78" s="138"/>
      <c r="N78" s="193">
        <f t="array" ref="N78">SUM(N13:O13*N26:O26)/N32</f>
        <v>0.34327852386188679</v>
      </c>
      <c r="O78" s="138"/>
      <c r="P78" s="193">
        <f t="array" ref="P78">SUM(P13:Q13*P26:Q26)/P32</f>
        <v>0.34266553517947623</v>
      </c>
      <c r="Q78" s="138"/>
      <c r="R78" s="193">
        <f t="array" ref="R78">SUM(R13:S13*R26:S26)/R32</f>
        <v>0.34205043557306442</v>
      </c>
      <c r="S78" s="138"/>
      <c r="T78" s="193">
        <f t="array" ref="T78">SUM(T13:U13*T26:U26)/T32</f>
        <v>0.34143338225395992</v>
      </c>
      <c r="U78" s="138"/>
      <c r="V78" s="193">
        <f t="array" ref="V78">SUM(V13:W13*V26:W26)/V32</f>
        <v>0.34081346592239964</v>
      </c>
      <c r="W78" s="138"/>
      <c r="X78" s="193">
        <f t="array" ref="X78">SUM(X13:Y13*X26:Y26)/X32</f>
        <v>0.34018710130976515</v>
      </c>
      <c r="Y78" s="138"/>
      <c r="Z78" s="193">
        <f t="array" ref="Z78">SUM(Z13:AA13*Z26:AA26)/Z32</f>
        <v>0.33954405188406767</v>
      </c>
      <c r="AA78" s="138"/>
      <c r="AB78" s="193">
        <f t="array" ref="AB78">SUM(AB13:AC13*AB26:AC26)/AB32</f>
        <v>0.33885828866340922</v>
      </c>
      <c r="AC78" s="138"/>
      <c r="AD78" s="193">
        <f t="array" ref="AD78">SUM(AD13:AE13*AD26:AE26)/AD32</f>
        <v>0.33806742144496182</v>
      </c>
      <c r="AE78" s="138"/>
      <c r="AF78" s="193">
        <f t="array" ref="AF78">SUM(AF13:AG13*AF26:AG26)/AF32</f>
        <v>0.337029074663657</v>
      </c>
      <c r="AG78" s="138"/>
      <c r="AH78" s="193">
        <f t="array" ref="AH78">SUM(AH13:AI13*AH26:AI26)/AH32</f>
        <v>0.33545022599777274</v>
      </c>
      <c r="AI78" s="138"/>
      <c r="AJ78" s="193">
        <f t="array" ref="AJ78">SUM(AJ13:AK13*AJ26:AK26)/AJ32</f>
        <v>0.33295407968413493</v>
      </c>
      <c r="AK78" s="138"/>
      <c r="AL78" s="193">
        <f t="array" ref="AL78">SUM(AL13:AM13*AL26:AM26)/AL32</f>
        <v>0.32983154117646374</v>
      </c>
      <c r="AM78" s="138"/>
      <c r="AN78" s="193">
        <f t="array" ref="AN78">SUM(AN13:AO13*AN26:AO26)/AN32</f>
        <v>0.32798016164669919</v>
      </c>
      <c r="AO78" s="138"/>
      <c r="AP78" s="193">
        <f t="array" ref="AP78">SUM(AP13:AQ13*AP26:AQ26)/AP32</f>
        <v>0.32825699171138328</v>
      </c>
      <c r="AQ78" s="138"/>
      <c r="AR78" s="193">
        <f t="array" ref="AR78">SUM(AR13:AS13*AR26:AS26)/AR32</f>
        <v>0.32915317800975297</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0.45460968782439326</v>
      </c>
      <c r="D79" s="193">
        <f t="array" ref="D79">SUM(D15:E15*D27:E27)/D32</f>
        <v>0.45362902835866009</v>
      </c>
      <c r="F79" s="193">
        <f t="array" ref="F79">SUM(F15:G15*F27:G27)/F32</f>
        <v>0.45266388821309672</v>
      </c>
      <c r="H79" s="193">
        <f t="array" ref="H79">SUM(H15:I15*H27:I27)/H32</f>
        <v>0.45171603930823084</v>
      </c>
      <c r="J79" s="193">
        <f t="array" ref="J79">SUM(J15:K15*J27:K27)/J32</f>
        <v>0.45078720827883845</v>
      </c>
      <c r="L79" s="193">
        <f t="array" ref="L79">SUM(L15:M15*L27:M27)/L32</f>
        <v>0.44987919516070118</v>
      </c>
      <c r="N79" s="193">
        <f t="array" ref="N79">SUM(N15:O15*N27:O27)/N32</f>
        <v>0.44899356836265192</v>
      </c>
      <c r="P79" s="193">
        <f t="array" ref="P79">SUM(P15:Q15*P27:Q27)/P32</f>
        <v>0.44813103130214732</v>
      </c>
      <c r="R79" s="193">
        <f t="array" ref="R79">SUM(R15:S15*R27:S27)/R32</f>
        <v>0.44729047734402122</v>
      </c>
      <c r="T79" s="193">
        <f t="array" ref="T79">SUM(T15:U15*T27:U27)/T32</f>
        <v>0.44646726232362005</v>
      </c>
      <c r="V79" s="193">
        <f t="array" ref="V79">SUM(V15:W15*V27:W27)/V32</f>
        <v>0.44564950744303755</v>
      </c>
      <c r="X79" s="193">
        <f t="array" ref="X79">SUM(X15:Y15*X27:Y27)/X32</f>
        <v>0.44481180241166529</v>
      </c>
      <c r="Z79" s="193">
        <f t="array" ref="Z79">SUM(Z15:AA15*Z27:AA27)/Z32</f>
        <v>0.44390369341678543</v>
      </c>
      <c r="AB79" s="193">
        <f t="array" ref="AB79">SUM(AB15:AC15*AB27:AC27)/AB32</f>
        <v>0.44282987106346028</v>
      </c>
      <c r="AD79" s="193">
        <f t="array" ref="AD79">SUM(AD15:AE15*AD27:AE27)/AD32</f>
        <v>0.44141617030792601</v>
      </c>
      <c r="AF79" s="193">
        <f t="array" ref="AF79">SUM(AF15:AG15*AF27:AG27)/AF32</f>
        <v>0.43934729076409784</v>
      </c>
      <c r="AH79" s="193">
        <f t="array" ref="AH79">SUM(AH15:AI15*AH27:AI27)/AH32</f>
        <v>0.43604446722342421</v>
      </c>
      <c r="AJ79" s="193">
        <f t="array" ref="AJ79">SUM(AJ15:AK15*AJ27:AK27)/AJ32</f>
        <v>0.43054677404219582</v>
      </c>
      <c r="AL79" s="193">
        <f t="array" ref="AL79">SUM(AL15:AM15*AL27:AM27)/AL32</f>
        <v>0.42173931386931895</v>
      </c>
      <c r="AN79" s="193">
        <f t="array" ref="AN79">SUM(AN15:AO15*AN27:AO27)/AN32</f>
        <v>0.40629228432128189</v>
      </c>
      <c r="AP79" s="193">
        <f t="array" ref="AP79">SUM(AP15:AQ15*AP27:AQ27)/AP32</f>
        <v>0.40098735922260642</v>
      </c>
      <c r="AR79" s="193">
        <f t="array" ref="AR79">SUM(AR15:AS15*AR27:AS27)/AR32</f>
        <v>0.39369832895999962</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0.20007484257096592</v>
      </c>
      <c r="F80" s="236">
        <f>F55</f>
        <v>0.20163581745141407</v>
      </c>
      <c r="H80" s="236">
        <f>H55</f>
        <v>0.20318369697023303</v>
      </c>
      <c r="J80" s="236">
        <f>J55</f>
        <v>0.2047164249836442</v>
      </c>
      <c r="L80" s="236">
        <f>L55</f>
        <v>0.20623182139400748</v>
      </c>
      <c r="N80" s="236">
        <f>N55</f>
        <v>0.20772790470302385</v>
      </c>
      <c r="P80" s="236">
        <f>P55</f>
        <v>0.20920345627595083</v>
      </c>
      <c r="R80" s="236">
        <f>R55</f>
        <v>0.21065908368156275</v>
      </c>
      <c r="T80" s="236">
        <f>T55</f>
        <v>0.21209936053476555</v>
      </c>
      <c r="V80" s="236">
        <f>V55</f>
        <v>0.21353703827113749</v>
      </c>
      <c r="X80" s="236">
        <f>X55</f>
        <v>0.21500110850539791</v>
      </c>
      <c r="Z80" s="236">
        <f>Z55</f>
        <v>0.21655225526073277</v>
      </c>
      <c r="AB80" s="236">
        <f>AB55</f>
        <v>0.21831184841786599</v>
      </c>
      <c r="AD80" s="236">
        <f>AD55</f>
        <v>0.22051640906473902</v>
      </c>
      <c r="AF80" s="236">
        <f>AF55</f>
        <v>0.22362363482843139</v>
      </c>
      <c r="AH80" s="236">
        <f>AH55</f>
        <v>0.22850530704116095</v>
      </c>
      <c r="AJ80" s="236">
        <f>AJ55</f>
        <v>0.23649914600224795</v>
      </c>
      <c r="AL80" s="236">
        <f>AL55</f>
        <v>0.24842914498086704</v>
      </c>
      <c r="AN80" s="236">
        <f>AN55</f>
        <v>0.26572755403170695</v>
      </c>
      <c r="AP80" s="236">
        <f>AP55</f>
        <v>0.27075564906584337</v>
      </c>
      <c r="AR80" s="236">
        <f>AR55</f>
        <v>0.27714849303036898</v>
      </c>
      <c r="AT80" s="236" t="e">
        <f>AT55</f>
        <v>#DIV/0!</v>
      </c>
      <c r="AV80" s="236" t="e">
        <f>AV55</f>
        <v>#DIV/0!</v>
      </c>
      <c r="XFD80" s="236"/>
    </row>
    <row r="81" spans="1:48 16384:16384" x14ac:dyDescent="0.2">
      <c r="A81" t="s">
        <v>191</v>
      </c>
      <c r="B81" s="236">
        <f>B51/B$32</f>
        <v>-2.7543485504603994E-2</v>
      </c>
      <c r="D81" s="236">
        <f>D51/D$32</f>
        <v>-2.5971361993458945E-2</v>
      </c>
      <c r="F81" s="236">
        <f>F51/F$32</f>
        <v>-2.4410387113010794E-2</v>
      </c>
      <c r="H81" s="236">
        <f>H51/H$32</f>
        <v>-2.2862507594191808E-2</v>
      </c>
      <c r="J81" s="236">
        <f>J51/J$32</f>
        <v>-2.1329779580780629E-2</v>
      </c>
      <c r="L81" s="236">
        <f>L51/L$32</f>
        <v>-1.9814383170417369E-2</v>
      </c>
      <c r="N81" s="236">
        <f>N51/N$32</f>
        <v>-1.8318299861401013E-2</v>
      </c>
      <c r="P81" s="236">
        <f>P51/P$32</f>
        <v>-1.684274828847401E-2</v>
      </c>
      <c r="R81" s="236">
        <f>R51/R$32</f>
        <v>-1.5387120882862083E-2</v>
      </c>
      <c r="T81" s="236">
        <f>T51/T$32</f>
        <v>-1.3946844029659271E-2</v>
      </c>
      <c r="V81" s="236">
        <f>V51/V$32</f>
        <v>-1.2509166293287351E-2</v>
      </c>
      <c r="X81" s="236">
        <f>X51/X$32</f>
        <v>-1.1045096059026874E-2</v>
      </c>
      <c r="Z81" s="236">
        <f>Z51/Z$32</f>
        <v>-9.4939493036920765E-3</v>
      </c>
      <c r="AB81" s="236">
        <f>AB51/AB$32</f>
        <v>-7.734356146558854E-3</v>
      </c>
      <c r="AD81" s="236">
        <f>AD51/AD$32</f>
        <v>-5.5297954996858219E-3</v>
      </c>
      <c r="AF81" s="236">
        <f>AF51/AF$32</f>
        <v>-2.4225697359934514E-3</v>
      </c>
      <c r="AH81" s="236">
        <f>AH51/AH$32</f>
        <v>2.4591024767361162E-3</v>
      </c>
      <c r="AJ81" s="236">
        <f>AJ51/AJ$32</f>
        <v>1.0452941437823089E-2</v>
      </c>
      <c r="AL81" s="236">
        <f>AL51/AL$32</f>
        <v>2.238294041644219E-2</v>
      </c>
      <c r="AN81" s="236">
        <f>AN51/AN$32</f>
        <v>3.9681349467282134E-2</v>
      </c>
      <c r="AP81" s="236">
        <f>AP51/AP$32</f>
        <v>4.470944450141854E-2</v>
      </c>
      <c r="AR81" s="236">
        <f>AR51/AR$32</f>
        <v>5.110228846594414E-2</v>
      </c>
      <c r="AT81" s="236" t="e">
        <f>AT51/AT$32</f>
        <v>#DIV/0!</v>
      </c>
      <c r="AV81" s="236" t="e">
        <f>AV51/AV$32</f>
        <v>#DIV/0!</v>
      </c>
      <c r="XFD81" s="236"/>
    </row>
    <row r="82" spans="1:48 16384:16384" x14ac:dyDescent="0.2">
      <c r="A82" t="s">
        <v>192</v>
      </c>
      <c r="B82" s="236">
        <f>B52/B$32</f>
        <v>0.13907860278212886</v>
      </c>
      <c r="D82" s="236">
        <f>D52/D$32</f>
        <v>0.13884147224286808</v>
      </c>
      <c r="F82" s="236">
        <f>F52/F$32</f>
        <v>0.13860257929910799</v>
      </c>
      <c r="H82" s="236">
        <f>H52/H$32</f>
        <v>0.1383620207063341</v>
      </c>
      <c r="J82" s="236">
        <f>J52/J$32</f>
        <v>0.1381198968668586</v>
      </c>
      <c r="L82" s="236">
        <f>L52/L$32</f>
        <v>0.13787636048646562</v>
      </c>
      <c r="N82" s="236">
        <f>N52/N$32</f>
        <v>0.13763160865741564</v>
      </c>
      <c r="P82" s="236">
        <f>P52/P$32</f>
        <v>0.13738584140841958</v>
      </c>
      <c r="R82" s="236">
        <f>R52/R$32</f>
        <v>0.13713922782082136</v>
      </c>
      <c r="T82" s="236">
        <f>T52/T$32</f>
        <v>0.13689183092578602</v>
      </c>
      <c r="V82" s="236">
        <f>V52/V$32</f>
        <v>0.13664328615524288</v>
      </c>
      <c r="X82" s="236">
        <f>X52/X$32</f>
        <v>0.13639215605752186</v>
      </c>
      <c r="Z82" s="236">
        <f>Z52/Z$32</f>
        <v>0.13613433647152123</v>
      </c>
      <c r="AB82" s="236">
        <f>AB52/AB$32</f>
        <v>0.13585939152548879</v>
      </c>
      <c r="AD82" s="236">
        <f>AD52/AD$32</f>
        <v>0.13554230694272842</v>
      </c>
      <c r="AF82" s="236">
        <f>AF52/AF$32</f>
        <v>0.13512599969388717</v>
      </c>
      <c r="AH82" s="236">
        <f>AH52/AH$32</f>
        <v>0.13449298752852465</v>
      </c>
      <c r="AJ82" s="236">
        <f>AJ52/AJ$32</f>
        <v>0.13349220067846096</v>
      </c>
      <c r="AL82" s="236">
        <f>AL52/AL$32</f>
        <v>0.13224027267238964</v>
      </c>
      <c r="AN82" s="236">
        <f>AN52/AN$32</f>
        <v>0.13149799395349307</v>
      </c>
      <c r="AP82" s="236">
        <f>AP52/AP$32</f>
        <v>0.13160898419750422</v>
      </c>
      <c r="AR82" s="236">
        <f>AR52/AR$32</f>
        <v>0.13196829465046742</v>
      </c>
      <c r="AT82" s="236" t="e">
        <f>AT52/AT$32</f>
        <v>#DIV/0!</v>
      </c>
      <c r="AV82" s="236" t="e">
        <f>AV52/AV$32</f>
        <v>#DIV/0!</v>
      </c>
    </row>
    <row r="83" spans="1:48 16384:16384" x14ac:dyDescent="0.2">
      <c r="A83" t="s">
        <v>193</v>
      </c>
      <c r="B83" s="236">
        <f>B53/B$32</f>
        <v>0.18600714462929399</v>
      </c>
      <c r="D83" s="236">
        <f>D53/D$32</f>
        <v>0.18560590006288877</v>
      </c>
      <c r="F83" s="236">
        <f>F53/F$32</f>
        <v>0.18521100534891446</v>
      </c>
      <c r="H83" s="236">
        <f>H53/H$32</f>
        <v>0.18482318548265109</v>
      </c>
      <c r="J83" s="236">
        <f>J53/J$32</f>
        <v>0.18444314693035543</v>
      </c>
      <c r="L83" s="236">
        <f>L53/L$32</f>
        <v>0.18407162619088563</v>
      </c>
      <c r="N83" s="236">
        <f>N53/N$32</f>
        <v>0.18370926499110415</v>
      </c>
      <c r="P83" s="236">
        <f>P53/P$32</f>
        <v>0.18335635113981952</v>
      </c>
      <c r="R83" s="236">
        <f>R53/R$32</f>
        <v>0.18301243184851249</v>
      </c>
      <c r="T83" s="236">
        <f>T53/T$32</f>
        <v>0.18267560692053178</v>
      </c>
      <c r="V83" s="236">
        <f>V53/V$32</f>
        <v>0.1823410160518863</v>
      </c>
      <c r="X83" s="236">
        <f>X53/X$32</f>
        <v>0.18199826242146358</v>
      </c>
      <c r="Z83" s="236">
        <f>Z53/Z$32</f>
        <v>0.18162670245326726</v>
      </c>
      <c r="AB83" s="236">
        <f>AB53/AB$32</f>
        <v>0.18118733955553182</v>
      </c>
      <c r="AD83" s="236">
        <f>AD53/AD$32</f>
        <v>0.18060891272491228</v>
      </c>
      <c r="AF83" s="236">
        <f>AF53/AF$32</f>
        <v>0.17976241431795775</v>
      </c>
      <c r="AH83" s="236">
        <f>AH53/AH$32</f>
        <v>0.17841103797805799</v>
      </c>
      <c r="AJ83" s="236">
        <f>AJ53/AJ$32</f>
        <v>0.1761616133879616</v>
      </c>
      <c r="AL83" s="236">
        <f>AL53/AL$32</f>
        <v>0.17255797149015434</v>
      </c>
      <c r="AN83" s="236">
        <f>AN53/AN$32</f>
        <v>0.16623769733808966</v>
      </c>
      <c r="AP83" s="236">
        <f>AP53/AP$32</f>
        <v>0.16406714533159994</v>
      </c>
      <c r="AR83" s="236">
        <f>AR53/AR$32</f>
        <v>0.16108478102530358</v>
      </c>
      <c r="AT83" s="236" t="e">
        <f>AT53/AT$32</f>
        <v>#DIV/0!</v>
      </c>
      <c r="AV83" s="236" t="e">
        <f>AV53/AV$32</f>
        <v>#DIV/0!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4"/>
  <dimension ref="A1:XFD83"/>
  <sheetViews>
    <sheetView workbookViewId="0">
      <pane xSplit="1" ySplit="1" topLeftCell="B51" activePane="bottomRight" state="frozen"/>
      <selection pane="topRight" activeCell="B1" sqref="B1"/>
      <selection pane="bottomLeft" activeCell="A2" sqref="A2"/>
      <selection pane="bottomRight" activeCell="AT54" sqref="A51:AT54"/>
    </sheetView>
  </sheetViews>
  <sheetFormatPr baseColWidth="10" defaultRowHeight="10" x14ac:dyDescent="0.2"/>
  <sheetData>
    <row r="1" spans="1:97"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c r="AX1" s="94"/>
      <c r="AZ1" s="94"/>
      <c r="BB1" s="94"/>
      <c r="BD1" s="94"/>
      <c r="BF1" s="94"/>
      <c r="BH1" s="94"/>
      <c r="BJ1" s="94"/>
      <c r="BL1" s="94"/>
      <c r="BN1" s="94"/>
      <c r="BP1" s="94"/>
      <c r="BR1" s="94"/>
      <c r="BT1" s="94"/>
      <c r="BV1" s="94"/>
      <c r="BX1" s="94"/>
      <c r="BZ1" s="94"/>
      <c r="CB1" s="94"/>
      <c r="CD1" s="94"/>
      <c r="CF1" s="94"/>
      <c r="CH1" s="94"/>
      <c r="CJ1" s="94"/>
      <c r="CL1" s="94"/>
      <c r="CN1" s="94"/>
      <c r="CP1" s="94"/>
      <c r="CR1" s="94"/>
    </row>
    <row r="2" spans="1:97" x14ac:dyDescent="0.2">
      <c r="A2" s="81" t="s">
        <v>155</v>
      </c>
      <c r="B2" s="95">
        <v>8.6827325972948285E-3</v>
      </c>
      <c r="C2" s="81"/>
      <c r="D2" s="95">
        <v>5.4995561909206597E-2</v>
      </c>
      <c r="E2" s="81"/>
      <c r="F2" s="95">
        <v>0.10590495885417066</v>
      </c>
      <c r="G2" s="81"/>
      <c r="H2" s="95">
        <v>0.16220408576695314</v>
      </c>
      <c r="I2" s="81"/>
      <c r="J2" s="95">
        <v>0.22489155262613042</v>
      </c>
      <c r="K2" s="81"/>
      <c r="L2" s="95">
        <v>0.2952482365843303</v>
      </c>
      <c r="M2" s="81"/>
      <c r="N2" s="95">
        <v>0.37495185091212635</v>
      </c>
      <c r="O2" s="81"/>
      <c r="P2" s="95">
        <v>0.46625336978538245</v>
      </c>
      <c r="Q2" s="81"/>
      <c r="R2" s="95">
        <v>0.57225880883340152</v>
      </c>
      <c r="S2" s="81"/>
      <c r="T2" s="95">
        <v>0.69740479658125121</v>
      </c>
      <c r="U2" s="81"/>
      <c r="V2" s="95">
        <v>0.84828183669145607</v>
      </c>
      <c r="W2" s="81"/>
      <c r="X2" s="95">
        <v>1.035158231149079</v>
      </c>
      <c r="Y2" s="81"/>
      <c r="Z2" s="95">
        <v>1.2749576073063682</v>
      </c>
      <c r="AA2" s="81"/>
      <c r="AB2" s="95">
        <v>1.597492736180363</v>
      </c>
      <c r="AC2" s="81"/>
      <c r="AD2" s="95">
        <v>2.0595297870258498</v>
      </c>
      <c r="AE2" s="81"/>
      <c r="AF2" s="95">
        <v>2.7790317446744317</v>
      </c>
      <c r="AG2" s="81"/>
      <c r="AH2" s="95">
        <v>4.0250992266236496</v>
      </c>
      <c r="AI2" s="81"/>
      <c r="AJ2" s="95">
        <v>6.4815483937825933</v>
      </c>
      <c r="AK2" s="81"/>
      <c r="AL2" s="95">
        <v>12.25655510876787</v>
      </c>
      <c r="AM2" s="81"/>
      <c r="AN2" s="95">
        <v>31.481870647785311</v>
      </c>
      <c r="AO2" s="81"/>
      <c r="AP2" s="95">
        <v>40.923779933765381</v>
      </c>
      <c r="AQ2" s="81"/>
      <c r="AR2" s="95">
        <v>55.683972901289032</v>
      </c>
      <c r="AS2" s="81"/>
      <c r="AT2" s="95">
        <v>81.094779006669967</v>
      </c>
      <c r="AU2" s="81"/>
      <c r="AV2" s="95">
        <v>132.20301626109219</v>
      </c>
      <c r="AW2" s="81"/>
      <c r="AX2" s="95"/>
      <c r="AZ2" s="95"/>
      <c r="BB2" s="95"/>
      <c r="BD2" s="95"/>
      <c r="BF2" s="95"/>
      <c r="BH2" s="95"/>
      <c r="BJ2" s="95"/>
      <c r="BL2" s="95"/>
      <c r="BN2" s="95"/>
      <c r="BP2" s="95"/>
      <c r="BR2" s="95"/>
      <c r="BT2" s="95"/>
      <c r="BV2" s="95"/>
      <c r="BX2" s="95"/>
      <c r="BZ2" s="95"/>
      <c r="CB2" s="95"/>
      <c r="CD2" s="95"/>
      <c r="CF2" s="95"/>
      <c r="CH2" s="95"/>
      <c r="CJ2" s="95"/>
      <c r="CL2" s="95"/>
      <c r="CN2" s="95"/>
      <c r="CP2" s="95"/>
      <c r="CR2" s="95"/>
    </row>
    <row r="3" spans="1:97" x14ac:dyDescent="0.2">
      <c r="A3" t="s">
        <v>12</v>
      </c>
      <c r="B3" s="84">
        <v>1000</v>
      </c>
      <c r="C3" s="85">
        <v>1000</v>
      </c>
      <c r="D3" s="84">
        <v>997.14372327780904</v>
      </c>
      <c r="E3" s="85">
        <v>1017.7961527932962</v>
      </c>
      <c r="F3" s="84">
        <v>994.28417791049253</v>
      </c>
      <c r="G3" s="85">
        <v>1037.8819813387163</v>
      </c>
      <c r="H3" s="84">
        <v>991.4194459434068</v>
      </c>
      <c r="I3" s="85">
        <v>1060.6746678751244</v>
      </c>
      <c r="J3" s="84">
        <v>988.54708399580204</v>
      </c>
      <c r="K3" s="85">
        <v>1086.6984776046306</v>
      </c>
      <c r="L3" s="84">
        <v>985.66434751316456</v>
      </c>
      <c r="M3" s="85">
        <v>1116.622983200984</v>
      </c>
      <c r="N3" s="84">
        <v>982.76868528787998</v>
      </c>
      <c r="O3" s="85">
        <v>1151.3193237623068</v>
      </c>
      <c r="P3" s="84">
        <v>979.85861582647169</v>
      </c>
      <c r="Q3" s="85">
        <v>1191.9442203430299</v>
      </c>
      <c r="R3" s="84">
        <v>976.93555566915791</v>
      </c>
      <c r="S3" s="85">
        <v>1240.0723418744224</v>
      </c>
      <c r="T3" s="84">
        <v>974.00725406450567</v>
      </c>
      <c r="U3" s="85">
        <v>1297.912618181349</v>
      </c>
      <c r="V3" s="84">
        <v>971.09412910185358</v>
      </c>
      <c r="W3" s="85">
        <v>1368.6745317972618</v>
      </c>
      <c r="X3" s="84">
        <v>968.24117033089954</v>
      </c>
      <c r="Y3" s="85">
        <v>1457.2261899253544</v>
      </c>
      <c r="Z3" s="84">
        <v>965.54010886607307</v>
      </c>
      <c r="AA3" s="85">
        <v>1571.3426460978085</v>
      </c>
      <c r="AB3" s="84">
        <v>963.1703584759739</v>
      </c>
      <c r="AC3" s="85">
        <v>1724.2366390334487</v>
      </c>
      <c r="AD3" s="84">
        <v>961.47061448728584</v>
      </c>
      <c r="AE3" s="85">
        <v>1940.071875763733</v>
      </c>
      <c r="AF3" s="84">
        <v>961.04024737577538</v>
      </c>
      <c r="AG3" s="85">
        <v>2266.9068544090451</v>
      </c>
      <c r="AH3" s="84">
        <v>962.7761454497504</v>
      </c>
      <c r="AI3" s="85">
        <v>2809.6040255054877</v>
      </c>
      <c r="AJ3" s="84">
        <v>967.51113156017345</v>
      </c>
      <c r="AK3" s="85">
        <v>3824.8994907832844</v>
      </c>
      <c r="AL3" s="84">
        <v>975.12943529750191</v>
      </c>
      <c r="AM3" s="85">
        <v>6088.3765923086612</v>
      </c>
      <c r="AN3" s="84">
        <v>984.66733140778535</v>
      </c>
      <c r="AO3" s="85">
        <v>13293.322262585707</v>
      </c>
      <c r="AP3" s="84">
        <v>986.8601167712128</v>
      </c>
      <c r="AQ3" s="85">
        <v>16771.380309975044</v>
      </c>
      <c r="AR3" s="84">
        <v>989.3017217926722</v>
      </c>
      <c r="AS3" s="85">
        <v>22175.959145506742</v>
      </c>
      <c r="AT3" s="84">
        <v>992.25792918498621</v>
      </c>
      <c r="AU3" s="85">
        <v>31430.181180897169</v>
      </c>
      <c r="AV3" s="84">
        <v>996.47204962446233</v>
      </c>
      <c r="AW3" s="85">
        <v>49958.206456102693</v>
      </c>
      <c r="AX3" s="84"/>
      <c r="AY3" s="85"/>
      <c r="AZ3" s="84"/>
      <c r="BA3" s="85"/>
      <c r="BB3" s="84"/>
      <c r="BC3" s="85"/>
      <c r="BD3" s="84"/>
      <c r="BE3" s="85"/>
      <c r="BF3" s="84"/>
      <c r="BG3" s="85"/>
      <c r="BH3" s="84"/>
      <c r="BI3" s="85"/>
      <c r="BJ3" s="84"/>
      <c r="BK3" s="85"/>
      <c r="BL3" s="84"/>
      <c r="BM3" s="85"/>
      <c r="BN3" s="84"/>
      <c r="BO3" s="85"/>
      <c r="BP3" s="84"/>
      <c r="BQ3" s="85"/>
      <c r="BR3" s="84"/>
      <c r="BS3" s="85"/>
      <c r="BT3" s="84"/>
      <c r="BU3" s="85"/>
      <c r="BV3" s="84"/>
      <c r="BW3" s="85"/>
      <c r="BX3" s="84"/>
      <c r="BY3" s="85"/>
      <c r="BZ3" s="84"/>
      <c r="CA3" s="85"/>
      <c r="CB3" s="84"/>
      <c r="CC3" s="85"/>
      <c r="CD3" s="84"/>
      <c r="CE3" s="85"/>
      <c r="CF3" s="84"/>
      <c r="CG3" s="85"/>
      <c r="CH3" s="84"/>
      <c r="CI3" s="85"/>
      <c r="CJ3" s="84"/>
      <c r="CK3" s="85"/>
      <c r="CL3" s="84"/>
      <c r="CM3" s="85"/>
      <c r="CN3" s="84"/>
      <c r="CO3" s="85"/>
      <c r="CP3" s="84"/>
      <c r="CQ3" s="85"/>
      <c r="CR3" s="84"/>
      <c r="CS3" s="85"/>
    </row>
    <row r="4" spans="1:97"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c r="AX4" s="59"/>
      <c r="AY4" s="60"/>
      <c r="AZ4" s="59"/>
      <c r="BA4" s="60"/>
      <c r="BB4" s="59"/>
      <c r="BC4" s="60"/>
      <c r="BD4" s="59"/>
      <c r="BE4" s="60"/>
      <c r="BF4" s="59"/>
      <c r="BG4" s="60"/>
      <c r="BH4" s="59"/>
      <c r="BI4" s="60"/>
      <c r="BJ4" s="59"/>
      <c r="BK4" s="60"/>
      <c r="BL4" s="59"/>
      <c r="BM4" s="60"/>
      <c r="BN4" s="59"/>
      <c r="BO4" s="60"/>
      <c r="BP4" s="59"/>
      <c r="BQ4" s="60"/>
      <c r="BR4" s="59"/>
      <c r="BS4" s="60"/>
      <c r="BT4" s="59"/>
      <c r="BU4" s="60"/>
      <c r="BV4" s="59"/>
      <c r="BW4" s="60"/>
      <c r="BX4" s="59"/>
      <c r="BY4" s="60"/>
      <c r="BZ4" s="59"/>
      <c r="CA4" s="60"/>
      <c r="CB4" s="59"/>
      <c r="CC4" s="60"/>
      <c r="CD4" s="59"/>
      <c r="CE4" s="60"/>
      <c r="CF4" s="59"/>
      <c r="CG4" s="60"/>
      <c r="CH4" s="59"/>
      <c r="CI4" s="60"/>
      <c r="CJ4" s="59"/>
      <c r="CK4" s="60"/>
      <c r="CL4" s="59"/>
      <c r="CM4" s="60"/>
      <c r="CN4" s="59"/>
      <c r="CO4" s="60"/>
      <c r="CP4" s="59"/>
      <c r="CQ4" s="60"/>
      <c r="CR4" s="59"/>
      <c r="CS4" s="60"/>
    </row>
    <row r="5" spans="1:97" x14ac:dyDescent="0.2">
      <c r="A5" t="s">
        <v>128</v>
      </c>
      <c r="B5" s="41">
        <v>1000</v>
      </c>
      <c r="C5" s="42">
        <v>1000</v>
      </c>
      <c r="D5" s="41">
        <v>996.99082399845292</v>
      </c>
      <c r="E5" s="42">
        <v>1016.3266274279071</v>
      </c>
      <c r="F5" s="41">
        <v>993.97506265331708</v>
      </c>
      <c r="G5" s="42">
        <v>1034.2765443930705</v>
      </c>
      <c r="H5" s="41">
        <v>990.9506495353321</v>
      </c>
      <c r="I5" s="42">
        <v>1054.050902330373</v>
      </c>
      <c r="J5" s="41">
        <v>987.91495280820084</v>
      </c>
      <c r="K5" s="42">
        <v>1075.8807996453907</v>
      </c>
      <c r="L5" s="41">
        <v>984.86500983069186</v>
      </c>
      <c r="M5" s="42">
        <v>1100.0316236368972</v>
      </c>
      <c r="N5" s="41">
        <v>981.79804895482539</v>
      </c>
      <c r="O5" s="42">
        <v>1126.8083530166016</v>
      </c>
      <c r="P5" s="41">
        <v>978.71242007789533</v>
      </c>
      <c r="Q5" s="42">
        <v>1156.558132045745</v>
      </c>
      <c r="R5" s="41">
        <v>975.60954223032184</v>
      </c>
      <c r="S5" s="42">
        <v>1189.673549054851</v>
      </c>
      <c r="T5" s="41">
        <v>972.49757319561331</v>
      </c>
      <c r="U5" s="42">
        <v>1226.5867520544143</v>
      </c>
      <c r="V5" s="41">
        <v>969.39819361228535</v>
      </c>
      <c r="W5" s="42">
        <v>1267.7540531644111</v>
      </c>
      <c r="X5" s="41">
        <v>966.35937055277043</v>
      </c>
      <c r="Y5" s="42">
        <v>1313.6090931163692</v>
      </c>
      <c r="Z5" s="41">
        <v>963.47915669625809</v>
      </c>
      <c r="AA5" s="42">
        <v>1364.4533071618557</v>
      </c>
      <c r="AB5" s="41">
        <v>960.94965408268399</v>
      </c>
      <c r="AC5" s="42">
        <v>1420.2082076925217</v>
      </c>
      <c r="AD5" s="41">
        <v>959.13383096118866</v>
      </c>
      <c r="AE5" s="42">
        <v>1479.8803931934303</v>
      </c>
      <c r="AF5" s="41">
        <v>958.67387406883631</v>
      </c>
      <c r="AG5" s="42">
        <v>1540.5386592609275</v>
      </c>
      <c r="AH5" s="41">
        <v>960.52863094841643</v>
      </c>
      <c r="AI5" s="42">
        <v>1595.9962257360105</v>
      </c>
      <c r="AJ5" s="41">
        <v>965.58121743869458</v>
      </c>
      <c r="AK5" s="42">
        <v>1637.4021858652916</v>
      </c>
      <c r="AL5" s="41">
        <v>973.69055883830742</v>
      </c>
      <c r="AM5" s="42">
        <v>1659.3670414460257</v>
      </c>
      <c r="AN5" s="41">
        <v>983.80939303856098</v>
      </c>
      <c r="AO5" s="42">
        <v>1666.1265225096988</v>
      </c>
      <c r="AP5" s="41">
        <v>986.13053797979546</v>
      </c>
      <c r="AQ5" s="42">
        <v>1666.4900689570652</v>
      </c>
      <c r="AR5" s="41">
        <v>988.71281733005696</v>
      </c>
      <c r="AS5" s="42">
        <v>1666.6948072398231</v>
      </c>
      <c r="AT5" s="41">
        <v>991.83620155374808</v>
      </c>
      <c r="AU5" s="42">
        <v>1666.796099998895</v>
      </c>
      <c r="AV5" s="41">
        <v>996.28274050827542</v>
      </c>
      <c r="AW5" s="42">
        <v>1666.8372911713345</v>
      </c>
      <c r="AX5" s="41"/>
      <c r="AY5" s="42"/>
      <c r="AZ5" s="41"/>
      <c r="BA5" s="42"/>
      <c r="BB5" s="41"/>
      <c r="BC5" s="42"/>
      <c r="BD5" s="41"/>
      <c r="BE5" s="42"/>
      <c r="BF5" s="41"/>
      <c r="BG5" s="42"/>
      <c r="BH5" s="41"/>
      <c r="BI5" s="42"/>
      <c r="BJ5" s="41"/>
      <c r="BK5" s="42"/>
      <c r="BL5" s="41"/>
      <c r="BM5" s="42"/>
      <c r="BN5" s="41"/>
      <c r="BO5" s="42"/>
      <c r="BP5" s="41"/>
      <c r="BQ5" s="42"/>
      <c r="BR5" s="41"/>
      <c r="BS5" s="42"/>
      <c r="BT5" s="41"/>
      <c r="BU5" s="42"/>
      <c r="BV5" s="41"/>
      <c r="BW5" s="42"/>
      <c r="BX5" s="41"/>
      <c r="BY5" s="42"/>
      <c r="BZ5" s="41"/>
      <c r="CA5" s="42"/>
      <c r="CB5" s="41"/>
      <c r="CC5" s="42"/>
      <c r="CD5" s="41"/>
      <c r="CE5" s="42"/>
      <c r="CF5" s="41"/>
      <c r="CG5" s="42"/>
      <c r="CH5" s="41"/>
      <c r="CI5" s="42"/>
      <c r="CJ5" s="41"/>
      <c r="CK5" s="42"/>
      <c r="CL5" s="41"/>
      <c r="CM5" s="42"/>
      <c r="CN5" s="41"/>
      <c r="CO5" s="42"/>
      <c r="CP5" s="41"/>
      <c r="CQ5" s="42"/>
      <c r="CR5" s="41"/>
      <c r="CS5" s="42"/>
    </row>
    <row r="6" spans="1:97" x14ac:dyDescent="0.2">
      <c r="A6" t="s">
        <v>77</v>
      </c>
      <c r="B6" s="41">
        <v>999.99999999999932</v>
      </c>
      <c r="C6" s="42">
        <v>1000.0000000000007</v>
      </c>
      <c r="D6" s="41">
        <v>996.80874383105891</v>
      </c>
      <c r="E6" s="42">
        <v>1021.0142795880407</v>
      </c>
      <c r="F6" s="41">
        <v>993.61167331084175</v>
      </c>
      <c r="G6" s="42">
        <v>1044.5800611719692</v>
      </c>
      <c r="H6" s="41">
        <v>990.4066056883305</v>
      </c>
      <c r="I6" s="42">
        <v>1071.1438569805737</v>
      </c>
      <c r="J6" s="41">
        <v>987.19076301723487</v>
      </c>
      <c r="K6" s="42">
        <v>1101.2651160161915</v>
      </c>
      <c r="L6" s="41">
        <v>983.96102114039934</v>
      </c>
      <c r="M6" s="42">
        <v>1135.6565743794711</v>
      </c>
      <c r="N6" s="41">
        <v>980.71446276465792</v>
      </c>
      <c r="O6" s="42">
        <v>1175.2436696464099</v>
      </c>
      <c r="P6" s="41">
        <v>977.44936148411705</v>
      </c>
      <c r="Q6" s="42">
        <v>1221.2532120175504</v>
      </c>
      <c r="R6" s="41">
        <v>974.1672395444657</v>
      </c>
      <c r="S6" s="42">
        <v>1275.3532369721761</v>
      </c>
      <c r="T6" s="41">
        <v>970.87674099839251</v>
      </c>
      <c r="U6" s="42">
        <v>1339.8816602428967</v>
      </c>
      <c r="V6" s="41">
        <v>967.60078748757803</v>
      </c>
      <c r="W6" s="42">
        <v>1418.233366793813</v>
      </c>
      <c r="X6" s="41">
        <v>964.39003478758775</v>
      </c>
      <c r="Y6" s="42">
        <v>1515.555704142432</v>
      </c>
      <c r="Z6" s="41">
        <v>961.34795601717565</v>
      </c>
      <c r="AA6" s="42">
        <v>1640.0673717105649</v>
      </c>
      <c r="AB6" s="41">
        <v>958.67717333435212</v>
      </c>
      <c r="AC6" s="42">
        <v>1805.7313514587954</v>
      </c>
      <c r="AD6" s="41">
        <v>956.76043567537613</v>
      </c>
      <c r="AE6" s="42">
        <v>2038.0763879930498</v>
      </c>
      <c r="AF6" s="41">
        <v>956.27498353951944</v>
      </c>
      <c r="AG6" s="42">
        <v>2387.8641229680356</v>
      </c>
      <c r="AH6" s="41">
        <v>958.23271426344866</v>
      </c>
      <c r="AI6" s="42">
        <v>2965.8552762854056</v>
      </c>
      <c r="AJ6" s="41">
        <v>963.56804565656171</v>
      </c>
      <c r="AK6" s="42">
        <v>4043.35565806462</v>
      </c>
      <c r="AL6" s="41">
        <v>972.13801993178913</v>
      </c>
      <c r="AM6" s="42">
        <v>6440.612346575218</v>
      </c>
      <c r="AN6" s="41">
        <v>982.84345244109329</v>
      </c>
      <c r="AO6" s="42">
        <v>14065.318821956978</v>
      </c>
      <c r="AP6" s="41">
        <v>985.3010091510622</v>
      </c>
      <c r="AQ6" s="42">
        <v>17745.558676468107</v>
      </c>
      <c r="AR6" s="41">
        <v>988.0358601459925</v>
      </c>
      <c r="AS6" s="42">
        <v>23464.213196971454</v>
      </c>
      <c r="AT6" s="41">
        <v>991.3449318242192</v>
      </c>
      <c r="AU6" s="42">
        <v>33256.137707156013</v>
      </c>
      <c r="AV6" s="41">
        <v>996.057984949927</v>
      </c>
      <c r="AW6" s="42">
        <v>52860.626908508217</v>
      </c>
      <c r="AX6" s="41"/>
      <c r="AY6" s="42"/>
      <c r="AZ6" s="41"/>
      <c r="BA6" s="42"/>
      <c r="BB6" s="41"/>
      <c r="BC6" s="42"/>
      <c r="BD6" s="41"/>
      <c r="BE6" s="42"/>
      <c r="BF6" s="41"/>
      <c r="BG6" s="42"/>
      <c r="BH6" s="41"/>
      <c r="BI6" s="42"/>
      <c r="BJ6" s="41"/>
      <c r="BK6" s="42"/>
      <c r="BL6" s="41"/>
      <c r="BM6" s="42"/>
      <c r="BN6" s="41"/>
      <c r="BO6" s="42"/>
      <c r="BP6" s="41"/>
      <c r="BQ6" s="42"/>
      <c r="BR6" s="41"/>
      <c r="BS6" s="42"/>
      <c r="BT6" s="41"/>
      <c r="BU6" s="42"/>
      <c r="BV6" s="41"/>
      <c r="BW6" s="42"/>
      <c r="BX6" s="41"/>
      <c r="BY6" s="42"/>
      <c r="BZ6" s="41"/>
      <c r="CA6" s="42"/>
      <c r="CB6" s="41"/>
      <c r="CC6" s="42"/>
      <c r="CD6" s="41"/>
      <c r="CE6" s="42"/>
      <c r="CF6" s="41"/>
      <c r="CG6" s="42"/>
      <c r="CH6" s="41"/>
      <c r="CI6" s="42"/>
      <c r="CJ6" s="41"/>
      <c r="CK6" s="42"/>
      <c r="CL6" s="41"/>
      <c r="CM6" s="42"/>
      <c r="CN6" s="41"/>
      <c r="CO6" s="42"/>
      <c r="CP6" s="41"/>
      <c r="CQ6" s="42"/>
      <c r="CR6" s="41"/>
      <c r="CS6" s="42"/>
    </row>
    <row r="7" spans="1:97" x14ac:dyDescent="0.2">
      <c r="A7" t="s">
        <v>13</v>
      </c>
      <c r="B7" s="33">
        <v>1016.8034022777628</v>
      </c>
      <c r="C7" s="34">
        <v>1016.8034022777628</v>
      </c>
      <c r="D7" s="33">
        <v>1013.7436618813372</v>
      </c>
      <c r="E7" s="34">
        <v>1013.7436618813372</v>
      </c>
      <c r="F7" s="33">
        <v>1010.6772254851452</v>
      </c>
      <c r="G7" s="34">
        <v>1010.6772254851452</v>
      </c>
      <c r="H7" s="33">
        <v>1007.6019919368846</v>
      </c>
      <c r="I7" s="34">
        <v>1007.6019919368846</v>
      </c>
      <c r="J7" s="33">
        <v>1004.5152851764541</v>
      </c>
      <c r="K7" s="34">
        <v>1004.5152851764541</v>
      </c>
      <c r="L7" s="33">
        <v>1001.4140927801698</v>
      </c>
      <c r="M7" s="34">
        <v>1001.4140927801698</v>
      </c>
      <c r="N7" s="33">
        <v>998.29559652693592</v>
      </c>
      <c r="O7" s="34">
        <v>998.29559652693592</v>
      </c>
      <c r="P7" s="33">
        <v>995.15811858670691</v>
      </c>
      <c r="Q7" s="34">
        <v>995.15811858670691</v>
      </c>
      <c r="R7" s="33">
        <v>992.00310183444196</v>
      </c>
      <c r="S7" s="34">
        <v>992.00310183444196</v>
      </c>
      <c r="T7" s="33">
        <v>988.8388411321672</v>
      </c>
      <c r="U7" s="34">
        <v>988.8388411321672</v>
      </c>
      <c r="V7" s="33">
        <v>985.68738142688915</v>
      </c>
      <c r="W7" s="34">
        <v>985.68738142688915</v>
      </c>
      <c r="X7" s="33">
        <v>982.59749580105427</v>
      </c>
      <c r="Y7" s="34">
        <v>982.59749580105427</v>
      </c>
      <c r="Z7" s="33">
        <v>979.66888455246499</v>
      </c>
      <c r="AA7" s="34">
        <v>979.66888455246499</v>
      </c>
      <c r="AB7" s="33">
        <v>977.09687768891229</v>
      </c>
      <c r="AC7" s="34">
        <v>977.09687768891229</v>
      </c>
      <c r="AD7" s="33">
        <v>975.25054256104124</v>
      </c>
      <c r="AE7" s="34">
        <v>975.25054256104124</v>
      </c>
      <c r="AF7" s="33">
        <v>974.78285682799628</v>
      </c>
      <c r="AG7" s="34">
        <v>974.78285682799628</v>
      </c>
      <c r="AH7" s="33">
        <v>976.66877993355138</v>
      </c>
      <c r="AI7" s="34">
        <v>976.66877993355138</v>
      </c>
      <c r="AJ7" s="33">
        <v>981.80626706716885</v>
      </c>
      <c r="AK7" s="34">
        <v>981.80626706716885</v>
      </c>
      <c r="AL7" s="33">
        <v>990.05187299252714</v>
      </c>
      <c r="AM7" s="34">
        <v>990.05187299252714</v>
      </c>
      <c r="AN7" s="33">
        <v>1000.3407380344296</v>
      </c>
      <c r="AO7" s="34">
        <v>1000.3407380344296</v>
      </c>
      <c r="AP7" s="33">
        <v>1002.7008861078566</v>
      </c>
      <c r="AQ7" s="34">
        <v>1002.7008861078566</v>
      </c>
      <c r="AR7" s="33">
        <v>1005.3265565368341</v>
      </c>
      <c r="AS7" s="34">
        <v>1005.3265565368341</v>
      </c>
      <c r="AT7" s="33">
        <v>1008.5024242421039</v>
      </c>
      <c r="AU7" s="34">
        <v>1008.5024242421039</v>
      </c>
      <c r="AV7" s="33">
        <v>1013.023680179428</v>
      </c>
      <c r="AW7" s="34">
        <v>1013.023680179428</v>
      </c>
      <c r="AX7" s="33"/>
      <c r="AY7" s="34"/>
      <c r="AZ7" s="33"/>
      <c r="BA7" s="34"/>
      <c r="BB7" s="33"/>
      <c r="BC7" s="34"/>
      <c r="BD7" s="33"/>
      <c r="BE7" s="34"/>
      <c r="BF7" s="33"/>
      <c r="BG7" s="34"/>
      <c r="BH7" s="33"/>
      <c r="BI7" s="34"/>
      <c r="BJ7" s="33"/>
      <c r="BK7" s="34"/>
      <c r="BL7" s="33"/>
      <c r="BM7" s="34"/>
      <c r="BN7" s="33"/>
      <c r="BO7" s="34"/>
      <c r="BP7" s="33"/>
      <c r="BQ7" s="34"/>
      <c r="BR7" s="33"/>
      <c r="BS7" s="34"/>
      <c r="BT7" s="33"/>
      <c r="BU7" s="34"/>
      <c r="BV7" s="33"/>
      <c r="BW7" s="34"/>
      <c r="BX7" s="33"/>
      <c r="BY7" s="34"/>
      <c r="BZ7" s="33"/>
      <c r="CA7" s="34"/>
      <c r="CB7" s="33"/>
      <c r="CC7" s="34"/>
      <c r="CD7" s="33"/>
      <c r="CE7" s="34"/>
      <c r="CF7" s="33"/>
      <c r="CG7" s="34"/>
      <c r="CH7" s="33"/>
      <c r="CI7" s="34"/>
      <c r="CJ7" s="33"/>
      <c r="CK7" s="34"/>
      <c r="CL7" s="33"/>
      <c r="CM7" s="34"/>
      <c r="CN7" s="33"/>
      <c r="CO7" s="34"/>
      <c r="CP7" s="33"/>
      <c r="CQ7" s="34"/>
      <c r="CR7" s="33"/>
      <c r="CS7" s="34"/>
    </row>
    <row r="8" spans="1:97" x14ac:dyDescent="0.2">
      <c r="B8" s="35">
        <v>1008.6827325972949</v>
      </c>
      <c r="C8" s="36">
        <v>1008.6827325972949</v>
      </c>
      <c r="D8" s="35">
        <v>1072.2200813865936</v>
      </c>
      <c r="E8" s="36">
        <v>1072.2200813865936</v>
      </c>
      <c r="F8" s="35">
        <v>1143.8115592708525</v>
      </c>
      <c r="G8" s="36">
        <v>1143.8115592708525</v>
      </c>
      <c r="H8" s="35">
        <v>1225.0222652947032</v>
      </c>
      <c r="I8" s="36">
        <v>1225.0222652947032</v>
      </c>
      <c r="J8" s="35">
        <v>1317.8373031182853</v>
      </c>
      <c r="K8" s="36">
        <v>1317.8373031182853</v>
      </c>
      <c r="L8" s="35">
        <v>1424.8140207026888</v>
      </c>
      <c r="M8" s="36">
        <v>1424.8140207026888</v>
      </c>
      <c r="N8" s="35">
        <v>1549.307230603421</v>
      </c>
      <c r="O8" s="36">
        <v>1549.307230603421</v>
      </c>
      <c r="P8" s="35">
        <v>1695.8072584647607</v>
      </c>
      <c r="Q8" s="36">
        <v>1695.8072584647607</v>
      </c>
      <c r="R8" s="35">
        <v>1870.4747171375855</v>
      </c>
      <c r="S8" s="36">
        <v>1870.4747171375855</v>
      </c>
      <c r="T8" s="35">
        <v>2082.0142363601808</v>
      </c>
      <c r="U8" s="36">
        <v>2082.0142363601808</v>
      </c>
      <c r="V8" s="35">
        <v>2343.1667898557557</v>
      </c>
      <c r="W8" s="36">
        <v>2343.1667898557557</v>
      </c>
      <c r="X8" s="35">
        <v>2673.402358368056</v>
      </c>
      <c r="Y8" s="36">
        <v>2673.402358368056</v>
      </c>
      <c r="Z8" s="35">
        <v>3104.0734309421969</v>
      </c>
      <c r="AA8" s="36">
        <v>3104.0734309421969</v>
      </c>
      <c r="AB8" s="35">
        <v>3688.9805033450571</v>
      </c>
      <c r="AC8" s="36">
        <v>3688.9805033450571</v>
      </c>
      <c r="AD8" s="35">
        <v>4527.7381442108272</v>
      </c>
      <c r="AE8" s="36">
        <v>4527.7381442108272</v>
      </c>
      <c r="AF8" s="35">
        <v>5821.7444972452331</v>
      </c>
      <c r="AG8" s="36">
        <v>5821.7444972452331</v>
      </c>
      <c r="AH8" s="35">
        <v>8020.03939964029</v>
      </c>
      <c r="AI8" s="36">
        <v>8020.03939964029</v>
      </c>
      <c r="AJ8" s="35">
        <v>12250.303693636579</v>
      </c>
      <c r="AK8" s="36">
        <v>12250.303693636579</v>
      </c>
      <c r="AL8" s="35">
        <v>21997.490630602337</v>
      </c>
      <c r="AM8" s="36">
        <v>21997.490630602337</v>
      </c>
      <c r="AN8" s="35">
        <v>54118.906187004402</v>
      </c>
      <c r="AO8" s="36">
        <v>54118.906187004402</v>
      </c>
      <c r="AP8" s="35">
        <v>69865.562912761496</v>
      </c>
      <c r="AQ8" s="36">
        <v>69865.562912761496</v>
      </c>
      <c r="AR8" s="35">
        <v>94474.88328830128</v>
      </c>
      <c r="AS8" s="36">
        <v>94474.88328830128</v>
      </c>
      <c r="AT8" s="35">
        <v>136835.25747858867</v>
      </c>
      <c r="AU8" s="36">
        <v>136835.25747858867</v>
      </c>
      <c r="AV8" s="35">
        <v>222027.75480049013</v>
      </c>
      <c r="AW8" s="36">
        <v>222027.75480049013</v>
      </c>
      <c r="AX8" s="35"/>
      <c r="AY8" s="36"/>
      <c r="AZ8" s="35"/>
      <c r="BA8" s="36"/>
      <c r="BB8" s="35"/>
      <c r="BC8" s="36"/>
      <c r="BD8" s="35"/>
      <c r="BE8" s="36"/>
      <c r="BF8" s="35"/>
      <c r="BG8" s="36"/>
      <c r="BH8" s="35"/>
      <c r="BI8" s="36"/>
      <c r="BJ8" s="35"/>
      <c r="BK8" s="36"/>
      <c r="BL8" s="35"/>
      <c r="BM8" s="36"/>
      <c r="BN8" s="35"/>
      <c r="BO8" s="36"/>
      <c r="BP8" s="35"/>
      <c r="BQ8" s="36"/>
      <c r="BR8" s="35"/>
      <c r="BS8" s="36"/>
      <c r="BT8" s="35"/>
      <c r="BU8" s="36"/>
      <c r="BV8" s="35"/>
      <c r="BW8" s="36"/>
      <c r="BX8" s="35"/>
      <c r="BY8" s="36"/>
      <c r="BZ8" s="35"/>
      <c r="CA8" s="36"/>
      <c r="CB8" s="35"/>
      <c r="CC8" s="36"/>
      <c r="CD8" s="35"/>
      <c r="CE8" s="36"/>
      <c r="CF8" s="35"/>
      <c r="CG8" s="36"/>
      <c r="CH8" s="35"/>
      <c r="CI8" s="36"/>
      <c r="CJ8" s="35"/>
      <c r="CK8" s="36"/>
      <c r="CL8" s="35"/>
      <c r="CM8" s="36"/>
      <c r="CN8" s="35"/>
      <c r="CO8" s="36"/>
      <c r="CP8" s="35"/>
      <c r="CQ8" s="36"/>
      <c r="CR8" s="35"/>
      <c r="CS8" s="36"/>
    </row>
    <row r="9" spans="1:97" x14ac:dyDescent="0.2">
      <c r="A9" t="s">
        <v>14</v>
      </c>
      <c r="B9" s="41">
        <v>1016.8034022777628</v>
      </c>
      <c r="C9" s="42">
        <v>1008.6827325972949</v>
      </c>
      <c r="D9" s="41">
        <v>1013.7436618813372</v>
      </c>
      <c r="E9" s="42">
        <v>1072.2200813865936</v>
      </c>
      <c r="F9" s="41">
        <v>1010.6772254851452</v>
      </c>
      <c r="G9" s="42">
        <v>1143.8115592708525</v>
      </c>
      <c r="H9" s="41">
        <v>1007.6019919368846</v>
      </c>
      <c r="I9" s="42">
        <v>1225.0222652947032</v>
      </c>
      <c r="J9" s="41">
        <v>1004.5152851764541</v>
      </c>
      <c r="K9" s="42">
        <v>1317.8373031182853</v>
      </c>
      <c r="L9" s="41">
        <v>1001.4140927801698</v>
      </c>
      <c r="M9" s="42">
        <v>1424.8140207026888</v>
      </c>
      <c r="N9" s="41">
        <v>998.29559652693592</v>
      </c>
      <c r="O9" s="42">
        <v>1549.307230603421</v>
      </c>
      <c r="P9" s="41">
        <v>995.15811858670691</v>
      </c>
      <c r="Q9" s="42">
        <v>1695.8072584647607</v>
      </c>
      <c r="R9" s="41">
        <v>992.00310183444196</v>
      </c>
      <c r="S9" s="42">
        <v>1870.4747171375855</v>
      </c>
      <c r="T9" s="41">
        <v>988.8388411321672</v>
      </c>
      <c r="U9" s="42">
        <v>2082.0142363601808</v>
      </c>
      <c r="V9" s="41">
        <v>985.68738142688915</v>
      </c>
      <c r="W9" s="42">
        <v>2343.1667898557557</v>
      </c>
      <c r="X9" s="41">
        <v>982.59749580105427</v>
      </c>
      <c r="Y9" s="42">
        <v>2673.402358368056</v>
      </c>
      <c r="Z9" s="41">
        <v>979.66888455246499</v>
      </c>
      <c r="AA9" s="42">
        <v>3104.0734309421969</v>
      </c>
      <c r="AB9" s="41">
        <v>977.09687768891229</v>
      </c>
      <c r="AC9" s="42">
        <v>3688.9805033450571</v>
      </c>
      <c r="AD9" s="41">
        <v>975.25054256104124</v>
      </c>
      <c r="AE9" s="42">
        <v>4527.7381442108272</v>
      </c>
      <c r="AF9" s="41">
        <v>974.78285682799628</v>
      </c>
      <c r="AG9" s="42">
        <v>5821.7444972452331</v>
      </c>
      <c r="AH9" s="41">
        <v>976.66877993355138</v>
      </c>
      <c r="AI9" s="42">
        <v>8020.03939964029</v>
      </c>
      <c r="AJ9" s="41">
        <v>981.80626706716885</v>
      </c>
      <c r="AK9" s="42">
        <v>12250.303693636579</v>
      </c>
      <c r="AL9" s="41">
        <v>990.05187299252714</v>
      </c>
      <c r="AM9" s="42">
        <v>21997.490630602337</v>
      </c>
      <c r="AN9" s="41">
        <v>1000.3407380344296</v>
      </c>
      <c r="AO9" s="42">
        <v>54118.906187004402</v>
      </c>
      <c r="AP9" s="41">
        <v>1002.7008861078566</v>
      </c>
      <c r="AQ9" s="42">
        <v>69865.562912761496</v>
      </c>
      <c r="AR9" s="41">
        <v>1005.3265565368341</v>
      </c>
      <c r="AS9" s="42">
        <v>94474.88328830128</v>
      </c>
      <c r="AT9" s="41">
        <v>1008.5024242421039</v>
      </c>
      <c r="AU9" s="42">
        <v>136835.25747858867</v>
      </c>
      <c r="AV9" s="41">
        <v>1013.023680179428</v>
      </c>
      <c r="AW9" s="42">
        <v>222027.75480049013</v>
      </c>
      <c r="AX9" s="41"/>
      <c r="AY9" s="42"/>
      <c r="AZ9" s="41"/>
      <c r="BA9" s="42"/>
      <c r="BB9" s="41"/>
      <c r="BC9" s="42"/>
      <c r="BD9" s="41"/>
      <c r="BE9" s="42"/>
      <c r="BF9" s="41"/>
      <c r="BG9" s="42"/>
      <c r="BH9" s="41"/>
      <c r="BI9" s="42"/>
      <c r="BJ9" s="41"/>
      <c r="BK9" s="42"/>
      <c r="BL9" s="41"/>
      <c r="BM9" s="42"/>
      <c r="BN9" s="41"/>
      <c r="BO9" s="42"/>
      <c r="BP9" s="41"/>
      <c r="BQ9" s="42"/>
      <c r="BR9" s="41"/>
      <c r="BS9" s="42"/>
      <c r="BT9" s="41"/>
      <c r="BU9" s="42"/>
      <c r="BV9" s="41"/>
      <c r="BW9" s="42"/>
      <c r="BX9" s="41"/>
      <c r="BY9" s="42"/>
      <c r="BZ9" s="41"/>
      <c r="CA9" s="42"/>
      <c r="CB9" s="41"/>
      <c r="CC9" s="42"/>
      <c r="CD9" s="41"/>
      <c r="CE9" s="42"/>
      <c r="CF9" s="41"/>
      <c r="CG9" s="42"/>
      <c r="CH9" s="41"/>
      <c r="CI9" s="42"/>
      <c r="CJ9" s="41"/>
      <c r="CK9" s="42"/>
      <c r="CL9" s="41"/>
      <c r="CM9" s="42"/>
      <c r="CN9" s="41"/>
      <c r="CO9" s="42"/>
      <c r="CP9" s="41"/>
      <c r="CQ9" s="42"/>
      <c r="CR9" s="41"/>
      <c r="CS9" s="42"/>
    </row>
    <row r="10" spans="1:97" x14ac:dyDescent="0.2">
      <c r="A10" t="s">
        <v>15</v>
      </c>
      <c r="B10" s="41">
        <v>1016.8034022777628</v>
      </c>
      <c r="C10" s="42">
        <v>1008.6827325972949</v>
      </c>
      <c r="D10" s="41">
        <v>1013.7436618813372</v>
      </c>
      <c r="E10" s="42">
        <v>1072.2200813865936</v>
      </c>
      <c r="F10" s="41">
        <v>1010.6772254851452</v>
      </c>
      <c r="G10" s="42">
        <v>1143.8115592708525</v>
      </c>
      <c r="H10" s="41">
        <v>1007.6019919368846</v>
      </c>
      <c r="I10" s="42">
        <v>1225.0222652947032</v>
      </c>
      <c r="J10" s="41">
        <v>1004.5152851764541</v>
      </c>
      <c r="K10" s="42">
        <v>1317.8373031182853</v>
      </c>
      <c r="L10" s="41">
        <v>1001.4140927801698</v>
      </c>
      <c r="M10" s="42">
        <v>1424.8140207026888</v>
      </c>
      <c r="N10" s="41">
        <v>998.29559652693592</v>
      </c>
      <c r="O10" s="42">
        <v>1549.307230603421</v>
      </c>
      <c r="P10" s="41">
        <v>995.15811858670691</v>
      </c>
      <c r="Q10" s="42">
        <v>1695.8072584647607</v>
      </c>
      <c r="R10" s="41">
        <v>992.00310183444196</v>
      </c>
      <c r="S10" s="42">
        <v>1870.4747171375855</v>
      </c>
      <c r="T10" s="41">
        <v>988.8388411321672</v>
      </c>
      <c r="U10" s="42">
        <v>2082.0142363601808</v>
      </c>
      <c r="V10" s="41">
        <v>985.68738142688915</v>
      </c>
      <c r="W10" s="42">
        <v>2343.1667898557557</v>
      </c>
      <c r="X10" s="41">
        <v>982.59749580105427</v>
      </c>
      <c r="Y10" s="42">
        <v>2673.402358368056</v>
      </c>
      <c r="Z10" s="41">
        <v>979.66888455246499</v>
      </c>
      <c r="AA10" s="42">
        <v>3104.0734309421969</v>
      </c>
      <c r="AB10" s="41">
        <v>977.09687768891229</v>
      </c>
      <c r="AC10" s="42">
        <v>3688.9805033450571</v>
      </c>
      <c r="AD10" s="41">
        <v>975.25054256104124</v>
      </c>
      <c r="AE10" s="42">
        <v>4527.7381442108272</v>
      </c>
      <c r="AF10" s="41">
        <v>974.78285682799628</v>
      </c>
      <c r="AG10" s="42">
        <v>5821.7444972452331</v>
      </c>
      <c r="AH10" s="41">
        <v>976.66877993355138</v>
      </c>
      <c r="AI10" s="42">
        <v>8020.03939964029</v>
      </c>
      <c r="AJ10" s="41">
        <v>981.80626706716885</v>
      </c>
      <c r="AK10" s="42">
        <v>12250.303693636579</v>
      </c>
      <c r="AL10" s="41">
        <v>990.05187299252714</v>
      </c>
      <c r="AM10" s="42">
        <v>21997.490630602337</v>
      </c>
      <c r="AN10" s="41">
        <v>1000.3407380344296</v>
      </c>
      <c r="AO10" s="42">
        <v>54118.906187004402</v>
      </c>
      <c r="AP10" s="41">
        <v>1002.7008861078566</v>
      </c>
      <c r="AQ10" s="42">
        <v>69865.562912761496</v>
      </c>
      <c r="AR10" s="41">
        <v>1005.3265565368341</v>
      </c>
      <c r="AS10" s="42">
        <v>94474.88328830128</v>
      </c>
      <c r="AT10" s="41">
        <v>1008.5024242421039</v>
      </c>
      <c r="AU10" s="42">
        <v>136835.25747858867</v>
      </c>
      <c r="AV10" s="41">
        <v>1013.023680179428</v>
      </c>
      <c r="AW10" s="42">
        <v>222027.75480049013</v>
      </c>
      <c r="AX10" s="41"/>
      <c r="AY10" s="42"/>
      <c r="AZ10" s="41"/>
      <c r="BA10" s="42"/>
      <c r="BB10" s="41"/>
      <c r="BC10" s="42"/>
      <c r="BD10" s="41"/>
      <c r="BE10" s="42"/>
      <c r="BF10" s="41"/>
      <c r="BG10" s="42"/>
      <c r="BH10" s="41"/>
      <c r="BI10" s="42"/>
      <c r="BJ10" s="41"/>
      <c r="BK10" s="42"/>
      <c r="BL10" s="41"/>
      <c r="BM10" s="42"/>
      <c r="BN10" s="41"/>
      <c r="BO10" s="42"/>
      <c r="BP10" s="41"/>
      <c r="BQ10" s="42"/>
      <c r="BR10" s="41"/>
      <c r="BS10" s="42"/>
      <c r="BT10" s="41"/>
      <c r="BU10" s="42"/>
      <c r="BV10" s="41"/>
      <c r="BW10" s="42"/>
      <c r="BX10" s="41"/>
      <c r="BY10" s="42"/>
      <c r="BZ10" s="41"/>
      <c r="CA10" s="42"/>
      <c r="CB10" s="41"/>
      <c r="CC10" s="42"/>
      <c r="CD10" s="41"/>
      <c r="CE10" s="42"/>
      <c r="CF10" s="41"/>
      <c r="CG10" s="42"/>
      <c r="CH10" s="41"/>
      <c r="CI10" s="42"/>
      <c r="CJ10" s="41"/>
      <c r="CK10" s="42"/>
      <c r="CL10" s="41"/>
      <c r="CM10" s="42"/>
      <c r="CN10" s="41"/>
      <c r="CO10" s="42"/>
      <c r="CP10" s="41"/>
      <c r="CQ10" s="42"/>
      <c r="CR10" s="41"/>
      <c r="CS10" s="42"/>
    </row>
    <row r="11" spans="1:97" x14ac:dyDescent="0.2">
      <c r="A11" t="s">
        <v>29</v>
      </c>
      <c r="B11" s="41">
        <v>1016.8034022777628</v>
      </c>
      <c r="C11" s="42">
        <v>1008.6827325972949</v>
      </c>
      <c r="D11" s="41">
        <v>1013.7436618813372</v>
      </c>
      <c r="E11" s="42">
        <v>1072.2200813865936</v>
      </c>
      <c r="F11" s="41">
        <v>1010.6772254851452</v>
      </c>
      <c r="G11" s="42">
        <v>1143.8115592708525</v>
      </c>
      <c r="H11" s="41">
        <v>1007.6019919368846</v>
      </c>
      <c r="I11" s="42">
        <v>1225.0222652947032</v>
      </c>
      <c r="J11" s="41">
        <v>1004.5152851764541</v>
      </c>
      <c r="K11" s="42">
        <v>1317.8373031182853</v>
      </c>
      <c r="L11" s="41">
        <v>1001.4140927801698</v>
      </c>
      <c r="M11" s="42">
        <v>1424.8140207026888</v>
      </c>
      <c r="N11" s="41">
        <v>998.29559652693592</v>
      </c>
      <c r="O11" s="42">
        <v>1549.307230603421</v>
      </c>
      <c r="P11" s="41">
        <v>995.15811858670691</v>
      </c>
      <c r="Q11" s="42">
        <v>1695.8072584647607</v>
      </c>
      <c r="R11" s="41">
        <v>992.00310183444196</v>
      </c>
      <c r="S11" s="42">
        <v>1870.4747171375855</v>
      </c>
      <c r="T11" s="41">
        <v>988.8388411321672</v>
      </c>
      <c r="U11" s="42">
        <v>2082.0142363601808</v>
      </c>
      <c r="V11" s="41">
        <v>985.68738142688915</v>
      </c>
      <c r="W11" s="42">
        <v>2343.1667898557557</v>
      </c>
      <c r="X11" s="41">
        <v>982.59749580105427</v>
      </c>
      <c r="Y11" s="42">
        <v>2673.402358368056</v>
      </c>
      <c r="Z11" s="41">
        <v>979.66888455246499</v>
      </c>
      <c r="AA11" s="42">
        <v>3104.0734309421969</v>
      </c>
      <c r="AB11" s="41">
        <v>977.09687768891229</v>
      </c>
      <c r="AC11" s="42">
        <v>3688.9805033450571</v>
      </c>
      <c r="AD11" s="41">
        <v>975.25054256104124</v>
      </c>
      <c r="AE11" s="42">
        <v>4527.7381442108272</v>
      </c>
      <c r="AF11" s="41">
        <v>974.78285682799628</v>
      </c>
      <c r="AG11" s="42">
        <v>5821.7444972452331</v>
      </c>
      <c r="AH11" s="41">
        <v>976.66877993355138</v>
      </c>
      <c r="AI11" s="42">
        <v>8020.03939964029</v>
      </c>
      <c r="AJ11" s="41">
        <v>981.80626706716885</v>
      </c>
      <c r="AK11" s="42">
        <v>12250.303693636579</v>
      </c>
      <c r="AL11" s="41">
        <v>990.05187299252714</v>
      </c>
      <c r="AM11" s="42">
        <v>21997.490630602337</v>
      </c>
      <c r="AN11" s="41">
        <v>1000.3407380344296</v>
      </c>
      <c r="AO11" s="42">
        <v>54118.906187004402</v>
      </c>
      <c r="AP11" s="41">
        <v>1002.7008861078566</v>
      </c>
      <c r="AQ11" s="42">
        <v>69865.562912761496</v>
      </c>
      <c r="AR11" s="41">
        <v>1005.3265565368341</v>
      </c>
      <c r="AS11" s="42">
        <v>94474.88328830128</v>
      </c>
      <c r="AT11" s="41">
        <v>1008.5024242421039</v>
      </c>
      <c r="AU11" s="42">
        <v>136835.25747858867</v>
      </c>
      <c r="AV11" s="41">
        <v>1013.023680179428</v>
      </c>
      <c r="AW11" s="42">
        <v>222027.75480049013</v>
      </c>
      <c r="AX11" s="41"/>
      <c r="AY11" s="42"/>
      <c r="AZ11" s="41"/>
      <c r="BA11" s="42"/>
      <c r="BB11" s="41"/>
      <c r="BC11" s="42"/>
      <c r="BD11" s="41"/>
      <c r="BE11" s="42"/>
      <c r="BF11" s="41"/>
      <c r="BG11" s="42"/>
      <c r="BH11" s="41"/>
      <c r="BI11" s="42"/>
      <c r="BJ11" s="41"/>
      <c r="BK11" s="42"/>
      <c r="BL11" s="41"/>
      <c r="BM11" s="42"/>
      <c r="BN11" s="41"/>
      <c r="BO11" s="42"/>
      <c r="BP11" s="41"/>
      <c r="BQ11" s="42"/>
      <c r="BR11" s="41"/>
      <c r="BS11" s="42"/>
      <c r="BT11" s="41"/>
      <c r="BU11" s="42"/>
      <c r="BV11" s="41"/>
      <c r="BW11" s="42"/>
      <c r="BX11" s="41"/>
      <c r="BY11" s="42"/>
      <c r="BZ11" s="41"/>
      <c r="CA11" s="42"/>
      <c r="CB11" s="41"/>
      <c r="CC11" s="42"/>
      <c r="CD11" s="41"/>
      <c r="CE11" s="42"/>
      <c r="CF11" s="41"/>
      <c r="CG11" s="42"/>
      <c r="CH11" s="41"/>
      <c r="CI11" s="42"/>
      <c r="CJ11" s="41"/>
      <c r="CK11" s="42"/>
      <c r="CL11" s="41"/>
      <c r="CM11" s="42"/>
      <c r="CN11" s="41"/>
      <c r="CO11" s="42"/>
      <c r="CP11" s="41"/>
      <c r="CQ11" s="42"/>
      <c r="CR11" s="41"/>
      <c r="CS11" s="42"/>
    </row>
    <row r="12" spans="1:97"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c r="AX12" s="41"/>
      <c r="AY12" s="42"/>
      <c r="AZ12" s="41"/>
      <c r="BA12" s="42"/>
      <c r="BB12" s="41"/>
      <c r="BC12" s="42"/>
      <c r="BD12" s="41"/>
      <c r="BE12" s="42"/>
      <c r="BF12" s="41"/>
      <c r="BG12" s="42"/>
      <c r="BH12" s="41"/>
      <c r="BI12" s="42"/>
      <c r="BJ12" s="41"/>
      <c r="BK12" s="42"/>
      <c r="BL12" s="41"/>
      <c r="BM12" s="42"/>
      <c r="BN12" s="41"/>
      <c r="BO12" s="42"/>
      <c r="BP12" s="41"/>
      <c r="BQ12" s="42"/>
      <c r="BR12" s="41"/>
      <c r="BS12" s="42"/>
      <c r="BT12" s="41"/>
      <c r="BU12" s="42"/>
      <c r="BV12" s="41"/>
      <c r="BW12" s="42"/>
      <c r="BX12" s="41"/>
      <c r="BY12" s="42"/>
      <c r="BZ12" s="41"/>
      <c r="CA12" s="42"/>
      <c r="CB12" s="41"/>
      <c r="CC12" s="42"/>
      <c r="CD12" s="41"/>
      <c r="CE12" s="42"/>
      <c r="CF12" s="41"/>
      <c r="CG12" s="42"/>
      <c r="CH12" s="41"/>
      <c r="CI12" s="42"/>
      <c r="CJ12" s="41"/>
      <c r="CK12" s="42"/>
      <c r="CL12" s="41"/>
      <c r="CM12" s="42"/>
      <c r="CN12" s="41"/>
      <c r="CO12" s="42"/>
      <c r="CP12" s="41"/>
      <c r="CQ12" s="42"/>
      <c r="CR12" s="41"/>
      <c r="CS12" s="42"/>
    </row>
    <row r="13" spans="1:97" x14ac:dyDescent="0.2">
      <c r="A13" t="s">
        <v>17</v>
      </c>
      <c r="B13" s="97">
        <v>1000</v>
      </c>
      <c r="C13" s="98">
        <v>1000</v>
      </c>
      <c r="D13" s="97">
        <v>996.82162637402269</v>
      </c>
      <c r="E13" s="98">
        <v>996.82162637402269</v>
      </c>
      <c r="F13" s="97">
        <v>993.33368843116239</v>
      </c>
      <c r="G13" s="98">
        <v>993.33368843116239</v>
      </c>
      <c r="H13" s="97">
        <v>989.4898601374407</v>
      </c>
      <c r="I13" s="98">
        <v>989.4898601374407</v>
      </c>
      <c r="J13" s="97">
        <v>985.233665486419</v>
      </c>
      <c r="K13" s="98">
        <v>985.233665486419</v>
      </c>
      <c r="L13" s="97">
        <v>980.49558215649688</v>
      </c>
      <c r="M13" s="98">
        <v>980.49558215649688</v>
      </c>
      <c r="N13" s="97">
        <v>975.18887390924522</v>
      </c>
      <c r="O13" s="98">
        <v>975.18887390924522</v>
      </c>
      <c r="P13" s="97">
        <v>969.20416720978028</v>
      </c>
      <c r="Q13" s="98">
        <v>969.20416720978028</v>
      </c>
      <c r="R13" s="97">
        <v>962.40098946956778</v>
      </c>
      <c r="S13" s="98">
        <v>962.40098946956778</v>
      </c>
      <c r="T13" s="97">
        <v>954.59554242036575</v>
      </c>
      <c r="U13" s="98">
        <v>954.59554242036575</v>
      </c>
      <c r="V13" s="97">
        <v>945.54103284267273</v>
      </c>
      <c r="W13" s="98">
        <v>945.54103284267273</v>
      </c>
      <c r="X13" s="97">
        <v>934.89546430929238</v>
      </c>
      <c r="Y13" s="98">
        <v>934.89546430929238</v>
      </c>
      <c r="Z13" s="97">
        <v>922.16512812541032</v>
      </c>
      <c r="AA13" s="98">
        <v>922.16512812541032</v>
      </c>
      <c r="AB13" s="97">
        <v>906.59897613018188</v>
      </c>
      <c r="AC13" s="98">
        <v>906.59897613018188</v>
      </c>
      <c r="AD13" s="97">
        <v>886.97633761631596</v>
      </c>
      <c r="AE13" s="98">
        <v>886.97633761631596</v>
      </c>
      <c r="AF13" s="97">
        <v>861.14708284211076</v>
      </c>
      <c r="AG13" s="98">
        <v>861.14708284211076</v>
      </c>
      <c r="AH13" s="97">
        <v>824.96776738799201</v>
      </c>
      <c r="AI13" s="98">
        <v>824.96776738799201</v>
      </c>
      <c r="AJ13" s="97">
        <v>769.68954216691861</v>
      </c>
      <c r="AK13" s="98">
        <v>769.68954216691861</v>
      </c>
      <c r="AL13" s="97">
        <v>674.64553632142918</v>
      </c>
      <c r="AM13" s="98">
        <v>674.64553632142918</v>
      </c>
      <c r="AN13" s="97">
        <v>478.82720971220948</v>
      </c>
      <c r="AO13" s="98">
        <v>478.82720971220948</v>
      </c>
      <c r="AP13" s="97">
        <v>412.97289858560202</v>
      </c>
      <c r="AQ13" s="98">
        <v>412.97289858560202</v>
      </c>
      <c r="AR13" s="97">
        <v>330.99142264495589</v>
      </c>
      <c r="AS13" s="98">
        <v>330.99142264495589</v>
      </c>
      <c r="AT13" s="97">
        <v>227.73401952118127</v>
      </c>
      <c r="AU13" s="98">
        <v>227.73401952118127</v>
      </c>
      <c r="AV13" s="97">
        <v>101.15574272558386</v>
      </c>
      <c r="AW13" s="98">
        <v>101.15574272558386</v>
      </c>
      <c r="AX13" s="97"/>
      <c r="AY13" s="98"/>
      <c r="AZ13" s="97"/>
      <c r="BA13" s="98"/>
      <c r="BB13" s="97"/>
      <c r="BC13" s="98"/>
      <c r="BD13" s="97"/>
      <c r="BE13" s="98"/>
      <c r="BF13" s="97"/>
      <c r="BG13" s="98"/>
      <c r="BH13" s="97"/>
      <c r="BI13" s="98"/>
      <c r="BJ13" s="97"/>
      <c r="BK13" s="98"/>
      <c r="BL13" s="97"/>
      <c r="BM13" s="98"/>
      <c r="BN13" s="97"/>
      <c r="BO13" s="98"/>
      <c r="BP13" s="97"/>
      <c r="BQ13" s="98"/>
      <c r="BR13" s="97"/>
      <c r="BS13" s="98"/>
      <c r="BT13" s="97"/>
      <c r="BU13" s="98"/>
      <c r="BV13" s="97"/>
      <c r="BW13" s="98"/>
      <c r="BX13" s="97"/>
      <c r="BY13" s="98"/>
      <c r="BZ13" s="97"/>
      <c r="CA13" s="98"/>
      <c r="CB13" s="97"/>
      <c r="CC13" s="98"/>
      <c r="CD13" s="97"/>
      <c r="CE13" s="98"/>
      <c r="CF13" s="97"/>
      <c r="CG13" s="98"/>
      <c r="CH13" s="97"/>
      <c r="CI13" s="98"/>
      <c r="CJ13" s="97"/>
      <c r="CK13" s="98"/>
      <c r="CL13" s="97"/>
      <c r="CM13" s="98"/>
      <c r="CN13" s="97"/>
      <c r="CO13" s="98"/>
      <c r="CP13" s="97"/>
      <c r="CQ13" s="98"/>
      <c r="CR13" s="97"/>
      <c r="CS13" s="98"/>
    </row>
    <row r="14" spans="1:97" x14ac:dyDescent="0.2">
      <c r="A14" t="s">
        <v>36</v>
      </c>
      <c r="B14" s="41">
        <v>1458.0317178388773</v>
      </c>
      <c r="C14" s="42">
        <v>1458.0310870324465</v>
      </c>
      <c r="D14" s="41">
        <v>1453.3975482810599</v>
      </c>
      <c r="E14" s="42">
        <v>1453.3969194795675</v>
      </c>
      <c r="F14" s="41">
        <v>1448.3120241305157</v>
      </c>
      <c r="G14" s="42">
        <v>1448.3113975292372</v>
      </c>
      <c r="H14" s="41">
        <v>1442.7076005603431</v>
      </c>
      <c r="I14" s="42">
        <v>1442.706976383776</v>
      </c>
      <c r="J14" s="41">
        <v>1436.5019337618573</v>
      </c>
      <c r="K14" s="42">
        <v>1436.5013122701253</v>
      </c>
      <c r="L14" s="41">
        <v>1429.5936579850672</v>
      </c>
      <c r="M14" s="42">
        <v>1429.5930394821485</v>
      </c>
      <c r="N14" s="41">
        <v>1421.8563090432572</v>
      </c>
      <c r="O14" s="42">
        <v>1421.8556938878442</v>
      </c>
      <c r="P14" s="41">
        <v>1413.1304168534743</v>
      </c>
      <c r="Q14" s="42">
        <v>1413.1298054732529</v>
      </c>
      <c r="R14" s="41">
        <v>1403.2111679261491</v>
      </c>
      <c r="S14" s="42">
        <v>1403.2105608374159</v>
      </c>
      <c r="T14" s="41">
        <v>1391.8305785565008</v>
      </c>
      <c r="U14" s="42">
        <v>1391.8299763914938</v>
      </c>
      <c r="V14" s="41">
        <v>1378.6288164027485</v>
      </c>
      <c r="W14" s="42">
        <v>1378.6282199493842</v>
      </c>
      <c r="X14" s="41">
        <v>1363.1072398266524</v>
      </c>
      <c r="Y14" s="42">
        <v>1363.1066500885813</v>
      </c>
      <c r="Z14" s="41">
        <v>1344.5460058918004</v>
      </c>
      <c r="AA14" s="42">
        <v>1344.5454241841073</v>
      </c>
      <c r="AB14" s="41">
        <v>1321.8500625580564</v>
      </c>
      <c r="AC14" s="42">
        <v>1321.8494906695921</v>
      </c>
      <c r="AD14" s="41">
        <v>1293.2396332171531</v>
      </c>
      <c r="AE14" s="42">
        <v>1293.2390737067753</v>
      </c>
      <c r="AF14" s="41">
        <v>1255.5797605082207</v>
      </c>
      <c r="AG14" s="42">
        <v>1255.5792172911029</v>
      </c>
      <c r="AH14" s="41">
        <v>1202.8291710464173</v>
      </c>
      <c r="AI14" s="42">
        <v>1202.8286506514444</v>
      </c>
      <c r="AJ14" s="41">
        <v>1122.2317653682514</v>
      </c>
      <c r="AK14" s="42">
        <v>1122.2312798431383</v>
      </c>
      <c r="AL14" s="41">
        <v>983.65459025506402</v>
      </c>
      <c r="AM14" s="42">
        <v>983.65416468432124</v>
      </c>
      <c r="AN14" s="41">
        <v>698.14525912468912</v>
      </c>
      <c r="AO14" s="42">
        <v>698.14495707740593</v>
      </c>
      <c r="AP14" s="41">
        <v>602.12758474566579</v>
      </c>
      <c r="AQ14" s="42">
        <v>602.12732423970556</v>
      </c>
      <c r="AR14" s="41">
        <v>482.59599254895892</v>
      </c>
      <c r="AS14" s="42">
        <v>482.59578375744093</v>
      </c>
      <c r="AT14" s="41">
        <v>332.04342369282034</v>
      </c>
      <c r="AU14" s="42">
        <v>332.04328003673629</v>
      </c>
      <c r="AV14" s="41">
        <v>147.48828133545055</v>
      </c>
      <c r="AW14" s="42">
        <v>147.48821752575753</v>
      </c>
      <c r="AX14" s="41"/>
      <c r="AY14" s="42"/>
      <c r="AZ14" s="41"/>
      <c r="BA14" s="42"/>
      <c r="BB14" s="41"/>
      <c r="BC14" s="42"/>
      <c r="BD14" s="41"/>
      <c r="BE14" s="42"/>
      <c r="BF14" s="41"/>
      <c r="BG14" s="42"/>
      <c r="BH14" s="41"/>
      <c r="BI14" s="42"/>
      <c r="BJ14" s="41"/>
      <c r="BK14" s="42"/>
      <c r="BL14" s="41"/>
      <c r="BM14" s="42"/>
      <c r="BN14" s="41"/>
      <c r="BO14" s="42"/>
      <c r="BP14" s="41"/>
      <c r="BQ14" s="42"/>
      <c r="BR14" s="41"/>
      <c r="BS14" s="42"/>
      <c r="BT14" s="41"/>
      <c r="BU14" s="42"/>
      <c r="BV14" s="41"/>
      <c r="BW14" s="42"/>
      <c r="BX14" s="41"/>
      <c r="BY14" s="42"/>
      <c r="BZ14" s="41"/>
      <c r="CA14" s="42"/>
      <c r="CB14" s="41"/>
      <c r="CC14" s="42"/>
      <c r="CD14" s="41"/>
      <c r="CE14" s="42"/>
      <c r="CF14" s="41"/>
      <c r="CG14" s="42"/>
      <c r="CH14" s="41"/>
      <c r="CI14" s="42"/>
      <c r="CJ14" s="41"/>
      <c r="CK14" s="42"/>
      <c r="CL14" s="41"/>
      <c r="CM14" s="42"/>
      <c r="CN14" s="41"/>
      <c r="CO14" s="42"/>
      <c r="CP14" s="41"/>
      <c r="CQ14" s="42"/>
      <c r="CR14" s="41"/>
      <c r="CS14" s="42"/>
    </row>
    <row r="15" spans="1:97" x14ac:dyDescent="0.2">
      <c r="A15" t="s">
        <v>18</v>
      </c>
      <c r="B15" s="154">
        <v>1000</v>
      </c>
      <c r="C15" s="155">
        <v>1000</v>
      </c>
      <c r="D15" s="154">
        <v>990.7742632859796</v>
      </c>
      <c r="E15" s="155">
        <v>990.7742632859796</v>
      </c>
      <c r="F15" s="154">
        <v>981.33649407781741</v>
      </c>
      <c r="G15" s="155">
        <v>981.33649407781741</v>
      </c>
      <c r="H15" s="154">
        <v>971.64841669033638</v>
      </c>
      <c r="I15" s="155">
        <v>971.64841669033638</v>
      </c>
      <c r="J15" s="154">
        <v>961.66310718300895</v>
      </c>
      <c r="K15" s="155">
        <v>961.66310718300895</v>
      </c>
      <c r="L15" s="154">
        <v>951.32277508023583</v>
      </c>
      <c r="M15" s="155">
        <v>951.32277508023583</v>
      </c>
      <c r="N15" s="154">
        <v>940.55593770010353</v>
      </c>
      <c r="O15" s="155">
        <v>940.55593770010353</v>
      </c>
      <c r="P15" s="154">
        <v>929.27297792388526</v>
      </c>
      <c r="Q15" s="155">
        <v>929.27297792388526</v>
      </c>
      <c r="R15" s="154">
        <v>917.36042210386302</v>
      </c>
      <c r="S15" s="155">
        <v>917.36042210386302</v>
      </c>
      <c r="T15" s="154">
        <v>904.67185684733329</v>
      </c>
      <c r="U15" s="155">
        <v>904.67185684733329</v>
      </c>
      <c r="V15" s="154">
        <v>891.01399082205819</v>
      </c>
      <c r="W15" s="155">
        <v>891.01399082205819</v>
      </c>
      <c r="X15" s="154">
        <v>876.12300438202908</v>
      </c>
      <c r="Y15" s="155">
        <v>876.12300438202908</v>
      </c>
      <c r="Z15" s="154">
        <v>859.62187263119699</v>
      </c>
      <c r="AA15" s="155">
        <v>859.62187263119699</v>
      </c>
      <c r="AB15" s="154">
        <v>840.93647319995341</v>
      </c>
      <c r="AC15" s="155">
        <v>840.93647319995341</v>
      </c>
      <c r="AD15" s="154">
        <v>819.11549646081608</v>
      </c>
      <c r="AE15" s="155">
        <v>819.11549646081608</v>
      </c>
      <c r="AF15" s="154">
        <v>792.4103018928339</v>
      </c>
      <c r="AG15" s="155">
        <v>792.4103018928339</v>
      </c>
      <c r="AH15" s="154">
        <v>757.23881634531006</v>
      </c>
      <c r="AI15" s="155">
        <v>757.23881634531006</v>
      </c>
      <c r="AJ15" s="154">
        <v>705.60382592076974</v>
      </c>
      <c r="AK15" s="155">
        <v>705.60382592076974</v>
      </c>
      <c r="AL15" s="154">
        <v>618.22981406860129</v>
      </c>
      <c r="AM15" s="155">
        <v>618.22981406860129</v>
      </c>
      <c r="AN15" s="154">
        <v>438.76220539616344</v>
      </c>
      <c r="AO15" s="155">
        <v>438.76220539616344</v>
      </c>
      <c r="AP15" s="154">
        <v>378.41772338697979</v>
      </c>
      <c r="AQ15" s="155">
        <v>378.41772338697979</v>
      </c>
      <c r="AR15" s="154">
        <v>303.29585483950569</v>
      </c>
      <c r="AS15" s="155">
        <v>303.29585483950569</v>
      </c>
      <c r="AT15" s="154">
        <v>208.67844450652817</v>
      </c>
      <c r="AU15" s="155">
        <v>208.67844450652817</v>
      </c>
      <c r="AV15" s="154">
        <v>92.691564004554593</v>
      </c>
      <c r="AW15" s="155">
        <v>92.691564004554593</v>
      </c>
      <c r="AX15" s="99"/>
      <c r="AY15" s="100"/>
      <c r="AZ15" s="99"/>
      <c r="BA15" s="100"/>
      <c r="BB15" s="99"/>
      <c r="BC15" s="100"/>
      <c r="BD15" s="99"/>
      <c r="BE15" s="100"/>
      <c r="BF15" s="99"/>
      <c r="BG15" s="100"/>
      <c r="BH15" s="99"/>
      <c r="BI15" s="100"/>
      <c r="BJ15" s="99"/>
      <c r="BK15" s="100"/>
      <c r="BL15" s="99"/>
      <c r="BM15" s="100"/>
      <c r="BN15" s="99"/>
      <c r="BO15" s="100"/>
      <c r="BP15" s="99"/>
      <c r="BQ15" s="100"/>
      <c r="BR15" s="99"/>
      <c r="BS15" s="100"/>
      <c r="BT15" s="99"/>
      <c r="BU15" s="100"/>
      <c r="BV15" s="99"/>
      <c r="BW15" s="100"/>
      <c r="BX15" s="99"/>
      <c r="BY15" s="100"/>
      <c r="BZ15" s="99"/>
      <c r="CA15" s="100"/>
      <c r="CB15" s="99"/>
      <c r="CC15" s="100"/>
      <c r="CD15" s="99"/>
      <c r="CE15" s="100"/>
      <c r="CF15" s="99"/>
      <c r="CG15" s="100"/>
      <c r="CH15" s="99"/>
      <c r="CI15" s="100"/>
      <c r="CJ15" s="99"/>
      <c r="CK15" s="100"/>
      <c r="CL15" s="99"/>
      <c r="CM15" s="100"/>
      <c r="CN15" s="99"/>
      <c r="CO15" s="100"/>
      <c r="CP15" s="99"/>
      <c r="CQ15" s="100"/>
      <c r="CR15" s="99"/>
      <c r="CS15" s="100"/>
    </row>
    <row r="16" spans="1:97" s="29" customFormat="1" x14ac:dyDescent="0.2">
      <c r="A16" t="s">
        <v>61</v>
      </c>
      <c r="B16" s="41">
        <v>1000</v>
      </c>
      <c r="C16" s="42">
        <v>1000</v>
      </c>
      <c r="D16" s="41">
        <v>994.06404816217207</v>
      </c>
      <c r="E16" s="42">
        <v>992.92169813017063</v>
      </c>
      <c r="F16" s="41">
        <v>987.86029956821812</v>
      </c>
      <c r="G16" s="42">
        <v>985.59547946312398</v>
      </c>
      <c r="H16" s="41">
        <v>981.34618240725285</v>
      </c>
      <c r="I16" s="42">
        <v>977.98024717847306</v>
      </c>
      <c r="J16" s="41">
        <v>974.46967166855256</v>
      </c>
      <c r="K16" s="42">
        <v>970.02572856346819</v>
      </c>
      <c r="L16" s="41">
        <v>967.16670396924258</v>
      </c>
      <c r="M16" s="42">
        <v>961.67001683993294</v>
      </c>
      <c r="N16" s="41">
        <v>959.35762561437764</v>
      </c>
      <c r="O16" s="42">
        <v>952.83627068787598</v>
      </c>
      <c r="P16" s="41">
        <v>950.9422265243802</v>
      </c>
      <c r="Q16" s="42">
        <v>943.42792826884511</v>
      </c>
      <c r="R16" s="41">
        <v>941.79253995929469</v>
      </c>
      <c r="S16" s="42">
        <v>933.32201777365253</v>
      </c>
      <c r="T16" s="41">
        <v>931.74207088026196</v>
      </c>
      <c r="U16" s="42">
        <v>922.35896830622573</v>
      </c>
      <c r="V16" s="41">
        <v>920.56877527118775</v>
      </c>
      <c r="W16" s="42">
        <v>910.32665257934445</v>
      </c>
      <c r="X16" s="41">
        <v>907.96681082280872</v>
      </c>
      <c r="Y16" s="42">
        <v>896.93372414568523</v>
      </c>
      <c r="Z16" s="41">
        <v>893.49642610689239</v>
      </c>
      <c r="AA16" s="42">
        <v>881.76207076519404</v>
      </c>
      <c r="AB16" s="41">
        <v>876.4883836602429</v>
      </c>
      <c r="AC16" s="42">
        <v>864.17526864345984</v>
      </c>
      <c r="AD16" s="41">
        <v>855.84654496943745</v>
      </c>
      <c r="AE16" s="42">
        <v>843.12714815904747</v>
      </c>
      <c r="AF16" s="41">
        <v>829.60629572405787</v>
      </c>
      <c r="AG16" s="42">
        <v>816.72763037581649</v>
      </c>
      <c r="AH16" s="41">
        <v>793.8831976336229</v>
      </c>
      <c r="AI16" s="42">
        <v>781.19670081673507</v>
      </c>
      <c r="AJ16" s="41">
        <v>740.27403700226807</v>
      </c>
      <c r="AK16" s="42">
        <v>728.2715796869777</v>
      </c>
      <c r="AL16" s="41">
        <v>648.74975235962177</v>
      </c>
      <c r="AM16" s="42">
        <v>638.18423119804049</v>
      </c>
      <c r="AN16" s="41">
        <v>460.43660375840392</v>
      </c>
      <c r="AO16" s="42">
        <v>452.93328445604203</v>
      </c>
      <c r="AP16" s="41">
        <v>397.11140855091259</v>
      </c>
      <c r="AQ16" s="42">
        <v>390.63996326972591</v>
      </c>
      <c r="AR16" s="41">
        <v>318.27862390860474</v>
      </c>
      <c r="AS16" s="42">
        <v>313.09183661567454</v>
      </c>
      <c r="AT16" s="41">
        <v>218.98714369629712</v>
      </c>
      <c r="AU16" s="42">
        <v>215.41844224567788</v>
      </c>
      <c r="AV16" s="41">
        <v>97.270521715701449</v>
      </c>
      <c r="AW16" s="42">
        <v>95.685362161797613</v>
      </c>
      <c r="AX16" s="41"/>
      <c r="AY16" s="42"/>
      <c r="AZ16" s="41"/>
      <c r="BA16" s="42"/>
      <c r="BB16" s="41"/>
      <c r="BC16" s="42"/>
      <c r="BD16" s="41"/>
      <c r="BE16" s="42"/>
      <c r="BF16" s="41"/>
      <c r="BG16" s="42"/>
      <c r="BH16" s="41"/>
      <c r="BI16" s="42"/>
      <c r="BJ16" s="41"/>
      <c r="BK16" s="42"/>
      <c r="BL16" s="41"/>
      <c r="BM16" s="42"/>
      <c r="BN16" s="41"/>
      <c r="BO16" s="42"/>
      <c r="BP16" s="41"/>
      <c r="BQ16" s="42"/>
      <c r="BR16" s="41"/>
      <c r="BS16" s="42"/>
      <c r="BT16" s="41"/>
      <c r="BU16" s="42"/>
      <c r="BV16" s="41"/>
      <c r="BW16" s="42"/>
      <c r="BX16" s="41"/>
      <c r="BY16" s="42"/>
      <c r="BZ16" s="41"/>
      <c r="CA16" s="42"/>
      <c r="CB16" s="41"/>
      <c r="CC16" s="42"/>
      <c r="CD16" s="41"/>
      <c r="CE16" s="42"/>
      <c r="CF16" s="41"/>
      <c r="CG16" s="42"/>
      <c r="CH16" s="41"/>
      <c r="CI16" s="42"/>
      <c r="CJ16" s="41"/>
      <c r="CK16" s="42"/>
      <c r="CL16" s="41"/>
      <c r="CM16" s="42"/>
      <c r="CN16" s="41"/>
      <c r="CO16" s="42"/>
      <c r="CP16" s="41"/>
      <c r="CQ16" s="42"/>
      <c r="CR16" s="41"/>
      <c r="CS16" s="42"/>
    </row>
    <row r="17" spans="1:97" x14ac:dyDescent="0.2">
      <c r="A17" t="s">
        <v>62</v>
      </c>
      <c r="B17" s="35">
        <v>1000</v>
      </c>
      <c r="C17" s="36">
        <v>999.99999999999977</v>
      </c>
      <c r="D17" s="35">
        <v>997.26952245858104</v>
      </c>
      <c r="E17" s="36">
        <v>1027.8821350207249</v>
      </c>
      <c r="F17" s="35">
        <v>994.53852233407088</v>
      </c>
      <c r="G17" s="36">
        <v>1059.2903422999827</v>
      </c>
      <c r="H17" s="35">
        <v>991.80521819244234</v>
      </c>
      <c r="I17" s="36">
        <v>1094.8847162672059</v>
      </c>
      <c r="J17" s="35">
        <v>989.06732163733989</v>
      </c>
      <c r="K17" s="36">
        <v>1135.4985240718768</v>
      </c>
      <c r="L17" s="35">
        <v>986.32226388569347</v>
      </c>
      <c r="M17" s="36">
        <v>1182.200496102306</v>
      </c>
      <c r="N17" s="35">
        <v>983.56768339257337</v>
      </c>
      <c r="O17" s="36">
        <v>1236.3869291349065</v>
      </c>
      <c r="P17" s="35">
        <v>980.80224136277207</v>
      </c>
      <c r="Q17" s="36">
        <v>1299.9194148668307</v>
      </c>
      <c r="R17" s="35">
        <v>978.02734704708087</v>
      </c>
      <c r="S17" s="36">
        <v>1375.3428497897899</v>
      </c>
      <c r="T17" s="35">
        <v>975.25042436631213</v>
      </c>
      <c r="U17" s="36">
        <v>1466.2409948447792</v>
      </c>
      <c r="V17" s="35">
        <v>972.49084854612124</v>
      </c>
      <c r="W17" s="36">
        <v>1577.842576253337</v>
      </c>
      <c r="X17" s="35">
        <v>969.7911558950824</v>
      </c>
      <c r="Y17" s="36">
        <v>1718.1122829176957</v>
      </c>
      <c r="Z17" s="35">
        <v>967.23786487845166</v>
      </c>
      <c r="AA17" s="36">
        <v>1899.8316523464337</v>
      </c>
      <c r="AB17" s="35">
        <v>964.99991371544002</v>
      </c>
      <c r="AC17" s="36">
        <v>2144.8457975750684</v>
      </c>
      <c r="AD17" s="35">
        <v>963.39595552360652</v>
      </c>
      <c r="AE17" s="36">
        <v>2493.3988521601987</v>
      </c>
      <c r="AF17" s="35">
        <v>962.99000957483008</v>
      </c>
      <c r="AG17" s="36">
        <v>3026.3235558290407</v>
      </c>
      <c r="AH17" s="35">
        <v>964.6278219699949</v>
      </c>
      <c r="AI17" s="36">
        <v>3922.3577336418984</v>
      </c>
      <c r="AJ17" s="35">
        <v>969.10079918832662</v>
      </c>
      <c r="AK17" s="36">
        <v>5626.3605425913365</v>
      </c>
      <c r="AL17" s="35">
        <v>976.31424303466054</v>
      </c>
      <c r="AM17" s="36">
        <v>9504.1012430603023</v>
      </c>
      <c r="AN17" s="35">
        <v>985.37350734411984</v>
      </c>
      <c r="AO17" s="36">
        <v>22146.471287053362</v>
      </c>
      <c r="AP17" s="35">
        <v>987.46058831186758</v>
      </c>
      <c r="AQ17" s="36">
        <v>28322.113316427625</v>
      </c>
      <c r="AR17" s="35">
        <v>989.78636836410226</v>
      </c>
      <c r="AS17" s="36">
        <v>37965.874917965426</v>
      </c>
      <c r="AT17" s="35">
        <v>992.6049577048326</v>
      </c>
      <c r="AU17" s="36">
        <v>54561.069577770366</v>
      </c>
      <c r="AV17" s="35">
        <v>996.62780373217095</v>
      </c>
      <c r="AW17" s="36">
        <v>87954.258193590693</v>
      </c>
      <c r="AX17" s="35"/>
      <c r="AY17" s="36"/>
      <c r="AZ17" s="35"/>
      <c r="BA17" s="36"/>
      <c r="BB17" s="35"/>
      <c r="BC17" s="36"/>
      <c r="BD17" s="35"/>
      <c r="BE17" s="36"/>
      <c r="BF17" s="35"/>
      <c r="BG17" s="36"/>
      <c r="BH17" s="35"/>
      <c r="BI17" s="36"/>
      <c r="BJ17" s="35"/>
      <c r="BK17" s="36"/>
      <c r="BL17" s="35"/>
      <c r="BM17" s="36"/>
      <c r="BN17" s="35"/>
      <c r="BO17" s="36"/>
      <c r="BP17" s="35"/>
      <c r="BQ17" s="36"/>
      <c r="BR17" s="35"/>
      <c r="BS17" s="36"/>
      <c r="BT17" s="35"/>
      <c r="BU17" s="36"/>
      <c r="BV17" s="35"/>
      <c r="BW17" s="36"/>
      <c r="BX17" s="35"/>
      <c r="BY17" s="36"/>
      <c r="BZ17" s="35"/>
      <c r="CA17" s="36"/>
      <c r="CB17" s="35"/>
      <c r="CC17" s="36"/>
      <c r="CD17" s="35"/>
      <c r="CE17" s="36"/>
      <c r="CF17" s="35"/>
      <c r="CG17" s="36"/>
      <c r="CH17" s="35"/>
      <c r="CI17" s="36"/>
      <c r="CJ17" s="35"/>
      <c r="CK17" s="36"/>
      <c r="CL17" s="35"/>
      <c r="CM17" s="36"/>
      <c r="CN17" s="35"/>
      <c r="CO17" s="36"/>
      <c r="CP17" s="35"/>
      <c r="CQ17" s="36"/>
      <c r="CR17" s="35"/>
      <c r="CS17" s="36"/>
    </row>
    <row r="18" spans="1:97" x14ac:dyDescent="0.2">
      <c r="A18" t="s">
        <v>19</v>
      </c>
      <c r="B18" s="33">
        <v>22996.762337</v>
      </c>
      <c r="C18" s="34">
        <v>1272.8228859999999</v>
      </c>
      <c r="D18" s="33">
        <v>23017.758401206938</v>
      </c>
      <c r="E18" s="34">
        <v>1179.6571495680494</v>
      </c>
      <c r="F18" s="33">
        <v>23035.167464099039</v>
      </c>
      <c r="G18" s="34">
        <v>1086.9329220405587</v>
      </c>
      <c r="H18" s="33">
        <v>23048.415922755317</v>
      </c>
      <c r="I18" s="34">
        <v>994.74285052885489</v>
      </c>
      <c r="J18" s="33">
        <v>23056.803661272512</v>
      </c>
      <c r="K18" s="34">
        <v>903.1950980273873</v>
      </c>
      <c r="L18" s="33">
        <v>23059.461689579333</v>
      </c>
      <c r="M18" s="34">
        <v>812.42061398399142</v>
      </c>
      <c r="N18" s="33">
        <v>23055.288483836659</v>
      </c>
      <c r="O18" s="34">
        <v>722.58730033593133</v>
      </c>
      <c r="P18" s="33">
        <v>23042.86280876445</v>
      </c>
      <c r="Q18" s="34">
        <v>633.9120045614286</v>
      </c>
      <c r="R18" s="33">
        <v>23020.301431615437</v>
      </c>
      <c r="S18" s="34">
        <v>546.69058249667592</v>
      </c>
      <c r="T18" s="33">
        <v>22985.041240082512</v>
      </c>
      <c r="U18" s="34">
        <v>461.33468871586319</v>
      </c>
      <c r="V18" s="33">
        <v>22933.478100700457</v>
      </c>
      <c r="W18" s="34">
        <v>378.43586480939558</v>
      </c>
      <c r="X18" s="33">
        <v>22860.355557525145</v>
      </c>
      <c r="Y18" s="34">
        <v>298.85986639346112</v>
      </c>
      <c r="Z18" s="33">
        <v>22757.680634291719</v>
      </c>
      <c r="AA18" s="34">
        <v>223.88983151070187</v>
      </c>
      <c r="AB18" s="33">
        <v>22612.719746418523</v>
      </c>
      <c r="AC18" s="34">
        <v>155.42433554090789</v>
      </c>
      <c r="AD18" s="33">
        <v>22404.149650708245</v>
      </c>
      <c r="AE18" s="34">
        <v>96.185270244073948</v>
      </c>
      <c r="AF18" s="33">
        <v>22094.472206331095</v>
      </c>
      <c r="AG18" s="34">
        <v>49.68303980131406</v>
      </c>
      <c r="AH18" s="33">
        <v>21614.787603429879</v>
      </c>
      <c r="AI18" s="34">
        <v>19.15648823364555</v>
      </c>
      <c r="AJ18" s="33">
        <v>20830.374502387051</v>
      </c>
      <c r="AK18" s="34">
        <v>4.5948254723010047</v>
      </c>
      <c r="AL18" s="33">
        <v>19425.258232608074</v>
      </c>
      <c r="AM18" s="34">
        <v>0.50116172464786179</v>
      </c>
      <c r="AN18" s="33">
        <v>16284.174240007513</v>
      </c>
      <c r="AO18" s="34">
        <v>1.1192821793621223E-2</v>
      </c>
      <c r="AP18" s="33">
        <v>15105.834379499602</v>
      </c>
      <c r="AQ18" s="34">
        <v>3.5370285687323839E-3</v>
      </c>
      <c r="AR18" s="33">
        <v>13506.582221730843</v>
      </c>
      <c r="AS18" s="34">
        <v>8.6824522925129093E-4</v>
      </c>
      <c r="AT18" s="33">
        <v>11186.416562647646</v>
      </c>
      <c r="AU18" s="34">
        <v>1.4347978765832958E-4</v>
      </c>
      <c r="AV18" s="33">
        <v>7439.3542052027533</v>
      </c>
      <c r="AW18" s="34">
        <v>1.1239853674828986E-5</v>
      </c>
      <c r="AX18" s="41"/>
      <c r="AY18" s="42"/>
      <c r="AZ18" s="41"/>
      <c r="BA18" s="42"/>
      <c r="BB18" s="41"/>
      <c r="BC18" s="42"/>
      <c r="BD18" s="41"/>
      <c r="BE18" s="42"/>
      <c r="BF18" s="41"/>
      <c r="BG18" s="42"/>
      <c r="BH18" s="41"/>
      <c r="BI18" s="42"/>
      <c r="BJ18" s="41"/>
      <c r="BK18" s="42"/>
      <c r="BL18" s="41"/>
      <c r="BM18" s="42"/>
      <c r="BN18" s="41"/>
      <c r="BO18" s="42"/>
      <c r="BP18" s="41"/>
      <c r="BQ18" s="42"/>
      <c r="BR18" s="41"/>
      <c r="BS18" s="42"/>
      <c r="BT18" s="41"/>
      <c r="BU18" s="42"/>
      <c r="BV18" s="41"/>
      <c r="BW18" s="42"/>
      <c r="BX18" s="41"/>
      <c r="BY18" s="42"/>
      <c r="BZ18" s="41"/>
      <c r="CA18" s="42"/>
      <c r="CB18" s="41"/>
      <c r="CC18" s="42"/>
      <c r="CD18" s="41"/>
      <c r="CE18" s="42"/>
      <c r="CF18" s="41"/>
      <c r="CG18" s="42"/>
      <c r="CH18" s="41"/>
      <c r="CI18" s="42"/>
      <c r="CJ18" s="41"/>
      <c r="CK18" s="42"/>
      <c r="CL18" s="41"/>
      <c r="CM18" s="42"/>
      <c r="CN18" s="41"/>
      <c r="CO18" s="42"/>
      <c r="CP18" s="41"/>
      <c r="CQ18" s="42"/>
      <c r="CR18" s="41"/>
      <c r="CS18" s="42"/>
    </row>
    <row r="19" spans="1:97" x14ac:dyDescent="0.2">
      <c r="A19" t="s">
        <v>3</v>
      </c>
      <c r="B19" s="41">
        <v>1249.8384379999975</v>
      </c>
      <c r="C19" s="42">
        <v>295.90000800000013</v>
      </c>
      <c r="D19" s="41">
        <v>1242.1728802270429</v>
      </c>
      <c r="E19" s="42">
        <v>299.91755738505026</v>
      </c>
      <c r="F19" s="41">
        <v>1234.3099710914919</v>
      </c>
      <c r="G19" s="42">
        <v>304.74333436465048</v>
      </c>
      <c r="H19" s="41">
        <v>1226.2174993809954</v>
      </c>
      <c r="I19" s="42">
        <v>310.46331547743182</v>
      </c>
      <c r="J19" s="41">
        <v>1217.8558735924653</v>
      </c>
      <c r="K19" s="42">
        <v>317.16965395902014</v>
      </c>
      <c r="L19" s="41">
        <v>1209.1768586187932</v>
      </c>
      <c r="M19" s="42">
        <v>324.95784958840431</v>
      </c>
      <c r="N19" s="41">
        <v>1200.1221216836584</v>
      </c>
      <c r="O19" s="42">
        <v>333.92061438157896</v>
      </c>
      <c r="P19" s="41">
        <v>1190.6218595265912</v>
      </c>
      <c r="Q19" s="42">
        <v>344.13471852436101</v>
      </c>
      <c r="R19" s="41">
        <v>1180.5936309285114</v>
      </c>
      <c r="S19" s="42">
        <v>355.63745442064902</v>
      </c>
      <c r="T19" s="41">
        <v>1169.9423780541968</v>
      </c>
      <c r="U19" s="42">
        <v>368.3841154498603</v>
      </c>
      <c r="V19" s="41">
        <v>1158.5620552040277</v>
      </c>
      <c r="W19" s="42">
        <v>382.16872574002656</v>
      </c>
      <c r="X19" s="41">
        <v>1146.3412670558259</v>
      </c>
      <c r="Y19" s="42">
        <v>396.48072020183145</v>
      </c>
      <c r="Z19" s="41">
        <v>1133.1749596844006</v>
      </c>
      <c r="AA19" s="42">
        <v>410.24157682246926</v>
      </c>
      <c r="AB19" s="41">
        <v>1118.9825387736955</v>
      </c>
      <c r="AC19" s="42">
        <v>421.32871206055097</v>
      </c>
      <c r="AD19" s="41">
        <v>1103.7137316192752</v>
      </c>
      <c r="AE19" s="42">
        <v>425.76771653527288</v>
      </c>
      <c r="AF19" s="41">
        <v>1087.2235187516101</v>
      </c>
      <c r="AG19" s="42">
        <v>416.65377590855098</v>
      </c>
      <c r="AH19" s="41">
        <v>1068.4925156964255</v>
      </c>
      <c r="AI19" s="42">
        <v>383.97453220416099</v>
      </c>
      <c r="AJ19" s="41">
        <v>1042.5619588443728</v>
      </c>
      <c r="AK19" s="42">
        <v>319.04923653231913</v>
      </c>
      <c r="AL19" s="41">
        <v>991.6106044742088</v>
      </c>
      <c r="AM19" s="42">
        <v>224.34418408978823</v>
      </c>
      <c r="AN19" s="41">
        <v>851.74826387207213</v>
      </c>
      <c r="AO19" s="42">
        <v>114.01103603460874</v>
      </c>
      <c r="AP19" s="41">
        <v>794.50459616853323</v>
      </c>
      <c r="AQ19" s="42">
        <v>91.288461471226341</v>
      </c>
      <c r="AR19" s="41">
        <v>714.76939097358218</v>
      </c>
      <c r="AS19" s="42">
        <v>68.499998337436551</v>
      </c>
      <c r="AT19" s="41">
        <v>596.38700814745584</v>
      </c>
      <c r="AU19" s="42">
        <v>45.677768070130831</v>
      </c>
      <c r="AV19" s="41">
        <v>400.80271930197011</v>
      </c>
      <c r="AW19" s="42">
        <v>22.841141767672358</v>
      </c>
      <c r="AX19" s="82"/>
      <c r="AY19" s="83"/>
      <c r="AZ19" s="82"/>
      <c r="BA19" s="83"/>
      <c r="BB19" s="82"/>
      <c r="BC19" s="83"/>
      <c r="BD19" s="82"/>
      <c r="BE19" s="83"/>
      <c r="BF19" s="82"/>
      <c r="BG19" s="83"/>
      <c r="BH19" s="82"/>
      <c r="BI19" s="83"/>
      <c r="BJ19" s="82"/>
      <c r="BK19" s="83"/>
      <c r="BL19" s="82"/>
      <c r="BM19" s="83"/>
      <c r="BN19" s="82"/>
      <c r="BO19" s="83"/>
      <c r="BP19" s="82"/>
      <c r="BQ19" s="83"/>
      <c r="BR19" s="82"/>
      <c r="BS19" s="83"/>
      <c r="BT19" s="82"/>
      <c r="BU19" s="83"/>
      <c r="BV19" s="82"/>
      <c r="BW19" s="83"/>
      <c r="BX19" s="82"/>
      <c r="BY19" s="83"/>
      <c r="BZ19" s="82"/>
      <c r="CA19" s="83"/>
      <c r="CB19" s="82"/>
      <c r="CC19" s="83"/>
      <c r="CD19" s="82"/>
      <c r="CE19" s="83"/>
      <c r="CF19" s="82"/>
      <c r="CG19" s="83"/>
      <c r="CH19" s="82"/>
      <c r="CI19" s="83"/>
      <c r="CJ19" s="82"/>
      <c r="CK19" s="83"/>
      <c r="CL19" s="82"/>
      <c r="CM19" s="83"/>
      <c r="CN19" s="82"/>
      <c r="CO19" s="83"/>
      <c r="CP19" s="82"/>
      <c r="CQ19" s="83"/>
      <c r="CR19" s="82"/>
      <c r="CS19" s="83"/>
    </row>
    <row r="20" spans="1:97" x14ac:dyDescent="0.2">
      <c r="A20" t="s">
        <v>127</v>
      </c>
      <c r="B20" s="82">
        <v>21839.581944999998</v>
      </c>
      <c r="C20" s="83">
        <v>1370.3619069999993</v>
      </c>
      <c r="D20" s="82">
        <v>21836.858742113956</v>
      </c>
      <c r="E20" s="83">
        <v>1301.8438116499992</v>
      </c>
      <c r="F20" s="82">
        <v>21830.501052265328</v>
      </c>
      <c r="G20" s="83">
        <v>1233.3257162999994</v>
      </c>
      <c r="H20" s="82">
        <v>21819.957491206478</v>
      </c>
      <c r="I20" s="83">
        <v>1164.8076209499993</v>
      </c>
      <c r="J20" s="82">
        <v>21804.554669916422</v>
      </c>
      <c r="K20" s="83">
        <v>1096.2895255999997</v>
      </c>
      <c r="L20" s="82">
        <v>21783.45959838845</v>
      </c>
      <c r="M20" s="83">
        <v>1027.7714302499994</v>
      </c>
      <c r="N20" s="82">
        <v>21755.624557466879</v>
      </c>
      <c r="O20" s="83">
        <v>959.25333489999946</v>
      </c>
      <c r="P20" s="82">
        <v>21719.71370417003</v>
      </c>
      <c r="Q20" s="83">
        <v>890.73523954999951</v>
      </c>
      <c r="R20" s="82">
        <v>21673.986621988355</v>
      </c>
      <c r="S20" s="83">
        <v>822.21714419999955</v>
      </c>
      <c r="T20" s="82">
        <v>21616.12602850933</v>
      </c>
      <c r="U20" s="83">
        <v>753.69904884999971</v>
      </c>
      <c r="V20" s="82">
        <v>21542.957870024671</v>
      </c>
      <c r="W20" s="83">
        <v>685.18095349999953</v>
      </c>
      <c r="X20" s="82">
        <v>21449.987633121567</v>
      </c>
      <c r="Y20" s="83">
        <v>616.66285814999969</v>
      </c>
      <c r="Z20" s="82">
        <v>21330.584949407759</v>
      </c>
      <c r="AA20" s="83">
        <v>548.14476279999974</v>
      </c>
      <c r="AB20" s="82">
        <v>21174.46683994136</v>
      </c>
      <c r="AC20" s="83">
        <v>479.62666744999973</v>
      </c>
      <c r="AD20" s="82">
        <v>20964.691200221325</v>
      </c>
      <c r="AE20" s="83">
        <v>411.10857209999972</v>
      </c>
      <c r="AF20" s="82">
        <v>20671.286113422135</v>
      </c>
      <c r="AG20" s="83">
        <v>342.59047674999965</v>
      </c>
      <c r="AH20" s="82">
        <v>20236.774813315213</v>
      </c>
      <c r="AI20" s="83">
        <v>274.07238139999964</v>
      </c>
      <c r="AJ20" s="82">
        <v>19539.556389395271</v>
      </c>
      <c r="AK20" s="83">
        <v>205.5542860499996</v>
      </c>
      <c r="AL20" s="82">
        <v>18276.359342191023</v>
      </c>
      <c r="AM20" s="83">
        <v>137.03619069999962</v>
      </c>
      <c r="AN20" s="82">
        <v>15377.288817318826</v>
      </c>
      <c r="AO20" s="83">
        <v>68.51809534999957</v>
      </c>
      <c r="AP20" s="82">
        <v>14276.378109395093</v>
      </c>
      <c r="AQ20" s="83">
        <v>54.81447627999956</v>
      </c>
      <c r="AR20" s="82">
        <v>12776.622448751557</v>
      </c>
      <c r="AS20" s="83">
        <v>41.110857209999551</v>
      </c>
      <c r="AT20" s="82">
        <v>10593.481349988189</v>
      </c>
      <c r="AU20" s="83">
        <v>27.407238139999553</v>
      </c>
      <c r="AV20" s="82">
        <v>7055.9564202155743</v>
      </c>
      <c r="AW20" s="83">
        <v>13.703619069999549</v>
      </c>
      <c r="AX20" s="41"/>
      <c r="AY20" s="42"/>
      <c r="AZ20" s="41"/>
      <c r="BA20" s="42"/>
      <c r="BB20" s="41"/>
      <c r="BC20" s="42"/>
      <c r="BD20" s="41"/>
      <c r="BE20" s="42"/>
      <c r="BF20" s="41"/>
      <c r="BG20" s="42"/>
      <c r="BH20" s="41"/>
      <c r="BI20" s="42"/>
      <c r="BJ20" s="41"/>
      <c r="BK20" s="42"/>
      <c r="BL20" s="41"/>
      <c r="BM20" s="42"/>
      <c r="BN20" s="41"/>
      <c r="BO20" s="42"/>
      <c r="BP20" s="41"/>
      <c r="BQ20" s="42"/>
      <c r="BR20" s="41"/>
      <c r="BS20" s="42"/>
      <c r="BT20" s="41"/>
      <c r="BU20" s="42"/>
      <c r="BV20" s="41"/>
      <c r="BW20" s="42"/>
      <c r="BX20" s="41"/>
      <c r="BY20" s="42"/>
      <c r="BZ20" s="41"/>
      <c r="CA20" s="42"/>
      <c r="CB20" s="41"/>
      <c r="CC20" s="42"/>
      <c r="CD20" s="41"/>
      <c r="CE20" s="42"/>
      <c r="CF20" s="41"/>
      <c r="CG20" s="42"/>
      <c r="CH20" s="41"/>
      <c r="CI20" s="42"/>
      <c r="CJ20" s="41"/>
      <c r="CK20" s="42"/>
      <c r="CL20" s="41"/>
      <c r="CM20" s="42"/>
      <c r="CN20" s="41"/>
      <c r="CO20" s="42"/>
      <c r="CP20" s="41"/>
      <c r="CQ20" s="42"/>
      <c r="CR20" s="41"/>
      <c r="CS20" s="42"/>
    </row>
    <row r="21" spans="1:97" x14ac:dyDescent="0.2">
      <c r="A21" t="s">
        <v>76</v>
      </c>
      <c r="B21" s="82">
        <v>20589.743506999988</v>
      </c>
      <c r="C21" s="83">
        <v>1074.4618989999965</v>
      </c>
      <c r="D21" s="82">
        <v>20594.697864845715</v>
      </c>
      <c r="E21" s="83">
        <v>1002.1221676591656</v>
      </c>
      <c r="F21" s="82">
        <v>20596.239184124512</v>
      </c>
      <c r="G21" s="83">
        <v>929.42281842122225</v>
      </c>
      <c r="H21" s="82">
        <v>20593.848457334716</v>
      </c>
      <c r="I21" s="83">
        <v>856.37726291673971</v>
      </c>
      <c r="J21" s="82">
        <v>20586.892103005597</v>
      </c>
      <c r="K21" s="83">
        <v>783.01510641475113</v>
      </c>
      <c r="L21" s="82">
        <v>20574.585636150052</v>
      </c>
      <c r="M21" s="83">
        <v>709.38989431515779</v>
      </c>
      <c r="N21" s="82">
        <v>20555.939968345461</v>
      </c>
      <c r="O21" s="83">
        <v>635.59078400959038</v>
      </c>
      <c r="P21" s="82">
        <v>20529.689305723576</v>
      </c>
      <c r="Q21" s="83">
        <v>561.76109190672651</v>
      </c>
      <c r="R21" s="82">
        <v>20494.175666388412</v>
      </c>
      <c r="S21" s="83">
        <v>488.12559514140383</v>
      </c>
      <c r="T21" s="82">
        <v>20447.176132912868</v>
      </c>
      <c r="U21" s="83">
        <v>415.03160263650631</v>
      </c>
      <c r="V21" s="82">
        <v>20385.62043778431</v>
      </c>
      <c r="W21" s="83">
        <v>343.01285154662844</v>
      </c>
      <c r="X21" s="82">
        <v>20305.119893456467</v>
      </c>
      <c r="Y21" s="83">
        <v>272.88552698534858</v>
      </c>
      <c r="Z21" s="82">
        <v>20199.136969692972</v>
      </c>
      <c r="AA21" s="83">
        <v>205.89175766330976</v>
      </c>
      <c r="AB21" s="82">
        <v>20057.44434234377</v>
      </c>
      <c r="AC21" s="83">
        <v>143.89792947568313</v>
      </c>
      <c r="AD21" s="82">
        <v>19863.102763817336</v>
      </c>
      <c r="AE21" s="83">
        <v>89.605969099688593</v>
      </c>
      <c r="AF21" s="82">
        <v>19586.205583109717</v>
      </c>
      <c r="AG21" s="83">
        <v>46.535343405984023</v>
      </c>
      <c r="AH21" s="82">
        <v>19170.196150805314</v>
      </c>
      <c r="AI21" s="83">
        <v>18.019745062205214</v>
      </c>
      <c r="AJ21" s="82">
        <v>18498.399535131164</v>
      </c>
      <c r="AK21" s="83">
        <v>4.3344697505407952</v>
      </c>
      <c r="AL21" s="82">
        <v>17285.516657534492</v>
      </c>
      <c r="AM21" s="83">
        <v>0.47342612220608715</v>
      </c>
      <c r="AN21" s="82">
        <v>14525.785239362638</v>
      </c>
      <c r="AO21" s="83">
        <v>1.0577781982704565E-2</v>
      </c>
      <c r="AP21" s="82">
        <v>13482.040214997474</v>
      </c>
      <c r="AQ21" s="83">
        <v>3.3427448174803594E-3</v>
      </c>
      <c r="AR21" s="82">
        <v>12061.951865323077</v>
      </c>
      <c r="AS21" s="83">
        <v>8.205643027259955E-4</v>
      </c>
      <c r="AT21" s="82">
        <v>9997.1371992776767</v>
      </c>
      <c r="AU21" s="83">
        <v>1.3560124551567095E-4</v>
      </c>
      <c r="AV21" s="82">
        <v>6655.1596193173427</v>
      </c>
      <c r="AW21" s="83">
        <v>1.0622692613888296E-5</v>
      </c>
      <c r="AX21" s="41"/>
      <c r="AY21" s="42"/>
      <c r="AZ21" s="41"/>
      <c r="BA21" s="42"/>
      <c r="BB21" s="41"/>
      <c r="BC21" s="42"/>
      <c r="BD21" s="41"/>
      <c r="BE21" s="42"/>
      <c r="BF21" s="41"/>
      <c r="BG21" s="42"/>
      <c r="BH21" s="41"/>
      <c r="BI21" s="42"/>
      <c r="BJ21" s="41"/>
      <c r="BK21" s="42"/>
      <c r="BL21" s="41"/>
      <c r="BM21" s="42"/>
      <c r="BN21" s="41"/>
      <c r="BO21" s="42"/>
      <c r="BP21" s="41"/>
      <c r="BQ21" s="42"/>
      <c r="BR21" s="41"/>
      <c r="BS21" s="42"/>
      <c r="BT21" s="41"/>
      <c r="BU21" s="42"/>
      <c r="BV21" s="41"/>
      <c r="BW21" s="42"/>
      <c r="BX21" s="41"/>
      <c r="BY21" s="42"/>
      <c r="BZ21" s="41"/>
      <c r="CA21" s="42"/>
      <c r="CB21" s="41"/>
      <c r="CC21" s="42"/>
      <c r="CD21" s="41"/>
      <c r="CE21" s="42"/>
      <c r="CF21" s="41"/>
      <c r="CG21" s="42"/>
      <c r="CH21" s="41"/>
      <c r="CI21" s="42"/>
      <c r="CJ21" s="41"/>
      <c r="CK21" s="42"/>
      <c r="CL21" s="41"/>
      <c r="CM21" s="42"/>
      <c r="CN21" s="41"/>
      <c r="CO21" s="42"/>
      <c r="CP21" s="41"/>
      <c r="CQ21" s="42"/>
      <c r="CR21" s="41"/>
      <c r="CS21" s="42"/>
    </row>
    <row r="22" spans="1:97" x14ac:dyDescent="0.2">
      <c r="A22" t="s">
        <v>28</v>
      </c>
      <c r="B22" s="41">
        <v>5694.0816809131766</v>
      </c>
      <c r="C22" s="42">
        <v>359.80623566884782</v>
      </c>
      <c r="D22" s="41">
        <v>5675.686645477811</v>
      </c>
      <c r="E22" s="42">
        <v>344.89119537081399</v>
      </c>
      <c r="F22" s="41">
        <v>5655.0003338221959</v>
      </c>
      <c r="G22" s="42">
        <v>329.73932158183254</v>
      </c>
      <c r="H22" s="41">
        <v>5631.6841612041917</v>
      </c>
      <c r="I22" s="42">
        <v>314.33843612018279</v>
      </c>
      <c r="J22" s="41">
        <v>5605.3270214639952</v>
      </c>
      <c r="K22" s="42">
        <v>298.67541817462774</v>
      </c>
      <c r="L22" s="41">
        <v>5575.4244507787407</v>
      </c>
      <c r="M22" s="42">
        <v>282.73562141153508</v>
      </c>
      <c r="N22" s="41">
        <v>5541.3457223967562</v>
      </c>
      <c r="O22" s="42">
        <v>266.50180412640549</v>
      </c>
      <c r="P22" s="41">
        <v>5502.2902201792713</v>
      </c>
      <c r="Q22" s="42">
        <v>249.95322019656749</v>
      </c>
      <c r="R22" s="41">
        <v>5457.2148389743206</v>
      </c>
      <c r="S22" s="42">
        <v>233.06341308672563</v>
      </c>
      <c r="T22" s="41">
        <v>5404.7296201473528</v>
      </c>
      <c r="U22" s="42">
        <v>215.79740123336487</v>
      </c>
      <c r="V22" s="41">
        <v>5342.9202931460004</v>
      </c>
      <c r="W22" s="42">
        <v>198.1072537157832</v>
      </c>
      <c r="X22" s="41">
        <v>5269.0572658808032</v>
      </c>
      <c r="Y22" s="42">
        <v>179.92584618134728</v>
      </c>
      <c r="Z22" s="41">
        <v>5179.0843990893754</v>
      </c>
      <c r="AA22" s="42">
        <v>161.15863664539455</v>
      </c>
      <c r="AB22" s="41">
        <v>5066.6922863984209</v>
      </c>
      <c r="AC22" s="42">
        <v>141.6753608442196</v>
      </c>
      <c r="AD22" s="41">
        <v>4921.5913344568116</v>
      </c>
      <c r="AE22" s="42">
        <v>121.31082701007458</v>
      </c>
      <c r="AF22" s="41">
        <v>4726.2870143861319</v>
      </c>
      <c r="AG22" s="42">
        <v>99.906146976109483</v>
      </c>
      <c r="AH22" s="41">
        <v>4450.2944115533555</v>
      </c>
      <c r="AI22" s="42">
        <v>77.465380653114735</v>
      </c>
      <c r="AJ22" s="41">
        <v>4039.5629241674492</v>
      </c>
      <c r="AK22" s="42">
        <v>54.478013124899633</v>
      </c>
      <c r="AL22" s="41">
        <v>3387.7748411429338</v>
      </c>
      <c r="AM22" s="42">
        <v>32.132091704462717</v>
      </c>
      <c r="AN22" s="41">
        <v>2219.4162057311291</v>
      </c>
      <c r="AO22" s="42">
        <v>12.232263718270298</v>
      </c>
      <c r="AP22" s="41">
        <v>1865.2341884930761</v>
      </c>
      <c r="AQ22" s="42">
        <v>8.809841956266709</v>
      </c>
      <c r="AR22" s="41">
        <v>1446.7234188728823</v>
      </c>
      <c r="AS22" s="42">
        <v>5.6933858851635684</v>
      </c>
      <c r="AT22" s="41">
        <v>952.65239259196665</v>
      </c>
      <c r="AU22" s="42">
        <v>2.9965210835884859</v>
      </c>
      <c r="AV22" s="41">
        <v>396.85119210920999</v>
      </c>
      <c r="AW22" s="42">
        <v>0.93168249730414598</v>
      </c>
      <c r="AX22" s="116"/>
      <c r="AY22" s="8"/>
      <c r="AZ22" s="116"/>
      <c r="BA22" s="8"/>
      <c r="BB22" s="116"/>
      <c r="BC22" s="8"/>
      <c r="BD22" s="116"/>
      <c r="BE22" s="8"/>
      <c r="BF22" s="116"/>
      <c r="BG22" s="8"/>
      <c r="BH22" s="116"/>
      <c r="BI22" s="8"/>
      <c r="BJ22" s="116"/>
      <c r="BK22" s="8"/>
      <c r="BL22" s="116"/>
      <c r="BM22" s="8"/>
      <c r="BN22" s="116"/>
      <c r="BO22" s="8"/>
      <c r="BP22" s="116"/>
      <c r="BQ22" s="8"/>
      <c r="BR22" s="116"/>
      <c r="BS22" s="8"/>
      <c r="BT22" s="116"/>
      <c r="BU22" s="8"/>
      <c r="BV22" s="116"/>
      <c r="BW22" s="8"/>
      <c r="BX22" s="116"/>
      <c r="BY22" s="8"/>
      <c r="BZ22" s="116"/>
      <c r="CA22" s="8"/>
      <c r="CB22" s="116"/>
      <c r="CC22" s="8"/>
      <c r="CD22" s="116"/>
      <c r="CE22" s="8"/>
      <c r="CF22" s="116"/>
      <c r="CG22" s="8"/>
      <c r="CH22" s="116"/>
      <c r="CI22" s="8"/>
      <c r="CJ22" s="116"/>
      <c r="CK22" s="8"/>
      <c r="CL22" s="116"/>
      <c r="CM22" s="8"/>
      <c r="CN22" s="116"/>
      <c r="CO22" s="8"/>
      <c r="CP22" s="116"/>
      <c r="CQ22" s="8"/>
      <c r="CR22" s="116"/>
      <c r="CS22" s="8"/>
    </row>
    <row r="23" spans="1:97" x14ac:dyDescent="0.2">
      <c r="A23" t="s">
        <v>7</v>
      </c>
      <c r="B23" s="116">
        <v>2967.2154944027398</v>
      </c>
      <c r="C23" s="8">
        <v>0</v>
      </c>
      <c r="D23" s="116">
        <v>2972.7329720879052</v>
      </c>
      <c r="E23" s="8">
        <v>0</v>
      </c>
      <c r="F23" s="116">
        <v>2977.8646503705045</v>
      </c>
      <c r="G23" s="8">
        <v>0</v>
      </c>
      <c r="H23" s="116">
        <v>2982.5495576104927</v>
      </c>
      <c r="I23" s="8">
        <v>0</v>
      </c>
      <c r="J23" s="116">
        <v>2986.7125563076752</v>
      </c>
      <c r="K23" s="8">
        <v>0</v>
      </c>
      <c r="L23" s="116">
        <v>2990.2599555928673</v>
      </c>
      <c r="M23" s="8">
        <v>0</v>
      </c>
      <c r="N23" s="116">
        <v>2993.0727963458767</v>
      </c>
      <c r="O23" s="8">
        <v>0</v>
      </c>
      <c r="P23" s="116">
        <v>2994.9987765152473</v>
      </c>
      <c r="Q23" s="8">
        <v>0</v>
      </c>
      <c r="R23" s="116">
        <v>2995.838584517649</v>
      </c>
      <c r="S23" s="8">
        <v>0</v>
      </c>
      <c r="T23" s="116">
        <v>2995.3270702121249</v>
      </c>
      <c r="U23" s="8">
        <v>0</v>
      </c>
      <c r="V23" s="116">
        <v>2993.1022533790497</v>
      </c>
      <c r="W23" s="8">
        <v>0</v>
      </c>
      <c r="X23" s="116">
        <v>2988.6554331023794</v>
      </c>
      <c r="Y23" s="8">
        <v>0</v>
      </c>
      <c r="Z23" s="116">
        <v>2981.2437209003324</v>
      </c>
      <c r="AA23" s="8">
        <v>0</v>
      </c>
      <c r="AB23" s="116">
        <v>2969.7255396370215</v>
      </c>
      <c r="AC23" s="8">
        <v>0</v>
      </c>
      <c r="AD23" s="116">
        <v>2952.2205437489447</v>
      </c>
      <c r="AE23" s="8">
        <v>0</v>
      </c>
      <c r="AF23" s="116">
        <v>2925.3223136422384</v>
      </c>
      <c r="AG23" s="8">
        <v>0</v>
      </c>
      <c r="AH23" s="116">
        <v>2882.0546283576659</v>
      </c>
      <c r="AI23" s="8">
        <v>0</v>
      </c>
      <c r="AJ23" s="116">
        <v>2806.0335858809622</v>
      </c>
      <c r="AK23" s="8">
        <v>0</v>
      </c>
      <c r="AL23" s="116">
        <v>2652.3585762033831</v>
      </c>
      <c r="AM23" s="8">
        <v>0</v>
      </c>
      <c r="AN23" s="116">
        <v>2254.7236833052602</v>
      </c>
      <c r="AO23" s="8">
        <v>0</v>
      </c>
      <c r="AP23" s="116">
        <v>2094.7224552382027</v>
      </c>
      <c r="AQ23" s="8">
        <v>0</v>
      </c>
      <c r="AR23" s="116">
        <v>1872.5620888983283</v>
      </c>
      <c r="AS23" s="8">
        <v>0</v>
      </c>
      <c r="AT23" s="116">
        <v>1544.7005342458319</v>
      </c>
      <c r="AU23" s="8">
        <v>0</v>
      </c>
      <c r="AV23" s="116">
        <v>1013.3530502596534</v>
      </c>
      <c r="AW23" s="8">
        <v>0</v>
      </c>
      <c r="AX23" s="59"/>
      <c r="AY23" s="8"/>
      <c r="AZ23" s="59"/>
      <c r="BA23" s="8"/>
      <c r="BB23" s="59"/>
      <c r="BC23" s="8"/>
      <c r="BD23" s="59"/>
      <c r="BE23" s="8"/>
      <c r="BF23" s="59"/>
      <c r="BG23" s="8"/>
      <c r="BH23" s="59"/>
      <c r="BI23" s="8"/>
      <c r="BJ23" s="59"/>
      <c r="BK23" s="8"/>
      <c r="BL23" s="59"/>
      <c r="BM23" s="8"/>
      <c r="BN23" s="59"/>
      <c r="BO23" s="8"/>
      <c r="BP23" s="59"/>
      <c r="BQ23" s="8"/>
      <c r="BR23" s="59"/>
      <c r="BS23" s="8"/>
      <c r="BT23" s="59"/>
      <c r="BU23" s="8"/>
      <c r="BV23" s="59"/>
      <c r="BW23" s="8"/>
      <c r="BX23" s="59"/>
      <c r="BY23" s="8"/>
      <c r="BZ23" s="59"/>
      <c r="CA23" s="8"/>
      <c r="CB23" s="59"/>
      <c r="CC23" s="8"/>
      <c r="CD23" s="59"/>
      <c r="CE23" s="8"/>
      <c r="CF23" s="59"/>
      <c r="CG23" s="8"/>
      <c r="CH23" s="59"/>
      <c r="CI23" s="8"/>
      <c r="CJ23" s="59"/>
      <c r="CK23" s="8"/>
      <c r="CL23" s="59"/>
      <c r="CM23" s="8"/>
      <c r="CN23" s="59"/>
      <c r="CO23" s="8"/>
      <c r="CP23" s="59"/>
      <c r="CQ23" s="8"/>
      <c r="CR23" s="59"/>
      <c r="CS23" s="8"/>
    </row>
    <row r="24" spans="1:97" x14ac:dyDescent="0.2">
      <c r="A24" t="s">
        <v>8</v>
      </c>
      <c r="B24" s="97">
        <v>2640.90721174284</v>
      </c>
      <c r="C24" s="8">
        <v>0</v>
      </c>
      <c r="D24" s="97">
        <v>2667.6117931941976</v>
      </c>
      <c r="E24" s="8">
        <v>0</v>
      </c>
      <c r="F24" s="97">
        <v>2694.9408267608719</v>
      </c>
      <c r="G24" s="8">
        <v>0</v>
      </c>
      <c r="H24" s="97">
        <v>2722.989408236695</v>
      </c>
      <c r="I24" s="8">
        <v>0</v>
      </c>
      <c r="J24" s="97">
        <v>2751.8713736830969</v>
      </c>
      <c r="K24" s="8">
        <v>0</v>
      </c>
      <c r="L24" s="97">
        <v>2781.7248793755939</v>
      </c>
      <c r="M24" s="8">
        <v>0</v>
      </c>
      <c r="N24" s="97">
        <v>2812.7220098834073</v>
      </c>
      <c r="O24" s="8">
        <v>0</v>
      </c>
      <c r="P24" s="97">
        <v>2845.0827567608294</v>
      </c>
      <c r="Q24" s="8">
        <v>0</v>
      </c>
      <c r="R24" s="97">
        <v>2879.0994098306846</v>
      </c>
      <c r="S24" s="8">
        <v>0</v>
      </c>
      <c r="T24" s="97">
        <v>2915.175269337095</v>
      </c>
      <c r="U24" s="8">
        <v>0</v>
      </c>
      <c r="V24" s="97">
        <v>2953.8931782131222</v>
      </c>
      <c r="W24" s="8">
        <v>0</v>
      </c>
      <c r="X24" s="97">
        <v>2996.1354221642709</v>
      </c>
      <c r="Y24" s="8">
        <v>0</v>
      </c>
      <c r="Z24" s="97">
        <v>3043.3003890376781</v>
      </c>
      <c r="AA24" s="8">
        <v>0</v>
      </c>
      <c r="AB24" s="97">
        <v>3097.6937281782307</v>
      </c>
      <c r="AC24" s="8">
        <v>0</v>
      </c>
      <c r="AD24" s="97">
        <v>3163.2025975742067</v>
      </c>
      <c r="AE24" s="8">
        <v>0</v>
      </c>
      <c r="AF24" s="97">
        <v>3246.2415415579126</v>
      </c>
      <c r="AG24" s="8">
        <v>0</v>
      </c>
      <c r="AH24" s="97">
        <v>3356.0469831500909</v>
      </c>
      <c r="AI24" s="8">
        <v>0</v>
      </c>
      <c r="AJ24" s="97">
        <v>3500.4661520720447</v>
      </c>
      <c r="AK24" s="8">
        <v>0</v>
      </c>
      <c r="AL24" s="97">
        <v>3667.9026366340054</v>
      </c>
      <c r="AM24" s="8">
        <v>0</v>
      </c>
      <c r="AN24" s="97">
        <v>3723.6181020291997</v>
      </c>
      <c r="AO24" s="8">
        <v>0</v>
      </c>
      <c r="AP24" s="97">
        <v>3657.0300419514792</v>
      </c>
      <c r="AQ24" s="8">
        <v>0</v>
      </c>
      <c r="AR24" s="97">
        <v>3503.5767171157145</v>
      </c>
      <c r="AS24" s="8">
        <v>0</v>
      </c>
      <c r="AT24" s="97">
        <v>3165.6957806124683</v>
      </c>
      <c r="AU24" s="8">
        <v>0</v>
      </c>
      <c r="AV24" s="97">
        <v>2367.3834940215729</v>
      </c>
      <c r="AW24" s="8">
        <v>0</v>
      </c>
      <c r="AX24" s="41"/>
      <c r="AY24" s="42"/>
      <c r="AZ24" s="41"/>
      <c r="BA24" s="42"/>
      <c r="BB24" s="41"/>
      <c r="BC24" s="42"/>
      <c r="BD24" s="41"/>
      <c r="BE24" s="42"/>
      <c r="BF24" s="41"/>
      <c r="BG24" s="42"/>
      <c r="BH24" s="41"/>
      <c r="BI24" s="42"/>
      <c r="BJ24" s="41"/>
      <c r="BK24" s="42"/>
      <c r="BL24" s="41"/>
      <c r="BM24" s="42"/>
      <c r="BN24" s="41"/>
      <c r="BO24" s="42"/>
      <c r="BP24" s="41"/>
      <c r="BQ24" s="42"/>
      <c r="BR24" s="41"/>
      <c r="BS24" s="42"/>
      <c r="BT24" s="41"/>
      <c r="BU24" s="42"/>
      <c r="BV24" s="41"/>
      <c r="BW24" s="42"/>
      <c r="BX24" s="41"/>
      <c r="BY24" s="42"/>
      <c r="BZ24" s="41"/>
      <c r="CA24" s="42"/>
      <c r="CB24" s="41"/>
      <c r="CC24" s="42"/>
      <c r="CD24" s="41"/>
      <c r="CE24" s="42"/>
      <c r="CF24" s="41"/>
      <c r="CG24" s="42"/>
      <c r="CH24" s="41"/>
      <c r="CI24" s="42"/>
      <c r="CJ24" s="41"/>
      <c r="CK24" s="42"/>
      <c r="CL24" s="41"/>
      <c r="CM24" s="42"/>
      <c r="CN24" s="41"/>
      <c r="CO24" s="42"/>
      <c r="CP24" s="41"/>
      <c r="CQ24" s="42"/>
      <c r="CR24" s="41"/>
      <c r="CS24" s="42"/>
    </row>
    <row r="25" spans="1:97" x14ac:dyDescent="0.2">
      <c r="A25" t="s">
        <v>0</v>
      </c>
      <c r="B25" s="41">
        <v>2407.0188299999995</v>
      </c>
      <c r="C25" s="42">
        <v>198.3609869999998</v>
      </c>
      <c r="D25" s="41">
        <v>2423.0384087986818</v>
      </c>
      <c r="E25" s="42">
        <v>177.46899068080586</v>
      </c>
      <c r="F25" s="41">
        <v>2438.8388670937102</v>
      </c>
      <c r="G25" s="42">
        <v>157.25160392769732</v>
      </c>
      <c r="H25" s="41">
        <v>2454.3641979426643</v>
      </c>
      <c r="I25" s="42">
        <v>137.79539943738058</v>
      </c>
      <c r="J25" s="41">
        <v>2469.5463030373812</v>
      </c>
      <c r="K25" s="42">
        <v>119.19327138166237</v>
      </c>
      <c r="L25" s="41">
        <v>2484.2989715471017</v>
      </c>
      <c r="M25" s="42">
        <v>101.54442724045767</v>
      </c>
      <c r="N25" s="41">
        <v>2498.5079291091374</v>
      </c>
      <c r="O25" s="42">
        <v>84.954623911285552</v>
      </c>
      <c r="P25" s="41">
        <v>2512.015955416919</v>
      </c>
      <c r="Q25" s="42">
        <v>69.535310297657304</v>
      </c>
      <c r="R25" s="41">
        <v>2524.5964353884619</v>
      </c>
      <c r="S25" s="42">
        <v>55.403325726084681</v>
      </c>
      <c r="T25" s="41">
        <v>2535.9091771866169</v>
      </c>
      <c r="U25" s="42">
        <v>42.678926501950684</v>
      </c>
      <c r="V25" s="41">
        <v>2545.4235551432994</v>
      </c>
      <c r="W25" s="42">
        <v>31.483296634018071</v>
      </c>
      <c r="X25" s="41">
        <v>2552.2821388087505</v>
      </c>
      <c r="Y25" s="42">
        <v>21.933197386267974</v>
      </c>
      <c r="Z25" s="41">
        <v>2555.0543980696953</v>
      </c>
      <c r="AA25" s="42">
        <v>14.131259113915048</v>
      </c>
      <c r="AB25" s="41">
        <v>2551.2873377915857</v>
      </c>
      <c r="AC25" s="42">
        <v>8.1472973264499551</v>
      </c>
      <c r="AD25" s="41">
        <v>2536.7006776003377</v>
      </c>
      <c r="AE25" s="42">
        <v>3.9825497950833531</v>
      </c>
      <c r="AF25" s="41">
        <v>2503.8786131312318</v>
      </c>
      <c r="AG25" s="42">
        <v>1.5067079977548778</v>
      </c>
      <c r="AH25" s="41">
        <v>2440.6928029915616</v>
      </c>
      <c r="AI25" s="42">
        <v>0.37819340327537343</v>
      </c>
      <c r="AJ25" s="41">
        <v>2329.1525177760732</v>
      </c>
      <c r="AK25" s="42">
        <v>4.8946004995892078E-2</v>
      </c>
      <c r="AL25" s="41">
        <v>2138.2331539178717</v>
      </c>
      <c r="AM25" s="42">
        <v>2.1069933503668516E-3</v>
      </c>
      <c r="AN25" s="41">
        <v>1757.9214790144486</v>
      </c>
      <c r="AO25" s="42">
        <v>9.8709921779199539E-6</v>
      </c>
      <c r="AP25" s="41">
        <v>1623.4776504272404</v>
      </c>
      <c r="AQ25" s="42">
        <v>1.9596984013297534E-6</v>
      </c>
      <c r="AR25" s="41">
        <v>1444.4440611985769</v>
      </c>
      <c r="AS25" s="42">
        <v>2.7514768618780493E-7</v>
      </c>
      <c r="AT25" s="41">
        <v>1189.199238198089</v>
      </c>
      <c r="AU25" s="42">
        <v>2.2635247170602822E-8</v>
      </c>
      <c r="AV25" s="41">
        <v>784.18365280338662</v>
      </c>
      <c r="AW25" s="42">
        <v>7.018353931086876E-10</v>
      </c>
      <c r="AX25" s="41"/>
      <c r="AY25" s="42"/>
      <c r="AZ25" s="41"/>
      <c r="BA25" s="42"/>
      <c r="BB25" s="41"/>
      <c r="BC25" s="42"/>
      <c r="BD25" s="41"/>
      <c r="BE25" s="42"/>
      <c r="BF25" s="41"/>
      <c r="BG25" s="42"/>
      <c r="BH25" s="41"/>
      <c r="BI25" s="42"/>
      <c r="BJ25" s="41"/>
      <c r="BK25" s="42"/>
      <c r="BL25" s="41"/>
      <c r="BM25" s="42"/>
      <c r="BN25" s="41"/>
      <c r="BO25" s="42"/>
      <c r="BP25" s="41"/>
      <c r="BQ25" s="42"/>
      <c r="BR25" s="41"/>
      <c r="BS25" s="42"/>
      <c r="BT25" s="41"/>
      <c r="BU25" s="42"/>
      <c r="BV25" s="41"/>
      <c r="BW25" s="42"/>
      <c r="BX25" s="41"/>
      <c r="BY25" s="42"/>
      <c r="BZ25" s="41"/>
      <c r="CA25" s="42"/>
      <c r="CB25" s="41"/>
      <c r="CC25" s="42"/>
      <c r="CD25" s="41"/>
      <c r="CE25" s="42"/>
      <c r="CF25" s="41"/>
      <c r="CG25" s="42"/>
      <c r="CH25" s="41"/>
      <c r="CI25" s="42"/>
      <c r="CJ25" s="41"/>
      <c r="CK25" s="42"/>
      <c r="CL25" s="41"/>
      <c r="CM25" s="42"/>
      <c r="CN25" s="41"/>
      <c r="CO25" s="42"/>
      <c r="CP25" s="41"/>
      <c r="CQ25" s="42"/>
      <c r="CR25" s="41"/>
      <c r="CS25" s="42"/>
    </row>
    <row r="26" spans="1:97" x14ac:dyDescent="0.2">
      <c r="A26" t="s">
        <v>27</v>
      </c>
      <c r="B26" s="33">
        <v>4453.9220762806681</v>
      </c>
      <c r="C26" s="34">
        <v>103.68339971933386</v>
      </c>
      <c r="D26" s="33">
        <v>4461.0671328768431</v>
      </c>
      <c r="E26" s="34">
        <v>96.538343123152046</v>
      </c>
      <c r="F26" s="33">
        <v>4468.2008178018013</v>
      </c>
      <c r="G26" s="34">
        <v>89.404658198201304</v>
      </c>
      <c r="H26" s="33">
        <v>4475.3197866263836</v>
      </c>
      <c r="I26" s="34">
        <v>82.285689373615767</v>
      </c>
      <c r="J26" s="33">
        <v>4482.4201485699004</v>
      </c>
      <c r="K26" s="34">
        <v>75.1853274300978</v>
      </c>
      <c r="L26" s="33">
        <v>4489.4970337668428</v>
      </c>
      <c r="M26" s="34">
        <v>68.108442233164837</v>
      </c>
      <c r="N26" s="33">
        <v>4496.543687992923</v>
      </c>
      <c r="O26" s="34">
        <v>61.061788007078782</v>
      </c>
      <c r="P26" s="33">
        <v>4503.5505828400583</v>
      </c>
      <c r="Q26" s="34">
        <v>54.054893159937372</v>
      </c>
      <c r="R26" s="33">
        <v>4510.5032265604432</v>
      </c>
      <c r="S26" s="34">
        <v>47.102249439560559</v>
      </c>
      <c r="T26" s="33">
        <v>4517.3791990596492</v>
      </c>
      <c r="U26" s="34">
        <v>40.2262769403536</v>
      </c>
      <c r="V26" s="33">
        <v>4524.1428156207294</v>
      </c>
      <c r="W26" s="34">
        <v>33.462660379276073</v>
      </c>
      <c r="X26" s="33">
        <v>4530.7367150280088</v>
      </c>
      <c r="Y26" s="34">
        <v>26.868760971992057</v>
      </c>
      <c r="Z26" s="33">
        <v>4537.0682174774229</v>
      </c>
      <c r="AA26" s="34">
        <v>20.537258522579911</v>
      </c>
      <c r="AB26" s="33">
        <v>4542.9885152499064</v>
      </c>
      <c r="AC26" s="34">
        <v>14.616960750098752</v>
      </c>
      <c r="AD26" s="33">
        <v>4548.2658216643431</v>
      </c>
      <c r="AE26" s="34">
        <v>9.3396543356545898</v>
      </c>
      <c r="AF26" s="33">
        <v>4552.570582594617</v>
      </c>
      <c r="AG26" s="34">
        <v>5.0348934053852874</v>
      </c>
      <c r="AH26" s="33">
        <v>4555.5439603228069</v>
      </c>
      <c r="AI26" s="34">
        <v>2.0615156771933112</v>
      </c>
      <c r="AJ26" s="33">
        <v>4557.0648114712467</v>
      </c>
      <c r="AK26" s="34">
        <v>0.54066452875170912</v>
      </c>
      <c r="AL26" s="33">
        <v>4557.5374229485114</v>
      </c>
      <c r="AM26" s="34">
        <v>6.805305148708736E-2</v>
      </c>
      <c r="AN26" s="33">
        <v>4557.6034761757501</v>
      </c>
      <c r="AO26" s="34">
        <v>1.9998242502344676E-3</v>
      </c>
      <c r="AP26" s="33">
        <v>4557.6047819346195</v>
      </c>
      <c r="AQ26" s="34">
        <v>6.9406538159727169E-4</v>
      </c>
      <c r="AR26" s="33">
        <v>4557.6052831749384</v>
      </c>
      <c r="AS26" s="34">
        <v>1.9282506148392986E-4</v>
      </c>
      <c r="AT26" s="33">
        <v>4557.6054378782665</v>
      </c>
      <c r="AU26" s="34">
        <v>3.8121735664324505E-5</v>
      </c>
      <c r="AV26" s="33">
        <v>4557.6054718983833</v>
      </c>
      <c r="AW26" s="34">
        <v>4.1016203938403884E-6</v>
      </c>
      <c r="AX26" s="41"/>
      <c r="AY26" s="42"/>
      <c r="AZ26" s="41"/>
      <c r="BA26" s="42"/>
      <c r="BB26" s="41"/>
      <c r="BC26" s="42"/>
      <c r="BD26" s="41"/>
      <c r="BE26" s="42"/>
      <c r="BF26" s="41"/>
      <c r="BG26" s="42"/>
      <c r="BH26" s="41"/>
      <c r="BI26" s="42"/>
      <c r="BJ26" s="41"/>
      <c r="BK26" s="42"/>
      <c r="BL26" s="41"/>
      <c r="BM26" s="42"/>
      <c r="BN26" s="41"/>
      <c r="BO26" s="42"/>
      <c r="BP26" s="41"/>
      <c r="BQ26" s="42"/>
      <c r="BR26" s="41"/>
      <c r="BS26" s="42"/>
      <c r="BT26" s="41"/>
      <c r="BU26" s="42"/>
      <c r="BV26" s="41"/>
      <c r="BW26" s="42"/>
      <c r="BX26" s="41"/>
      <c r="BY26" s="42"/>
      <c r="BZ26" s="41"/>
      <c r="CA26" s="42"/>
      <c r="CB26" s="41"/>
      <c r="CC26" s="42"/>
      <c r="CD26" s="41"/>
      <c r="CE26" s="42"/>
      <c r="CF26" s="41"/>
      <c r="CG26" s="42"/>
      <c r="CH26" s="41"/>
      <c r="CI26" s="42"/>
      <c r="CJ26" s="41"/>
      <c r="CK26" s="42"/>
      <c r="CL26" s="41"/>
      <c r="CM26" s="42"/>
      <c r="CN26" s="41"/>
      <c r="CO26" s="42"/>
      <c r="CP26" s="41"/>
      <c r="CQ26" s="42"/>
      <c r="CR26" s="41"/>
      <c r="CS26" s="42"/>
    </row>
    <row r="27" spans="1:97" x14ac:dyDescent="0.2">
      <c r="A27" t="s">
        <v>2</v>
      </c>
      <c r="B27" s="35">
        <v>5438.4286200000097</v>
      </c>
      <c r="C27" s="36">
        <v>274.41908699999959</v>
      </c>
      <c r="D27" s="35">
        <v>5457.1061106803663</v>
      </c>
      <c r="E27" s="36">
        <v>255.74161892438983</v>
      </c>
      <c r="F27" s="35">
        <v>5475.7885123892656</v>
      </c>
      <c r="G27" s="36">
        <v>237.05919484518381</v>
      </c>
      <c r="H27" s="35">
        <v>5494.4667793997814</v>
      </c>
      <c r="I27" s="36">
        <v>218.38092785370955</v>
      </c>
      <c r="J27" s="35">
        <v>5513.1304252805048</v>
      </c>
      <c r="K27" s="36">
        <v>199.71729380349828</v>
      </c>
      <c r="L27" s="35">
        <v>5531.7663887569388</v>
      </c>
      <c r="M27" s="36">
        <v>181.0813180189848</v>
      </c>
      <c r="N27" s="35">
        <v>5550.3563629914861</v>
      </c>
      <c r="O27" s="36">
        <v>162.49134545923232</v>
      </c>
      <c r="P27" s="35">
        <v>5568.8747762249814</v>
      </c>
      <c r="Q27" s="36">
        <v>143.97293661752246</v>
      </c>
      <c r="R27" s="35">
        <v>5587.2825522988769</v>
      </c>
      <c r="S27" s="36">
        <v>125.56515549726443</v>
      </c>
      <c r="T27" s="35">
        <v>5605.5194327796171</v>
      </c>
      <c r="U27" s="36">
        <v>107.32827664528467</v>
      </c>
      <c r="V27" s="35">
        <v>5623.4894057411102</v>
      </c>
      <c r="W27" s="36">
        <v>89.358303242237994</v>
      </c>
      <c r="X27" s="35">
        <v>5641.0381214094041</v>
      </c>
      <c r="Y27" s="36">
        <v>71.809586518038202</v>
      </c>
      <c r="Z27" s="35">
        <v>5657.9160454557541</v>
      </c>
      <c r="AA27" s="36">
        <v>54.931664352602915</v>
      </c>
      <c r="AB27" s="35">
        <v>5673.7221994010752</v>
      </c>
      <c r="AC27" s="36">
        <v>39.125509674650559</v>
      </c>
      <c r="AD27" s="35">
        <v>5687.8315325149069</v>
      </c>
      <c r="AE27" s="36">
        <v>25.016173067833698</v>
      </c>
      <c r="AF27" s="35">
        <v>5699.3545234810881</v>
      </c>
      <c r="AG27" s="36">
        <v>13.493187168261455</v>
      </c>
      <c r="AH27" s="35">
        <v>5707.3209248519643</v>
      </c>
      <c r="AI27" s="36">
        <v>5.5267819770700211</v>
      </c>
      <c r="AJ27" s="35">
        <v>5711.3979466648852</v>
      </c>
      <c r="AK27" s="36">
        <v>1.4497600337996424</v>
      </c>
      <c r="AL27" s="35">
        <v>5712.6652160151416</v>
      </c>
      <c r="AM27" s="36">
        <v>0.182491048206715</v>
      </c>
      <c r="AN27" s="35">
        <v>5712.8423442741969</v>
      </c>
      <c r="AO27" s="36">
        <v>5.3627732569982867E-3</v>
      </c>
      <c r="AP27" s="35">
        <v>5712.8458458112373</v>
      </c>
      <c r="AQ27" s="36">
        <v>1.8612215371099452E-3</v>
      </c>
      <c r="AR27" s="35">
        <v>5712.847189914959</v>
      </c>
      <c r="AS27" s="36">
        <v>5.1708400263775884E-4</v>
      </c>
      <c r="AT27" s="35">
        <v>5712.847604769895</v>
      </c>
      <c r="AU27" s="36">
        <v>1.0222808764019749E-4</v>
      </c>
      <c r="AV27" s="35">
        <v>5712.8476959978943</v>
      </c>
      <c r="AW27" s="36">
        <v>1.0998998281757267E-5</v>
      </c>
      <c r="AX27" s="41"/>
      <c r="AY27" s="42"/>
      <c r="AZ27" s="41"/>
      <c r="BA27" s="42"/>
      <c r="BB27" s="41"/>
      <c r="BC27" s="42"/>
      <c r="BD27" s="41"/>
      <c r="BE27" s="42"/>
      <c r="BF27" s="41"/>
      <c r="BG27" s="42"/>
      <c r="BH27" s="41"/>
      <c r="BI27" s="42"/>
      <c r="BJ27" s="41"/>
      <c r="BK27" s="42"/>
      <c r="BL27" s="41"/>
      <c r="BM27" s="42"/>
      <c r="BN27" s="41"/>
      <c r="BO27" s="42"/>
      <c r="BP27" s="41"/>
      <c r="BQ27" s="42"/>
      <c r="BR27" s="41"/>
      <c r="BS27" s="42"/>
      <c r="BT27" s="41"/>
      <c r="BU27" s="42"/>
      <c r="BV27" s="41"/>
      <c r="BW27" s="42"/>
      <c r="BX27" s="41"/>
      <c r="BY27" s="42"/>
      <c r="BZ27" s="41"/>
      <c r="CA27" s="42"/>
      <c r="CB27" s="41"/>
      <c r="CC27" s="42"/>
      <c r="CD27" s="41"/>
      <c r="CE27" s="42"/>
      <c r="CF27" s="41"/>
      <c r="CG27" s="42"/>
      <c r="CH27" s="41"/>
      <c r="CI27" s="42"/>
      <c r="CJ27" s="41"/>
      <c r="CK27" s="42"/>
      <c r="CL27" s="41"/>
      <c r="CM27" s="42"/>
      <c r="CN27" s="41"/>
      <c r="CO27" s="42"/>
      <c r="CP27" s="41"/>
      <c r="CQ27" s="42"/>
      <c r="CR27" s="41"/>
      <c r="CS27" s="42"/>
    </row>
    <row r="28" spans="1:97" x14ac:dyDescent="0.2">
      <c r="A28" t="s">
        <v>35</v>
      </c>
      <c r="B28" s="41">
        <v>11932.388276000003</v>
      </c>
      <c r="C28" s="42">
        <v>425.59270699999968</v>
      </c>
      <c r="D28" s="41">
        <v>11961.467007517605</v>
      </c>
      <c r="E28" s="42">
        <v>396.49727189381673</v>
      </c>
      <c r="F28" s="41">
        <v>11990.501164290545</v>
      </c>
      <c r="G28" s="42">
        <v>367.4130332073679</v>
      </c>
      <c r="H28" s="41">
        <v>12019.476949136866</v>
      </c>
      <c r="I28" s="42">
        <v>338.35409443540243</v>
      </c>
      <c r="J28" s="41">
        <v>12048.378401141877</v>
      </c>
      <c r="K28" s="42">
        <v>309.33671755006822</v>
      </c>
      <c r="L28" s="41">
        <v>12077.185651843422</v>
      </c>
      <c r="M28" s="42">
        <v>280.38114135795951</v>
      </c>
      <c r="N28" s="41">
        <v>12105.870985828515</v>
      </c>
      <c r="O28" s="42">
        <v>251.51566761600168</v>
      </c>
      <c r="P28" s="41">
        <v>12134.395589837957</v>
      </c>
      <c r="Q28" s="42">
        <v>222.77985834198793</v>
      </c>
      <c r="R28" s="41">
        <v>12162.700271113175</v>
      </c>
      <c r="S28" s="42">
        <v>194.2340097516259</v>
      </c>
      <c r="T28" s="41">
        <v>12190.69368348056</v>
      </c>
      <c r="U28" s="42">
        <v>165.97118331702274</v>
      </c>
      <c r="V28" s="41">
        <v>12218.230397429214</v>
      </c>
      <c r="W28" s="42">
        <v>138.13949744768288</v>
      </c>
      <c r="X28" s="41">
        <v>12245.076749748743</v>
      </c>
      <c r="Y28" s="42">
        <v>110.97700394596991</v>
      </c>
      <c r="Z28" s="41">
        <v>12270.855278283792</v>
      </c>
      <c r="AA28" s="42">
        <v>84.868401159844211</v>
      </c>
      <c r="AB28" s="41">
        <v>12294.959967790075</v>
      </c>
      <c r="AC28" s="42">
        <v>60.431595459236476</v>
      </c>
      <c r="AD28" s="41">
        <v>12316.446954770337</v>
      </c>
      <c r="AE28" s="42">
        <v>38.629453475595184</v>
      </c>
      <c r="AF28" s="41">
        <v>12333.974287644358</v>
      </c>
      <c r="AG28" s="42">
        <v>20.831728235701664</v>
      </c>
      <c r="AH28" s="41">
        <v>12346.080804221549</v>
      </c>
      <c r="AI28" s="42">
        <v>8.5314543134203173</v>
      </c>
      <c r="AJ28" s="41">
        <v>12352.273176871822</v>
      </c>
      <c r="AK28" s="42">
        <v>2.2377735422385601</v>
      </c>
      <c r="AL28" s="41">
        <v>12354.197487589827</v>
      </c>
      <c r="AM28" s="42">
        <v>0.28167739898448119</v>
      </c>
      <c r="AN28" s="41">
        <v>12354.466433562326</v>
      </c>
      <c r="AO28" s="42">
        <v>8.2774871383716232E-3</v>
      </c>
      <c r="AP28" s="41">
        <v>12354.471750149249</v>
      </c>
      <c r="AQ28" s="42">
        <v>2.8728114206950338E-3</v>
      </c>
      <c r="AR28" s="41">
        <v>12354.473790995342</v>
      </c>
      <c r="AS28" s="42">
        <v>7.9812363995280795E-4</v>
      </c>
      <c r="AT28" s="41">
        <v>12354.474420893095</v>
      </c>
      <c r="AU28" s="42">
        <v>1.57789946440828E-4</v>
      </c>
      <c r="AV28" s="41">
        <v>12354.474559410242</v>
      </c>
      <c r="AW28" s="42">
        <v>1.6977048499092251E-5</v>
      </c>
      <c r="AX28" s="35"/>
      <c r="AY28" s="36"/>
      <c r="AZ28" s="35"/>
      <c r="BA28" s="36"/>
      <c r="BB28" s="35"/>
      <c r="BC28" s="36"/>
      <c r="BD28" s="35"/>
      <c r="BE28" s="36"/>
      <c r="BF28" s="35"/>
      <c r="BG28" s="36"/>
      <c r="BH28" s="35"/>
      <c r="BI28" s="36"/>
      <c r="BJ28" s="35"/>
      <c r="BK28" s="36"/>
      <c r="BL28" s="35"/>
      <c r="BM28" s="36"/>
      <c r="BN28" s="35"/>
      <c r="BO28" s="36"/>
      <c r="BP28" s="35"/>
      <c r="BQ28" s="36"/>
      <c r="BR28" s="35"/>
      <c r="BS28" s="36"/>
      <c r="BT28" s="35"/>
      <c r="BU28" s="36"/>
      <c r="BV28" s="35"/>
      <c r="BW28" s="36"/>
      <c r="BX28" s="35"/>
      <c r="BY28" s="36"/>
      <c r="BZ28" s="35"/>
      <c r="CA28" s="36"/>
      <c r="CB28" s="35"/>
      <c r="CC28" s="36"/>
      <c r="CD28" s="35"/>
      <c r="CE28" s="36"/>
      <c r="CF28" s="35"/>
      <c r="CG28" s="36"/>
      <c r="CH28" s="35"/>
      <c r="CI28" s="36"/>
      <c r="CJ28" s="35"/>
      <c r="CK28" s="36"/>
      <c r="CL28" s="35"/>
      <c r="CM28" s="36"/>
      <c r="CN28" s="35"/>
      <c r="CO28" s="36"/>
      <c r="CP28" s="35"/>
      <c r="CQ28" s="36"/>
      <c r="CR28" s="35"/>
      <c r="CS28" s="36"/>
    </row>
    <row r="29" spans="1:97" x14ac:dyDescent="0.2">
      <c r="A29" t="s">
        <v>53</v>
      </c>
      <c r="B29" s="35">
        <v>12524.290636000003</v>
      </c>
      <c r="C29" s="36">
        <v>853.02040299999965</v>
      </c>
      <c r="D29" s="35">
        <v>12534.618412563153</v>
      </c>
      <c r="E29" s="36">
        <v>787.85875620573586</v>
      </c>
      <c r="F29" s="35">
        <v>12542.960578994167</v>
      </c>
      <c r="G29" s="36">
        <v>723.25379679851653</v>
      </c>
      <c r="H29" s="35">
        <v>12549.00388080544</v>
      </c>
      <c r="I29" s="36">
        <v>659.29092901039553</v>
      </c>
      <c r="J29" s="35">
        <v>12552.366071841117</v>
      </c>
      <c r="K29" s="36">
        <v>596.06810584019593</v>
      </c>
      <c r="L29" s="35">
        <v>12552.572925282026</v>
      </c>
      <c r="M29" s="36">
        <v>533.70070399127405</v>
      </c>
      <c r="N29" s="35">
        <v>12549.023780054064</v>
      </c>
      <c r="O29" s="36">
        <v>472.33078702799656</v>
      </c>
      <c r="P29" s="35">
        <v>12540.944651678425</v>
      </c>
      <c r="Q29" s="36">
        <v>412.13475500118648</v>
      </c>
      <c r="R29" s="35">
        <v>12527.311849696294</v>
      </c>
      <c r="S29" s="36">
        <v>353.34231645444908</v>
      </c>
      <c r="T29" s="35">
        <v>12506.735296616702</v>
      </c>
      <c r="U29" s="36">
        <v>296.25902305586908</v>
      </c>
      <c r="V29" s="35">
        <v>12477.265867678974</v>
      </c>
      <c r="W29" s="36">
        <v>241.30510525041063</v>
      </c>
      <c r="X29" s="35">
        <v>12436.069755299826</v>
      </c>
      <c r="Y29" s="36">
        <v>189.07122604391438</v>
      </c>
      <c r="Z29" s="35">
        <v>12378.851686189801</v>
      </c>
      <c r="AA29" s="36">
        <v>140.40104361148539</v>
      </c>
      <c r="AB29" s="35">
        <v>12298.788258774288</v>
      </c>
      <c r="AC29" s="36">
        <v>96.500761791122059</v>
      </c>
      <c r="AD29" s="35">
        <v>12184.472798482941</v>
      </c>
      <c r="AE29" s="36">
        <v>59.041738262001758</v>
      </c>
      <c r="AF29" s="35">
        <v>12015.83422454521</v>
      </c>
      <c r="AG29" s="36">
        <v>30.09407614496175</v>
      </c>
      <c r="AH29" s="35">
        <v>11755.829774352746</v>
      </c>
      <c r="AI29" s="36">
        <v>11.423300756658769</v>
      </c>
      <c r="AJ29" s="35">
        <v>11331.42246225191</v>
      </c>
      <c r="AK29" s="36">
        <v>2.690282133209899</v>
      </c>
      <c r="AL29" s="35">
        <v>10570.221545001643</v>
      </c>
      <c r="AM29" s="36">
        <v>0.28739287522140616</v>
      </c>
      <c r="AN29" s="35">
        <v>8864.0915795827132</v>
      </c>
      <c r="AO29" s="36">
        <v>6.2740240783828232E-3</v>
      </c>
      <c r="AP29" s="35">
        <v>8223.3019560538523</v>
      </c>
      <c r="AQ29" s="36">
        <v>1.9732636421163842E-3</v>
      </c>
      <c r="AR29" s="35">
        <v>7353.3123587138689</v>
      </c>
      <c r="AS29" s="36">
        <v>4.8206433203137731E-4</v>
      </c>
      <c r="AT29" s="35">
        <v>6090.7549177587571</v>
      </c>
      <c r="AU29" s="36">
        <v>7.9276518950485887E-5</v>
      </c>
      <c r="AV29" s="35">
        <v>4051.1111877185876</v>
      </c>
      <c r="AW29" s="36">
        <v>6.1798024156211636E-6</v>
      </c>
      <c r="AX29" s="118"/>
      <c r="AZ29" s="119"/>
      <c r="BB29" s="119"/>
      <c r="BD29" s="119"/>
      <c r="BF29" s="119"/>
      <c r="BH29" s="119"/>
      <c r="BJ29" s="119"/>
      <c r="BL29" s="119"/>
      <c r="BN29" s="119"/>
      <c r="BP29" s="119"/>
      <c r="BR29" s="119"/>
      <c r="BT29" s="119"/>
      <c r="BV29" s="119"/>
      <c r="BX29" s="119"/>
      <c r="BZ29" s="119"/>
      <c r="CB29" s="119"/>
      <c r="CD29" s="119"/>
      <c r="CF29" s="119"/>
      <c r="CH29" s="119"/>
      <c r="CJ29" s="119"/>
      <c r="CL29" s="119"/>
      <c r="CN29" s="119"/>
      <c r="CP29" s="119"/>
      <c r="CR29" s="119"/>
    </row>
    <row r="30" spans="1:97" x14ac:dyDescent="0.2">
      <c r="A30" t="s">
        <v>48</v>
      </c>
      <c r="B30" s="119">
        <v>2644238.3989999997</v>
      </c>
      <c r="D30" s="119">
        <v>2696509.5136803398</v>
      </c>
      <c r="F30" s="119">
        <v>2749503.1352341655</v>
      </c>
      <c r="H30" s="119">
        <v>2803375.0876560411</v>
      </c>
      <c r="J30" s="119">
        <v>2858310.5649861498</v>
      </c>
      <c r="L30" s="119">
        <v>2914535.6899144724</v>
      </c>
      <c r="N30" s="119">
        <v>2972334.4617331983</v>
      </c>
      <c r="P30" s="119">
        <v>3032075.330870246</v>
      </c>
      <c r="R30" s="119">
        <v>3094254.2638507271</v>
      </c>
      <c r="T30" s="119">
        <v>3159573.3443008591</v>
      </c>
      <c r="V30" s="119">
        <v>3229071.6793757076</v>
      </c>
      <c r="X30" s="119">
        <v>3304368.5389664415</v>
      </c>
      <c r="Z30" s="119">
        <v>3388109.9558894048</v>
      </c>
      <c r="AB30" s="119">
        <v>3484804.2259479193</v>
      </c>
      <c r="AD30" s="119">
        <v>3602349.4810089329</v>
      </c>
      <c r="AF30" s="119">
        <v>3754486.2864077725</v>
      </c>
      <c r="AH30" s="119">
        <v>3963034.4060182013</v>
      </c>
      <c r="AJ30" s="119">
        <v>4253843.162585279</v>
      </c>
      <c r="AL30" s="119">
        <v>4633944.1708323471</v>
      </c>
      <c r="AN30" s="119">
        <v>4965823.0288037285</v>
      </c>
      <c r="AP30" s="119">
        <v>4946738.0941845495</v>
      </c>
      <c r="AR30" s="119">
        <v>4817049.8762456281</v>
      </c>
      <c r="AT30" s="119">
        <v>4438292.5584348664</v>
      </c>
      <c r="AV30" s="119">
        <v>3403624.2398615004</v>
      </c>
      <c r="AX30" s="86"/>
      <c r="AZ30" s="86"/>
      <c r="BB30" s="86"/>
      <c r="BD30" s="86"/>
      <c r="BF30" s="86"/>
      <c r="BH30" s="86"/>
      <c r="BJ30" s="86"/>
      <c r="BL30" s="86"/>
      <c r="BN30" s="86"/>
      <c r="BP30" s="86"/>
      <c r="BR30" s="86"/>
      <c r="BT30" s="86"/>
      <c r="BV30" s="86"/>
      <c r="BX30" s="86"/>
      <c r="BZ30" s="86"/>
      <c r="CB30" s="86"/>
      <c r="CD30" s="86"/>
      <c r="CF30" s="86"/>
      <c r="CH30" s="86"/>
      <c r="CJ30" s="86"/>
      <c r="CL30" s="86"/>
      <c r="CN30" s="86"/>
      <c r="CP30" s="86"/>
      <c r="CR30" s="86"/>
    </row>
    <row r="31" spans="1:97" x14ac:dyDescent="0.2">
      <c r="A31" t="s">
        <v>47</v>
      </c>
      <c r="B31" s="80">
        <v>0.99999999999999956</v>
      </c>
      <c r="D31" s="80">
        <v>0.99444591610775457</v>
      </c>
      <c r="F31" s="80">
        <v>0.98832398885785544</v>
      </c>
      <c r="H31" s="80">
        <v>0.98155485786275998</v>
      </c>
      <c r="J31" s="80">
        <v>0.97404297476950719</v>
      </c>
      <c r="L31" s="80">
        <v>0.96567204220783953</v>
      </c>
      <c r="N31" s="80">
        <v>0.95629799805413807</v>
      </c>
      <c r="P31" s="80">
        <v>0.94573972610617074</v>
      </c>
      <c r="R31" s="80">
        <v>0.93376390646056395</v>
      </c>
      <c r="T31" s="80">
        <v>0.92006316660733312</v>
      </c>
      <c r="V31" s="80">
        <v>0.90421972939464912</v>
      </c>
      <c r="X31" s="80">
        <v>0.88564636602078417</v>
      </c>
      <c r="Z31" s="80">
        <v>0.86348466526882439</v>
      </c>
      <c r="AB31" s="80">
        <v>0.83642519107603419</v>
      </c>
      <c r="AD31" s="80">
        <v>0.80238481689363084</v>
      </c>
      <c r="AF31" s="80">
        <v>0.75794214216834832</v>
      </c>
      <c r="AH31" s="80">
        <v>0.69744648234885309</v>
      </c>
      <c r="AJ31" s="80">
        <v>0.61173763947405335</v>
      </c>
      <c r="AL31" s="80">
        <v>0.48516789846608083</v>
      </c>
      <c r="AN31" s="80">
        <v>0.28500358745058368</v>
      </c>
      <c r="AP31" s="80">
        <v>0.23086212220297583</v>
      </c>
      <c r="AR31" s="80">
        <v>0.17080624919208309</v>
      </c>
      <c r="AT31" s="80">
        <v>0.10553097572575747</v>
      </c>
      <c r="AV31" s="80">
        <v>4.0042490619631235E-2</v>
      </c>
      <c r="AX31" s="70"/>
      <c r="AZ31" s="70"/>
      <c r="BB31" s="70"/>
      <c r="BD31" s="70"/>
      <c r="BF31" s="70"/>
      <c r="BH31" s="70"/>
      <c r="BJ31" s="70"/>
      <c r="BL31" s="70"/>
      <c r="BN31" s="70"/>
      <c r="BP31" s="70"/>
      <c r="BR31" s="70"/>
      <c r="BT31" s="70"/>
      <c r="BV31" s="70"/>
      <c r="BX31" s="70"/>
      <c r="BZ31" s="70"/>
      <c r="CB31" s="70"/>
      <c r="CD31" s="70"/>
      <c r="CF31" s="70"/>
      <c r="CH31" s="70"/>
      <c r="CJ31" s="70"/>
      <c r="CL31" s="70"/>
      <c r="CN31" s="70"/>
      <c r="CP31" s="70"/>
      <c r="CR31" s="70"/>
    </row>
    <row r="32" spans="1:97" x14ac:dyDescent="0.2">
      <c r="A32" t="s">
        <v>64</v>
      </c>
      <c r="B32" s="86">
        <v>12914691.582000002</v>
      </c>
      <c r="C32" s="38"/>
      <c r="D32" s="86">
        <v>12899771.347745398</v>
      </c>
      <c r="E32" s="38"/>
      <c r="F32" s="86">
        <v>12882952.160985757</v>
      </c>
      <c r="G32" s="38"/>
      <c r="H32" s="86">
        <v>12863958.971456643</v>
      </c>
      <c r="I32" s="38"/>
      <c r="J32" s="86">
        <v>12842451.598879423</v>
      </c>
      <c r="K32" s="38"/>
      <c r="L32" s="86">
        <v>12818009.943411415</v>
      </c>
      <c r="M32" s="38"/>
      <c r="N32" s="86">
        <v>12790113.411956787</v>
      </c>
      <c r="O32" s="38"/>
      <c r="P32" s="86">
        <v>12758120.507229235</v>
      </c>
      <c r="Q32" s="38"/>
      <c r="R32" s="86">
        <v>12721238.658551933</v>
      </c>
      <c r="S32" s="38"/>
      <c r="T32" s="86">
        <v>12678495.729889927</v>
      </c>
      <c r="U32" s="38"/>
      <c r="V32" s="86">
        <v>12628701.875817044</v>
      </c>
      <c r="W32" s="38"/>
      <c r="X32" s="86">
        <v>12570410.512414832</v>
      </c>
      <c r="Y32" s="38"/>
      <c r="Z32" s="86">
        <v>12501863.607233634</v>
      </c>
      <c r="AA32" s="38"/>
      <c r="AB32" s="86">
        <v>12420866.663704714</v>
      </c>
      <c r="AC32" s="38"/>
      <c r="AD32" s="86">
        <v>12324319.793758623</v>
      </c>
      <c r="AE32" s="38"/>
      <c r="AF32" s="86">
        <v>12206174.291808745</v>
      </c>
      <c r="AG32" s="38"/>
      <c r="AH32" s="86">
        <v>12048902.056730084</v>
      </c>
      <c r="AI32" s="38"/>
      <c r="AJ32" s="86">
        <v>11792791.634949818</v>
      </c>
      <c r="AK32" s="38"/>
      <c r="AL32" s="86">
        <v>11240565.136880001</v>
      </c>
      <c r="AM32" s="38"/>
      <c r="AN32" s="86">
        <v>9654710.2006127238</v>
      </c>
      <c r="AO32" s="38"/>
      <c r="AP32" s="86">
        <v>8990748.4614000637</v>
      </c>
      <c r="AQ32" s="38"/>
      <c r="AR32" s="86">
        <v>8058261.2254496114</v>
      </c>
      <c r="AS32" s="38"/>
      <c r="AT32" s="86">
        <v>6668362.5460806945</v>
      </c>
      <c r="AU32" s="38"/>
      <c r="AV32" s="86">
        <v>4394184.9957167143</v>
      </c>
      <c r="AW32" s="38"/>
      <c r="AX32" s="37"/>
      <c r="AY32" s="38"/>
      <c r="AZ32" s="37"/>
      <c r="BA32" s="38"/>
      <c r="BB32" s="37"/>
      <c r="BC32" s="38"/>
      <c r="BD32" s="37"/>
      <c r="BE32" s="38"/>
      <c r="BF32" s="37"/>
      <c r="BG32" s="38"/>
      <c r="BH32" s="37"/>
      <c r="BI32" s="38"/>
      <c r="BJ32" s="37"/>
      <c r="BK32" s="38"/>
      <c r="BL32" s="37"/>
      <c r="BM32" s="38"/>
      <c r="BN32" s="37"/>
      <c r="BO32" s="38"/>
      <c r="BP32" s="37"/>
      <c r="BQ32" s="38"/>
      <c r="BR32" s="37"/>
      <c r="BS32" s="38"/>
      <c r="BT32" s="37"/>
      <c r="BU32" s="38"/>
      <c r="BV32" s="37"/>
      <c r="BW32" s="38"/>
      <c r="BX32" s="37"/>
      <c r="BY32" s="38"/>
      <c r="BZ32" s="37"/>
      <c r="CA32" s="38"/>
      <c r="CB32" s="37"/>
      <c r="CC32" s="38"/>
      <c r="CD32" s="37"/>
      <c r="CE32" s="38"/>
      <c r="CF32" s="37"/>
      <c r="CG32" s="38"/>
      <c r="CH32" s="37"/>
      <c r="CI32" s="38"/>
      <c r="CJ32" s="37"/>
      <c r="CK32" s="38"/>
      <c r="CL32" s="37"/>
      <c r="CM32" s="38"/>
      <c r="CN32" s="37"/>
      <c r="CO32" s="38"/>
      <c r="CP32" s="37"/>
      <c r="CQ32" s="38"/>
      <c r="CR32" s="37"/>
      <c r="CS32" s="38"/>
    </row>
    <row r="33" spans="1:97 16384:16384" x14ac:dyDescent="0.2">
      <c r="A33" t="s">
        <v>54</v>
      </c>
      <c r="B33" s="117">
        <v>6152691.9630000014</v>
      </c>
      <c r="C33" s="40"/>
      <c r="D33" s="117">
        <v>6123490.6292476933</v>
      </c>
      <c r="E33" s="40"/>
      <c r="F33" s="117">
        <v>6092539.6950764162</v>
      </c>
      <c r="G33" s="40"/>
      <c r="H33" s="117">
        <v>6059567.7618738869</v>
      </c>
      <c r="I33" s="40"/>
      <c r="J33" s="117">
        <v>6024242.2790681683</v>
      </c>
      <c r="K33" s="40"/>
      <c r="L33" s="117">
        <v>5986154.2957802135</v>
      </c>
      <c r="M33" s="40"/>
      <c r="N33" s="117">
        <v>5944794.2056039525</v>
      </c>
      <c r="O33" s="40"/>
      <c r="P33" s="117">
        <v>5899521.2685176199</v>
      </c>
      <c r="Q33" s="40"/>
      <c r="R33" s="117">
        <v>5849513.2693079859</v>
      </c>
      <c r="S33" s="40"/>
      <c r="T33" s="117">
        <v>5793699.8357566027</v>
      </c>
      <c r="U33" s="40"/>
      <c r="V33" s="117">
        <v>5730647.450660021</v>
      </c>
      <c r="W33" s="40"/>
      <c r="X33" s="117">
        <v>5658376.6561994106</v>
      </c>
      <c r="Y33" s="40"/>
      <c r="Z33" s="117">
        <v>5574036.0784368003</v>
      </c>
      <c r="AA33" s="40"/>
      <c r="AB33" s="117">
        <v>5473286.8572090948</v>
      </c>
      <c r="AC33" s="40"/>
      <c r="AD33" s="117">
        <v>5349048.2779520005</v>
      </c>
      <c r="AE33" s="40"/>
      <c r="AF33" s="117">
        <v>5188731.6194715137</v>
      </c>
      <c r="AG33" s="40"/>
      <c r="AH33" s="117">
        <v>4967739.0182230314</v>
      </c>
      <c r="AI33" s="40"/>
      <c r="AJ33" s="117">
        <v>4633440.4005657211</v>
      </c>
      <c r="AK33" s="40"/>
      <c r="AL33" s="117">
        <v>4060898.2129610982</v>
      </c>
      <c r="AM33" s="40"/>
      <c r="AN33" s="117">
        <v>2882169.1778704207</v>
      </c>
      <c r="AO33" s="40"/>
      <c r="AP33" s="117">
        <v>2485776.5410477137</v>
      </c>
      <c r="AQ33" s="40"/>
      <c r="AR33" s="117">
        <v>1992311.4399727611</v>
      </c>
      <c r="AS33" s="40"/>
      <c r="AT33" s="117">
        <v>1370781.9814018896</v>
      </c>
      <c r="AU33" s="40"/>
      <c r="AV33" s="117">
        <v>608879.02817741875</v>
      </c>
      <c r="AW33" s="40"/>
      <c r="AX33" s="39"/>
      <c r="AY33" s="40"/>
      <c r="AZ33" s="39"/>
      <c r="BA33" s="40"/>
      <c r="BB33" s="39"/>
      <c r="BC33" s="40"/>
      <c r="BD33" s="39"/>
      <c r="BE33" s="40"/>
      <c r="BF33" s="39"/>
      <c r="BG33" s="40"/>
      <c r="BH33" s="39"/>
      <c r="BI33" s="40"/>
      <c r="BJ33" s="39"/>
      <c r="BK33" s="40"/>
      <c r="BL33" s="39"/>
      <c r="BM33" s="40"/>
      <c r="BN33" s="39"/>
      <c r="BO33" s="40"/>
      <c r="BP33" s="39"/>
      <c r="BQ33" s="40"/>
      <c r="BR33" s="39"/>
      <c r="BS33" s="40"/>
      <c r="BT33" s="39"/>
      <c r="BU33" s="40"/>
      <c r="BV33" s="39"/>
      <c r="BW33" s="40"/>
      <c r="BX33" s="39"/>
      <c r="BY33" s="40"/>
      <c r="BZ33" s="39"/>
      <c r="CA33" s="40"/>
      <c r="CB33" s="39"/>
      <c r="CC33" s="40"/>
      <c r="CD33" s="39"/>
      <c r="CE33" s="40"/>
      <c r="CF33" s="39"/>
      <c r="CG33" s="40"/>
      <c r="CH33" s="39"/>
      <c r="CI33" s="40"/>
      <c r="CJ33" s="39"/>
      <c r="CK33" s="40"/>
      <c r="CL33" s="39"/>
      <c r="CM33" s="40"/>
      <c r="CN33" s="39"/>
      <c r="CO33" s="40"/>
      <c r="CP33" s="39"/>
      <c r="CQ33" s="40"/>
      <c r="CR33" s="39"/>
      <c r="CS33" s="40"/>
    </row>
    <row r="34" spans="1:97 16384:16384" x14ac:dyDescent="0.2">
      <c r="A34" t="s">
        <v>75</v>
      </c>
      <c r="B34" s="70">
        <v>1059641.3710000017</v>
      </c>
      <c r="C34" s="38"/>
      <c r="D34" s="70">
        <v>1058416.9618673944</v>
      </c>
      <c r="E34" s="38"/>
      <c r="F34" s="70">
        <v>1057037.1655652651</v>
      </c>
      <c r="G34" s="38"/>
      <c r="H34" s="70">
        <v>1055478.7825216178</v>
      </c>
      <c r="I34" s="38"/>
      <c r="J34" s="70">
        <v>1053714.0468675583</v>
      </c>
      <c r="K34" s="38"/>
      <c r="L34" s="70">
        <v>1051708.690580362</v>
      </c>
      <c r="M34" s="38"/>
      <c r="N34" s="70">
        <v>1049419.8169551857</v>
      </c>
      <c r="O34" s="38"/>
      <c r="P34" s="70">
        <v>1046794.6876636243</v>
      </c>
      <c r="Q34" s="38"/>
      <c r="R34" s="70">
        <v>1043768.6757653863</v>
      </c>
      <c r="S34" s="38"/>
      <c r="T34" s="70">
        <v>1040261.6101845108</v>
      </c>
      <c r="U34" s="38"/>
      <c r="V34" s="70">
        <v>1036176.0708332632</v>
      </c>
      <c r="W34" s="38"/>
      <c r="X34" s="70">
        <v>1031393.348937361</v>
      </c>
      <c r="Y34" s="38"/>
      <c r="Z34" s="70">
        <v>1025769.1206767403</v>
      </c>
      <c r="AA34" s="38"/>
      <c r="AB34" s="70">
        <v>1019123.3842837893</v>
      </c>
      <c r="AC34" s="38"/>
      <c r="AD34" s="70">
        <v>1011201.7792408729</v>
      </c>
      <c r="AE34" s="38"/>
      <c r="AF34" s="70">
        <v>1001508.0264688254</v>
      </c>
      <c r="AG34" s="38"/>
      <c r="AH34" s="70">
        <v>988603.94849425054</v>
      </c>
      <c r="AI34" s="38"/>
      <c r="AJ34" s="70">
        <v>967590.26840437669</v>
      </c>
      <c r="AK34" s="38"/>
      <c r="AL34" s="70">
        <v>922280.4723472253</v>
      </c>
      <c r="AM34" s="38"/>
      <c r="AN34" s="70">
        <v>792162.18897875992</v>
      </c>
      <c r="AO34" s="38"/>
      <c r="AP34" s="70">
        <v>737684.5947471793</v>
      </c>
      <c r="AQ34" s="38"/>
      <c r="AR34" s="70">
        <v>661174.67216270603</v>
      </c>
      <c r="AS34" s="38"/>
      <c r="AT34" s="70">
        <v>547134.46200313745</v>
      </c>
      <c r="AU34" s="38"/>
      <c r="AV34" s="70">
        <v>360539.79173444607</v>
      </c>
      <c r="AW34" s="38"/>
      <c r="AX34" s="37"/>
      <c r="AY34" s="38"/>
      <c r="AZ34" s="37"/>
      <c r="BA34" s="38"/>
      <c r="BB34" s="37"/>
      <c r="BC34" s="38"/>
      <c r="BD34" s="37"/>
      <c r="BE34" s="38"/>
      <c r="BF34" s="37"/>
      <c r="BG34" s="38"/>
      <c r="BH34" s="37"/>
      <c r="BI34" s="38"/>
      <c r="BJ34" s="37"/>
      <c r="BK34" s="38"/>
      <c r="BL34" s="37"/>
      <c r="BM34" s="38"/>
      <c r="BN34" s="37"/>
      <c r="BO34" s="38"/>
      <c r="BP34" s="37"/>
      <c r="BQ34" s="38"/>
      <c r="BR34" s="37"/>
      <c r="BS34" s="38"/>
      <c r="BT34" s="37"/>
      <c r="BU34" s="38"/>
      <c r="BV34" s="37"/>
      <c r="BW34" s="38"/>
      <c r="BX34" s="37"/>
      <c r="BY34" s="38"/>
      <c r="BZ34" s="37"/>
      <c r="CA34" s="38"/>
      <c r="CB34" s="37"/>
      <c r="CC34" s="38"/>
      <c r="CD34" s="37"/>
      <c r="CE34" s="38"/>
      <c r="CF34" s="37"/>
      <c r="CG34" s="38"/>
      <c r="CH34" s="37"/>
      <c r="CI34" s="38"/>
      <c r="CJ34" s="37"/>
      <c r="CK34" s="38"/>
      <c r="CL34" s="37"/>
      <c r="CM34" s="38"/>
      <c r="CN34" s="37"/>
      <c r="CO34" s="38"/>
      <c r="CP34" s="37"/>
      <c r="CQ34" s="38"/>
      <c r="CR34" s="37"/>
      <c r="CS34" s="38"/>
    </row>
    <row r="35" spans="1:97 16384:16384" x14ac:dyDescent="0.2">
      <c r="A35" t="s">
        <v>78</v>
      </c>
      <c r="B35" s="37">
        <v>1</v>
      </c>
      <c r="C35" s="38"/>
      <c r="D35" s="37">
        <v>1.0008135558571547</v>
      </c>
      <c r="E35" s="38"/>
      <c r="F35" s="37">
        <v>1.0019312390711139</v>
      </c>
      <c r="G35" s="38"/>
      <c r="H35" s="37">
        <v>1.0034066875845065</v>
      </c>
      <c r="I35" s="38"/>
      <c r="J35" s="37">
        <v>1.0053071085081819</v>
      </c>
      <c r="K35" s="38"/>
      <c r="L35" s="37">
        <v>1.0077184771822096</v>
      </c>
      <c r="M35" s="38"/>
      <c r="N35" s="37">
        <v>1.0107533437344001</v>
      </c>
      <c r="O35" s="38"/>
      <c r="P35" s="37">
        <v>1.0145625335616799</v>
      </c>
      <c r="Q35" s="38"/>
      <c r="R35" s="37">
        <v>1.0193540211780152</v>
      </c>
      <c r="S35" s="38"/>
      <c r="T35" s="37">
        <v>1.0254239211481142</v>
      </c>
      <c r="U35" s="38"/>
      <c r="V35" s="37">
        <v>1.0332092833016544</v>
      </c>
      <c r="W35" s="38"/>
      <c r="X35" s="37">
        <v>1.0433825644327741</v>
      </c>
      <c r="Y35" s="38"/>
      <c r="Z35" s="37">
        <v>1.0570286385055008</v>
      </c>
      <c r="AA35" s="38"/>
      <c r="AB35" s="37">
        <v>1.0759946727496497</v>
      </c>
      <c r="AC35" s="38"/>
      <c r="AD35" s="37">
        <v>1.1036194121071281</v>
      </c>
      <c r="AE35" s="38"/>
      <c r="AF35" s="37">
        <v>1.1463237949530087</v>
      </c>
      <c r="AG35" s="38"/>
      <c r="AH35" s="37">
        <v>1.2172078899871204</v>
      </c>
      <c r="AI35" s="38"/>
      <c r="AJ35" s="37">
        <v>1.3449590358426946</v>
      </c>
      <c r="AK35" s="38"/>
      <c r="AL35" s="37">
        <v>1.6038921161928019</v>
      </c>
      <c r="AM35" s="38"/>
      <c r="AN35" s="37">
        <v>2.2794631093842601</v>
      </c>
      <c r="AO35" s="38"/>
      <c r="AP35" s="37">
        <v>2.5574572780352596</v>
      </c>
      <c r="AQ35" s="38"/>
      <c r="AR35" s="37">
        <v>2.9510547359225092</v>
      </c>
      <c r="AS35" s="38"/>
      <c r="AT35" s="37">
        <v>3.5504107188468494</v>
      </c>
      <c r="AU35" s="38"/>
      <c r="AV35" s="37">
        <v>4.5779636503432775</v>
      </c>
      <c r="AW35" s="38"/>
      <c r="AX35" s="39"/>
      <c r="AY35" s="40"/>
      <c r="AZ35" s="39"/>
      <c r="BA35" s="40"/>
      <c r="BB35" s="39"/>
      <c r="BC35" s="40"/>
      <c r="BD35" s="39"/>
      <c r="BE35" s="40"/>
      <c r="BF35" s="39"/>
      <c r="BG35" s="40"/>
      <c r="BH35" s="39"/>
      <c r="BI35" s="40"/>
      <c r="BJ35" s="39"/>
      <c r="BK35" s="40"/>
      <c r="BL35" s="39"/>
      <c r="BM35" s="40"/>
      <c r="BN35" s="39"/>
      <c r="BO35" s="40"/>
      <c r="BP35" s="39"/>
      <c r="BQ35" s="40"/>
      <c r="BR35" s="39"/>
      <c r="BS35" s="40"/>
      <c r="BT35" s="39"/>
      <c r="BU35" s="40"/>
      <c r="BV35" s="39"/>
      <c r="BW35" s="40"/>
      <c r="BX35" s="39"/>
      <c r="BY35" s="40"/>
      <c r="BZ35" s="39"/>
      <c r="CA35" s="40"/>
      <c r="CB35" s="39"/>
      <c r="CC35" s="40"/>
      <c r="CD35" s="39"/>
      <c r="CE35" s="40"/>
      <c r="CF35" s="39"/>
      <c r="CG35" s="40"/>
      <c r="CH35" s="39"/>
      <c r="CI35" s="40"/>
      <c r="CJ35" s="39"/>
      <c r="CK35" s="40"/>
      <c r="CL35" s="39"/>
      <c r="CM35" s="40"/>
      <c r="CN35" s="39"/>
      <c r="CO35" s="40"/>
      <c r="CP35" s="39"/>
      <c r="CQ35" s="40"/>
      <c r="CR35" s="39"/>
      <c r="CS35" s="40"/>
    </row>
    <row r="36" spans="1:97 16384:16384" x14ac:dyDescent="0.2">
      <c r="A36" t="s">
        <v>21</v>
      </c>
      <c r="B36" s="39">
        <v>0.44062059572230788</v>
      </c>
      <c r="C36" s="40">
        <v>0.31782146736791034</v>
      </c>
      <c r="D36" s="39">
        <v>0.44066789708867016</v>
      </c>
      <c r="E36" s="40">
        <v>0.3201272189378106</v>
      </c>
      <c r="F36" s="39">
        <v>0.44071651097194475</v>
      </c>
      <c r="G36" s="40">
        <v>0.32266629129162866</v>
      </c>
      <c r="H36" s="39">
        <v>0.44076649878947971</v>
      </c>
      <c r="I36" s="40">
        <v>0.32547586312489496</v>
      </c>
      <c r="J36" s="39">
        <v>0.44081793326939261</v>
      </c>
      <c r="K36" s="40">
        <v>0.32860150856415671</v>
      </c>
      <c r="L36" s="39">
        <v>0.44087089736537127</v>
      </c>
      <c r="M36" s="40">
        <v>0.33209984767766065</v>
      </c>
      <c r="N36" s="39">
        <v>0.44092547850057967</v>
      </c>
      <c r="O36" s="40">
        <v>0.33604233903427627</v>
      </c>
      <c r="P36" s="39">
        <v>0.44098174842450022</v>
      </c>
      <c r="Q36" s="40">
        <v>0.34052069747886704</v>
      </c>
      <c r="R36" s="39">
        <v>0.44103972335604791</v>
      </c>
      <c r="S36" s="40">
        <v>0.3456551813728661</v>
      </c>
      <c r="T36" s="39">
        <v>0.44109929040328655</v>
      </c>
      <c r="U36" s="40">
        <v>0.35160751686475744</v>
      </c>
      <c r="V36" s="39">
        <v>0.44116005196431118</v>
      </c>
      <c r="W36" s="40">
        <v>0.35860184500324083</v>
      </c>
      <c r="X36" s="39">
        <v>0.44122103742680119</v>
      </c>
      <c r="Y36" s="40">
        <v>0.36696034514423481</v>
      </c>
      <c r="Z36" s="39">
        <v>0.44128014807565857</v>
      </c>
      <c r="AA36" s="40">
        <v>0.3771666025596867</v>
      </c>
      <c r="AB36" s="39">
        <v>0.44133312479841702</v>
      </c>
      <c r="AC36" s="40">
        <v>0.38998410932606797</v>
      </c>
      <c r="AD36" s="39">
        <v>0.44137177481097656</v>
      </c>
      <c r="AE36" s="40">
        <v>0.40668835912215973</v>
      </c>
      <c r="AF36" s="39">
        <v>0.4413816482984978</v>
      </c>
      <c r="AG36" s="40">
        <v>0.42953662839926315</v>
      </c>
      <c r="AH36" s="39">
        <v>0.4413420398695756</v>
      </c>
      <c r="AI36" s="40">
        <v>0.46273293238174362</v>
      </c>
      <c r="AJ36" s="39">
        <v>0.44123688113090581</v>
      </c>
      <c r="AK36" s="40">
        <v>0.51454593875358923</v>
      </c>
      <c r="AL36" s="39">
        <v>0.44107628537741828</v>
      </c>
      <c r="AM36" s="40">
        <v>0.60368643946830836</v>
      </c>
      <c r="AN36" s="39">
        <v>0.44088953310479762</v>
      </c>
      <c r="AO36" s="40">
        <v>0.79056234984112284</v>
      </c>
      <c r="AP36" s="39">
        <v>0.44084876251999977</v>
      </c>
      <c r="AQ36" s="40">
        <v>0.85685092154212161</v>
      </c>
      <c r="AR36" s="39">
        <v>0.44080429130860993</v>
      </c>
      <c r="AS36" s="40">
        <v>0.9439902646523296</v>
      </c>
      <c r="AT36" s="39">
        <v>0.44075173332455087</v>
      </c>
      <c r="AU36" s="40">
        <v>1.0653704667828783</v>
      </c>
      <c r="AV36" s="39">
        <v>0.44067920135747002</v>
      </c>
      <c r="AW36" s="40">
        <v>1.2510126739762957</v>
      </c>
    </row>
    <row r="37" spans="1:97 16384:16384" x14ac:dyDescent="0.2">
      <c r="B37" s="37">
        <v>2.5516951507977208E-2</v>
      </c>
      <c r="C37" s="38">
        <v>0.33292016241876865</v>
      </c>
      <c r="D37" s="37">
        <v>2.4713373697344169E-2</v>
      </c>
      <c r="E37" s="38">
        <v>0.32899909868723665</v>
      </c>
      <c r="F37" s="37">
        <v>2.3892516187126286E-2</v>
      </c>
      <c r="G37" s="38">
        <v>0.3249678617469417</v>
      </c>
      <c r="H37" s="37">
        <v>2.3053083094975026E-2</v>
      </c>
      <c r="I37" s="38">
        <v>0.32081870229298548</v>
      </c>
      <c r="J37" s="37">
        <v>2.219362095493534E-2</v>
      </c>
      <c r="K37" s="38">
        <v>0.31654306841470181</v>
      </c>
      <c r="L37" s="37">
        <v>2.1312458848714532E-2</v>
      </c>
      <c r="M37" s="38">
        <v>0.31213134334690212</v>
      </c>
      <c r="N37" s="37">
        <v>2.0407620723080146E-2</v>
      </c>
      <c r="O37" s="38">
        <v>0.30757245925788707</v>
      </c>
      <c r="P37" s="37">
        <v>1.9476725259026866E-2</v>
      </c>
      <c r="Q37" s="38">
        <v>0.30285346693923565</v>
      </c>
      <c r="R37" s="37">
        <v>1.8516807084503942E-2</v>
      </c>
      <c r="S37" s="38">
        <v>0.29795874964835634</v>
      </c>
      <c r="T37" s="37">
        <v>1.7524052219313625E-2</v>
      </c>
      <c r="U37" s="38">
        <v>0.29286885666695323</v>
      </c>
      <c r="V37" s="37">
        <v>1.6493404315508931E-2</v>
      </c>
      <c r="W37" s="38">
        <v>0.28755878493774334</v>
      </c>
      <c r="X37" s="37">
        <v>1.5417954365132953E-2</v>
      </c>
      <c r="Y37" s="38">
        <v>0.28199535023732997</v>
      </c>
      <c r="Z37" s="37">
        <v>1.4288039884206037E-2</v>
      </c>
      <c r="AA37" s="38">
        <v>0.27613347005809574</v>
      </c>
      <c r="AB37" s="37">
        <v>1.3089999283649749E-2</v>
      </c>
      <c r="AC37" s="38">
        <v>0.26991153926833678</v>
      </c>
      <c r="AD37" s="37">
        <v>1.1804828373024517E-2</v>
      </c>
      <c r="AE37" s="38">
        <v>0.26324824218644549</v>
      </c>
      <c r="AF37" s="37">
        <v>1.0408167140247273E-2</v>
      </c>
      <c r="AG37" s="38">
        <v>0.25605054873713795</v>
      </c>
      <c r="AH37" s="37">
        <v>8.8759244852702358E-3</v>
      </c>
      <c r="AI37" s="38">
        <v>0.24825939324634483</v>
      </c>
      <c r="AJ37" s="37">
        <v>7.1997603818668389E-3</v>
      </c>
      <c r="AK37" s="38">
        <v>0.23995858053696928</v>
      </c>
      <c r="AL37" s="37">
        <v>5.3944251583815618E-3</v>
      </c>
      <c r="AM37" s="38">
        <v>0.23145676633261286</v>
      </c>
      <c r="AN37" s="37">
        <v>3.4563210039341738E-3</v>
      </c>
      <c r="AO37" s="38">
        <v>0.22319413319358367</v>
      </c>
      <c r="AP37" s="37">
        <v>3.0454359095801672E-3</v>
      </c>
      <c r="AQ37" s="38">
        <v>0.22161516249144342</v>
      </c>
      <c r="AR37" s="37">
        <v>2.622223717662046E-3</v>
      </c>
      <c r="AS37" s="38">
        <v>0.22007421257649423</v>
      </c>
      <c r="AT37" s="37">
        <v>2.1821720617826871E-3</v>
      </c>
      <c r="AU37" s="38">
        <v>0.21858097711183674</v>
      </c>
      <c r="AV37" s="37">
        <v>1.7168068329108963E-3</v>
      </c>
      <c r="AW37" s="38">
        <v>0.21715190020106931</v>
      </c>
    </row>
    <row r="38" spans="1:97 16384:16384" x14ac:dyDescent="0.2">
      <c r="A38" t="s">
        <v>22</v>
      </c>
      <c r="B38" s="39">
        <v>0.19367604930693458</v>
      </c>
      <c r="C38" s="40">
        <v>8.1459408736097999E-2</v>
      </c>
      <c r="D38" s="39">
        <v>0.19380979916110888</v>
      </c>
      <c r="E38" s="40">
        <v>8.1835932718672649E-2</v>
      </c>
      <c r="F38" s="39">
        <v>0.19397301212442319</v>
      </c>
      <c r="G38" s="40">
        <v>8.2254071419933669E-2</v>
      </c>
      <c r="H38" s="39">
        <v>0.19417038470778267</v>
      </c>
      <c r="I38" s="40">
        <v>8.2720563741542449E-2</v>
      </c>
      <c r="J38" s="39">
        <v>0.19440769910786995</v>
      </c>
      <c r="K38" s="40">
        <v>8.3243728397447495E-2</v>
      </c>
      <c r="L38" s="39">
        <v>0.19469218727667287</v>
      </c>
      <c r="M38" s="40">
        <v>8.383396612645147E-2</v>
      </c>
      <c r="N38" s="39">
        <v>0.19503306979417365</v>
      </c>
      <c r="O38" s="40">
        <v>8.4504374736023055E-2</v>
      </c>
      <c r="P38" s="39">
        <v>0.19544232069667636</v>
      </c>
      <c r="Q38" s="40">
        <v>8.5271919084944914E-2</v>
      </c>
      <c r="R38" s="39">
        <v>0.19593588902210657</v>
      </c>
      <c r="S38" s="40">
        <v>8.6158882094602318E-2</v>
      </c>
      <c r="T38" s="39">
        <v>0.1965356142664651</v>
      </c>
      <c r="U38" s="40">
        <v>8.7195430832059176E-2</v>
      </c>
      <c r="V38" s="39">
        <v>0.19727242399758582</v>
      </c>
      <c r="W38" s="40">
        <v>8.842359694457079E-2</v>
      </c>
      <c r="X38" s="39">
        <v>0.19819187429639895</v>
      </c>
      <c r="Y38" s="40">
        <v>8.9904212620567275E-2</v>
      </c>
      <c r="Z38" s="39">
        <v>0.19936426257080345</v>
      </c>
      <c r="AA38" s="40">
        <v>9.1729304470883205E-2</v>
      </c>
      <c r="AB38" s="39">
        <v>0.20090411795641874</v>
      </c>
      <c r="AC38" s="40">
        <v>9.4045509020378268E-2</v>
      </c>
      <c r="AD38" s="39">
        <v>0.20300997326718723</v>
      </c>
      <c r="AE38" s="40">
        <v>9.7100671568056574E-2</v>
      </c>
      <c r="AF38" s="39">
        <v>0.20605020749443806</v>
      </c>
      <c r="AG38" s="40">
        <v>0.10134028484408718</v>
      </c>
      <c r="AH38" s="39">
        <v>0.21076052394796255</v>
      </c>
      <c r="AI38" s="40">
        <v>0.10761448821149601</v>
      </c>
      <c r="AJ38" s="39">
        <v>0.21877018154181679</v>
      </c>
      <c r="AK38" s="40">
        <v>0.11766813168661099</v>
      </c>
      <c r="AL38" s="39">
        <v>0.23461914216913901</v>
      </c>
      <c r="AM38" s="40">
        <v>0.13579060039931107</v>
      </c>
      <c r="AN38" s="39">
        <v>0.27987931159434998</v>
      </c>
      <c r="AO38" s="40">
        <v>0.17867024840636392</v>
      </c>
      <c r="AP38" s="39">
        <v>0.30171155511408404</v>
      </c>
      <c r="AQ38" s="40">
        <v>0.19622837873939308</v>
      </c>
      <c r="AR38" s="39">
        <v>0.33743586707243911</v>
      </c>
      <c r="AS38" s="40">
        <v>0.22208594414069815</v>
      </c>
      <c r="AT38" s="39">
        <v>0.40742318260312971</v>
      </c>
      <c r="AU38" s="40">
        <v>0.26569411822036093</v>
      </c>
      <c r="AV38" s="39">
        <v>0.61263455754143237</v>
      </c>
      <c r="AW38" s="40">
        <v>0.36491759701691973</v>
      </c>
    </row>
    <row r="39" spans="1:97 16384:16384" x14ac:dyDescent="0.2">
      <c r="A39" t="s">
        <v>23</v>
      </c>
      <c r="B39" s="135">
        <v>0.23648670801150132</v>
      </c>
      <c r="C39" s="135">
        <v>0.21559880013031099</v>
      </c>
      <c r="D39" s="135">
        <v>0.23708243068509324</v>
      </c>
      <c r="E39" s="135">
        <v>0.21679317504923679</v>
      </c>
      <c r="F39" s="135">
        <v>0.23771429145993564</v>
      </c>
      <c r="G39" s="135">
        <v>0.21809919456679958</v>
      </c>
      <c r="H39" s="135">
        <v>0.23838804357809187</v>
      </c>
      <c r="I39" s="135">
        <v>0.21953505645967433</v>
      </c>
      <c r="J39" s="135">
        <v>0.2391107850972711</v>
      </c>
      <c r="K39" s="135">
        <v>0.22112309316081155</v>
      </c>
      <c r="L39" s="135">
        <v>0.23989139309599614</v>
      </c>
      <c r="M39" s="135">
        <v>0.2228910922520646</v>
      </c>
      <c r="N39" s="135">
        <v>0.24074113697959873</v>
      </c>
      <c r="O39" s="135">
        <v>0.22487434443380058</v>
      </c>
      <c r="P39" s="135">
        <v>0.24167460538396454</v>
      </c>
      <c r="Q39" s="135">
        <v>0.22711817347130064</v>
      </c>
      <c r="R39" s="135">
        <v>0.24271109433108723</v>
      </c>
      <c r="S39" s="135">
        <v>0.22968230936743439</v>
      </c>
      <c r="T39" s="135">
        <v>0.24387684904408266</v>
      </c>
      <c r="U39" s="135">
        <v>0.23264731499821886</v>
      </c>
      <c r="V39" s="135">
        <v>0.24520874596729189</v>
      </c>
      <c r="W39" s="135">
        <v>0.23612535584396718</v>
      </c>
      <c r="X39" s="135">
        <v>0.24676073419831362</v>
      </c>
      <c r="Y39" s="135">
        <v>0.24027845352610167</v>
      </c>
      <c r="Z39" s="135">
        <v>0.24861567118269054</v>
      </c>
      <c r="AA39" s="135">
        <v>0.24535131400095408</v>
      </c>
      <c r="AB39" s="135">
        <v>0.25090843839338245</v>
      </c>
      <c r="AC39" s="135">
        <v>0.25173348522601646</v>
      </c>
      <c r="AD39" s="135">
        <v>0.25387401982181912</v>
      </c>
      <c r="AE39" s="135">
        <v>0.26008320197421253</v>
      </c>
      <c r="AF39" s="135">
        <v>0.257953866028443</v>
      </c>
      <c r="AG39" s="135">
        <v>0.27158537847566599</v>
      </c>
      <c r="AH39" s="135">
        <v>0.26404705100809389</v>
      </c>
      <c r="AI39" s="135">
        <v>0.2885070535717002</v>
      </c>
      <c r="AJ39" s="135">
        <v>0.27418604240698552</v>
      </c>
      <c r="AK39" s="135">
        <v>0.31552015251487431</v>
      </c>
      <c r="AL39" s="135">
        <v>0.29408438990147456</v>
      </c>
      <c r="AM39" s="135">
        <v>0.36413604477664613</v>
      </c>
      <c r="AN39" s="135">
        <v>0.35082174018002654</v>
      </c>
      <c r="AO39" s="135">
        <v>0.47912611813890627</v>
      </c>
      <c r="AP39" s="135">
        <v>0.3781880366412757</v>
      </c>
      <c r="AQ39" s="135">
        <v>0.52621049022993283</v>
      </c>
      <c r="AR39" s="135">
        <v>0.42296763875049864</v>
      </c>
      <c r="AS39" s="135">
        <v>0.5955506407834259</v>
      </c>
      <c r="AT39" s="135">
        <v>0.510695053485274</v>
      </c>
      <c r="AU39" s="135">
        <v>0.7124912108431235</v>
      </c>
      <c r="AV39" s="135">
        <v>0.76792252908223979</v>
      </c>
      <c r="AW39" s="135">
        <v>0.97857130528210512</v>
      </c>
    </row>
    <row r="40" spans="1:97 16384:16384"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c r="AV40" s="135"/>
      <c r="AW40" s="135"/>
    </row>
    <row r="41" spans="1:97 16384:16384" x14ac:dyDescent="0.2">
      <c r="B41" s="162"/>
      <c r="C41" s="135"/>
      <c r="D41" s="162"/>
      <c r="E41" s="135"/>
      <c r="F41" s="162"/>
      <c r="G41" s="135"/>
      <c r="H41" s="162"/>
      <c r="I41" s="135"/>
      <c r="J41" s="162"/>
      <c r="K41" s="135"/>
      <c r="L41" s="162"/>
      <c r="M41" s="135"/>
      <c r="N41" s="162"/>
      <c r="O41" s="135"/>
      <c r="P41" s="162"/>
      <c r="Q41" s="135"/>
      <c r="R41" s="162"/>
      <c r="S41" s="135"/>
      <c r="T41" s="162"/>
      <c r="U41" s="135"/>
      <c r="V41" s="162"/>
      <c r="W41" s="135"/>
      <c r="X41" s="162"/>
      <c r="Y41" s="135"/>
      <c r="Z41" s="162"/>
      <c r="AA41" s="162"/>
      <c r="AB41" s="162"/>
      <c r="AC41" s="135"/>
      <c r="AD41" s="162"/>
      <c r="AE41" s="135"/>
      <c r="AF41" s="162"/>
      <c r="AG41" s="135"/>
      <c r="AH41" s="162"/>
      <c r="AI41" s="135"/>
      <c r="AJ41" s="162"/>
      <c r="AK41" s="135"/>
      <c r="AL41" s="162"/>
      <c r="AM41" s="135"/>
      <c r="AN41" s="162"/>
      <c r="AO41" s="135"/>
      <c r="AP41" s="162"/>
      <c r="AQ41" s="135"/>
      <c r="AR41" s="162"/>
      <c r="AS41" s="135"/>
      <c r="AT41" s="162"/>
      <c r="AU41" s="135"/>
      <c r="AV41" s="162"/>
      <c r="AW41" s="135"/>
    </row>
    <row r="42" spans="1:97 16384:16384" x14ac:dyDescent="0.2">
      <c r="A42" t="s">
        <v>107</v>
      </c>
      <c r="B42" s="162">
        <v>0.10800000000000001</v>
      </c>
      <c r="C42" s="135"/>
      <c r="D42" s="162">
        <v>0.1080000000000013</v>
      </c>
      <c r="E42" s="135"/>
      <c r="F42" s="162">
        <v>0.10799999999999982</v>
      </c>
      <c r="G42" s="135"/>
      <c r="H42" s="162">
        <v>0.10800000000000042</v>
      </c>
      <c r="I42" s="135"/>
      <c r="J42" s="162">
        <v>0.10800000000000071</v>
      </c>
      <c r="K42" s="135"/>
      <c r="L42" s="162">
        <v>0.10799999999999882</v>
      </c>
      <c r="M42" s="135"/>
      <c r="N42" s="162">
        <v>0.10800000000000001</v>
      </c>
      <c r="O42" s="135"/>
      <c r="P42" s="162">
        <v>0.1080000000000011</v>
      </c>
      <c r="Q42" s="135"/>
      <c r="R42" s="162">
        <v>0.10799999999999961</v>
      </c>
      <c r="S42" s="135"/>
      <c r="T42" s="162">
        <v>0.10799999999999982</v>
      </c>
      <c r="U42" s="135"/>
      <c r="V42" s="162">
        <v>0.10799999999999922</v>
      </c>
      <c r="W42" s="135"/>
      <c r="X42" s="162">
        <v>0.10800000000000021</v>
      </c>
      <c r="Y42" s="135"/>
      <c r="Z42" s="162">
        <v>0.10799999999999982</v>
      </c>
      <c r="AA42" s="135"/>
      <c r="AB42" s="162">
        <v>0.10799999999999922</v>
      </c>
      <c r="AC42" s="135"/>
      <c r="AD42" s="162">
        <v>0.10800000000000071</v>
      </c>
      <c r="AE42" s="135"/>
      <c r="AF42" s="162">
        <v>0.10799999999999982</v>
      </c>
      <c r="AG42" s="135"/>
      <c r="AH42" s="162">
        <v>0.10800000000000021</v>
      </c>
      <c r="AI42" s="135"/>
      <c r="AJ42" s="162">
        <v>0.10800000000000051</v>
      </c>
      <c r="AK42" s="135"/>
      <c r="AL42" s="162">
        <v>0.10800000000000051</v>
      </c>
      <c r="AM42" s="135"/>
      <c r="AN42" s="162">
        <v>0.10800000000000021</v>
      </c>
      <c r="AO42" s="135"/>
      <c r="AP42" s="162">
        <v>0.10800000000000001</v>
      </c>
      <c r="AQ42" s="135"/>
      <c r="AR42" s="162">
        <v>0.10800000000000042</v>
      </c>
      <c r="AS42" s="135"/>
      <c r="AT42" s="162">
        <v>0.10799999999999982</v>
      </c>
      <c r="AU42" s="135"/>
      <c r="AV42" s="162">
        <v>0.10799999999999961</v>
      </c>
      <c r="AW42" s="135"/>
      <c r="AX42" s="162"/>
      <c r="AZ42" s="162"/>
      <c r="BB42" s="162"/>
      <c r="BD42" s="162"/>
      <c r="BF42" s="162"/>
      <c r="BH42" s="162"/>
      <c r="BJ42" s="162"/>
      <c r="BL42" s="162"/>
      <c r="BN42" s="162"/>
      <c r="BP42" s="162"/>
      <c r="BR42" s="162"/>
      <c r="BT42" s="162"/>
    </row>
    <row r="43" spans="1:97 16384:16384" x14ac:dyDescent="0.2">
      <c r="A43" t="s">
        <v>108</v>
      </c>
      <c r="B43" s="193">
        <v>0.54976100089584856</v>
      </c>
      <c r="D43" s="193">
        <v>0.55473851280726327</v>
      </c>
      <c r="F43" s="193">
        <v>0.55323966610629616</v>
      </c>
      <c r="H43" s="193">
        <v>0.55174525860819879</v>
      </c>
      <c r="J43" s="193">
        <v>0.55025612697075443</v>
      </c>
      <c r="L43" s="193">
        <v>0.54877329324834589</v>
      </c>
      <c r="N43" s="193">
        <v>0.54729820679883767</v>
      </c>
      <c r="P43" s="193">
        <v>0.54583285219997313</v>
      </c>
      <c r="R43" s="193">
        <v>0.54438027159045932</v>
      </c>
      <c r="T43" s="193">
        <v>0.54294512749884749</v>
      </c>
      <c r="V43" s="193">
        <v>0.54153483851841067</v>
      </c>
      <c r="X43" s="193">
        <v>0.54016130139610863</v>
      </c>
      <c r="Z43" s="193">
        <v>0.53884370991275787</v>
      </c>
      <c r="AB43" s="193">
        <v>0.53761284956708855</v>
      </c>
      <c r="AD43" s="193">
        <v>0.53651662694319457</v>
      </c>
      <c r="AF43" s="193">
        <v>0.53562310368348887</v>
      </c>
      <c r="AH43" s="193">
        <v>0.53500628787398263</v>
      </c>
      <c r="AJ43" s="193">
        <v>0.53469090739676806</v>
      </c>
      <c r="AL43" s="193">
        <v>0.53459291726924829</v>
      </c>
      <c r="AN43" s="193">
        <v>0.53457922254190515</v>
      </c>
      <c r="AP43" s="193">
        <v>0.53457895182145287</v>
      </c>
      <c r="AR43" s="193">
        <v>0.53457884789903787</v>
      </c>
      <c r="AT43" s="193">
        <v>0.53457881582474287</v>
      </c>
      <c r="AV43" s="193">
        <v>0.53457880877139341</v>
      </c>
    </row>
    <row r="44" spans="1:97 16384:16384" x14ac:dyDescent="0.2">
      <c r="A44" t="s">
        <v>142</v>
      </c>
      <c r="B44" s="193">
        <v>0.28997400249337218</v>
      </c>
      <c r="D44" s="193">
        <v>0.29168668251128016</v>
      </c>
      <c r="F44" s="193">
        <v>0.29346941880697763</v>
      </c>
      <c r="H44" s="193">
        <v>0.29533430126089355</v>
      </c>
      <c r="J44" s="193">
        <v>0.29729611010602508</v>
      </c>
      <c r="L44" s="193">
        <v>0.29937308552305691</v>
      </c>
      <c r="N44" s="193">
        <v>0.30158824159214709</v>
      </c>
      <c r="P44" s="193">
        <v>0.30397125414419263</v>
      </c>
      <c r="R44" s="193">
        <v>0.30656167417985208</v>
      </c>
      <c r="T44" s="193">
        <v>0.30941368982477979</v>
      </c>
      <c r="V44" s="193">
        <v>0.31260467952296922</v>
      </c>
      <c r="X44" s="193">
        <v>0.3162496966913389</v>
      </c>
      <c r="Z44" s="193">
        <v>0.32052787840724672</v>
      </c>
      <c r="AB44" s="193">
        <v>0.32573171934497863</v>
      </c>
      <c r="AD44" s="193">
        <v>0.33236047889880305</v>
      </c>
      <c r="AF44" s="193">
        <v>0.34129355608972328</v>
      </c>
      <c r="AH44" s="193">
        <v>0.35408622634990178</v>
      </c>
      <c r="AJ44" s="193">
        <v>0.37347983501312404</v>
      </c>
      <c r="AL44" s="193">
        <v>0.40511258039512604</v>
      </c>
      <c r="AN44" s="193">
        <v>0.46785962244981133</v>
      </c>
      <c r="AP44" s="193">
        <v>0.48990269022041855</v>
      </c>
      <c r="AR44" s="193">
        <v>0.51914591395116494</v>
      </c>
      <c r="AT44" s="193">
        <v>0.56081928739190001</v>
      </c>
      <c r="AV44" s="193">
        <v>0.62781956925649307</v>
      </c>
      <c r="XFD44" s="193"/>
    </row>
    <row r="45" spans="1:97 16384:16384" x14ac:dyDescent="0.2">
      <c r="A45" t="s">
        <v>82</v>
      </c>
      <c r="B45">
        <v>0.2079247050500721</v>
      </c>
      <c r="D45">
        <v>0.20963740168799</v>
      </c>
      <c r="F45">
        <v>0.21142012200322513</v>
      </c>
      <c r="H45">
        <v>0.21328500486127192</v>
      </c>
      <c r="J45">
        <v>0.21524681922456279</v>
      </c>
      <c r="L45">
        <v>0.21732378963208665</v>
      </c>
      <c r="N45">
        <v>0.21953894436119836</v>
      </c>
      <c r="P45">
        <v>0.2219219674118349</v>
      </c>
      <c r="R45">
        <v>0.22451237821261497</v>
      </c>
      <c r="T45">
        <v>0.22736439688444593</v>
      </c>
      <c r="V45">
        <v>0.23055538569828418</v>
      </c>
      <c r="X45">
        <v>0.23420039942147383</v>
      </c>
      <c r="Z45">
        <v>0.23847858136618594</v>
      </c>
      <c r="AB45">
        <v>0.24368242183003211</v>
      </c>
      <c r="AD45">
        <v>0.25031118156127585</v>
      </c>
      <c r="AF45">
        <v>0.25924425853537719</v>
      </c>
      <c r="AH45">
        <v>0.27203692892515824</v>
      </c>
      <c r="AJ45">
        <v>0.2914305375815669</v>
      </c>
      <c r="AL45">
        <v>0.32306328295177539</v>
      </c>
      <c r="AN45">
        <v>0.38581032500652962</v>
      </c>
      <c r="AP45">
        <v>0.40785339277713256</v>
      </c>
      <c r="AR45">
        <v>0.43709661650786746</v>
      </c>
      <c r="AT45">
        <v>0.47876998994859982</v>
      </c>
      <c r="AV45">
        <v>0.54577027181319326</v>
      </c>
    </row>
    <row r="46" spans="1:97 16384:16384" x14ac:dyDescent="0.2">
      <c r="A46" t="s">
        <v>139</v>
      </c>
      <c r="B46">
        <v>8.204929744330007E-2</v>
      </c>
      <c r="D46">
        <v>8.204928082329016E-2</v>
      </c>
      <c r="F46">
        <v>8.2049296803752503E-2</v>
      </c>
      <c r="H46">
        <v>8.2049296399621621E-2</v>
      </c>
      <c r="J46">
        <v>8.2049290881462289E-2</v>
      </c>
      <c r="L46">
        <v>8.204929589097025E-2</v>
      </c>
      <c r="N46">
        <v>8.2049297230948698E-2</v>
      </c>
      <c r="P46">
        <v>8.2049286732357701E-2</v>
      </c>
      <c r="R46">
        <v>8.2049295967237132E-2</v>
      </c>
      <c r="T46">
        <v>8.2049292940333876E-2</v>
      </c>
      <c r="V46">
        <v>8.2049293824684996E-2</v>
      </c>
      <c r="X46">
        <v>8.204929726986504E-2</v>
      </c>
      <c r="Z46">
        <v>8.2049297041060801E-2</v>
      </c>
      <c r="AB46">
        <v>8.2049297514946523E-2</v>
      </c>
      <c r="AD46">
        <v>8.204929733752718E-2</v>
      </c>
      <c r="AF46">
        <v>8.204929755434609E-2</v>
      </c>
      <c r="AH46">
        <v>8.2049297424743511E-2</v>
      </c>
      <c r="AJ46">
        <v>8.2049297431557144E-2</v>
      </c>
      <c r="AL46">
        <v>8.2049297443350697E-2</v>
      </c>
      <c r="AN46">
        <v>8.2049297443281766E-2</v>
      </c>
      <c r="AP46">
        <v>8.2049297443285943E-2</v>
      </c>
      <c r="AR46">
        <v>8.2049297443297475E-2</v>
      </c>
      <c r="AT46">
        <v>8.2049297443300181E-2</v>
      </c>
      <c r="AV46">
        <v>8.2049297443299876E-2</v>
      </c>
    </row>
    <row r="48" spans="1:97 16384:16384" x14ac:dyDescent="0.2">
      <c r="A48" t="s">
        <v>159</v>
      </c>
      <c r="B48">
        <v>1</v>
      </c>
      <c r="D48">
        <v>1.0101118969014191</v>
      </c>
      <c r="F48">
        <v>1.0204602474398838</v>
      </c>
      <c r="H48">
        <v>1.031081060375342</v>
      </c>
      <c r="J48">
        <v>1.0420174406154268</v>
      </c>
      <c r="L48">
        <v>1.0533217021054757</v>
      </c>
      <c r="N48">
        <v>1.0650590060024032</v>
      </c>
      <c r="P48">
        <v>1.0773126538146132</v>
      </c>
      <c r="R48">
        <v>1.0901933233506724</v>
      </c>
      <c r="T48">
        <v>1.1038537273762279</v>
      </c>
      <c r="V48">
        <v>1.1185145638887215</v>
      </c>
      <c r="X48">
        <v>1.1345099172140174</v>
      </c>
      <c r="Z48">
        <v>1.1523692977570699</v>
      </c>
      <c r="AB48">
        <v>1.1729657575261567</v>
      </c>
      <c r="AD48">
        <v>1.1977711990443933</v>
      </c>
      <c r="AF48">
        <v>1.2292145392778069</v>
      </c>
      <c r="AH48">
        <v>1.2707932214457855</v>
      </c>
      <c r="AJ48">
        <v>1.325478659949566</v>
      </c>
      <c r="AL48">
        <v>1.3888797835549134</v>
      </c>
      <c r="AN48">
        <v>1.409976876685431</v>
      </c>
      <c r="AP48">
        <v>1.384762791244778</v>
      </c>
      <c r="AR48">
        <v>1.3266564995305399</v>
      </c>
      <c r="AT48">
        <v>1.1987152621402777</v>
      </c>
      <c r="AV48">
        <v>0.89642812269017291</v>
      </c>
    </row>
    <row r="49" spans="1:48 16321:16384" x14ac:dyDescent="0.2">
      <c r="A49" t="s">
        <v>160</v>
      </c>
      <c r="B49">
        <v>1</v>
      </c>
      <c r="D49">
        <v>0.9960113155344773</v>
      </c>
      <c r="F49">
        <v>0.99141902128141812</v>
      </c>
      <c r="H49">
        <v>0.98613042187254341</v>
      </c>
      <c r="J49">
        <v>0.98003252652659467</v>
      </c>
      <c r="L49">
        <v>0.97298561488935509</v>
      </c>
      <c r="N49">
        <v>0.96481389841981047</v>
      </c>
      <c r="P49">
        <v>0.9552926854171655</v>
      </c>
      <c r="R49">
        <v>0.94412831015996801</v>
      </c>
      <c r="T49">
        <v>0.93092770973350647</v>
      </c>
      <c r="V49">
        <v>0.91514957146064846</v>
      </c>
      <c r="X49">
        <v>0.89602366013997958</v>
      </c>
      <c r="Z49">
        <v>0.87241262396563857</v>
      </c>
      <c r="AB49">
        <v>0.84256827574565429</v>
      </c>
      <c r="AD49">
        <v>0.80369765870901277</v>
      </c>
      <c r="AF49">
        <v>0.75122499125773778</v>
      </c>
      <c r="AH49">
        <v>0.67775420630630423</v>
      </c>
      <c r="AJ49">
        <v>0.57227731228606793</v>
      </c>
      <c r="AL49">
        <v>0.42063024657970877</v>
      </c>
      <c r="AN49">
        <v>0.21006139899388529</v>
      </c>
      <c r="AP49">
        <v>0.16147792658451141</v>
      </c>
      <c r="AR49">
        <v>0.11216038069910178</v>
      </c>
      <c r="AT49">
        <v>6.41430069800904E-2</v>
      </c>
      <c r="AV49">
        <v>2.209623108693725E-2</v>
      </c>
    </row>
    <row r="51" spans="1:48 16321:16384" x14ac:dyDescent="0.2">
      <c r="A51" t="s">
        <v>166</v>
      </c>
      <c r="B51" s="29">
        <v>-372836.41099999985</v>
      </c>
      <c r="D51" s="29">
        <v>-317079.69523944426</v>
      </c>
      <c r="F51" s="29">
        <v>-260156.84747258807</v>
      </c>
      <c r="H51" s="29">
        <v>-201847.78764276532</v>
      </c>
      <c r="J51" s="29">
        <v>-141887.85025335057</v>
      </c>
      <c r="L51" s="29">
        <v>-79952.770692429505</v>
      </c>
      <c r="N51" s="29">
        <v>-15636.930943452753</v>
      </c>
      <c r="P51" s="29">
        <v>51577.983263843693</v>
      </c>
      <c r="R51" s="29">
        <v>122373.09541391535</v>
      </c>
      <c r="T51" s="29">
        <v>197677.59538049204</v>
      </c>
      <c r="V51" s="29">
        <v>278808.55689959088</v>
      </c>
      <c r="X51" s="29">
        <v>367723.19458782813</v>
      </c>
      <c r="Z51" s="29">
        <v>467478.24525593594</v>
      </c>
      <c r="AB51" s="29">
        <v>583094.67357556568</v>
      </c>
      <c r="AD51" s="29">
        <v>723194.79395792261</v>
      </c>
      <c r="AF51" s="29">
        <v>902932.24437290756</v>
      </c>
      <c r="AH51" s="29">
        <v>1148221.6284382748</v>
      </c>
      <c r="AJ51" s="29">
        <v>1498861.8023663894</v>
      </c>
      <c r="AL51" s="29">
        <v>2007971.5946143949</v>
      </c>
      <c r="AN51" s="29">
        <v>2710331.0753824371</v>
      </c>
      <c r="AP51" s="29">
        <v>2846358.0321671786</v>
      </c>
      <c r="AQ51" s="29"/>
      <c r="AR51" s="29">
        <v>2934513.4795120507</v>
      </c>
      <c r="AT51" s="29">
        <v>2880458.324919872</v>
      </c>
      <c r="AV51" s="29">
        <v>2377073.6035664175</v>
      </c>
      <c r="XFD51" s="29"/>
    </row>
    <row r="52" spans="1:48 16321:16384" x14ac:dyDescent="0.2">
      <c r="A52" t="s">
        <v>167</v>
      </c>
      <c r="B52" s="29">
        <v>0</v>
      </c>
      <c r="D52" s="29">
        <v>0</v>
      </c>
      <c r="F52" s="29">
        <v>0</v>
      </c>
      <c r="H52" s="29">
        <v>0</v>
      </c>
      <c r="J52" s="29">
        <v>0</v>
      </c>
      <c r="L52" s="29">
        <v>0</v>
      </c>
      <c r="N52" s="29">
        <v>0</v>
      </c>
      <c r="P52" s="29">
        <v>0</v>
      </c>
      <c r="R52" s="29">
        <v>0</v>
      </c>
      <c r="T52" s="29">
        <v>0</v>
      </c>
      <c r="V52" s="29">
        <v>0</v>
      </c>
      <c r="X52" s="29">
        <v>0</v>
      </c>
      <c r="Z52" s="29">
        <v>0</v>
      </c>
      <c r="AB52" s="29">
        <v>0</v>
      </c>
      <c r="AD52" s="29">
        <v>0</v>
      </c>
      <c r="AF52" s="29">
        <v>0</v>
      </c>
      <c r="AH52" s="29">
        <v>0</v>
      </c>
      <c r="AJ52" s="29">
        <v>0</v>
      </c>
      <c r="AL52" s="29">
        <v>0</v>
      </c>
      <c r="AN52" s="29">
        <v>0</v>
      </c>
      <c r="AP52" s="29">
        <v>0</v>
      </c>
      <c r="AQ52" s="29"/>
      <c r="AR52" s="29">
        <v>0</v>
      </c>
      <c r="AT52" s="29">
        <v>0</v>
      </c>
      <c r="AV52" s="29">
        <v>0</v>
      </c>
    </row>
    <row r="53" spans="1:48 16321:16384" x14ac:dyDescent="0.2">
      <c r="A53" t="s">
        <v>168</v>
      </c>
      <c r="B53" s="29">
        <v>4117761.2200000053</v>
      </c>
      <c r="D53" s="29">
        <v>4079771.855276031</v>
      </c>
      <c r="F53" s="29">
        <v>4040909.3592502298</v>
      </c>
      <c r="H53" s="29">
        <v>4001016.1698994003</v>
      </c>
      <c r="J53" s="29">
        <v>3959899.0578390048</v>
      </c>
      <c r="L53" s="29">
        <v>3917320.0307745263</v>
      </c>
      <c r="N53" s="29">
        <v>3872984.7664857255</v>
      </c>
      <c r="P53" s="29">
        <v>3826524.2352022598</v>
      </c>
      <c r="R53" s="29">
        <v>3777471.1714285449</v>
      </c>
      <c r="T53" s="29">
        <v>3725222.6905325647</v>
      </c>
      <c r="V53" s="29">
        <v>3668982.8591582794</v>
      </c>
      <c r="X53" s="29">
        <v>3607665.331979889</v>
      </c>
      <c r="Z53" s="29">
        <v>3539717.6127245985</v>
      </c>
      <c r="AB53" s="29">
        <v>3462775.5990845133</v>
      </c>
      <c r="AD53" s="29">
        <v>3372922.0251906309</v>
      </c>
      <c r="AF53" s="29">
        <v>3262956.4135471699</v>
      </c>
      <c r="AH53" s="29">
        <v>3118128.6321321041</v>
      </c>
      <c r="AJ53" s="29">
        <v>2905508.0709069292</v>
      </c>
      <c r="AL53" s="29">
        <v>2545722.7534477254</v>
      </c>
      <c r="AN53" s="29">
        <v>1806717.9941970038</v>
      </c>
      <c r="AP53" s="29">
        <v>1558233.8263325316</v>
      </c>
      <c r="AQ53" s="29"/>
      <c r="AR53" s="29">
        <v>1248899.9092446386</v>
      </c>
      <c r="AT53" s="29">
        <v>859288.00623860012</v>
      </c>
      <c r="AV53" s="29">
        <v>381681.72767889517</v>
      </c>
      <c r="XFD53" s="29"/>
    </row>
    <row r="55" spans="1:48 16321:16384" x14ac:dyDescent="0.2">
      <c r="A55" t="s">
        <v>169</v>
      </c>
      <c r="B55" s="193">
        <v>0.20474653863863362</v>
      </c>
      <c r="D55" s="193">
        <v>0.20903545039591973</v>
      </c>
      <c r="F55" s="193">
        <v>0.21342182295457529</v>
      </c>
      <c r="H55" s="193">
        <v>0.21792475348190593</v>
      </c>
      <c r="J55" s="193">
        <v>0.22256736130004598</v>
      </c>
      <c r="L55" s="193">
        <v>0.22737817358400261</v>
      </c>
      <c r="N55" s="193">
        <v>0.23239312787911037</v>
      </c>
      <c r="P55" s="193">
        <v>0.23765846459532633</v>
      </c>
      <c r="R55" s="193">
        <v>0.24323529704165994</v>
      </c>
      <c r="T55" s="193">
        <v>0.24920727281960367</v>
      </c>
      <c r="V55" s="193">
        <v>0.25569308002741931</v>
      </c>
      <c r="X55" s="193">
        <v>0.2628687850490618</v>
      </c>
      <c r="Z55" s="193">
        <v>0.27100839221514378</v>
      </c>
      <c r="AB55" s="193">
        <v>0.28056047297657111</v>
      </c>
      <c r="AD55" s="193">
        <v>0.29229600832276864</v>
      </c>
      <c r="AF55" s="193">
        <v>0.30758910995784433</v>
      </c>
      <c r="AH55" s="193">
        <v>0.3289124923880174</v>
      </c>
      <c r="AJ55" s="193">
        <v>0.36071553659765654</v>
      </c>
      <c r="AL55" s="193">
        <v>0.41225188541708613</v>
      </c>
      <c r="AN55" s="193">
        <v>0.51434200774753225</v>
      </c>
      <c r="AP55" s="193">
        <v>0.5502031466481746</v>
      </c>
      <c r="AR55" s="193">
        <v>0.597777825944934</v>
      </c>
      <c r="AT55" s="193">
        <v>0.66557457363254136</v>
      </c>
      <c r="AV55" s="193">
        <v>0.77457463515514824</v>
      </c>
      <c r="XCS55" s="193"/>
      <c r="XFD55" s="193"/>
    </row>
    <row r="56" spans="1:48 16321:16384" x14ac:dyDescent="0.2">
      <c r="A56" t="s">
        <v>170</v>
      </c>
      <c r="B56" s="193">
        <v>2.933695819171285E-2</v>
      </c>
      <c r="D56" s="193">
        <v>3.4000129901728439E-2</v>
      </c>
      <c r="F56" s="193">
        <v>3.878838698731666E-2</v>
      </c>
      <c r="H56" s="193">
        <v>4.3725289482540057E-2</v>
      </c>
      <c r="J56" s="193">
        <v>4.8839369199976071E-2</v>
      </c>
      <c r="L56" s="193">
        <v>5.4165845684145342E-2</v>
      </c>
      <c r="N56" s="193">
        <v>5.9749111192402921E-2</v>
      </c>
      <c r="P56" s="193">
        <v>6.564635148256219E-2</v>
      </c>
      <c r="R56" s="193">
        <v>7.1933261241059185E-2</v>
      </c>
      <c r="T56" s="193">
        <v>7.8713580043320908E-2</v>
      </c>
      <c r="V56" s="193">
        <v>8.6134712962235682E-2</v>
      </c>
      <c r="X56" s="193">
        <v>9.441549948045376E-2</v>
      </c>
      <c r="Z56" s="193">
        <v>0.10389651225316084</v>
      </c>
      <c r="AB56" s="193">
        <v>0.11513468302117419</v>
      </c>
      <c r="AD56" s="193">
        <v>0.12908479790051208</v>
      </c>
      <c r="AF56" s="193">
        <v>0.14744126191270543</v>
      </c>
      <c r="AH56" s="193">
        <v>0.17323382342443513</v>
      </c>
      <c r="AJ56" s="193">
        <v>0.21187160274080724</v>
      </c>
      <c r="AL56" s="193">
        <v>0.27454885069002616</v>
      </c>
      <c r="AN56" s="193">
        <v>0.39857973414058107</v>
      </c>
      <c r="AP56" s="193">
        <v>0.44210568597936417</v>
      </c>
      <c r="AR56" s="193">
        <v>0.49982143109860899</v>
      </c>
      <c r="AT56" s="193">
        <v>0.58202407299005054</v>
      </c>
      <c r="AV56" s="193">
        <v>0.71409497216778117</v>
      </c>
      <c r="XFD56" s="193"/>
    </row>
    <row r="57" spans="1:48 16321:16384" x14ac:dyDescent="0.2">
      <c r="A57" t="s">
        <v>171</v>
      </c>
      <c r="B57" s="193">
        <v>0.16163977178591823</v>
      </c>
      <c r="D57" s="193">
        <v>0.16131238338216744</v>
      </c>
      <c r="F57" s="193">
        <v>0.16095780472610263</v>
      </c>
      <c r="H57" s="193">
        <v>0.16057168782909073</v>
      </c>
      <c r="J57" s="193">
        <v>0.16014875883118559</v>
      </c>
      <c r="L57" s="193">
        <v>0.15968249490898312</v>
      </c>
      <c r="N57" s="193">
        <v>0.15916464891171808</v>
      </c>
      <c r="P57" s="193">
        <v>0.15858454010696199</v>
      </c>
      <c r="R57" s="193">
        <v>0.15792792734569289</v>
      </c>
      <c r="T57" s="193">
        <v>0.15717517387116337</v>
      </c>
      <c r="V57" s="193">
        <v>0.15629818910864798</v>
      </c>
      <c r="X57" s="193">
        <v>0.1552550980902816</v>
      </c>
      <c r="Y57" s="193"/>
      <c r="Z57" s="193">
        <v>0.1539806744016361</v>
      </c>
      <c r="AB57" s="193">
        <v>0.15236864449963261</v>
      </c>
      <c r="AD57" s="193">
        <v>0.15023854025925579</v>
      </c>
      <c r="AF57" s="193">
        <v>0.14727534491423214</v>
      </c>
      <c r="AH57" s="193">
        <v>0.1429294713577621</v>
      </c>
      <c r="AJ57" s="193">
        <v>0.13624834699523108</v>
      </c>
      <c r="AL57" s="193">
        <v>0.12529097417814167</v>
      </c>
      <c r="AN57" s="193">
        <v>0.10353134607022341</v>
      </c>
      <c r="AP57" s="193">
        <v>9.588661468566323E-2</v>
      </c>
      <c r="AR57" s="193">
        <v>8.5744777769042463E-2</v>
      </c>
      <c r="AT57" s="193">
        <v>7.1292031344391951E-2</v>
      </c>
      <c r="AV57" s="193">
        <v>4.805565352645505E-2</v>
      </c>
      <c r="XFD57" s="193"/>
    </row>
    <row r="58" spans="1:48 16321:16384" x14ac:dyDescent="0.2">
      <c r="A58" t="s">
        <v>172</v>
      </c>
      <c r="B58" s="193">
        <v>1.3769808661002522E-2</v>
      </c>
      <c r="D58" s="193">
        <v>1.3722937112023889E-2</v>
      </c>
      <c r="F58" s="193">
        <v>1.3675631241156002E-2</v>
      </c>
      <c r="H58" s="193">
        <v>1.3627776170275142E-2</v>
      </c>
      <c r="J58" s="193">
        <v>1.3579233268884333E-2</v>
      </c>
      <c r="L58" s="193">
        <v>1.3529832990874164E-2</v>
      </c>
      <c r="N58" s="193">
        <v>1.3479367774989339E-2</v>
      </c>
      <c r="P58" s="193">
        <v>1.3427573005802142E-2</v>
      </c>
      <c r="R58" s="193">
        <v>1.3374108454907869E-2</v>
      </c>
      <c r="T58" s="193">
        <v>1.3318518905119384E-2</v>
      </c>
      <c r="V58" s="193">
        <v>1.3260177956535635E-2</v>
      </c>
      <c r="X58" s="193">
        <v>1.3198187478326481E-2</v>
      </c>
      <c r="Y58" s="193"/>
      <c r="Z58" s="193">
        <v>1.3131205560346809E-2</v>
      </c>
      <c r="AB58" s="193">
        <v>1.3057145455764304E-2</v>
      </c>
      <c r="AD58" s="193">
        <v>1.2972670163000775E-2</v>
      </c>
      <c r="AF58" s="193">
        <v>1.2872503130906725E-2</v>
      </c>
      <c r="AH58" s="193">
        <v>1.2749197605820184E-2</v>
      </c>
      <c r="AJ58" s="193">
        <v>1.2595586861618187E-2</v>
      </c>
      <c r="AL58" s="193">
        <v>1.2412060548918242E-2</v>
      </c>
      <c r="AN58" s="193">
        <v>1.2230927536727798E-2</v>
      </c>
      <c r="AP58" s="193">
        <v>1.22108459831472E-2</v>
      </c>
      <c r="AR58" s="193">
        <v>1.2211617077282511E-2</v>
      </c>
      <c r="AT58" s="193">
        <v>1.2258469298098802E-2</v>
      </c>
      <c r="AV58" s="193">
        <v>1.2424009460911984E-2</v>
      </c>
      <c r="XFD58" s="193"/>
    </row>
    <row r="59" spans="1:48 16321:16384" x14ac:dyDescent="0.2">
      <c r="A59" t="s">
        <v>173</v>
      </c>
      <c r="B59" s="193">
        <v>9.2131398759716778E-4</v>
      </c>
      <c r="D59" s="193">
        <v>5.6407625520105047E-3</v>
      </c>
      <c r="F59" s="193">
        <v>1.0486133069187361E-2</v>
      </c>
      <c r="H59" s="193">
        <v>1.5481139747642534E-2</v>
      </c>
      <c r="J59" s="193">
        <v>2.0654497185823874E-2</v>
      </c>
      <c r="L59" s="193">
        <v>2.6041645327628211E-2</v>
      </c>
      <c r="N59" s="193">
        <v>3.1687245004237849E-2</v>
      </c>
      <c r="P59" s="193">
        <v>3.7648821354665678E-2</v>
      </c>
      <c r="R59" s="193">
        <v>4.4002506926690131E-2</v>
      </c>
      <c r="T59" s="193">
        <v>5.0852632285186862E-2</v>
      </c>
      <c r="V59" s="193">
        <v>5.8347432030463296E-2</v>
      </c>
      <c r="X59" s="193">
        <v>6.670697035829258E-2</v>
      </c>
      <c r="Z59" s="193">
        <v>7.6273721268239142E-2</v>
      </c>
      <c r="AB59" s="193">
        <v>8.7607710865012206E-2</v>
      </c>
      <c r="AD59" s="193">
        <v>0.10166893337344526</v>
      </c>
      <c r="AF59" s="193">
        <v>0.12016052810946592</v>
      </c>
      <c r="AH59" s="193">
        <v>0.1461255807872486</v>
      </c>
      <c r="AJ59" s="193">
        <v>0.18498820804088384</v>
      </c>
      <c r="AL59" s="193">
        <v>0.24794651769771942</v>
      </c>
      <c r="AN59" s="193">
        <v>0.37224986392613624</v>
      </c>
      <c r="AP59" s="193">
        <v>0.41579368800765476</v>
      </c>
      <c r="AR59" s="193">
        <v>0.47347983365366281</v>
      </c>
      <c r="AT59" s="193">
        <v>0.55554781018883015</v>
      </c>
      <c r="AV59" s="193">
        <v>0.6872132316702253</v>
      </c>
      <c r="XFD59" s="193"/>
    </row>
    <row r="60" spans="1:48 16321:16384" x14ac:dyDescent="0.2">
      <c r="A60" t="s">
        <v>174</v>
      </c>
      <c r="B60" s="193">
        <v>2.8415644204115683E-2</v>
      </c>
      <c r="D60" s="193">
        <v>2.8359367349717932E-2</v>
      </c>
      <c r="F60" s="193">
        <v>2.8302253918129301E-2</v>
      </c>
      <c r="H60" s="193">
        <v>2.8244149734897524E-2</v>
      </c>
      <c r="J60" s="193">
        <v>2.8184872014152203E-2</v>
      </c>
      <c r="L60" s="193">
        <v>2.8124200356517123E-2</v>
      </c>
      <c r="N60" s="193">
        <v>2.8061866188165082E-2</v>
      </c>
      <c r="P60" s="193">
        <v>2.7997530127896502E-2</v>
      </c>
      <c r="R60" s="193">
        <v>2.793075431436905E-2</v>
      </c>
      <c r="T60" s="193">
        <v>2.7860947758134042E-2</v>
      </c>
      <c r="V60" s="193">
        <v>2.7787280931772382E-2</v>
      </c>
      <c r="X60" s="193">
        <v>2.770852912216118E-2</v>
      </c>
      <c r="Z60" s="193">
        <v>2.7622790984921694E-2</v>
      </c>
      <c r="AB60" s="193">
        <v>2.7526972156161979E-2</v>
      </c>
      <c r="AD60" s="193">
        <v>2.7415864527066815E-2</v>
      </c>
      <c r="AF60" s="193">
        <v>2.7280733803239504E-2</v>
      </c>
      <c r="AH60" s="193">
        <v>2.7108242637186527E-2</v>
      </c>
      <c r="AJ60" s="193">
        <v>2.6883394699923398E-2</v>
      </c>
      <c r="AL60" s="193">
        <v>2.6602332992306771E-2</v>
      </c>
      <c r="AN60" s="193">
        <v>2.6329870214444811E-2</v>
      </c>
      <c r="AP60" s="193">
        <v>2.6311997971709411E-2</v>
      </c>
      <c r="AR60" s="193">
        <v>2.6341597444946224E-2</v>
      </c>
      <c r="AT60" s="193">
        <v>2.6476262801220396E-2</v>
      </c>
      <c r="AV60" s="193">
        <v>2.6881740497555817E-2</v>
      </c>
      <c r="XFD60" s="193"/>
    </row>
    <row r="62" spans="1:48 16321:16384" x14ac:dyDescent="0.2">
      <c r="A62" t="s">
        <v>175</v>
      </c>
      <c r="B62">
        <v>1</v>
      </c>
      <c r="D62">
        <v>1.0061036739771445</v>
      </c>
      <c r="F62">
        <v>1.0122253624783606</v>
      </c>
      <c r="H62">
        <v>1.0183620362475108</v>
      </c>
      <c r="J62">
        <v>1.0245102033418492</v>
      </c>
      <c r="L62">
        <v>1.0306655194645167</v>
      </c>
      <c r="N62">
        <v>1.0368217719127135</v>
      </c>
      <c r="P62">
        <v>1.0429703544970246</v>
      </c>
      <c r="R62">
        <v>1.0490980058442125</v>
      </c>
      <c r="T62">
        <v>1.0551843026785537</v>
      </c>
      <c r="V62">
        <v>1.0611966170927432</v>
      </c>
      <c r="X62">
        <v>1.067082429788176</v>
      </c>
      <c r="Z62">
        <v>1.0727567055765765</v>
      </c>
      <c r="AB62">
        <v>1.0780825960376861</v>
      </c>
      <c r="AD62">
        <v>1.0828464867881378</v>
      </c>
      <c r="AF62">
        <v>1.0867439264546221</v>
      </c>
      <c r="AH62">
        <v>1.0894419958152235</v>
      </c>
      <c r="AJ62">
        <v>1.0908239353188327</v>
      </c>
      <c r="AL62">
        <v>1.0912536422039454</v>
      </c>
      <c r="AN62">
        <v>1.0913137089368736</v>
      </c>
      <c r="AP62">
        <v>1.0913148963778454</v>
      </c>
      <c r="AR62">
        <v>1.0913153521999361</v>
      </c>
      <c r="AT62">
        <v>1.0913154928853084</v>
      </c>
      <c r="AV62">
        <v>1.0913155238227867</v>
      </c>
    </row>
    <row r="65" spans="1:48 16384:16384" x14ac:dyDescent="0.2">
      <c r="A65" t="s">
        <v>176</v>
      </c>
      <c r="B65" s="191">
        <v>1</v>
      </c>
      <c r="C65" s="191"/>
      <c r="D65" s="191">
        <v>0.99726850813279255</v>
      </c>
      <c r="E65" s="191"/>
      <c r="F65" s="191">
        <v>0.99453585621008889</v>
      </c>
      <c r="G65" s="191"/>
      <c r="H65" s="191">
        <v>0.99180021429672749</v>
      </c>
      <c r="I65" s="191"/>
      <c r="J65" s="191">
        <v>0.98905925793059657</v>
      </c>
      <c r="K65" s="191"/>
      <c r="L65" s="191">
        <v>0.98631038445622887</v>
      </c>
      <c r="M65" s="191"/>
      <c r="N65" s="191">
        <v>0.98355118523659113</v>
      </c>
      <c r="O65" s="191"/>
      <c r="P65" s="191">
        <v>0.98078027911842602</v>
      </c>
      <c r="Q65" s="191"/>
      <c r="R65" s="191">
        <v>0.97799904668722515</v>
      </c>
      <c r="S65" s="191"/>
      <c r="T65" s="191">
        <v>0.97521488162105219</v>
      </c>
      <c r="U65" s="191"/>
      <c r="V65" s="191">
        <v>0.972447179406424</v>
      </c>
      <c r="W65" s="191"/>
      <c r="X65" s="191">
        <v>0.96973857441490252</v>
      </c>
      <c r="Y65" s="191"/>
      <c r="Z65" s="191">
        <v>0.96717585435200248</v>
      </c>
      <c r="AA65" s="191"/>
      <c r="AB65" s="191">
        <v>0.96492857429225731</v>
      </c>
      <c r="AC65" s="191"/>
      <c r="AD65" s="191">
        <v>0.96331663609919704</v>
      </c>
      <c r="AE65" s="191"/>
      <c r="AF65" s="191">
        <v>0.96290630094033502</v>
      </c>
      <c r="AG65" s="191"/>
      <c r="AH65" s="191">
        <v>0.96454649018718819</v>
      </c>
      <c r="AI65" s="191"/>
      <c r="AJ65" s="191">
        <v>0.96903087613170236</v>
      </c>
      <c r="AK65" s="191"/>
      <c r="AL65" s="191">
        <v>0.97626297548599528</v>
      </c>
      <c r="AM65" s="191"/>
      <c r="AN65" s="191">
        <v>0.98534373189139335</v>
      </c>
      <c r="AO65" s="191"/>
      <c r="AP65" s="191">
        <v>0.98743542374770066</v>
      </c>
      <c r="AQ65" s="191"/>
      <c r="AR65" s="191">
        <v>0.98976619514919162</v>
      </c>
      <c r="AS65" s="191"/>
      <c r="AT65" s="191">
        <v>0.99259063056003505</v>
      </c>
      <c r="AU65" s="191"/>
      <c r="AV65" s="191">
        <v>0.99662144741949998</v>
      </c>
    </row>
    <row r="66" spans="1:48 16384:16384" x14ac:dyDescent="0.2">
      <c r="A66" t="s">
        <v>182</v>
      </c>
      <c r="B66" s="191">
        <v>1</v>
      </c>
      <c r="C66" s="191"/>
      <c r="D66" s="191">
        <v>0.99699082399845296</v>
      </c>
      <c r="E66" s="191"/>
      <c r="F66" s="191">
        <v>0.99397506265331714</v>
      </c>
      <c r="G66" s="191"/>
      <c r="H66" s="191">
        <v>0.99095064953533207</v>
      </c>
      <c r="I66" s="191"/>
      <c r="J66" s="191">
        <v>0.98791495280820085</v>
      </c>
      <c r="K66" s="191"/>
      <c r="L66" s="191">
        <v>0.98486500983069192</v>
      </c>
      <c r="M66" s="191"/>
      <c r="N66" s="191">
        <v>0.98179804895482536</v>
      </c>
      <c r="O66" s="191"/>
      <c r="P66" s="191">
        <v>0.97871242007789538</v>
      </c>
      <c r="Q66" s="191"/>
      <c r="R66" s="191">
        <v>0.97560954223032181</v>
      </c>
      <c r="S66" s="191"/>
      <c r="T66" s="191">
        <v>0.97249757319561325</v>
      </c>
      <c r="U66" s="191"/>
      <c r="V66" s="191">
        <v>0.96939819361228541</v>
      </c>
      <c r="W66" s="191"/>
      <c r="X66" s="191">
        <v>0.96635937055277044</v>
      </c>
      <c r="Y66" s="191"/>
      <c r="Z66" s="191">
        <v>0.96347915669625805</v>
      </c>
      <c r="AA66" s="191"/>
      <c r="AB66" s="191">
        <v>0.96094965408268385</v>
      </c>
      <c r="AC66" s="191"/>
      <c r="AD66" s="191">
        <v>0.95913383096118865</v>
      </c>
      <c r="AE66" s="191"/>
      <c r="AF66" s="191">
        <v>0.95867387406883642</v>
      </c>
      <c r="AG66" s="191"/>
      <c r="AH66" s="191">
        <v>0.96052863094841634</v>
      </c>
      <c r="AI66" s="191"/>
      <c r="AJ66" s="191">
        <v>0.96558121743869452</v>
      </c>
      <c r="AK66" s="191"/>
      <c r="AL66" s="191">
        <v>0.97369055883830735</v>
      </c>
      <c r="AM66" s="191"/>
      <c r="AN66" s="191">
        <v>0.98380939303856108</v>
      </c>
      <c r="AO66" s="191"/>
      <c r="AP66" s="191">
        <v>0.98613053797979544</v>
      </c>
      <c r="AQ66" s="191"/>
      <c r="AR66" s="191">
        <v>0.988712817330057</v>
      </c>
      <c r="AS66" s="191"/>
      <c r="AT66" s="191">
        <v>0.99183620155374808</v>
      </c>
      <c r="AU66" s="191"/>
      <c r="AV66" s="191">
        <v>0.99628274050827548</v>
      </c>
      <c r="XFD66" s="191"/>
    </row>
    <row r="67" spans="1:48 16384:16384" x14ac:dyDescent="0.2">
      <c r="A67" t="s">
        <v>183</v>
      </c>
      <c r="B67" s="191">
        <v>1</v>
      </c>
      <c r="C67" s="191"/>
      <c r="D67" s="191">
        <v>1</v>
      </c>
      <c r="E67" s="191"/>
      <c r="F67" s="191">
        <v>1</v>
      </c>
      <c r="G67" s="191"/>
      <c r="H67" s="191">
        <v>1</v>
      </c>
      <c r="I67" s="191"/>
      <c r="J67" s="191">
        <v>1</v>
      </c>
      <c r="K67" s="191"/>
      <c r="L67" s="191">
        <v>1</v>
      </c>
      <c r="M67" s="191"/>
      <c r="N67" s="191">
        <v>1</v>
      </c>
      <c r="O67" s="191"/>
      <c r="P67" s="191">
        <v>1</v>
      </c>
      <c r="Q67" s="191"/>
      <c r="R67" s="191">
        <v>1</v>
      </c>
      <c r="S67" s="191"/>
      <c r="T67" s="191">
        <v>1</v>
      </c>
      <c r="U67" s="191"/>
      <c r="V67" s="191">
        <v>1</v>
      </c>
      <c r="W67" s="191"/>
      <c r="X67" s="191">
        <v>1</v>
      </c>
      <c r="Y67" s="191"/>
      <c r="Z67" s="191">
        <v>1</v>
      </c>
      <c r="AA67" s="191"/>
      <c r="AB67" s="191">
        <v>1</v>
      </c>
      <c r="AC67" s="191"/>
      <c r="AD67" s="191">
        <v>1</v>
      </c>
      <c r="AE67" s="191"/>
      <c r="AF67" s="191">
        <v>1</v>
      </c>
      <c r="AG67" s="191"/>
      <c r="AH67" s="191">
        <v>1</v>
      </c>
      <c r="AI67" s="191"/>
      <c r="AJ67" s="191">
        <v>1</v>
      </c>
      <c r="AK67" s="191"/>
      <c r="AL67" s="191">
        <v>1</v>
      </c>
      <c r="AM67" s="191"/>
      <c r="AN67" s="191">
        <v>1</v>
      </c>
      <c r="AO67" s="191"/>
      <c r="AP67" s="191">
        <v>1</v>
      </c>
      <c r="AQ67" s="191"/>
      <c r="AR67" s="191">
        <v>1</v>
      </c>
      <c r="AS67" s="191"/>
      <c r="AT67" s="191">
        <v>1</v>
      </c>
      <c r="AU67" s="191"/>
      <c r="AV67" s="191">
        <v>1</v>
      </c>
      <c r="XFD67" s="191"/>
    </row>
    <row r="68" spans="1:48 16384:16384" x14ac:dyDescent="0.2">
      <c r="A68" t="s">
        <v>181</v>
      </c>
      <c r="B68" s="191">
        <v>1</v>
      </c>
      <c r="C68" s="191"/>
      <c r="D68" s="191">
        <v>0.99699082399845296</v>
      </c>
      <c r="E68" s="191"/>
      <c r="F68" s="191">
        <v>0.99397506265331714</v>
      </c>
      <c r="G68" s="191"/>
      <c r="H68" s="191">
        <v>0.99095064953533207</v>
      </c>
      <c r="I68" s="191"/>
      <c r="J68" s="191">
        <v>0.98791495280820085</v>
      </c>
      <c r="K68" s="191"/>
      <c r="L68" s="191">
        <v>0.98486500983069192</v>
      </c>
      <c r="M68" s="191"/>
      <c r="N68" s="191">
        <v>0.98179804895482536</v>
      </c>
      <c r="O68" s="191"/>
      <c r="P68" s="191">
        <v>0.97871242007789538</v>
      </c>
      <c r="Q68" s="191"/>
      <c r="R68" s="191">
        <v>0.97560954223032181</v>
      </c>
      <c r="S68" s="191"/>
      <c r="T68" s="191">
        <v>0.97249757319561325</v>
      </c>
      <c r="U68" s="191"/>
      <c r="V68" s="191">
        <v>0.96939819361228541</v>
      </c>
      <c r="W68" s="191"/>
      <c r="X68" s="191">
        <v>0.96635937055277044</v>
      </c>
      <c r="Y68" s="191"/>
      <c r="Z68" s="191">
        <v>0.96347915669625805</v>
      </c>
      <c r="AA68" s="191"/>
      <c r="AB68" s="191">
        <v>0.96094965408268385</v>
      </c>
      <c r="AC68" s="191"/>
      <c r="AD68" s="191">
        <v>0.95913383096118865</v>
      </c>
      <c r="AE68" s="191"/>
      <c r="AF68" s="191">
        <v>0.95867387406883642</v>
      </c>
      <c r="AG68" s="191"/>
      <c r="AH68" s="191">
        <v>0.96052863094841634</v>
      </c>
      <c r="AI68" s="191"/>
      <c r="AJ68" s="191">
        <v>0.96558121743869452</v>
      </c>
      <c r="AK68" s="191"/>
      <c r="AL68" s="191">
        <v>0.97369055883830735</v>
      </c>
      <c r="AM68" s="191"/>
      <c r="AN68" s="191">
        <v>0.98380939303856108</v>
      </c>
      <c r="AO68" s="191"/>
      <c r="AP68" s="191">
        <v>0.98613053797979544</v>
      </c>
      <c r="AQ68" s="191"/>
      <c r="AR68" s="191">
        <v>0.988712817330057</v>
      </c>
      <c r="AS68" s="191"/>
      <c r="AT68" s="191">
        <v>0.99183620155374808</v>
      </c>
      <c r="AU68" s="191"/>
      <c r="AV68" s="191">
        <v>0.99628274050827548</v>
      </c>
      <c r="XFD68" s="191"/>
    </row>
    <row r="69" spans="1:48 16384:16384" x14ac:dyDescent="0.2">
      <c r="A69" t="s">
        <v>177</v>
      </c>
      <c r="B69" s="191">
        <v>1</v>
      </c>
      <c r="C69" s="191"/>
      <c r="D69" s="191">
        <v>1.0015805174724155</v>
      </c>
      <c r="E69" s="191"/>
      <c r="F69" s="191">
        <v>1.0030230408274654</v>
      </c>
      <c r="G69" s="191"/>
      <c r="H69" s="191">
        <v>1.00430681400417</v>
      </c>
      <c r="I69" s="191"/>
      <c r="J69" s="191">
        <v>1.005406262384495</v>
      </c>
      <c r="K69" s="191"/>
      <c r="L69" s="191">
        <v>1.0062895421643236</v>
      </c>
      <c r="M69" s="191"/>
      <c r="N69" s="191">
        <v>1.0069163438668665</v>
      </c>
      <c r="O69" s="191"/>
      <c r="P69" s="191">
        <v>1.0072352958537298</v>
      </c>
      <c r="Q69" s="191"/>
      <c r="R69" s="191">
        <v>1.0071796208099033</v>
      </c>
      <c r="S69" s="191"/>
      <c r="T69" s="191">
        <v>1.006661292254263</v>
      </c>
      <c r="U69" s="191"/>
      <c r="V69" s="191">
        <v>1.0055615318245588</v>
      </c>
      <c r="W69" s="191"/>
      <c r="X69" s="191">
        <v>1.0037157756804849</v>
      </c>
      <c r="Y69" s="191"/>
      <c r="Z69" s="191">
        <v>1.0008875141997091</v>
      </c>
      <c r="AA69" s="191"/>
      <c r="AB69" s="191">
        <v>0.99671889937252622</v>
      </c>
      <c r="AC69" s="191"/>
      <c r="AD69" s="191">
        <v>0.99062631255835853</v>
      </c>
      <c r="AE69" s="191"/>
      <c r="AF69" s="191">
        <v>0.98154790216121934</v>
      </c>
      <c r="AG69" s="191"/>
      <c r="AH69" s="191">
        <v>0.96725341088504102</v>
      </c>
      <c r="AI69" s="191"/>
      <c r="AJ69" s="191">
        <v>0.94231254041164447</v>
      </c>
      <c r="AK69" s="191"/>
      <c r="AL69" s="191">
        <v>0.89153272316993593</v>
      </c>
      <c r="AM69" s="191"/>
      <c r="AN69" s="191">
        <v>0.7586953895718932</v>
      </c>
      <c r="AO69" s="191"/>
      <c r="AP69" s="191">
        <v>0.70502270730935146</v>
      </c>
      <c r="AQ69" s="191"/>
      <c r="AR69" s="191">
        <v>0.63041231147556687</v>
      </c>
      <c r="AS69" s="191"/>
      <c r="AT69" s="191">
        <v>0.52019358593262055</v>
      </c>
      <c r="AU69" s="191"/>
      <c r="AV69" s="191">
        <v>0.34140043382028828</v>
      </c>
    </row>
    <row r="70" spans="1:48 16384:16384" x14ac:dyDescent="0.2">
      <c r="A70" t="s">
        <v>178</v>
      </c>
      <c r="B70" s="138">
        <v>1</v>
      </c>
      <c r="C70" s="138"/>
      <c r="D70" s="138">
        <v>1.0009130008780913</v>
      </c>
      <c r="E70" s="138"/>
      <c r="F70" s="138">
        <v>1.0016700232204969</v>
      </c>
      <c r="G70" s="138"/>
      <c r="H70" s="138">
        <v>1.00224612425864</v>
      </c>
      <c r="I70" s="138"/>
      <c r="J70" s="138">
        <v>1.0026108598850851</v>
      </c>
      <c r="K70" s="138"/>
      <c r="L70" s="138">
        <v>1.0027264426035509</v>
      </c>
      <c r="M70" s="138"/>
      <c r="N70" s="138">
        <v>1.0025449733305498</v>
      </c>
      <c r="O70" s="138"/>
      <c r="P70" s="138">
        <v>1.0020046505281432</v>
      </c>
      <c r="Q70" s="138"/>
      <c r="R70" s="138">
        <v>1.0010235829840084</v>
      </c>
      <c r="S70" s="138"/>
      <c r="T70" s="138">
        <v>0.99949031534327637</v>
      </c>
      <c r="U70" s="138"/>
      <c r="V70" s="138">
        <v>0.99724812408928865</v>
      </c>
      <c r="W70" s="138"/>
      <c r="X70" s="138">
        <v>0.99406843548339896</v>
      </c>
      <c r="Y70" s="138"/>
      <c r="Z70" s="138">
        <v>0.98960367989177256</v>
      </c>
      <c r="AA70" s="138"/>
      <c r="AB70" s="138">
        <v>0.98330014525724851</v>
      </c>
      <c r="AC70" s="138"/>
      <c r="AD70" s="138">
        <v>0.97423060352551072</v>
      </c>
      <c r="AE70" s="138"/>
      <c r="AF70" s="138">
        <v>0.96076447121353292</v>
      </c>
      <c r="AG70" s="138"/>
      <c r="AH70" s="138">
        <v>0.93990568266444052</v>
      </c>
      <c r="AI70" s="138"/>
      <c r="AJ70" s="138">
        <v>0.90579596367235571</v>
      </c>
      <c r="AK70" s="138"/>
      <c r="AL70" s="138">
        <v>0.84469535093443771</v>
      </c>
      <c r="AM70" s="138"/>
      <c r="AN70" s="138">
        <v>0.70810725446370959</v>
      </c>
      <c r="AO70" s="138"/>
      <c r="AP70" s="138">
        <v>0.65686787375262345</v>
      </c>
      <c r="AQ70" s="138"/>
      <c r="AR70" s="138">
        <v>0.58732538188646688</v>
      </c>
      <c r="AS70" s="138"/>
      <c r="AT70" s="138">
        <v>0.48643441188456221</v>
      </c>
      <c r="AU70" s="138"/>
      <c r="AV70" s="138">
        <v>0.32349572066644405</v>
      </c>
    </row>
    <row r="71" spans="1:48 16384:16384" x14ac:dyDescent="0.2">
      <c r="A71" t="s">
        <v>179</v>
      </c>
      <c r="B71" s="138">
        <v>1</v>
      </c>
      <c r="D71" s="138">
        <v>0.92680384878627131</v>
      </c>
      <c r="E71" s="138"/>
      <c r="F71" s="138">
        <v>0.85395457136725206</v>
      </c>
      <c r="G71" s="138"/>
      <c r="H71" s="138">
        <v>0.78152495643361253</v>
      </c>
      <c r="I71" s="138"/>
      <c r="J71" s="138">
        <v>0.70959998281126713</v>
      </c>
      <c r="K71" s="138"/>
      <c r="L71" s="138">
        <v>0.6382825316231715</v>
      </c>
      <c r="M71" s="138"/>
      <c r="N71" s="138">
        <v>0.56770451591010396</v>
      </c>
      <c r="O71" s="138"/>
      <c r="P71" s="138">
        <v>0.49803630303472451</v>
      </c>
      <c r="Q71" s="138"/>
      <c r="R71" s="138">
        <v>0.42951033369200114</v>
      </c>
      <c r="S71" s="138"/>
      <c r="T71" s="138">
        <v>0.3624500264649258</v>
      </c>
      <c r="U71" s="138"/>
      <c r="V71" s="138">
        <v>0.29732012911763089</v>
      </c>
      <c r="W71" s="138"/>
      <c r="X71" s="138">
        <v>0.23480082710695471</v>
      </c>
      <c r="Y71" s="138"/>
      <c r="Z71" s="138">
        <v>0.17590022459000779</v>
      </c>
      <c r="AA71" s="138"/>
      <c r="AB71" s="138">
        <v>0.12210994730723902</v>
      </c>
      <c r="AC71" s="138"/>
      <c r="AD71" s="138">
        <v>7.5568463846802603E-2</v>
      </c>
      <c r="AE71" s="138"/>
      <c r="AF71" s="138">
        <v>3.9033741730908872E-2</v>
      </c>
      <c r="AG71" s="138"/>
      <c r="AH71" s="138">
        <v>1.5050395812607625E-2</v>
      </c>
      <c r="AI71" s="138"/>
      <c r="AJ71" s="138">
        <v>3.6099488175772832E-3</v>
      </c>
      <c r="AK71" s="138"/>
      <c r="AL71" s="138">
        <v>3.9374034687797232E-4</v>
      </c>
      <c r="AM71" s="138"/>
      <c r="AN71" s="138">
        <v>8.7936993565507154E-6</v>
      </c>
      <c r="AO71" s="138"/>
      <c r="AP71" s="138">
        <v>2.7788851124824793E-6</v>
      </c>
      <c r="AQ71" s="138"/>
      <c r="AR71" s="138">
        <v>6.8214143444564919E-7</v>
      </c>
      <c r="AS71" s="138"/>
      <c r="AT71" s="138">
        <v>1.1272565039212343E-7</v>
      </c>
      <c r="AU71" s="138"/>
      <c r="AV71" s="138">
        <v>8.8306502015779967E-9</v>
      </c>
      <c r="XFD71" s="138"/>
    </row>
    <row r="72" spans="1:48 16384:16384" x14ac:dyDescent="0.2">
      <c r="A72" t="s">
        <v>180</v>
      </c>
      <c r="B72" s="138">
        <v>1</v>
      </c>
      <c r="D72" s="138">
        <v>1.0135773885651607</v>
      </c>
      <c r="E72" s="138"/>
      <c r="F72" s="138">
        <v>1.0298861984642134</v>
      </c>
      <c r="G72" s="138"/>
      <c r="H72" s="138">
        <v>1.0492169891304353</v>
      </c>
      <c r="I72" s="138"/>
      <c r="J72" s="138">
        <v>1.071881194268234</v>
      </c>
      <c r="K72" s="138"/>
      <c r="L72" s="138">
        <v>1.0982015572923005</v>
      </c>
      <c r="M72" s="138"/>
      <c r="N72" s="138">
        <v>1.1284914003164841</v>
      </c>
      <c r="O72" s="138"/>
      <c r="P72" s="138">
        <v>1.1630101697204445</v>
      </c>
      <c r="Q72" s="138"/>
      <c r="R72" s="138">
        <v>1.2018838959296305</v>
      </c>
      <c r="S72" s="138"/>
      <c r="T72" s="138">
        <v>1.244961492024901</v>
      </c>
      <c r="U72" s="138"/>
      <c r="V72" s="138">
        <v>1.291546858423966</v>
      </c>
      <c r="W72" s="138"/>
      <c r="X72" s="138">
        <v>1.3399145301876141</v>
      </c>
      <c r="Y72" s="138"/>
      <c r="Z72" s="138">
        <v>1.3864196205850359</v>
      </c>
      <c r="AA72" s="138"/>
      <c r="AB72" s="138">
        <v>1.423888816050829</v>
      </c>
      <c r="AC72" s="138"/>
      <c r="AD72" s="138">
        <v>1.4388905205277072</v>
      </c>
      <c r="AE72" s="138"/>
      <c r="AF72" s="138">
        <v>1.408089775747998</v>
      </c>
      <c r="AG72" s="138"/>
      <c r="AH72" s="138">
        <v>1.2976496175159307</v>
      </c>
      <c r="AI72" s="138"/>
      <c r="AJ72" s="138">
        <v>1.0782332811978801</v>
      </c>
      <c r="AK72" s="138"/>
      <c r="AL72" s="138">
        <v>0.75817566077858345</v>
      </c>
      <c r="AM72" s="138"/>
      <c r="AN72" s="138">
        <v>0.38530257841226112</v>
      </c>
      <c r="AO72" s="138"/>
      <c r="AP72" s="138">
        <v>0.30851118284263884</v>
      </c>
      <c r="AQ72" s="138"/>
      <c r="AR72" s="138">
        <v>0.23149711553044811</v>
      </c>
      <c r="AS72" s="138"/>
      <c r="AT72" s="138">
        <v>0.15436893151463116</v>
      </c>
      <c r="AU72" s="138"/>
      <c r="AV72" s="138">
        <v>7.719209580985327E-2</v>
      </c>
      <c r="XFD72" s="138"/>
    </row>
    <row r="73" spans="1:48 16384:16384" x14ac:dyDescent="0.2">
      <c r="A73" t="s">
        <v>184</v>
      </c>
      <c r="B73" s="193">
        <v>0.47641029008972879</v>
      </c>
      <c r="D73" s="193">
        <v>0.47469761007182087</v>
      </c>
      <c r="E73" s="138"/>
      <c r="F73" s="193">
        <v>0.4729148737761234</v>
      </c>
      <c r="G73" s="138"/>
      <c r="H73" s="193">
        <v>0.47104999132220771</v>
      </c>
      <c r="I73" s="138"/>
      <c r="J73" s="193">
        <v>0.46908818247707595</v>
      </c>
      <c r="K73" s="138"/>
      <c r="L73" s="193">
        <v>0.46701120706004401</v>
      </c>
      <c r="M73" s="138"/>
      <c r="N73" s="193">
        <v>0.46479605099095395</v>
      </c>
      <c r="O73" s="138"/>
      <c r="P73" s="193">
        <v>0.46241303843890863</v>
      </c>
      <c r="Q73" s="138"/>
      <c r="R73" s="193">
        <v>0.45982261840324895</v>
      </c>
      <c r="S73" s="138"/>
      <c r="T73" s="193">
        <v>0.45697060275832119</v>
      </c>
      <c r="U73" s="138"/>
      <c r="V73" s="193">
        <v>0.45377961306013181</v>
      </c>
      <c r="W73" s="138"/>
      <c r="X73" s="193">
        <v>0.45013459589176213</v>
      </c>
      <c r="Y73" s="138"/>
      <c r="Z73" s="193">
        <v>0.44585641417585425</v>
      </c>
      <c r="AA73" s="138"/>
      <c r="AB73" s="193">
        <v>0.4406525732381224</v>
      </c>
      <c r="AC73" s="138"/>
      <c r="AD73" s="193">
        <v>0.4340238136842981</v>
      </c>
      <c r="AE73" s="138"/>
      <c r="AF73" s="193">
        <v>0.42509073649337781</v>
      </c>
      <c r="AG73" s="138"/>
      <c r="AH73" s="193">
        <v>0.4122980662331992</v>
      </c>
      <c r="AI73" s="138"/>
      <c r="AJ73" s="193">
        <v>0.39290445756997694</v>
      </c>
      <c r="AK73" s="138"/>
      <c r="AL73" s="193">
        <v>0.36127171218797494</v>
      </c>
      <c r="AM73" s="138"/>
      <c r="AN73" s="193">
        <v>0.29852467013328959</v>
      </c>
      <c r="AO73" s="138"/>
      <c r="AP73" s="193">
        <v>0.27648160236268271</v>
      </c>
      <c r="AQ73" s="138"/>
      <c r="AR73" s="193">
        <v>0.24723837863193612</v>
      </c>
      <c r="AS73" s="138"/>
      <c r="AT73" s="193">
        <v>0.20556500519120105</v>
      </c>
      <c r="AU73" s="138"/>
      <c r="AV73" s="193">
        <v>0.13856472332660791</v>
      </c>
      <c r="XFD73" s="193"/>
    </row>
    <row r="74" spans="1:48 16384:16384" x14ac:dyDescent="0.2">
      <c r="A74" t="s">
        <v>185</v>
      </c>
      <c r="B74" s="193">
        <v>0.23361570741689888</v>
      </c>
      <c r="D74" s="193">
        <v>0.23361570741689885</v>
      </c>
      <c r="E74" s="138"/>
      <c r="F74" s="193">
        <v>0.23361570741689885</v>
      </c>
      <c r="G74" s="138"/>
      <c r="H74" s="193">
        <v>0.23361570741689888</v>
      </c>
      <c r="I74" s="138"/>
      <c r="J74" s="193">
        <v>0.23361570741689885</v>
      </c>
      <c r="K74" s="138"/>
      <c r="L74" s="193">
        <v>0.23361570741689888</v>
      </c>
      <c r="M74" s="138"/>
      <c r="N74" s="193">
        <v>0.23361570741689888</v>
      </c>
      <c r="O74" s="138"/>
      <c r="P74" s="193">
        <v>0.23361570741689888</v>
      </c>
      <c r="Q74" s="138"/>
      <c r="R74" s="193">
        <v>0.23361570741689888</v>
      </c>
      <c r="S74" s="138"/>
      <c r="T74" s="193">
        <v>0.23361570741689888</v>
      </c>
      <c r="U74" s="138"/>
      <c r="V74" s="193">
        <v>0.23361570741689891</v>
      </c>
      <c r="W74" s="138"/>
      <c r="X74" s="193">
        <v>0.23361570741689888</v>
      </c>
      <c r="Y74" s="138"/>
      <c r="Z74" s="193">
        <v>0.23361570741689888</v>
      </c>
      <c r="AA74" s="138"/>
      <c r="AB74" s="193">
        <v>0.23361570741689891</v>
      </c>
      <c r="AC74" s="138"/>
      <c r="AD74" s="193">
        <v>0.23361570741689891</v>
      </c>
      <c r="AE74" s="138"/>
      <c r="AF74" s="193">
        <v>0.23361570741689891</v>
      </c>
      <c r="AG74" s="138"/>
      <c r="AH74" s="193">
        <v>0.23361570741689888</v>
      </c>
      <c r="AI74" s="138"/>
      <c r="AJ74" s="193">
        <v>0.23361570741689891</v>
      </c>
      <c r="AK74" s="138"/>
      <c r="AL74" s="193">
        <v>0.23361570741689888</v>
      </c>
      <c r="AM74" s="138"/>
      <c r="AN74" s="193">
        <v>0.23361570741689891</v>
      </c>
      <c r="AO74" s="138"/>
      <c r="AP74" s="193">
        <v>0.23361570741689885</v>
      </c>
      <c r="AQ74" s="138"/>
      <c r="AR74" s="193">
        <v>0.23361570741689888</v>
      </c>
      <c r="AS74" s="138"/>
      <c r="AT74" s="193">
        <v>0.23361570741689888</v>
      </c>
      <c r="AU74" s="138"/>
      <c r="AV74" s="193">
        <v>0.23361570741689888</v>
      </c>
      <c r="XFD74" s="193"/>
    </row>
    <row r="75" spans="1:48 16384:16384" x14ac:dyDescent="0.2">
      <c r="A75" t="s">
        <v>186</v>
      </c>
      <c r="B75" s="193">
        <v>0.2079247050500721</v>
      </c>
      <c r="D75" s="193">
        <v>0.20963740168799</v>
      </c>
      <c r="E75" s="138"/>
      <c r="F75" s="193">
        <v>0.21142012200322513</v>
      </c>
      <c r="G75" s="138"/>
      <c r="H75" s="193">
        <v>0.21328500486127192</v>
      </c>
      <c r="I75" s="138"/>
      <c r="J75" s="193">
        <v>0.21524681922456279</v>
      </c>
      <c r="K75" s="138"/>
      <c r="L75" s="193">
        <v>0.21732378963208665</v>
      </c>
      <c r="M75" s="138"/>
      <c r="N75" s="193">
        <v>0.21953894436119836</v>
      </c>
      <c r="O75" s="138"/>
      <c r="P75" s="193">
        <v>0.2219219674118349</v>
      </c>
      <c r="Q75" s="138"/>
      <c r="R75" s="193">
        <v>0.22451237821261497</v>
      </c>
      <c r="S75" s="138"/>
      <c r="T75" s="193">
        <v>0.22736439688444593</v>
      </c>
      <c r="U75" s="138"/>
      <c r="V75" s="193">
        <v>0.23055538569828418</v>
      </c>
      <c r="W75" s="138"/>
      <c r="X75" s="193">
        <v>0.23420039942147383</v>
      </c>
      <c r="Y75" s="138"/>
      <c r="Z75" s="193">
        <v>0.23847858136618594</v>
      </c>
      <c r="AA75" s="138"/>
      <c r="AB75" s="193">
        <v>0.24368242183003211</v>
      </c>
      <c r="AC75" s="138"/>
      <c r="AD75" s="193">
        <v>0.25031118156127585</v>
      </c>
      <c r="AE75" s="138"/>
      <c r="AF75" s="193">
        <v>0.25924425853537719</v>
      </c>
      <c r="AG75" s="138"/>
      <c r="AH75" s="193">
        <v>0.27203692892515824</v>
      </c>
      <c r="AI75" s="138"/>
      <c r="AJ75" s="193">
        <v>0.2914305375815669</v>
      </c>
      <c r="AK75" s="138"/>
      <c r="AL75" s="193">
        <v>0.32306328295177539</v>
      </c>
      <c r="AM75" s="138"/>
      <c r="AN75" s="193">
        <v>0.38581032500652962</v>
      </c>
      <c r="AO75" s="138"/>
      <c r="AP75" s="193">
        <v>0.40785339277713256</v>
      </c>
      <c r="AQ75" s="138"/>
      <c r="AR75" s="193">
        <v>0.43709661650786746</v>
      </c>
      <c r="AS75" s="138"/>
      <c r="AT75" s="193">
        <v>0.47876998994859982</v>
      </c>
      <c r="AU75" s="138"/>
      <c r="AV75" s="193">
        <v>0.54577027181319326</v>
      </c>
      <c r="XFD75" s="193"/>
    </row>
    <row r="76" spans="1:48 16384:16384" x14ac:dyDescent="0.2">
      <c r="A76" t="s">
        <v>187</v>
      </c>
      <c r="B76" s="193">
        <v>0.20173767220514016</v>
      </c>
      <c r="D76" s="193">
        <v>0.20159329412718621</v>
      </c>
      <c r="E76" s="138"/>
      <c r="F76" s="193">
        <v>0.20151363123766847</v>
      </c>
      <c r="G76" s="138"/>
      <c r="H76" s="193">
        <v>0.20150558650969663</v>
      </c>
      <c r="I76" s="138"/>
      <c r="J76" s="193">
        <v>0.20157674369938258</v>
      </c>
      <c r="K76" s="138"/>
      <c r="L76" s="193">
        <v>0.20173516873551098</v>
      </c>
      <c r="M76" s="138"/>
      <c r="N76" s="193">
        <v>0.20198902619622461</v>
      </c>
      <c r="O76" s="138"/>
      <c r="P76" s="193">
        <v>0.20234573456582194</v>
      </c>
      <c r="Q76" s="138"/>
      <c r="R76" s="193">
        <v>0.20281042046012759</v>
      </c>
      <c r="S76" s="138"/>
      <c r="T76" s="193">
        <v>0.20338281122810734</v>
      </c>
      <c r="U76" s="138"/>
      <c r="V76" s="193">
        <v>0.20405160222460303</v>
      </c>
      <c r="W76" s="138"/>
      <c r="X76" s="193">
        <v>0.20478371280338564</v>
      </c>
      <c r="Y76" s="138"/>
      <c r="Z76" s="193">
        <v>0.20550421424347232</v>
      </c>
      <c r="AA76" s="138"/>
      <c r="AB76" s="193">
        <v>0.20605926336823305</v>
      </c>
      <c r="AC76" s="138"/>
      <c r="AD76" s="193">
        <v>0.20615200432255038</v>
      </c>
      <c r="AE76" s="138"/>
      <c r="AF76" s="193">
        <v>0.20525557486183751</v>
      </c>
      <c r="AG76" s="138"/>
      <c r="AH76" s="193">
        <v>0.20259696567384264</v>
      </c>
      <c r="AI76" s="138"/>
      <c r="AJ76" s="193">
        <v>0.19751060952167671</v>
      </c>
      <c r="AK76" s="138"/>
      <c r="AL76" s="193">
        <v>0.19022488948493593</v>
      </c>
      <c r="AM76" s="138"/>
      <c r="AN76" s="193">
        <v>0.18207915642811076</v>
      </c>
      <c r="AO76" s="138"/>
      <c r="AP76" s="193">
        <v>0.18057202460473759</v>
      </c>
      <c r="AQ76" s="138"/>
      <c r="AR76" s="193">
        <v>0.17925009143559154</v>
      </c>
      <c r="AS76" s="138"/>
      <c r="AT76" s="193">
        <v>0.17833452065674979</v>
      </c>
      <c r="AU76" s="138"/>
      <c r="AV76" s="193">
        <v>0.17845940796040249</v>
      </c>
      <c r="XFD76" s="193"/>
    </row>
    <row r="77" spans="1:48 16384:16384" x14ac:dyDescent="0.2">
      <c r="A77" t="s">
        <v>188</v>
      </c>
      <c r="B77" s="193">
        <v>0.11968837476184009</v>
      </c>
      <c r="D77" s="193">
        <v>0.11954401330389605</v>
      </c>
      <c r="E77" s="138"/>
      <c r="F77" s="193">
        <v>0.11946433443391594</v>
      </c>
      <c r="G77" s="138"/>
      <c r="H77" s="193">
        <v>0.11945629011007503</v>
      </c>
      <c r="I77" s="138"/>
      <c r="J77" s="193">
        <v>0.11952745281792029</v>
      </c>
      <c r="K77" s="138"/>
      <c r="L77" s="193">
        <v>0.11968587284454074</v>
      </c>
      <c r="M77" s="138"/>
      <c r="N77" s="193">
        <v>0.11993972896527591</v>
      </c>
      <c r="O77" s="138"/>
      <c r="P77" s="193">
        <v>0.12029644783346426</v>
      </c>
      <c r="Q77" s="138"/>
      <c r="R77" s="193">
        <v>0.12076112449289043</v>
      </c>
      <c r="S77" s="138"/>
      <c r="T77" s="193">
        <v>0.12133351828777343</v>
      </c>
      <c r="U77" s="138"/>
      <c r="V77" s="193">
        <v>0.12200230839991805</v>
      </c>
      <c r="W77" s="138"/>
      <c r="X77" s="193">
        <v>0.1227344155335206</v>
      </c>
      <c r="Y77" s="138"/>
      <c r="Z77" s="193">
        <v>0.1234549172024115</v>
      </c>
      <c r="AA77" s="138"/>
      <c r="AB77" s="193">
        <v>0.12400996585328652</v>
      </c>
      <c r="AC77" s="138"/>
      <c r="AD77" s="193">
        <v>0.12410270698502322</v>
      </c>
      <c r="AE77" s="138"/>
      <c r="AF77" s="193">
        <v>0.12320627730749142</v>
      </c>
      <c r="AG77" s="138"/>
      <c r="AH77" s="193">
        <v>0.12054766824909913</v>
      </c>
      <c r="AI77" s="138"/>
      <c r="AJ77" s="193">
        <v>0.11546131209011953</v>
      </c>
      <c r="AK77" s="138"/>
      <c r="AL77" s="193">
        <v>0.10817559204158526</v>
      </c>
      <c r="AM77" s="138"/>
      <c r="AN77" s="193">
        <v>0.100029858984829</v>
      </c>
      <c r="AO77" s="138"/>
      <c r="AP77" s="193">
        <v>9.8522727161451634E-2</v>
      </c>
      <c r="AQ77" s="138"/>
      <c r="AR77" s="193">
        <v>9.720079399229406E-2</v>
      </c>
      <c r="AS77" s="138"/>
      <c r="AT77" s="193">
        <v>9.6285223213449594E-2</v>
      </c>
      <c r="AU77" s="138"/>
      <c r="AV77" s="193">
        <v>9.6410110517102604E-2</v>
      </c>
      <c r="XFD77" s="193"/>
    </row>
    <row r="78" spans="1:48 16384:16384" x14ac:dyDescent="0.2">
      <c r="A78" t="s">
        <v>189</v>
      </c>
      <c r="B78" s="193">
        <v>0.35290083755094986</v>
      </c>
      <c r="D78" s="193">
        <v>0.35218606442597966</v>
      </c>
      <c r="E78" s="138"/>
      <c r="F78" s="193">
        <v>0.35141192805164778</v>
      </c>
      <c r="G78" s="138"/>
      <c r="H78" s="193">
        <v>0.35056893566088693</v>
      </c>
      <c r="I78" s="138"/>
      <c r="J78" s="193">
        <v>0.34964557307362243</v>
      </c>
      <c r="K78" s="138"/>
      <c r="L78" s="193">
        <v>0.34862759930430764</v>
      </c>
      <c r="M78" s="138"/>
      <c r="N78" s="193">
        <v>0.34749700872144762</v>
      </c>
      <c r="O78" s="138"/>
      <c r="P78" s="193">
        <v>0.34623048256475775</v>
      </c>
      <c r="Q78" s="138"/>
      <c r="R78" s="193">
        <v>0.34479692877750112</v>
      </c>
      <c r="S78" s="138"/>
      <c r="T78" s="193">
        <v>0.34315347531674595</v>
      </c>
      <c r="U78" s="138"/>
      <c r="V78" s="193">
        <v>0.34123879330136286</v>
      </c>
      <c r="W78" s="138"/>
      <c r="X78" s="193">
        <v>0.33896145900847435</v>
      </c>
      <c r="Y78" s="138"/>
      <c r="Z78" s="193">
        <v>0.33617906655843044</v>
      </c>
      <c r="AA78" s="138"/>
      <c r="AB78" s="193">
        <v>0.3326595937319648</v>
      </c>
      <c r="AC78" s="138"/>
      <c r="AD78" s="193">
        <v>0.32800903263235448</v>
      </c>
      <c r="AE78" s="138"/>
      <c r="AF78" s="193">
        <v>0.32153962138951636</v>
      </c>
      <c r="AG78" s="138"/>
      <c r="AH78" s="193">
        <v>0.3120514712849603</v>
      </c>
      <c r="AI78" s="138"/>
      <c r="AJ78" s="193">
        <v>0.29746487352524204</v>
      </c>
      <c r="AK78" s="138"/>
      <c r="AL78" s="193">
        <v>0.27354213540467526</v>
      </c>
      <c r="AM78" s="138"/>
      <c r="AN78" s="193">
        <v>0.22603532034588353</v>
      </c>
      <c r="AO78" s="138"/>
      <c r="AP78" s="193">
        <v>0.20934492296320309</v>
      </c>
      <c r="AQ78" s="138"/>
      <c r="AR78" s="193">
        <v>0.18720270765006294</v>
      </c>
      <c r="AS78" s="138"/>
      <c r="AT78" s="193">
        <v>0.15564867795786866</v>
      </c>
      <c r="AU78" s="138"/>
      <c r="AV78" s="193">
        <v>0.10491774183935387</v>
      </c>
      <c r="XFD78" s="193"/>
    </row>
    <row r="79" spans="1:48 16384:16384" x14ac:dyDescent="0.2">
      <c r="A79" t="s">
        <v>190</v>
      </c>
      <c r="B79" s="193">
        <v>0.44235262381041718</v>
      </c>
      <c r="D79" s="193">
        <v>0.43877851381865024</v>
      </c>
      <c r="F79" s="193">
        <v>0.43516624684795718</v>
      </c>
      <c r="H79" s="193">
        <v>0.43150630702900339</v>
      </c>
      <c r="J79" s="193">
        <v>0.42778708146948013</v>
      </c>
      <c r="L79" s="193">
        <v>0.42399422047681856</v>
      </c>
      <c r="N79" s="193">
        <v>0.42010986613586931</v>
      </c>
      <c r="P79" s="193">
        <v>0.41611105676033133</v>
      </c>
      <c r="R79" s="193">
        <v>0.41196777493957587</v>
      </c>
      <c r="T79" s="193">
        <v>0.40763925431525383</v>
      </c>
      <c r="V79" s="193">
        <v>0.4030681289489686</v>
      </c>
      <c r="X79" s="193">
        <v>0.39816975686698292</v>
      </c>
      <c r="Z79" s="193">
        <v>0.3928125438451307</v>
      </c>
      <c r="AB79" s="193">
        <v>0.38677993528719395</v>
      </c>
      <c r="AD79" s="193">
        <v>0.37969495784532142</v>
      </c>
      <c r="AF79" s="193">
        <v>0.37087127144344784</v>
      </c>
      <c r="AH79" s="193">
        <v>0.35903603623899438</v>
      </c>
      <c r="AJ79" s="193">
        <v>0.34181958975708138</v>
      </c>
      <c r="AL79" s="193">
        <v>0.31420597921292165</v>
      </c>
      <c r="AN79" s="193">
        <v>0.2596226719345216</v>
      </c>
      <c r="AP79" s="193">
        <v>0.24045193040749605</v>
      </c>
      <c r="AR79" s="193">
        <v>0.21501946640672287</v>
      </c>
      <c r="AT79" s="193">
        <v>0.17877674840875379</v>
      </c>
      <c r="AV79" s="193">
        <v>0.12050762300575511</v>
      </c>
      <c r="XFD79" s="193"/>
    </row>
    <row r="80" spans="1:48 16384:16384" x14ac:dyDescent="0.2">
      <c r="A80" t="s">
        <v>169</v>
      </c>
      <c r="B80" s="236">
        <v>0.20474653863863362</v>
      </c>
      <c r="D80" s="236">
        <v>0.20903545039591973</v>
      </c>
      <c r="F80" s="236">
        <v>0.21342182295457529</v>
      </c>
      <c r="H80" s="236">
        <v>0.21792475348190593</v>
      </c>
      <c r="J80" s="236">
        <v>0.22256736130004598</v>
      </c>
      <c r="L80" s="236">
        <v>0.22737817358400261</v>
      </c>
      <c r="N80" s="236">
        <v>0.23239312787911037</v>
      </c>
      <c r="P80" s="236">
        <v>0.23765846459532633</v>
      </c>
      <c r="R80" s="236">
        <v>0.24323529704165994</v>
      </c>
      <c r="T80" s="236">
        <v>0.24920727281960367</v>
      </c>
      <c r="V80" s="236">
        <v>0.25569308002741931</v>
      </c>
      <c r="X80" s="236">
        <v>0.2628687850490618</v>
      </c>
      <c r="Z80" s="236">
        <v>0.27100839221514378</v>
      </c>
      <c r="AB80" s="236">
        <v>0.28056047297657111</v>
      </c>
      <c r="AD80" s="236">
        <v>0.29229600832276864</v>
      </c>
      <c r="AF80" s="236">
        <v>0.30758910995784433</v>
      </c>
      <c r="AH80" s="236">
        <v>0.3289124923880174</v>
      </c>
      <c r="AJ80" s="236">
        <v>0.36071553659765654</v>
      </c>
      <c r="AL80" s="236">
        <v>0.41225188541708613</v>
      </c>
      <c r="AN80" s="236">
        <v>0.51434200774753225</v>
      </c>
      <c r="AP80" s="236">
        <v>0.5502031466481746</v>
      </c>
      <c r="AR80" s="236">
        <v>0.597777825944934</v>
      </c>
      <c r="AT80" s="236">
        <v>0.66557457363254136</v>
      </c>
      <c r="AV80" s="236">
        <v>0.77457463515514824</v>
      </c>
      <c r="XFD80" s="236"/>
    </row>
    <row r="81" spans="1:48 16384:16384" x14ac:dyDescent="0.2">
      <c r="A81" t="s">
        <v>191</v>
      </c>
      <c r="B81" s="236">
        <v>-2.8869168778265276E-2</v>
      </c>
      <c r="D81" s="236">
        <v>-2.4580257020979133E-2</v>
      </c>
      <c r="F81" s="236">
        <v>-2.0193884462323564E-2</v>
      </c>
      <c r="H81" s="236">
        <v>-1.5690953934992938E-2</v>
      </c>
      <c r="J81" s="236">
        <v>-1.1048346116852882E-2</v>
      </c>
      <c r="L81" s="236">
        <v>-6.2375338328962701E-3</v>
      </c>
      <c r="N81" s="236">
        <v>-1.2225795377885102E-3</v>
      </c>
      <c r="P81" s="236">
        <v>4.0427571784274691E-3</v>
      </c>
      <c r="R81" s="236">
        <v>9.6195896247610498E-3</v>
      </c>
      <c r="T81" s="236">
        <v>1.5591565402704777E-2</v>
      </c>
      <c r="V81" s="236">
        <v>2.2077372610520406E-2</v>
      </c>
      <c r="X81" s="236">
        <v>2.9253077632162935E-2</v>
      </c>
      <c r="Z81" s="236">
        <v>3.7392684798244875E-2</v>
      </c>
      <c r="AB81" s="236">
        <v>4.6944765559672211E-2</v>
      </c>
      <c r="AD81" s="236">
        <v>5.8680300905869745E-2</v>
      </c>
      <c r="AF81" s="236">
        <v>7.3973402540945407E-2</v>
      </c>
      <c r="AH81" s="236">
        <v>9.5296784971118542E-2</v>
      </c>
      <c r="AJ81" s="236">
        <v>0.12709982918075763</v>
      </c>
      <c r="AL81" s="236">
        <v>0.17863617800018725</v>
      </c>
      <c r="AN81" s="236">
        <v>0.28072630033063339</v>
      </c>
      <c r="AP81" s="236">
        <v>0.31658743923127575</v>
      </c>
      <c r="AR81" s="236">
        <v>0.36416211852803509</v>
      </c>
      <c r="AT81" s="236">
        <v>0.4319588662156425</v>
      </c>
      <c r="AV81" s="236">
        <v>0.54095892773824927</v>
      </c>
      <c r="XFD81" s="236"/>
    </row>
    <row r="82" spans="1:48 16384:16384" x14ac:dyDescent="0.2">
      <c r="A82" t="s">
        <v>192</v>
      </c>
      <c r="B82" s="236">
        <v>0</v>
      </c>
      <c r="D82" s="236">
        <v>0</v>
      </c>
      <c r="F82" s="236">
        <v>0</v>
      </c>
      <c r="H82" s="236">
        <v>0</v>
      </c>
      <c r="J82" s="236">
        <v>0</v>
      </c>
      <c r="L82" s="236">
        <v>0</v>
      </c>
      <c r="N82" s="236">
        <v>0</v>
      </c>
      <c r="P82" s="236">
        <v>0</v>
      </c>
      <c r="R82" s="236">
        <v>0</v>
      </c>
      <c r="T82" s="236">
        <v>0</v>
      </c>
      <c r="V82" s="236">
        <v>0</v>
      </c>
      <c r="X82" s="236">
        <v>0</v>
      </c>
      <c r="Z82" s="236">
        <v>0</v>
      </c>
      <c r="AB82" s="236">
        <v>0</v>
      </c>
      <c r="AD82" s="236">
        <v>0</v>
      </c>
      <c r="AF82" s="236">
        <v>0</v>
      </c>
      <c r="AH82" s="236">
        <v>0</v>
      </c>
      <c r="AJ82" s="236">
        <v>0</v>
      </c>
      <c r="AL82" s="236">
        <v>0</v>
      </c>
      <c r="AN82" s="236">
        <v>0</v>
      </c>
      <c r="AP82" s="236">
        <v>0</v>
      </c>
      <c r="AR82" s="236">
        <v>0</v>
      </c>
      <c r="AT82" s="236">
        <v>0</v>
      </c>
      <c r="AV82" s="236">
        <v>0</v>
      </c>
    </row>
    <row r="83" spans="1:48 16384:16384" x14ac:dyDescent="0.2">
      <c r="A83" t="s">
        <v>193</v>
      </c>
      <c r="B83" s="236">
        <v>0.31884317127163775</v>
      </c>
      <c r="D83" s="236">
        <v>0.31626698995630548</v>
      </c>
      <c r="F83" s="236">
        <v>0.31366330548735299</v>
      </c>
      <c r="H83" s="236">
        <v>0.31102525892511823</v>
      </c>
      <c r="J83" s="236">
        <v>0.30834447981758628</v>
      </c>
      <c r="L83" s="236">
        <v>0.30561062505557407</v>
      </c>
      <c r="N83" s="236">
        <v>0.30281082283954425</v>
      </c>
      <c r="P83" s="236">
        <v>0.29992852262478681</v>
      </c>
      <c r="R83" s="236">
        <v>0.29694208817386786</v>
      </c>
      <c r="T83" s="236">
        <v>0.29382213551961389</v>
      </c>
      <c r="V83" s="236">
        <v>0.29052731589016989</v>
      </c>
      <c r="X83" s="236">
        <v>0.28699662023104766</v>
      </c>
      <c r="Z83" s="236">
        <v>0.28313519679390053</v>
      </c>
      <c r="AB83" s="236">
        <v>0.27878695527769937</v>
      </c>
      <c r="AD83" s="236">
        <v>0.27368017721341281</v>
      </c>
      <c r="AF83" s="236">
        <v>0.26732015581137963</v>
      </c>
      <c r="AH83" s="236">
        <v>0.25878944134917498</v>
      </c>
      <c r="AJ83" s="236">
        <v>0.24638000575673641</v>
      </c>
      <c r="AL83" s="236">
        <v>0.22647640242706973</v>
      </c>
      <c r="AN83" s="236">
        <v>0.18713332214594516</v>
      </c>
      <c r="AP83" s="236">
        <v>0.17331525100746498</v>
      </c>
      <c r="AR83" s="236">
        <v>0.15498379542479476</v>
      </c>
      <c r="AT83" s="236">
        <v>0.12886042117545685</v>
      </c>
      <c r="AV83" s="236">
        <v>8.6860641518494125E-2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8"/>
  <dimension ref="A1:XFD83"/>
  <sheetViews>
    <sheetView workbookViewId="0">
      <pane xSplit="1" ySplit="1" topLeftCell="B35" activePane="bottomRight" state="frozen"/>
      <selection pane="topRight" activeCell="B1" sqref="B1"/>
      <selection pane="bottomLeft" activeCell="A2" sqref="A2"/>
      <selection pane="bottomRight" activeCell="B76" sqref="B76"/>
    </sheetView>
  </sheetViews>
  <sheetFormatPr baseColWidth="10" defaultRowHeight="10" x14ac:dyDescent="0.2"/>
  <sheetData>
    <row r="1" spans="1:95" ht="10.5" x14ac:dyDescent="0.25">
      <c r="B1" s="94">
        <v>0</v>
      </c>
      <c r="D1" s="94">
        <v>0.05</v>
      </c>
      <c r="F1" s="94">
        <v>0.1</v>
      </c>
      <c r="H1" s="94">
        <v>0.15000000000000002</v>
      </c>
      <c r="J1" s="94">
        <v>0.2</v>
      </c>
      <c r="L1" s="94">
        <v>0.25</v>
      </c>
      <c r="N1" s="94">
        <v>0.3</v>
      </c>
      <c r="P1" s="94">
        <v>0.35</v>
      </c>
      <c r="R1" s="196">
        <v>0.25</v>
      </c>
      <c r="S1" s="96"/>
      <c r="T1" s="94"/>
      <c r="V1" s="94"/>
      <c r="X1" s="94"/>
      <c r="Z1" s="94"/>
      <c r="AB1" s="94"/>
      <c r="AD1" s="94"/>
      <c r="AF1" s="94"/>
      <c r="AH1" s="94"/>
      <c r="AJ1" s="94"/>
      <c r="AL1" s="94"/>
      <c r="AN1" s="94"/>
      <c r="AP1" s="94"/>
      <c r="AR1" s="94"/>
      <c r="AT1" s="94"/>
      <c r="AV1" s="94"/>
      <c r="AX1" s="94"/>
      <c r="AZ1" s="94"/>
      <c r="BB1" s="94"/>
      <c r="BD1" s="94"/>
      <c r="BF1" s="94"/>
      <c r="BH1" s="94"/>
      <c r="BJ1" s="94"/>
      <c r="BL1" s="94"/>
      <c r="BN1" s="94"/>
      <c r="BP1" s="94"/>
      <c r="BR1" s="94"/>
      <c r="BT1" s="94"/>
      <c r="BV1" s="94"/>
      <c r="BX1" s="94"/>
      <c r="BZ1" s="94"/>
      <c r="CB1" s="94"/>
      <c r="CD1" s="94"/>
      <c r="CF1" s="94"/>
      <c r="CH1" s="94"/>
      <c r="CJ1" s="94"/>
      <c r="CL1" s="94"/>
      <c r="CN1" s="94"/>
      <c r="CP1" s="94"/>
    </row>
    <row r="2" spans="1:95" ht="10.5" x14ac:dyDescent="0.25">
      <c r="A2" s="229" t="s">
        <v>155</v>
      </c>
      <c r="B2" s="226">
        <v>0.16485636072655629</v>
      </c>
      <c r="C2" s="227"/>
      <c r="D2" s="226">
        <v>0.21619906140400463</v>
      </c>
      <c r="E2" s="227"/>
      <c r="F2" s="226">
        <v>0.27562774659217937</v>
      </c>
      <c r="G2" s="227"/>
      <c r="H2" s="226">
        <v>0.34574277892140087</v>
      </c>
      <c r="I2" s="227"/>
      <c r="J2" s="226">
        <v>0.43063217032492157</v>
      </c>
      <c r="K2" s="227"/>
      <c r="L2" s="226">
        <v>0.53736709746979761</v>
      </c>
      <c r="M2" s="227"/>
      <c r="N2" s="226">
        <v>0.68053136476396725</v>
      </c>
      <c r="O2" s="227"/>
      <c r="P2" s="226">
        <v>0.91048066948024797</v>
      </c>
      <c r="Q2" s="227"/>
      <c r="R2" s="230">
        <v>1.0292118005842956</v>
      </c>
      <c r="S2" s="231"/>
      <c r="T2" s="226"/>
      <c r="U2" s="227"/>
      <c r="V2" s="226"/>
      <c r="W2" s="227"/>
      <c r="X2" s="226"/>
      <c r="Y2" s="227"/>
      <c r="Z2" s="226"/>
      <c r="AA2" s="227"/>
      <c r="AB2" s="226"/>
      <c r="AC2" s="227"/>
      <c r="AD2" s="226"/>
      <c r="AE2" s="227"/>
      <c r="AF2" s="226"/>
      <c r="AG2" s="227"/>
      <c r="AH2" s="226"/>
      <c r="AI2" s="227"/>
      <c r="AJ2" s="226"/>
      <c r="AK2" s="227"/>
      <c r="AL2" s="226"/>
      <c r="AM2" s="227"/>
      <c r="AN2" s="226"/>
      <c r="AO2" s="227"/>
      <c r="AP2" s="226"/>
      <c r="AQ2" s="227"/>
      <c r="AR2" s="226"/>
      <c r="AS2" s="227"/>
      <c r="AT2" s="226"/>
      <c r="AU2" s="227"/>
      <c r="AV2" s="226"/>
      <c r="AW2" s="227"/>
      <c r="AX2" s="226"/>
      <c r="AY2" s="228"/>
      <c r="AZ2" s="226"/>
      <c r="BA2" s="228"/>
      <c r="BB2" s="226"/>
      <c r="BC2" s="228"/>
      <c r="BD2" s="226"/>
      <c r="BE2" s="228"/>
      <c r="BF2" s="226"/>
      <c r="BG2" s="228"/>
      <c r="BH2" s="226"/>
      <c r="BI2" s="228"/>
      <c r="BJ2" s="226"/>
      <c r="BK2" s="228"/>
      <c r="BL2" s="226"/>
      <c r="BM2" s="228"/>
      <c r="BN2" s="226"/>
      <c r="BO2" s="228"/>
      <c r="BP2" s="226"/>
      <c r="BQ2" s="228"/>
      <c r="BR2" s="226"/>
      <c r="BS2" s="228"/>
      <c r="BT2" s="226"/>
      <c r="BU2" s="228"/>
      <c r="BV2" s="226"/>
      <c r="BW2" s="228"/>
      <c r="BX2" s="226"/>
      <c r="BY2" s="228"/>
      <c r="BZ2" s="226"/>
      <c r="CA2" s="228"/>
      <c r="CB2" s="226"/>
      <c r="CC2" s="228"/>
      <c r="CD2" s="226"/>
      <c r="CE2" s="228"/>
      <c r="CF2" s="226"/>
      <c r="CG2" s="228"/>
      <c r="CH2" s="226"/>
      <c r="CI2" s="228"/>
      <c r="CJ2" s="226"/>
      <c r="CK2" s="228"/>
      <c r="CL2" s="226"/>
      <c r="CM2" s="228"/>
      <c r="CN2" s="226"/>
      <c r="CO2" s="228"/>
      <c r="CP2" s="226"/>
      <c r="CQ2" s="228"/>
    </row>
    <row r="3" spans="1:95" ht="10.5" x14ac:dyDescent="0.25">
      <c r="A3" t="s">
        <v>12</v>
      </c>
      <c r="B3" s="84">
        <v>1000</v>
      </c>
      <c r="C3" s="85">
        <v>1000</v>
      </c>
      <c r="D3" s="84">
        <v>997.53897519251655</v>
      </c>
      <c r="E3" s="85">
        <v>1036.1433634716275</v>
      </c>
      <c r="F3" s="84">
        <v>995.07871411152269</v>
      </c>
      <c r="G3" s="85">
        <v>1078.126149738353</v>
      </c>
      <c r="H3" s="84">
        <v>992.62011076227543</v>
      </c>
      <c r="I3" s="85">
        <v>1127.6730055754865</v>
      </c>
      <c r="J3" s="84">
        <v>990.16831798891076</v>
      </c>
      <c r="K3" s="85">
        <v>1187.4177746182463</v>
      </c>
      <c r="L3" s="84">
        <v>987.73555616561418</v>
      </c>
      <c r="M3" s="85">
        <v>1261.7641138864394</v>
      </c>
      <c r="N3" s="84">
        <v>985.34460616661079</v>
      </c>
      <c r="O3" s="85">
        <v>1359.4026256680206</v>
      </c>
      <c r="P3" s="84">
        <v>982.99867912623461</v>
      </c>
      <c r="Q3" s="85">
        <v>1508.3632485211906</v>
      </c>
      <c r="R3" s="197">
        <v>984.549858024336</v>
      </c>
      <c r="S3" s="198">
        <v>1481.6852299582974</v>
      </c>
      <c r="T3" s="84"/>
      <c r="U3" s="85"/>
      <c r="V3" s="84"/>
      <c r="W3" s="85"/>
      <c r="X3" s="84"/>
      <c r="Y3" s="85"/>
      <c r="Z3" s="84"/>
      <c r="AA3" s="85"/>
      <c r="AB3" s="84"/>
      <c r="AC3" s="85"/>
      <c r="AD3" s="84"/>
      <c r="AE3" s="85"/>
      <c r="AF3" s="84"/>
      <c r="AG3" s="85"/>
      <c r="AH3" s="84"/>
      <c r="AI3" s="85"/>
      <c r="AJ3" s="84"/>
      <c r="AK3" s="85"/>
      <c r="AL3" s="84"/>
      <c r="AM3" s="85"/>
      <c r="AN3" s="84"/>
      <c r="AO3" s="85"/>
      <c r="AP3" s="84"/>
      <c r="AQ3" s="85"/>
      <c r="AR3" s="84"/>
      <c r="AS3" s="85"/>
      <c r="AT3" s="84"/>
      <c r="AU3" s="85"/>
      <c r="AV3" s="84"/>
      <c r="AW3" s="85"/>
      <c r="AX3" s="84"/>
      <c r="AY3" s="85"/>
      <c r="AZ3" s="84"/>
      <c r="BA3" s="85"/>
      <c r="BB3" s="84"/>
      <c r="BC3" s="85"/>
      <c r="BD3" s="84"/>
      <c r="BE3" s="85"/>
      <c r="BF3" s="84"/>
      <c r="BG3" s="85"/>
      <c r="BH3" s="84"/>
      <c r="BI3" s="85"/>
      <c r="BJ3" s="84"/>
      <c r="BK3" s="85"/>
      <c r="BL3" s="84"/>
      <c r="BM3" s="85"/>
      <c r="BN3" s="84"/>
      <c r="BO3" s="85"/>
      <c r="BP3" s="84"/>
      <c r="BQ3" s="85"/>
      <c r="BR3" s="84"/>
      <c r="BS3" s="85"/>
      <c r="BT3" s="84"/>
      <c r="BU3" s="85"/>
      <c r="BV3" s="84"/>
      <c r="BW3" s="85"/>
      <c r="BX3" s="84"/>
      <c r="BY3" s="85"/>
      <c r="BZ3" s="84"/>
      <c r="CA3" s="85"/>
      <c r="CB3" s="84"/>
      <c r="CC3" s="85"/>
      <c r="CD3" s="84"/>
      <c r="CE3" s="85"/>
      <c r="CF3" s="84"/>
      <c r="CG3" s="85"/>
      <c r="CH3" s="84"/>
      <c r="CI3" s="85"/>
      <c r="CJ3" s="84"/>
      <c r="CK3" s="85"/>
      <c r="CL3" s="84"/>
      <c r="CM3" s="85"/>
      <c r="CN3" s="84"/>
      <c r="CO3" s="85"/>
      <c r="CP3" s="84"/>
      <c r="CQ3" s="85"/>
    </row>
    <row r="4" spans="1:95" ht="10.5" x14ac:dyDescent="0.25">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99">
        <v>1000</v>
      </c>
      <c r="S4" s="200">
        <v>1000</v>
      </c>
      <c r="T4" s="101"/>
      <c r="U4" s="102"/>
      <c r="V4" s="101"/>
      <c r="W4" s="102"/>
      <c r="X4" s="101"/>
      <c r="Y4" s="102"/>
      <c r="Z4" s="101"/>
      <c r="AA4" s="102"/>
      <c r="AB4" s="101"/>
      <c r="AC4" s="102"/>
      <c r="AD4" s="101"/>
      <c r="AE4" s="102"/>
      <c r="AF4" s="101"/>
      <c r="AG4" s="102"/>
      <c r="AH4" s="101"/>
      <c r="AI4" s="102"/>
      <c r="AJ4" s="101"/>
      <c r="AK4" s="102"/>
      <c r="AL4" s="101"/>
      <c r="AM4" s="102"/>
      <c r="AN4" s="101"/>
      <c r="AO4" s="102"/>
      <c r="AP4" s="101"/>
      <c r="AQ4" s="102"/>
      <c r="AR4" s="101"/>
      <c r="AS4" s="102"/>
      <c r="AT4" s="101"/>
      <c r="AU4" s="102"/>
      <c r="AV4" s="101"/>
      <c r="AW4" s="102"/>
      <c r="AX4" s="59"/>
      <c r="AY4" s="60"/>
      <c r="AZ4" s="59"/>
      <c r="BA4" s="60"/>
      <c r="BB4" s="59"/>
      <c r="BC4" s="60"/>
      <c r="BD4" s="59"/>
      <c r="BE4" s="60"/>
      <c r="BF4" s="59"/>
      <c r="BG4" s="60"/>
      <c r="BH4" s="59"/>
      <c r="BI4" s="60"/>
      <c r="BJ4" s="59"/>
      <c r="BK4" s="60"/>
      <c r="BL4" s="59"/>
      <c r="BM4" s="60"/>
      <c r="BN4" s="59"/>
      <c r="BO4" s="60"/>
      <c r="BP4" s="59"/>
      <c r="BQ4" s="60"/>
      <c r="BR4" s="59"/>
      <c r="BS4" s="60"/>
      <c r="BT4" s="59"/>
      <c r="BU4" s="60"/>
      <c r="BV4" s="59"/>
      <c r="BW4" s="60"/>
      <c r="BX4" s="59"/>
      <c r="BY4" s="60"/>
      <c r="BZ4" s="59"/>
      <c r="CA4" s="60"/>
      <c r="CB4" s="59"/>
      <c r="CC4" s="60"/>
      <c r="CD4" s="59"/>
      <c r="CE4" s="60"/>
      <c r="CF4" s="59"/>
      <c r="CG4" s="60"/>
      <c r="CH4" s="59"/>
      <c r="CI4" s="60"/>
      <c r="CJ4" s="59"/>
      <c r="CK4" s="60"/>
      <c r="CL4" s="59"/>
      <c r="CM4" s="60"/>
      <c r="CN4" s="59"/>
      <c r="CO4" s="60"/>
      <c r="CP4" s="59"/>
      <c r="CQ4" s="60"/>
    </row>
    <row r="5" spans="1:95" ht="10.5" x14ac:dyDescent="0.25">
      <c r="A5" t="s">
        <v>128</v>
      </c>
      <c r="B5" s="41">
        <v>1000</v>
      </c>
      <c r="C5" s="42">
        <v>1000</v>
      </c>
      <c r="D5" s="41">
        <v>997.47592950676517</v>
      </c>
      <c r="E5" s="42">
        <v>1023.9381286111591</v>
      </c>
      <c r="F5" s="41">
        <v>994.94994810101866</v>
      </c>
      <c r="G5" s="42">
        <v>1049.9906700940173</v>
      </c>
      <c r="H5" s="41">
        <v>992.42295752232599</v>
      </c>
      <c r="I5" s="42">
        <v>1078.4635187551071</v>
      </c>
      <c r="J5" s="41">
        <v>989.90024728530022</v>
      </c>
      <c r="K5" s="42">
        <v>1109.7652980451057</v>
      </c>
      <c r="L5" s="41">
        <v>987.39441387602869</v>
      </c>
      <c r="M5" s="42">
        <v>1144.5148002636829</v>
      </c>
      <c r="N5" s="41">
        <v>984.9290032633387</v>
      </c>
      <c r="O5" s="42">
        <v>1183.909558046636</v>
      </c>
      <c r="P5" s="41">
        <v>982.50745017301369</v>
      </c>
      <c r="Q5" s="42">
        <v>1232.6216043482586</v>
      </c>
      <c r="R5" s="201">
        <v>984.10892047887853</v>
      </c>
      <c r="S5" s="202">
        <v>1224.7846071517033</v>
      </c>
      <c r="T5" s="41"/>
      <c r="U5" s="42"/>
      <c r="V5" s="41"/>
      <c r="W5" s="42"/>
      <c r="X5" s="41"/>
      <c r="Y5" s="42"/>
      <c r="Z5" s="41"/>
      <c r="AA5" s="42"/>
      <c r="AB5" s="41"/>
      <c r="AC5" s="42"/>
      <c r="AD5" s="41"/>
      <c r="AE5" s="42"/>
      <c r="AF5" s="41"/>
      <c r="AG5" s="42"/>
      <c r="AH5" s="41"/>
      <c r="AI5" s="42"/>
      <c r="AJ5" s="41"/>
      <c r="AK5" s="42"/>
      <c r="AL5" s="41"/>
      <c r="AM5" s="42"/>
      <c r="AN5" s="41"/>
      <c r="AO5" s="42"/>
      <c r="AP5" s="41"/>
      <c r="AQ5" s="42"/>
      <c r="AR5" s="41"/>
      <c r="AS5" s="42"/>
      <c r="AT5" s="41"/>
      <c r="AU5" s="42"/>
      <c r="AV5" s="41"/>
      <c r="AW5" s="42"/>
      <c r="AX5" s="41"/>
      <c r="AY5" s="42"/>
      <c r="AZ5" s="41"/>
      <c r="BA5" s="42"/>
      <c r="BB5" s="41"/>
      <c r="BC5" s="42"/>
      <c r="BD5" s="41"/>
      <c r="BE5" s="42"/>
      <c r="BF5" s="41"/>
      <c r="BG5" s="42"/>
      <c r="BH5" s="41"/>
      <c r="BI5" s="42"/>
      <c r="BJ5" s="41"/>
      <c r="BK5" s="42"/>
      <c r="BL5" s="41"/>
      <c r="BM5" s="42"/>
      <c r="BN5" s="41"/>
      <c r="BO5" s="42"/>
      <c r="BP5" s="41"/>
      <c r="BQ5" s="42"/>
      <c r="BR5" s="41"/>
      <c r="BS5" s="42"/>
      <c r="BT5" s="41"/>
      <c r="BU5" s="42"/>
      <c r="BV5" s="41"/>
      <c r="BW5" s="42"/>
      <c r="BX5" s="41"/>
      <c r="BY5" s="42"/>
      <c r="BZ5" s="41"/>
      <c r="CA5" s="42"/>
      <c r="CB5" s="41"/>
      <c r="CC5" s="42"/>
      <c r="CD5" s="41"/>
      <c r="CE5" s="42"/>
      <c r="CF5" s="41"/>
      <c r="CG5" s="42"/>
      <c r="CH5" s="41"/>
      <c r="CI5" s="42"/>
      <c r="CJ5" s="41"/>
      <c r="CK5" s="42"/>
      <c r="CL5" s="41"/>
      <c r="CM5" s="42"/>
      <c r="CN5" s="41"/>
      <c r="CO5" s="42"/>
      <c r="CP5" s="41"/>
      <c r="CQ5" s="42"/>
    </row>
    <row r="6" spans="1:95" ht="10.5" x14ac:dyDescent="0.25">
      <c r="A6" t="s">
        <v>77</v>
      </c>
      <c r="B6" s="41">
        <v>999.99999999999886</v>
      </c>
      <c r="C6" s="42">
        <v>999.99999999999909</v>
      </c>
      <c r="D6" s="41">
        <v>997.24216904602997</v>
      </c>
      <c r="E6" s="42">
        <v>1038.9402804605138</v>
      </c>
      <c r="F6" s="41">
        <v>994.48354397357502</v>
      </c>
      <c r="G6" s="42">
        <v>1083.9293856860827</v>
      </c>
      <c r="H6" s="41">
        <v>991.72511078078526</v>
      </c>
      <c r="I6" s="42">
        <v>1136.7423409699143</v>
      </c>
      <c r="J6" s="41">
        <v>988.97264027499853</v>
      </c>
      <c r="K6" s="42">
        <v>1200.091423258222</v>
      </c>
      <c r="L6" s="41">
        <v>986.23985894048405</v>
      </c>
      <c r="M6" s="42">
        <v>1278.5147210976229</v>
      </c>
      <c r="N6" s="41">
        <v>983.5524009692424</v>
      </c>
      <c r="O6" s="42">
        <v>1380.9781275478822</v>
      </c>
      <c r="P6" s="41">
        <v>980.91394663633878</v>
      </c>
      <c r="Q6" s="42">
        <v>1536.4681509320303</v>
      </c>
      <c r="R6" s="201">
        <v>982.658729751598</v>
      </c>
      <c r="S6" s="202">
        <v>1508.6798045582641</v>
      </c>
      <c r="T6" s="41"/>
      <c r="U6" s="42"/>
      <c r="V6" s="41"/>
      <c r="W6" s="42"/>
      <c r="X6" s="41"/>
      <c r="Y6" s="42"/>
      <c r="Z6" s="41"/>
      <c r="AA6" s="42"/>
      <c r="AB6" s="41"/>
      <c r="AC6" s="42"/>
      <c r="AD6" s="41"/>
      <c r="AE6" s="42"/>
      <c r="AF6" s="41"/>
      <c r="AG6" s="42"/>
      <c r="AH6" s="41"/>
      <c r="AI6" s="42"/>
      <c r="AJ6" s="41"/>
      <c r="AK6" s="42"/>
      <c r="AL6" s="41"/>
      <c r="AM6" s="42"/>
      <c r="AN6" s="41"/>
      <c r="AO6" s="42"/>
      <c r="AP6" s="41"/>
      <c r="AQ6" s="42"/>
      <c r="AR6" s="41"/>
      <c r="AS6" s="42"/>
      <c r="AT6" s="41"/>
      <c r="AU6" s="42"/>
      <c r="AV6" s="41"/>
      <c r="AW6" s="42"/>
      <c r="AX6" s="41"/>
      <c r="AY6" s="42"/>
      <c r="AZ6" s="41"/>
      <c r="BA6" s="42"/>
      <c r="BB6" s="41"/>
      <c r="BC6" s="42"/>
      <c r="BD6" s="41"/>
      <c r="BE6" s="42"/>
      <c r="BF6" s="41"/>
      <c r="BG6" s="42"/>
      <c r="BH6" s="41"/>
      <c r="BI6" s="42"/>
      <c r="BJ6" s="41"/>
      <c r="BK6" s="42"/>
      <c r="BL6" s="41"/>
      <c r="BM6" s="42"/>
      <c r="BN6" s="41"/>
      <c r="BO6" s="42"/>
      <c r="BP6" s="41"/>
      <c r="BQ6" s="42"/>
      <c r="BR6" s="41"/>
      <c r="BS6" s="42"/>
      <c r="BT6" s="41"/>
      <c r="BU6" s="42"/>
      <c r="BV6" s="41"/>
      <c r="BW6" s="42"/>
      <c r="BX6" s="41"/>
      <c r="BY6" s="42"/>
      <c r="BZ6" s="41"/>
      <c r="CA6" s="42"/>
      <c r="CB6" s="41"/>
      <c r="CC6" s="42"/>
      <c r="CD6" s="41"/>
      <c r="CE6" s="42"/>
      <c r="CF6" s="41"/>
      <c r="CG6" s="42"/>
      <c r="CH6" s="41"/>
      <c r="CI6" s="42"/>
      <c r="CJ6" s="41"/>
      <c r="CK6" s="42"/>
      <c r="CL6" s="41"/>
      <c r="CM6" s="42"/>
      <c r="CN6" s="41"/>
      <c r="CO6" s="42"/>
      <c r="CP6" s="41"/>
      <c r="CQ6" s="42"/>
    </row>
    <row r="7" spans="1:95" ht="10.5" x14ac:dyDescent="0.25">
      <c r="A7" t="s">
        <v>13</v>
      </c>
      <c r="B7" s="33">
        <v>1059.2664648168009</v>
      </c>
      <c r="C7" s="34">
        <v>1059.2664648168009</v>
      </c>
      <c r="D7" s="33">
        <v>1056.5928015884836</v>
      </c>
      <c r="E7" s="34">
        <v>1056.5928015884836</v>
      </c>
      <c r="F7" s="33">
        <v>1053.9171141946256</v>
      </c>
      <c r="G7" s="34">
        <v>1053.9171141946256</v>
      </c>
      <c r="H7" s="33">
        <v>1051.2403578177084</v>
      </c>
      <c r="I7" s="34">
        <v>1051.2403578177084</v>
      </c>
      <c r="J7" s="33">
        <v>1048.568135463177</v>
      </c>
      <c r="K7" s="34">
        <v>1048.568135463177</v>
      </c>
      <c r="L7" s="33">
        <v>1045.913790166318</v>
      </c>
      <c r="M7" s="34">
        <v>1045.913790166318</v>
      </c>
      <c r="N7" s="33">
        <v>1043.302263382292</v>
      </c>
      <c r="O7" s="34">
        <v>1043.302263382292</v>
      </c>
      <c r="P7" s="33">
        <v>1040.7371934009373</v>
      </c>
      <c r="Q7" s="34">
        <v>1040.7371934009373</v>
      </c>
      <c r="R7" s="203">
        <v>1042.43357719034</v>
      </c>
      <c r="S7" s="204">
        <v>1042.43357719034</v>
      </c>
      <c r="T7" s="33"/>
      <c r="U7" s="34"/>
      <c r="V7" s="33"/>
      <c r="W7" s="34"/>
      <c r="X7" s="33"/>
      <c r="Y7" s="34"/>
      <c r="Z7" s="33"/>
      <c r="AA7" s="34"/>
      <c r="AB7" s="33"/>
      <c r="AC7" s="34"/>
      <c r="AD7" s="33"/>
      <c r="AE7" s="34"/>
      <c r="AF7" s="33"/>
      <c r="AG7" s="34"/>
      <c r="AH7" s="33"/>
      <c r="AI7" s="34"/>
      <c r="AJ7" s="33"/>
      <c r="AK7" s="34"/>
      <c r="AL7" s="33"/>
      <c r="AM7" s="34"/>
      <c r="AN7" s="33"/>
      <c r="AO7" s="34"/>
      <c r="AP7" s="33"/>
      <c r="AQ7" s="34"/>
      <c r="AR7" s="33"/>
      <c r="AS7" s="34"/>
      <c r="AT7" s="33"/>
      <c r="AU7" s="34"/>
      <c r="AV7" s="33"/>
      <c r="AW7" s="34"/>
      <c r="AX7" s="33"/>
      <c r="AY7" s="34"/>
      <c r="AZ7" s="33"/>
      <c r="BA7" s="34"/>
      <c r="BB7" s="33"/>
      <c r="BC7" s="34"/>
      <c r="BD7" s="33"/>
      <c r="BE7" s="34"/>
      <c r="BF7" s="33"/>
      <c r="BG7" s="34"/>
      <c r="BH7" s="33"/>
      <c r="BI7" s="34"/>
      <c r="BJ7" s="33"/>
      <c r="BK7" s="34"/>
      <c r="BL7" s="33"/>
      <c r="BM7" s="34"/>
      <c r="BN7" s="33"/>
      <c r="BO7" s="34"/>
      <c r="BP7" s="33"/>
      <c r="BQ7" s="34"/>
      <c r="BR7" s="33"/>
      <c r="BS7" s="34"/>
      <c r="BT7" s="33"/>
      <c r="BU7" s="34"/>
      <c r="BV7" s="33"/>
      <c r="BW7" s="34"/>
      <c r="BX7" s="33"/>
      <c r="BY7" s="34"/>
      <c r="BZ7" s="33"/>
      <c r="CA7" s="34"/>
      <c r="CB7" s="33"/>
      <c r="CC7" s="34"/>
      <c r="CD7" s="33"/>
      <c r="CE7" s="34"/>
      <c r="CF7" s="33"/>
      <c r="CG7" s="34"/>
      <c r="CH7" s="33"/>
      <c r="CI7" s="34"/>
      <c r="CJ7" s="33"/>
      <c r="CK7" s="34"/>
      <c r="CL7" s="33"/>
      <c r="CM7" s="34"/>
      <c r="CN7" s="33"/>
      <c r="CO7" s="34"/>
      <c r="CP7" s="33"/>
      <c r="CQ7" s="34"/>
    </row>
    <row r="8" spans="1:95" ht="10.5" x14ac:dyDescent="0.25">
      <c r="B8" s="35">
        <v>1164.8563607265562</v>
      </c>
      <c r="C8" s="36">
        <v>1164.8563607265562</v>
      </c>
      <c r="D8" s="35">
        <v>1245.3125909526646</v>
      </c>
      <c r="E8" s="36">
        <v>1245.3125909526646</v>
      </c>
      <c r="F8" s="35">
        <v>1339.3972324348435</v>
      </c>
      <c r="G8" s="36">
        <v>1339.3972324348435</v>
      </c>
      <c r="H8" s="35">
        <v>1451.3344926948503</v>
      </c>
      <c r="I8" s="36">
        <v>1451.3344926948503</v>
      </c>
      <c r="J8" s="35">
        <v>1587.6659368935532</v>
      </c>
      <c r="K8" s="36">
        <v>1587.6659368935532</v>
      </c>
      <c r="L8" s="35">
        <v>1759.5393964926034</v>
      </c>
      <c r="M8" s="36">
        <v>1759.5393964926034</v>
      </c>
      <c r="N8" s="35">
        <v>1989.5971453412185</v>
      </c>
      <c r="O8" s="36">
        <v>1989.5971453412185</v>
      </c>
      <c r="P8" s="35">
        <v>2354.8997478910783</v>
      </c>
      <c r="Q8" s="36">
        <v>2354.8997478910783</v>
      </c>
      <c r="R8" s="205">
        <v>2485.3473780062372</v>
      </c>
      <c r="S8" s="206">
        <v>2485.3473780062372</v>
      </c>
      <c r="T8" s="35"/>
      <c r="U8" s="36"/>
      <c r="V8" s="35"/>
      <c r="W8" s="36"/>
      <c r="X8" s="35"/>
      <c r="Y8" s="36"/>
      <c r="Z8" s="35"/>
      <c r="AA8" s="36"/>
      <c r="AB8" s="35"/>
      <c r="AC8" s="36"/>
      <c r="AD8" s="35"/>
      <c r="AE8" s="36"/>
      <c r="AF8" s="35"/>
      <c r="AG8" s="36"/>
      <c r="AH8" s="35"/>
      <c r="AI8" s="36"/>
      <c r="AJ8" s="35"/>
      <c r="AK8" s="36"/>
      <c r="AL8" s="35"/>
      <c r="AM8" s="36"/>
      <c r="AN8" s="35"/>
      <c r="AO8" s="36"/>
      <c r="AP8" s="35"/>
      <c r="AQ8" s="36"/>
      <c r="AR8" s="35"/>
      <c r="AS8" s="36"/>
      <c r="AT8" s="35"/>
      <c r="AU8" s="36"/>
      <c r="AV8" s="35"/>
      <c r="AW8" s="36"/>
      <c r="AX8" s="35"/>
      <c r="AY8" s="36"/>
      <c r="AZ8" s="35"/>
      <c r="BA8" s="36"/>
      <c r="BB8" s="35"/>
      <c r="BC8" s="36"/>
      <c r="BD8" s="35"/>
      <c r="BE8" s="36"/>
      <c r="BF8" s="35"/>
      <c r="BG8" s="36"/>
      <c r="BH8" s="35"/>
      <c r="BI8" s="36"/>
      <c r="BJ8" s="35"/>
      <c r="BK8" s="36"/>
      <c r="BL8" s="35"/>
      <c r="BM8" s="36"/>
      <c r="BN8" s="35"/>
      <c r="BO8" s="36"/>
      <c r="BP8" s="35"/>
      <c r="BQ8" s="36"/>
      <c r="BR8" s="35"/>
      <c r="BS8" s="36"/>
      <c r="BT8" s="35"/>
      <c r="BU8" s="36"/>
      <c r="BV8" s="35"/>
      <c r="BW8" s="36"/>
      <c r="BX8" s="35"/>
      <c r="BY8" s="36"/>
      <c r="BZ8" s="35"/>
      <c r="CA8" s="36"/>
      <c r="CB8" s="35"/>
      <c r="CC8" s="36"/>
      <c r="CD8" s="35"/>
      <c r="CE8" s="36"/>
      <c r="CF8" s="35"/>
      <c r="CG8" s="36"/>
      <c r="CH8" s="35"/>
      <c r="CI8" s="36"/>
      <c r="CJ8" s="35"/>
      <c r="CK8" s="36"/>
      <c r="CL8" s="35"/>
      <c r="CM8" s="36"/>
      <c r="CN8" s="35"/>
      <c r="CO8" s="36"/>
      <c r="CP8" s="35"/>
      <c r="CQ8" s="36"/>
    </row>
    <row r="9" spans="1:95" ht="10.5" x14ac:dyDescent="0.25">
      <c r="A9" t="s">
        <v>14</v>
      </c>
      <c r="B9" s="41">
        <v>1059.2664648168009</v>
      </c>
      <c r="C9" s="42">
        <v>1164.8563607265562</v>
      </c>
      <c r="D9" s="41">
        <v>1056.5928015884836</v>
      </c>
      <c r="E9" s="42">
        <v>1245.3125909526646</v>
      </c>
      <c r="F9" s="41">
        <v>1053.9171141946256</v>
      </c>
      <c r="G9" s="42">
        <v>1339.3972324348435</v>
      </c>
      <c r="H9" s="41">
        <v>1051.2403578177084</v>
      </c>
      <c r="I9" s="42">
        <v>1451.3344926948503</v>
      </c>
      <c r="J9" s="41">
        <v>1048.568135463177</v>
      </c>
      <c r="K9" s="42">
        <v>1587.6659368935532</v>
      </c>
      <c r="L9" s="41">
        <v>1045.913790166318</v>
      </c>
      <c r="M9" s="42">
        <v>1759.5393964926034</v>
      </c>
      <c r="N9" s="41">
        <v>1043.302263382292</v>
      </c>
      <c r="O9" s="42">
        <v>1989.5971453412185</v>
      </c>
      <c r="P9" s="41">
        <v>1040.7371934009373</v>
      </c>
      <c r="Q9" s="42">
        <v>2354.8997478910783</v>
      </c>
      <c r="R9" s="201">
        <v>1042.43357719034</v>
      </c>
      <c r="S9" s="202">
        <v>2485.3473780062372</v>
      </c>
      <c r="T9" s="41"/>
      <c r="U9" s="42"/>
      <c r="V9" s="41"/>
      <c r="W9" s="42"/>
      <c r="X9" s="41"/>
      <c r="Y9" s="42"/>
      <c r="Z9" s="41"/>
      <c r="AA9" s="42"/>
      <c r="AB9" s="41"/>
      <c r="AC9" s="42"/>
      <c r="AD9" s="41"/>
      <c r="AE9" s="42"/>
      <c r="AF9" s="41"/>
      <c r="AG9" s="42"/>
      <c r="AH9" s="41"/>
      <c r="AI9" s="42"/>
      <c r="AJ9" s="41"/>
      <c r="AK9" s="42"/>
      <c r="AL9" s="41"/>
      <c r="AM9" s="42"/>
      <c r="AN9" s="41"/>
      <c r="AO9" s="42"/>
      <c r="AP9" s="41"/>
      <c r="AQ9" s="42"/>
      <c r="AR9" s="41"/>
      <c r="AS9" s="42"/>
      <c r="AT9" s="41"/>
      <c r="AU9" s="42"/>
      <c r="AV9" s="41"/>
      <c r="AW9" s="42"/>
      <c r="AX9" s="41"/>
      <c r="AY9" s="42"/>
      <c r="AZ9" s="41"/>
      <c r="BA9" s="42"/>
      <c r="BB9" s="41"/>
      <c r="BC9" s="42"/>
      <c r="BD9" s="41"/>
      <c r="BE9" s="42"/>
      <c r="BF9" s="41"/>
      <c r="BG9" s="42"/>
      <c r="BH9" s="41"/>
      <c r="BI9" s="42"/>
      <c r="BJ9" s="41"/>
      <c r="BK9" s="42"/>
      <c r="BL9" s="41"/>
      <c r="BM9" s="42"/>
      <c r="BN9" s="41"/>
      <c r="BO9" s="42"/>
      <c r="BP9" s="41"/>
      <c r="BQ9" s="42"/>
      <c r="BR9" s="41"/>
      <c r="BS9" s="42"/>
      <c r="BT9" s="41"/>
      <c r="BU9" s="42"/>
      <c r="BV9" s="41"/>
      <c r="BW9" s="42"/>
      <c r="BX9" s="41"/>
      <c r="BY9" s="42"/>
      <c r="BZ9" s="41"/>
      <c r="CA9" s="42"/>
      <c r="CB9" s="41"/>
      <c r="CC9" s="42"/>
      <c r="CD9" s="41"/>
      <c r="CE9" s="42"/>
      <c r="CF9" s="41"/>
      <c r="CG9" s="42"/>
      <c r="CH9" s="41"/>
      <c r="CI9" s="42"/>
      <c r="CJ9" s="41"/>
      <c r="CK9" s="42"/>
      <c r="CL9" s="41"/>
      <c r="CM9" s="42"/>
      <c r="CN9" s="41"/>
      <c r="CO9" s="42"/>
      <c r="CP9" s="41"/>
      <c r="CQ9" s="42"/>
    </row>
    <row r="10" spans="1:95" ht="10.5" x14ac:dyDescent="0.25">
      <c r="A10" t="s">
        <v>15</v>
      </c>
      <c r="B10" s="41">
        <v>1059.2664648168009</v>
      </c>
      <c r="C10" s="42">
        <v>1164.8563607265562</v>
      </c>
      <c r="D10" s="41">
        <v>1056.5928015884836</v>
      </c>
      <c r="E10" s="42">
        <v>1245.3125909526646</v>
      </c>
      <c r="F10" s="41">
        <v>1053.9171141946256</v>
      </c>
      <c r="G10" s="42">
        <v>1339.3972324348435</v>
      </c>
      <c r="H10" s="41">
        <v>1051.2403578177084</v>
      </c>
      <c r="I10" s="42">
        <v>1451.3344926948503</v>
      </c>
      <c r="J10" s="41">
        <v>1048.568135463177</v>
      </c>
      <c r="K10" s="42">
        <v>1587.6659368935532</v>
      </c>
      <c r="L10" s="41">
        <v>1045.913790166318</v>
      </c>
      <c r="M10" s="42">
        <v>1759.5393964926034</v>
      </c>
      <c r="N10" s="41">
        <v>1043.302263382292</v>
      </c>
      <c r="O10" s="42">
        <v>1989.5971453412185</v>
      </c>
      <c r="P10" s="41">
        <v>1040.7371934009373</v>
      </c>
      <c r="Q10" s="42">
        <v>2354.8997478910783</v>
      </c>
      <c r="R10" s="201">
        <v>1042.43357719034</v>
      </c>
      <c r="S10" s="202">
        <v>2485.3473780062372</v>
      </c>
      <c r="T10" s="41"/>
      <c r="U10" s="42"/>
      <c r="V10" s="41"/>
      <c r="W10" s="42"/>
      <c r="X10" s="41"/>
      <c r="Y10" s="42"/>
      <c r="Z10" s="41"/>
      <c r="AA10" s="42"/>
      <c r="AB10" s="41"/>
      <c r="AC10" s="42"/>
      <c r="AD10" s="41"/>
      <c r="AE10" s="42"/>
      <c r="AF10" s="41"/>
      <c r="AG10" s="42"/>
      <c r="AH10" s="41"/>
      <c r="AI10" s="42"/>
      <c r="AJ10" s="41"/>
      <c r="AK10" s="42"/>
      <c r="AL10" s="41"/>
      <c r="AM10" s="42"/>
      <c r="AN10" s="41"/>
      <c r="AO10" s="42"/>
      <c r="AP10" s="41"/>
      <c r="AQ10" s="42"/>
      <c r="AR10" s="41"/>
      <c r="AS10" s="42"/>
      <c r="AT10" s="41"/>
      <c r="AU10" s="42"/>
      <c r="AV10" s="41"/>
      <c r="AW10" s="42"/>
      <c r="AX10" s="41"/>
      <c r="AY10" s="42"/>
      <c r="AZ10" s="41"/>
      <c r="BA10" s="42"/>
      <c r="BB10" s="41"/>
      <c r="BC10" s="42"/>
      <c r="BD10" s="41"/>
      <c r="BE10" s="42"/>
      <c r="BF10" s="41"/>
      <c r="BG10" s="42"/>
      <c r="BH10" s="41"/>
      <c r="BI10" s="42"/>
      <c r="BJ10" s="41"/>
      <c r="BK10" s="42"/>
      <c r="BL10" s="41"/>
      <c r="BM10" s="42"/>
      <c r="BN10" s="41"/>
      <c r="BO10" s="42"/>
      <c r="BP10" s="41"/>
      <c r="BQ10" s="42"/>
      <c r="BR10" s="41"/>
      <c r="BS10" s="42"/>
      <c r="BT10" s="41"/>
      <c r="BU10" s="42"/>
      <c r="BV10" s="41"/>
      <c r="BW10" s="42"/>
      <c r="BX10" s="41"/>
      <c r="BY10" s="42"/>
      <c r="BZ10" s="41"/>
      <c r="CA10" s="42"/>
      <c r="CB10" s="41"/>
      <c r="CC10" s="42"/>
      <c r="CD10" s="41"/>
      <c r="CE10" s="42"/>
      <c r="CF10" s="41"/>
      <c r="CG10" s="42"/>
      <c r="CH10" s="41"/>
      <c r="CI10" s="42"/>
      <c r="CJ10" s="41"/>
      <c r="CK10" s="42"/>
      <c r="CL10" s="41"/>
      <c r="CM10" s="42"/>
      <c r="CN10" s="41"/>
      <c r="CO10" s="42"/>
      <c r="CP10" s="41"/>
      <c r="CQ10" s="42"/>
    </row>
    <row r="11" spans="1:95" ht="10.5" x14ac:dyDescent="0.25">
      <c r="A11" t="s">
        <v>29</v>
      </c>
      <c r="B11" s="41">
        <v>1059.2664648168009</v>
      </c>
      <c r="C11" s="42">
        <v>1164.8563607265562</v>
      </c>
      <c r="D11" s="41">
        <v>1056.5928015884836</v>
      </c>
      <c r="E11" s="42">
        <v>1245.3125909526646</v>
      </c>
      <c r="F11" s="41">
        <v>1053.9171141946256</v>
      </c>
      <c r="G11" s="42">
        <v>1339.3972324348435</v>
      </c>
      <c r="H11" s="41">
        <v>1051.2403578177084</v>
      </c>
      <c r="I11" s="42">
        <v>1451.3344926948503</v>
      </c>
      <c r="J11" s="41">
        <v>1048.568135463177</v>
      </c>
      <c r="K11" s="42">
        <v>1587.6659368935532</v>
      </c>
      <c r="L11" s="41">
        <v>1045.913790166318</v>
      </c>
      <c r="M11" s="42">
        <v>1759.5393964926034</v>
      </c>
      <c r="N11" s="41">
        <v>1043.302263382292</v>
      </c>
      <c r="O11" s="42">
        <v>1989.5971453412185</v>
      </c>
      <c r="P11" s="41">
        <v>1040.7371934009373</v>
      </c>
      <c r="Q11" s="42">
        <v>2354.8997478910783</v>
      </c>
      <c r="R11" s="201">
        <v>1042.43357719034</v>
      </c>
      <c r="S11" s="202">
        <v>2485.3473780062372</v>
      </c>
      <c r="T11" s="41"/>
      <c r="U11" s="42"/>
      <c r="V11" s="41"/>
      <c r="W11" s="42"/>
      <c r="X11" s="41"/>
      <c r="Y11" s="42"/>
      <c r="Z11" s="41"/>
      <c r="AA11" s="42"/>
      <c r="AB11" s="41"/>
      <c r="AC11" s="42"/>
      <c r="AD11" s="41"/>
      <c r="AE11" s="42"/>
      <c r="AF11" s="41"/>
      <c r="AG11" s="42"/>
      <c r="AH11" s="41"/>
      <c r="AI11" s="42"/>
      <c r="AJ11" s="41"/>
      <c r="AK11" s="42"/>
      <c r="AL11" s="41"/>
      <c r="AM11" s="42"/>
      <c r="AN11" s="41"/>
      <c r="AO11" s="42"/>
      <c r="AP11" s="41"/>
      <c r="AQ11" s="42"/>
      <c r="AR11" s="41"/>
      <c r="AS11" s="42"/>
      <c r="AT11" s="41"/>
      <c r="AU11" s="42"/>
      <c r="AV11" s="41"/>
      <c r="AW11" s="42"/>
      <c r="AX11" s="41"/>
      <c r="AY11" s="42"/>
      <c r="AZ11" s="41"/>
      <c r="BA11" s="42"/>
      <c r="BB11" s="41"/>
      <c r="BC11" s="42"/>
      <c r="BD11" s="41"/>
      <c r="BE11" s="42"/>
      <c r="BF11" s="41"/>
      <c r="BG11" s="42"/>
      <c r="BH11" s="41"/>
      <c r="BI11" s="42"/>
      <c r="BJ11" s="41"/>
      <c r="BK11" s="42"/>
      <c r="BL11" s="41"/>
      <c r="BM11" s="42"/>
      <c r="BN11" s="41"/>
      <c r="BO11" s="42"/>
      <c r="BP11" s="41"/>
      <c r="BQ11" s="42"/>
      <c r="BR11" s="41"/>
      <c r="BS11" s="42"/>
      <c r="BT11" s="41"/>
      <c r="BU11" s="42"/>
      <c r="BV11" s="41"/>
      <c r="BW11" s="42"/>
      <c r="BX11" s="41"/>
      <c r="BY11" s="42"/>
      <c r="BZ11" s="41"/>
      <c r="CA11" s="42"/>
      <c r="CB11" s="41"/>
      <c r="CC11" s="42"/>
      <c r="CD11" s="41"/>
      <c r="CE11" s="42"/>
      <c r="CF11" s="41"/>
      <c r="CG11" s="42"/>
      <c r="CH11" s="41"/>
      <c r="CI11" s="42"/>
      <c r="CJ11" s="41"/>
      <c r="CK11" s="42"/>
      <c r="CL11" s="41"/>
      <c r="CM11" s="42"/>
      <c r="CN11" s="41"/>
      <c r="CO11" s="42"/>
      <c r="CP11" s="41"/>
      <c r="CQ11" s="42"/>
    </row>
    <row r="12" spans="1:95" ht="10.5" x14ac:dyDescent="0.25">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201">
        <v>1000</v>
      </c>
      <c r="S12" s="202">
        <v>1000</v>
      </c>
      <c r="T12" s="41"/>
      <c r="U12" s="42"/>
      <c r="V12" s="41"/>
      <c r="W12" s="42"/>
      <c r="X12" s="41"/>
      <c r="Y12" s="42"/>
      <c r="Z12" s="41"/>
      <c r="AA12" s="42"/>
      <c r="AB12" s="41"/>
      <c r="AC12" s="42"/>
      <c r="AD12" s="41"/>
      <c r="AE12" s="42"/>
      <c r="AF12" s="41"/>
      <c r="AG12" s="42"/>
      <c r="AH12" s="41"/>
      <c r="AI12" s="42"/>
      <c r="AJ12" s="41"/>
      <c r="AK12" s="42"/>
      <c r="AL12" s="41"/>
      <c r="AM12" s="42"/>
      <c r="AN12" s="41"/>
      <c r="AO12" s="42"/>
      <c r="AP12" s="41"/>
      <c r="AQ12" s="42"/>
      <c r="AR12" s="41"/>
      <c r="AS12" s="42"/>
      <c r="AT12" s="41"/>
      <c r="AU12" s="42"/>
      <c r="AV12" s="41"/>
      <c r="AW12" s="42"/>
      <c r="AX12" s="41"/>
      <c r="AY12" s="42"/>
      <c r="AZ12" s="41"/>
      <c r="BA12" s="42"/>
      <c r="BB12" s="41"/>
      <c r="BC12" s="42"/>
      <c r="BD12" s="41"/>
      <c r="BE12" s="42"/>
      <c r="BF12" s="41"/>
      <c r="BG12" s="42"/>
      <c r="BH12" s="41"/>
      <c r="BI12" s="42"/>
      <c r="BJ12" s="41"/>
      <c r="BK12" s="42"/>
      <c r="BL12" s="41"/>
      <c r="BM12" s="42"/>
      <c r="BN12" s="41"/>
      <c r="BO12" s="42"/>
      <c r="BP12" s="41"/>
      <c r="BQ12" s="42"/>
      <c r="BR12" s="41"/>
      <c r="BS12" s="42"/>
      <c r="BT12" s="41"/>
      <c r="BU12" s="42"/>
      <c r="BV12" s="41"/>
      <c r="BW12" s="42"/>
      <c r="BX12" s="41"/>
      <c r="BY12" s="42"/>
      <c r="BZ12" s="41"/>
      <c r="CA12" s="42"/>
      <c r="CB12" s="41"/>
      <c r="CC12" s="42"/>
      <c r="CD12" s="41"/>
      <c r="CE12" s="42"/>
      <c r="CF12" s="41"/>
      <c r="CG12" s="42"/>
      <c r="CH12" s="41"/>
      <c r="CI12" s="42"/>
      <c r="CJ12" s="41"/>
      <c r="CK12" s="42"/>
      <c r="CL12" s="41"/>
      <c r="CM12" s="42"/>
      <c r="CN12" s="41"/>
      <c r="CO12" s="42"/>
      <c r="CP12" s="41"/>
      <c r="CQ12" s="42"/>
    </row>
    <row r="13" spans="1:95" ht="10.5" x14ac:dyDescent="0.25">
      <c r="A13" t="s">
        <v>17</v>
      </c>
      <c r="B13" s="97">
        <v>1000</v>
      </c>
      <c r="C13" s="98">
        <v>1000</v>
      </c>
      <c r="D13" s="97">
        <v>1001.6651170904997</v>
      </c>
      <c r="E13" s="98">
        <v>1001.6651170904997</v>
      </c>
      <c r="F13" s="97">
        <v>1003.8190749303536</v>
      </c>
      <c r="G13" s="98">
        <v>1003.8190749303536</v>
      </c>
      <c r="H13" s="97">
        <v>1006.6054052985872</v>
      </c>
      <c r="I13" s="98">
        <v>1006.6054052985872</v>
      </c>
      <c r="J13" s="97">
        <v>1010.2491425453273</v>
      </c>
      <c r="K13" s="98">
        <v>1010.2491425453273</v>
      </c>
      <c r="L13" s="97">
        <v>1015.1363784669835</v>
      </c>
      <c r="M13" s="98">
        <v>1015.1363784669835</v>
      </c>
      <c r="N13" s="97">
        <v>1022.0512779111502</v>
      </c>
      <c r="O13" s="98">
        <v>1022.0512779111502</v>
      </c>
      <c r="P13" s="97">
        <v>1033.6356085060095</v>
      </c>
      <c r="Q13" s="98">
        <v>1033.6356085060095</v>
      </c>
      <c r="R13" s="207">
        <v>1039.9607631746205</v>
      </c>
      <c r="S13" s="208">
        <v>1039.9607631746205</v>
      </c>
      <c r="T13" s="97"/>
      <c r="U13" s="98"/>
      <c r="V13" s="97"/>
      <c r="W13" s="98"/>
      <c r="X13" s="97"/>
      <c r="Y13" s="98"/>
      <c r="Z13" s="97"/>
      <c r="AA13" s="98"/>
      <c r="AB13" s="97"/>
      <c r="AC13" s="98"/>
      <c r="AD13" s="97"/>
      <c r="AE13" s="98"/>
      <c r="AF13" s="97"/>
      <c r="AG13" s="98"/>
      <c r="AH13" s="97"/>
      <c r="AI13" s="98"/>
      <c r="AJ13" s="97"/>
      <c r="AK13" s="98"/>
      <c r="AL13" s="97"/>
      <c r="AM13" s="98"/>
      <c r="AN13" s="97"/>
      <c r="AO13" s="98"/>
      <c r="AP13" s="97"/>
      <c r="AQ13" s="98"/>
      <c r="AR13" s="97"/>
      <c r="AS13" s="98"/>
      <c r="AT13" s="97"/>
      <c r="AU13" s="98"/>
      <c r="AV13" s="97"/>
      <c r="AW13" s="98"/>
      <c r="AX13" s="97"/>
      <c r="AY13" s="98"/>
      <c r="AZ13" s="97"/>
      <c r="BA13" s="98"/>
      <c r="BB13" s="97"/>
      <c r="BC13" s="98"/>
      <c r="BD13" s="97"/>
      <c r="BE13" s="98"/>
      <c r="BF13" s="97"/>
      <c r="BG13" s="98"/>
      <c r="BH13" s="97"/>
      <c r="BI13" s="98"/>
      <c r="BJ13" s="97"/>
      <c r="BK13" s="98"/>
      <c r="BL13" s="97"/>
      <c r="BM13" s="98"/>
      <c r="BN13" s="97"/>
      <c r="BO13" s="98"/>
      <c r="BP13" s="97"/>
      <c r="BQ13" s="98"/>
      <c r="BR13" s="97"/>
      <c r="BS13" s="98"/>
      <c r="BT13" s="97"/>
      <c r="BU13" s="98"/>
      <c r="BV13" s="97"/>
      <c r="BW13" s="98"/>
      <c r="BX13" s="97"/>
      <c r="BY13" s="98"/>
      <c r="BZ13" s="97"/>
      <c r="CA13" s="98"/>
      <c r="CB13" s="97"/>
      <c r="CC13" s="98"/>
      <c r="CD13" s="97"/>
      <c r="CE13" s="98"/>
      <c r="CF13" s="97"/>
      <c r="CG13" s="98"/>
      <c r="CH13" s="97"/>
      <c r="CI13" s="98"/>
      <c r="CJ13" s="97"/>
      <c r="CK13" s="98"/>
      <c r="CL13" s="97"/>
      <c r="CM13" s="98"/>
      <c r="CN13" s="97"/>
      <c r="CO13" s="98"/>
      <c r="CP13" s="97"/>
      <c r="CQ13" s="98"/>
    </row>
    <row r="14" spans="1:95" ht="10.5" x14ac:dyDescent="0.25">
      <c r="A14" t="s">
        <v>36</v>
      </c>
      <c r="B14" s="41">
        <v>1571.7032514685595</v>
      </c>
      <c r="C14" s="42">
        <v>1562.3699911127492</v>
      </c>
      <c r="D14" s="41">
        <v>1574.3203214137739</v>
      </c>
      <c r="E14" s="42">
        <v>1564.9715200866349</v>
      </c>
      <c r="F14" s="41">
        <v>1577.7057039541985</v>
      </c>
      <c r="G14" s="42">
        <v>1568.3367991777445</v>
      </c>
      <c r="H14" s="41">
        <v>1582.0849884536169</v>
      </c>
      <c r="I14" s="42">
        <v>1572.6900781303989</v>
      </c>
      <c r="J14" s="41">
        <v>1587.8118621318154</v>
      </c>
      <c r="K14" s="42">
        <v>1578.3829438602054</v>
      </c>
      <c r="L14" s="41">
        <v>1595.4931467205763</v>
      </c>
      <c r="M14" s="42">
        <v>1586.0186146036892</v>
      </c>
      <c r="N14" s="41">
        <v>1606.3613166605512</v>
      </c>
      <c r="O14" s="42">
        <v>1596.8222459868177</v>
      </c>
      <c r="P14" s="41">
        <v>1624.5684467225783</v>
      </c>
      <c r="Q14" s="42">
        <v>1614.921256475355</v>
      </c>
      <c r="R14" s="201">
        <v>1634.5097128812758</v>
      </c>
      <c r="S14" s="202">
        <v>1624.8034883187397</v>
      </c>
      <c r="T14" s="41"/>
      <c r="U14" s="42"/>
      <c r="V14" s="41"/>
      <c r="W14" s="42"/>
      <c r="X14" s="41"/>
      <c r="Y14" s="42"/>
      <c r="Z14" s="41"/>
      <c r="AA14" s="42"/>
      <c r="AB14" s="41"/>
      <c r="AC14" s="42"/>
      <c r="AD14" s="41"/>
      <c r="AE14" s="42"/>
      <c r="AF14" s="41"/>
      <c r="AG14" s="42"/>
      <c r="AH14" s="41"/>
      <c r="AI14" s="42"/>
      <c r="AJ14" s="41"/>
      <c r="AK14" s="42"/>
      <c r="AL14" s="41"/>
      <c r="AM14" s="42"/>
      <c r="AN14" s="41"/>
      <c r="AO14" s="42"/>
      <c r="AP14" s="41"/>
      <c r="AQ14" s="42"/>
      <c r="AR14" s="41"/>
      <c r="AS14" s="42"/>
      <c r="AT14" s="41"/>
      <c r="AU14" s="42"/>
      <c r="AV14" s="41"/>
      <c r="AW14" s="42"/>
      <c r="AX14" s="41"/>
      <c r="AY14" s="42"/>
      <c r="AZ14" s="41"/>
      <c r="BA14" s="42"/>
      <c r="BB14" s="41"/>
      <c r="BC14" s="42"/>
      <c r="BD14" s="41"/>
      <c r="BE14" s="42"/>
      <c r="BF14" s="41"/>
      <c r="BG14" s="42"/>
      <c r="BH14" s="41"/>
      <c r="BI14" s="42"/>
      <c r="BJ14" s="41"/>
      <c r="BK14" s="42"/>
      <c r="BL14" s="41"/>
      <c r="BM14" s="42"/>
      <c r="BN14" s="41"/>
      <c r="BO14" s="42"/>
      <c r="BP14" s="41"/>
      <c r="BQ14" s="42"/>
      <c r="BR14" s="41"/>
      <c r="BS14" s="42"/>
      <c r="BT14" s="41"/>
      <c r="BU14" s="42"/>
      <c r="BV14" s="41"/>
      <c r="BW14" s="42"/>
      <c r="BX14" s="41"/>
      <c r="BY14" s="42"/>
      <c r="BZ14" s="41"/>
      <c r="CA14" s="42"/>
      <c r="CB14" s="41"/>
      <c r="CC14" s="42"/>
      <c r="CD14" s="41"/>
      <c r="CE14" s="42"/>
      <c r="CF14" s="41"/>
      <c r="CG14" s="42"/>
      <c r="CH14" s="41"/>
      <c r="CI14" s="42"/>
      <c r="CJ14" s="41"/>
      <c r="CK14" s="42"/>
      <c r="CL14" s="41"/>
      <c r="CM14" s="42"/>
      <c r="CN14" s="41"/>
      <c r="CO14" s="42"/>
      <c r="CP14" s="41"/>
      <c r="CQ14" s="42"/>
    </row>
    <row r="15" spans="1:95" ht="10.5" x14ac:dyDescent="0.25">
      <c r="A15" t="s">
        <v>18</v>
      </c>
      <c r="B15" s="154">
        <v>1000</v>
      </c>
      <c r="C15" s="155">
        <v>1000</v>
      </c>
      <c r="D15" s="154">
        <v>984.99249056924634</v>
      </c>
      <c r="E15" s="155">
        <v>984.99249056924634</v>
      </c>
      <c r="F15" s="154">
        <v>967.28863080839244</v>
      </c>
      <c r="G15" s="155">
        <v>967.28863080839244</v>
      </c>
      <c r="H15" s="154">
        <v>945.81911454588612</v>
      </c>
      <c r="I15" s="155">
        <v>945.81911454588612</v>
      </c>
      <c r="J15" s="154">
        <v>918.75450352232974</v>
      </c>
      <c r="K15" s="155">
        <v>918.75450352232974</v>
      </c>
      <c r="L15" s="154">
        <v>882.54172550618603</v>
      </c>
      <c r="M15" s="155">
        <v>882.54172550618603</v>
      </c>
      <c r="N15" s="154">
        <v>828.52604036752211</v>
      </c>
      <c r="O15" s="155">
        <v>828.52604036752211</v>
      </c>
      <c r="P15" s="154">
        <v>717.48174948683447</v>
      </c>
      <c r="Q15" s="155">
        <v>717.48174948683447</v>
      </c>
      <c r="R15" s="209">
        <v>173.49422659234449</v>
      </c>
      <c r="S15" s="210">
        <v>173.49422659234449</v>
      </c>
      <c r="T15" s="154"/>
      <c r="U15" s="155"/>
      <c r="V15" s="154"/>
      <c r="W15" s="155"/>
      <c r="X15" s="154"/>
      <c r="Y15" s="155"/>
      <c r="Z15" s="154"/>
      <c r="AA15" s="155"/>
      <c r="AB15" s="154"/>
      <c r="AC15" s="155"/>
      <c r="AD15" s="154"/>
      <c r="AE15" s="155"/>
      <c r="AF15" s="154"/>
      <c r="AG15" s="155"/>
      <c r="AH15" s="154"/>
      <c r="AI15" s="155"/>
      <c r="AJ15" s="154"/>
      <c r="AK15" s="155"/>
      <c r="AL15" s="154"/>
      <c r="AM15" s="155"/>
      <c r="AN15" s="154"/>
      <c r="AO15" s="155"/>
      <c r="AP15" s="154"/>
      <c r="AQ15" s="155"/>
      <c r="AR15" s="154"/>
      <c r="AS15" s="155"/>
      <c r="AT15" s="154"/>
      <c r="AU15" s="155"/>
      <c r="AV15" s="154"/>
      <c r="AW15" s="155"/>
      <c r="AX15" s="99"/>
      <c r="AY15" s="100"/>
      <c r="AZ15" s="99"/>
      <c r="BA15" s="100"/>
      <c r="BB15" s="99"/>
      <c r="BC15" s="100"/>
      <c r="BD15" s="99"/>
      <c r="BE15" s="100"/>
      <c r="BF15" s="99"/>
      <c r="BG15" s="100"/>
      <c r="BH15" s="99"/>
      <c r="BI15" s="100"/>
      <c r="BJ15" s="99"/>
      <c r="BK15" s="100"/>
      <c r="BL15" s="99"/>
      <c r="BM15" s="100"/>
      <c r="BN15" s="99"/>
      <c r="BO15" s="100"/>
      <c r="BP15" s="99"/>
      <c r="BQ15" s="100"/>
      <c r="BR15" s="99"/>
      <c r="BS15" s="100"/>
      <c r="BT15" s="99"/>
      <c r="BU15" s="100"/>
      <c r="BV15" s="99"/>
      <c r="BW15" s="100"/>
      <c r="BX15" s="99"/>
      <c r="BY15" s="100"/>
      <c r="BZ15" s="99"/>
      <c r="CA15" s="100"/>
      <c r="CB15" s="99"/>
      <c r="CC15" s="100"/>
      <c r="CD15" s="99"/>
      <c r="CE15" s="100"/>
      <c r="CF15" s="99"/>
      <c r="CG15" s="100"/>
      <c r="CH15" s="99"/>
      <c r="CI15" s="100"/>
      <c r="CJ15" s="99"/>
      <c r="CK15" s="100"/>
      <c r="CL15" s="99"/>
      <c r="CM15" s="100"/>
      <c r="CN15" s="99"/>
      <c r="CO15" s="100"/>
      <c r="CP15" s="99"/>
      <c r="CQ15" s="100"/>
    </row>
    <row r="16" spans="1:95" s="29" customFormat="1" ht="10.5" x14ac:dyDescent="0.25">
      <c r="A16" t="s">
        <v>61</v>
      </c>
      <c r="B16" s="41">
        <v>1000</v>
      </c>
      <c r="C16" s="42">
        <v>1000</v>
      </c>
      <c r="D16" s="41">
        <v>993.67888102386951</v>
      </c>
      <c r="E16" s="42">
        <v>989.08155990180262</v>
      </c>
      <c r="F16" s="41">
        <v>986.84038148525974</v>
      </c>
      <c r="G16" s="42">
        <v>976.44150232533286</v>
      </c>
      <c r="H16" s="41">
        <v>979.34077668762995</v>
      </c>
      <c r="I16" s="42">
        <v>961.42636974149957</v>
      </c>
      <c r="J16" s="41">
        <v>970.9649647022178</v>
      </c>
      <c r="K16" s="42">
        <v>942.93389640529847</v>
      </c>
      <c r="L16" s="41">
        <v>961.35513894710209</v>
      </c>
      <c r="M16" s="42">
        <v>918.85710253557795</v>
      </c>
      <c r="N16" s="41">
        <v>949.78866287945812</v>
      </c>
      <c r="O16" s="42">
        <v>884.15257479545562</v>
      </c>
      <c r="P16" s="41">
        <v>933.70181627033094</v>
      </c>
      <c r="Q16" s="42">
        <v>816.44265813206118</v>
      </c>
      <c r="R16" s="201">
        <v>930.55324173583278</v>
      </c>
      <c r="S16" s="202">
        <v>528.61573033406239</v>
      </c>
      <c r="T16" s="41"/>
      <c r="U16" s="42"/>
      <c r="V16" s="41"/>
      <c r="W16" s="42"/>
      <c r="X16" s="41"/>
      <c r="Y16" s="42"/>
      <c r="Z16" s="41"/>
      <c r="AA16" s="42"/>
      <c r="AB16" s="41"/>
      <c r="AC16" s="42"/>
      <c r="AD16" s="41"/>
      <c r="AE16" s="42"/>
      <c r="AF16" s="41"/>
      <c r="AG16" s="42"/>
      <c r="AH16" s="41"/>
      <c r="AI16" s="42"/>
      <c r="AJ16" s="41"/>
      <c r="AK16" s="42"/>
      <c r="AL16" s="41"/>
      <c r="AM16" s="42"/>
      <c r="AN16" s="41"/>
      <c r="AO16" s="42"/>
      <c r="AP16" s="41"/>
      <c r="AQ16" s="42"/>
      <c r="AR16" s="41"/>
      <c r="AS16" s="42"/>
      <c r="AT16" s="41"/>
      <c r="AU16" s="42"/>
      <c r="AV16" s="41"/>
      <c r="AW16" s="42"/>
      <c r="AX16" s="41"/>
      <c r="AY16" s="42"/>
      <c r="AZ16" s="41"/>
      <c r="BA16" s="42"/>
      <c r="BB16" s="41"/>
      <c r="BC16" s="42"/>
      <c r="BD16" s="41"/>
      <c r="BE16" s="42"/>
      <c r="BF16" s="41"/>
      <c r="BG16" s="42"/>
      <c r="BH16" s="41"/>
      <c r="BI16" s="42"/>
      <c r="BJ16" s="41"/>
      <c r="BK16" s="42"/>
      <c r="BL16" s="41"/>
      <c r="BM16" s="42"/>
      <c r="BN16" s="41"/>
      <c r="BO16" s="42"/>
      <c r="BP16" s="41"/>
      <c r="BQ16" s="42"/>
      <c r="BR16" s="41"/>
      <c r="BS16" s="42"/>
      <c r="BT16" s="41"/>
      <c r="BU16" s="42"/>
      <c r="BV16" s="41"/>
      <c r="BW16" s="42"/>
      <c r="BX16" s="41"/>
      <c r="BY16" s="42"/>
      <c r="BZ16" s="41"/>
      <c r="CA16" s="42"/>
      <c r="CB16" s="41"/>
      <c r="CC16" s="42"/>
      <c r="CD16" s="41"/>
      <c r="CE16" s="42"/>
      <c r="CF16" s="41"/>
      <c r="CG16" s="42"/>
      <c r="CH16" s="41"/>
      <c r="CI16" s="42"/>
      <c r="CJ16" s="41"/>
      <c r="CK16" s="42"/>
      <c r="CL16" s="41"/>
      <c r="CM16" s="42"/>
      <c r="CN16" s="41"/>
      <c r="CO16" s="42"/>
      <c r="CP16" s="41"/>
      <c r="CQ16" s="42"/>
    </row>
    <row r="17" spans="1:95" ht="10.5" x14ac:dyDescent="0.25">
      <c r="A17" t="s">
        <v>62</v>
      </c>
      <c r="B17" s="35">
        <v>999.99999999999977</v>
      </c>
      <c r="C17" s="36">
        <v>1000.0000000000007</v>
      </c>
      <c r="D17" s="35">
        <v>997.60447860086924</v>
      </c>
      <c r="E17" s="36">
        <v>1044.7639454027367</v>
      </c>
      <c r="F17" s="35">
        <v>995.21250587218617</v>
      </c>
      <c r="G17" s="36">
        <v>1096.7810842131209</v>
      </c>
      <c r="H17" s="35">
        <v>992.82496953275393</v>
      </c>
      <c r="I17" s="36">
        <v>1158.2085809428968</v>
      </c>
      <c r="J17" s="35">
        <v>990.44687891997251</v>
      </c>
      <c r="K17" s="36">
        <v>1232.3426152635591</v>
      </c>
      <c r="L17" s="35">
        <v>988.09006652108849</v>
      </c>
      <c r="M17" s="36">
        <v>1324.6976940596508</v>
      </c>
      <c r="N17" s="35">
        <v>985.77651854184955</v>
      </c>
      <c r="O17" s="36">
        <v>1446.1600114570927</v>
      </c>
      <c r="P17" s="35">
        <v>983.50921147201518</v>
      </c>
      <c r="Q17" s="36">
        <v>1631.8241648888754</v>
      </c>
      <c r="R17" s="205">
        <v>985.00810599596139</v>
      </c>
      <c r="S17" s="206">
        <v>1598.2276613509266</v>
      </c>
      <c r="T17" s="35"/>
      <c r="U17" s="36"/>
      <c r="V17" s="35"/>
      <c r="W17" s="36"/>
      <c r="X17" s="35"/>
      <c r="Y17" s="36"/>
      <c r="Z17" s="35"/>
      <c r="AA17" s="36"/>
      <c r="AB17" s="35"/>
      <c r="AC17" s="36"/>
      <c r="AD17" s="35"/>
      <c r="AE17" s="36"/>
      <c r="AF17" s="35"/>
      <c r="AG17" s="36"/>
      <c r="AH17" s="35"/>
      <c r="AI17" s="36"/>
      <c r="AJ17" s="35"/>
      <c r="AK17" s="36"/>
      <c r="AL17" s="35"/>
      <c r="AM17" s="36"/>
      <c r="AN17" s="35"/>
      <c r="AO17" s="36"/>
      <c r="AP17" s="35"/>
      <c r="AQ17" s="36"/>
      <c r="AR17" s="35"/>
      <c r="AS17" s="36"/>
      <c r="AT17" s="35"/>
      <c r="AU17" s="36"/>
      <c r="AV17" s="35"/>
      <c r="AW17" s="36"/>
      <c r="AX17" s="35"/>
      <c r="AY17" s="36"/>
      <c r="AZ17" s="35"/>
      <c r="BA17" s="36"/>
      <c r="BB17" s="35"/>
      <c r="BC17" s="36"/>
      <c r="BD17" s="35"/>
      <c r="BE17" s="36"/>
      <c r="BF17" s="35"/>
      <c r="BG17" s="36"/>
      <c r="BH17" s="35"/>
      <c r="BI17" s="36"/>
      <c r="BJ17" s="35"/>
      <c r="BK17" s="36"/>
      <c r="BL17" s="35"/>
      <c r="BM17" s="36"/>
      <c r="BN17" s="35"/>
      <c r="BO17" s="36"/>
      <c r="BP17" s="35"/>
      <c r="BQ17" s="36"/>
      <c r="BR17" s="35"/>
      <c r="BS17" s="36"/>
      <c r="BT17" s="35"/>
      <c r="BU17" s="36"/>
      <c r="BV17" s="35"/>
      <c r="BW17" s="36"/>
      <c r="BX17" s="35"/>
      <c r="BY17" s="36"/>
      <c r="BZ17" s="35"/>
      <c r="CA17" s="36"/>
      <c r="CB17" s="35"/>
      <c r="CC17" s="36"/>
      <c r="CD17" s="35"/>
      <c r="CE17" s="36"/>
      <c r="CF17" s="35"/>
      <c r="CG17" s="36"/>
      <c r="CH17" s="35"/>
      <c r="CI17" s="36"/>
      <c r="CJ17" s="35"/>
      <c r="CK17" s="36"/>
      <c r="CL17" s="35"/>
      <c r="CM17" s="36"/>
      <c r="CN17" s="35"/>
      <c r="CO17" s="36"/>
      <c r="CP17" s="35"/>
      <c r="CQ17" s="36"/>
    </row>
    <row r="18" spans="1:95" ht="10.5" x14ac:dyDescent="0.25">
      <c r="A18" t="s">
        <v>19</v>
      </c>
      <c r="B18" s="33">
        <v>21498.981358265999</v>
      </c>
      <c r="C18" s="34">
        <v>834.03652123400332</v>
      </c>
      <c r="D18" s="33">
        <v>21763.40794483908</v>
      </c>
      <c r="E18" s="34">
        <v>746.12141109633444</v>
      </c>
      <c r="F18" s="33">
        <v>22057.007604283957</v>
      </c>
      <c r="G18" s="34">
        <v>658.877359909147</v>
      </c>
      <c r="H18" s="33">
        <v>22390.302399573804</v>
      </c>
      <c r="I18" s="34">
        <v>572.37770712099302</v>
      </c>
      <c r="J18" s="33">
        <v>22780.776245381323</v>
      </c>
      <c r="K18" s="34">
        <v>486.67930239600338</v>
      </c>
      <c r="L18" s="33">
        <v>23261.371800681849</v>
      </c>
      <c r="M18" s="34">
        <v>401.74095696435126</v>
      </c>
      <c r="N18" s="33">
        <v>23909.770517065965</v>
      </c>
      <c r="O18" s="34">
        <v>317.04016096723802</v>
      </c>
      <c r="P18" s="33">
        <v>25065.045472955684</v>
      </c>
      <c r="Q18" s="34">
        <v>228.11775208366171</v>
      </c>
      <c r="R18" s="203">
        <v>29002.106744765661</v>
      </c>
      <c r="S18" s="204">
        <v>275.45657674683815</v>
      </c>
      <c r="T18" s="33"/>
      <c r="U18" s="34"/>
      <c r="V18" s="33"/>
      <c r="W18" s="34"/>
      <c r="X18" s="33"/>
      <c r="Y18" s="34"/>
      <c r="Z18" s="33"/>
      <c r="AA18" s="34"/>
      <c r="AB18" s="33"/>
      <c r="AC18" s="34"/>
      <c r="AD18" s="33"/>
      <c r="AE18" s="34"/>
      <c r="AF18" s="33"/>
      <c r="AG18" s="34"/>
      <c r="AH18" s="33"/>
      <c r="AI18" s="34"/>
      <c r="AJ18" s="33"/>
      <c r="AK18" s="34"/>
      <c r="AL18" s="33"/>
      <c r="AM18" s="34"/>
      <c r="AN18" s="33"/>
      <c r="AO18" s="34"/>
      <c r="AP18" s="33"/>
      <c r="AQ18" s="34"/>
      <c r="AR18" s="33"/>
      <c r="AS18" s="34"/>
      <c r="AT18" s="33"/>
      <c r="AU18" s="34"/>
      <c r="AV18" s="33"/>
      <c r="AW18" s="34"/>
      <c r="AX18" s="41"/>
      <c r="AY18" s="42"/>
      <c r="AZ18" s="41"/>
      <c r="BA18" s="42"/>
      <c r="BB18" s="41"/>
      <c r="BC18" s="42"/>
      <c r="BD18" s="41"/>
      <c r="BE18" s="42"/>
      <c r="BF18" s="41"/>
      <c r="BG18" s="42"/>
      <c r="BH18" s="41"/>
      <c r="BI18" s="42"/>
      <c r="BJ18" s="41"/>
      <c r="BK18" s="42"/>
      <c r="BL18" s="41"/>
      <c r="BM18" s="42"/>
      <c r="BN18" s="41"/>
      <c r="BO18" s="42"/>
      <c r="BP18" s="41"/>
      <c r="BQ18" s="42"/>
      <c r="BR18" s="41"/>
      <c r="BS18" s="42"/>
      <c r="BT18" s="41"/>
      <c r="BU18" s="42"/>
      <c r="BV18" s="41"/>
      <c r="BW18" s="42"/>
      <c r="BX18" s="41"/>
      <c r="BY18" s="42"/>
      <c r="BZ18" s="41"/>
      <c r="CA18" s="42"/>
      <c r="CB18" s="41"/>
      <c r="CC18" s="42"/>
      <c r="CD18" s="41"/>
      <c r="CE18" s="42"/>
      <c r="CF18" s="41"/>
      <c r="CG18" s="42"/>
      <c r="CH18" s="41"/>
      <c r="CI18" s="42"/>
      <c r="CJ18" s="41"/>
      <c r="CK18" s="42"/>
      <c r="CL18" s="41"/>
      <c r="CM18" s="42"/>
      <c r="CN18" s="41"/>
      <c r="CO18" s="42"/>
      <c r="CP18" s="41"/>
      <c r="CQ18" s="42"/>
    </row>
    <row r="19" spans="1:95" ht="10.5" x14ac:dyDescent="0.25">
      <c r="A19" t="s">
        <v>3</v>
      </c>
      <c r="B19" s="41">
        <v>1782.2320505062355</v>
      </c>
      <c r="C19" s="42">
        <v>450.22976484179208</v>
      </c>
      <c r="D19" s="41">
        <v>1793.1476913887443</v>
      </c>
      <c r="E19" s="42">
        <v>467.51697467327341</v>
      </c>
      <c r="F19" s="41">
        <v>1806.2110343331155</v>
      </c>
      <c r="G19" s="42">
        <v>486.80546744814438</v>
      </c>
      <c r="H19" s="41">
        <v>1822.2393687816011</v>
      </c>
      <c r="I19" s="42">
        <v>508.43381432931989</v>
      </c>
      <c r="J19" s="41">
        <v>1842.6121920511159</v>
      </c>
      <c r="K19" s="42">
        <v>532.89138857087414</v>
      </c>
      <c r="L19" s="41">
        <v>1869.952248295001</v>
      </c>
      <c r="M19" s="42">
        <v>561.01001300902533</v>
      </c>
      <c r="N19" s="41">
        <v>1910.4492200321174</v>
      </c>
      <c r="O19" s="42">
        <v>594.67993565669997</v>
      </c>
      <c r="P19" s="41">
        <v>1990.8229195700892</v>
      </c>
      <c r="Q19" s="42">
        <v>642.6262317141784</v>
      </c>
      <c r="R19" s="201">
        <v>2312.6576733885681</v>
      </c>
      <c r="S19" s="202">
        <v>723.91583889406525</v>
      </c>
      <c r="T19" s="41"/>
      <c r="U19" s="42"/>
      <c r="V19" s="41"/>
      <c r="W19" s="42"/>
      <c r="X19" s="41"/>
      <c r="Y19" s="42"/>
      <c r="Z19" s="41"/>
      <c r="AA19" s="42"/>
      <c r="AB19" s="41"/>
      <c r="AC19" s="42"/>
      <c r="AD19" s="41"/>
      <c r="AE19" s="42"/>
      <c r="AF19" s="41"/>
      <c r="AG19" s="42"/>
      <c r="AH19" s="41"/>
      <c r="AI19" s="42"/>
      <c r="AJ19" s="41"/>
      <c r="AK19" s="42"/>
      <c r="AL19" s="41"/>
      <c r="AM19" s="42"/>
      <c r="AN19" s="41"/>
      <c r="AO19" s="42"/>
      <c r="AP19" s="41"/>
      <c r="AQ19" s="42"/>
      <c r="AR19" s="41"/>
      <c r="AS19" s="42"/>
      <c r="AT19" s="41"/>
      <c r="AU19" s="42"/>
      <c r="AV19" s="41"/>
      <c r="AW19" s="42"/>
      <c r="AX19" s="82"/>
      <c r="AY19" s="83"/>
      <c r="AZ19" s="82"/>
      <c r="BA19" s="83"/>
      <c r="BB19" s="82"/>
      <c r="BC19" s="83"/>
      <c r="BD19" s="82"/>
      <c r="BE19" s="83"/>
      <c r="BF19" s="82"/>
      <c r="BG19" s="83"/>
      <c r="BH19" s="82"/>
      <c r="BI19" s="83"/>
      <c r="BJ19" s="82"/>
      <c r="BK19" s="83"/>
      <c r="BL19" s="82"/>
      <c r="BM19" s="83"/>
      <c r="BN19" s="82"/>
      <c r="BO19" s="83"/>
      <c r="BP19" s="82"/>
      <c r="BQ19" s="83"/>
      <c r="BR19" s="82"/>
      <c r="BS19" s="83"/>
      <c r="BT19" s="82"/>
      <c r="BU19" s="83"/>
      <c r="BV19" s="82"/>
      <c r="BW19" s="83"/>
      <c r="BX19" s="82"/>
      <c r="BY19" s="83"/>
      <c r="BZ19" s="82"/>
      <c r="CA19" s="83"/>
      <c r="CB19" s="82"/>
      <c r="CC19" s="83"/>
      <c r="CD19" s="82"/>
      <c r="CE19" s="83"/>
      <c r="CF19" s="82"/>
      <c r="CG19" s="83"/>
      <c r="CH19" s="82"/>
      <c r="CI19" s="83"/>
      <c r="CJ19" s="82"/>
      <c r="CK19" s="83"/>
      <c r="CL19" s="82"/>
      <c r="CM19" s="83"/>
      <c r="CN19" s="82"/>
      <c r="CO19" s="83"/>
      <c r="CP19" s="82"/>
      <c r="CQ19" s="83"/>
    </row>
    <row r="20" spans="1:95" ht="10.5" x14ac:dyDescent="0.25">
      <c r="A20" t="s">
        <v>127</v>
      </c>
      <c r="B20" s="82">
        <v>20973.127797372959</v>
      </c>
      <c r="C20" s="83">
        <v>1222.2257935314667</v>
      </c>
      <c r="D20" s="82">
        <v>21208.510394412857</v>
      </c>
      <c r="E20" s="83">
        <v>1161.1145038548932</v>
      </c>
      <c r="F20" s="82">
        <v>21471.628150086341</v>
      </c>
      <c r="G20" s="83">
        <v>1100.0032141783201</v>
      </c>
      <c r="H20" s="82">
        <v>21772.624097217824</v>
      </c>
      <c r="I20" s="83">
        <v>1038.8919245017466</v>
      </c>
      <c r="J20" s="82">
        <v>22128.400783908179</v>
      </c>
      <c r="K20" s="83">
        <v>977.78063482517337</v>
      </c>
      <c r="L20" s="82">
        <v>22570.861628802009</v>
      </c>
      <c r="M20" s="83">
        <v>916.66934514860009</v>
      </c>
      <c r="N20" s="82">
        <v>23175.259173199287</v>
      </c>
      <c r="O20" s="83">
        <v>855.55805547202669</v>
      </c>
      <c r="P20" s="82">
        <v>24269.447029347029</v>
      </c>
      <c r="Q20" s="83">
        <v>794.44676579545353</v>
      </c>
      <c r="R20" s="211">
        <v>28101.141944336428</v>
      </c>
      <c r="S20" s="212">
        <v>916.66934514860009</v>
      </c>
      <c r="T20" s="82"/>
      <c r="U20" s="83"/>
      <c r="V20" s="82"/>
      <c r="W20" s="83"/>
      <c r="X20" s="82"/>
      <c r="Y20" s="83"/>
      <c r="Z20" s="82"/>
      <c r="AA20" s="83"/>
      <c r="AB20" s="82"/>
      <c r="AC20" s="83"/>
      <c r="AD20" s="82"/>
      <c r="AE20" s="83"/>
      <c r="AF20" s="82"/>
      <c r="AG20" s="83"/>
      <c r="AH20" s="82"/>
      <c r="AI20" s="83"/>
      <c r="AJ20" s="82"/>
      <c r="AK20" s="83"/>
      <c r="AL20" s="82"/>
      <c r="AM20" s="83"/>
      <c r="AN20" s="82"/>
      <c r="AO20" s="83"/>
      <c r="AP20" s="82"/>
      <c r="AQ20" s="83"/>
      <c r="AR20" s="82"/>
      <c r="AS20" s="83"/>
      <c r="AT20" s="82"/>
      <c r="AU20" s="83"/>
      <c r="AV20" s="82"/>
      <c r="AW20" s="83"/>
      <c r="AX20" s="41"/>
      <c r="AY20" s="42"/>
      <c r="AZ20" s="41"/>
      <c r="BA20" s="42"/>
      <c r="BB20" s="41"/>
      <c r="BC20" s="42"/>
      <c r="BD20" s="41"/>
      <c r="BE20" s="42"/>
      <c r="BF20" s="41"/>
      <c r="BG20" s="42"/>
      <c r="BH20" s="41"/>
      <c r="BI20" s="42"/>
      <c r="BJ20" s="41"/>
      <c r="BK20" s="42"/>
      <c r="BL20" s="41"/>
      <c r="BM20" s="42"/>
      <c r="BN20" s="41"/>
      <c r="BO20" s="42"/>
      <c r="BP20" s="41"/>
      <c r="BQ20" s="42"/>
      <c r="BR20" s="41"/>
      <c r="BS20" s="42"/>
      <c r="BT20" s="41"/>
      <c r="BU20" s="42"/>
      <c r="BV20" s="41"/>
      <c r="BW20" s="42"/>
      <c r="BX20" s="41"/>
      <c r="BY20" s="42"/>
      <c r="BZ20" s="41"/>
      <c r="CA20" s="42"/>
      <c r="CB20" s="41"/>
      <c r="CC20" s="42"/>
      <c r="CD20" s="41"/>
      <c r="CE20" s="42"/>
      <c r="CF20" s="41"/>
      <c r="CG20" s="42"/>
      <c r="CH20" s="41"/>
      <c r="CI20" s="42"/>
      <c r="CJ20" s="41"/>
      <c r="CK20" s="42"/>
      <c r="CL20" s="41"/>
      <c r="CM20" s="42"/>
      <c r="CN20" s="41"/>
      <c r="CO20" s="42"/>
      <c r="CP20" s="41"/>
      <c r="CQ20" s="42"/>
    </row>
    <row r="21" spans="1:95" ht="10.5" x14ac:dyDescent="0.25">
      <c r="A21" t="s">
        <v>76</v>
      </c>
      <c r="B21" s="82">
        <v>19190.895746866718</v>
      </c>
      <c r="C21" s="83">
        <v>771.99602868966781</v>
      </c>
      <c r="D21" s="82">
        <v>19415.37525124395</v>
      </c>
      <c r="E21" s="83">
        <v>694.35418732126766</v>
      </c>
      <c r="F21" s="82">
        <v>19665.467969815796</v>
      </c>
      <c r="G21" s="83">
        <v>616.44961540017687</v>
      </c>
      <c r="H21" s="82">
        <v>19950.500814270032</v>
      </c>
      <c r="I21" s="83">
        <v>538.35700636871547</v>
      </c>
      <c r="J21" s="82">
        <v>20285.998215620242</v>
      </c>
      <c r="K21" s="83">
        <v>460.14474108771805</v>
      </c>
      <c r="L21" s="82">
        <v>20701.242456422464</v>
      </c>
      <c r="M21" s="83">
        <v>381.79585957225976</v>
      </c>
      <c r="N21" s="82">
        <v>21265.298805346582</v>
      </c>
      <c r="O21" s="83">
        <v>302.84582702675425</v>
      </c>
      <c r="P21" s="82">
        <v>22279.313769913348</v>
      </c>
      <c r="Q21" s="83">
        <v>219.09082702077876</v>
      </c>
      <c r="R21" s="211">
        <v>25789.143292737695</v>
      </c>
      <c r="S21" s="212">
        <v>264.34149152414278</v>
      </c>
      <c r="T21" s="82"/>
      <c r="U21" s="83"/>
      <c r="V21" s="82"/>
      <c r="W21" s="83"/>
      <c r="X21" s="82"/>
      <c r="Y21" s="83"/>
      <c r="Z21" s="82"/>
      <c r="AA21" s="83"/>
      <c r="AB21" s="82"/>
      <c r="AC21" s="83"/>
      <c r="AD21" s="82"/>
      <c r="AE21" s="83"/>
      <c r="AF21" s="82"/>
      <c r="AG21" s="83"/>
      <c r="AH21" s="82"/>
      <c r="AI21" s="83"/>
      <c r="AJ21" s="82"/>
      <c r="AK21" s="83"/>
      <c r="AL21" s="82"/>
      <c r="AM21" s="83"/>
      <c r="AN21" s="82"/>
      <c r="AO21" s="83"/>
      <c r="AP21" s="82"/>
      <c r="AQ21" s="83"/>
      <c r="AR21" s="82"/>
      <c r="AS21" s="83"/>
      <c r="AT21" s="82"/>
      <c r="AU21" s="83"/>
      <c r="AV21" s="82"/>
      <c r="AW21" s="83"/>
      <c r="AX21" s="41"/>
      <c r="AY21" s="42"/>
      <c r="AZ21" s="41"/>
      <c r="BA21" s="42"/>
      <c r="BB21" s="41"/>
      <c r="BC21" s="42"/>
      <c r="BD21" s="41"/>
      <c r="BE21" s="42"/>
      <c r="BF21" s="41"/>
      <c r="BG21" s="42"/>
      <c r="BH21" s="41"/>
      <c r="BI21" s="42"/>
      <c r="BJ21" s="41"/>
      <c r="BK21" s="42"/>
      <c r="BL21" s="41"/>
      <c r="BM21" s="42"/>
      <c r="BN21" s="41"/>
      <c r="BO21" s="42"/>
      <c r="BP21" s="41"/>
      <c r="BQ21" s="42"/>
      <c r="BR21" s="41"/>
      <c r="BS21" s="42"/>
      <c r="BT21" s="41"/>
      <c r="BU21" s="42"/>
      <c r="BV21" s="41"/>
      <c r="BW21" s="42"/>
      <c r="BX21" s="41"/>
      <c r="BY21" s="42"/>
      <c r="BZ21" s="41"/>
      <c r="CA21" s="42"/>
      <c r="CB21" s="41"/>
      <c r="CC21" s="42"/>
      <c r="CD21" s="41"/>
      <c r="CE21" s="42"/>
      <c r="CF21" s="41"/>
      <c r="CG21" s="42"/>
      <c r="CH21" s="41"/>
      <c r="CI21" s="42"/>
      <c r="CJ21" s="41"/>
      <c r="CK21" s="42"/>
      <c r="CL21" s="41"/>
      <c r="CM21" s="42"/>
      <c r="CN21" s="41"/>
      <c r="CO21" s="42"/>
      <c r="CP21" s="41"/>
      <c r="CQ21" s="42"/>
    </row>
    <row r="22" spans="1:95" ht="10.5" x14ac:dyDescent="0.25">
      <c r="A22" t="s">
        <v>28</v>
      </c>
      <c r="B22" s="41">
        <v>5896.9295697243906</v>
      </c>
      <c r="C22" s="42">
        <v>340.53228761636638</v>
      </c>
      <c r="D22" s="41">
        <v>5983.3867946688033</v>
      </c>
      <c r="E22" s="42">
        <v>330.81195736351117</v>
      </c>
      <c r="F22" s="41">
        <v>6080.1042115031969</v>
      </c>
      <c r="G22" s="42">
        <v>320.62451404566093</v>
      </c>
      <c r="H22" s="41">
        <v>6190.9272257061448</v>
      </c>
      <c r="I22" s="42">
        <v>309.93102813598279</v>
      </c>
      <c r="J22" s="41">
        <v>6322.3041223809805</v>
      </c>
      <c r="K22" s="42">
        <v>298.68465586173164</v>
      </c>
      <c r="L22" s="41">
        <v>6486.4635378389848</v>
      </c>
      <c r="M22" s="42">
        <v>286.8340756873327</v>
      </c>
      <c r="N22" s="41">
        <v>6712.3412465603524</v>
      </c>
      <c r="O22" s="42">
        <v>274.35528119898134</v>
      </c>
      <c r="P22" s="41">
        <v>7126.0854997996139</v>
      </c>
      <c r="Q22" s="42">
        <v>261.61436651887703</v>
      </c>
      <c r="R22" s="201">
        <v>8614.9896149588421</v>
      </c>
      <c r="S22" s="202">
        <v>306.06258110826951</v>
      </c>
      <c r="T22" s="41"/>
      <c r="U22" s="42"/>
      <c r="V22" s="41"/>
      <c r="W22" s="42"/>
      <c r="X22" s="41"/>
      <c r="Y22" s="42"/>
      <c r="Z22" s="41"/>
      <c r="AA22" s="42"/>
      <c r="AB22" s="41"/>
      <c r="AC22" s="42"/>
      <c r="AD22" s="41"/>
      <c r="AE22" s="42"/>
      <c r="AF22" s="41"/>
      <c r="AG22" s="42"/>
      <c r="AH22" s="41"/>
      <c r="AI22" s="42"/>
      <c r="AJ22" s="41"/>
      <c r="AK22" s="42"/>
      <c r="AL22" s="41"/>
      <c r="AM22" s="42"/>
      <c r="AN22" s="41"/>
      <c r="AO22" s="42"/>
      <c r="AP22" s="41"/>
      <c r="AQ22" s="42"/>
      <c r="AR22" s="41"/>
      <c r="AS22" s="42"/>
      <c r="AT22" s="41"/>
      <c r="AU22" s="42"/>
      <c r="AV22" s="41"/>
      <c r="AW22" s="42"/>
      <c r="AX22" s="116"/>
      <c r="AY22" s="8"/>
      <c r="AZ22" s="116"/>
      <c r="BA22" s="8"/>
      <c r="BB22" s="116"/>
      <c r="BC22" s="8"/>
      <c r="BD22" s="116"/>
      <c r="BE22" s="8"/>
      <c r="BF22" s="116"/>
      <c r="BG22" s="8"/>
      <c r="BH22" s="116"/>
      <c r="BI22" s="8"/>
      <c r="BJ22" s="116"/>
      <c r="BK22" s="8"/>
      <c r="BL22" s="116"/>
      <c r="BM22" s="8"/>
      <c r="BN22" s="116"/>
      <c r="BO22" s="8"/>
      <c r="BP22" s="116"/>
      <c r="BQ22" s="8"/>
      <c r="BR22" s="116"/>
      <c r="BS22" s="8"/>
      <c r="BT22" s="116"/>
      <c r="BU22" s="8"/>
      <c r="BV22" s="116"/>
      <c r="BW22" s="8"/>
      <c r="BX22" s="116"/>
      <c r="BY22" s="8"/>
      <c r="BZ22" s="116"/>
      <c r="CA22" s="8"/>
      <c r="CB22" s="116"/>
      <c r="CC22" s="8"/>
      <c r="CD22" s="116"/>
      <c r="CE22" s="8"/>
      <c r="CF22" s="116"/>
      <c r="CG22" s="8"/>
      <c r="CH22" s="116"/>
      <c r="CI22" s="8"/>
      <c r="CJ22" s="116"/>
      <c r="CK22" s="8"/>
      <c r="CL22" s="116"/>
      <c r="CM22" s="8"/>
      <c r="CN22" s="116"/>
      <c r="CO22" s="8"/>
      <c r="CP22" s="116"/>
      <c r="CQ22" s="8"/>
    </row>
    <row r="23" spans="1:95" ht="10.5" x14ac:dyDescent="0.25">
      <c r="A23" t="s">
        <v>7</v>
      </c>
      <c r="B23" s="116">
        <v>2396.8717103698964</v>
      </c>
      <c r="C23" s="8">
        <v>0</v>
      </c>
      <c r="D23" s="116">
        <v>2427.0977121099995</v>
      </c>
      <c r="E23" s="8">
        <v>0</v>
      </c>
      <c r="F23" s="116">
        <v>2460.8201817339673</v>
      </c>
      <c r="G23" s="8">
        <v>0</v>
      </c>
      <c r="H23" s="116">
        <v>2499.3116709864694</v>
      </c>
      <c r="I23" s="8">
        <v>0</v>
      </c>
      <c r="J23" s="116">
        <v>2544.6902027746714</v>
      </c>
      <c r="K23" s="8">
        <v>0</v>
      </c>
      <c r="L23" s="116">
        <v>2600.9424419333072</v>
      </c>
      <c r="M23" s="8">
        <v>0</v>
      </c>
      <c r="N23" s="116">
        <v>2677.4256880354537</v>
      </c>
      <c r="O23" s="8">
        <v>0</v>
      </c>
      <c r="P23" s="116">
        <v>2814.5552242037861</v>
      </c>
      <c r="Q23" s="8">
        <v>0</v>
      </c>
      <c r="R23" s="213">
        <v>3270.4451200298363</v>
      </c>
      <c r="S23" s="214">
        <v>0</v>
      </c>
      <c r="T23" s="116"/>
      <c r="U23" s="8"/>
      <c r="V23" s="116"/>
      <c r="W23" s="8"/>
      <c r="X23" s="116"/>
      <c r="Y23" s="8"/>
      <c r="Z23" s="116"/>
      <c r="AA23" s="8"/>
      <c r="AB23" s="116"/>
      <c r="AC23" s="8"/>
      <c r="AD23" s="116"/>
      <c r="AE23" s="8"/>
      <c r="AF23" s="116"/>
      <c r="AG23" s="8"/>
      <c r="AH23" s="116"/>
      <c r="AI23" s="8"/>
      <c r="AJ23" s="116"/>
      <c r="AK23" s="8"/>
      <c r="AL23" s="116"/>
      <c r="AM23" s="8"/>
      <c r="AN23" s="116"/>
      <c r="AO23" s="8"/>
      <c r="AP23" s="116"/>
      <c r="AQ23" s="8"/>
      <c r="AR23" s="116"/>
      <c r="AS23" s="8"/>
      <c r="AT23" s="116"/>
      <c r="AU23" s="8"/>
      <c r="AV23" s="116"/>
      <c r="AW23" s="8"/>
      <c r="AX23" s="59"/>
      <c r="AY23" s="8"/>
      <c r="AZ23" s="59"/>
      <c r="BA23" s="8"/>
      <c r="BB23" s="59"/>
      <c r="BC23" s="8"/>
      <c r="BD23" s="59"/>
      <c r="BE23" s="8"/>
      <c r="BF23" s="59"/>
      <c r="BG23" s="8"/>
      <c r="BH23" s="59"/>
      <c r="BI23" s="8"/>
      <c r="BJ23" s="59"/>
      <c r="BK23" s="8"/>
      <c r="BL23" s="59"/>
      <c r="BM23" s="8"/>
      <c r="BN23" s="59"/>
      <c r="BO23" s="8"/>
      <c r="BP23" s="59"/>
      <c r="BQ23" s="8"/>
      <c r="BR23" s="59"/>
      <c r="BS23" s="8"/>
      <c r="BT23" s="59"/>
      <c r="BU23" s="8"/>
      <c r="BV23" s="59"/>
      <c r="BW23" s="8"/>
      <c r="BX23" s="59"/>
      <c r="BY23" s="8"/>
      <c r="BZ23" s="59"/>
      <c r="CA23" s="8"/>
      <c r="CB23" s="59"/>
      <c r="CC23" s="8"/>
      <c r="CD23" s="59"/>
      <c r="CE23" s="8"/>
      <c r="CF23" s="59"/>
      <c r="CG23" s="8"/>
      <c r="CH23" s="59"/>
      <c r="CI23" s="8"/>
      <c r="CJ23" s="59"/>
      <c r="CK23" s="8"/>
      <c r="CL23" s="59"/>
      <c r="CM23" s="8"/>
      <c r="CN23" s="59"/>
      <c r="CO23" s="8"/>
      <c r="CP23" s="59"/>
      <c r="CQ23" s="8"/>
    </row>
    <row r="24" spans="1:95" ht="10.5" x14ac:dyDescent="0.25">
      <c r="A24" t="s">
        <v>8</v>
      </c>
      <c r="B24" s="97">
        <v>2261.1304131516072</v>
      </c>
      <c r="C24" s="8">
        <v>0</v>
      </c>
      <c r="D24" s="97">
        <v>2266.8521078556701</v>
      </c>
      <c r="E24" s="8">
        <v>0</v>
      </c>
      <c r="F24" s="97">
        <v>2272.6071978459699</v>
      </c>
      <c r="G24" s="8">
        <v>0</v>
      </c>
      <c r="H24" s="97">
        <v>2278.3939002065813</v>
      </c>
      <c r="I24" s="8">
        <v>0</v>
      </c>
      <c r="J24" s="97">
        <v>2284.2002710339575</v>
      </c>
      <c r="K24" s="8">
        <v>0</v>
      </c>
      <c r="L24" s="97">
        <v>2289.9971695843901</v>
      </c>
      <c r="M24" s="8">
        <v>0</v>
      </c>
      <c r="N24" s="97">
        <v>2295.7293423651449</v>
      </c>
      <c r="O24" s="8">
        <v>0</v>
      </c>
      <c r="P24" s="97">
        <v>2301.3875495570596</v>
      </c>
      <c r="Q24" s="8">
        <v>0</v>
      </c>
      <c r="R24" s="207">
        <v>2297.6424316491898</v>
      </c>
      <c r="S24" s="214">
        <v>0</v>
      </c>
      <c r="T24" s="97"/>
      <c r="U24" s="8"/>
      <c r="V24" s="97"/>
      <c r="W24" s="8"/>
      <c r="X24" s="97"/>
      <c r="Y24" s="8"/>
      <c r="Z24" s="97"/>
      <c r="AA24" s="8"/>
      <c r="AB24" s="97"/>
      <c r="AC24" s="8"/>
      <c r="AD24" s="97"/>
      <c r="AE24" s="8"/>
      <c r="AF24" s="97"/>
      <c r="AG24" s="8"/>
      <c r="AH24" s="97"/>
      <c r="AI24" s="8"/>
      <c r="AJ24" s="97"/>
      <c r="AK24" s="8"/>
      <c r="AL24" s="97"/>
      <c r="AM24" s="8"/>
      <c r="AN24" s="97"/>
      <c r="AO24" s="8"/>
      <c r="AP24" s="97"/>
      <c r="AQ24" s="8"/>
      <c r="AR24" s="97"/>
      <c r="AS24" s="8"/>
      <c r="AT24" s="97"/>
      <c r="AU24" s="8"/>
      <c r="AV24" s="97"/>
      <c r="AW24" s="8"/>
      <c r="AX24" s="41"/>
      <c r="AY24" s="42"/>
      <c r="AZ24" s="41"/>
      <c r="BA24" s="42"/>
      <c r="BB24" s="41"/>
      <c r="BC24" s="42"/>
      <c r="BD24" s="41"/>
      <c r="BE24" s="42"/>
      <c r="BF24" s="41"/>
      <c r="BG24" s="42"/>
      <c r="BH24" s="41"/>
      <c r="BI24" s="42"/>
      <c r="BJ24" s="41"/>
      <c r="BK24" s="42"/>
      <c r="BL24" s="41"/>
      <c r="BM24" s="42"/>
      <c r="BN24" s="41"/>
      <c r="BO24" s="42"/>
      <c r="BP24" s="41"/>
      <c r="BQ24" s="42"/>
      <c r="BR24" s="41"/>
      <c r="BS24" s="42"/>
      <c r="BT24" s="41"/>
      <c r="BU24" s="42"/>
      <c r="BV24" s="41"/>
      <c r="BW24" s="42"/>
      <c r="BX24" s="41"/>
      <c r="BY24" s="42"/>
      <c r="BZ24" s="41"/>
      <c r="CA24" s="42"/>
      <c r="CB24" s="41"/>
      <c r="CC24" s="42"/>
      <c r="CD24" s="41"/>
      <c r="CE24" s="42"/>
      <c r="CF24" s="41"/>
      <c r="CG24" s="42"/>
      <c r="CH24" s="41"/>
      <c r="CI24" s="42"/>
      <c r="CJ24" s="41"/>
      <c r="CK24" s="42"/>
      <c r="CL24" s="41"/>
      <c r="CM24" s="42"/>
      <c r="CN24" s="41"/>
      <c r="CO24" s="42"/>
      <c r="CP24" s="41"/>
      <c r="CQ24" s="42"/>
    </row>
    <row r="25" spans="1:95" ht="10.5" x14ac:dyDescent="0.25">
      <c r="A25" t="s">
        <v>0</v>
      </c>
      <c r="B25" s="41">
        <v>2308.08561139929</v>
      </c>
      <c r="C25" s="42">
        <v>62.040492544331705</v>
      </c>
      <c r="D25" s="41">
        <v>2348.0167296625482</v>
      </c>
      <c r="E25" s="42">
        <v>51.696360887027261</v>
      </c>
      <c r="F25" s="41">
        <v>2391.4744804227271</v>
      </c>
      <c r="G25" s="42">
        <v>42.165338759831648</v>
      </c>
      <c r="H25" s="41">
        <v>2439.6518218853557</v>
      </c>
      <c r="I25" s="42">
        <v>33.481623678462064</v>
      </c>
      <c r="J25" s="41">
        <v>2494.5056752147029</v>
      </c>
      <c r="K25" s="42">
        <v>25.675916487399686</v>
      </c>
      <c r="L25" s="41">
        <v>2559.6935739484238</v>
      </c>
      <c r="M25" s="42">
        <v>18.770676970095355</v>
      </c>
      <c r="N25" s="41">
        <v>2643.8277163605039</v>
      </c>
      <c r="O25" s="42">
        <v>12.761691442650584</v>
      </c>
      <c r="P25" s="41">
        <v>2784.8169830569391</v>
      </c>
      <c r="Q25" s="42">
        <v>7.4582574011688809</v>
      </c>
      <c r="R25" s="201">
        <v>3212.0932842038865</v>
      </c>
      <c r="S25" s="202">
        <v>9.3332180330221099</v>
      </c>
      <c r="T25" s="41"/>
      <c r="U25" s="42"/>
      <c r="V25" s="41"/>
      <c r="W25" s="42"/>
      <c r="X25" s="41"/>
      <c r="Y25" s="42"/>
      <c r="Z25" s="41"/>
      <c r="AA25" s="42"/>
      <c r="AB25" s="41"/>
      <c r="AC25" s="42"/>
      <c r="AD25" s="41"/>
      <c r="AE25" s="42"/>
      <c r="AF25" s="41"/>
      <c r="AG25" s="42"/>
      <c r="AH25" s="41"/>
      <c r="AI25" s="42"/>
      <c r="AJ25" s="41"/>
      <c r="AK25" s="42"/>
      <c r="AL25" s="41"/>
      <c r="AM25" s="42"/>
      <c r="AN25" s="41"/>
      <c r="AO25" s="42"/>
      <c r="AP25" s="41"/>
      <c r="AQ25" s="42"/>
      <c r="AR25" s="41"/>
      <c r="AS25" s="42"/>
      <c r="AT25" s="41"/>
      <c r="AU25" s="42"/>
      <c r="AV25" s="41"/>
      <c r="AW25" s="42"/>
      <c r="AX25" s="41"/>
      <c r="AY25" s="42"/>
      <c r="AZ25" s="41"/>
      <c r="BA25" s="42"/>
      <c r="BB25" s="41"/>
      <c r="BC25" s="42"/>
      <c r="BD25" s="41"/>
      <c r="BE25" s="42"/>
      <c r="BF25" s="41"/>
      <c r="BG25" s="42"/>
      <c r="BH25" s="41"/>
      <c r="BI25" s="42"/>
      <c r="BJ25" s="41"/>
      <c r="BK25" s="42"/>
      <c r="BL25" s="41"/>
      <c r="BM25" s="42"/>
      <c r="BN25" s="41"/>
      <c r="BO25" s="42"/>
      <c r="BP25" s="41"/>
      <c r="BQ25" s="42"/>
      <c r="BR25" s="41"/>
      <c r="BS25" s="42"/>
      <c r="BT25" s="41"/>
      <c r="BU25" s="42"/>
      <c r="BV25" s="41"/>
      <c r="BW25" s="42"/>
      <c r="BX25" s="41"/>
      <c r="BY25" s="42"/>
      <c r="BZ25" s="41"/>
      <c r="CA25" s="42"/>
      <c r="CB25" s="41"/>
      <c r="CC25" s="42"/>
      <c r="CD25" s="41"/>
      <c r="CE25" s="42"/>
      <c r="CF25" s="41"/>
      <c r="CG25" s="42"/>
      <c r="CH25" s="41"/>
      <c r="CI25" s="42"/>
      <c r="CJ25" s="41"/>
      <c r="CK25" s="42"/>
      <c r="CL25" s="41"/>
      <c r="CM25" s="42"/>
      <c r="CN25" s="41"/>
      <c r="CO25" s="42"/>
      <c r="CP25" s="41"/>
      <c r="CQ25" s="42"/>
    </row>
    <row r="26" spans="1:95" ht="10.5" x14ac:dyDescent="0.25">
      <c r="A26" t="s">
        <v>27</v>
      </c>
      <c r="B26" s="33">
        <v>3209.4420883953348</v>
      </c>
      <c r="C26" s="34">
        <v>31.623872672841795</v>
      </c>
      <c r="D26" s="33">
        <v>3286.7513857545368</v>
      </c>
      <c r="E26" s="34">
        <v>28.89851867081202</v>
      </c>
      <c r="F26" s="33">
        <v>3376.3337419688419</v>
      </c>
      <c r="G26" s="34">
        <v>26.150546443068372</v>
      </c>
      <c r="H26" s="33">
        <v>3483.067379445667</v>
      </c>
      <c r="I26" s="34">
        <v>23.378285069284114</v>
      </c>
      <c r="J26" s="33">
        <v>3615.3140754123424</v>
      </c>
      <c r="K26" s="34">
        <v>20.580096055425937</v>
      </c>
      <c r="L26" s="33">
        <v>3789.3833322195856</v>
      </c>
      <c r="M26" s="34">
        <v>17.754118132836506</v>
      </c>
      <c r="N26" s="33">
        <v>4045.3058653345629</v>
      </c>
      <c r="O26" s="34">
        <v>14.89681404353019</v>
      </c>
      <c r="P26" s="33">
        <v>4567.0383266562712</v>
      </c>
      <c r="Q26" s="34">
        <v>11.995692096444071</v>
      </c>
      <c r="R26" s="203">
        <v>7245.4631734322984</v>
      </c>
      <c r="S26" s="204">
        <v>21.887840202497664</v>
      </c>
      <c r="T26" s="33"/>
      <c r="U26" s="34"/>
      <c r="V26" s="33"/>
      <c r="W26" s="34"/>
      <c r="X26" s="33"/>
      <c r="Y26" s="34"/>
      <c r="Z26" s="33"/>
      <c r="AA26" s="34"/>
      <c r="AB26" s="33"/>
      <c r="AC26" s="34"/>
      <c r="AD26" s="33"/>
      <c r="AE26" s="34"/>
      <c r="AF26" s="33"/>
      <c r="AG26" s="34"/>
      <c r="AH26" s="33"/>
      <c r="AI26" s="34"/>
      <c r="AJ26" s="33"/>
      <c r="AK26" s="34"/>
      <c r="AL26" s="33"/>
      <c r="AM26" s="34"/>
      <c r="AN26" s="33"/>
      <c r="AO26" s="34"/>
      <c r="AP26" s="33"/>
      <c r="AQ26" s="34"/>
      <c r="AR26" s="33"/>
      <c r="AS26" s="34"/>
      <c r="AT26" s="33"/>
      <c r="AU26" s="34"/>
      <c r="AV26" s="33"/>
      <c r="AW26" s="34"/>
      <c r="AX26" s="41"/>
      <c r="AY26" s="42"/>
      <c r="AZ26" s="41"/>
      <c r="BA26" s="42"/>
      <c r="BB26" s="41"/>
      <c r="BC26" s="42"/>
      <c r="BD26" s="41"/>
      <c r="BE26" s="42"/>
      <c r="BF26" s="41"/>
      <c r="BG26" s="42"/>
      <c r="BH26" s="41"/>
      <c r="BI26" s="42"/>
      <c r="BJ26" s="41"/>
      <c r="BK26" s="42"/>
      <c r="BL26" s="41"/>
      <c r="BM26" s="42"/>
      <c r="BN26" s="41"/>
      <c r="BO26" s="42"/>
      <c r="BP26" s="41"/>
      <c r="BQ26" s="42"/>
      <c r="BR26" s="41"/>
      <c r="BS26" s="42"/>
      <c r="BT26" s="41"/>
      <c r="BU26" s="42"/>
      <c r="BV26" s="41"/>
      <c r="BW26" s="42"/>
      <c r="BX26" s="41"/>
      <c r="BY26" s="42"/>
      <c r="BZ26" s="41"/>
      <c r="CA26" s="42"/>
      <c r="CB26" s="41"/>
      <c r="CC26" s="42"/>
      <c r="CD26" s="41"/>
      <c r="CE26" s="42"/>
      <c r="CF26" s="41"/>
      <c r="CG26" s="42"/>
      <c r="CH26" s="41"/>
      <c r="CI26" s="42"/>
      <c r="CJ26" s="41"/>
      <c r="CK26" s="42"/>
      <c r="CL26" s="41"/>
      <c r="CM26" s="42"/>
      <c r="CN26" s="41"/>
      <c r="CO26" s="42"/>
      <c r="CP26" s="41"/>
      <c r="CQ26" s="42"/>
    </row>
    <row r="27" spans="1:95" ht="10.5" x14ac:dyDescent="0.25">
      <c r="A27" t="s">
        <v>2</v>
      </c>
      <c r="B27" s="35">
        <v>4880.3032028967582</v>
      </c>
      <c r="C27" s="36">
        <v>155.9342317514201</v>
      </c>
      <c r="D27" s="35">
        <v>4895.6455517509339</v>
      </c>
      <c r="E27" s="36">
        <v>140.59182899344088</v>
      </c>
      <c r="F27" s="35">
        <v>4910.9888371855686</v>
      </c>
      <c r="G27" s="36">
        <v>125.24842484517568</v>
      </c>
      <c r="H27" s="35">
        <v>4926.3376086121962</v>
      </c>
      <c r="I27" s="36">
        <v>109.89980046148213</v>
      </c>
      <c r="J27" s="35">
        <v>4941.7015781632945</v>
      </c>
      <c r="K27" s="36">
        <v>94.535675806508351</v>
      </c>
      <c r="L27" s="35">
        <v>4957.1132596634316</v>
      </c>
      <c r="M27" s="36">
        <v>79.124113640730002</v>
      </c>
      <c r="N27" s="35">
        <v>4972.6971767846053</v>
      </c>
      <c r="O27" s="36">
        <v>63.539823250486343</v>
      </c>
      <c r="P27" s="35">
        <v>4989.3033698207364</v>
      </c>
      <c r="Q27" s="36">
        <v>46.932988521289424</v>
      </c>
      <c r="R27" s="205">
        <v>4977.3141006784635</v>
      </c>
      <c r="S27" s="206">
        <v>58.92338713384283</v>
      </c>
      <c r="T27" s="35"/>
      <c r="U27" s="36"/>
      <c r="V27" s="35"/>
      <c r="W27" s="36"/>
      <c r="X27" s="35"/>
      <c r="Y27" s="36"/>
      <c r="Z27" s="35"/>
      <c r="AA27" s="36"/>
      <c r="AB27" s="35"/>
      <c r="AC27" s="36"/>
      <c r="AD27" s="35"/>
      <c r="AE27" s="36"/>
      <c r="AF27" s="35"/>
      <c r="AG27" s="36"/>
      <c r="AH27" s="35"/>
      <c r="AI27" s="36"/>
      <c r="AJ27" s="35"/>
      <c r="AK27" s="36"/>
      <c r="AL27" s="35"/>
      <c r="AM27" s="36"/>
      <c r="AN27" s="35"/>
      <c r="AO27" s="36"/>
      <c r="AP27" s="35"/>
      <c r="AQ27" s="36"/>
      <c r="AR27" s="35"/>
      <c r="AS27" s="36"/>
      <c r="AT27" s="35"/>
      <c r="AU27" s="36"/>
      <c r="AV27" s="35"/>
      <c r="AW27" s="36"/>
      <c r="AX27" s="41"/>
      <c r="AY27" s="42"/>
      <c r="AZ27" s="41"/>
      <c r="BA27" s="42"/>
      <c r="BB27" s="41"/>
      <c r="BC27" s="42"/>
      <c r="BD27" s="41"/>
      <c r="BE27" s="42"/>
      <c r="BF27" s="41"/>
      <c r="BG27" s="42"/>
      <c r="BH27" s="41"/>
      <c r="BI27" s="42"/>
      <c r="BJ27" s="41"/>
      <c r="BK27" s="42"/>
      <c r="BL27" s="41"/>
      <c r="BM27" s="42"/>
      <c r="BN27" s="41"/>
      <c r="BO27" s="42"/>
      <c r="BP27" s="41"/>
      <c r="BQ27" s="42"/>
      <c r="BR27" s="41"/>
      <c r="BS27" s="42"/>
      <c r="BT27" s="41"/>
      <c r="BU27" s="42"/>
      <c r="BV27" s="41"/>
      <c r="BW27" s="42"/>
      <c r="BX27" s="41"/>
      <c r="BY27" s="42"/>
      <c r="BZ27" s="41"/>
      <c r="CA27" s="42"/>
      <c r="CB27" s="41"/>
      <c r="CC27" s="42"/>
      <c r="CD27" s="41"/>
      <c r="CE27" s="42"/>
      <c r="CF27" s="41"/>
      <c r="CG27" s="42"/>
      <c r="CH27" s="41"/>
      <c r="CI27" s="42"/>
      <c r="CJ27" s="41"/>
      <c r="CK27" s="42"/>
      <c r="CL27" s="41"/>
      <c r="CM27" s="42"/>
      <c r="CN27" s="41"/>
      <c r="CO27" s="42"/>
      <c r="CP27" s="41"/>
      <c r="CQ27" s="42"/>
    </row>
    <row r="28" spans="1:95" ht="10.5" x14ac:dyDescent="0.25">
      <c r="A28" t="s">
        <v>35</v>
      </c>
      <c r="B28" s="41">
        <v>9924.5937686277503</v>
      </c>
      <c r="C28" s="42">
        <v>205.34242141823873</v>
      </c>
      <c r="D28" s="41">
        <v>10060.165188665113</v>
      </c>
      <c r="E28" s="42">
        <v>185.73518937734448</v>
      </c>
      <c r="F28" s="41">
        <v>10211.585501727768</v>
      </c>
      <c r="G28" s="42">
        <v>166.07675222129274</v>
      </c>
      <c r="H28" s="41">
        <v>10384.467969952895</v>
      </c>
      <c r="I28" s="42">
        <v>146.35767867880924</v>
      </c>
      <c r="J28" s="41">
        <v>10588.074524348609</v>
      </c>
      <c r="K28" s="42">
        <v>126.56067395440473</v>
      </c>
      <c r="L28" s="41">
        <v>10839.692938465474</v>
      </c>
      <c r="M28" s="42">
        <v>106.64192962867348</v>
      </c>
      <c r="N28" s="41">
        <v>11179.573872150342</v>
      </c>
      <c r="O28" s="42">
        <v>86.446580146229891</v>
      </c>
      <c r="P28" s="41">
        <v>11780.208097531613</v>
      </c>
      <c r="Q28" s="42">
        <v>64.971699705878038</v>
      </c>
      <c r="R28" s="201">
        <v>13654.581619379127</v>
      </c>
      <c r="S28" s="202">
        <v>86.615478736872561</v>
      </c>
      <c r="T28" s="41"/>
      <c r="U28" s="42"/>
      <c r="V28" s="41"/>
      <c r="W28" s="42"/>
      <c r="X28" s="41"/>
      <c r="Y28" s="42"/>
      <c r="Z28" s="41"/>
      <c r="AA28" s="42"/>
      <c r="AB28" s="41"/>
      <c r="AC28" s="42"/>
      <c r="AD28" s="41"/>
      <c r="AE28" s="42"/>
      <c r="AF28" s="41"/>
      <c r="AG28" s="42"/>
      <c r="AH28" s="41"/>
      <c r="AI28" s="42"/>
      <c r="AJ28" s="41"/>
      <c r="AK28" s="42"/>
      <c r="AL28" s="41"/>
      <c r="AM28" s="42"/>
      <c r="AN28" s="41"/>
      <c r="AO28" s="42"/>
      <c r="AP28" s="41"/>
      <c r="AQ28" s="42"/>
      <c r="AR28" s="41"/>
      <c r="AS28" s="42"/>
      <c r="AT28" s="41"/>
      <c r="AU28" s="42"/>
      <c r="AV28" s="41"/>
      <c r="AW28" s="42"/>
      <c r="AX28" s="35"/>
      <c r="AY28" s="36"/>
      <c r="AZ28" s="35"/>
      <c r="BA28" s="36"/>
      <c r="BB28" s="35"/>
      <c r="BC28" s="36"/>
      <c r="BD28" s="35"/>
      <c r="BE28" s="36"/>
      <c r="BF28" s="35"/>
      <c r="BG28" s="36"/>
      <c r="BH28" s="35"/>
      <c r="BI28" s="36"/>
      <c r="BJ28" s="35"/>
      <c r="BK28" s="36"/>
      <c r="BL28" s="35"/>
      <c r="BM28" s="36"/>
      <c r="BN28" s="35"/>
      <c r="BO28" s="36"/>
      <c r="BP28" s="35"/>
      <c r="BQ28" s="36"/>
      <c r="BR28" s="35"/>
      <c r="BS28" s="36"/>
      <c r="BT28" s="35"/>
      <c r="BU28" s="36"/>
      <c r="BV28" s="35"/>
      <c r="BW28" s="36"/>
      <c r="BX28" s="35"/>
      <c r="BY28" s="36"/>
      <c r="BZ28" s="35"/>
      <c r="CA28" s="36"/>
      <c r="CB28" s="35"/>
      <c r="CC28" s="36"/>
      <c r="CD28" s="35"/>
      <c r="CE28" s="36"/>
      <c r="CF28" s="35"/>
      <c r="CG28" s="36"/>
      <c r="CH28" s="35"/>
      <c r="CI28" s="36"/>
      <c r="CJ28" s="35"/>
      <c r="CK28" s="36"/>
      <c r="CL28" s="35"/>
      <c r="CM28" s="36"/>
      <c r="CN28" s="35"/>
      <c r="CO28" s="36"/>
      <c r="CP28" s="35"/>
      <c r="CQ28" s="36"/>
    </row>
    <row r="29" spans="1:95" ht="10.5" x14ac:dyDescent="0.25">
      <c r="A29" t="s">
        <v>53</v>
      </c>
      <c r="B29" s="35">
        <v>10476.875482049762</v>
      </c>
      <c r="C29" s="36">
        <v>680.10699657273528</v>
      </c>
      <c r="D29" s="35">
        <v>10605.270667809675</v>
      </c>
      <c r="E29" s="36">
        <v>607.22003279777527</v>
      </c>
      <c r="F29" s="35">
        <v>10747.847551153072</v>
      </c>
      <c r="G29" s="36">
        <v>535.08805839377771</v>
      </c>
      <c r="H29" s="35">
        <v>10909.730071882377</v>
      </c>
      <c r="I29" s="36">
        <v>463.78410784231869</v>
      </c>
      <c r="J29" s="35">
        <v>11099.433992125178</v>
      </c>
      <c r="K29" s="36">
        <v>393.36911840882937</v>
      </c>
      <c r="L29" s="35">
        <v>11333.006599786289</v>
      </c>
      <c r="M29" s="36">
        <v>323.82628018034609</v>
      </c>
      <c r="N29" s="35">
        <v>11648.290676344643</v>
      </c>
      <c r="O29" s="36">
        <v>254.75217923646429</v>
      </c>
      <c r="P29" s="35">
        <v>12210.453639472558</v>
      </c>
      <c r="Q29" s="36">
        <v>182.56905279760042</v>
      </c>
      <c r="R29" s="205">
        <v>14128.904217750893</v>
      </c>
      <c r="S29" s="206">
        <v>220.61076444603907</v>
      </c>
      <c r="T29" s="35"/>
      <c r="U29" s="36"/>
      <c r="V29" s="35"/>
      <c r="W29" s="36"/>
      <c r="X29" s="35"/>
      <c r="Y29" s="36"/>
      <c r="Z29" s="35"/>
      <c r="AA29" s="36"/>
      <c r="AB29" s="35"/>
      <c r="AC29" s="36"/>
      <c r="AD29" s="35"/>
      <c r="AE29" s="36"/>
      <c r="AF29" s="35"/>
      <c r="AG29" s="36"/>
      <c r="AH29" s="35"/>
      <c r="AI29" s="36"/>
      <c r="AJ29" s="35"/>
      <c r="AK29" s="36"/>
      <c r="AL29" s="35"/>
      <c r="AM29" s="36"/>
      <c r="AN29" s="35"/>
      <c r="AO29" s="36"/>
      <c r="AP29" s="35"/>
      <c r="AQ29" s="36"/>
      <c r="AR29" s="35"/>
      <c r="AS29" s="36"/>
      <c r="AT29" s="35"/>
      <c r="AU29" s="36"/>
      <c r="AV29" s="35"/>
      <c r="AW29" s="36"/>
      <c r="AX29" s="119"/>
      <c r="AZ29" s="119"/>
      <c r="BB29" s="119"/>
      <c r="BD29" s="119"/>
      <c r="BF29" s="119"/>
      <c r="BH29" s="119"/>
      <c r="BJ29" s="119"/>
      <c r="BL29" s="119"/>
      <c r="BN29" s="119"/>
      <c r="BP29" s="119"/>
      <c r="BR29" s="119"/>
      <c r="BT29" s="119"/>
      <c r="BV29" s="119"/>
      <c r="BX29" s="119"/>
      <c r="BZ29" s="119"/>
      <c r="CB29" s="119"/>
      <c r="CD29" s="119"/>
      <c r="CF29" s="119"/>
      <c r="CH29" s="119"/>
      <c r="CJ29" s="119"/>
      <c r="CL29" s="119"/>
      <c r="CN29" s="119"/>
      <c r="CP29" s="119"/>
    </row>
    <row r="30" spans="1:95" ht="10.5" x14ac:dyDescent="0.25">
      <c r="A30" t="s">
        <v>48</v>
      </c>
      <c r="B30" s="119">
        <v>3437517.2752293102</v>
      </c>
      <c r="D30" s="119">
        <v>3550782.7451078631</v>
      </c>
      <c r="F30" s="119">
        <v>3679658.9024898587</v>
      </c>
      <c r="H30" s="119">
        <v>3829966.550365054</v>
      </c>
      <c r="J30" s="119">
        <v>4011451.9387970641</v>
      </c>
      <c r="L30" s="119">
        <v>4242527.2852743175</v>
      </c>
      <c r="N30" s="119">
        <v>4566432.1287045078</v>
      </c>
      <c r="P30" s="119">
        <v>5169174.410764141</v>
      </c>
      <c r="R30" s="9">
        <v>7298922.7119947989</v>
      </c>
      <c r="S30" s="96"/>
      <c r="T30" s="119"/>
      <c r="V30" s="119"/>
      <c r="X30" s="119"/>
      <c r="Z30" s="119"/>
      <c r="AB30" s="119"/>
      <c r="AD30" s="119"/>
      <c r="AF30" s="119"/>
      <c r="AH30" s="119"/>
      <c r="AJ30" s="119"/>
      <c r="AL30" s="119"/>
      <c r="AN30" s="119"/>
      <c r="AP30" s="119"/>
      <c r="AR30" s="119"/>
      <c r="AT30" s="119"/>
      <c r="AV30" s="119"/>
      <c r="AX30" s="86"/>
      <c r="AZ30" s="86"/>
      <c r="BB30" s="86"/>
      <c r="BD30" s="86"/>
      <c r="BF30" s="86"/>
      <c r="BH30" s="86"/>
      <c r="BJ30" s="86"/>
      <c r="BL30" s="86"/>
      <c r="BN30" s="86"/>
      <c r="BP30" s="86"/>
      <c r="BR30" s="86"/>
      <c r="BT30" s="86"/>
      <c r="BV30" s="86"/>
      <c r="BX30" s="86"/>
      <c r="BZ30" s="86"/>
      <c r="CB30" s="86"/>
      <c r="CD30" s="86"/>
      <c r="CF30" s="86"/>
      <c r="CH30" s="86"/>
      <c r="CJ30" s="86"/>
      <c r="CL30" s="86"/>
      <c r="CN30" s="86"/>
      <c r="CP30" s="86"/>
    </row>
    <row r="31" spans="1:95" ht="10.5" x14ac:dyDescent="0.25">
      <c r="A31" t="s">
        <v>47</v>
      </c>
      <c r="B31" s="80">
        <v>0.99999999999999845</v>
      </c>
      <c r="D31" s="80">
        <v>1.0119962350786778</v>
      </c>
      <c r="F31" s="80">
        <v>1.0253427343539427</v>
      </c>
      <c r="H31" s="80">
        <v>1.0405790709511853</v>
      </c>
      <c r="J31" s="80">
        <v>1.0586223617299855</v>
      </c>
      <c r="L31" s="80">
        <v>1.0812379798278553</v>
      </c>
      <c r="N31" s="80">
        <v>1.1126750266868091</v>
      </c>
      <c r="P31" s="80">
        <v>1.1718505725835073</v>
      </c>
      <c r="R31" s="215">
        <v>1.4130995186212332</v>
      </c>
      <c r="S31" s="96"/>
      <c r="T31" s="80"/>
      <c r="V31" s="80"/>
      <c r="X31" s="80"/>
      <c r="Z31" s="80"/>
      <c r="AB31" s="80"/>
      <c r="AD31" s="80"/>
      <c r="AF31" s="80"/>
      <c r="AH31" s="80"/>
      <c r="AJ31" s="80"/>
      <c r="AL31" s="80"/>
      <c r="AN31" s="80"/>
      <c r="AP31" s="80"/>
      <c r="AR31" s="80"/>
      <c r="AT31" s="80"/>
      <c r="AV31" s="80"/>
      <c r="AX31" s="70"/>
      <c r="AZ31" s="70"/>
      <c r="BB31" s="70"/>
      <c r="BD31" s="70"/>
      <c r="BF31" s="70"/>
      <c r="BH31" s="70"/>
      <c r="BJ31" s="70"/>
      <c r="BL31" s="70"/>
      <c r="BN31" s="70"/>
      <c r="BP31" s="70"/>
      <c r="BR31" s="70"/>
      <c r="BT31" s="70"/>
      <c r="BV31" s="70"/>
      <c r="BX31" s="70"/>
      <c r="BZ31" s="70"/>
      <c r="CB31" s="70"/>
      <c r="CD31" s="70"/>
      <c r="CF31" s="70"/>
      <c r="CH31" s="70"/>
      <c r="CJ31" s="70"/>
      <c r="CL31" s="70"/>
      <c r="CN31" s="70"/>
      <c r="CP31" s="70"/>
    </row>
    <row r="32" spans="1:95" ht="10.5" x14ac:dyDescent="0.25">
      <c r="A32" t="s">
        <v>64</v>
      </c>
      <c r="B32" s="86">
        <v>11714820.670945669</v>
      </c>
      <c r="C32" s="38"/>
      <c r="D32" s="86">
        <v>11832609.727389965</v>
      </c>
      <c r="E32" s="38"/>
      <c r="F32" s="86">
        <v>11966632.912891578</v>
      </c>
      <c r="G32" s="38"/>
      <c r="H32" s="86">
        <v>12122943.320126388</v>
      </c>
      <c r="I32" s="38"/>
      <c r="J32" s="86">
        <v>12311676.79097815</v>
      </c>
      <c r="K32" s="38"/>
      <c r="L32" s="86">
        <v>12551980.696236745</v>
      </c>
      <c r="M32" s="38"/>
      <c r="N32" s="86">
        <v>12888821.450895822</v>
      </c>
      <c r="O32" s="38"/>
      <c r="P32" s="86">
        <v>13515635.84189406</v>
      </c>
      <c r="Q32" s="38"/>
      <c r="R32" s="216">
        <v>15730440.689802475</v>
      </c>
      <c r="S32" s="217"/>
      <c r="T32" s="86"/>
      <c r="U32" s="38"/>
      <c r="V32" s="86"/>
      <c r="W32" s="38"/>
      <c r="X32" s="86"/>
      <c r="Y32" s="38"/>
      <c r="Z32" s="86"/>
      <c r="AA32" s="38"/>
      <c r="AB32" s="86"/>
      <c r="AC32" s="38"/>
      <c r="AD32" s="86"/>
      <c r="AE32" s="38"/>
      <c r="AF32" s="86"/>
      <c r="AG32" s="38"/>
      <c r="AH32" s="86"/>
      <c r="AI32" s="38"/>
      <c r="AJ32" s="86"/>
      <c r="AK32" s="38"/>
      <c r="AL32" s="86"/>
      <c r="AM32" s="38"/>
      <c r="AN32" s="86"/>
      <c r="AO32" s="38"/>
      <c r="AP32" s="86"/>
      <c r="AQ32" s="38"/>
      <c r="AR32" s="86"/>
      <c r="AS32" s="38"/>
      <c r="AT32" s="86"/>
      <c r="AU32" s="38"/>
      <c r="AV32" s="86"/>
      <c r="AW32" s="38"/>
      <c r="AX32" s="37"/>
      <c r="AY32" s="38"/>
      <c r="AZ32" s="37"/>
      <c r="BA32" s="38"/>
      <c r="BB32" s="37"/>
      <c r="BC32" s="38"/>
      <c r="BD32" s="37"/>
      <c r="BE32" s="38"/>
      <c r="BF32" s="37"/>
      <c r="BG32" s="38"/>
      <c r="BH32" s="37"/>
      <c r="BI32" s="38"/>
      <c r="BJ32" s="37"/>
      <c r="BK32" s="38"/>
      <c r="BL32" s="37"/>
      <c r="BM32" s="38"/>
      <c r="BN32" s="37"/>
      <c r="BO32" s="38"/>
      <c r="BP32" s="37"/>
      <c r="BQ32" s="38"/>
      <c r="BR32" s="37"/>
      <c r="BS32" s="38"/>
      <c r="BT32" s="37"/>
      <c r="BU32" s="38"/>
      <c r="BV32" s="37"/>
      <c r="BW32" s="38"/>
      <c r="BX32" s="37"/>
      <c r="BY32" s="38"/>
      <c r="BZ32" s="37"/>
      <c r="CA32" s="38"/>
      <c r="CB32" s="37"/>
      <c r="CC32" s="38"/>
      <c r="CD32" s="37"/>
      <c r="CE32" s="38"/>
      <c r="CF32" s="37"/>
      <c r="CG32" s="38"/>
      <c r="CH32" s="37"/>
      <c r="CI32" s="38"/>
      <c r="CJ32" s="37"/>
      <c r="CK32" s="38"/>
      <c r="CL32" s="37"/>
      <c r="CM32" s="38"/>
      <c r="CN32" s="37"/>
      <c r="CO32" s="38"/>
      <c r="CP32" s="37"/>
      <c r="CQ32" s="38"/>
    </row>
    <row r="33" spans="1:95 16382:16384" ht="10.5" x14ac:dyDescent="0.25">
      <c r="A33" t="s">
        <v>54</v>
      </c>
      <c r="B33" s="117">
        <v>6643090.9398582997</v>
      </c>
      <c r="C33" s="40"/>
      <c r="D33" s="117">
        <v>6733967.7121091224</v>
      </c>
      <c r="E33" s="40"/>
      <c r="F33" s="117">
        <v>6837369.4713535625</v>
      </c>
      <c r="G33" s="40"/>
      <c r="H33" s="117">
        <v>6957966.1434648503</v>
      </c>
      <c r="I33" s="40"/>
      <c r="J33" s="117">
        <v>7103578.0994206266</v>
      </c>
      <c r="K33" s="40"/>
      <c r="L33" s="117">
        <v>7288977.5200651977</v>
      </c>
      <c r="M33" s="40"/>
      <c r="N33" s="117">
        <v>7548857.2994135087</v>
      </c>
      <c r="O33" s="40"/>
      <c r="P33" s="117">
        <v>8032457.8287565513</v>
      </c>
      <c r="Q33" s="40"/>
      <c r="R33" s="218">
        <v>9741226.2752424311</v>
      </c>
      <c r="S33" s="219"/>
      <c r="T33" s="117"/>
      <c r="U33" s="40"/>
      <c r="V33" s="117"/>
      <c r="W33" s="40"/>
      <c r="X33" s="117"/>
      <c r="Y33" s="40"/>
      <c r="Z33" s="117"/>
      <c r="AA33" s="40"/>
      <c r="AB33" s="117"/>
      <c r="AC33" s="40"/>
      <c r="AD33" s="117"/>
      <c r="AE33" s="40"/>
      <c r="AF33" s="117"/>
      <c r="AG33" s="40"/>
      <c r="AH33" s="117"/>
      <c r="AI33" s="40"/>
      <c r="AJ33" s="117"/>
      <c r="AK33" s="40"/>
      <c r="AL33" s="117"/>
      <c r="AM33" s="40"/>
      <c r="AN33" s="117"/>
      <c r="AO33" s="40"/>
      <c r="AP33" s="117"/>
      <c r="AQ33" s="40"/>
      <c r="AR33" s="117"/>
      <c r="AS33" s="40"/>
      <c r="AT33" s="117"/>
      <c r="AU33" s="40"/>
      <c r="AV33" s="117"/>
      <c r="AW33" s="40"/>
      <c r="AX33" s="39"/>
      <c r="AY33" s="40"/>
      <c r="AZ33" s="39"/>
      <c r="BA33" s="40"/>
      <c r="BB33" s="39"/>
      <c r="BC33" s="40"/>
      <c r="BD33" s="39"/>
      <c r="BE33" s="40"/>
      <c r="BF33" s="39"/>
      <c r="BG33" s="40"/>
      <c r="BH33" s="39"/>
      <c r="BI33" s="40"/>
      <c r="BJ33" s="39"/>
      <c r="BK33" s="40"/>
      <c r="BL33" s="39"/>
      <c r="BM33" s="40"/>
      <c r="BN33" s="39"/>
      <c r="BO33" s="40"/>
      <c r="BP33" s="39"/>
      <c r="BQ33" s="40"/>
      <c r="BR33" s="39"/>
      <c r="BS33" s="40"/>
      <c r="BT33" s="39"/>
      <c r="BU33" s="40"/>
      <c r="BV33" s="39"/>
      <c r="BW33" s="40"/>
      <c r="BX33" s="39"/>
      <c r="BY33" s="40"/>
      <c r="BZ33" s="39"/>
      <c r="CA33" s="40"/>
      <c r="CB33" s="39"/>
      <c r="CC33" s="40"/>
      <c r="CD33" s="39"/>
      <c r="CE33" s="40"/>
      <c r="CF33" s="39"/>
      <c r="CG33" s="40"/>
      <c r="CH33" s="39"/>
      <c r="CI33" s="40"/>
      <c r="CJ33" s="39"/>
      <c r="CK33" s="40"/>
      <c r="CL33" s="39"/>
      <c r="CM33" s="40"/>
      <c r="CN33" s="39"/>
      <c r="CO33" s="40"/>
      <c r="CP33" s="39"/>
      <c r="CQ33" s="40"/>
    </row>
    <row r="34" spans="1:95 16382:16384" ht="10.5" x14ac:dyDescent="0.25">
      <c r="A34" t="s">
        <v>75</v>
      </c>
      <c r="B34" s="70">
        <v>137664.28859559423</v>
      </c>
      <c r="C34" s="38"/>
      <c r="D34" s="70">
        <v>139048.42448755773</v>
      </c>
      <c r="E34" s="38"/>
      <c r="F34" s="70">
        <v>140623.31740129914</v>
      </c>
      <c r="G34" s="38"/>
      <c r="H34" s="70">
        <v>142460.26245289686</v>
      </c>
      <c r="I34" s="38"/>
      <c r="J34" s="70">
        <v>144678.01108011237</v>
      </c>
      <c r="K34" s="38"/>
      <c r="L34" s="70">
        <v>147501.98961449286</v>
      </c>
      <c r="M34" s="38"/>
      <c r="N34" s="70">
        <v>151460.25211433717</v>
      </c>
      <c r="O34" s="38"/>
      <c r="P34" s="70">
        <v>158826.08917384059</v>
      </c>
      <c r="Q34" s="38"/>
      <c r="R34" s="220">
        <v>184852.9899542752</v>
      </c>
      <c r="S34" s="217"/>
      <c r="T34" s="70"/>
      <c r="U34" s="38"/>
      <c r="V34" s="70"/>
      <c r="W34" s="38"/>
      <c r="X34" s="70"/>
      <c r="Y34" s="38"/>
      <c r="Z34" s="70"/>
      <c r="AA34" s="38"/>
      <c r="AB34" s="70"/>
      <c r="AC34" s="38"/>
      <c r="AD34" s="70"/>
      <c r="AE34" s="38"/>
      <c r="AF34" s="70"/>
      <c r="AG34" s="38"/>
      <c r="AH34" s="70"/>
      <c r="AI34" s="38"/>
      <c r="AJ34" s="70"/>
      <c r="AK34" s="38"/>
      <c r="AL34" s="70"/>
      <c r="AM34" s="38"/>
      <c r="AN34" s="70"/>
      <c r="AO34" s="38"/>
      <c r="AP34" s="70"/>
      <c r="AQ34" s="38"/>
      <c r="AR34" s="70"/>
      <c r="AS34" s="38"/>
      <c r="AT34" s="70"/>
      <c r="AU34" s="38"/>
      <c r="AV34" s="70"/>
      <c r="AW34" s="38"/>
      <c r="AX34" s="37"/>
      <c r="AY34" s="38"/>
      <c r="AZ34" s="37"/>
      <c r="BA34" s="38"/>
      <c r="BB34" s="37"/>
      <c r="BC34" s="38"/>
      <c r="BD34" s="37"/>
      <c r="BE34" s="38"/>
      <c r="BF34" s="37"/>
      <c r="BG34" s="38"/>
      <c r="BH34" s="37"/>
      <c r="BI34" s="38"/>
      <c r="BJ34" s="37"/>
      <c r="BK34" s="38"/>
      <c r="BL34" s="37"/>
      <c r="BM34" s="38"/>
      <c r="BN34" s="37"/>
      <c r="BO34" s="38"/>
      <c r="BP34" s="37"/>
      <c r="BQ34" s="38"/>
      <c r="BR34" s="37"/>
      <c r="BS34" s="38"/>
      <c r="BT34" s="37"/>
      <c r="BU34" s="38"/>
      <c r="BV34" s="37"/>
      <c r="BW34" s="38"/>
      <c r="BX34" s="37"/>
      <c r="BY34" s="38"/>
      <c r="BZ34" s="37"/>
      <c r="CA34" s="38"/>
      <c r="CB34" s="37"/>
      <c r="CC34" s="38"/>
      <c r="CD34" s="37"/>
      <c r="CE34" s="38"/>
      <c r="CF34" s="37"/>
      <c r="CG34" s="38"/>
      <c r="CH34" s="37"/>
      <c r="CI34" s="38"/>
      <c r="CJ34" s="37"/>
      <c r="CK34" s="38"/>
      <c r="CL34" s="37"/>
      <c r="CM34" s="38"/>
      <c r="CN34" s="37"/>
      <c r="CO34" s="38"/>
      <c r="CP34" s="37"/>
      <c r="CQ34" s="38"/>
    </row>
    <row r="35" spans="1:95 16382:16384" ht="10.5" x14ac:dyDescent="0.25">
      <c r="A35" t="s">
        <v>21</v>
      </c>
      <c r="B35" s="37">
        <v>0.47796858982439111</v>
      </c>
      <c r="C35" s="38">
        <v>0.17068593284758601</v>
      </c>
      <c r="D35" s="37">
        <v>0.47798876522791123</v>
      </c>
      <c r="E35" s="38">
        <v>0.17223647515977694</v>
      </c>
      <c r="F35" s="37">
        <v>0.47800990071196109</v>
      </c>
      <c r="G35" s="38">
        <v>0.17397565643109691</v>
      </c>
      <c r="H35" s="37">
        <v>0.47803200127449275</v>
      </c>
      <c r="I35" s="38">
        <v>0.17595066054491221</v>
      </c>
      <c r="J35" s="37">
        <v>0.47805502941814199</v>
      </c>
      <c r="K35" s="38">
        <v>0.1782315914764383</v>
      </c>
      <c r="L35" s="37">
        <v>0.47807886925799364</v>
      </c>
      <c r="M35" s="38">
        <v>0.18093292236835945</v>
      </c>
      <c r="N35" s="37">
        <v>0.47810327454562584</v>
      </c>
      <c r="O35" s="38">
        <v>0.18427756195470213</v>
      </c>
      <c r="P35" s="37">
        <v>0.4781281728687749</v>
      </c>
      <c r="Q35" s="38">
        <v>0.18900094424214597</v>
      </c>
      <c r="R35" s="221">
        <v>0.47811160299832639</v>
      </c>
      <c r="S35" s="217">
        <v>0.18812783370144537</v>
      </c>
      <c r="T35" s="37"/>
      <c r="U35" s="38"/>
      <c r="V35" s="37"/>
      <c r="W35" s="38"/>
      <c r="X35" s="37"/>
      <c r="Y35" s="38"/>
      <c r="Z35" s="37"/>
      <c r="AA35" s="38"/>
      <c r="AB35" s="37"/>
      <c r="AC35" s="38"/>
      <c r="AD35" s="37"/>
      <c r="AE35" s="38"/>
      <c r="AF35" s="37"/>
      <c r="AG35" s="38"/>
      <c r="AH35" s="37"/>
      <c r="AI35" s="38"/>
      <c r="AJ35" s="37"/>
      <c r="AK35" s="38"/>
      <c r="AL35" s="37"/>
      <c r="AM35" s="38"/>
      <c r="AN35" s="37"/>
      <c r="AO35" s="38"/>
      <c r="AP35" s="37"/>
      <c r="AQ35" s="38"/>
      <c r="AR35" s="37"/>
      <c r="AS35" s="38"/>
      <c r="AT35" s="37"/>
      <c r="AU35" s="38"/>
      <c r="AV35" s="37"/>
      <c r="AW35" s="38"/>
      <c r="AX35" s="39"/>
      <c r="AY35" s="40"/>
      <c r="AZ35" s="39"/>
      <c r="BA35" s="40"/>
      <c r="BB35" s="39"/>
      <c r="BC35" s="40"/>
      <c r="BD35" s="39"/>
      <c r="BE35" s="40"/>
      <c r="BF35" s="39"/>
      <c r="BG35" s="40"/>
      <c r="BH35" s="39"/>
      <c r="BI35" s="40"/>
      <c r="BJ35" s="39"/>
      <c r="BK35" s="40"/>
      <c r="BL35" s="39"/>
      <c r="BM35" s="40"/>
      <c r="BN35" s="39"/>
      <c r="BO35" s="40"/>
      <c r="BP35" s="39"/>
      <c r="BQ35" s="40"/>
      <c r="BR35" s="39"/>
      <c r="BS35" s="40"/>
      <c r="BT35" s="39"/>
      <c r="BU35" s="40"/>
      <c r="BV35" s="39"/>
      <c r="BW35" s="40"/>
      <c r="BX35" s="39"/>
      <c r="BY35" s="40"/>
      <c r="BZ35" s="39"/>
      <c r="CA35" s="40"/>
      <c r="CB35" s="39"/>
      <c r="CC35" s="40"/>
      <c r="CD35" s="39"/>
      <c r="CE35" s="40"/>
      <c r="CF35" s="39"/>
      <c r="CG35" s="40"/>
      <c r="CH35" s="39"/>
      <c r="CI35" s="40"/>
      <c r="CJ35" s="39"/>
      <c r="CK35" s="40"/>
      <c r="CL35" s="39"/>
      <c r="CM35" s="40"/>
      <c r="CN35" s="39"/>
      <c r="CO35" s="40"/>
      <c r="CP35" s="39"/>
      <c r="CQ35" s="40"/>
    </row>
    <row r="36" spans="1:95 16382:16384" ht="10.5" x14ac:dyDescent="0.25">
      <c r="B36" s="39">
        <v>2.2053138497825992E-2</v>
      </c>
      <c r="C36" s="40">
        <v>0.48867583383045671</v>
      </c>
      <c r="D36" s="39">
        <v>2.1521900021723984E-2</v>
      </c>
      <c r="E36" s="40">
        <v>0.48505862143208489</v>
      </c>
      <c r="F36" s="39">
        <v>2.0958784557205592E-2</v>
      </c>
      <c r="G36" s="40">
        <v>0.48125885929341744</v>
      </c>
      <c r="H36" s="39">
        <v>2.0357065499814832E-2</v>
      </c>
      <c r="I36" s="40">
        <v>0.47723740110026236</v>
      </c>
      <c r="J36" s="39">
        <v>1.9706513390097484E-2</v>
      </c>
      <c r="K36" s="40">
        <v>0.47293215272256661</v>
      </c>
      <c r="L36" s="39">
        <v>1.8989739188550118E-2</v>
      </c>
      <c r="M36" s="40">
        <v>0.46823178080412625</v>
      </c>
      <c r="N36" s="39">
        <v>1.8170363067239341E-2</v>
      </c>
      <c r="O36" s="40">
        <v>0.46288631541333447</v>
      </c>
      <c r="P36" s="39">
        <v>1.7109368627895142E-2</v>
      </c>
      <c r="Q36" s="40">
        <v>0.455840396134708</v>
      </c>
      <c r="R36" s="222">
        <v>1.6797513684740171E-2</v>
      </c>
      <c r="S36" s="219">
        <v>0.44814133077179108</v>
      </c>
      <c r="T36" s="39"/>
      <c r="U36" s="40"/>
      <c r="V36" s="39"/>
      <c r="W36" s="40"/>
      <c r="X36" s="39"/>
      <c r="Y36" s="40"/>
      <c r="Z36" s="39"/>
      <c r="AA36" s="40"/>
      <c r="AB36" s="39"/>
      <c r="AC36" s="40"/>
      <c r="AD36" s="39"/>
      <c r="AE36" s="40"/>
      <c r="AF36" s="39"/>
      <c r="AG36" s="40"/>
      <c r="AH36" s="39"/>
      <c r="AI36" s="40"/>
      <c r="AJ36" s="39"/>
      <c r="AK36" s="40"/>
      <c r="AL36" s="39"/>
      <c r="AM36" s="40"/>
      <c r="AN36" s="39"/>
      <c r="AO36" s="40"/>
      <c r="AP36" s="39"/>
      <c r="AQ36" s="40"/>
      <c r="AR36" s="39"/>
      <c r="AS36" s="40"/>
      <c r="AT36" s="39"/>
      <c r="AU36" s="40"/>
      <c r="AV36" s="39"/>
      <c r="AW36" s="40"/>
    </row>
    <row r="37" spans="1:95 16382:16384" ht="10.5" x14ac:dyDescent="0.25">
      <c r="A37" t="s">
        <v>22</v>
      </c>
      <c r="B37" s="37">
        <v>0.14928344905798796</v>
      </c>
      <c r="C37" s="38">
        <v>3.7916652170162192E-2</v>
      </c>
      <c r="D37" s="37">
        <v>0.15102190769410032</v>
      </c>
      <c r="E37" s="38">
        <v>3.8731657128494905E-2</v>
      </c>
      <c r="F37" s="37">
        <v>0.15307306424073061</v>
      </c>
      <c r="G37" s="38">
        <v>3.968955079390539E-2</v>
      </c>
      <c r="H37" s="37">
        <v>0.15556142642861165</v>
      </c>
      <c r="I37" s="38">
        <v>4.0844157238189321E-2</v>
      </c>
      <c r="J37" s="37">
        <v>0.15870021444705282</v>
      </c>
      <c r="K37" s="38">
        <v>4.2286770680624162E-2</v>
      </c>
      <c r="L37" s="37">
        <v>0.16290455114553945</v>
      </c>
      <c r="M37" s="38">
        <v>4.4192950270718671E-2</v>
      </c>
      <c r="N37" s="37">
        <v>0.16919049316877233</v>
      </c>
      <c r="O37" s="38">
        <v>4.6987151400890131E-2</v>
      </c>
      <c r="P37" s="37">
        <v>0.18220746224394235</v>
      </c>
      <c r="Q37" s="38">
        <v>5.2585526496178495E-2</v>
      </c>
      <c r="R37" s="221">
        <v>0.24982540879517207</v>
      </c>
      <c r="S37" s="217">
        <v>7.9460220049906299E-2</v>
      </c>
      <c r="T37" s="37"/>
      <c r="U37" s="38"/>
      <c r="V37" s="37"/>
      <c r="W37" s="38"/>
      <c r="X37" s="37"/>
      <c r="Y37" s="38"/>
      <c r="Z37" s="37"/>
      <c r="AA37" s="38"/>
      <c r="AB37" s="37"/>
      <c r="AC37" s="38"/>
      <c r="AD37" s="37"/>
      <c r="AE37" s="38"/>
      <c r="AF37" s="37"/>
      <c r="AG37" s="38"/>
      <c r="AH37" s="37"/>
      <c r="AI37" s="38"/>
      <c r="AJ37" s="37"/>
      <c r="AK37" s="38"/>
      <c r="AL37" s="37"/>
      <c r="AM37" s="38"/>
      <c r="AN37" s="37"/>
      <c r="AO37" s="38"/>
      <c r="AP37" s="37"/>
      <c r="AQ37" s="38"/>
      <c r="AR37" s="37"/>
      <c r="AS37" s="38"/>
      <c r="AT37" s="37"/>
      <c r="AU37" s="38"/>
      <c r="AV37" s="37"/>
      <c r="AW37" s="38"/>
    </row>
    <row r="38" spans="1:95 16382:16384" ht="10.5" x14ac:dyDescent="0.25">
      <c r="A38" t="s">
        <v>23</v>
      </c>
      <c r="B38" s="39">
        <v>0.22700160168381014</v>
      </c>
      <c r="C38" s="40">
        <v>0.18696331369363389</v>
      </c>
      <c r="D38" s="39">
        <v>0.22494848068644852</v>
      </c>
      <c r="E38" s="40">
        <v>0.18843022985610122</v>
      </c>
      <c r="F38" s="39">
        <v>0.22264982291758137</v>
      </c>
      <c r="G38" s="40">
        <v>0.1900936842972511</v>
      </c>
      <c r="H38" s="39">
        <v>0.22002103949725879</v>
      </c>
      <c r="I38" s="40">
        <v>0.19200573169466709</v>
      </c>
      <c r="J38" s="39">
        <v>0.21692419630192353</v>
      </c>
      <c r="K38" s="40">
        <v>0.19424634526492796</v>
      </c>
      <c r="L38" s="39">
        <v>0.21310494076355918</v>
      </c>
      <c r="M38" s="40">
        <v>0.19695306706742158</v>
      </c>
      <c r="N38" s="39">
        <v>0.20797762041401721</v>
      </c>
      <c r="O38" s="40">
        <v>0.20041569199509823</v>
      </c>
      <c r="P38" s="39">
        <v>0.19905423172696901</v>
      </c>
      <c r="Q38" s="40">
        <v>0.20574018502548125</v>
      </c>
      <c r="R38" s="222">
        <v>0.17161905321160076</v>
      </c>
      <c r="S38" s="219">
        <v>0.21391170916930807</v>
      </c>
      <c r="T38" s="39"/>
      <c r="U38" s="40"/>
      <c r="V38" s="39"/>
      <c r="W38" s="40"/>
      <c r="X38" s="39"/>
      <c r="Y38" s="40"/>
      <c r="Z38" s="39"/>
      <c r="AA38" s="40"/>
      <c r="AB38" s="39"/>
      <c r="AC38" s="40"/>
      <c r="AD38" s="39"/>
      <c r="AE38" s="40"/>
      <c r="AF38" s="39"/>
      <c r="AG38" s="40"/>
      <c r="AH38" s="39"/>
      <c r="AI38" s="40"/>
      <c r="AJ38" s="39"/>
      <c r="AK38" s="40"/>
      <c r="AL38" s="39"/>
      <c r="AM38" s="40"/>
      <c r="AN38" s="39"/>
      <c r="AO38" s="40"/>
      <c r="AP38" s="39"/>
      <c r="AQ38" s="40"/>
      <c r="AR38" s="39"/>
      <c r="AS38" s="40"/>
      <c r="AT38" s="39"/>
      <c r="AU38" s="40"/>
      <c r="AV38" s="39"/>
      <c r="AW38" s="40"/>
    </row>
    <row r="39" spans="1:95 16382:16384" x14ac:dyDescent="0.2">
      <c r="B39" s="135"/>
      <c r="C39" s="13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5"/>
      <c r="AB39" s="135"/>
      <c r="AC39" s="135"/>
      <c r="AD39" s="135"/>
      <c r="AE39" s="135"/>
      <c r="AF39" s="135"/>
      <c r="AG39" s="135"/>
      <c r="AH39" s="135"/>
      <c r="AI39" s="135"/>
      <c r="AJ39" s="135"/>
      <c r="AK39" s="135"/>
      <c r="AL39" s="135"/>
      <c r="AM39" s="135"/>
      <c r="AN39" s="135"/>
      <c r="AO39" s="135"/>
      <c r="AP39" s="135"/>
      <c r="AQ39" s="135"/>
      <c r="AR39" s="135"/>
      <c r="AS39" s="135"/>
      <c r="AT39" s="135"/>
      <c r="AU39" s="135"/>
    </row>
    <row r="40" spans="1:95 16382:16384"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95 16382:16384" x14ac:dyDescent="0.2">
      <c r="A41" t="s">
        <v>107</v>
      </c>
      <c r="B41" s="162">
        <f>1-SUM(B26:C26)/SUM($B$26:$C$26)</f>
        <v>0</v>
      </c>
      <c r="C41" s="135"/>
      <c r="D41" s="162">
        <f>1-SUM(D26:E26)/SUM($B$26:$C$26)</f>
        <v>-2.3012164594327311E-2</v>
      </c>
      <c r="E41" s="135"/>
      <c r="F41" s="162">
        <f>1-SUM(F26:G26)/SUM($B$26:$C$26)</f>
        <v>-4.9804085841725465E-2</v>
      </c>
      <c r="G41" s="135"/>
      <c r="H41" s="162">
        <f>1-SUM(H26:I26)/SUM($B$26:$C$26)</f>
        <v>-8.1880377207538269E-2</v>
      </c>
      <c r="I41" s="135"/>
      <c r="J41" s="162">
        <f>1-SUM(J26:K26)/SUM($B$26:$C$26)</f>
        <v>-0.12182047978729393</v>
      </c>
      <c r="K41" s="135"/>
      <c r="L41" s="162">
        <f>1-SUM(L26:M26)/SUM($B$26:$C$26)</f>
        <v>-0.17465596074992629</v>
      </c>
      <c r="M41" s="135"/>
      <c r="N41" s="162">
        <f>1-SUM(N26:O26)/SUM($B$26:$C$26)</f>
        <v>-0.25273682428849709</v>
      </c>
      <c r="O41" s="135"/>
      <c r="P41" s="162">
        <f>1-SUM(P26:Q26)/SUM($B$26:$C$26)</f>
        <v>-0.41281728720003508</v>
      </c>
      <c r="Q41" s="135"/>
      <c r="R41" s="162">
        <f>1-SUM(R26:S26)/SUM($B$26:$C$26)</f>
        <v>-1.2422718639270314</v>
      </c>
      <c r="S41" s="135"/>
      <c r="T41" s="162">
        <f>1-SUM(T26:U26)/SUM($B$26:$C$26)</f>
        <v>1</v>
      </c>
      <c r="U41" s="135"/>
      <c r="V41" s="162">
        <f>1-SUM(V26:W26)/SUM($B$26:$C$26)</f>
        <v>1</v>
      </c>
      <c r="W41" s="135"/>
      <c r="X41" s="162">
        <f>1-SUM(X26:Y26)/SUM($B$26:$C$26)</f>
        <v>1</v>
      </c>
      <c r="Y41" s="162"/>
      <c r="Z41" s="162">
        <f>1-SUM(Z26:AA26)/SUM($B$26:$C$26)</f>
        <v>1</v>
      </c>
      <c r="AA41" s="135"/>
      <c r="AB41" s="162">
        <f>1-SUM(AB26:AC26)/SUM($B$26:$C$26)</f>
        <v>1</v>
      </c>
      <c r="AC41" s="135"/>
      <c r="AD41" s="162">
        <f>1-SUM(AD26:AE26)/SUM($B$26:$C$26)</f>
        <v>1</v>
      </c>
      <c r="AE41" s="135"/>
      <c r="AF41" s="162">
        <f>1-SUM(AF26:AG26)/SUM($B$26:$C$26)</f>
        <v>1</v>
      </c>
      <c r="AG41" s="135"/>
      <c r="AH41" s="162">
        <f>1-SUM(AH26:AI26)/SUM($B$26:$C$26)</f>
        <v>1</v>
      </c>
      <c r="AI41" s="135"/>
      <c r="AJ41" s="162">
        <f>1-SUM(AJ26:AK26)/SUM($B$26:$C$26)</f>
        <v>1</v>
      </c>
      <c r="AK41" s="135"/>
      <c r="AL41" s="162">
        <f>1-SUM(AL26:AM26)/SUM($B$26:$C$26)</f>
        <v>1</v>
      </c>
      <c r="AM41" s="135"/>
      <c r="AN41" s="162">
        <f>1-SUM(AN26:AO26)/SUM($B$26:$C$26)</f>
        <v>1</v>
      </c>
      <c r="AO41" s="135"/>
      <c r="AP41" s="162">
        <f>1-SUM(AP26:AQ26)/SUM($B$26:$C$26)</f>
        <v>1</v>
      </c>
      <c r="AQ41" s="135"/>
      <c r="AR41" s="162">
        <f>1-SUM(AR26:AS26)/SUM($B$26:$C$26)</f>
        <v>1</v>
      </c>
      <c r="AS41" s="135"/>
      <c r="AT41" s="162">
        <f>1-SUM(AT26:AU26)/SUM($B$26:$C$26)</f>
        <v>1</v>
      </c>
      <c r="AU41" s="135"/>
    </row>
    <row r="42" spans="1:95 16382:16384" x14ac:dyDescent="0.2">
      <c r="A42" t="s">
        <v>108</v>
      </c>
      <c r="B42" s="162">
        <f t="array" ref="B42">SUM(B15:C15*B27:C27)/SUM(B15:C15*B27:C27,B13:C13*B26:C26)</f>
        <v>0.60843939069027198</v>
      </c>
      <c r="C42" s="135"/>
      <c r="D42" s="162">
        <f t="array" ref="D42">SUM(D15:E15*D27:E27)/SUM(D15:E15*D27:E27,D13:E13*D26:E26)</f>
        <v>0.59898088794926418</v>
      </c>
      <c r="E42" s="135"/>
      <c r="F42" s="162">
        <f t="array" ref="F42">SUM(F15:G15*F27:G27)/SUM(F15:G15*F27:G27,F13:G13*F26:G26)</f>
        <v>0.58784970675667836</v>
      </c>
      <c r="G42" s="135"/>
      <c r="H42" s="162">
        <f t="array" ref="H42">SUM(H15:I15*H27:I27)/SUM(H15:I15*H27:I27,H13:I13*H26:I26)</f>
        <v>0.57438598240368477</v>
      </c>
      <c r="I42" s="135"/>
      <c r="J42" s="162">
        <f t="array" ref="J42">SUM(J15:K15*J27:K27)/SUM(J15:K15*J27:K27,J13:K13*J26:K26)</f>
        <v>0.55746270321875036</v>
      </c>
      <c r="K42" s="135"/>
      <c r="L42" s="162">
        <f t="array" ref="L42">SUM(L15:M15*L27:M27)/SUM(L15:M15*L27:M27,L13:M13*L26:M26)</f>
        <v>0.53489555050903614</v>
      </c>
      <c r="M42" s="135"/>
      <c r="N42" s="162">
        <f t="array" ref="N42">SUM(N15:O15*N27:O27)/SUM(N15:O15*N27:O27,N13:O13*N26:O26)</f>
        <v>0.50137689811204555</v>
      </c>
      <c r="O42" s="135"/>
      <c r="P42" s="162">
        <f t="array" ref="P42">SUM(P15:Q15*P27:Q27)/SUM(P15:Q15*P27:Q27,P13:Q13*P26:Q26)</f>
        <v>0.43292695930033331</v>
      </c>
      <c r="Q42" s="135"/>
      <c r="R42" s="162">
        <f t="array" ref="R42">SUM(R15:S15*R27:S27)/SUM(R15:S15*R27:S27,R13:S13*R26:S26)</f>
        <v>0.10362998979908987</v>
      </c>
      <c r="S42" s="135"/>
      <c r="T42" s="162" t="e">
        <f t="array" ref="T42">SUM(T15:U15*T27:U27)/SUM(T15:U15*T27:U27,T13:U13*T26:U26)</f>
        <v>#DIV/0!</v>
      </c>
      <c r="U42" s="135"/>
      <c r="V42" s="162" t="e">
        <f t="array" ref="V42">SUM(V15:W15*V27:W27)/SUM(V15:W15*V27:W27,V13:W13*V26:W26)</f>
        <v>#DIV/0!</v>
      </c>
      <c r="W42" s="135"/>
      <c r="X42" s="162" t="e">
        <f t="array" ref="X42">SUM(X15:Y15*X27:Y27)/SUM(X15:Y15*X27:Y27,X13:Y13*X26:Y26)</f>
        <v>#DIV/0!</v>
      </c>
      <c r="Y42" s="135"/>
      <c r="Z42" s="162" t="e">
        <f t="array" ref="Z42">SUM(Z15:AA15*Z27:AA27)/SUM(Z15:AA15*Z27:AA27,Z13:AA13*Z26:AA26)</f>
        <v>#DIV/0!</v>
      </c>
      <c r="AA42" s="135"/>
      <c r="AB42" s="162" t="e">
        <f t="array" ref="AB42">SUM(AB15:AC15*AB27:AC27)/SUM(AB15:AC15*AB27:AC27,AB13:AC13*AB26:AC26)</f>
        <v>#DIV/0!</v>
      </c>
      <c r="AC42" s="135"/>
      <c r="AD42" s="162" t="e">
        <f t="array" ref="AD42">SUM(AD15:AE15*AD27:AE27)/SUM(AD15:AE15*AD27:AE27,AD13:AE13*AD26:AE26)</f>
        <v>#DIV/0!</v>
      </c>
      <c r="AE42" s="135"/>
      <c r="AF42" s="162" t="e">
        <f t="array" ref="AF42">SUM(AF15:AG15*AF27:AG27)/SUM(AF15:AG15*AF27:AG27,AF13:AG13*AF26:AG26)</f>
        <v>#DIV/0!</v>
      </c>
      <c r="AG42" s="135"/>
      <c r="AH42" s="162" t="e">
        <f t="array" ref="AH42">SUM(AH15:AI15*AH27:AI27)/SUM(AH15:AI15*AH27:AI27,AH13:AI13*AH26:AI26)</f>
        <v>#DIV/0!</v>
      </c>
      <c r="AI42" s="135"/>
      <c r="AJ42" s="162" t="e">
        <f t="array" ref="AJ42">SUM(AJ15:AK15*AJ27:AK27)/SUM(AJ15:AK15*AJ27:AK27,AJ13:AK13*AJ26:AK26)</f>
        <v>#DIV/0!</v>
      </c>
      <c r="AK42" s="135"/>
      <c r="AL42" s="162" t="e">
        <f t="array" ref="AL42">SUM(AL15:AM15*AL27:AM27)/SUM(AL15:AM15*AL27:AM27,AL13:AM13*AL26:AM26)</f>
        <v>#DIV/0!</v>
      </c>
      <c r="AM42" s="135"/>
      <c r="AN42" s="162" t="e">
        <f t="array" ref="AN42">SUM(AN15:AO15*AN27:AO27)/SUM(AN15:AO15*AN27:AO27,AN13:AO13*AN26:AO26)</f>
        <v>#DIV/0!</v>
      </c>
      <c r="AO42" s="135"/>
      <c r="AP42" s="162" t="e">
        <f t="array" ref="AP42">SUM(AP15:AQ15*AP27:AQ27)/SUM(AP15:AQ15*AP27:AQ27,AP13:AQ13*AP26:AQ26)</f>
        <v>#DIV/0!</v>
      </c>
      <c r="AQ42" s="135"/>
      <c r="AR42" s="162" t="e">
        <f t="array" ref="AR42">SUM(AR15:AS15*AR27:AS27)/SUM(AR15:AS15*AR27:AS27,AR13:AS13*AR26:AS26)</f>
        <v>#DIV/0!</v>
      </c>
      <c r="AS42" s="135"/>
      <c r="AT42" s="162" t="e">
        <f t="array" ref="AT42">SUM(AT15:AU15*AT27:AU27)/SUM(AT15:AU15*AT27:AU27,AT13:AU13*AT26:AU26)</f>
        <v>#DIV/0!</v>
      </c>
      <c r="AU42" s="135"/>
      <c r="AV42" s="162"/>
      <c r="AX42" s="162"/>
      <c r="AZ42" s="162"/>
      <c r="BB42" s="162"/>
      <c r="BD42" s="162"/>
      <c r="BF42" s="162"/>
      <c r="BH42" s="162"/>
      <c r="BJ42" s="162"/>
      <c r="BL42" s="162"/>
      <c r="BN42" s="162"/>
      <c r="BP42" s="162"/>
      <c r="BR42" s="162"/>
    </row>
    <row r="43" spans="1:95 16382:16384" x14ac:dyDescent="0.2">
      <c r="A43" t="s">
        <v>142</v>
      </c>
      <c r="B43" s="193">
        <f>(SUM(B11:C11*B24:C24)+B34)/B32</f>
        <v>0.21620509429616314</v>
      </c>
      <c r="D43" s="193">
        <f>(SUM(D11:E11*D24:E24)+D34)/D32</f>
        <v>0.21416983254737415</v>
      </c>
      <c r="F43" s="193">
        <f>(SUM(F11:G11*F24:G24)+F34)/F32</f>
        <v>0.21190279300046858</v>
      </c>
      <c r="H43" s="193">
        <f>(SUM(H11:I11*H24:I24)+H34)/H32</f>
        <v>0.20932209401184362</v>
      </c>
      <c r="J43" s="193">
        <f>(SUM(J11:K11*J24:K24)+J34)/J32</f>
        <v>0.20629339718890449</v>
      </c>
      <c r="L43" s="193">
        <f>(SUM(L11:M11*L24:M24)+L34)/L32</f>
        <v>0.20256895467397917</v>
      </c>
      <c r="N43" s="193">
        <f>(SUM(N11:O11*N24:O24)+N34)/N32</f>
        <v>0.19758205828353961</v>
      </c>
      <c r="P43" s="193">
        <f>(SUM(P11:Q11*P24:Q24)+P34)/P32</f>
        <v>0.18896378522653406</v>
      </c>
      <c r="R43" s="193">
        <f>(SUM(R11:S11*R24:S24)+R34)/R32</f>
        <v>0.16401273555897103</v>
      </c>
      <c r="T43" s="193" t="e">
        <f>(SUM(T11:U11*T24:U24)+T34)/T32</f>
        <v>#DIV/0!</v>
      </c>
      <c r="V43" s="193" t="e">
        <f>(SUM(V11:W11*V24:W24)+V34)/V32</f>
        <v>#DIV/0!</v>
      </c>
      <c r="X43" s="193" t="e">
        <f>(SUM(X11:Y11*X24:Y24)+X34)/X32</f>
        <v>#DIV/0!</v>
      </c>
      <c r="Z43" s="193" t="e">
        <f>(SUM(Z11:AA11*Z24:AA24)+Z34)/Z32</f>
        <v>#DIV/0!</v>
      </c>
      <c r="AB43" s="193" t="e">
        <f>(SUM(AB11:AC11*AB24:AC24)+AB34)/AB32</f>
        <v>#DIV/0!</v>
      </c>
      <c r="AD43" s="193" t="e">
        <f>(SUM(AD11:AE11*AD24:AE24)+AD34)/AD32</f>
        <v>#DIV/0!</v>
      </c>
      <c r="AF43" s="193" t="e">
        <f>(SUM(AF11:AG11*AF24:AG24)+AF34)/AF32</f>
        <v>#DIV/0!</v>
      </c>
      <c r="AH43" s="193" t="e">
        <f>(SUM(AH11:AI11*AH24:AI24)+AH34)/AH32</f>
        <v>#DIV/0!</v>
      </c>
      <c r="AJ43" s="193" t="e">
        <f>(SUM(AJ11:AK11*AJ24:AK24)+AJ34)/AJ32</f>
        <v>#DIV/0!</v>
      </c>
      <c r="AL43" s="193" t="e">
        <f>(SUM(AL11:AM11*AL24:AM24)+AL34)/AL32</f>
        <v>#DIV/0!</v>
      </c>
      <c r="AN43" s="193" t="e">
        <f>(SUM(AN11:AO11*AN24:AO24)+AN34)/AN32</f>
        <v>#DIV/0!</v>
      </c>
      <c r="AP43" s="193" t="e">
        <f>(SUM(AP11:AQ11*AP24:AQ24)+AP34)/AP32</f>
        <v>#DIV/0!</v>
      </c>
      <c r="AR43" s="193" t="e">
        <f>(SUM(AR11:AS11*AR24:AS24)+AR34)/AR32</f>
        <v>#DIV/0!</v>
      </c>
      <c r="AT43" s="193" t="e">
        <f>(SUM(AT11:AU11*AT24:AU24)+AT34)/AT32</f>
        <v>#DIV/0!</v>
      </c>
    </row>
    <row r="44" spans="1:95 16382:16384" x14ac:dyDescent="0.2">
      <c r="A44" t="s">
        <v>82</v>
      </c>
      <c r="B44" s="193">
        <f>SUM(B11:C11*B24:C24)/B32</f>
        <v>0.20445380142857192</v>
      </c>
      <c r="D44" s="193">
        <f>SUM(D11:E11*D24:E24)/D32</f>
        <v>0.2024185428749285</v>
      </c>
      <c r="F44" s="193">
        <f>SUM(F11:G11*F24:G24)/F32</f>
        <v>0.20015150770368248</v>
      </c>
      <c r="H44" s="193">
        <f>SUM(H11:I11*H24:I24)/H32</f>
        <v>0.19757080072513944</v>
      </c>
      <c r="J44" s="193">
        <f>SUM(J11:K11*J24:K24)/J32</f>
        <v>0.19454211314072914</v>
      </c>
      <c r="L44" s="193">
        <f>SUM(L11:M11*L24:M24)/L32</f>
        <v>0.19081766273176673</v>
      </c>
      <c r="N44" s="193">
        <f>SUM(N11:O11*N24:O24)/N32</f>
        <v>0.18583077034062143</v>
      </c>
      <c r="P44" s="193">
        <f>SUM(P11:Q11*P24:Q24)/P32</f>
        <v>0.17721250019401408</v>
      </c>
      <c r="R44" s="193">
        <f>SUM(R11:S11*R24:S24)/R32</f>
        <v>0.15226144431421212</v>
      </c>
      <c r="T44" s="193" t="e">
        <f>SUM(T11:U11*T24:U24)/T32</f>
        <v>#DIV/0!</v>
      </c>
      <c r="V44" s="193" t="e">
        <f>SUM(V11:W11*V24:W24)/V32</f>
        <v>#DIV/0!</v>
      </c>
      <c r="X44" s="193" t="e">
        <f>SUM(X11:Y11*X24:Y24)/X32</f>
        <v>#DIV/0!</v>
      </c>
      <c r="Z44" s="193" t="e">
        <f>SUM(Z11:AA11*Z24:AA24)/Z32</f>
        <v>#DIV/0!</v>
      </c>
      <c r="AB44" s="193" t="e">
        <f>SUM(AB11:AC11*AB24:AC24)/AB32</f>
        <v>#DIV/0!</v>
      </c>
      <c r="AD44" s="193" t="e">
        <f>SUM(AD11:AE11*AD24:AE24)/AD32</f>
        <v>#DIV/0!</v>
      </c>
      <c r="AF44" s="193" t="e">
        <f>SUM(AF11:AG11*AF24:AG24)/AF32</f>
        <v>#DIV/0!</v>
      </c>
      <c r="AH44" s="193" t="e">
        <f>SUM(AH11:AI11*AH24:AI24)/AH32</f>
        <v>#DIV/0!</v>
      </c>
      <c r="AJ44" s="193" t="e">
        <f>SUM(AJ11:AK11*AJ24:AK24)/AJ32</f>
        <v>#DIV/0!</v>
      </c>
      <c r="AL44" s="193" t="e">
        <f>SUM(AL11:AM11*AL24:AM24)/AL32</f>
        <v>#DIV/0!</v>
      </c>
      <c r="AN44" s="193" t="e">
        <f>SUM(AN11:AO11*AN24:AO24)/AN32</f>
        <v>#DIV/0!</v>
      </c>
      <c r="AP44" s="193" t="e">
        <f>SUM(AP11:AQ11*AP24:AQ24)/AP32</f>
        <v>#DIV/0!</v>
      </c>
      <c r="AR44" s="193" t="e">
        <f>SUM(AR11:AS11*AR24:AS24)/AR32</f>
        <v>#DIV/0!</v>
      </c>
      <c r="AT44" s="193" t="e">
        <f>SUM(AT11:AU11*AT24:AU24)/AT32</f>
        <v>#DIV/0!</v>
      </c>
      <c r="XFB44" s="193"/>
    </row>
    <row r="45" spans="1:95 16382:16384" x14ac:dyDescent="0.2">
      <c r="A45" t="s">
        <v>139</v>
      </c>
      <c r="B45" s="193">
        <f>B34/B32</f>
        <v>1.1751292867591238E-2</v>
      </c>
      <c r="D45" s="193">
        <f>D34/D32</f>
        <v>1.1751289672445658E-2</v>
      </c>
      <c r="F45" s="193">
        <f>F34/F32</f>
        <v>1.1751285296786077E-2</v>
      </c>
      <c r="H45" s="193">
        <f>H34/H32</f>
        <v>1.1751293286704208E-2</v>
      </c>
      <c r="J45" s="193">
        <f>J34/J32</f>
        <v>1.1751284048175362E-2</v>
      </c>
      <c r="L45" s="193">
        <f>L34/L32</f>
        <v>1.1751291942212434E-2</v>
      </c>
      <c r="N45" s="193">
        <f>N34/N32</f>
        <v>1.1751287942918172E-2</v>
      </c>
      <c r="P45" s="193">
        <f>P34/P32</f>
        <v>1.1751285032520006E-2</v>
      </c>
      <c r="R45" s="193">
        <f>R34/R32</f>
        <v>1.1751291244758913E-2</v>
      </c>
      <c r="T45" s="193" t="e">
        <f>T34/T32</f>
        <v>#DIV/0!</v>
      </c>
      <c r="V45" s="193" t="e">
        <f>V34/V32</f>
        <v>#DIV/0!</v>
      </c>
      <c r="X45" s="193" t="e">
        <f>X34/X32</f>
        <v>#DIV/0!</v>
      </c>
      <c r="Z45" s="193" t="e">
        <f>Z34/Z32</f>
        <v>#DIV/0!</v>
      </c>
      <c r="AB45" s="193" t="e">
        <f>AB34/AB32</f>
        <v>#DIV/0!</v>
      </c>
      <c r="AD45" s="193" t="e">
        <f>AD34/AD32</f>
        <v>#DIV/0!</v>
      </c>
      <c r="AF45" s="193" t="e">
        <f>AF34/AF32</f>
        <v>#DIV/0!</v>
      </c>
      <c r="AH45" s="193" t="e">
        <f>AH34/AH32</f>
        <v>#DIV/0!</v>
      </c>
      <c r="AJ45" s="193" t="e">
        <f>AJ34/AJ32</f>
        <v>#DIV/0!</v>
      </c>
      <c r="AL45" s="193" t="e">
        <f>AL34/AL32</f>
        <v>#DIV/0!</v>
      </c>
      <c r="AN45" s="193" t="e">
        <f>AN34/AN32</f>
        <v>#DIV/0!</v>
      </c>
      <c r="AP45" s="193" t="e">
        <f>AP34/AP32</f>
        <v>#DIV/0!</v>
      </c>
      <c r="AR45" s="193" t="e">
        <f>AR34/AR32</f>
        <v>#DIV/0!</v>
      </c>
      <c r="AT45" s="193" t="e">
        <f>AT34/AT32</f>
        <v>#DIV/0!</v>
      </c>
      <c r="AV45" s="193" t="e">
        <f>AV34/AV32</f>
        <v>#DIV/0!</v>
      </c>
      <c r="XFD45" s="193"/>
    </row>
    <row r="51" spans="1:48 16321:16384" x14ac:dyDescent="0.2">
      <c r="A51" t="s">
        <v>166</v>
      </c>
      <c r="B51" s="29">
        <v>898591.45196639095</v>
      </c>
      <c r="D51" s="29">
        <v>986328.77374055982</v>
      </c>
      <c r="F51" s="29">
        <v>1086158.3980049016</v>
      </c>
      <c r="H51" s="29">
        <v>1202589.2550592632</v>
      </c>
      <c r="J51" s="29">
        <v>1343170.8775422131</v>
      </c>
      <c r="L51" s="29">
        <v>1522165.7178274137</v>
      </c>
      <c r="N51" s="29">
        <v>1773067.8483392284</v>
      </c>
      <c r="P51" s="29">
        <v>2239962.106054347</v>
      </c>
      <c r="R51" s="29">
        <v>3889700.906517406</v>
      </c>
      <c r="T51" s="29">
        <v>0</v>
      </c>
      <c r="V51" s="29">
        <v>0</v>
      </c>
      <c r="X51" s="29">
        <v>0</v>
      </c>
      <c r="Z51" s="29">
        <v>0</v>
      </c>
      <c r="AB51" s="29">
        <v>0</v>
      </c>
      <c r="AD51" s="29">
        <v>0</v>
      </c>
      <c r="AF51" s="29">
        <v>0</v>
      </c>
      <c r="AH51" s="29">
        <v>0</v>
      </c>
      <c r="AJ51" s="29">
        <v>0</v>
      </c>
      <c r="AL51" s="29">
        <v>0</v>
      </c>
      <c r="AN51" s="29">
        <v>0</v>
      </c>
      <c r="AP51" s="29">
        <v>0</v>
      </c>
      <c r="AQ51" s="29"/>
      <c r="AR51" s="29">
        <v>0</v>
      </c>
      <c r="AT51" s="29">
        <v>0</v>
      </c>
      <c r="AV51" s="29">
        <v>0</v>
      </c>
      <c r="XFD51" s="29"/>
    </row>
    <row r="52" spans="1:48 16321:16384" x14ac:dyDescent="0.2">
      <c r="A52" t="s">
        <v>167</v>
      </c>
      <c r="B52" s="29">
        <v>639893.22495732247</v>
      </c>
      <c r="D52" s="29">
        <v>655708.56971348159</v>
      </c>
      <c r="F52" s="29">
        <v>674328.03346979595</v>
      </c>
      <c r="H52" s="29">
        <v>696860.76590800134</v>
      </c>
      <c r="J52" s="29">
        <v>725202.62369193556</v>
      </c>
      <c r="L52" s="29">
        <v>763031.71627724427</v>
      </c>
      <c r="N52" s="29">
        <v>819294.50354678871</v>
      </c>
      <c r="P52" s="29">
        <v>934460.55639255641</v>
      </c>
      <c r="R52" s="29">
        <v>1492150.8596400067</v>
      </c>
      <c r="T52" s="29">
        <v>0</v>
      </c>
      <c r="V52" s="29">
        <v>0</v>
      </c>
      <c r="X52" s="29">
        <v>0</v>
      </c>
      <c r="Z52" s="29">
        <v>0</v>
      </c>
      <c r="AB52" s="29">
        <v>0</v>
      </c>
      <c r="AD52" s="29">
        <v>0</v>
      </c>
      <c r="AF52" s="29">
        <v>0</v>
      </c>
      <c r="AH52" s="29">
        <v>0</v>
      </c>
      <c r="AJ52" s="29">
        <v>0</v>
      </c>
      <c r="AL52" s="29">
        <v>0</v>
      </c>
      <c r="AN52" s="29">
        <v>0</v>
      </c>
      <c r="AP52" s="29">
        <v>0</v>
      </c>
      <c r="AQ52" s="29"/>
      <c r="AR52" s="29">
        <v>0</v>
      </c>
      <c r="AT52" s="29">
        <v>0</v>
      </c>
      <c r="AV52" s="29">
        <v>0</v>
      </c>
    </row>
    <row r="53" spans="1:48 16321:16384" x14ac:dyDescent="0.2">
      <c r="A53" t="s">
        <v>168</v>
      </c>
      <c r="B53" s="29">
        <v>994319.23090072128</v>
      </c>
      <c r="D53" s="29">
        <v>979396.96518312744</v>
      </c>
      <c r="F53" s="29">
        <v>961793.65447885811</v>
      </c>
      <c r="H53" s="29">
        <v>940446.12977079034</v>
      </c>
      <c r="J53" s="29">
        <v>913535.23855521006</v>
      </c>
      <c r="L53" s="29">
        <v>877528.19905435189</v>
      </c>
      <c r="N53" s="29">
        <v>823819.30414616584</v>
      </c>
      <c r="P53" s="29">
        <v>713405.74887139932</v>
      </c>
      <c r="R53" s="29">
        <v>172508.64777207168</v>
      </c>
      <c r="T53" s="29">
        <v>0</v>
      </c>
      <c r="V53" s="29">
        <v>0</v>
      </c>
      <c r="X53" s="29">
        <v>0</v>
      </c>
      <c r="Z53" s="29">
        <v>0</v>
      </c>
      <c r="AB53" s="29">
        <v>0</v>
      </c>
      <c r="AD53" s="29">
        <v>0</v>
      </c>
      <c r="AF53" s="29">
        <v>0</v>
      </c>
      <c r="AH53" s="29">
        <v>0</v>
      </c>
      <c r="AJ53" s="29">
        <v>0</v>
      </c>
      <c r="AL53" s="29">
        <v>0</v>
      </c>
      <c r="AN53" s="29">
        <v>0</v>
      </c>
      <c r="AP53" s="29">
        <v>0</v>
      </c>
      <c r="AQ53" s="29"/>
      <c r="AR53" s="29">
        <v>0</v>
      </c>
      <c r="AT53" s="29">
        <v>0</v>
      </c>
      <c r="AV53" s="29">
        <v>0</v>
      </c>
      <c r="XFD53" s="29"/>
    </row>
    <row r="55" spans="1:48 16321:16384" x14ac:dyDescent="0.2">
      <c r="A55" t="s">
        <v>169</v>
      </c>
      <c r="B55" s="193">
        <v>0.29343319644276039</v>
      </c>
      <c r="D55" s="193">
        <v>0.30008449758032324</v>
      </c>
      <c r="F55" s="193">
        <v>0.3074932547254613</v>
      </c>
      <c r="H55" s="193">
        <v>0.31592711845864874</v>
      </c>
      <c r="J55" s="193">
        <v>0.3258249876845864</v>
      </c>
      <c r="L55" s="193">
        <v>0.33799663877321651</v>
      </c>
      <c r="N55" s="193">
        <v>0.35429400167438302</v>
      </c>
      <c r="P55" s="193">
        <v>0.38245884035595185</v>
      </c>
      <c r="R55" s="193">
        <v>0.46399988760177896</v>
      </c>
      <c r="T55" s="193" t="e">
        <v>#DIV/0!</v>
      </c>
      <c r="V55" s="193" t="e">
        <v>#DIV/0!</v>
      </c>
      <c r="X55" s="193" t="e">
        <v>#DIV/0!</v>
      </c>
      <c r="Z55" s="193" t="e">
        <v>#DIV/0!</v>
      </c>
      <c r="AB55" s="193" t="e">
        <v>#DIV/0!</v>
      </c>
      <c r="AD55" s="193" t="e">
        <v>#DIV/0!</v>
      </c>
      <c r="AF55" s="193" t="e">
        <v>#DIV/0!</v>
      </c>
      <c r="AH55" s="193" t="e">
        <v>#DIV/0!</v>
      </c>
      <c r="AJ55" s="193" t="e">
        <v>#DIV/0!</v>
      </c>
      <c r="AL55" s="193" t="e">
        <v>#DIV/0!</v>
      </c>
      <c r="AN55" s="193" t="e">
        <v>#DIV/0!</v>
      </c>
      <c r="AP55" s="193" t="e">
        <v>#DIV/0!</v>
      </c>
      <c r="AR55" s="193" t="e">
        <v>#DIV/0!</v>
      </c>
      <c r="AT55" s="193" t="e">
        <v>#DIV/0!</v>
      </c>
      <c r="AV55" s="193" t="e">
        <v>#DIV/0!</v>
      </c>
      <c r="XCS55" s="193"/>
      <c r="XFD55" s="193"/>
    </row>
    <row r="56" spans="1:48 16321:16384" x14ac:dyDescent="0.2">
      <c r="A56" t="s">
        <v>170</v>
      </c>
      <c r="B56" s="193">
        <v>0.12330490389763608</v>
      </c>
      <c r="D56" s="193">
        <v>0.12768289750492404</v>
      </c>
      <c r="F56" s="193">
        <v>0.13240727143042663</v>
      </c>
      <c r="H56" s="193">
        <v>0.13758884675678404</v>
      </c>
      <c r="J56" s="193">
        <v>0.14340114370740284</v>
      </c>
      <c r="L56" s="193">
        <v>0.15014418714748298</v>
      </c>
      <c r="N56" s="193">
        <v>0.15844178967993133</v>
      </c>
      <c r="P56" s="193">
        <v>0.17052796754992319</v>
      </c>
      <c r="R56" s="193">
        <v>0.17764974051826693</v>
      </c>
      <c r="T56" s="193" t="e">
        <v>#DIV/0!</v>
      </c>
      <c r="V56" s="193" t="e">
        <v>#DIV/0!</v>
      </c>
      <c r="X56" s="193" t="e">
        <v>#DIV/0!</v>
      </c>
      <c r="Z56" s="193" t="e">
        <v>#DIV/0!</v>
      </c>
      <c r="AB56" s="193" t="e">
        <v>#DIV/0!</v>
      </c>
      <c r="AD56" s="193" t="e">
        <v>#DIV/0!</v>
      </c>
      <c r="AF56" s="193" t="e">
        <v>#DIV/0!</v>
      </c>
      <c r="AH56" s="193" t="e">
        <v>#DIV/0!</v>
      </c>
      <c r="AJ56" s="193" t="e">
        <v>#DIV/0!</v>
      </c>
      <c r="AL56" s="193" t="e">
        <v>#DIV/0!</v>
      </c>
      <c r="AN56" s="193" t="e">
        <v>#DIV/0!</v>
      </c>
      <c r="AP56" s="193" t="e">
        <v>#DIV/0!</v>
      </c>
      <c r="AR56" s="193" t="e">
        <v>#DIV/0!</v>
      </c>
      <c r="AT56" s="193" t="e">
        <v>#DIV/0!</v>
      </c>
      <c r="AV56" s="193" t="e">
        <v>#DIV/0!</v>
      </c>
      <c r="XFD56" s="193"/>
    </row>
    <row r="57" spans="1:48 16321:16384" x14ac:dyDescent="0.2">
      <c r="A57" t="s">
        <v>171</v>
      </c>
      <c r="B57" s="193">
        <v>0.15814435802029927</v>
      </c>
      <c r="D57" s="193">
        <v>0.16044254401283303</v>
      </c>
      <c r="F57" s="193">
        <v>0.16315326548544218</v>
      </c>
      <c r="H57" s="193">
        <v>0.1664338600947986</v>
      </c>
      <c r="J57" s="193">
        <v>0.17055051991752559</v>
      </c>
      <c r="L57" s="193">
        <v>0.17601443377647052</v>
      </c>
      <c r="N57" s="193">
        <v>0.18405678844988416</v>
      </c>
      <c r="P57" s="193">
        <v>0.20019671112186291</v>
      </c>
      <c r="R57" s="193">
        <v>0.27466385393861609</v>
      </c>
      <c r="T57" s="193" t="e">
        <v>#DIV/0!</v>
      </c>
      <c r="V57" s="193" t="e">
        <v>#DIV/0!</v>
      </c>
      <c r="X57" s="193" t="e">
        <v>#DIV/0!</v>
      </c>
      <c r="Y57" s="193"/>
      <c r="Z57" s="193" t="e">
        <v>#DIV/0!</v>
      </c>
      <c r="AB57" s="193" t="e">
        <v>#DIV/0!</v>
      </c>
      <c r="AD57" s="193" t="e">
        <v>#DIV/0!</v>
      </c>
      <c r="AF57" s="193" t="e">
        <v>#DIV/0!</v>
      </c>
      <c r="AH57" s="193" t="e">
        <v>#DIV/0!</v>
      </c>
      <c r="AJ57" s="193" t="e">
        <v>#DIV/0!</v>
      </c>
      <c r="AL57" s="193" t="e">
        <v>#DIV/0!</v>
      </c>
      <c r="AN57" s="193" t="e">
        <v>#DIV/0!</v>
      </c>
      <c r="AP57" s="193" t="e">
        <v>#DIV/0!</v>
      </c>
      <c r="AR57" s="193" t="e">
        <v>#DIV/0!</v>
      </c>
      <c r="AT57" s="193" t="e">
        <v>#DIV/0!</v>
      </c>
      <c r="AV57" s="193" t="e">
        <v>#DIV/0!</v>
      </c>
      <c r="XFD57" s="193"/>
    </row>
    <row r="58" spans="1:48 16321:16384" x14ac:dyDescent="0.2">
      <c r="A58" t="s">
        <v>172</v>
      </c>
      <c r="B58" s="193">
        <v>1.1983934524824984E-2</v>
      </c>
      <c r="D58" s="193">
        <v>1.1959056062566149E-2</v>
      </c>
      <c r="F58" s="193">
        <v>1.1932717809592482E-2</v>
      </c>
      <c r="H58" s="193">
        <v>1.1904411607066087E-2</v>
      </c>
      <c r="J58" s="193">
        <v>1.1873324059657964E-2</v>
      </c>
      <c r="L58" s="193">
        <v>1.1838017849262977E-2</v>
      </c>
      <c r="N58" s="193">
        <v>1.1795423544567481E-2</v>
      </c>
      <c r="P58" s="193">
        <v>1.1734161684165731E-2</v>
      </c>
      <c r="R58" s="193">
        <v>1.1686293144895936E-2</v>
      </c>
      <c r="T58" s="193" t="e">
        <v>#DIV/0!</v>
      </c>
      <c r="V58" s="193" t="e">
        <v>#DIV/0!</v>
      </c>
      <c r="X58" s="193" t="e">
        <v>#DIV/0!</v>
      </c>
      <c r="Y58" s="193"/>
      <c r="Z58" s="193" t="e">
        <v>#DIV/0!</v>
      </c>
      <c r="AB58" s="193" t="e">
        <v>#DIV/0!</v>
      </c>
      <c r="AD58" s="193" t="e">
        <v>#DIV/0!</v>
      </c>
      <c r="AF58" s="193" t="e">
        <v>#DIV/0!</v>
      </c>
      <c r="AH58" s="193" t="e">
        <v>#DIV/0!</v>
      </c>
      <c r="AJ58" s="193" t="e">
        <v>#DIV/0!</v>
      </c>
      <c r="AL58" s="193" t="e">
        <v>#DIV/0!</v>
      </c>
      <c r="AN58" s="193" t="e">
        <v>#DIV/0!</v>
      </c>
      <c r="AP58" s="193" t="e">
        <v>#DIV/0!</v>
      </c>
      <c r="AR58" s="193" t="e">
        <v>#DIV/0!</v>
      </c>
      <c r="AT58" s="193" t="e">
        <v>#DIV/0!</v>
      </c>
      <c r="AV58" s="193" t="e">
        <v>#DIV/0!</v>
      </c>
      <c r="XFD58" s="193"/>
    </row>
    <row r="59" spans="1:48 16321:16384" x14ac:dyDescent="0.2">
      <c r="A59" t="s">
        <v>173</v>
      </c>
      <c r="B59" s="193">
        <v>1.7199725200015354E-2</v>
      </c>
      <c r="D59" s="193">
        <v>2.1723111378617155E-2</v>
      </c>
      <c r="F59" s="193">
        <v>2.6602984406436755E-2</v>
      </c>
      <c r="H59" s="193">
        <v>3.1953679356397563E-2</v>
      </c>
      <c r="J59" s="193">
        <v>3.7954374369136248E-2</v>
      </c>
      <c r="L59" s="193">
        <v>4.4915157816046825E-2</v>
      </c>
      <c r="N59" s="193">
        <v>5.3481422496995792E-2</v>
      </c>
      <c r="P59" s="193">
        <v>6.5967317549121898E-2</v>
      </c>
      <c r="R59" s="193">
        <v>7.345752560047572E-2</v>
      </c>
      <c r="T59" s="193" t="e">
        <v>#DIV/0!</v>
      </c>
      <c r="V59" s="193" t="e">
        <v>#DIV/0!</v>
      </c>
      <c r="X59" s="193" t="e">
        <v>#DIV/0!</v>
      </c>
      <c r="Z59" s="193" t="e">
        <v>#DIV/0!</v>
      </c>
      <c r="AB59" s="193" t="e">
        <v>#DIV/0!</v>
      </c>
      <c r="AD59" s="193" t="e">
        <v>#DIV/0!</v>
      </c>
      <c r="AF59" s="193" t="e">
        <v>#DIV/0!</v>
      </c>
      <c r="AH59" s="193" t="e">
        <v>#DIV/0!</v>
      </c>
      <c r="AJ59" s="193" t="e">
        <v>#DIV/0!</v>
      </c>
      <c r="AL59" s="193" t="e">
        <v>#DIV/0!</v>
      </c>
      <c r="AN59" s="193" t="e">
        <v>#DIV/0!</v>
      </c>
      <c r="AP59" s="193" t="e">
        <v>#DIV/0!</v>
      </c>
      <c r="AR59" s="193" t="e">
        <v>#DIV/0!</v>
      </c>
      <c r="AT59" s="193" t="e">
        <v>#DIV/0!</v>
      </c>
      <c r="AV59" s="193" t="e">
        <v>#DIV/0!</v>
      </c>
      <c r="XFD59" s="193"/>
    </row>
    <row r="60" spans="1:48 16321:16384" x14ac:dyDescent="0.2">
      <c r="A60" t="s">
        <v>174</v>
      </c>
      <c r="B60" s="193">
        <v>0.10610517869762073</v>
      </c>
      <c r="D60" s="193">
        <v>0.1059597861263069</v>
      </c>
      <c r="F60" s="193">
        <v>0.10580428702398988</v>
      </c>
      <c r="H60" s="193">
        <v>0.10563516740038648</v>
      </c>
      <c r="J60" s="193">
        <v>0.10544676933826659</v>
      </c>
      <c r="L60" s="193">
        <v>0.10522902933143616</v>
      </c>
      <c r="N60" s="193">
        <v>0.10496036718293554</v>
      </c>
      <c r="P60" s="193">
        <v>0.10456065000080128</v>
      </c>
      <c r="R60" s="193">
        <v>0.10419221491779121</v>
      </c>
      <c r="T60" s="193" t="e">
        <v>#DIV/0!</v>
      </c>
      <c r="V60" s="193" t="e">
        <v>#DIV/0!</v>
      </c>
      <c r="X60" s="193" t="e">
        <v>#DIV/0!</v>
      </c>
      <c r="Z60" s="193" t="e">
        <v>#DIV/0!</v>
      </c>
      <c r="AB60" s="193" t="e">
        <v>#DIV/0!</v>
      </c>
      <c r="AD60" s="193" t="e">
        <v>#DIV/0!</v>
      </c>
      <c r="AF60" s="193" t="e">
        <v>#DIV/0!</v>
      </c>
      <c r="AH60" s="193" t="e">
        <v>#DIV/0!</v>
      </c>
      <c r="AJ60" s="193" t="e">
        <v>#DIV/0!</v>
      </c>
      <c r="AL60" s="193" t="e">
        <v>#DIV/0!</v>
      </c>
      <c r="AN60" s="193" t="e">
        <v>#DIV/0!</v>
      </c>
      <c r="AP60" s="193" t="e">
        <v>#DIV/0!</v>
      </c>
      <c r="AR60" s="193" t="e">
        <v>#DIV/0!</v>
      </c>
      <c r="AT60" s="193" t="e">
        <v>#DIV/0!</v>
      </c>
      <c r="AV60" s="193" t="e">
        <v>#DIV/0!</v>
      </c>
      <c r="XFD60" s="193"/>
    </row>
    <row r="62" spans="1:48 16321:16384" x14ac:dyDescent="0.2">
      <c r="A62" t="s">
        <v>175</v>
      </c>
      <c r="B62">
        <v>1</v>
      </c>
      <c r="D62">
        <v>1.0169266534322692</v>
      </c>
      <c r="F62">
        <v>1.037765815660866</v>
      </c>
      <c r="H62">
        <v>1.0642684101197155</v>
      </c>
      <c r="J62">
        <v>1.0995855135101102</v>
      </c>
      <c r="L62">
        <v>1.1502417949528077</v>
      </c>
      <c r="N62">
        <v>1.2335777369867376</v>
      </c>
      <c r="P62">
        <v>1.4406437644515671</v>
      </c>
      <c r="R62">
        <v>5.9942096264574447</v>
      </c>
      <c r="T62" t="e">
        <v>#DIV/0!</v>
      </c>
      <c r="V62" t="e">
        <v>#DIV/0!</v>
      </c>
      <c r="X62" t="e">
        <v>#DIV/0!</v>
      </c>
      <c r="Z62" t="e">
        <v>#DIV/0!</v>
      </c>
      <c r="AB62" t="e">
        <v>#DIV/0!</v>
      </c>
      <c r="AD62" t="e">
        <v>#DIV/0!</v>
      </c>
      <c r="AF62" t="e">
        <v>#DIV/0!</v>
      </c>
      <c r="AH62" t="e">
        <v>#DIV/0!</v>
      </c>
      <c r="AJ62" t="e">
        <v>#DIV/0!</v>
      </c>
      <c r="AL62" t="e">
        <v>#DIV/0!</v>
      </c>
      <c r="AN62" t="e">
        <v>#DIV/0!</v>
      </c>
      <c r="AP62" t="e">
        <v>#DIV/0!</v>
      </c>
      <c r="AR62" t="e">
        <v>#DIV/0!</v>
      </c>
      <c r="AT62" t="e">
        <v>#DIV/0!</v>
      </c>
      <c r="AV62" t="e">
        <v>#DIV/0!</v>
      </c>
    </row>
    <row r="65" spans="1:48 16384:16384" x14ac:dyDescent="0.2">
      <c r="A65" t="s">
        <v>176</v>
      </c>
      <c r="B65" s="191">
        <v>1</v>
      </c>
      <c r="C65" s="191"/>
      <c r="D65" s="191">
        <v>0.99759163990393218</v>
      </c>
      <c r="E65" s="191"/>
      <c r="F65" s="191">
        <v>0.99518611789009437</v>
      </c>
      <c r="G65" s="191"/>
      <c r="H65" s="191">
        <v>0.99278430119757166</v>
      </c>
      <c r="I65" s="191"/>
      <c r="J65" s="191">
        <v>0.99039120871789965</v>
      </c>
      <c r="K65" s="191"/>
      <c r="L65" s="191">
        <v>0.98801872967897642</v>
      </c>
      <c r="M65" s="191"/>
      <c r="N65" s="191">
        <v>0.98568899010358535</v>
      </c>
      <c r="O65" s="191"/>
      <c r="P65" s="191">
        <v>0.98340495953715934</v>
      </c>
      <c r="Q65" s="191"/>
      <c r="R65" s="191">
        <v>0.98491464673980078</v>
      </c>
      <c r="S65" s="191"/>
      <c r="T65" s="191" t="e">
        <v>#DIV/0!</v>
      </c>
      <c r="U65" s="191"/>
      <c r="V65" s="191" t="e">
        <v>#DIV/0!</v>
      </c>
      <c r="W65" s="191"/>
      <c r="X65" s="191" t="e">
        <v>#DIV/0!</v>
      </c>
      <c r="Y65" s="191"/>
      <c r="Z65" s="191" t="e">
        <v>#DIV/0!</v>
      </c>
      <c r="AA65" s="191"/>
      <c r="AB65" s="191" t="e">
        <v>#DIV/0!</v>
      </c>
      <c r="AC65" s="191"/>
      <c r="AD65" s="191" t="e">
        <v>#DIV/0!</v>
      </c>
      <c r="AE65" s="191"/>
      <c r="AF65" s="191" t="e">
        <v>#DIV/0!</v>
      </c>
      <c r="AG65" s="191"/>
      <c r="AH65" s="191" t="e">
        <v>#DIV/0!</v>
      </c>
      <c r="AI65" s="191"/>
      <c r="AJ65" s="191" t="e">
        <v>#DIV/0!</v>
      </c>
      <c r="AK65" s="191"/>
      <c r="AL65" s="191" t="e">
        <v>#DIV/0!</v>
      </c>
      <c r="AM65" s="191"/>
      <c r="AN65" s="191" t="e">
        <v>#DIV/0!</v>
      </c>
      <c r="AO65" s="191"/>
      <c r="AP65" s="191" t="e">
        <v>#DIV/0!</v>
      </c>
      <c r="AQ65" s="191"/>
      <c r="AR65" s="191" t="e">
        <v>#DIV/0!</v>
      </c>
      <c r="AS65" s="191"/>
      <c r="AT65" s="191" t="e">
        <v>#DIV/0!</v>
      </c>
      <c r="AU65" s="191"/>
      <c r="AV65" s="191" t="e">
        <v>#DIV/0!</v>
      </c>
    </row>
    <row r="66" spans="1:48 16384:16384" x14ac:dyDescent="0.2">
      <c r="A66" t="s">
        <v>182</v>
      </c>
      <c r="B66" s="191">
        <v>1</v>
      </c>
      <c r="C66" s="191"/>
      <c r="D66" s="191">
        <v>0.99747592950676511</v>
      </c>
      <c r="E66" s="191"/>
      <c r="F66" s="191">
        <v>0.99494994810101878</v>
      </c>
      <c r="G66" s="191"/>
      <c r="H66" s="191">
        <v>0.9924229575223259</v>
      </c>
      <c r="I66" s="191"/>
      <c r="J66" s="191">
        <v>0.98990024728530024</v>
      </c>
      <c r="K66" s="191"/>
      <c r="L66" s="191">
        <v>0.98739441387602866</v>
      </c>
      <c r="M66" s="191"/>
      <c r="N66" s="191">
        <v>0.98492900326333865</v>
      </c>
      <c r="O66" s="191"/>
      <c r="P66" s="191">
        <v>0.98250745017301355</v>
      </c>
      <c r="Q66" s="191"/>
      <c r="R66" s="191">
        <v>0.98410892047887866</v>
      </c>
      <c r="S66" s="191"/>
      <c r="T66" s="191" t="e">
        <v>#DIV/0!</v>
      </c>
      <c r="U66" s="191"/>
      <c r="V66" s="191" t="e">
        <v>#DIV/0!</v>
      </c>
      <c r="W66" s="191"/>
      <c r="X66" s="191" t="e">
        <v>#DIV/0!</v>
      </c>
      <c r="Y66" s="191"/>
      <c r="Z66" s="191" t="e">
        <v>#DIV/0!</v>
      </c>
      <c r="AA66" s="191"/>
      <c r="AB66" s="191" t="e">
        <v>#DIV/0!</v>
      </c>
      <c r="AC66" s="191"/>
      <c r="AD66" s="191" t="e">
        <v>#DIV/0!</v>
      </c>
      <c r="AE66" s="191"/>
      <c r="AF66" s="191" t="e">
        <v>#DIV/0!</v>
      </c>
      <c r="AG66" s="191"/>
      <c r="AH66" s="191" t="e">
        <v>#DIV/0!</v>
      </c>
      <c r="AI66" s="191"/>
      <c r="AJ66" s="191" t="e">
        <v>#DIV/0!</v>
      </c>
      <c r="AK66" s="191"/>
      <c r="AL66" s="191" t="e">
        <v>#DIV/0!</v>
      </c>
      <c r="AM66" s="191"/>
      <c r="AN66" s="191" t="e">
        <v>#DIV/0!</v>
      </c>
      <c r="AO66" s="191"/>
      <c r="AP66" s="191" t="e">
        <v>#DIV/0!</v>
      </c>
      <c r="AQ66" s="191"/>
      <c r="AR66" s="191" t="e">
        <v>#DIV/0!</v>
      </c>
      <c r="AS66" s="191"/>
      <c r="AT66" s="191" t="e">
        <v>#DIV/0!</v>
      </c>
      <c r="AU66" s="191"/>
      <c r="AV66" s="191" t="e">
        <v>#DIV/0!</v>
      </c>
      <c r="XFD66" s="191"/>
    </row>
    <row r="67" spans="1:48 16384:16384" x14ac:dyDescent="0.2">
      <c r="A67" t="s">
        <v>183</v>
      </c>
      <c r="B67" s="191">
        <v>1</v>
      </c>
      <c r="C67" s="191"/>
      <c r="D67" s="191">
        <v>1</v>
      </c>
      <c r="E67" s="191"/>
      <c r="F67" s="191">
        <v>1</v>
      </c>
      <c r="G67" s="191"/>
      <c r="H67" s="191">
        <v>1</v>
      </c>
      <c r="I67" s="191"/>
      <c r="J67" s="191">
        <v>1</v>
      </c>
      <c r="K67" s="191"/>
      <c r="L67" s="191">
        <v>1</v>
      </c>
      <c r="M67" s="191"/>
      <c r="N67" s="191">
        <v>1</v>
      </c>
      <c r="O67" s="191"/>
      <c r="P67" s="191">
        <v>1</v>
      </c>
      <c r="Q67" s="191"/>
      <c r="R67" s="191">
        <v>1</v>
      </c>
      <c r="S67" s="191"/>
      <c r="T67" s="191" t="e">
        <v>#DIV/0!</v>
      </c>
      <c r="U67" s="191"/>
      <c r="V67" s="191" t="e">
        <v>#DIV/0!</v>
      </c>
      <c r="W67" s="191"/>
      <c r="X67" s="191" t="e">
        <v>#DIV/0!</v>
      </c>
      <c r="Y67" s="191"/>
      <c r="Z67" s="191" t="e">
        <v>#DIV/0!</v>
      </c>
      <c r="AA67" s="191"/>
      <c r="AB67" s="191" t="e">
        <v>#DIV/0!</v>
      </c>
      <c r="AC67" s="191"/>
      <c r="AD67" s="191" t="e">
        <v>#DIV/0!</v>
      </c>
      <c r="AE67" s="191"/>
      <c r="AF67" s="191" t="e">
        <v>#DIV/0!</v>
      </c>
      <c r="AG67" s="191"/>
      <c r="AH67" s="191" t="e">
        <v>#DIV/0!</v>
      </c>
      <c r="AI67" s="191"/>
      <c r="AJ67" s="191" t="e">
        <v>#DIV/0!</v>
      </c>
      <c r="AK67" s="191"/>
      <c r="AL67" s="191" t="e">
        <v>#DIV/0!</v>
      </c>
      <c r="AM67" s="191"/>
      <c r="AN67" s="191" t="e">
        <v>#DIV/0!</v>
      </c>
      <c r="AO67" s="191"/>
      <c r="AP67" s="191" t="e">
        <v>#DIV/0!</v>
      </c>
      <c r="AQ67" s="191"/>
      <c r="AR67" s="191" t="e">
        <v>#DIV/0!</v>
      </c>
      <c r="AS67" s="191"/>
      <c r="AT67" s="191" t="e">
        <v>#DIV/0!</v>
      </c>
      <c r="AU67" s="191"/>
      <c r="AV67" s="191" t="e">
        <v>#DIV/0!</v>
      </c>
      <c r="XFD67" s="191"/>
    </row>
    <row r="68" spans="1:48 16384:16384" x14ac:dyDescent="0.2">
      <c r="A68" t="s">
        <v>181</v>
      </c>
      <c r="B68" s="191">
        <v>1</v>
      </c>
      <c r="C68" s="191"/>
      <c r="D68" s="191">
        <v>0.99747592950676511</v>
      </c>
      <c r="E68" s="191"/>
      <c r="F68" s="191">
        <v>0.99494994810101878</v>
      </c>
      <c r="G68" s="191"/>
      <c r="H68" s="191">
        <v>0.9924229575223259</v>
      </c>
      <c r="I68" s="191"/>
      <c r="J68" s="191">
        <v>0.98990024728530024</v>
      </c>
      <c r="K68" s="191"/>
      <c r="L68" s="191">
        <v>0.98739441387602866</v>
      </c>
      <c r="M68" s="191"/>
      <c r="N68" s="191">
        <v>0.98492900326333865</v>
      </c>
      <c r="O68" s="191"/>
      <c r="P68" s="191">
        <v>0.98250745017301355</v>
      </c>
      <c r="Q68" s="191"/>
      <c r="R68" s="191">
        <v>0.98410892047887866</v>
      </c>
      <c r="S68" s="191"/>
      <c r="T68" s="191" t="e">
        <v>#DIV/0!</v>
      </c>
      <c r="U68" s="191"/>
      <c r="V68" s="191" t="e">
        <v>#DIV/0!</v>
      </c>
      <c r="W68" s="191"/>
      <c r="X68" s="191" t="e">
        <v>#DIV/0!</v>
      </c>
      <c r="Y68" s="191"/>
      <c r="Z68" s="191" t="e">
        <v>#DIV/0!</v>
      </c>
      <c r="AA68" s="191"/>
      <c r="AB68" s="191" t="e">
        <v>#DIV/0!</v>
      </c>
      <c r="AC68" s="191"/>
      <c r="AD68" s="191" t="e">
        <v>#DIV/0!</v>
      </c>
      <c r="AE68" s="191"/>
      <c r="AF68" s="191" t="e">
        <v>#DIV/0!</v>
      </c>
      <c r="AG68" s="191"/>
      <c r="AH68" s="191" t="e">
        <v>#DIV/0!</v>
      </c>
      <c r="AI68" s="191"/>
      <c r="AJ68" s="191" t="e">
        <v>#DIV/0!</v>
      </c>
      <c r="AK68" s="191"/>
      <c r="AL68" s="191" t="e">
        <v>#DIV/0!</v>
      </c>
      <c r="AM68" s="191"/>
      <c r="AN68" s="191" t="e">
        <v>#DIV/0!</v>
      </c>
      <c r="AO68" s="191"/>
      <c r="AP68" s="191" t="e">
        <v>#DIV/0!</v>
      </c>
      <c r="AQ68" s="191"/>
      <c r="AR68" s="191" t="e">
        <v>#DIV/0!</v>
      </c>
      <c r="AS68" s="191"/>
      <c r="AT68" s="191" t="e">
        <v>#DIV/0!</v>
      </c>
      <c r="AU68" s="191"/>
      <c r="AV68" s="191" t="e">
        <v>#DIV/0!</v>
      </c>
      <c r="XFD68" s="191"/>
    </row>
    <row r="69" spans="1:48 16384:16384" x14ac:dyDescent="0.2">
      <c r="A69" t="s">
        <v>177</v>
      </c>
      <c r="B69" s="191">
        <v>1</v>
      </c>
      <c r="C69" s="191"/>
      <c r="D69" s="191">
        <v>1.0124931522920257</v>
      </c>
      <c r="E69" s="191"/>
      <c r="F69" s="191">
        <v>1.0264363288544951</v>
      </c>
      <c r="G69" s="191"/>
      <c r="H69" s="191">
        <v>1.0423594995827448</v>
      </c>
      <c r="I69" s="191"/>
      <c r="J69" s="191">
        <v>1.061145127567984</v>
      </c>
      <c r="K69" s="191"/>
      <c r="L69" s="191">
        <v>1.084454762427403</v>
      </c>
      <c r="M69" s="191"/>
      <c r="N69" s="191">
        <v>1.1161887910900803</v>
      </c>
      <c r="O69" s="191"/>
      <c r="P69" s="191">
        <v>1.1731902439313193</v>
      </c>
      <c r="Q69" s="191"/>
      <c r="R69" s="191">
        <v>1.3633477596498751</v>
      </c>
      <c r="S69" s="191"/>
      <c r="T69" s="191" t="e">
        <v>#DIV/0!</v>
      </c>
      <c r="U69" s="191"/>
      <c r="V69" s="191" t="e">
        <v>#DIV/0!</v>
      </c>
      <c r="W69" s="191"/>
      <c r="X69" s="191" t="e">
        <v>#DIV/0!</v>
      </c>
      <c r="Y69" s="191"/>
      <c r="Z69" s="191" t="e">
        <v>#DIV/0!</v>
      </c>
      <c r="AA69" s="191"/>
      <c r="AB69" s="191" t="e">
        <v>#DIV/0!</v>
      </c>
      <c r="AC69" s="191"/>
      <c r="AD69" s="191" t="e">
        <v>#DIV/0!</v>
      </c>
      <c r="AE69" s="191"/>
      <c r="AF69" s="191" t="e">
        <v>#DIV/0!</v>
      </c>
      <c r="AG69" s="191"/>
      <c r="AH69" s="191" t="e">
        <v>#DIV/0!</v>
      </c>
      <c r="AI69" s="191"/>
      <c r="AJ69" s="191" t="e">
        <v>#DIV/0!</v>
      </c>
      <c r="AK69" s="191"/>
      <c r="AL69" s="191" t="e">
        <v>#DIV/0!</v>
      </c>
      <c r="AM69" s="191"/>
      <c r="AN69" s="191" t="e">
        <v>#DIV/0!</v>
      </c>
      <c r="AO69" s="191"/>
      <c r="AP69" s="191" t="e">
        <v>#DIV/0!</v>
      </c>
      <c r="AQ69" s="191"/>
      <c r="AR69" s="191" t="e">
        <v>#DIV/0!</v>
      </c>
      <c r="AS69" s="191"/>
      <c r="AT69" s="191" t="e">
        <v>#DIV/0!</v>
      </c>
      <c r="AU69" s="191"/>
      <c r="AV69" s="191" t="e">
        <v>#DIV/0!</v>
      </c>
    </row>
    <row r="70" spans="1:48 16384:16384" x14ac:dyDescent="0.2">
      <c r="A70" t="s">
        <v>178</v>
      </c>
      <c r="B70" s="138">
        <v>1</v>
      </c>
      <c r="C70" s="138"/>
      <c r="D70" s="138">
        <v>1.0122994937372423</v>
      </c>
      <c r="E70" s="138"/>
      <c r="F70" s="138">
        <v>1.0259559388753741</v>
      </c>
      <c r="G70" s="138"/>
      <c r="H70" s="138">
        <v>1.041458756880363</v>
      </c>
      <c r="I70" s="138"/>
      <c r="J70" s="138">
        <v>1.0596211916162481</v>
      </c>
      <c r="K70" s="138"/>
      <c r="L70" s="138">
        <v>1.0819755323774092</v>
      </c>
      <c r="M70" s="138"/>
      <c r="N70" s="138">
        <v>1.1121350411271025</v>
      </c>
      <c r="O70" s="138"/>
      <c r="P70" s="138">
        <v>1.1658713059592749</v>
      </c>
      <c r="Q70" s="138"/>
      <c r="R70" s="138">
        <v>1.3489991112353255</v>
      </c>
      <c r="S70" s="138"/>
      <c r="T70" s="138">
        <v>0</v>
      </c>
      <c r="U70" s="138"/>
      <c r="V70" s="138">
        <v>0</v>
      </c>
      <c r="W70" s="138"/>
      <c r="X70" s="138">
        <v>0</v>
      </c>
      <c r="Y70" s="138"/>
      <c r="Z70" s="138">
        <v>0</v>
      </c>
      <c r="AA70" s="138"/>
      <c r="AB70" s="138">
        <v>0</v>
      </c>
      <c r="AC70" s="138"/>
      <c r="AD70" s="138">
        <v>0</v>
      </c>
      <c r="AE70" s="138"/>
      <c r="AF70" s="138">
        <v>0</v>
      </c>
      <c r="AG70" s="138"/>
      <c r="AH70" s="138">
        <v>0</v>
      </c>
      <c r="AI70" s="138"/>
      <c r="AJ70" s="138">
        <v>0</v>
      </c>
      <c r="AK70" s="138"/>
      <c r="AL70" s="138">
        <v>0</v>
      </c>
      <c r="AM70" s="138"/>
      <c r="AN70" s="138">
        <v>0</v>
      </c>
      <c r="AO70" s="138"/>
      <c r="AP70" s="138">
        <v>0</v>
      </c>
      <c r="AQ70" s="138"/>
      <c r="AR70" s="138">
        <v>0</v>
      </c>
      <c r="AS70" s="138"/>
      <c r="AT70" s="138">
        <v>0</v>
      </c>
      <c r="AU70" s="138"/>
      <c r="AV70" s="138">
        <v>0</v>
      </c>
    </row>
    <row r="71" spans="1:48 16384:16384" x14ac:dyDescent="0.2">
      <c r="A71" t="s">
        <v>179</v>
      </c>
      <c r="B71" s="138">
        <v>1</v>
      </c>
      <c r="D71" s="138">
        <v>0.89459081479118729</v>
      </c>
      <c r="E71" s="138"/>
      <c r="F71" s="138">
        <v>0.78998622138788521</v>
      </c>
      <c r="G71" s="138"/>
      <c r="H71" s="138">
        <v>0.68627415292813365</v>
      </c>
      <c r="I71" s="138"/>
      <c r="J71" s="138">
        <v>0.58352277149198972</v>
      </c>
      <c r="K71" s="138"/>
      <c r="L71" s="138">
        <v>0.48168269222785737</v>
      </c>
      <c r="M71" s="138"/>
      <c r="N71" s="138">
        <v>0.38012743194765564</v>
      </c>
      <c r="O71" s="138"/>
      <c r="P71" s="138">
        <v>0.27351050736501181</v>
      </c>
      <c r="Q71" s="138"/>
      <c r="R71" s="138">
        <v>0.33026920252758818</v>
      </c>
      <c r="S71" s="138"/>
      <c r="T71" s="138">
        <v>0</v>
      </c>
      <c r="U71" s="138"/>
      <c r="V71" s="138">
        <v>0</v>
      </c>
      <c r="W71" s="138"/>
      <c r="X71" s="138">
        <v>0</v>
      </c>
      <c r="Y71" s="138"/>
      <c r="Z71" s="138">
        <v>0</v>
      </c>
      <c r="AA71" s="138"/>
      <c r="AB71" s="138">
        <v>0</v>
      </c>
      <c r="AC71" s="138"/>
      <c r="AD71" s="138">
        <v>0</v>
      </c>
      <c r="AE71" s="138"/>
      <c r="AF71" s="138">
        <v>0</v>
      </c>
      <c r="AG71" s="138"/>
      <c r="AH71" s="138">
        <v>0</v>
      </c>
      <c r="AI71" s="138"/>
      <c r="AJ71" s="138">
        <v>0</v>
      </c>
      <c r="AK71" s="138"/>
      <c r="AL71" s="138">
        <v>0</v>
      </c>
      <c r="AM71" s="138"/>
      <c r="AN71" s="138">
        <v>0</v>
      </c>
      <c r="AO71" s="138"/>
      <c r="AP71" s="138">
        <v>0</v>
      </c>
      <c r="AQ71" s="138"/>
      <c r="AR71" s="138">
        <v>0</v>
      </c>
      <c r="AS71" s="138"/>
      <c r="AT71" s="138">
        <v>0</v>
      </c>
      <c r="AU71" s="138"/>
      <c r="AV71" s="138">
        <v>0</v>
      </c>
      <c r="XFD71" s="138"/>
    </row>
    <row r="72" spans="1:48 16384:16384" x14ac:dyDescent="0.2">
      <c r="A72" t="s">
        <v>180</v>
      </c>
      <c r="B72" s="138">
        <v>1</v>
      </c>
      <c r="D72" s="138">
        <v>1.0383964170773026</v>
      </c>
      <c r="E72" s="138"/>
      <c r="F72" s="138">
        <v>1.0812378600051127</v>
      </c>
      <c r="G72" s="138"/>
      <c r="H72" s="138">
        <v>1.1292763251847207</v>
      </c>
      <c r="I72" s="138"/>
      <c r="J72" s="138">
        <v>1.1835987537566044</v>
      </c>
      <c r="K72" s="138"/>
      <c r="L72" s="138">
        <v>1.2460526975735617</v>
      </c>
      <c r="M72" s="138"/>
      <c r="N72" s="138">
        <v>1.3208365641166944</v>
      </c>
      <c r="O72" s="138"/>
      <c r="P72" s="138">
        <v>1.4273295146090423</v>
      </c>
      <c r="Q72" s="138"/>
      <c r="R72" s="138">
        <v>1.6078808986528128</v>
      </c>
      <c r="S72" s="138"/>
      <c r="T72" s="138">
        <v>0</v>
      </c>
      <c r="U72" s="138"/>
      <c r="V72" s="138">
        <v>0</v>
      </c>
      <c r="W72" s="138"/>
      <c r="X72" s="138">
        <v>0</v>
      </c>
      <c r="Y72" s="138"/>
      <c r="Z72" s="138">
        <v>0</v>
      </c>
      <c r="AA72" s="138"/>
      <c r="AB72" s="138">
        <v>0</v>
      </c>
      <c r="AC72" s="138"/>
      <c r="AD72" s="138">
        <v>0</v>
      </c>
      <c r="AE72" s="138"/>
      <c r="AF72" s="138">
        <v>0</v>
      </c>
      <c r="AG72" s="138"/>
      <c r="AH72" s="138">
        <v>0</v>
      </c>
      <c r="AI72" s="138"/>
      <c r="AJ72" s="138">
        <v>0</v>
      </c>
      <c r="AK72" s="138"/>
      <c r="AL72" s="138">
        <v>0</v>
      </c>
      <c r="AM72" s="138"/>
      <c r="AN72" s="138">
        <v>0</v>
      </c>
      <c r="AO72" s="138"/>
      <c r="AP72" s="138">
        <v>0</v>
      </c>
      <c r="AQ72" s="138"/>
      <c r="AR72" s="138">
        <v>0</v>
      </c>
      <c r="AS72" s="138"/>
      <c r="AT72" s="138">
        <v>0</v>
      </c>
      <c r="AU72" s="138"/>
      <c r="AV72" s="138">
        <v>0</v>
      </c>
      <c r="XFD72" s="138"/>
    </row>
    <row r="73" spans="1:48 16384:16384" x14ac:dyDescent="0.2">
      <c r="A73" t="s">
        <v>184</v>
      </c>
      <c r="B73" s="193">
        <v>0.56706723273486059</v>
      </c>
      <c r="D73" s="193">
        <v>0.56910249448364947</v>
      </c>
      <c r="E73" s="138"/>
      <c r="F73" s="193">
        <v>0.57136953403055502</v>
      </c>
      <c r="G73" s="138"/>
      <c r="H73" s="193">
        <v>0.5739502330191798</v>
      </c>
      <c r="I73" s="138"/>
      <c r="J73" s="193">
        <v>0.57697892984211907</v>
      </c>
      <c r="K73" s="138"/>
      <c r="L73" s="193">
        <v>0.5807033723570445</v>
      </c>
      <c r="M73" s="138"/>
      <c r="N73" s="193">
        <v>0.58569026874748409</v>
      </c>
      <c r="O73" s="138"/>
      <c r="P73" s="193">
        <v>0.59430854180448955</v>
      </c>
      <c r="Q73" s="138"/>
      <c r="R73" s="193">
        <v>0.61925959147205267</v>
      </c>
      <c r="S73" s="138"/>
      <c r="T73" s="193" t="e">
        <v>#DIV/0!</v>
      </c>
      <c r="U73" s="138"/>
      <c r="V73" s="193" t="e">
        <v>#DIV/0!</v>
      </c>
      <c r="W73" s="138"/>
      <c r="X73" s="193" t="e">
        <v>#DIV/0!</v>
      </c>
      <c r="Y73" s="138"/>
      <c r="Z73" s="193" t="e">
        <v>#DIV/0!</v>
      </c>
      <c r="AA73" s="138"/>
      <c r="AB73" s="193" t="e">
        <v>#DIV/0!</v>
      </c>
      <c r="AC73" s="138"/>
      <c r="AD73" s="193" t="e">
        <v>#DIV/0!</v>
      </c>
      <c r="AE73" s="138"/>
      <c r="AF73" s="193" t="e">
        <v>#DIV/0!</v>
      </c>
      <c r="AG73" s="138"/>
      <c r="AH73" s="193" t="e">
        <v>#DIV/0!</v>
      </c>
      <c r="AI73" s="138"/>
      <c r="AJ73" s="193" t="e">
        <v>#DIV/0!</v>
      </c>
      <c r="AK73" s="138"/>
      <c r="AL73" s="193" t="e">
        <v>#DIV/0!</v>
      </c>
      <c r="AM73" s="138"/>
      <c r="AN73" s="193" t="e">
        <v>#DIV/0!</v>
      </c>
      <c r="AO73" s="138"/>
      <c r="AP73" s="193" t="e">
        <v>#DIV/0!</v>
      </c>
      <c r="AQ73" s="138"/>
      <c r="AR73" s="193" t="e">
        <v>#DIV/0!</v>
      </c>
      <c r="AS73" s="138"/>
      <c r="AT73" s="193" t="e">
        <v>#DIV/0!</v>
      </c>
      <c r="AU73" s="138"/>
      <c r="AV73" s="193" t="e">
        <v>#DIV/0!</v>
      </c>
      <c r="XFD73" s="193"/>
    </row>
    <row r="74" spans="1:48 16384:16384" x14ac:dyDescent="0.2">
      <c r="A74" t="s">
        <v>185</v>
      </c>
      <c r="B74" s="193">
        <v>0.21672767296897655</v>
      </c>
      <c r="D74" s="193">
        <v>0.21672767296897655</v>
      </c>
      <c r="E74" s="138"/>
      <c r="F74" s="193">
        <v>0.21672767296897655</v>
      </c>
      <c r="G74" s="138"/>
      <c r="H74" s="193">
        <v>0.21672767296897658</v>
      </c>
      <c r="I74" s="138"/>
      <c r="J74" s="193">
        <v>0.21672767296897655</v>
      </c>
      <c r="K74" s="138"/>
      <c r="L74" s="193">
        <v>0.21672767296897655</v>
      </c>
      <c r="M74" s="138"/>
      <c r="N74" s="193">
        <v>0.21672767296897655</v>
      </c>
      <c r="O74" s="138"/>
      <c r="P74" s="193">
        <v>0.21672767296897655</v>
      </c>
      <c r="Q74" s="138"/>
      <c r="R74" s="193">
        <v>0.21672767296897655</v>
      </c>
      <c r="S74" s="138"/>
      <c r="T74" s="193" t="e">
        <v>#DIV/0!</v>
      </c>
      <c r="U74" s="138"/>
      <c r="V74" s="193" t="e">
        <v>#DIV/0!</v>
      </c>
      <c r="W74" s="138"/>
      <c r="X74" s="193" t="e">
        <v>#DIV/0!</v>
      </c>
      <c r="Y74" s="138"/>
      <c r="Z74" s="193" t="e">
        <v>#DIV/0!</v>
      </c>
      <c r="AA74" s="138"/>
      <c r="AB74" s="193" t="e">
        <v>#DIV/0!</v>
      </c>
      <c r="AC74" s="138"/>
      <c r="AD74" s="193" t="e">
        <v>#DIV/0!</v>
      </c>
      <c r="AE74" s="138"/>
      <c r="AF74" s="193" t="e">
        <v>#DIV/0!</v>
      </c>
      <c r="AG74" s="138"/>
      <c r="AH74" s="193" t="e">
        <v>#DIV/0!</v>
      </c>
      <c r="AI74" s="138"/>
      <c r="AJ74" s="193" t="e">
        <v>#DIV/0!</v>
      </c>
      <c r="AK74" s="138"/>
      <c r="AL74" s="193" t="e">
        <v>#DIV/0!</v>
      </c>
      <c r="AM74" s="138"/>
      <c r="AN74" s="193" t="e">
        <v>#DIV/0!</v>
      </c>
      <c r="AO74" s="138"/>
      <c r="AP74" s="193" t="e">
        <v>#DIV/0!</v>
      </c>
      <c r="AQ74" s="138"/>
      <c r="AR74" s="193" t="e">
        <v>#DIV/0!</v>
      </c>
      <c r="AS74" s="138"/>
      <c r="AT74" s="193" t="e">
        <v>#DIV/0!</v>
      </c>
      <c r="AU74" s="138"/>
      <c r="AV74" s="193" t="e">
        <v>#DIV/0!</v>
      </c>
      <c r="XFD74" s="193"/>
    </row>
    <row r="75" spans="1:48 16384:16384" x14ac:dyDescent="0.2">
      <c r="A75" t="s">
        <v>186</v>
      </c>
      <c r="B75" s="193">
        <v>0.20445380142857192</v>
      </c>
      <c r="D75" s="193">
        <v>0.2024185428749285</v>
      </c>
      <c r="E75" s="138"/>
      <c r="F75" s="193">
        <v>0.20015150770368248</v>
      </c>
      <c r="G75" s="138"/>
      <c r="H75" s="193">
        <v>0.19757080072513944</v>
      </c>
      <c r="I75" s="138"/>
      <c r="J75" s="193">
        <v>0.19454211314072914</v>
      </c>
      <c r="K75" s="138"/>
      <c r="L75" s="193">
        <v>0.19081766273176673</v>
      </c>
      <c r="M75" s="138"/>
      <c r="N75" s="193">
        <v>0.18583077034062143</v>
      </c>
      <c r="O75" s="138"/>
      <c r="P75" s="193">
        <v>0.17721250019401408</v>
      </c>
      <c r="Q75" s="138"/>
      <c r="R75" s="193">
        <v>0.15226144431421212</v>
      </c>
      <c r="S75" s="138"/>
      <c r="T75" s="193" t="e">
        <v>#DIV/0!</v>
      </c>
      <c r="U75" s="138"/>
      <c r="V75" s="193" t="e">
        <v>#DIV/0!</v>
      </c>
      <c r="W75" s="138"/>
      <c r="X75" s="193" t="e">
        <v>#DIV/0!</v>
      </c>
      <c r="Y75" s="138"/>
      <c r="Z75" s="193" t="e">
        <v>#DIV/0!</v>
      </c>
      <c r="AA75" s="138"/>
      <c r="AB75" s="193" t="e">
        <v>#DIV/0!</v>
      </c>
      <c r="AC75" s="138"/>
      <c r="AD75" s="193" t="e">
        <v>#DIV/0!</v>
      </c>
      <c r="AE75" s="138"/>
      <c r="AF75" s="193" t="e">
        <v>#DIV/0!</v>
      </c>
      <c r="AG75" s="138"/>
      <c r="AH75" s="193" t="e">
        <v>#DIV/0!</v>
      </c>
      <c r="AI75" s="138"/>
      <c r="AJ75" s="193" t="e">
        <v>#DIV/0!</v>
      </c>
      <c r="AK75" s="138"/>
      <c r="AL75" s="193" t="e">
        <v>#DIV/0!</v>
      </c>
      <c r="AM75" s="138"/>
      <c r="AN75" s="193" t="e">
        <v>#DIV/0!</v>
      </c>
      <c r="AO75" s="138"/>
      <c r="AP75" s="193" t="e">
        <v>#DIV/0!</v>
      </c>
      <c r="AQ75" s="138"/>
      <c r="AR75" s="193" t="e">
        <v>#DIV/0!</v>
      </c>
      <c r="AS75" s="138"/>
      <c r="AT75" s="193" t="e">
        <v>#DIV/0!</v>
      </c>
      <c r="AU75" s="138"/>
      <c r="AV75" s="193" t="e">
        <v>#DIV/0!</v>
      </c>
      <c r="XFD75" s="193"/>
    </row>
    <row r="76" spans="1:48 16384:16384" x14ac:dyDescent="0.2">
      <c r="A76" t="s">
        <v>187</v>
      </c>
      <c r="B76" s="193">
        <v>0.20231859885161138</v>
      </c>
      <c r="D76" s="193">
        <v>0.20280505702767768</v>
      </c>
      <c r="E76" s="138"/>
      <c r="F76" s="193">
        <v>0.2033688036474165</v>
      </c>
      <c r="G76" s="138"/>
      <c r="H76" s="193">
        <v>0.20400437255678219</v>
      </c>
      <c r="I76" s="138"/>
      <c r="J76" s="193">
        <v>0.20469848538818539</v>
      </c>
      <c r="K76" s="138"/>
      <c r="L76" s="193">
        <v>0.20542289805238292</v>
      </c>
      <c r="M76" s="138"/>
      <c r="N76" s="193">
        <v>0.20611577388392727</v>
      </c>
      <c r="O76" s="138"/>
      <c r="P76" s="193">
        <v>0.20659592142923577</v>
      </c>
      <c r="Q76" s="138"/>
      <c r="R76" s="193">
        <v>0.20478933589732506</v>
      </c>
      <c r="S76" s="138"/>
      <c r="T76" s="193" t="e">
        <v>#DIV/0!</v>
      </c>
      <c r="U76" s="138"/>
      <c r="V76" s="193" t="e">
        <v>#DIV/0!</v>
      </c>
      <c r="W76" s="138"/>
      <c r="X76" s="193" t="e">
        <v>#DIV/0!</v>
      </c>
      <c r="Y76" s="138"/>
      <c r="Z76" s="193" t="e">
        <v>#DIV/0!</v>
      </c>
      <c r="AA76" s="138"/>
      <c r="AB76" s="193" t="e">
        <v>#DIV/0!</v>
      </c>
      <c r="AC76" s="138"/>
      <c r="AD76" s="193" t="e">
        <v>#DIV/0!</v>
      </c>
      <c r="AE76" s="138"/>
      <c r="AF76" s="193" t="e">
        <v>#DIV/0!</v>
      </c>
      <c r="AG76" s="138"/>
      <c r="AH76" s="193" t="e">
        <v>#DIV/0!</v>
      </c>
      <c r="AI76" s="138"/>
      <c r="AJ76" s="193" t="e">
        <v>#DIV/0!</v>
      </c>
      <c r="AK76" s="138"/>
      <c r="AL76" s="193" t="e">
        <v>#DIV/0!</v>
      </c>
      <c r="AM76" s="138"/>
      <c r="AN76" s="193" t="e">
        <v>#DIV/0!</v>
      </c>
      <c r="AO76" s="138"/>
      <c r="AP76" s="193" t="e">
        <v>#DIV/0!</v>
      </c>
      <c r="AQ76" s="138"/>
      <c r="AR76" s="193" t="e">
        <v>#DIV/0!</v>
      </c>
      <c r="AS76" s="138"/>
      <c r="AT76" s="193" t="e">
        <v>#DIV/0!</v>
      </c>
      <c r="AU76" s="138"/>
      <c r="AV76" s="193" t="e">
        <v>#DIV/0!</v>
      </c>
      <c r="XFD76" s="193"/>
    </row>
    <row r="77" spans="1:48 16384:16384" x14ac:dyDescent="0.2">
      <c r="A77" t="s">
        <v>188</v>
      </c>
      <c r="B77" s="193">
        <v>0.19056730598402016</v>
      </c>
      <c r="D77" s="193">
        <v>0.19105376735523202</v>
      </c>
      <c r="E77" s="138"/>
      <c r="F77" s="193">
        <v>0.1916175183506304</v>
      </c>
      <c r="G77" s="138"/>
      <c r="H77" s="193">
        <v>0.19225307927007798</v>
      </c>
      <c r="I77" s="138"/>
      <c r="J77" s="193">
        <v>0.19294720134001003</v>
      </c>
      <c r="K77" s="138"/>
      <c r="L77" s="193">
        <v>0.19367160611017051</v>
      </c>
      <c r="M77" s="138"/>
      <c r="N77" s="193">
        <v>0.19436448594100908</v>
      </c>
      <c r="O77" s="138"/>
      <c r="P77" s="193">
        <v>0.19484463639671576</v>
      </c>
      <c r="Q77" s="138"/>
      <c r="R77" s="193">
        <v>0.19303804465256613</v>
      </c>
      <c r="S77" s="138"/>
      <c r="T77" s="193" t="e">
        <v>#DIV/0!</v>
      </c>
      <c r="U77" s="138"/>
      <c r="V77" s="193" t="e">
        <v>#DIV/0!</v>
      </c>
      <c r="W77" s="138"/>
      <c r="X77" s="193" t="e">
        <v>#DIV/0!</v>
      </c>
      <c r="Y77" s="138"/>
      <c r="Z77" s="193" t="e">
        <v>#DIV/0!</v>
      </c>
      <c r="AA77" s="138"/>
      <c r="AB77" s="193" t="e">
        <v>#DIV/0!</v>
      </c>
      <c r="AC77" s="138"/>
      <c r="AD77" s="193" t="e">
        <v>#DIV/0!</v>
      </c>
      <c r="AE77" s="138"/>
      <c r="AF77" s="193" t="e">
        <v>#DIV/0!</v>
      </c>
      <c r="AG77" s="138"/>
      <c r="AH77" s="193" t="e">
        <v>#DIV/0!</v>
      </c>
      <c r="AI77" s="138"/>
      <c r="AJ77" s="193" t="e">
        <v>#DIV/0!</v>
      </c>
      <c r="AK77" s="138"/>
      <c r="AL77" s="193" t="e">
        <v>#DIV/0!</v>
      </c>
      <c r="AM77" s="138"/>
      <c r="AN77" s="193" t="e">
        <v>#DIV/0!</v>
      </c>
      <c r="AO77" s="138"/>
      <c r="AP77" s="193" t="e">
        <v>#DIV/0!</v>
      </c>
      <c r="AQ77" s="138"/>
      <c r="AR77" s="193" t="e">
        <v>#DIV/0!</v>
      </c>
      <c r="AS77" s="138"/>
      <c r="AT77" s="193" t="e">
        <v>#DIV/0!</v>
      </c>
      <c r="AU77" s="138"/>
      <c r="AV77" s="193" t="e">
        <v>#DIV/0!</v>
      </c>
      <c r="XFD77" s="193"/>
    </row>
    <row r="78" spans="1:48 16384:16384" x14ac:dyDescent="0.2">
      <c r="A78" t="s">
        <v>189</v>
      </c>
      <c r="B78" s="193">
        <v>0.27666372811889955</v>
      </c>
      <c r="D78" s="193">
        <v>0.2806794888248127</v>
      </c>
      <c r="E78" s="138"/>
      <c r="F78" s="193">
        <v>0.28541684663688754</v>
      </c>
      <c r="G78" s="138"/>
      <c r="H78" s="193">
        <v>0.2911510073157505</v>
      </c>
      <c r="I78" s="138"/>
      <c r="J78" s="193">
        <v>0.29834757941359485</v>
      </c>
      <c r="K78" s="138"/>
      <c r="L78" s="193">
        <v>0.3079007064467118</v>
      </c>
      <c r="M78" s="138"/>
      <c r="N78" s="193">
        <v>0.32196390902352318</v>
      </c>
      <c r="O78" s="138"/>
      <c r="P78" s="193">
        <v>0.35019089517581276</v>
      </c>
      <c r="Q78" s="138"/>
      <c r="R78" s="193">
        <v>0.48045442943610223</v>
      </c>
      <c r="S78" s="138"/>
      <c r="T78" s="193" t="e">
        <v>#DIV/0!</v>
      </c>
      <c r="U78" s="138"/>
      <c r="V78" s="193" t="e">
        <v>#DIV/0!</v>
      </c>
      <c r="W78" s="138"/>
      <c r="X78" s="193" t="e">
        <v>#DIV/0!</v>
      </c>
      <c r="Y78" s="138"/>
      <c r="Z78" s="193" t="e">
        <v>#DIV/0!</v>
      </c>
      <c r="AA78" s="138"/>
      <c r="AB78" s="193" t="e">
        <v>#DIV/0!</v>
      </c>
      <c r="AC78" s="138"/>
      <c r="AD78" s="193" t="e">
        <v>#DIV/0!</v>
      </c>
      <c r="AE78" s="138"/>
      <c r="AF78" s="193" t="e">
        <v>#DIV/0!</v>
      </c>
      <c r="AG78" s="138"/>
      <c r="AH78" s="193" t="e">
        <v>#DIV/0!</v>
      </c>
      <c r="AI78" s="138"/>
      <c r="AJ78" s="193" t="e">
        <v>#DIV/0!</v>
      </c>
      <c r="AK78" s="138"/>
      <c r="AL78" s="193" t="e">
        <v>#DIV/0!</v>
      </c>
      <c r="AM78" s="138"/>
      <c r="AN78" s="193" t="e">
        <v>#DIV/0!</v>
      </c>
      <c r="AO78" s="138"/>
      <c r="AP78" s="193" t="e">
        <v>#DIV/0!</v>
      </c>
      <c r="AQ78" s="138"/>
      <c r="AR78" s="193" t="e">
        <v>#DIV/0!</v>
      </c>
      <c r="AS78" s="138"/>
      <c r="AT78" s="193" t="e">
        <v>#DIV/0!</v>
      </c>
      <c r="AU78" s="138"/>
      <c r="AV78" s="193" t="e">
        <v>#DIV/0!</v>
      </c>
      <c r="XFD78" s="193"/>
    </row>
    <row r="79" spans="1:48 16384:16384" x14ac:dyDescent="0.2">
      <c r="A79" t="s">
        <v>190</v>
      </c>
      <c r="B79" s="193">
        <v>0.42990307543833983</v>
      </c>
      <c r="D79" s="193">
        <v>0.41923600245806131</v>
      </c>
      <c r="F79" s="193">
        <v>0.40708987073280195</v>
      </c>
      <c r="H79" s="193">
        <v>0.39292187393014005</v>
      </c>
      <c r="J79" s="193">
        <v>0.37582741461198416</v>
      </c>
      <c r="L79" s="193">
        <v>0.35410264953858445</v>
      </c>
      <c r="N79" s="193">
        <v>0.32374205165992642</v>
      </c>
      <c r="P79" s="193">
        <v>0.2673501798570258</v>
      </c>
      <c r="R79" s="193">
        <v>5.5545686552176288E-2</v>
      </c>
      <c r="T79" s="193" t="e">
        <v>#DIV/0!</v>
      </c>
      <c r="V79" s="193" t="e">
        <v>#DIV/0!</v>
      </c>
      <c r="X79" s="193" t="e">
        <v>#DIV/0!</v>
      </c>
      <c r="Z79" s="193" t="e">
        <v>#DIV/0!</v>
      </c>
      <c r="AB79" s="193" t="e">
        <v>#DIV/0!</v>
      </c>
      <c r="AD79" s="193" t="e">
        <v>#DIV/0!</v>
      </c>
      <c r="AF79" s="193" t="e">
        <v>#DIV/0!</v>
      </c>
      <c r="AH79" s="193" t="e">
        <v>#DIV/0!</v>
      </c>
      <c r="AJ79" s="193" t="e">
        <v>#DIV/0!</v>
      </c>
      <c r="AL79" s="193" t="e">
        <v>#DIV/0!</v>
      </c>
      <c r="AN79" s="193" t="e">
        <v>#DIV/0!</v>
      </c>
      <c r="AP79" s="193" t="e">
        <v>#DIV/0!</v>
      </c>
      <c r="AR79" s="193" t="e">
        <v>#DIV/0!</v>
      </c>
      <c r="AT79" s="193" t="e">
        <v>#DIV/0!</v>
      </c>
      <c r="AV79" s="193" t="e">
        <v>#DIV/0!</v>
      </c>
      <c r="XFD79" s="193"/>
    </row>
    <row r="80" spans="1:48 16384:16384" x14ac:dyDescent="0.2">
      <c r="A80" t="s">
        <v>169</v>
      </c>
      <c r="B80" s="236">
        <v>0.29343319644276039</v>
      </c>
      <c r="D80" s="236">
        <v>0.30008449758032324</v>
      </c>
      <c r="F80" s="236">
        <v>0.3074932547254613</v>
      </c>
      <c r="H80" s="236">
        <v>0.31592711845864874</v>
      </c>
      <c r="J80" s="236">
        <v>0.3258249876845864</v>
      </c>
      <c r="L80" s="236">
        <v>0.33799663877321651</v>
      </c>
      <c r="N80" s="236">
        <v>0.35429400167438302</v>
      </c>
      <c r="P80" s="236">
        <v>0.38245884035595185</v>
      </c>
      <c r="R80" s="236">
        <v>0.46399988760177896</v>
      </c>
      <c r="T80" s="236" t="e">
        <v>#DIV/0!</v>
      </c>
      <c r="V80" s="236" t="e">
        <v>#DIV/0!</v>
      </c>
      <c r="X80" s="236" t="e">
        <v>#DIV/0!</v>
      </c>
      <c r="Z80" s="236" t="e">
        <v>#DIV/0!</v>
      </c>
      <c r="AB80" s="236" t="e">
        <v>#DIV/0!</v>
      </c>
      <c r="AD80" s="236" t="e">
        <v>#DIV/0!</v>
      </c>
      <c r="AF80" s="236" t="e">
        <v>#DIV/0!</v>
      </c>
      <c r="AH80" s="236" t="e">
        <v>#DIV/0!</v>
      </c>
      <c r="AJ80" s="236" t="e">
        <v>#DIV/0!</v>
      </c>
      <c r="AL80" s="236" t="e">
        <v>#DIV/0!</v>
      </c>
      <c r="AN80" s="236" t="e">
        <v>#DIV/0!</v>
      </c>
      <c r="AP80" s="236" t="e">
        <v>#DIV/0!</v>
      </c>
      <c r="AR80" s="236" t="e">
        <v>#DIV/0!</v>
      </c>
      <c r="AT80" s="236" t="e">
        <v>#DIV/0!</v>
      </c>
      <c r="AV80" s="236" t="e">
        <v>#DIV/0!</v>
      </c>
      <c r="XFD80" s="236"/>
    </row>
    <row r="81" spans="1:48 16384:16384" x14ac:dyDescent="0.2">
      <c r="A81" t="s">
        <v>191</v>
      </c>
      <c r="B81" s="236">
        <v>7.6705523473783829E-2</v>
      </c>
      <c r="D81" s="236">
        <v>8.3356824611346664E-2</v>
      </c>
      <c r="F81" s="236">
        <v>9.0765581756484734E-2</v>
      </c>
      <c r="H81" s="236">
        <v>9.9199445489672189E-2</v>
      </c>
      <c r="J81" s="236">
        <v>0.10909731471560986</v>
      </c>
      <c r="L81" s="236">
        <v>0.12126896580423994</v>
      </c>
      <c r="N81" s="236">
        <v>0.13756632870540647</v>
      </c>
      <c r="P81" s="236">
        <v>0.16573116738697527</v>
      </c>
      <c r="R81" s="236">
        <v>0.24727221463280241</v>
      </c>
      <c r="T81" s="236" t="e">
        <v>#DIV/0!</v>
      </c>
      <c r="V81" s="236" t="e">
        <v>#DIV/0!</v>
      </c>
      <c r="X81" s="236" t="e">
        <v>#DIV/0!</v>
      </c>
      <c r="Z81" s="236" t="e">
        <v>#DIV/0!</v>
      </c>
      <c r="AB81" s="236" t="e">
        <v>#DIV/0!</v>
      </c>
      <c r="AD81" s="236" t="e">
        <v>#DIV/0!</v>
      </c>
      <c r="AF81" s="236" t="e">
        <v>#DIV/0!</v>
      </c>
      <c r="AH81" s="236" t="e">
        <v>#DIV/0!</v>
      </c>
      <c r="AJ81" s="236" t="e">
        <v>#DIV/0!</v>
      </c>
      <c r="AL81" s="236" t="e">
        <v>#DIV/0!</v>
      </c>
      <c r="AN81" s="236" t="e">
        <v>#DIV/0!</v>
      </c>
      <c r="AP81" s="236" t="e">
        <v>#DIV/0!</v>
      </c>
      <c r="AR81" s="236" t="e">
        <v>#DIV/0!</v>
      </c>
      <c r="AT81" s="236" t="e">
        <v>#DIV/0!</v>
      </c>
      <c r="AV81" s="236" t="e">
        <v>#DIV/0!</v>
      </c>
      <c r="XFD81" s="236"/>
    </row>
    <row r="82" spans="1:48 16384:16384" x14ac:dyDescent="0.2">
      <c r="A82" t="s">
        <v>192</v>
      </c>
      <c r="B82" s="236">
        <v>5.4622536949655895E-2</v>
      </c>
      <c r="D82" s="236">
        <v>5.5415380446095189E-2</v>
      </c>
      <c r="F82" s="236">
        <v>5.6350690990391007E-2</v>
      </c>
      <c r="H82" s="236">
        <v>5.7482803268664971E-2</v>
      </c>
      <c r="J82" s="236">
        <v>5.8903643752519184E-2</v>
      </c>
      <c r="L82" s="236">
        <v>6.0789745837165891E-2</v>
      </c>
      <c r="N82" s="236">
        <v>6.3566285456599647E-2</v>
      </c>
      <c r="P82" s="236">
        <v>6.9139222699092978E-2</v>
      </c>
      <c r="R82" s="236">
        <v>9.4857536992419972E-2</v>
      </c>
      <c r="T82" s="236" t="e">
        <v>#DIV/0!</v>
      </c>
      <c r="V82" s="236" t="e">
        <v>#DIV/0!</v>
      </c>
      <c r="X82" s="236" t="e">
        <v>#DIV/0!</v>
      </c>
      <c r="Z82" s="236" t="e">
        <v>#DIV/0!</v>
      </c>
      <c r="AB82" s="236" t="e">
        <v>#DIV/0!</v>
      </c>
      <c r="AD82" s="236" t="e">
        <v>#DIV/0!</v>
      </c>
      <c r="AF82" s="236" t="e">
        <v>#DIV/0!</v>
      </c>
      <c r="AH82" s="236" t="e">
        <v>#DIV/0!</v>
      </c>
      <c r="AJ82" s="236" t="e">
        <v>#DIV/0!</v>
      </c>
      <c r="AL82" s="236" t="e">
        <v>#DIV/0!</v>
      </c>
      <c r="AN82" s="236" t="e">
        <v>#DIV/0!</v>
      </c>
      <c r="AP82" s="236" t="e">
        <v>#DIV/0!</v>
      </c>
      <c r="AR82" s="236" t="e">
        <v>#DIV/0!</v>
      </c>
      <c r="AT82" s="236" t="e">
        <v>#DIV/0!</v>
      </c>
      <c r="AV82" s="236" t="e">
        <v>#DIV/0!</v>
      </c>
    </row>
    <row r="83" spans="1:48 16384:16384" x14ac:dyDescent="0.2">
      <c r="A83" t="s">
        <v>193</v>
      </c>
      <c r="B83" s="236">
        <v>8.4877033872722163E-2</v>
      </c>
      <c r="D83" s="236">
        <v>8.2771002149765197E-2</v>
      </c>
      <c r="F83" s="236">
        <v>8.0372955490489215E-2</v>
      </c>
      <c r="H83" s="236">
        <v>7.7575726037543299E-2</v>
      </c>
      <c r="J83" s="236">
        <v>7.4200716447059251E-2</v>
      </c>
      <c r="L83" s="236">
        <v>6.9911531916030334E-2</v>
      </c>
      <c r="N83" s="236">
        <v>6.3917349408925767E-2</v>
      </c>
      <c r="P83" s="236">
        <v>5.2783735609395033E-2</v>
      </c>
      <c r="R83" s="236">
        <v>1.0966548946330749E-2</v>
      </c>
      <c r="T83" s="236" t="e">
        <v>#DIV/0!</v>
      </c>
      <c r="V83" s="236" t="e">
        <v>#DIV/0!</v>
      </c>
      <c r="X83" s="236" t="e">
        <v>#DIV/0!</v>
      </c>
      <c r="Z83" s="236" t="e">
        <v>#DIV/0!</v>
      </c>
      <c r="AB83" s="236" t="e">
        <v>#DIV/0!</v>
      </c>
      <c r="AD83" s="236" t="e">
        <v>#DIV/0!</v>
      </c>
      <c r="AF83" s="236" t="e">
        <v>#DIV/0!</v>
      </c>
      <c r="AH83" s="236" t="e">
        <v>#DIV/0!</v>
      </c>
      <c r="AJ83" s="236" t="e">
        <v>#DIV/0!</v>
      </c>
      <c r="AL83" s="236" t="e">
        <v>#DIV/0!</v>
      </c>
      <c r="AN83" s="236" t="e">
        <v>#DIV/0!</v>
      </c>
      <c r="AP83" s="236" t="e">
        <v>#DIV/0!</v>
      </c>
      <c r="AR83" s="236" t="e">
        <v>#DIV/0!</v>
      </c>
      <c r="AT83" s="236" t="e">
        <v>#DIV/0!</v>
      </c>
      <c r="AV83" s="236" t="e">
        <v>#DIV/0!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6"/>
  <dimension ref="A1:AY93"/>
  <sheetViews>
    <sheetView topLeftCell="N1" workbookViewId="0">
      <selection activeCell="X5" sqref="X5"/>
    </sheetView>
  </sheetViews>
  <sheetFormatPr baseColWidth="10" defaultRowHeight="10" x14ac:dyDescent="0.2"/>
  <cols>
    <col min="1" max="1" width="19.6640625" customWidth="1"/>
    <col min="26" max="26" width="12"/>
  </cols>
  <sheetData>
    <row r="1" spans="1:27" x14ac:dyDescent="0.2">
      <c r="A1" t="s">
        <v>97</v>
      </c>
    </row>
    <row r="2" spans="1:27" x14ac:dyDescent="0.2">
      <c r="A2" t="s">
        <v>147</v>
      </c>
      <c r="B2" s="94">
        <v>0</v>
      </c>
      <c r="C2" s="94">
        <v>0.05</v>
      </c>
      <c r="D2" s="94">
        <v>0.1</v>
      </c>
      <c r="E2" s="94">
        <v>0.15000000000000002</v>
      </c>
      <c r="F2" s="94">
        <v>0.2</v>
      </c>
      <c r="G2" s="94">
        <v>0.25</v>
      </c>
      <c r="H2" s="94">
        <v>0.3</v>
      </c>
      <c r="I2" s="94">
        <v>0.35</v>
      </c>
      <c r="J2" s="94">
        <v>0.39999999999999997</v>
      </c>
      <c r="K2" s="94">
        <v>0.44999999999999996</v>
      </c>
      <c r="L2" s="94">
        <v>0.49999999999999994</v>
      </c>
      <c r="M2" s="94">
        <v>0.54999999999999993</v>
      </c>
      <c r="N2" s="94">
        <v>0.6</v>
      </c>
      <c r="O2" s="94">
        <v>0.65</v>
      </c>
      <c r="P2" s="94">
        <v>0.70000000000000007</v>
      </c>
      <c r="Q2" s="94">
        <v>0.75000000000000011</v>
      </c>
      <c r="R2" s="94">
        <v>0.80000000000000016</v>
      </c>
      <c r="S2" s="94">
        <v>0.8500000000000002</v>
      </c>
      <c r="T2" s="94">
        <v>0.90000000000000024</v>
      </c>
      <c r="U2" s="94">
        <v>0.95000000000000029</v>
      </c>
      <c r="V2" s="94">
        <v>0.9600000000000003</v>
      </c>
      <c r="W2" s="94">
        <v>0.97000000000000031</v>
      </c>
      <c r="X2" s="94">
        <v>0.98000000000000032</v>
      </c>
      <c r="Y2" s="94">
        <v>0.99000000000000032</v>
      </c>
    </row>
    <row r="3" spans="1:27" x14ac:dyDescent="0.2">
      <c r="A3" t="s">
        <v>89</v>
      </c>
      <c r="B3" s="80">
        <f>NeoClassical!B$31</f>
        <v>1</v>
      </c>
      <c r="C3" s="80">
        <f>NeoClassical!D$31</f>
        <v>0.99592821022423927</v>
      </c>
      <c r="D3" s="80">
        <f>NeoClassical!F$31</f>
        <v>0.99161453014221479</v>
      </c>
      <c r="E3" s="80">
        <f>NeoClassical!H$31</f>
        <v>0.98702908946360357</v>
      </c>
      <c r="F3" s="80">
        <f>NeoClassical!J$31</f>
        <v>0.98213567979907657</v>
      </c>
      <c r="G3" s="80">
        <f>NeoClassical!L$31</f>
        <v>0.97688985247949134</v>
      </c>
      <c r="H3" s="80">
        <f>NeoClassical!N$31</f>
        <v>0.97123574009961455</v>
      </c>
      <c r="I3" s="80">
        <f>NeoClassical!P$31</f>
        <v>0.96510170693301178</v>
      </c>
      <c r="J3" s="80">
        <f>NeoClassical!R$31</f>
        <v>0.95839375711513497</v>
      </c>
      <c r="K3" s="80">
        <f>NeoClassical!T$31</f>
        <v>0.95098455507061874</v>
      </c>
      <c r="L3" s="80">
        <f>NeoClassical!V$31</f>
        <v>0.94269653338831139</v>
      </c>
      <c r="M3" s="80">
        <f>NeoClassical!X$31</f>
        <v>0.93327334218609792</v>
      </c>
      <c r="N3" s="80">
        <f>NeoClassical!Z$31</f>
        <v>0.92233102582491966</v>
      </c>
      <c r="O3" s="80">
        <f>NeoClassical!AB$31</f>
        <v>0.90927485082995574</v>
      </c>
      <c r="P3" s="80">
        <f>NeoClassical!AD$31</f>
        <v>0.89316048297168638</v>
      </c>
      <c r="Q3" s="80">
        <f>NeoClassical!AF$31</f>
        <v>0.87248190715597118</v>
      </c>
      <c r="R3" s="80">
        <f>NeoClassical!AH$31</f>
        <v>0.84485964802056868</v>
      </c>
      <c r="S3" s="80">
        <f>NeoClassical!AJ$31</f>
        <v>0.80629161400974658</v>
      </c>
      <c r="T3" s="80">
        <f>NeoClassical!AL$31</f>
        <v>0.74803836549103897</v>
      </c>
      <c r="U3" s="80">
        <f>NeoClassical!AN$31</f>
        <v>0.64076343889366105</v>
      </c>
      <c r="V3" s="80">
        <f>NeoClassical!AP$31</f>
        <v>0.60463820005360902</v>
      </c>
      <c r="W3" s="80">
        <f>NeoClassical!AR$31</f>
        <v>0.55733706296314267</v>
      </c>
      <c r="X3" s="80">
        <f>NeoClassical!AT$31</f>
        <v>0</v>
      </c>
      <c r="Y3" s="80">
        <f>NeoClassical!AV$31</f>
        <v>0</v>
      </c>
    </row>
    <row r="4" spans="1:27" x14ac:dyDescent="0.2">
      <c r="A4" t="s">
        <v>163</v>
      </c>
      <c r="B4" s="80">
        <f>Kaldorian!B$31</f>
        <v>1</v>
      </c>
      <c r="C4" s="80">
        <f>Kaldorian!D$31</f>
        <v>0.99869640404169113</v>
      </c>
      <c r="D4" s="80">
        <f>Kaldorian!F$31</f>
        <v>0.99715537211988969</v>
      </c>
      <c r="E4" s="80">
        <f>Kaldorian!H$31</f>
        <v>0.99534772766764101</v>
      </c>
      <c r="F4" s="80">
        <f>Kaldorian!J$31</f>
        <v>0.99323834557396995</v>
      </c>
      <c r="G4" s="80">
        <f>Kaldorian!L$31</f>
        <v>0.99078470868345347</v>
      </c>
      <c r="H4" s="80">
        <f>Kaldorian!N$31</f>
        <v>0.98793407869620831</v>
      </c>
      <c r="I4" s="80">
        <f>Kaldorian!P$31</f>
        <v>0.98462009525394611</v>
      </c>
      <c r="J4" s="80">
        <f>Kaldorian!R$31</f>
        <v>0.98075716543645797</v>
      </c>
      <c r="K4" s="80">
        <f>Kaldorian!T$31</f>
        <v>0.97623230194923971</v>
      </c>
      <c r="L4" s="80">
        <f>Kaldorian!V$31</f>
        <v>0.97089105571578804</v>
      </c>
      <c r="M4" s="80">
        <f>Kaldorian!X$31</f>
        <v>0.96451536729526444</v>
      </c>
      <c r="N4" s="80">
        <f>Kaldorian!Z$31</f>
        <v>0.95678402099784243</v>
      </c>
      <c r="O4" s="80">
        <f>Kaldorian!AB$31</f>
        <v>0.94720298984991069</v>
      </c>
      <c r="P4" s="80">
        <f>Kaldorian!AD$31</f>
        <v>0.93497918044799233</v>
      </c>
      <c r="Q4" s="80">
        <f>Kaldorian!AF$31</f>
        <v>0.91879481400384866</v>
      </c>
      <c r="R4" s="80">
        <f>Kaldorian!AH$31</f>
        <v>0.89639694195209008</v>
      </c>
      <c r="S4" s="80">
        <f>Kaldorian!AJ$31</f>
        <v>0.86364694010648213</v>
      </c>
      <c r="T4" s="80">
        <f>Kaldorian!AL$31</f>
        <v>0.81122900137492837</v>
      </c>
      <c r="U4" s="80">
        <f>Kaldorian!AN$31</f>
        <v>0.70799065616125678</v>
      </c>
      <c r="V4" s="80">
        <f>Kaldorian!AP$31</f>
        <v>0.67179827047290674</v>
      </c>
      <c r="W4" s="80">
        <f>Kaldorian!AL$31</f>
        <v>0.81122900137492837</v>
      </c>
      <c r="X4" s="80">
        <f>Kaldorian!AN$31</f>
        <v>0.70799065616125678</v>
      </c>
      <c r="Y4" s="80">
        <f>Kaldorian!AV$31</f>
        <v>0</v>
      </c>
    </row>
    <row r="5" spans="1:27" x14ac:dyDescent="0.2">
      <c r="A5" t="s">
        <v>90</v>
      </c>
      <c r="B5" s="80">
        <f>Johansen!B$31</f>
        <v>1</v>
      </c>
      <c r="C5" s="80">
        <f>Johansen!D$31</f>
        <v>0.99871146090762042</v>
      </c>
      <c r="D5" s="80">
        <f>Johansen!F$31</f>
        <v>0.99718591306103588</v>
      </c>
      <c r="E5" s="80">
        <f>Johansen!H$31</f>
        <v>0.99539420954026292</v>
      </c>
      <c r="F5" s="80">
        <f>Johansen!J$31</f>
        <v>0.993301212847019</v>
      </c>
      <c r="G5" s="80">
        <f>Johansen!L$31</f>
        <v>0.99086437190928689</v>
      </c>
      <c r="H5" s="80">
        <f>Johansen!N$31</f>
        <v>0.98803081290952954</v>
      </c>
      <c r="I5" s="80">
        <f>Johansen!P$31</f>
        <v>0.9847338760838753</v>
      </c>
      <c r="J5" s="80">
        <f>Johansen!R$31</f>
        <v>0.98088770673317505</v>
      </c>
      <c r="K5" s="80">
        <f>Johansen!T$31</f>
        <v>0.97637839017066086</v>
      </c>
      <c r="L5" s="80">
        <f>Johansen!V$31</f>
        <v>0.97105044105716121</v>
      </c>
      <c r="M5" s="80">
        <f>Johansen!X$31</f>
        <v>0.96468392965740457</v>
      </c>
      <c r="N5" s="80">
        <f>Johansen!Z$31</f>
        <v>0.95695483663214631</v>
      </c>
      <c r="O5" s="80">
        <f>Johansen!AB$31</f>
        <v>0.94736500451134009</v>
      </c>
      <c r="P5" s="80">
        <f>Johansen!AD$31</f>
        <v>0.93511659919578916</v>
      </c>
      <c r="Q5" s="80">
        <f>Johansen!AF$31</f>
        <v>0.91889055473130399</v>
      </c>
      <c r="R5" s="80">
        <f>Johansen!AH$31</f>
        <v>0.89644449971780527</v>
      </c>
      <c r="S5" s="80">
        <f>Johansen!AJ$31</f>
        <v>0.86366061078222556</v>
      </c>
      <c r="T5" s="80">
        <f>Johansen!AL$31</f>
        <v>0.8112305481637585</v>
      </c>
      <c r="U5" s="80">
        <f>Johansen!AN$31</f>
        <v>0.7079909438740849</v>
      </c>
      <c r="V5" s="80">
        <f>Johansen!AP$31</f>
        <v>0.67179827417172999</v>
      </c>
      <c r="W5" s="80">
        <f>Johansen!AR$31</f>
        <v>0.62352482855324232</v>
      </c>
      <c r="X5" s="80">
        <f>Johansen!AT$31</f>
        <v>0</v>
      </c>
      <c r="Y5" s="80">
        <f>Johansen!AV$31</f>
        <v>0</v>
      </c>
    </row>
    <row r="6" spans="1:27" x14ac:dyDescent="0.2">
      <c r="A6" t="s">
        <v>146</v>
      </c>
      <c r="B6" s="80">
        <f>'Keynes-K'!B$31</f>
        <v>1</v>
      </c>
      <c r="C6" s="80">
        <f>'Keynes-K'!D$31</f>
        <v>1.0012648182501287</v>
      </c>
      <c r="D6" s="80">
        <f>'Keynes-K'!F$31</f>
        <v>1.0019841536208309</v>
      </c>
      <c r="E6" s="80">
        <f>'Keynes-K'!H$31</f>
        <v>1.0021033294915689</v>
      </c>
      <c r="F6" s="80">
        <f>'Keynes-K'!J$31</f>
        <v>1.0015560413499918</v>
      </c>
      <c r="G6" s="80">
        <f>'Keynes-K'!L$31</f>
        <v>1.0002620130152418</v>
      </c>
      <c r="H6" s="80">
        <f>'Keynes-K'!N$31</f>
        <v>0.99812182052376619</v>
      </c>
      <c r="I6" s="80">
        <f>'Keynes-K'!P$31</f>
        <v>0.99501119886734357</v>
      </c>
      <c r="J6" s="80">
        <f>'Keynes-K'!R$31</f>
        <v>0.99077151915399553</v>
      </c>
      <c r="K6" s="80">
        <f>'Keynes-K'!T$31</f>
        <v>0.98519610797129731</v>
      </c>
      <c r="L6" s="80">
        <f>'Keynes-K'!V$31</f>
        <v>0.97800741446176875</v>
      </c>
      <c r="M6" s="80">
        <f>'Keynes-K'!X$31</f>
        <v>0.96882064268624912</v>
      </c>
      <c r="N6" s="80">
        <f>'Keynes-K'!Z$31</f>
        <v>0.95707901642298099</v>
      </c>
      <c r="O6" s="80">
        <f>'Keynes-K'!AB$31</f>
        <v>0.94193684461997218</v>
      </c>
      <c r="P6" s="80">
        <f>'Keynes-K'!AD$31</f>
        <v>0.92203479916890774</v>
      </c>
      <c r="Q6" s="80">
        <f>'Keynes-K'!AF$31</f>
        <v>0.89505958605905522</v>
      </c>
      <c r="R6" s="80">
        <f>'Keynes-K'!AH$31</f>
        <v>0.85686947443505279</v>
      </c>
      <c r="S6" s="80">
        <f>'Keynes-K'!AJ$31</f>
        <v>0.79964087848006227</v>
      </c>
      <c r="T6" s="80">
        <f>'Keynes-K'!AL$31</f>
        <v>0.70681902714965772</v>
      </c>
      <c r="U6" s="80">
        <f>'Keynes-K'!AN$31</f>
        <v>0.53283847237769877</v>
      </c>
      <c r="V6" s="80">
        <f>'Keynes-K'!AP$31</f>
        <v>0.47734597605722906</v>
      </c>
      <c r="W6" s="80">
        <f>'Keynes-K'!AR$31</f>
        <v>0.40883311686803392</v>
      </c>
      <c r="X6" s="80">
        <f>'Keynes-K'!AT$31</f>
        <v>0</v>
      </c>
      <c r="Y6" s="80">
        <f>'Keynes-K'!AV$31</f>
        <v>0</v>
      </c>
    </row>
    <row r="7" spans="1:27" x14ac:dyDescent="0.2">
      <c r="A7" t="s">
        <v>144</v>
      </c>
      <c r="B7" s="80">
        <f>'Keynes-M'!B$31</f>
        <v>1</v>
      </c>
      <c r="C7" s="80">
        <f>'Keynes-M'!D$31</f>
        <v>1.0303042082237739</v>
      </c>
      <c r="D7" s="80">
        <f>'Keynes-M'!F$31</f>
        <v>1.0599903320224879</v>
      </c>
      <c r="E7" s="80">
        <f>'Keynes-M'!H$31</f>
        <v>1.0891758395718099</v>
      </c>
      <c r="F7" s="80">
        <f>'Keynes-M'!J$31</f>
        <v>1.1180175632993465</v>
      </c>
      <c r="G7" s="80">
        <f>'Keynes-M'!L$31</f>
        <v>1.1467311927956643</v>
      </c>
      <c r="H7" s="80">
        <f>'Keynes-M'!N$31</f>
        <v>1.1756245759996293</v>
      </c>
      <c r="I7" s="80">
        <f>'Keynes-M'!P$31</f>
        <v>1.2051513398832947</v>
      </c>
      <c r="J7" s="80">
        <f>'Keynes-M'!R$31</f>
        <v>1.2359887818800308</v>
      </c>
      <c r="K7" s="80">
        <f>'Keynes-M'!T$31</f>
        <v>1.2691436671627028</v>
      </c>
      <c r="L7" s="80">
        <f>'Keynes-M'!V$31</f>
        <v>1.3060309269397128</v>
      </c>
      <c r="M7" s="80">
        <f>'Keynes-M'!X$31</f>
        <v>1.3482793337532759</v>
      </c>
      <c r="N7" s="80">
        <f>'Keynes-M'!Z$31</f>
        <v>1.3967486128682685</v>
      </c>
      <c r="O7" s="80">
        <f>'Keynes-M'!AB$31</f>
        <v>1.4499190951773679</v>
      </c>
      <c r="P7" s="80">
        <f>'Keynes-M'!AD$31</f>
        <v>1.5039662356883068</v>
      </c>
      <c r="Q7" s="80">
        <f>'Keynes-M'!AF$31</f>
        <v>1.5551202537341233</v>
      </c>
      <c r="R7" s="80">
        <f>'Keynes-M'!AH$31</f>
        <v>1.6008087327659883</v>
      </c>
      <c r="S7" s="80">
        <f>'Keynes-M'!AJ$31</f>
        <v>1.6382934887778517</v>
      </c>
      <c r="T7" s="80">
        <f>'Keynes-M'!AL$31</f>
        <v>1.659752360482962</v>
      </c>
      <c r="U7" s="80">
        <f>'Keynes-M'!AN$31</f>
        <v>1.6187662676887216</v>
      </c>
      <c r="V7" s="80">
        <f>'Keynes-M'!AP$31</f>
        <v>0</v>
      </c>
      <c r="W7" s="80">
        <f>'Keynes-M'!AR$31</f>
        <v>0</v>
      </c>
      <c r="X7" s="80">
        <f>'Keynes-K'!AT$31</f>
        <v>0</v>
      </c>
      <c r="Y7" s="80">
        <f>'Keynes-K'!AV$31</f>
        <v>0</v>
      </c>
    </row>
    <row r="8" spans="1:27" x14ac:dyDescent="0.2">
      <c r="A8" t="s">
        <v>162</v>
      </c>
      <c r="B8" s="80">
        <f>Keynesian!B$31</f>
        <v>1</v>
      </c>
      <c r="C8" s="80">
        <f>Keynesian!D$31</f>
        <v>0.98468320345041127</v>
      </c>
      <c r="D8" s="80">
        <f>Keynesian!F$31</f>
        <v>0.96855333032545821</v>
      </c>
      <c r="E8" s="80">
        <f>Keynesian!H$31</f>
        <v>0.95153636692215104</v>
      </c>
      <c r="F8" s="80">
        <f>Keynesian!J$31</f>
        <v>0.93354558046489022</v>
      </c>
      <c r="G8" s="80">
        <f>Keynesian!L$31</f>
        <v>0.9144784893810074</v>
      </c>
      <c r="H8" s="80">
        <f>Keynesian!N$31</f>
        <v>0.89421215859978354</v>
      </c>
      <c r="I8" s="80">
        <f>Keynesian!P$31</f>
        <v>0.87259687634891925</v>
      </c>
      <c r="J8" s="80">
        <f>Keynesian!R$31</f>
        <v>0.84944713729201371</v>
      </c>
      <c r="K8" s="80">
        <f>Keynesian!T$31</f>
        <v>0.82452811271042303</v>
      </c>
      <c r="L8" s="80">
        <f>Keynesian!V$31</f>
        <v>0.79753532992411946</v>
      </c>
      <c r="M8" s="80">
        <f>Keynesian!X$31</f>
        <v>0.76806271554606098</v>
      </c>
      <c r="N8" s="80">
        <f>Keynesian!Z$31</f>
        <v>0.73555033599272945</v>
      </c>
      <c r="O8" s="80">
        <f>Keynesian!AB$31</f>
        <v>0.69919653357827771</v>
      </c>
      <c r="P8" s="80">
        <f>Keynesian!AD$31</f>
        <v>0.6578043648491122</v>
      </c>
      <c r="Q8" s="80">
        <f>Keynesian!AF$31</f>
        <v>0.60950454620339956</v>
      </c>
      <c r="R8" s="80">
        <f>Keynesian!AH$31</f>
        <v>0.551248075192599</v>
      </c>
      <c r="S8" s="80">
        <f>Keynesian!AJ$31</f>
        <v>0.4778859315240731</v>
      </c>
      <c r="T8" s="80">
        <f>Keynesian!AL$31</f>
        <v>0.38073988087401978</v>
      </c>
      <c r="U8" s="80">
        <f>Keynesian!AN$31</f>
        <v>0</v>
      </c>
      <c r="V8" s="80">
        <f>Keynesian!AP$31</f>
        <v>0</v>
      </c>
      <c r="W8" s="80">
        <f>Keynesian!AR$31</f>
        <v>0</v>
      </c>
      <c r="X8" s="80">
        <f>Keynesian!AT$31</f>
        <v>0</v>
      </c>
      <c r="Y8" s="80">
        <f>Keynesian!AV$31</f>
        <v>0</v>
      </c>
    </row>
    <row r="9" spans="1:27" x14ac:dyDescent="0.2">
      <c r="A9" t="s">
        <v>157</v>
      </c>
      <c r="B9" s="80">
        <f>'Neo-K2'!B$31</f>
        <v>1</v>
      </c>
      <c r="C9" s="80">
        <f>'Neo-K2'!D$31</f>
        <v>0.9854052866733567</v>
      </c>
      <c r="D9" s="80">
        <f>'Neo-K2'!F$31</f>
        <v>0.96936972552985057</v>
      </c>
      <c r="E9" s="80">
        <f>'Neo-K2'!H$31</f>
        <v>0.95167247233942498</v>
      </c>
      <c r="F9" s="80">
        <f>'Neo-K2'!J$31</f>
        <v>0.93205670165836585</v>
      </c>
      <c r="G9" s="80">
        <f>'Neo-K2'!L$31</f>
        <v>0.91022317708384493</v>
      </c>
      <c r="H9" s="80">
        <f>'Neo-K2'!N$31</f>
        <v>0.88582915373908311</v>
      </c>
      <c r="I9" s="80">
        <f>'Neo-K2'!P$31</f>
        <v>0.85849175535916089</v>
      </c>
      <c r="J9" s="80">
        <f>'Neo-K2'!R$31</f>
        <v>0.82779987013728895</v>
      </c>
      <c r="K9" s="80">
        <f>'Neo-K2'!T$31</f>
        <v>0.79334315669080779</v>
      </c>
      <c r="L9" s="80">
        <f>'Neo-K2'!V$31</f>
        <v>0.75477035351508237</v>
      </c>
      <c r="M9" s="80">
        <f>'Neo-K2'!X$31</f>
        <v>0.7118854866339287</v>
      </c>
      <c r="N9" s="80">
        <f>'Neo-K2'!Z$31</f>
        <v>0.66478751117693635</v>
      </c>
      <c r="O9" s="80">
        <f>'Neo-K2'!AB$31</f>
        <v>0.61402071355320575</v>
      </c>
      <c r="P9" s="80">
        <f>'Neo-K2'!AD$31</f>
        <v>0.56064077525284139</v>
      </c>
      <c r="Q9" s="80">
        <f>'Neo-K2'!AF$31</f>
        <v>0.50606001175502702</v>
      </c>
      <c r="R9" s="80">
        <f>'Neo-K2'!AH$31</f>
        <v>0.45169195315506255</v>
      </c>
      <c r="S9" s="80">
        <f>'Neo-K2'!AJ$31</f>
        <v>0.39863470271289164</v>
      </c>
      <c r="T9" s="80">
        <f>'Neo-K2'!AL$31</f>
        <v>0.34543972875679724</v>
      </c>
      <c r="U9" s="80">
        <f>'Neo-K2'!AN$31</f>
        <v>0.27748029865320223</v>
      </c>
      <c r="V9" s="80">
        <f>'Neo-K2'!AP$31</f>
        <v>0.25779695852780221</v>
      </c>
      <c r="W9" s="80">
        <f>'Neo-K2'!AR$31</f>
        <v>0.23329741121827807</v>
      </c>
      <c r="X9" s="80">
        <f>'Neo-K2'!AT$31</f>
        <v>0</v>
      </c>
      <c r="Y9" s="80">
        <f>'Neo-K2'!AV$31</f>
        <v>0</v>
      </c>
    </row>
    <row r="10" spans="1:27" x14ac:dyDescent="0.2">
      <c r="A10" t="s">
        <v>158</v>
      </c>
      <c r="B10" s="80">
        <f>'Neo-K1'!B$31</f>
        <v>1</v>
      </c>
      <c r="C10" s="80">
        <f>'Neo-K1'!D$31</f>
        <v>0.98881140689527169</v>
      </c>
      <c r="D10" s="80">
        <f>'Neo-K1'!F$31</f>
        <v>0.9766871074894794</v>
      </c>
      <c r="E10" s="80">
        <f>'Neo-K1'!H$31</f>
        <v>0.96348970116720944</v>
      </c>
      <c r="F10" s="80">
        <f>'Neo-K1'!J$31</f>
        <v>0.94905359824883972</v>
      </c>
      <c r="G10" s="80">
        <f>'Neo-K1'!L$31</f>
        <v>0.93317616126788905</v>
      </c>
      <c r="H10" s="80">
        <f>'Neo-K1'!N$31</f>
        <v>0.91560762188937272</v>
      </c>
      <c r="I10" s="80">
        <f>'Neo-K1'!P$31</f>
        <v>0.89603687452765779</v>
      </c>
      <c r="J10" s="80">
        <f>'Neo-K1'!R$31</f>
        <v>0.8740718257403306</v>
      </c>
      <c r="K10" s="80">
        <f>'Neo-K1'!T$31</f>
        <v>0.84921328762188597</v>
      </c>
      <c r="L10" s="80">
        <f>'Neo-K1'!V$31</f>
        <v>0.82081863961184331</v>
      </c>
      <c r="M10" s="80">
        <f>'Neo-K1'!X$31</f>
        <v>0.78805442966101846</v>
      </c>
      <c r="N10" s="80">
        <f>'Neo-K1'!Z$31</f>
        <v>0.7498337102118855</v>
      </c>
      <c r="O10" s="80">
        <f>'Neo-K1'!AB$31</f>
        <v>0.70474042721691843</v>
      </c>
      <c r="P10" s="80">
        <f>'Neo-K1'!AD$31</f>
        <v>0.65094975524330234</v>
      </c>
      <c r="Q10" s="80">
        <f>'Neo-K1'!AF$31</f>
        <v>0.58617124035034385</v>
      </c>
      <c r="R10" s="80">
        <f>'Neo-K1'!AH$31</f>
        <v>0.50766810768411263</v>
      </c>
      <c r="S10" s="80">
        <f>'Neo-K1'!AJ$31</f>
        <v>0.41242416502127127</v>
      </c>
      <c r="T10" s="80">
        <f>'Neo-K1'!AL$31</f>
        <v>0.29749960490289951</v>
      </c>
      <c r="U10" s="80">
        <f>'Neo-K1'!AN$31</f>
        <v>0.16050522953912505</v>
      </c>
      <c r="V10" s="80">
        <f>'Neo-K1'!AP$31</f>
        <v>0.13031186559214572</v>
      </c>
      <c r="W10" s="80">
        <f>'Neo-K1'!AR$31</f>
        <v>9.9168240865660298E-2</v>
      </c>
      <c r="X10" s="80">
        <f>'Neo-K1'!AT$31</f>
        <v>6.7069895099529958E-2</v>
      </c>
      <c r="Y10" s="80">
        <f>'Neo-K1'!AV$31</f>
        <v>3.4014136271143122E-2</v>
      </c>
    </row>
    <row r="11" spans="1:27" x14ac:dyDescent="0.2">
      <c r="A11" t="s">
        <v>149</v>
      </c>
      <c r="B11" s="80">
        <f>'NC heteroS'!B$31</f>
        <v>0.99999999999999956</v>
      </c>
      <c r="C11" s="80">
        <f>'NC heteroS'!D$31</f>
        <v>0.99444591610775457</v>
      </c>
      <c r="D11" s="80">
        <f>'NC heteroS'!F$31</f>
        <v>0.98832398885785544</v>
      </c>
      <c r="E11" s="80">
        <f>'NC heteroS'!H$31</f>
        <v>0.98155485786275998</v>
      </c>
      <c r="F11" s="80">
        <f>'NC heteroS'!J$31</f>
        <v>0.97404297476950719</v>
      </c>
      <c r="G11" s="80">
        <f>'NC heteroS'!L$31</f>
        <v>0.96567204220783953</v>
      </c>
      <c r="H11" s="80">
        <f>'NC heteroS'!N$31</f>
        <v>0.95629799805413807</v>
      </c>
      <c r="I11" s="80">
        <f>'NC heteroS'!P$31</f>
        <v>0.94573972610617074</v>
      </c>
      <c r="J11" s="80">
        <f>'NC heteroS'!R$31</f>
        <v>0.93376390646056395</v>
      </c>
      <c r="K11" s="80">
        <f>'NC heteroS'!T$31</f>
        <v>0.92006316660733312</v>
      </c>
      <c r="L11" s="80">
        <f>'NC heteroS'!V$31</f>
        <v>0.90421972939464912</v>
      </c>
      <c r="M11" s="80">
        <f>'NC heteroS'!X$31</f>
        <v>0.88564636602078417</v>
      </c>
      <c r="N11" s="80">
        <f>'NC heteroS'!Z$31</f>
        <v>0.86348466526882439</v>
      </c>
      <c r="O11" s="80">
        <f>'NC heteroS'!AB$31</f>
        <v>0.83642519107603419</v>
      </c>
      <c r="P11" s="80">
        <f>'NC heteroS'!AD$31</f>
        <v>0.80238481689363084</v>
      </c>
      <c r="Q11" s="80">
        <f>'NC heteroS'!AF$31</f>
        <v>0.75794214216834832</v>
      </c>
      <c r="R11" s="80">
        <f>'NC heteroS'!AH$31</f>
        <v>0.69744648234885309</v>
      </c>
      <c r="S11" s="80">
        <f>'NC heteroS'!AJ$31</f>
        <v>0.61173763947405335</v>
      </c>
      <c r="T11" s="80">
        <f>'NC heteroS'!AL$31</f>
        <v>0.48516789846608083</v>
      </c>
      <c r="U11" s="80">
        <f>'NC heteroS'!AN$31</f>
        <v>0.28500358745058368</v>
      </c>
      <c r="V11" s="80">
        <f>'NC heteroS'!AP$31</f>
        <v>0.23086212220297583</v>
      </c>
      <c r="W11" s="80">
        <f>'NC heteroS'!AR$31</f>
        <v>0.17080624919208309</v>
      </c>
      <c r="X11" s="80">
        <f>'NC heteroS'!AT$31</f>
        <v>0.10553097572575747</v>
      </c>
      <c r="Y11" s="80">
        <f>'NC heteroS'!AV$31</f>
        <v>4.0042490619631235E-2</v>
      </c>
    </row>
    <row r="16" spans="1:27" x14ac:dyDescent="0.2">
      <c r="A16" t="str">
        <f>A1</f>
        <v>Utility</v>
      </c>
      <c r="AA16" t="s">
        <v>101</v>
      </c>
    </row>
    <row r="17" spans="1:51" x14ac:dyDescent="0.2">
      <c r="A17" t="str">
        <f t="shared" ref="A17:A26" si="0">A2</f>
        <v>Fossil energy control</v>
      </c>
      <c r="B17" s="94">
        <v>0</v>
      </c>
      <c r="C17" s="94">
        <v>0.05</v>
      </c>
      <c r="D17" s="94">
        <v>0.1</v>
      </c>
      <c r="E17" s="94">
        <v>0.15000000000000002</v>
      </c>
      <c r="F17" s="94">
        <v>0.2</v>
      </c>
      <c r="G17" s="94">
        <v>0.25</v>
      </c>
      <c r="H17" s="94">
        <v>0.3</v>
      </c>
      <c r="I17" s="94">
        <v>0.35</v>
      </c>
      <c r="J17" s="94">
        <v>0.39999999999999997</v>
      </c>
      <c r="K17" s="94">
        <v>0.44999999999999996</v>
      </c>
      <c r="L17" s="94">
        <v>0.49999999999999994</v>
      </c>
      <c r="M17" s="94">
        <v>0.54999999999999993</v>
      </c>
      <c r="N17" s="94">
        <v>0.6</v>
      </c>
      <c r="O17" s="94">
        <v>0.65</v>
      </c>
      <c r="P17" s="94">
        <v>0.70000000000000007</v>
      </c>
      <c r="Q17" s="94">
        <v>0.75000000000000011</v>
      </c>
      <c r="R17" s="94">
        <v>0.80000000000000016</v>
      </c>
      <c r="S17" s="94">
        <v>0.8500000000000002</v>
      </c>
      <c r="T17" s="94">
        <v>0.90000000000000024</v>
      </c>
      <c r="U17" s="94">
        <v>0.95000000000000029</v>
      </c>
      <c r="V17" s="94">
        <v>0.9600000000000003</v>
      </c>
      <c r="W17" s="94">
        <v>0.97000000000000031</v>
      </c>
      <c r="X17" s="94">
        <v>0.98000000000000032</v>
      </c>
      <c r="Y17" s="94">
        <v>0.99000000000000032</v>
      </c>
      <c r="Z17" s="139"/>
      <c r="AA17" t="s">
        <v>96</v>
      </c>
      <c r="AB17" s="94">
        <v>0</v>
      </c>
      <c r="AC17" s="94">
        <v>0.05</v>
      </c>
      <c r="AD17" s="94">
        <v>0.1</v>
      </c>
      <c r="AE17" s="94">
        <v>0.15000000000000002</v>
      </c>
      <c r="AF17" s="94">
        <v>0.2</v>
      </c>
      <c r="AG17" s="94">
        <v>0.25</v>
      </c>
      <c r="AH17" s="94">
        <v>0.3</v>
      </c>
      <c r="AI17" s="94">
        <v>0.35</v>
      </c>
      <c r="AJ17" s="94">
        <v>0.39999999999999997</v>
      </c>
      <c r="AK17" s="94">
        <v>0.44999999999999996</v>
      </c>
      <c r="AL17" s="94">
        <v>0.49999999999999994</v>
      </c>
      <c r="AM17" s="94">
        <v>0.54999999999999993</v>
      </c>
      <c r="AN17" s="94">
        <v>0.6</v>
      </c>
      <c r="AO17" s="94">
        <v>0.65</v>
      </c>
      <c r="AP17" s="94">
        <v>0.70000000000000007</v>
      </c>
      <c r="AQ17" s="94">
        <v>0.75000000000000011</v>
      </c>
      <c r="AR17" s="94">
        <v>0.80000000000000016</v>
      </c>
      <c r="AS17" s="94">
        <v>0.8500000000000002</v>
      </c>
      <c r="AT17" s="94">
        <v>0.90000000000000024</v>
      </c>
      <c r="AU17" s="94">
        <v>0.95000000000000029</v>
      </c>
      <c r="AV17" s="94">
        <v>0.9600000000000003</v>
      </c>
      <c r="AW17" s="94">
        <v>0.97000000000000031</v>
      </c>
      <c r="AX17" s="94">
        <v>0.98000000000000032</v>
      </c>
      <c r="AY17" s="94">
        <v>0.99000000000000032</v>
      </c>
    </row>
    <row r="18" spans="1:51" x14ac:dyDescent="0.2">
      <c r="A18" t="str">
        <f t="shared" si="0"/>
        <v>Neoclassical</v>
      </c>
      <c r="B18" s="80">
        <f>IF(B3&gt;0,100*B3,"")</f>
        <v>100</v>
      </c>
      <c r="C18" s="80">
        <f t="shared" ref="C18:Y18" si="1">IF(C3&gt;0,100*C3,"")</f>
        <v>99.592821022423934</v>
      </c>
      <c r="D18" s="80">
        <f t="shared" si="1"/>
        <v>99.161453014221479</v>
      </c>
      <c r="E18" s="80">
        <f t="shared" si="1"/>
        <v>98.702908946360353</v>
      </c>
      <c r="F18" s="80">
        <f t="shared" si="1"/>
        <v>98.213567979907651</v>
      </c>
      <c r="G18" s="80">
        <f t="shared" si="1"/>
        <v>97.688985247949134</v>
      </c>
      <c r="H18" s="80">
        <f t="shared" si="1"/>
        <v>97.123574009961459</v>
      </c>
      <c r="I18" s="80">
        <f t="shared" si="1"/>
        <v>96.510170693301177</v>
      </c>
      <c r="J18" s="80">
        <f t="shared" si="1"/>
        <v>95.839375711513497</v>
      </c>
      <c r="K18" s="80">
        <f t="shared" si="1"/>
        <v>95.098455507061871</v>
      </c>
      <c r="L18" s="80">
        <f t="shared" si="1"/>
        <v>94.269653338831134</v>
      </c>
      <c r="M18" s="80">
        <f t="shared" si="1"/>
        <v>93.327334218609792</v>
      </c>
      <c r="N18" s="80">
        <f t="shared" si="1"/>
        <v>92.233102582491966</v>
      </c>
      <c r="O18" s="80">
        <f t="shared" si="1"/>
        <v>90.927485082995574</v>
      </c>
      <c r="P18" s="80">
        <f t="shared" si="1"/>
        <v>89.316048297168635</v>
      </c>
      <c r="Q18" s="80">
        <f t="shared" si="1"/>
        <v>87.248190715597119</v>
      </c>
      <c r="R18" s="80">
        <f t="shared" si="1"/>
        <v>84.48596480205687</v>
      </c>
      <c r="S18" s="80">
        <f t="shared" si="1"/>
        <v>80.629161400974652</v>
      </c>
      <c r="T18" s="80">
        <f t="shared" si="1"/>
        <v>74.803836549103892</v>
      </c>
      <c r="U18" s="80">
        <f t="shared" si="1"/>
        <v>64.0763438893661</v>
      </c>
      <c r="V18" s="80">
        <f t="shared" si="1"/>
        <v>60.463820005360901</v>
      </c>
      <c r="W18" s="80">
        <f t="shared" si="1"/>
        <v>55.733706296314267</v>
      </c>
      <c r="X18" s="80" t="str">
        <f t="shared" si="1"/>
        <v/>
      </c>
      <c r="Y18" s="80" t="str">
        <f t="shared" si="1"/>
        <v/>
      </c>
      <c r="Z18" s="138"/>
      <c r="AA18" t="s">
        <v>89</v>
      </c>
      <c r="AB18" s="138">
        <f t="shared" ref="AB18:AB23" si="2">1-B18</f>
        <v>-99</v>
      </c>
      <c r="AC18" s="138">
        <f t="shared" ref="AC18:AC23" si="3">1-C18</f>
        <v>-98.592821022423934</v>
      </c>
      <c r="AD18" s="138">
        <f t="shared" ref="AD18:AD23" si="4">1-D18</f>
        <v>-98.161453014221479</v>
      </c>
      <c r="AE18" s="138">
        <f t="shared" ref="AE18:AE23" si="5">1-E18</f>
        <v>-97.702908946360353</v>
      </c>
      <c r="AF18" s="138">
        <f t="shared" ref="AF18:AF23" si="6">1-F18</f>
        <v>-97.213567979907651</v>
      </c>
      <c r="AG18" s="138">
        <f t="shared" ref="AG18:AG23" si="7">1-G18</f>
        <v>-96.688985247949134</v>
      </c>
      <c r="AH18" s="138">
        <f t="shared" ref="AH18:AH23" si="8">1-H18</f>
        <v>-96.123574009961459</v>
      </c>
      <c r="AI18" s="138">
        <f t="shared" ref="AI18:AI23" si="9">1-I18</f>
        <v>-95.510170693301177</v>
      </c>
      <c r="AJ18" s="138">
        <f t="shared" ref="AJ18:AJ23" si="10">1-J18</f>
        <v>-94.839375711513497</v>
      </c>
      <c r="AK18" s="138">
        <f t="shared" ref="AK18:AK23" si="11">1-K18</f>
        <v>-94.098455507061871</v>
      </c>
      <c r="AL18" s="138">
        <f t="shared" ref="AL18:AL23" si="12">1-L18</f>
        <v>-93.269653338831134</v>
      </c>
      <c r="AM18" s="138">
        <f t="shared" ref="AM18:AM23" si="13">1-M18</f>
        <v>-92.327334218609792</v>
      </c>
      <c r="AN18" s="138">
        <f t="shared" ref="AN18:AN23" si="14">1-N18</f>
        <v>-91.233102582491966</v>
      </c>
      <c r="AO18" s="138">
        <f t="shared" ref="AO18:AO23" si="15">1-O18</f>
        <v>-89.927485082995574</v>
      </c>
      <c r="AP18" s="138">
        <f t="shared" ref="AP18:AP23" si="16">1-P18</f>
        <v>-88.316048297168635</v>
      </c>
      <c r="AQ18" s="138">
        <f t="shared" ref="AQ18:AQ23" si="17">1-Q18</f>
        <v>-86.248190715597119</v>
      </c>
      <c r="AR18" s="138">
        <f t="shared" ref="AR18:AR23" si="18">1-R18</f>
        <v>-83.48596480205687</v>
      </c>
      <c r="AS18" s="138">
        <f t="shared" ref="AS18:AS23" si="19">1-S18</f>
        <v>-79.629161400974652</v>
      </c>
      <c r="AT18" s="138">
        <f t="shared" ref="AT18:AT23" si="20">1-T18</f>
        <v>-73.803836549103892</v>
      </c>
      <c r="AU18" s="138">
        <f t="shared" ref="AU18:AU23" si="21">1-U18</f>
        <v>-63.0763438893661</v>
      </c>
      <c r="AV18" s="138">
        <f t="shared" ref="AV18:AV23" si="22">1-V18</f>
        <v>-59.463820005360901</v>
      </c>
      <c r="AW18" s="138">
        <f t="shared" ref="AW18:AW23" si="23">1-W18</f>
        <v>-54.733706296314267</v>
      </c>
      <c r="AX18" s="138" t="e">
        <f t="shared" ref="AX18:AX23" si="24">1-X18</f>
        <v>#VALUE!</v>
      </c>
      <c r="AY18" s="138" t="e">
        <f t="shared" ref="AY18:AY23" si="25">1-Y18</f>
        <v>#VALUE!</v>
      </c>
    </row>
    <row r="19" spans="1:51" x14ac:dyDescent="0.2">
      <c r="A19" t="str">
        <f t="shared" si="0"/>
        <v>Kaldorian</v>
      </c>
      <c r="B19" s="80">
        <f t="shared" ref="B19:Y19" si="26">IF(B4&gt;0,100*B4,"")</f>
        <v>100</v>
      </c>
      <c r="C19" s="80">
        <f t="shared" si="26"/>
        <v>99.869640404169118</v>
      </c>
      <c r="D19" s="80">
        <f t="shared" si="26"/>
        <v>99.715537211988973</v>
      </c>
      <c r="E19" s="80">
        <f t="shared" si="26"/>
        <v>99.534772766764107</v>
      </c>
      <c r="F19" s="80">
        <f t="shared" si="26"/>
        <v>99.323834557396992</v>
      </c>
      <c r="G19" s="80">
        <f t="shared" si="26"/>
        <v>99.078470868345349</v>
      </c>
      <c r="H19" s="80">
        <f t="shared" si="26"/>
        <v>98.793407869620836</v>
      </c>
      <c r="I19" s="80">
        <f t="shared" si="26"/>
        <v>98.462009525394606</v>
      </c>
      <c r="J19" s="80">
        <f t="shared" si="26"/>
        <v>98.075716543645797</v>
      </c>
      <c r="K19" s="80">
        <f t="shared" si="26"/>
        <v>97.623230194923977</v>
      </c>
      <c r="L19" s="80">
        <f t="shared" si="26"/>
        <v>97.089105571578799</v>
      </c>
      <c r="M19" s="80">
        <f t="shared" si="26"/>
        <v>96.451536729526438</v>
      </c>
      <c r="N19" s="80">
        <f t="shared" si="26"/>
        <v>95.67840209978425</v>
      </c>
      <c r="O19" s="80">
        <f t="shared" si="26"/>
        <v>94.720298984991075</v>
      </c>
      <c r="P19" s="80">
        <f t="shared" si="26"/>
        <v>93.497918044799235</v>
      </c>
      <c r="Q19" s="80">
        <f t="shared" si="26"/>
        <v>91.879481400384861</v>
      </c>
      <c r="R19" s="80">
        <f t="shared" si="26"/>
        <v>89.639694195209003</v>
      </c>
      <c r="S19" s="80">
        <f t="shared" si="26"/>
        <v>86.364694010648208</v>
      </c>
      <c r="T19" s="80">
        <f t="shared" si="26"/>
        <v>81.122900137492834</v>
      </c>
      <c r="U19" s="80">
        <f t="shared" si="26"/>
        <v>70.799065616125674</v>
      </c>
      <c r="V19" s="80">
        <f t="shared" si="26"/>
        <v>67.179827047290672</v>
      </c>
      <c r="W19" s="80">
        <f t="shared" si="26"/>
        <v>81.122900137492834</v>
      </c>
      <c r="X19" s="80">
        <f t="shared" si="26"/>
        <v>70.799065616125674</v>
      </c>
      <c r="Y19" s="80" t="str">
        <f t="shared" si="26"/>
        <v/>
      </c>
      <c r="Z19" s="138"/>
      <c r="AA19" t="s">
        <v>90</v>
      </c>
      <c r="AB19" s="138">
        <f t="shared" si="2"/>
        <v>-99</v>
      </c>
      <c r="AC19" s="138">
        <f t="shared" si="3"/>
        <v>-98.869640404169118</v>
      </c>
      <c r="AD19" s="138">
        <f t="shared" si="4"/>
        <v>-98.715537211988973</v>
      </c>
      <c r="AE19" s="138">
        <f t="shared" si="5"/>
        <v>-98.534772766764107</v>
      </c>
      <c r="AF19" s="138">
        <f t="shared" si="6"/>
        <v>-98.323834557396992</v>
      </c>
      <c r="AG19" s="138">
        <f t="shared" si="7"/>
        <v>-98.078470868345349</v>
      </c>
      <c r="AH19" s="138">
        <f t="shared" si="8"/>
        <v>-97.793407869620836</v>
      </c>
      <c r="AI19" s="138">
        <f t="shared" si="9"/>
        <v>-97.462009525394606</v>
      </c>
      <c r="AJ19" s="138">
        <f t="shared" si="10"/>
        <v>-97.075716543645797</v>
      </c>
      <c r="AK19" s="138">
        <f t="shared" si="11"/>
        <v>-96.623230194923977</v>
      </c>
      <c r="AL19" s="138">
        <f t="shared" si="12"/>
        <v>-96.089105571578799</v>
      </c>
      <c r="AM19" s="138">
        <f t="shared" si="13"/>
        <v>-95.451536729526438</v>
      </c>
      <c r="AN19" s="138">
        <f t="shared" si="14"/>
        <v>-94.67840209978425</v>
      </c>
      <c r="AO19" s="138">
        <f t="shared" si="15"/>
        <v>-93.720298984991075</v>
      </c>
      <c r="AP19" s="138">
        <f t="shared" si="16"/>
        <v>-92.497918044799235</v>
      </c>
      <c r="AQ19" s="138">
        <f t="shared" si="17"/>
        <v>-90.879481400384861</v>
      </c>
      <c r="AR19" s="138">
        <f t="shared" si="18"/>
        <v>-88.639694195209003</v>
      </c>
      <c r="AS19" s="138">
        <f t="shared" si="19"/>
        <v>-85.364694010648208</v>
      </c>
      <c r="AT19" s="138">
        <f t="shared" si="20"/>
        <v>-80.122900137492834</v>
      </c>
      <c r="AU19" s="138">
        <f t="shared" si="21"/>
        <v>-69.799065616125674</v>
      </c>
      <c r="AV19" s="138">
        <f t="shared" si="22"/>
        <v>-66.179827047290672</v>
      </c>
      <c r="AW19" s="138">
        <f t="shared" si="23"/>
        <v>-80.122900137492834</v>
      </c>
      <c r="AX19" s="138">
        <f t="shared" si="24"/>
        <v>-69.799065616125674</v>
      </c>
      <c r="AY19" s="138" t="e">
        <f t="shared" si="25"/>
        <v>#VALUE!</v>
      </c>
    </row>
    <row r="20" spans="1:51" x14ac:dyDescent="0.2">
      <c r="A20" t="str">
        <f t="shared" si="0"/>
        <v>Johansen</v>
      </c>
      <c r="B20" s="80">
        <f t="shared" ref="B20:Y20" si="27">IF(B5&gt;0,100*B5,"")</f>
        <v>100</v>
      </c>
      <c r="C20" s="80">
        <f t="shared" si="27"/>
        <v>99.871146090762039</v>
      </c>
      <c r="D20" s="80">
        <f t="shared" si="27"/>
        <v>99.71859130610359</v>
      </c>
      <c r="E20" s="80">
        <f t="shared" si="27"/>
        <v>99.539420954026298</v>
      </c>
      <c r="F20" s="80">
        <f t="shared" si="27"/>
        <v>99.330121284701903</v>
      </c>
      <c r="G20" s="80">
        <f t="shared" si="27"/>
        <v>99.086437190928692</v>
      </c>
      <c r="H20" s="80">
        <f t="shared" si="27"/>
        <v>98.80308129095296</v>
      </c>
      <c r="I20" s="80">
        <f t="shared" si="27"/>
        <v>98.473387608387526</v>
      </c>
      <c r="J20" s="80">
        <f t="shared" si="27"/>
        <v>98.088770673317498</v>
      </c>
      <c r="K20" s="80">
        <f t="shared" si="27"/>
        <v>97.637839017066085</v>
      </c>
      <c r="L20" s="80">
        <f t="shared" si="27"/>
        <v>97.105044105716118</v>
      </c>
      <c r="M20" s="80">
        <f t="shared" si="27"/>
        <v>96.468392965740463</v>
      </c>
      <c r="N20" s="80">
        <f t="shared" si="27"/>
        <v>95.695483663214631</v>
      </c>
      <c r="O20" s="80">
        <f t="shared" si="27"/>
        <v>94.736500451134006</v>
      </c>
      <c r="P20" s="80">
        <f t="shared" si="27"/>
        <v>93.511659919578918</v>
      </c>
      <c r="Q20" s="80">
        <f t="shared" si="27"/>
        <v>91.889055473130398</v>
      </c>
      <c r="R20" s="80">
        <f t="shared" si="27"/>
        <v>89.644449971780531</v>
      </c>
      <c r="S20" s="80">
        <f t="shared" si="27"/>
        <v>86.366061078222558</v>
      </c>
      <c r="T20" s="80">
        <f t="shared" si="27"/>
        <v>81.123054816375856</v>
      </c>
      <c r="U20" s="80">
        <f t="shared" si="27"/>
        <v>70.799094387408488</v>
      </c>
      <c r="V20" s="80">
        <f t="shared" si="27"/>
        <v>67.179827417173001</v>
      </c>
      <c r="W20" s="80">
        <f t="shared" si="27"/>
        <v>62.352482855324233</v>
      </c>
      <c r="X20" s="80" t="str">
        <f t="shared" si="27"/>
        <v/>
      </c>
      <c r="Y20" s="80" t="str">
        <f t="shared" si="27"/>
        <v/>
      </c>
      <c r="Z20" s="138"/>
      <c r="AA20" t="s">
        <v>93</v>
      </c>
      <c r="AB20" s="138">
        <f t="shared" si="2"/>
        <v>-99</v>
      </c>
      <c r="AC20" s="138">
        <f t="shared" si="3"/>
        <v>-98.871146090762039</v>
      </c>
      <c r="AD20" s="138">
        <f t="shared" si="4"/>
        <v>-98.71859130610359</v>
      </c>
      <c r="AE20" s="138">
        <f t="shared" si="5"/>
        <v>-98.539420954026298</v>
      </c>
      <c r="AF20" s="138">
        <f t="shared" si="6"/>
        <v>-98.330121284701903</v>
      </c>
      <c r="AG20" s="138">
        <f t="shared" si="7"/>
        <v>-98.086437190928692</v>
      </c>
      <c r="AH20" s="138">
        <f t="shared" si="8"/>
        <v>-97.80308129095296</v>
      </c>
      <c r="AI20" s="138">
        <f t="shared" si="9"/>
        <v>-97.473387608387526</v>
      </c>
      <c r="AJ20" s="138">
        <f t="shared" si="10"/>
        <v>-97.088770673317498</v>
      </c>
      <c r="AK20" s="138">
        <f t="shared" si="11"/>
        <v>-96.637839017066085</v>
      </c>
      <c r="AL20" s="138">
        <f t="shared" si="12"/>
        <v>-96.105044105716118</v>
      </c>
      <c r="AM20" s="138">
        <f t="shared" si="13"/>
        <v>-95.468392965740463</v>
      </c>
      <c r="AN20" s="138">
        <f t="shared" si="14"/>
        <v>-94.695483663214631</v>
      </c>
      <c r="AO20" s="138">
        <f t="shared" si="15"/>
        <v>-93.736500451134006</v>
      </c>
      <c r="AP20" s="138">
        <f t="shared" si="16"/>
        <v>-92.511659919578918</v>
      </c>
      <c r="AQ20" s="138">
        <f t="shared" si="17"/>
        <v>-90.889055473130398</v>
      </c>
      <c r="AR20" s="138">
        <f t="shared" si="18"/>
        <v>-88.644449971780531</v>
      </c>
      <c r="AS20" s="138">
        <f t="shared" si="19"/>
        <v>-85.366061078222558</v>
      </c>
      <c r="AT20" s="138">
        <f t="shared" si="20"/>
        <v>-80.123054816375856</v>
      </c>
      <c r="AU20" s="138"/>
      <c r="AV20" s="138"/>
      <c r="AW20" s="138"/>
      <c r="AX20" s="138"/>
      <c r="AY20" s="138"/>
    </row>
    <row r="21" spans="1:51" x14ac:dyDescent="0.2">
      <c r="A21" t="str">
        <f t="shared" si="0"/>
        <v>Keynes-Kaldor</v>
      </c>
      <c r="B21" s="80">
        <f t="shared" ref="B21:Y21" si="28">IF(B6&gt;0,100*B6,"")</f>
        <v>100</v>
      </c>
      <c r="C21" s="80">
        <f t="shared" si="28"/>
        <v>100.12648182501287</v>
      </c>
      <c r="D21" s="80">
        <f t="shared" si="28"/>
        <v>100.1984153620831</v>
      </c>
      <c r="E21" s="80">
        <f t="shared" si="28"/>
        <v>100.21033294915689</v>
      </c>
      <c r="F21" s="80">
        <f t="shared" si="28"/>
        <v>100.15560413499918</v>
      </c>
      <c r="G21" s="80">
        <f t="shared" si="28"/>
        <v>100.02620130152418</v>
      </c>
      <c r="H21" s="80">
        <f t="shared" si="28"/>
        <v>99.812182052376613</v>
      </c>
      <c r="I21" s="80">
        <f t="shared" si="28"/>
        <v>99.501119886734358</v>
      </c>
      <c r="J21" s="80">
        <f t="shared" si="28"/>
        <v>99.077151915399554</v>
      </c>
      <c r="K21" s="80">
        <f t="shared" si="28"/>
        <v>98.519610797129729</v>
      </c>
      <c r="L21" s="80">
        <f t="shared" si="28"/>
        <v>97.800741446176872</v>
      </c>
      <c r="M21" s="80">
        <f t="shared" si="28"/>
        <v>96.882064268624916</v>
      </c>
      <c r="N21" s="80">
        <f t="shared" si="28"/>
        <v>95.707901642298097</v>
      </c>
      <c r="O21" s="80">
        <f t="shared" si="28"/>
        <v>94.193684461997222</v>
      </c>
      <c r="P21" s="80">
        <f t="shared" si="28"/>
        <v>92.203479916890771</v>
      </c>
      <c r="Q21" s="80">
        <f t="shared" si="28"/>
        <v>89.505958605905519</v>
      </c>
      <c r="R21" s="80">
        <f t="shared" si="28"/>
        <v>85.686947443505275</v>
      </c>
      <c r="S21" s="80">
        <f t="shared" si="28"/>
        <v>79.96408784800623</v>
      </c>
      <c r="T21" s="80">
        <f t="shared" si="28"/>
        <v>70.681902714965773</v>
      </c>
      <c r="U21" s="80">
        <f t="shared" si="28"/>
        <v>53.283847237769876</v>
      </c>
      <c r="V21" s="80">
        <f t="shared" si="28"/>
        <v>47.734597605722904</v>
      </c>
      <c r="W21" s="80">
        <f t="shared" si="28"/>
        <v>40.883311686803395</v>
      </c>
      <c r="X21" s="80" t="str">
        <f t="shared" si="28"/>
        <v/>
      </c>
      <c r="Y21" s="80" t="str">
        <f t="shared" si="28"/>
        <v/>
      </c>
      <c r="Z21" s="138"/>
      <c r="AA21" t="s">
        <v>95</v>
      </c>
      <c r="AB21" s="138">
        <f t="shared" si="2"/>
        <v>-99</v>
      </c>
      <c r="AC21" s="138">
        <f t="shared" si="3"/>
        <v>-99.126481825012874</v>
      </c>
      <c r="AD21" s="138">
        <f t="shared" si="4"/>
        <v>-99.198415362083097</v>
      </c>
      <c r="AE21" s="138">
        <f t="shared" si="5"/>
        <v>-99.210332949156893</v>
      </c>
      <c r="AF21" s="138">
        <f t="shared" si="6"/>
        <v>-99.15560413499918</v>
      </c>
      <c r="AG21" s="138">
        <f t="shared" si="7"/>
        <v>-99.026201301524182</v>
      </c>
      <c r="AH21" s="138">
        <f t="shared" si="8"/>
        <v>-98.812182052376613</v>
      </c>
      <c r="AI21" s="138">
        <f t="shared" si="9"/>
        <v>-98.501119886734358</v>
      </c>
      <c r="AJ21" s="138">
        <f t="shared" si="10"/>
        <v>-98.077151915399554</v>
      </c>
      <c r="AK21" s="138">
        <f t="shared" si="11"/>
        <v>-97.519610797129729</v>
      </c>
      <c r="AL21" s="138">
        <f t="shared" si="12"/>
        <v>-96.800741446176872</v>
      </c>
      <c r="AM21" s="138">
        <f t="shared" si="13"/>
        <v>-95.882064268624916</v>
      </c>
      <c r="AN21" s="138">
        <f t="shared" si="14"/>
        <v>-94.707901642298097</v>
      </c>
      <c r="AO21" s="138">
        <f t="shared" si="15"/>
        <v>-93.193684461997222</v>
      </c>
      <c r="AP21" s="138">
        <f t="shared" si="16"/>
        <v>-91.203479916890771</v>
      </c>
      <c r="AQ21" s="138"/>
      <c r="AR21" s="138"/>
      <c r="AS21" s="138"/>
      <c r="AT21" s="138"/>
      <c r="AU21" s="138"/>
      <c r="AV21" s="138"/>
      <c r="AW21" s="138"/>
      <c r="AX21" s="138"/>
      <c r="AY21" s="138"/>
    </row>
    <row r="22" spans="1:51" x14ac:dyDescent="0.2">
      <c r="A22" t="str">
        <f t="shared" si="0"/>
        <v>Keynes-Marshall</v>
      </c>
      <c r="B22" s="80">
        <f t="shared" ref="B22:Y22" si="29">IF(B7&gt;0,100*B7,"")</f>
        <v>100</v>
      </c>
      <c r="C22" s="80">
        <f t="shared" si="29"/>
        <v>103.03042082237739</v>
      </c>
      <c r="D22" s="80">
        <f t="shared" si="29"/>
        <v>105.9990332022488</v>
      </c>
      <c r="E22" s="80">
        <f t="shared" si="29"/>
        <v>108.91758395718098</v>
      </c>
      <c r="F22" s="80">
        <f t="shared" si="29"/>
        <v>111.80175632993465</v>
      </c>
      <c r="G22" s="80">
        <f t="shared" si="29"/>
        <v>114.67311927956642</v>
      </c>
      <c r="H22" s="80">
        <f t="shared" si="29"/>
        <v>117.56245759996293</v>
      </c>
      <c r="I22" s="80">
        <f t="shared" si="29"/>
        <v>120.51513398832947</v>
      </c>
      <c r="J22" s="80">
        <f t="shared" si="29"/>
        <v>123.59887818800308</v>
      </c>
      <c r="K22" s="80">
        <f t="shared" si="29"/>
        <v>126.91436671627028</v>
      </c>
      <c r="L22" s="80">
        <f t="shared" si="29"/>
        <v>130.60309269397129</v>
      </c>
      <c r="M22" s="80">
        <f t="shared" si="29"/>
        <v>134.8279333753276</v>
      </c>
      <c r="N22" s="80">
        <f t="shared" si="29"/>
        <v>139.67486128682685</v>
      </c>
      <c r="O22" s="80">
        <f t="shared" si="29"/>
        <v>144.99190951773679</v>
      </c>
      <c r="P22" s="80">
        <f t="shared" si="29"/>
        <v>150.39662356883068</v>
      </c>
      <c r="Q22" s="80">
        <f t="shared" si="29"/>
        <v>155.51202537341234</v>
      </c>
      <c r="R22" s="80">
        <f t="shared" si="29"/>
        <v>160.08087327659882</v>
      </c>
      <c r="S22" s="80">
        <f t="shared" si="29"/>
        <v>163.82934887778518</v>
      </c>
      <c r="T22" s="80">
        <f t="shared" si="29"/>
        <v>165.97523604829621</v>
      </c>
      <c r="U22" s="80">
        <f t="shared" si="29"/>
        <v>161.87662676887214</v>
      </c>
      <c r="V22" s="80" t="str">
        <f t="shared" si="29"/>
        <v/>
      </c>
      <c r="W22" s="80" t="str">
        <f t="shared" si="29"/>
        <v/>
      </c>
      <c r="X22" s="80" t="str">
        <f t="shared" si="29"/>
        <v/>
      </c>
      <c r="Y22" s="80" t="str">
        <f t="shared" si="29"/>
        <v/>
      </c>
      <c r="Z22" s="138"/>
      <c r="AA22" t="s">
        <v>92</v>
      </c>
      <c r="AB22" s="138">
        <f t="shared" si="2"/>
        <v>-99</v>
      </c>
      <c r="AC22" s="138">
        <f t="shared" si="3"/>
        <v>-102.03042082237739</v>
      </c>
      <c r="AD22" s="138">
        <f t="shared" si="4"/>
        <v>-104.9990332022488</v>
      </c>
      <c r="AE22" s="138">
        <f t="shared" si="5"/>
        <v>-107.91758395718098</v>
      </c>
      <c r="AF22" s="138">
        <f t="shared" si="6"/>
        <v>-110.80175632993465</v>
      </c>
      <c r="AG22" s="138">
        <f t="shared" si="7"/>
        <v>-113.67311927956642</v>
      </c>
      <c r="AH22" s="138">
        <f t="shared" si="8"/>
        <v>-116.56245759996293</v>
      </c>
      <c r="AI22" s="138">
        <f t="shared" si="9"/>
        <v>-119.51513398832947</v>
      </c>
      <c r="AJ22" s="138">
        <f t="shared" si="10"/>
        <v>-122.59887818800308</v>
      </c>
      <c r="AK22" s="138">
        <f t="shared" si="11"/>
        <v>-125.91436671627028</v>
      </c>
      <c r="AL22" s="138">
        <f t="shared" si="12"/>
        <v>-129.60309269397129</v>
      </c>
      <c r="AM22" s="138">
        <f t="shared" si="13"/>
        <v>-133.8279333753276</v>
      </c>
      <c r="AN22" s="138">
        <f t="shared" si="14"/>
        <v>-138.67486128682685</v>
      </c>
      <c r="AO22" s="138">
        <f t="shared" si="15"/>
        <v>-143.99190951773679</v>
      </c>
      <c r="AP22" s="138">
        <f t="shared" si="16"/>
        <v>-149.39662356883068</v>
      </c>
      <c r="AQ22" s="138">
        <f t="shared" si="17"/>
        <v>-154.51202537341234</v>
      </c>
      <c r="AR22" s="138">
        <f t="shared" si="18"/>
        <v>-159.08087327659882</v>
      </c>
      <c r="AS22" s="138">
        <f t="shared" si="19"/>
        <v>-162.82934887778518</v>
      </c>
      <c r="AT22" s="138">
        <f t="shared" si="20"/>
        <v>-164.97523604829621</v>
      </c>
      <c r="AU22" s="138"/>
      <c r="AV22" s="138"/>
      <c r="AW22" s="138"/>
      <c r="AX22" s="138"/>
      <c r="AY22" s="138"/>
    </row>
    <row r="23" spans="1:51" x14ac:dyDescent="0.2">
      <c r="A23" t="str">
        <f t="shared" si="0"/>
        <v>Keynesian</v>
      </c>
      <c r="B23" s="80">
        <f t="shared" ref="B23:Y23" si="30">IF(B8&gt;0,100*B8,"")</f>
        <v>100</v>
      </c>
      <c r="C23" s="80">
        <f>IF(C8&gt;0,100*C8,"")</f>
        <v>98.468320345041121</v>
      </c>
      <c r="D23" s="80">
        <f t="shared" si="30"/>
        <v>96.855333032545815</v>
      </c>
      <c r="E23" s="80">
        <f t="shared" si="30"/>
        <v>95.153636692215102</v>
      </c>
      <c r="F23" s="80">
        <f t="shared" si="30"/>
        <v>93.354558046489018</v>
      </c>
      <c r="G23" s="80">
        <f t="shared" si="30"/>
        <v>91.447848938100734</v>
      </c>
      <c r="H23" s="80">
        <f t="shared" si="30"/>
        <v>89.421215859978361</v>
      </c>
      <c r="I23" s="80">
        <f t="shared" si="30"/>
        <v>87.259687634891918</v>
      </c>
      <c r="J23" s="80">
        <f t="shared" si="30"/>
        <v>84.944713729201368</v>
      </c>
      <c r="K23" s="80">
        <f t="shared" si="30"/>
        <v>82.452811271042307</v>
      </c>
      <c r="L23" s="80">
        <f t="shared" si="30"/>
        <v>79.753532992411948</v>
      </c>
      <c r="M23" s="80">
        <f t="shared" si="30"/>
        <v>76.806271554606099</v>
      </c>
      <c r="N23" s="80">
        <f t="shared" si="30"/>
        <v>73.555033599272946</v>
      </c>
      <c r="O23" s="80">
        <f t="shared" si="30"/>
        <v>69.919653357827769</v>
      </c>
      <c r="P23" s="80">
        <f t="shared" si="30"/>
        <v>65.78043648491122</v>
      </c>
      <c r="Q23" s="80">
        <f t="shared" si="30"/>
        <v>60.950454620339954</v>
      </c>
      <c r="R23" s="80">
        <f t="shared" si="30"/>
        <v>55.124807519259903</v>
      </c>
      <c r="S23" s="80">
        <f t="shared" si="30"/>
        <v>47.788593152407309</v>
      </c>
      <c r="T23" s="80">
        <f t="shared" si="30"/>
        <v>38.073988087401979</v>
      </c>
      <c r="U23" s="80" t="str">
        <f t="shared" si="30"/>
        <v/>
      </c>
      <c r="V23" s="80" t="str">
        <f t="shared" si="30"/>
        <v/>
      </c>
      <c r="W23" s="80" t="str">
        <f t="shared" si="30"/>
        <v/>
      </c>
      <c r="X23" s="80" t="str">
        <f t="shared" si="30"/>
        <v/>
      </c>
      <c r="Y23" s="80" t="str">
        <f t="shared" si="30"/>
        <v/>
      </c>
      <c r="Z23" s="138"/>
      <c r="AA23" t="s">
        <v>94</v>
      </c>
      <c r="AB23" s="138">
        <f t="shared" si="2"/>
        <v>-99</v>
      </c>
      <c r="AC23" s="138">
        <f t="shared" si="3"/>
        <v>-97.468320345041121</v>
      </c>
      <c r="AD23" s="138">
        <f t="shared" si="4"/>
        <v>-95.855333032545815</v>
      </c>
      <c r="AE23" s="138">
        <f t="shared" si="5"/>
        <v>-94.153636692215102</v>
      </c>
      <c r="AF23" s="138">
        <f t="shared" si="6"/>
        <v>-92.354558046489018</v>
      </c>
      <c r="AG23" s="138">
        <f t="shared" si="7"/>
        <v>-90.447848938100734</v>
      </c>
      <c r="AH23" s="138">
        <f t="shared" si="8"/>
        <v>-88.421215859978361</v>
      </c>
      <c r="AI23" s="138">
        <f t="shared" si="9"/>
        <v>-86.259687634891918</v>
      </c>
      <c r="AJ23" s="138">
        <f t="shared" si="10"/>
        <v>-83.944713729201368</v>
      </c>
      <c r="AK23" s="138">
        <f t="shared" si="11"/>
        <v>-81.452811271042307</v>
      </c>
      <c r="AL23" s="138">
        <f t="shared" si="12"/>
        <v>-78.753532992411948</v>
      </c>
      <c r="AM23" s="138">
        <f t="shared" si="13"/>
        <v>-75.806271554606099</v>
      </c>
      <c r="AN23" s="138">
        <f t="shared" si="14"/>
        <v>-72.555033599272946</v>
      </c>
      <c r="AO23" s="138">
        <f t="shared" si="15"/>
        <v>-68.919653357827769</v>
      </c>
      <c r="AP23" s="138">
        <f t="shared" si="16"/>
        <v>-64.78043648491122</v>
      </c>
      <c r="AQ23" s="138">
        <f t="shared" si="17"/>
        <v>-59.950454620339954</v>
      </c>
      <c r="AR23" s="138">
        <f t="shared" si="18"/>
        <v>-54.124807519259903</v>
      </c>
      <c r="AS23" s="138">
        <f t="shared" si="19"/>
        <v>-46.788593152407309</v>
      </c>
      <c r="AT23" s="138">
        <f t="shared" si="20"/>
        <v>-37.073988087401979</v>
      </c>
      <c r="AU23" s="138" t="e">
        <f t="shared" si="21"/>
        <v>#VALUE!</v>
      </c>
      <c r="AV23" s="138" t="e">
        <f t="shared" si="22"/>
        <v>#VALUE!</v>
      </c>
      <c r="AW23" s="138" t="e">
        <f t="shared" si="23"/>
        <v>#VALUE!</v>
      </c>
      <c r="AX23" s="138" t="e">
        <f t="shared" si="24"/>
        <v>#VALUE!</v>
      </c>
      <c r="AY23" s="138" t="e">
        <f t="shared" si="25"/>
        <v>#VALUE!</v>
      </c>
    </row>
    <row r="24" spans="1:51" x14ac:dyDescent="0.2">
      <c r="A24" t="str">
        <f t="shared" si="0"/>
        <v>Neo-K2</v>
      </c>
      <c r="B24" s="80">
        <f t="shared" ref="B24:Y24" si="31">IF(B9&gt;0,100*B9,"")</f>
        <v>100</v>
      </c>
      <c r="C24" s="80">
        <f t="shared" si="31"/>
        <v>98.540528667335664</v>
      </c>
      <c r="D24" s="80">
        <f t="shared" si="31"/>
        <v>96.936972552985054</v>
      </c>
      <c r="E24" s="80">
        <f t="shared" si="31"/>
        <v>95.167247233942504</v>
      </c>
      <c r="F24" s="80">
        <f t="shared" si="31"/>
        <v>93.20567016583658</v>
      </c>
      <c r="G24" s="80">
        <f t="shared" si="31"/>
        <v>91.022317708384492</v>
      </c>
      <c r="H24" s="80">
        <f t="shared" si="31"/>
        <v>88.582915373908307</v>
      </c>
      <c r="I24" s="80">
        <f t="shared" si="31"/>
        <v>85.849175535916089</v>
      </c>
      <c r="J24" s="80">
        <f t="shared" si="31"/>
        <v>82.779987013728899</v>
      </c>
      <c r="K24" s="80">
        <f t="shared" si="31"/>
        <v>79.33431566908078</v>
      </c>
      <c r="L24" s="80">
        <f t="shared" si="31"/>
        <v>75.477035351508235</v>
      </c>
      <c r="M24" s="80">
        <f t="shared" si="31"/>
        <v>71.188548663392865</v>
      </c>
      <c r="N24" s="80">
        <f t="shared" si="31"/>
        <v>66.478751117693633</v>
      </c>
      <c r="O24" s="80">
        <f t="shared" si="31"/>
        <v>61.402071355320572</v>
      </c>
      <c r="P24" s="80">
        <f t="shared" si="31"/>
        <v>56.064077525284141</v>
      </c>
      <c r="Q24" s="80">
        <f t="shared" si="31"/>
        <v>50.606001175502705</v>
      </c>
      <c r="R24" s="80">
        <f t="shared" si="31"/>
        <v>45.169195315506258</v>
      </c>
      <c r="S24" s="80">
        <f t="shared" si="31"/>
        <v>39.863470271289167</v>
      </c>
      <c r="T24" s="80">
        <f t="shared" si="31"/>
        <v>34.543972875679721</v>
      </c>
      <c r="U24" s="80">
        <f t="shared" si="31"/>
        <v>27.748029865320223</v>
      </c>
      <c r="V24" s="80">
        <f t="shared" si="31"/>
        <v>25.779695852780222</v>
      </c>
      <c r="W24" s="80">
        <f t="shared" si="31"/>
        <v>23.329741121827809</v>
      </c>
      <c r="X24" s="80" t="str">
        <f t="shared" si="31"/>
        <v/>
      </c>
      <c r="Y24" s="80" t="str">
        <f t="shared" si="31"/>
        <v/>
      </c>
      <c r="AA24" t="s">
        <v>102</v>
      </c>
      <c r="AB24">
        <v>0</v>
      </c>
      <c r="AC24">
        <v>1.6299677882760211E-2</v>
      </c>
      <c r="AD24">
        <v>3.7869151019755298E-2</v>
      </c>
      <c r="AE24">
        <v>6.0966084571312473E-2</v>
      </c>
      <c r="AF24">
        <v>8.499815731946625E-2</v>
      </c>
      <c r="AG24">
        <v>0.10976953759369823</v>
      </c>
      <c r="AH24">
        <v>0.13521909503535134</v>
      </c>
      <c r="AI24">
        <v>0.16135547761226787</v>
      </c>
      <c r="AJ24">
        <v>0.18823868110250042</v>
      </c>
      <c r="AK24">
        <v>0.21597965134053443</v>
      </c>
      <c r="AL24">
        <v>0.24475175720346387</v>
      </c>
      <c r="AM24">
        <v>0.27481537666990441</v>
      </c>
      <c r="AN24">
        <v>0.30656214429555484</v>
      </c>
      <c r="AO24">
        <v>0.34059249330608121</v>
      </c>
      <c r="AP24">
        <v>0.37785092506929718</v>
      </c>
      <c r="AQ24">
        <v>0.41985390206290241</v>
      </c>
      <c r="AR24">
        <v>0.46901959072982924</v>
      </c>
      <c r="AS24">
        <v>0.52893013133661948</v>
      </c>
      <c r="AT24">
        <v>0.60417530096699301</v>
      </c>
      <c r="AU24">
        <v>0.70136796375530863</v>
      </c>
      <c r="AV24">
        <v>0.72460834466770874</v>
      </c>
      <c r="AW24">
        <v>0.74962344681711368</v>
      </c>
      <c r="AX24">
        <v>0.77679170274978271</v>
      </c>
      <c r="AY24">
        <v>0.80664155575269203</v>
      </c>
    </row>
    <row r="25" spans="1:51" x14ac:dyDescent="0.2">
      <c r="A25" t="str">
        <f t="shared" si="0"/>
        <v>Neo-K1</v>
      </c>
      <c r="B25" s="80">
        <f t="shared" ref="B25:Y25" si="32">IF(B10&gt;0,100*B10,"")</f>
        <v>100</v>
      </c>
      <c r="C25" s="80">
        <f t="shared" si="32"/>
        <v>98.881140689527172</v>
      </c>
      <c r="D25" s="80">
        <f t="shared" si="32"/>
        <v>97.668710748947944</v>
      </c>
      <c r="E25" s="80">
        <f t="shared" si="32"/>
        <v>96.348970116720949</v>
      </c>
      <c r="F25" s="80">
        <f t="shared" si="32"/>
        <v>94.905359824883973</v>
      </c>
      <c r="G25" s="80">
        <f t="shared" si="32"/>
        <v>93.317616126788906</v>
      </c>
      <c r="H25" s="80">
        <f t="shared" si="32"/>
        <v>91.560762188937275</v>
      </c>
      <c r="I25" s="80">
        <f t="shared" si="32"/>
        <v>89.603687452765783</v>
      </c>
      <c r="J25" s="80">
        <f t="shared" si="32"/>
        <v>87.407182574033058</v>
      </c>
      <c r="K25" s="80">
        <f t="shared" si="32"/>
        <v>84.921328762188594</v>
      </c>
      <c r="L25" s="80">
        <f t="shared" si="32"/>
        <v>82.081863961184325</v>
      </c>
      <c r="M25" s="80">
        <f t="shared" si="32"/>
        <v>78.80544296610185</v>
      </c>
      <c r="N25" s="80">
        <f t="shared" si="32"/>
        <v>74.983371021188546</v>
      </c>
      <c r="O25" s="80">
        <f t="shared" si="32"/>
        <v>70.474042721691845</v>
      </c>
      <c r="P25" s="80">
        <f t="shared" si="32"/>
        <v>65.094975524330238</v>
      </c>
      <c r="Q25" s="80">
        <f t="shared" si="32"/>
        <v>58.617124035034387</v>
      </c>
      <c r="R25" s="80">
        <f t="shared" si="32"/>
        <v>50.766810768411261</v>
      </c>
      <c r="S25" s="80">
        <f t="shared" si="32"/>
        <v>41.242416502127128</v>
      </c>
      <c r="T25" s="80">
        <f t="shared" si="32"/>
        <v>29.749960490289951</v>
      </c>
      <c r="U25" s="80">
        <f t="shared" si="32"/>
        <v>16.050522953912505</v>
      </c>
      <c r="V25" s="80">
        <f t="shared" si="32"/>
        <v>13.031186559214571</v>
      </c>
      <c r="W25" s="80">
        <f t="shared" si="32"/>
        <v>9.9168240865660291</v>
      </c>
      <c r="X25" s="80">
        <f t="shared" si="32"/>
        <v>6.7069895099529955</v>
      </c>
      <c r="Y25" s="80">
        <f t="shared" si="32"/>
        <v>3.4014136271143123</v>
      </c>
    </row>
    <row r="26" spans="1:51" x14ac:dyDescent="0.2">
      <c r="A26" t="str">
        <f t="shared" si="0"/>
        <v>Neoclassical - hetero s</v>
      </c>
      <c r="B26" s="80">
        <f t="shared" ref="B26:Y26" si="33">IF(B11&gt;0,100*B11,"")</f>
        <v>99.999999999999957</v>
      </c>
      <c r="C26" s="80">
        <f t="shared" si="33"/>
        <v>99.444591610775461</v>
      </c>
      <c r="D26" s="80">
        <f t="shared" si="33"/>
        <v>98.832398885785551</v>
      </c>
      <c r="E26" s="80">
        <f t="shared" si="33"/>
        <v>98.155485786276003</v>
      </c>
      <c r="F26" s="80">
        <f t="shared" si="33"/>
        <v>97.404297476950717</v>
      </c>
      <c r="G26" s="80">
        <f t="shared" si="33"/>
        <v>96.56720422078395</v>
      </c>
      <c r="H26" s="80">
        <f t="shared" si="33"/>
        <v>95.629799805413811</v>
      </c>
      <c r="I26" s="80">
        <f t="shared" si="33"/>
        <v>94.573972610617076</v>
      </c>
      <c r="J26" s="80">
        <f t="shared" si="33"/>
        <v>93.376390646056393</v>
      </c>
      <c r="K26" s="80">
        <f t="shared" si="33"/>
        <v>92.006316660733319</v>
      </c>
      <c r="L26" s="80">
        <f t="shared" si="33"/>
        <v>90.421972939464908</v>
      </c>
      <c r="M26" s="80">
        <f t="shared" si="33"/>
        <v>88.564636602078423</v>
      </c>
      <c r="N26" s="80">
        <f t="shared" si="33"/>
        <v>86.348466526882433</v>
      </c>
      <c r="O26" s="80">
        <f t="shared" si="33"/>
        <v>83.64251910760342</v>
      </c>
      <c r="P26" s="80">
        <f t="shared" si="33"/>
        <v>80.238481689363084</v>
      </c>
      <c r="Q26" s="80">
        <f t="shared" si="33"/>
        <v>75.794214216834831</v>
      </c>
      <c r="R26" s="80">
        <f t="shared" si="33"/>
        <v>69.744648234885304</v>
      </c>
      <c r="S26" s="80">
        <f t="shared" si="33"/>
        <v>61.173763947405334</v>
      </c>
      <c r="T26" s="80">
        <f t="shared" si="33"/>
        <v>48.516789846608084</v>
      </c>
      <c r="U26" s="80">
        <f t="shared" si="33"/>
        <v>28.500358745058367</v>
      </c>
      <c r="V26" s="80">
        <f t="shared" si="33"/>
        <v>23.086212220297583</v>
      </c>
      <c r="W26" s="80">
        <f t="shared" si="33"/>
        <v>17.080624919208308</v>
      </c>
      <c r="X26" s="80">
        <f t="shared" si="33"/>
        <v>10.553097572575746</v>
      </c>
      <c r="Y26" s="80">
        <f t="shared" si="33"/>
        <v>4.0042490619631232</v>
      </c>
      <c r="AA26" t="s">
        <v>105</v>
      </c>
      <c r="AB26">
        <v>0</v>
      </c>
      <c r="AC26">
        <v>2.4455413117095204E-2</v>
      </c>
      <c r="AD26">
        <v>4.9582452063072879E-2</v>
      </c>
      <c r="AE26">
        <v>7.5422482830450832E-2</v>
      </c>
      <c r="AF26">
        <v>0.10203604829027713</v>
      </c>
      <c r="AG26">
        <v>0.12950646138692268</v>
      </c>
      <c r="AH26">
        <v>0.15794577642046292</v>
      </c>
      <c r="AI26">
        <v>0.18750396612833087</v>
      </c>
      <c r="AJ26">
        <v>0.2183827517703063</v>
      </c>
      <c r="AK26">
        <v>0.25085644053670408</v>
      </c>
      <c r="AL26">
        <v>0.28530344275689024</v>
      </c>
      <c r="AM26">
        <v>0.32225376978528442</v>
      </c>
      <c r="AN26">
        <v>0.36245851783105143</v>
      </c>
      <c r="AO26">
        <v>0.4069814404263582</v>
      </c>
      <c r="AP26">
        <v>0.45728031153994497</v>
      </c>
      <c r="AQ26">
        <v>0.51513886122861874</v>
      </c>
      <c r="AR26">
        <v>0.58212085367954358</v>
      </c>
      <c r="AS26">
        <v>0.65839323187120646</v>
      </c>
      <c r="AT26">
        <v>0.74204710643489147</v>
      </c>
      <c r="AU26">
        <v>0.83020084307854525</v>
      </c>
      <c r="AV26">
        <v>0.84813253492592611</v>
      </c>
      <c r="AW26">
        <v>0.86611673995979377</v>
      </c>
      <c r="AX26">
        <v>0.88413247851147436</v>
      </c>
      <c r="AY26">
        <v>0.90215898234149516</v>
      </c>
    </row>
    <row r="27" spans="1:51" x14ac:dyDescent="0.2">
      <c r="AA27" t="s">
        <v>103</v>
      </c>
      <c r="AB27">
        <v>0</v>
      </c>
      <c r="AC27">
        <v>2.284641025922507E-2</v>
      </c>
      <c r="AD27">
        <v>4.6096151342895464E-2</v>
      </c>
      <c r="AE27">
        <v>6.9797580187829333E-2</v>
      </c>
      <c r="AF27">
        <v>9.4009847511114075E-2</v>
      </c>
      <c r="AG27">
        <v>0.1188063140133786</v>
      </c>
      <c r="AH27">
        <v>0.14427936201795311</v>
      </c>
      <c r="AI27">
        <v>0.17054730446263533</v>
      </c>
      <c r="AJ27">
        <v>0.19776451064706457</v>
      </c>
      <c r="AK27">
        <v>0.22613656357673728</v>
      </c>
      <c r="AL27">
        <v>0.25594342100818523</v>
      </c>
      <c r="AM27">
        <v>0.28757542168400196</v>
      </c>
      <c r="AN27">
        <v>0.3215896859431584</v>
      </c>
      <c r="AO27">
        <v>0.35879694978192112</v>
      </c>
      <c r="AP27">
        <v>0.40038451916212203</v>
      </c>
      <c r="AQ27">
        <v>0.44804396125478219</v>
      </c>
      <c r="AR27">
        <v>0.50394208723291989</v>
      </c>
      <c r="AS27">
        <v>0.57019341710137716</v>
      </c>
      <c r="AT27">
        <v>0.64791310762469279</v>
      </c>
      <c r="AU27">
        <v>0.73607758799831213</v>
      </c>
      <c r="AV27">
        <v>0.75329954326250947</v>
      </c>
    </row>
    <row r="28" spans="1:51" x14ac:dyDescent="0.2">
      <c r="AA28" t="s">
        <v>104</v>
      </c>
      <c r="AB28">
        <v>0</v>
      </c>
      <c r="AC28">
        <v>2.4152364158611328E-2</v>
      </c>
      <c r="AD28">
        <v>4.85126474241655E-2</v>
      </c>
      <c r="AE28">
        <v>7.3209407628021639E-2</v>
      </c>
      <c r="AF28">
        <v>9.8337130088727132E-2</v>
      </c>
      <c r="AG28">
        <v>0.12398941248779904</v>
      </c>
      <c r="AH28">
        <v>0.15027240513403839</v>
      </c>
      <c r="AI28">
        <v>0.17731516126235403</v>
      </c>
      <c r="AJ28">
        <v>0.20528143081161898</v>
      </c>
      <c r="AK28">
        <v>0.23438569374526197</v>
      </c>
      <c r="AL28">
        <v>0.26491661965899282</v>
      </c>
      <c r="AM28">
        <v>0.29727248068229861</v>
      </c>
      <c r="AN28">
        <v>0.33201482393820869</v>
      </c>
      <c r="AO28">
        <v>0.36994686756145156</v>
      </c>
      <c r="AP28">
        <v>0.41221276760680436</v>
      </c>
      <c r="AQ28">
        <v>0.46036414188478314</v>
      </c>
      <c r="AR28">
        <v>0.51619778637445179</v>
      </c>
      <c r="AS28">
        <v>0.58100448767305801</v>
      </c>
      <c r="AT28">
        <v>0.65382205431764795</v>
      </c>
    </row>
    <row r="32" spans="1:51" x14ac:dyDescent="0.2">
      <c r="A32" t="s">
        <v>99</v>
      </c>
    </row>
    <row r="33" spans="1:26" x14ac:dyDescent="0.2">
      <c r="A33" t="s">
        <v>147</v>
      </c>
      <c r="B33" s="94">
        <v>0</v>
      </c>
      <c r="C33" s="94">
        <v>0.05</v>
      </c>
      <c r="D33" s="94">
        <v>0.1</v>
      </c>
      <c r="E33" s="94">
        <v>0.15000000000000002</v>
      </c>
      <c r="F33" s="94">
        <v>0.2</v>
      </c>
      <c r="G33" s="94">
        <v>0.25</v>
      </c>
      <c r="H33" s="94">
        <v>0.3</v>
      </c>
      <c r="I33" s="94">
        <v>0.35</v>
      </c>
      <c r="J33" s="94">
        <v>0.39999999999999997</v>
      </c>
      <c r="K33" s="94">
        <v>0.44999999999999996</v>
      </c>
      <c r="L33" s="94">
        <v>0.49999999999999994</v>
      </c>
      <c r="M33" s="94">
        <v>0.54999999999999993</v>
      </c>
      <c r="N33" s="94">
        <v>0.6</v>
      </c>
      <c r="O33" s="94">
        <v>0.65</v>
      </c>
      <c r="P33" s="94">
        <v>0.70000000000000007</v>
      </c>
      <c r="Q33" s="94">
        <v>0.75000000000000011</v>
      </c>
      <c r="R33" s="94">
        <v>0.80000000000000016</v>
      </c>
      <c r="S33" s="94">
        <v>0.8500000000000002</v>
      </c>
      <c r="T33" s="94">
        <v>0.90000000000000024</v>
      </c>
      <c r="U33" s="94">
        <v>0.95000000000000029</v>
      </c>
      <c r="V33" s="94">
        <v>0.9600000000000003</v>
      </c>
      <c r="W33" s="94">
        <v>0.97000000000000031</v>
      </c>
      <c r="X33" s="94">
        <v>0.98000000000000032</v>
      </c>
      <c r="Y33" s="94">
        <v>0.99000000000000032</v>
      </c>
      <c r="Z33" s="139"/>
    </row>
    <row r="34" spans="1:26" x14ac:dyDescent="0.2">
      <c r="A34" t="str">
        <f>A3</f>
        <v>Neoclassical</v>
      </c>
      <c r="B34" s="80">
        <f>NeoClassical!B2</f>
        <v>5.7716594496607888E-3</v>
      </c>
      <c r="C34" s="80">
        <f>NeoClassical!D2</f>
        <v>3.4030524797715483E-2</v>
      </c>
      <c r="D34" s="80">
        <f>NeoClassical!F2</f>
        <v>6.4933074408364128E-2</v>
      </c>
      <c r="E34" s="80">
        <f>NeoClassical!H2</f>
        <v>9.8925938511027448E-2</v>
      </c>
      <c r="F34" s="80">
        <f>NeoClassical!J2</f>
        <v>0.13657451562229669</v>
      </c>
      <c r="G34" s="80">
        <f>NeoClassical!L2</f>
        <v>0.17860792438195902</v>
      </c>
      <c r="H34" s="80">
        <f>NeoClassical!N2</f>
        <v>0.22598764537484115</v>
      </c>
      <c r="I34" s="80">
        <f>NeoClassical!P2</f>
        <v>0.28001332167100962</v>
      </c>
      <c r="J34" s="80">
        <f>NeoClassical!R2</f>
        <v>0.34249446459967231</v>
      </c>
      <c r="K34" s="80">
        <f>NeoClassical!T2</f>
        <v>0.41603413138754441</v>
      </c>
      <c r="L34" s="80">
        <f>NeoClassical!V2</f>
        <v>0.50452674715596646</v>
      </c>
      <c r="M34" s="80">
        <f>NeoClassical!X2</f>
        <v>0.61406564861376656</v>
      </c>
      <c r="N34" s="80">
        <f>NeoClassical!Z2</f>
        <v>0.75468182799998229</v>
      </c>
      <c r="O34" s="80">
        <f>NeoClassical!AB2</f>
        <v>0.94385522373949637</v>
      </c>
      <c r="P34" s="80">
        <f>NeoClassical!AD2</f>
        <v>1.2139057313021129</v>
      </c>
      <c r="Q34" s="80">
        <f>NeoClassical!AF2</f>
        <v>1.6281039254603655</v>
      </c>
      <c r="R34" s="80">
        <f>NeoClassical!AH2</f>
        <v>2.3181578903446112</v>
      </c>
      <c r="S34" s="80">
        <f>NeoClassical!AJ2</f>
        <v>3.5930140459180113</v>
      </c>
      <c r="T34" s="80">
        <f>NeoClassical!AL2</f>
        <v>6.4101686988580662</v>
      </c>
      <c r="U34" s="80">
        <f>NeoClassical!AN2</f>
        <v>16.082127990694914</v>
      </c>
      <c r="V34" s="80">
        <f>NeoClassical!AP2</f>
        <v>21.403571526760828</v>
      </c>
      <c r="W34" s="80">
        <f>NeoClassical!AR2</f>
        <v>30.809683419613776</v>
      </c>
      <c r="X34" s="80">
        <f>NeoClassical!AT2</f>
        <v>0</v>
      </c>
      <c r="Y34" s="80">
        <f>NeoClassical!AV2</f>
        <v>0</v>
      </c>
      <c r="Z34" s="138"/>
    </row>
    <row r="35" spans="1:26" x14ac:dyDescent="0.2">
      <c r="A35" t="str">
        <f t="shared" ref="A35:A42" si="34">A4</f>
        <v>Kaldorian</v>
      </c>
      <c r="B35" s="80">
        <f>Kaldorian!B2</f>
        <v>5.7716594496607888E-3</v>
      </c>
      <c r="C35" s="80">
        <f>Kaldorian!D2</f>
        <v>3.5614000680927273E-2</v>
      </c>
      <c r="D35" s="80">
        <f>Kaldorian!F2</f>
        <v>6.8201219848250255E-2</v>
      </c>
      <c r="E35" s="80">
        <f>Kaldorian!H2</f>
        <v>0.10399609077879797</v>
      </c>
      <c r="F35" s="80">
        <f>Kaldorian!J2</f>
        <v>0.14358448722503217</v>
      </c>
      <c r="G35" s="80">
        <f>Kaldorian!L2</f>
        <v>0.18772219125556466</v>
      </c>
      <c r="H35" s="80">
        <f>Kaldorian!N2</f>
        <v>0.23740658789366578</v>
      </c>
      <c r="I35" s="80">
        <f>Kaldorian!P2</f>
        <v>0.29398783892428537</v>
      </c>
      <c r="J35" s="80">
        <f>Kaldorian!R2</f>
        <v>0.35934833067002675</v>
      </c>
      <c r="K35" s="80">
        <f>Kaldorian!T2</f>
        <v>0.43620542488526409</v>
      </c>
      <c r="L35" s="80">
        <f>Kaldorian!V2</f>
        <v>0.52863656482237864</v>
      </c>
      <c r="M35" s="80">
        <f>Kaldorian!X2</f>
        <v>0.64305115149451308</v>
      </c>
      <c r="N35" s="80">
        <f>Kaldorian!Z2</f>
        <v>0.79005931686503161</v>
      </c>
      <c r="O35" s="80">
        <f>Kaldorian!AB2</f>
        <v>0.98827838871685847</v>
      </c>
      <c r="P35" s="80">
        <f>Kaldorian!AD2</f>
        <v>1.2724188093620861</v>
      </c>
      <c r="Q35" s="80">
        <f>Kaldorian!AF2</f>
        <v>1.7110695799208442</v>
      </c>
      <c r="R35" s="80">
        <f>Kaldorian!AH2</f>
        <v>2.4483425594243164</v>
      </c>
      <c r="S35" s="80">
        <f>Kaldorian!AJ2</f>
        <v>3.8255650605302067</v>
      </c>
      <c r="T35" s="80">
        <f>Kaldorian!AL2</f>
        <v>6.9164752100307734</v>
      </c>
      <c r="U35" s="80">
        <f>Kaldorian!AN2</f>
        <v>17.84920924279011</v>
      </c>
      <c r="V35" s="80">
        <f>Kaldorian!AP2</f>
        <v>24.012360031555041</v>
      </c>
      <c r="W35" s="80">
        <f>Kaldorian!AR2</f>
        <v>35.091462429304485</v>
      </c>
      <c r="X35" s="80">
        <f>Kaldorian!AT2</f>
        <v>0</v>
      </c>
      <c r="Y35" s="80">
        <f>Kaldorian!AV2</f>
        <v>0</v>
      </c>
      <c r="Z35" s="138"/>
    </row>
    <row r="36" spans="1:26" x14ac:dyDescent="0.2">
      <c r="A36" t="str">
        <f t="shared" si="34"/>
        <v>Johansen</v>
      </c>
      <c r="B36" s="80">
        <f>Johansen!B2</f>
        <v>5.7716594496607888E-3</v>
      </c>
      <c r="C36" s="80">
        <f>Johansen!D2</f>
        <v>3.4654696648731206E-2</v>
      </c>
      <c r="D36" s="80">
        <f>Johansen!F2</f>
        <v>6.6251622726582401E-2</v>
      </c>
      <c r="E36" s="80">
        <f>Johansen!H2</f>
        <v>0.10102354423165226</v>
      </c>
      <c r="F36" s="80">
        <f>Johansen!J2</f>
        <v>0.1395553001544734</v>
      </c>
      <c r="G36" s="80">
        <f>Johansen!L2</f>
        <v>0.18260290693931522</v>
      </c>
      <c r="H36" s="80">
        <f>Johansen!N2</f>
        <v>0.23116606602031667</v>
      </c>
      <c r="I36" s="80">
        <f>Johansen!P2</f>
        <v>0.28660065178561139</v>
      </c>
      <c r="J36" s="80">
        <f>Johansen!R2</f>
        <v>0.35080195535122949</v>
      </c>
      <c r="K36" s="80">
        <f>Johansen!T2</f>
        <v>0.4265092389857259</v>
      </c>
      <c r="L36" s="80">
        <f>Johansen!V2</f>
        <v>0.51784297389900669</v>
      </c>
      <c r="M36" s="80">
        <f>Johansen!X2</f>
        <v>0.63129050926655439</v>
      </c>
      <c r="N36" s="80">
        <f>Johansen!Z2</f>
        <v>0.77760685736776392</v>
      </c>
      <c r="O36" s="80">
        <f>Johansen!AB2</f>
        <v>0.97567126877863508</v>
      </c>
      <c r="P36" s="80">
        <f>Johansen!AD2</f>
        <v>1.2606206682056842</v>
      </c>
      <c r="Q36" s="80">
        <f>Johansen!AF2</f>
        <v>1.7015161737605411</v>
      </c>
      <c r="R36" s="80">
        <f>Johansen!AH2</f>
        <v>2.442356610214361</v>
      </c>
      <c r="S36" s="80">
        <f>Johansen!AJ2</f>
        <v>3.8230956946858967</v>
      </c>
      <c r="T36" s="80">
        <f>Johansen!AL2</f>
        <v>6.915971227941542</v>
      </c>
      <c r="U36" s="80">
        <f>Johansen!AN2</f>
        <v>17.849179483407472</v>
      </c>
      <c r="V36" s="80">
        <f>Johansen!AP2</f>
        <v>24.012354079528027</v>
      </c>
      <c r="W36" s="80">
        <f>Johansen!AR2</f>
        <v>35.091461200133594</v>
      </c>
      <c r="X36" s="80">
        <f>Johansen!AT2</f>
        <v>0</v>
      </c>
      <c r="Y36" s="80">
        <f>Johansen!AV2</f>
        <v>0</v>
      </c>
      <c r="Z36" s="138"/>
    </row>
    <row r="37" spans="1:26" x14ac:dyDescent="0.2">
      <c r="A37" t="str">
        <f t="shared" si="34"/>
        <v>Keynes-Kaldor</v>
      </c>
      <c r="B37" s="80">
        <f>'Keynes-K'!B2</f>
        <v>5.7716594496607888E-3</v>
      </c>
      <c r="C37" s="80">
        <f>'Keynes-K'!D2</f>
        <v>3.6688117254143629E-2</v>
      </c>
      <c r="D37" s="80">
        <f>'Keynes-K'!F2</f>
        <v>7.0337135534169634E-2</v>
      </c>
      <c r="E37" s="80">
        <f>'Keynes-K'!H2</f>
        <v>0.10717103217271408</v>
      </c>
      <c r="F37" s="80">
        <f>'Keynes-K'!J2</f>
        <v>0.14776058924116112</v>
      </c>
      <c r="G37" s="80">
        <f>'Keynes-K'!L2</f>
        <v>0.19283986301408057</v>
      </c>
      <c r="H37" s="80">
        <f>'Keynes-K'!N2</f>
        <v>0.24337273893978342</v>
      </c>
      <c r="I37" s="80">
        <f>'Keynes-K'!P2</f>
        <v>0.30065604818022534</v>
      </c>
      <c r="J37" s="80">
        <f>'Keynes-K'!R2</f>
        <v>0.36648275557074317</v>
      </c>
      <c r="K37" s="80">
        <f>'Keynes-K'!T2</f>
        <v>0.44341246889298691</v>
      </c>
      <c r="L37" s="80">
        <f>'Keynes-K'!V2</f>
        <v>0.53523002100368045</v>
      </c>
      <c r="M37" s="80">
        <f>'Keynes-K'!X2</f>
        <v>0.64777114004613023</v>
      </c>
      <c r="N37" s="80">
        <f>'Keynes-K'!Z2</f>
        <v>0.79045491046443095</v>
      </c>
      <c r="O37" s="80">
        <f>'Keynes-K'!AB2</f>
        <v>0.97927399455577102</v>
      </c>
      <c r="P37" s="80">
        <f>'Keynes-K'!AD2</f>
        <v>1.2428084340909513</v>
      </c>
      <c r="Q37" s="80">
        <f>'Keynes-K'!AF2</f>
        <v>1.6345841703619899</v>
      </c>
      <c r="R37" s="80">
        <f>'Keynes-K'!AH2</f>
        <v>2.2594651863245532</v>
      </c>
      <c r="S37" s="80">
        <f>'Keynes-K'!AJ2</f>
        <v>3.3407865197436557</v>
      </c>
      <c r="T37" s="80">
        <f>'Keynes-K'!AL2</f>
        <v>5.46461294105048</v>
      </c>
      <c r="U37" s="80">
        <f>'Keynes-K'!AN2</f>
        <v>10.988418345153489</v>
      </c>
      <c r="V37" s="80">
        <f>'Keynes-K'!AP2</f>
        <v>13.318015821476813</v>
      </c>
      <c r="W37" s="80">
        <f>'Keynes-K'!AR2</f>
        <v>16.711121688864701</v>
      </c>
      <c r="X37" s="80">
        <f>'Keynes-K'!AT2</f>
        <v>0</v>
      </c>
      <c r="Y37" s="80">
        <f>'Keynes-K'!AV2</f>
        <v>0</v>
      </c>
      <c r="Z37" s="138"/>
    </row>
    <row r="38" spans="1:26" x14ac:dyDescent="0.2">
      <c r="A38" t="str">
        <f t="shared" si="34"/>
        <v>Keynes-Marshall</v>
      </c>
      <c r="B38" s="80">
        <f>'Keynes-M'!B2</f>
        <v>5.7716594496607888E-3</v>
      </c>
      <c r="C38" s="80">
        <f>'Keynes-M'!D2</f>
        <v>4.3480678335240344E-2</v>
      </c>
      <c r="D38" s="80">
        <f>'Keynes-M'!F2</f>
        <v>8.4987437176305705E-2</v>
      </c>
      <c r="E38" s="80">
        <f>'Keynes-M'!H2</f>
        <v>0.1312062286167397</v>
      </c>
      <c r="F38" s="80">
        <f>'Keynes-M'!J2</f>
        <v>0.18340930115334367</v>
      </c>
      <c r="G38" s="80">
        <f>'Keynes-M'!L2</f>
        <v>0.24340901980098084</v>
      </c>
      <c r="H38" s="80">
        <f>'Keynes-M'!N2</f>
        <v>0.31386349277823172</v>
      </c>
      <c r="I38" s="80">
        <f>'Keynes-M'!P2</f>
        <v>0.39881063527405602</v>
      </c>
      <c r="J38" s="80">
        <f>'Keynes-M'!R2</f>
        <v>0.50462603152917485</v>
      </c>
      <c r="K38" s="80">
        <f>'Keynes-M'!T2</f>
        <v>0.64177941538932759</v>
      </c>
      <c r="L38" s="80">
        <f>'Keynes-M'!V2</f>
        <v>0.82797831036232727</v>
      </c>
      <c r="M38" s="80">
        <f>'Keynes-M'!X2</f>
        <v>1.0931267114593068</v>
      </c>
      <c r="N38" s="80">
        <f>'Keynes-M'!Z2</f>
        <v>1.4849324032817575</v>
      </c>
      <c r="O38" s="80">
        <f>'Keynes-M'!AB2</f>
        <v>2.0734597271375517</v>
      </c>
      <c r="P38" s="80">
        <f>'Keynes-M'!AD2</f>
        <v>2.9663312270957074</v>
      </c>
      <c r="Q38" s="80">
        <f>'Keynes-M'!AF2</f>
        <v>4.3688951160745741</v>
      </c>
      <c r="R38" s="80">
        <f>'Keynes-M'!AH2</f>
        <v>6.756682621855842</v>
      </c>
      <c r="S38" s="80">
        <f>'Keynes-M'!AJ2</f>
        <v>11.455659507022718</v>
      </c>
      <c r="T38" s="80">
        <f>'Keynes-M'!AL2</f>
        <v>23.519621588610939</v>
      </c>
      <c r="U38" s="80">
        <f>'Keynes-M'!AN2</f>
        <v>81.006702684072707</v>
      </c>
      <c r="V38" s="80">
        <f>'Keynes-M'!AP2</f>
        <v>0</v>
      </c>
      <c r="W38" s="80">
        <f>'Keynes-M'!AR2</f>
        <v>0</v>
      </c>
      <c r="X38" s="80">
        <f>'Keynes-M'!AT2</f>
        <v>0</v>
      </c>
      <c r="Y38" s="80">
        <f>'Keynes-M'!AV2</f>
        <v>0</v>
      </c>
      <c r="Z38" s="138"/>
    </row>
    <row r="39" spans="1:26" x14ac:dyDescent="0.2">
      <c r="A39" t="str">
        <f t="shared" si="34"/>
        <v>Keynesian</v>
      </c>
      <c r="B39" s="80">
        <f>Keynesian!B2</f>
        <v>5.7716594496607888E-3</v>
      </c>
      <c r="C39" s="80">
        <f>Keynesian!D2</f>
        <v>2.6760594493633126E-2</v>
      </c>
      <c r="D39" s="80">
        <f>Keynesian!F2</f>
        <v>4.9470485260083644E-2</v>
      </c>
      <c r="E39" s="80">
        <f>Keynesian!H2</f>
        <v>7.4148968811687588E-2</v>
      </c>
      <c r="F39" s="80">
        <f>Keynesian!J2</f>
        <v>0.1010979581232742</v>
      </c>
      <c r="G39" s="80">
        <f>Keynesian!L2</f>
        <v>0.13069093663387291</v>
      </c>
      <c r="H39" s="80">
        <f>Keynesian!N2</f>
        <v>0.16339611906898632</v>
      </c>
      <c r="I39" s="80">
        <f>Keynesian!P2</f>
        <v>0.19981032864898138</v>
      </c>
      <c r="J39" s="80">
        <f>Keynesian!R2</f>
        <v>0.24070886360538107</v>
      </c>
      <c r="K39" s="80">
        <f>Keynesian!T2</f>
        <v>0.2871206654815186</v>
      </c>
      <c r="L39" s="80">
        <f>Keynesian!V2</f>
        <v>0.34044597892489764</v>
      </c>
      <c r="M39" s="80">
        <f>Keynesian!X2</f>
        <v>0.40264594542763055</v>
      </c>
      <c r="N39" s="80">
        <f>Keynesian!Z2</f>
        <v>0.47656345222959429</v>
      </c>
      <c r="O39" s="80">
        <f>Keynesian!AB2</f>
        <v>0.56648575299875814</v>
      </c>
      <c r="P39" s="80">
        <f>Keynesian!AD2</f>
        <v>0.67918982362879909</v>
      </c>
      <c r="Q39" s="80">
        <f>Keynesian!AF2</f>
        <v>0.82599931125118131</v>
      </c>
      <c r="R39" s="80">
        <f>Keynesian!AH2</f>
        <v>1.0271152891206565</v>
      </c>
      <c r="S39" s="80">
        <f>Keynesian!AJ2</f>
        <v>1.321556748254189</v>
      </c>
      <c r="T39" s="80">
        <f>Keynesian!AL2</f>
        <v>1.7929287979397339</v>
      </c>
      <c r="U39" s="80">
        <f>Keynesian!AN2</f>
        <v>0</v>
      </c>
      <c r="V39" s="80">
        <f>Keynesian!AP2</f>
        <v>0</v>
      </c>
      <c r="W39" s="80">
        <f>Keynesian!AR2</f>
        <v>0</v>
      </c>
      <c r="X39" s="80">
        <f>Keynesian!AT2</f>
        <v>0</v>
      </c>
      <c r="Y39" s="80">
        <f>Keynesian!AV4</f>
        <v>0</v>
      </c>
      <c r="Z39" s="138"/>
    </row>
    <row r="40" spans="1:26" x14ac:dyDescent="0.2">
      <c r="A40" t="str">
        <f t="shared" si="34"/>
        <v>Neo-K2</v>
      </c>
      <c r="B40" s="80">
        <f>'Neo-K2'!B2</f>
        <v>5.7716594496607888E-3</v>
      </c>
      <c r="C40" s="80">
        <f>'Neo-K2'!D2</f>
        <v>2.6717159326695314E-2</v>
      </c>
      <c r="D40" s="80">
        <f>'Neo-K2'!F2</f>
        <v>4.8861046207077478E-2</v>
      </c>
      <c r="E40" s="80">
        <f>'Neo-K2'!H2</f>
        <v>7.2285723331902585E-2</v>
      </c>
      <c r="F40" s="80">
        <f>'Neo-K2'!J2</f>
        <v>9.7078634488949503E-2</v>
      </c>
      <c r="G40" s="80">
        <f>'Neo-K2'!L2</f>
        <v>0.12333046280282915</v>
      </c>
      <c r="H40" s="80">
        <f>'Neo-K2'!N2</f>
        <v>0.15113931170757408</v>
      </c>
      <c r="I40" s="80">
        <f>'Neo-K2'!P2</f>
        <v>0.18062194220240715</v>
      </c>
      <c r="J40" s="80">
        <f>'Neo-K2'!R2</f>
        <v>0.21193947598337481</v>
      </c>
      <c r="K40" s="80">
        <f>'Neo-K2'!T2</f>
        <v>0.24535810430461344</v>
      </c>
      <c r="L40" s="80">
        <f>'Neo-K2'!V2</f>
        <v>0.28139263424779037</v>
      </c>
      <c r="M40" s="80">
        <f>'Neo-K2'!X2</f>
        <v>0.32112044412942803</v>
      </c>
      <c r="N40" s="80">
        <f>'Neo-K2'!Z2</f>
        <v>0.36687597378761705</v>
      </c>
      <c r="O40" s="80">
        <f>'Neo-K2'!AB2</f>
        <v>0.42378536271769812</v>
      </c>
      <c r="P40" s="80">
        <f>'Neo-K2'!AD2</f>
        <v>0.50332039629236081</v>
      </c>
      <c r="Q40" s="80">
        <f>'Neo-K2'!AF2</f>
        <v>0.63248588702621811</v>
      </c>
      <c r="R40" s="80">
        <f>'Neo-K2'!AH2</f>
        <v>0.88131289154790338</v>
      </c>
      <c r="S40" s="80">
        <f>'Neo-K2'!AJ2</f>
        <v>1.4496777135191738</v>
      </c>
      <c r="T40" s="80">
        <f>'Neo-K2'!AL2</f>
        <v>2.9663129992618691</v>
      </c>
      <c r="U40" s="80">
        <f>'Neo-K2'!AN2</f>
        <v>8.8921099499081038</v>
      </c>
      <c r="V40" s="80">
        <f>'Neo-K2'!AP2</f>
        <v>12.346340315430762</v>
      </c>
      <c r="W40" s="80">
        <f>'Neo-K2'!AR2</f>
        <v>18.629541858234877</v>
      </c>
      <c r="X40" s="80">
        <f>'Neo-K2'!AT2</f>
        <v>0</v>
      </c>
      <c r="Y40" s="80">
        <f>'Neo-K2'!AV2</f>
        <v>0</v>
      </c>
    </row>
    <row r="41" spans="1:26" x14ac:dyDescent="0.2">
      <c r="A41" t="str">
        <f t="shared" si="34"/>
        <v>Neo-K1</v>
      </c>
      <c r="B41" s="80">
        <f>'Neo-K1'!B2</f>
        <v>5.7716594496607888E-3</v>
      </c>
      <c r="C41" s="80">
        <f>'Neo-K1'!D2</f>
        <v>2.9449456070509542E-2</v>
      </c>
      <c r="D41" s="80">
        <f>'Neo-K1'!F2</f>
        <v>5.4935784092662587E-2</v>
      </c>
      <c r="E41" s="80">
        <f>'Neo-K1'!H2</f>
        <v>8.2465092916601299E-2</v>
      </c>
      <c r="F41" s="80">
        <f>'Neo-K1'!J2</f>
        <v>0.11231712316789143</v>
      </c>
      <c r="G41" s="80">
        <f>'Neo-K1'!L2</f>
        <v>0.14482785334642248</v>
      </c>
      <c r="H41" s="80">
        <f>'Neo-K1'!N2</f>
        <v>0.1804047821562875</v>
      </c>
      <c r="I41" s="80">
        <f>'Neo-K1'!P2</f>
        <v>0.21954669965117662</v>
      </c>
      <c r="J41" s="80">
        <f>'Neo-K1'!R2</f>
        <v>0.26286906384065184</v>
      </c>
      <c r="K41" s="80">
        <f>'Neo-K1'!T2</f>
        <v>0.31113756856379271</v>
      </c>
      <c r="L41" s="80">
        <f>'Neo-K1'!V2</f>
        <v>0.36530895329183771</v>
      </c>
      <c r="M41" s="80">
        <f>'Neo-K1'!X2</f>
        <v>0.42658246047356113</v>
      </c>
      <c r="N41" s="80">
        <f>'Neo-K1'!Z2</f>
        <v>0.49645345735571561</v>
      </c>
      <c r="O41" s="80">
        <f>'Neo-K1'!AB2</f>
        <v>0.57675839207470636</v>
      </c>
      <c r="P41" s="80">
        <f>'Neo-K1'!AD2</f>
        <v>0.66967874050767817</v>
      </c>
      <c r="Q41" s="80">
        <f>'Neo-K1'!AF2</f>
        <v>0.77764410905982495</v>
      </c>
      <c r="R41" s="80">
        <f>'Neo-K1'!AH2</f>
        <v>0.90305368118464702</v>
      </c>
      <c r="S41" s="80">
        <f>'Neo-K1'!AJ2</f>
        <v>1.0477531423040558</v>
      </c>
      <c r="T41" s="80">
        <f>'Neo-K1'!AL2</f>
        <v>1.2123487879488954</v>
      </c>
      <c r="U41" s="80">
        <f>'Neo-K1'!AN2</f>
        <v>1.3956566022961636</v>
      </c>
      <c r="V41" s="80">
        <f>'Neo-K1'!AP2</f>
        <v>1.4343257025873144</v>
      </c>
      <c r="W41" s="80">
        <f>'Neo-K1'!AR2</f>
        <v>1.4735951013660467</v>
      </c>
      <c r="X41" s="80">
        <f>'Neo-K1'!AT2</f>
        <v>1.5134311960467499</v>
      </c>
      <c r="Y41" s="80">
        <f>'Neo-K1'!AV2</f>
        <v>1.5537989159417764</v>
      </c>
    </row>
    <row r="42" spans="1:26" x14ac:dyDescent="0.2">
      <c r="A42" t="str">
        <f t="shared" si="34"/>
        <v>Neoclassical - hetero s</v>
      </c>
      <c r="B42">
        <v>27.702416010262777</v>
      </c>
      <c r="C42">
        <v>32.683073767281385</v>
      </c>
      <c r="D42">
        <v>38.310312609544411</v>
      </c>
      <c r="E42">
        <v>44.713858097512428</v>
      </c>
      <c r="F42">
        <v>52.060410365041776</v>
      </c>
      <c r="G42">
        <v>60.567731132444884</v>
      </c>
      <c r="H42">
        <v>70.525629000283416</v>
      </c>
      <c r="I42">
        <v>82.328070807418868</v>
      </c>
      <c r="J42">
        <v>96.523827304044104</v>
      </c>
      <c r="K42">
        <v>113.89913279126471</v>
      </c>
      <c r="L42">
        <v>135.61792846865748</v>
      </c>
      <c r="M42">
        <v>163.47045175737836</v>
      </c>
      <c r="N42">
        <v>200.33596050889889</v>
      </c>
      <c r="O42">
        <v>251.09118623971659</v>
      </c>
      <c r="P42">
        <v>324.49498534982405</v>
      </c>
      <c r="Q42">
        <v>437.30868279107045</v>
      </c>
      <c r="R42">
        <v>623.7671397943293</v>
      </c>
      <c r="S42">
        <v>959.33069506561208</v>
      </c>
      <c r="T42">
        <v>1635.7620878260498</v>
      </c>
      <c r="U42">
        <v>3308.1850367670995</v>
      </c>
      <c r="V42">
        <v>3928.3470991663007</v>
      </c>
    </row>
    <row r="47" spans="1:26" x14ac:dyDescent="0.2">
      <c r="A47" t="s">
        <v>100</v>
      </c>
    </row>
    <row r="48" spans="1:26" x14ac:dyDescent="0.2">
      <c r="A48" t="s">
        <v>147</v>
      </c>
      <c r="B48" s="94">
        <v>0</v>
      </c>
      <c r="C48" s="94">
        <v>0.05</v>
      </c>
      <c r="D48" s="94">
        <v>0.1</v>
      </c>
      <c r="E48" s="94">
        <v>0.15000000000000002</v>
      </c>
      <c r="F48" s="94">
        <v>0.2</v>
      </c>
      <c r="G48" s="94">
        <v>0.25</v>
      </c>
      <c r="H48" s="94">
        <v>0.3</v>
      </c>
      <c r="I48" s="94">
        <v>0.35</v>
      </c>
      <c r="J48" s="94">
        <v>0.39999999999999997</v>
      </c>
      <c r="K48" s="94">
        <v>0.44999999999999996</v>
      </c>
      <c r="L48" s="94">
        <v>0.49999999999999994</v>
      </c>
      <c r="M48" s="94">
        <v>0.54999999999999993</v>
      </c>
      <c r="N48" s="94">
        <v>0.6</v>
      </c>
      <c r="O48" s="94">
        <v>0.65</v>
      </c>
      <c r="P48" s="94">
        <v>0.70000000000000007</v>
      </c>
      <c r="Q48" s="94">
        <v>0.75000000000000011</v>
      </c>
      <c r="R48" s="94">
        <v>0.80000000000000016</v>
      </c>
      <c r="S48" s="94">
        <v>0.8500000000000002</v>
      </c>
      <c r="T48" s="94">
        <v>0.90000000000000024</v>
      </c>
      <c r="U48" s="94">
        <v>0.95000000000000029</v>
      </c>
      <c r="V48" s="94">
        <v>0.9600000000000003</v>
      </c>
      <c r="W48" s="94">
        <v>0.97000000000000031</v>
      </c>
      <c r="X48" s="94">
        <v>0.98000000000000032</v>
      </c>
      <c r="Y48" s="94">
        <v>0.99000000000000032</v>
      </c>
      <c r="Z48" s="139"/>
    </row>
    <row r="49" spans="1:26" x14ac:dyDescent="0.2">
      <c r="A49" t="str">
        <f t="shared" ref="A49:A54" si="35">A3</f>
        <v>Neoclassical</v>
      </c>
      <c r="B49" s="195">
        <f>NeoClassical!B$43</f>
        <v>0.56058995943838341</v>
      </c>
      <c r="C49" s="195">
        <f>NeoClassical!D$43</f>
        <v>0.56645432440609833</v>
      </c>
      <c r="D49" s="195">
        <f>NeoClassical!F$43</f>
        <v>0.56570451106854514</v>
      </c>
      <c r="E49" s="195">
        <f>NeoClassical!H$43</f>
        <v>0.56495078539877408</v>
      </c>
      <c r="F49" s="195">
        <f>NeoClassical!J$43</f>
        <v>0.56419298352168523</v>
      </c>
      <c r="G49" s="195">
        <f>NeoClassical!L$43</f>
        <v>0.56343110042508926</v>
      </c>
      <c r="H49" s="195">
        <f>NeoClassical!N$43</f>
        <v>0.56266553724039625</v>
      </c>
      <c r="I49" s="195">
        <f>NeoClassical!P$43</f>
        <v>0.56189727872183637</v>
      </c>
      <c r="J49" s="195">
        <f>NeoClassical!R$43</f>
        <v>0.56112825710107672</v>
      </c>
      <c r="K49" s="195">
        <f>NeoClassical!T$43</f>
        <v>0.56036197159503831</v>
      </c>
      <c r="L49" s="195">
        <f>NeoClassical!V$43</f>
        <v>0.55960437740021829</v>
      </c>
      <c r="M49" s="195">
        <f>NeoClassical!X$43</f>
        <v>0.55886531921145088</v>
      </c>
      <c r="N49" s="195">
        <f>NeoClassical!Z$43</f>
        <v>0.5581607085401552</v>
      </c>
      <c r="O49" s="195">
        <f>NeoClassical!AB$43</f>
        <v>0.55751533508812168</v>
      </c>
      <c r="P49" s="195">
        <f>NeoClassical!AD$43</f>
        <v>0.55696492758416161</v>
      </c>
      <c r="Q49" s="195">
        <f>NeoClassical!AF$43</f>
        <v>0.55655178275850403</v>
      </c>
      <c r="R49" s="195">
        <f>NeoClassical!AH$43</f>
        <v>0.55630323776791679</v>
      </c>
      <c r="S49" s="195">
        <f>NeoClassical!AJ$43</f>
        <v>0.5561985771309893</v>
      </c>
      <c r="T49" s="195">
        <f>NeoClassical!AL$43</f>
        <v>0.55617317734295613</v>
      </c>
      <c r="U49" s="195">
        <f>NeoClassical!AN$43</f>
        <v>0.55617080664028173</v>
      </c>
      <c r="V49" s="195">
        <f>NeoClassical!AP$43</f>
        <v>0.55617078875702508</v>
      </c>
      <c r="W49" s="195">
        <f>NeoClassical!AR$43</f>
        <v>0.55617078484340943</v>
      </c>
      <c r="X49" s="195" t="e">
        <f>NeoClassical!AT$43</f>
        <v>#DIV/0!</v>
      </c>
      <c r="Y49" s="195" t="e">
        <f>NeoClassical!AV$43</f>
        <v>#DIV/0!</v>
      </c>
      <c r="Z49" s="138"/>
    </row>
    <row r="50" spans="1:26" x14ac:dyDescent="0.2">
      <c r="A50" t="str">
        <f t="shared" si="35"/>
        <v>Kaldorian</v>
      </c>
      <c r="B50" s="195">
        <f>Kaldorian!B$43</f>
        <v>0.56058995943838341</v>
      </c>
      <c r="C50" s="195">
        <f>Kaldorian!D$43</f>
        <v>0.563920278338504</v>
      </c>
      <c r="D50" s="195">
        <f>Kaldorian!F$43</f>
        <v>0.56060124616029061</v>
      </c>
      <c r="E50" s="195">
        <f>Kaldorian!H$43</f>
        <v>0.55723839982625745</v>
      </c>
      <c r="F50" s="195">
        <f>Kaldorian!J$43</f>
        <v>0.55382528771114603</v>
      </c>
      <c r="G50" s="195">
        <f>Kaldorian!L$43</f>
        <v>0.55035316383621669</v>
      </c>
      <c r="H50" s="195">
        <f>Kaldorian!N$43</f>
        <v>0.54680996099392931</v>
      </c>
      <c r="I50" s="195">
        <f>Kaldorian!P$43</f>
        <v>0.54317830424181146</v>
      </c>
      <c r="J50" s="195">
        <f>Kaldorian!R$43</f>
        <v>0.53943243541109342</v>
      </c>
      <c r="K50" s="195">
        <f>Kaldorian!T$43</f>
        <v>0.53553300363314404</v>
      </c>
      <c r="L50" s="195">
        <f>Kaldorian!V$43</f>
        <v>0.53141808892632192</v>
      </c>
      <c r="M50" s="195">
        <f>Kaldorian!X$43</f>
        <v>0.52698774225161593</v>
      </c>
      <c r="N50" s="195">
        <f>Kaldorian!Z$43</f>
        <v>0.52207686480848192</v>
      </c>
      <c r="O50" s="195">
        <f>Kaldorian!AB$43</f>
        <v>0.51640910952109631</v>
      </c>
      <c r="P50" s="195">
        <f>Kaldorian!AD$43</f>
        <v>0.50952620200617194</v>
      </c>
      <c r="Q50" s="195">
        <f>Kaldorian!AF$43</f>
        <v>0.50071103548808471</v>
      </c>
      <c r="R50" s="195">
        <f>Kaldorian!AH$43</f>
        <v>0.48897160646003257</v>
      </c>
      <c r="S50" s="195">
        <f>Kaldorian!AJ$43</f>
        <v>0.47299495720941837</v>
      </c>
      <c r="T50" s="195">
        <f>Kaldorian!AL$43</f>
        <v>0.44997897941927789</v>
      </c>
      <c r="U50" s="195">
        <f>Kaldorian!AN$43</f>
        <v>0.40775456865357679</v>
      </c>
      <c r="V50" s="195">
        <f>Kaldorian!AP$43</f>
        <v>0.39253298455828051</v>
      </c>
      <c r="W50" s="195">
        <f>Kaldorian!AR$43</f>
        <v>0.37118412708245646</v>
      </c>
      <c r="X50" s="195" t="e">
        <f>Kaldorian!AT$43</f>
        <v>#DIV/0!</v>
      </c>
      <c r="Y50" s="195" t="e">
        <f>Kaldorian!AV$43</f>
        <v>#DIV/0!</v>
      </c>
      <c r="Z50" s="138"/>
    </row>
    <row r="51" spans="1:26" x14ac:dyDescent="0.2">
      <c r="A51" t="str">
        <f t="shared" si="35"/>
        <v>Johansen</v>
      </c>
      <c r="B51" s="195">
        <f>Kaldorian!B$43</f>
        <v>0.56058995943838341</v>
      </c>
      <c r="C51" s="195">
        <f>Johansen!D$43</f>
        <v>0.56645020147348635</v>
      </c>
      <c r="D51" s="195">
        <f>Johansen!F$43</f>
        <v>0.56569598446838576</v>
      </c>
      <c r="E51" s="195">
        <f>Johansen!H$43</f>
        <v>0.56493754548518504</v>
      </c>
      <c r="F51" s="195">
        <f>Johansen!J$43</f>
        <v>0.56417470513937773</v>
      </c>
      <c r="G51" s="195">
        <f>Johansen!L$43</f>
        <v>0.56340745643489554</v>
      </c>
      <c r="H51" s="195">
        <f>Johansen!N$43</f>
        <v>0.56263622712325956</v>
      </c>
      <c r="I51" s="195">
        <f>Johansen!P$43</f>
        <v>0.56186207338628824</v>
      </c>
      <c r="J51" s="195">
        <f>Johansen!R$43</f>
        <v>0.56108706734517355</v>
      </c>
      <c r="K51" s="195">
        <f>Johansen!T$43</f>
        <v>0.56031496045621265</v>
      </c>
      <c r="L51" s="195">
        <f>Johansen!V$43</f>
        <v>0.55955213168634987</v>
      </c>
      <c r="M51" s="195">
        <f>Johansen!X$43</f>
        <v>0.55880912141175942</v>
      </c>
      <c r="N51" s="195">
        <f>Johansen!Z$43</f>
        <v>0.55810292037924536</v>
      </c>
      <c r="O51" s="195">
        <f>Johansen!AB$43</f>
        <v>0.55745988017015002</v>
      </c>
      <c r="P51" s="195">
        <f>Johansen!AD$43</f>
        <v>0.55691748463776602</v>
      </c>
      <c r="Q51" s="195">
        <f>Johansen!AF$43</f>
        <v>0.5565184806259541</v>
      </c>
      <c r="R51" s="195">
        <f>Johansen!AH$43</f>
        <v>0.55628647325531533</v>
      </c>
      <c r="S51" s="195">
        <f>Johansen!AJ$43</f>
        <v>0.5561935964602378</v>
      </c>
      <c r="T51" s="195">
        <f>Johansen!AL$43</f>
        <v>0.55617256821537009</v>
      </c>
      <c r="U51" s="195">
        <f>Johansen!AN$43</f>
        <v>0.55617079789001078</v>
      </c>
      <c r="V51" s="195">
        <f>Johansen!AP$43</f>
        <v>0.5561707868170811</v>
      </c>
      <c r="W51" s="195">
        <f>Johansen!AR$43</f>
        <v>0.55617078459067248</v>
      </c>
      <c r="X51" s="195" t="e">
        <f>Johansen!AT$43</f>
        <v>#DIV/0!</v>
      </c>
      <c r="Y51" s="195" t="e">
        <f>Johansen!AV$43</f>
        <v>#DIV/0!</v>
      </c>
      <c r="Z51" s="138"/>
    </row>
    <row r="52" spans="1:26" x14ac:dyDescent="0.2">
      <c r="A52" t="str">
        <f t="shared" si="35"/>
        <v>Keynes-Kaldor</v>
      </c>
      <c r="B52" s="195">
        <f>'Keynes-K'!B$43</f>
        <v>0.56058995943838341</v>
      </c>
      <c r="C52" s="195">
        <f>'Keynes-K'!D$43</f>
        <v>0.5638103872446798</v>
      </c>
      <c r="D52" s="195">
        <f>'Keynes-K'!F$43</f>
        <v>0.56040163694512424</v>
      </c>
      <c r="E52" s="195">
        <f>'Keynes-K'!H$43</f>
        <v>0.55696867560660002</v>
      </c>
      <c r="F52" s="195">
        <f>'Keynes-K'!J$43</f>
        <v>0.5535045079715939</v>
      </c>
      <c r="G52" s="195">
        <f>'Keynes-K'!L$43</f>
        <v>0.54999977106631526</v>
      </c>
      <c r="H52" s="195">
        <f>'Keynes-K'!N$43</f>
        <v>0.54644184349259228</v>
      </c>
      <c r="I52" s="195">
        <f>'Keynes-K'!P$43</f>
        <v>0.54281292427443706</v>
      </c>
      <c r="J52" s="195">
        <f>'Keynes-K'!R$43</f>
        <v>0.53908727685013313</v>
      </c>
      <c r="K52" s="195">
        <f>'Keynes-K'!T$43</f>
        <v>0.53522664187805058</v>
      </c>
      <c r="L52" s="195">
        <f>'Keynes-K'!V$43</f>
        <v>0.53117263080506905</v>
      </c>
      <c r="M52" s="195">
        <f>'Keynes-K'!X$43</f>
        <v>0.52683405120258542</v>
      </c>
      <c r="N52" s="195">
        <f>'Keynes-K'!Z$43</f>
        <v>0.52206560831517912</v>
      </c>
      <c r="O52" s="195">
        <f>'Keynes-K'!AB$43</f>
        <v>0.51663322547149271</v>
      </c>
      <c r="P52" s="195">
        <f>'Keynes-K'!AD$43</f>
        <v>0.51016398245836148</v>
      </c>
      <c r="Q52" s="195">
        <f>'Keynes-K'!AF$43</f>
        <v>0.50209525981167302</v>
      </c>
      <c r="R52" s="195">
        <f>'Keynes-K'!AH$43</f>
        <v>0.49167250035189514</v>
      </c>
      <c r="S52" s="195">
        <f>'Keynes-K'!AJ$43</f>
        <v>0.47796819855649736</v>
      </c>
      <c r="T52" s="195">
        <f>'Keynes-K'!AL$43</f>
        <v>0.45937520192046266</v>
      </c>
      <c r="U52" s="195">
        <f>'Keynes-K'!AN$43</f>
        <v>0.43038938611004224</v>
      </c>
      <c r="V52" s="195">
        <f>'Keynes-K'!AP$43</f>
        <v>0.42171549787224283</v>
      </c>
      <c r="W52" s="195">
        <f>'Keynes-K'!AR$43</f>
        <v>0.41098167242502154</v>
      </c>
      <c r="X52" s="195" t="e">
        <f>'Keynes-K'!AT$43</f>
        <v>#DIV/0!</v>
      </c>
      <c r="Y52" s="195" t="e">
        <f>'Keynes-K'!AV$43</f>
        <v>#DIV/0!</v>
      </c>
    </row>
    <row r="53" spans="1:26" x14ac:dyDescent="0.2">
      <c r="A53" t="str">
        <f t="shared" si="35"/>
        <v>Keynes-Marshall</v>
      </c>
      <c r="B53" s="195">
        <f>'Keynes-M'!B$43</f>
        <v>0.56058995943838341</v>
      </c>
      <c r="C53" s="195">
        <f>'Keynes-M'!D$43</f>
        <v>0.57612575753667261</v>
      </c>
      <c r="D53" s="195">
        <f>'Keynes-M'!F$43</f>
        <v>0.5848363301833519</v>
      </c>
      <c r="E53" s="195">
        <f>'Keynes-M'!H$43</f>
        <v>0.59339913250409715</v>
      </c>
      <c r="F53" s="195">
        <f>'Keynes-M'!J$43</f>
        <v>0.60189712229132775</v>
      </c>
      <c r="G53" s="195">
        <f>'Keynes-M'!L$43</f>
        <v>0.61043560743953218</v>
      </c>
      <c r="H53" s="195">
        <f>'Keynes-M'!N$43</f>
        <v>0.61915644580299067</v>
      </c>
      <c r="I53" s="195">
        <f>'Keynes-M'!P$43</f>
        <v>0.62825784930203576</v>
      </c>
      <c r="J53" s="195">
        <f>'Keynes-M'!R$43</f>
        <v>0.63802525039050995</v>
      </c>
      <c r="K53" s="195">
        <f>'Keynes-M'!T$43</f>
        <v>0.648874499476084</v>
      </c>
      <c r="L53" s="195">
        <f>'Keynes-M'!V$43</f>
        <v>0.66139339219250115</v>
      </c>
      <c r="M53" s="195">
        <f>'Keynes-M'!X$43</f>
        <v>0.67630794202915279</v>
      </c>
      <c r="N53" s="195">
        <f>'Keynes-M'!Z$43</f>
        <v>0.6942134758298355</v>
      </c>
      <c r="O53" s="195">
        <f>'Keynes-M'!AB$43</f>
        <v>0.71512127604961528</v>
      </c>
      <c r="P53" s="195">
        <f>'Keynes-M'!AD$43</f>
        <v>0.73856532919076079</v>
      </c>
      <c r="Q53" s="195">
        <f>'Keynes-M'!AF$43</f>
        <v>0.76453807587066702</v>
      </c>
      <c r="R53" s="195">
        <f>'Keynes-M'!AH$43</f>
        <v>0.79436045075870454</v>
      </c>
      <c r="S53" s="195">
        <f>'Keynes-M'!AJ$43</f>
        <v>0.8317251674489512</v>
      </c>
      <c r="T53" s="195">
        <f>'Keynes-M'!AL$43</f>
        <v>0.88656972765236552</v>
      </c>
      <c r="U53" s="195">
        <f>'Keynes-M'!AN$43</f>
        <v>0.9971349070423754</v>
      </c>
      <c r="V53" s="195" t="e">
        <f>'Keynes-M'!AP$43</f>
        <v>#DIV/0!</v>
      </c>
      <c r="W53" s="195" t="e">
        <f>'Keynes-M'!AR$43</f>
        <v>#DIV/0!</v>
      </c>
      <c r="X53" s="195" t="e">
        <f>'Keynes-M'!AT$43</f>
        <v>#DIV/0!</v>
      </c>
      <c r="Y53" s="195" t="e">
        <f>'Keynes-M'!AV$43</f>
        <v>#DIV/0!</v>
      </c>
    </row>
    <row r="54" spans="1:26" x14ac:dyDescent="0.2">
      <c r="A54" t="str">
        <f t="shared" si="35"/>
        <v>Keynesian</v>
      </c>
      <c r="B54" s="195">
        <f>Keynesian!B$43</f>
        <v>0.56058995943838341</v>
      </c>
      <c r="C54" s="195">
        <f>Keynesian!D$43</f>
        <v>0.57239159647769544</v>
      </c>
      <c r="D54" s="195">
        <f>Keynesian!F$43</f>
        <v>0.57768268975464698</v>
      </c>
      <c r="E54" s="195">
        <f>Keynesian!H$43</f>
        <v>0.58308239268041884</v>
      </c>
      <c r="F54" s="195">
        <f>Keynesian!J$43</f>
        <v>0.58860065492282498</v>
      </c>
      <c r="G54" s="195">
        <f>Keynesian!L$43</f>
        <v>0.59424950346536476</v>
      </c>
      <c r="H54" s="195">
        <f>Keynesian!N$43</f>
        <v>0.60004350776431303</v>
      </c>
      <c r="I54" s="195">
        <f>Keynesian!P$43</f>
        <v>0.60600067088490672</v>
      </c>
      <c r="J54" s="195">
        <f>Keynesian!R$43</f>
        <v>0.61214383442630327</v>
      </c>
      <c r="K54" s="195">
        <f>Keynesian!T$43</f>
        <v>0.61850261881151936</v>
      </c>
      <c r="L54" s="195">
        <f>Keynesian!V$43</f>
        <v>0.62511675187204141</v>
      </c>
      <c r="M54" s="195">
        <f>Keynesian!X$43</f>
        <v>0.63204119078667487</v>
      </c>
      <c r="N54" s="195">
        <f>Keynesian!Z$43</f>
        <v>0.63935490190744693</v>
      </c>
      <c r="O54" s="195">
        <f>Keynesian!AB$43</f>
        <v>0.64717603805234147</v>
      </c>
      <c r="P54" s="195">
        <f>Keynesian!AD$43</f>
        <v>0.65568881764728271</v>
      </c>
      <c r="Q54" s="195">
        <f>Keynesian!AF$43</f>
        <v>0.66519277684684552</v>
      </c>
      <c r="R54" s="195">
        <f>Keynesian!AH$43</f>
        <v>0.67619087757561902</v>
      </c>
      <c r="S54" s="195">
        <f>Keynesian!AJ$43</f>
        <v>0.68953735251854598</v>
      </c>
      <c r="T54" s="195">
        <f>Keynesian!AL$43</f>
        <v>0.70656463605627762</v>
      </c>
      <c r="U54" s="195" t="e">
        <f>Keynesian!AN$43</f>
        <v>#DIV/0!</v>
      </c>
      <c r="V54" s="195" t="e">
        <f>Keynesian!AP$43</f>
        <v>#DIV/0!</v>
      </c>
      <c r="W54" s="195" t="e">
        <f>Keynesian!AR$43</f>
        <v>#DIV/0!</v>
      </c>
      <c r="X54" s="195" t="e">
        <f>Keynesian!AT$43</f>
        <v>#DIV/0!</v>
      </c>
      <c r="Y54" s="195" t="e">
        <f>Keynesian!AV$43</f>
        <v>#DIV/0!</v>
      </c>
    </row>
    <row r="55" spans="1:26" x14ac:dyDescent="0.2">
      <c r="A55" t="s">
        <v>158</v>
      </c>
      <c r="B55" s="195">
        <f>'Neo-K2'!B$43</f>
        <v>0.56058995943838341</v>
      </c>
      <c r="C55" s="195">
        <f>'Neo-K1'!D$43</f>
        <v>0.56676614695179361</v>
      </c>
      <c r="D55" s="195">
        <f>'Neo-K1'!F$43</f>
        <v>0.56632509338164805</v>
      </c>
      <c r="E55" s="195">
        <f>'Neo-K1'!H$43</f>
        <v>0.56587625191867608</v>
      </c>
      <c r="F55" s="195">
        <f>'Neo-K1'!J$43</f>
        <v>0.5654183289563961</v>
      </c>
      <c r="G55" s="195">
        <f>'Neo-K1'!L$43</f>
        <v>0.56494987241655981</v>
      </c>
      <c r="H55" s="195">
        <f>'Neo-K1'!N$43</f>
        <v>0.56446923861366727</v>
      </c>
      <c r="I55" s="195">
        <f>'Neo-K1'!P$43</f>
        <v>0.56397456538776547</v>
      </c>
      <c r="J55" s="195">
        <f>'Neo-K1'!R$43</f>
        <v>0.56346376025169853</v>
      </c>
      <c r="K55" s="195">
        <f>'Neo-K1'!T$43</f>
        <v>0.56293446805568303</v>
      </c>
      <c r="L55" s="195">
        <f>'Neo-K1'!V$43</f>
        <v>0.5623840834418532</v>
      </c>
      <c r="M55" s="195">
        <f>'Neo-K1'!X$43</f>
        <v>0.56180971322333029</v>
      </c>
      <c r="N55" s="195">
        <f>'Neo-K1'!Z$43</f>
        <v>0.56120822828271233</v>
      </c>
      <c r="O55" s="195">
        <f>'Neo-K1'!AB$43</f>
        <v>0.56057634078749596</v>
      </c>
      <c r="P55" s="195">
        <f>'Neo-K1'!AD$43</f>
        <v>0.55991079384323406</v>
      </c>
      <c r="Q55" s="195">
        <f>'Neo-K1'!AF$43</f>
        <v>0.55920872611567407</v>
      </c>
      <c r="R55" s="195">
        <f>'Neo-K1'!AH$43</f>
        <v>0.55846831691570509</v>
      </c>
      <c r="S55" s="195">
        <f>'Neo-K1'!AJ$43</f>
        <v>0.55768971961917957</v>
      </c>
      <c r="T55" s="195">
        <f>'Neo-K1'!AL$43</f>
        <v>0.55687612131850017</v>
      </c>
      <c r="U55" s="195">
        <f>'Neo-K1'!AN$43</f>
        <v>0.55603442486625843</v>
      </c>
      <c r="V55" s="195">
        <f>'Neo-K1'!AP$43</f>
        <v>0.55586357656211771</v>
      </c>
      <c r="W55" s="195">
        <f>'Neo-K1'!AR$43</f>
        <v>0.55569210610843489</v>
      </c>
      <c r="X55" s="195">
        <f>'Neo-K1'!AT$43</f>
        <v>0.55552011375172605</v>
      </c>
      <c r="Y55" s="195">
        <f>'Neo-K1'!AV$43</f>
        <v>0.55534770247547238</v>
      </c>
    </row>
    <row r="56" spans="1:26" x14ac:dyDescent="0.2">
      <c r="A56" t="s">
        <v>157</v>
      </c>
      <c r="B56" s="195">
        <f>'Neo-K2'!B$43</f>
        <v>0.56058995943838341</v>
      </c>
      <c r="C56" s="195">
        <f>'Neo-K2'!D$43</f>
        <v>0.56708932649454358</v>
      </c>
      <c r="D56" s="195">
        <f>'Neo-K2'!F$43</f>
        <v>0.56698921764524546</v>
      </c>
      <c r="E56" s="195">
        <f>'Neo-K2'!H$43</f>
        <v>0.566901070889967</v>
      </c>
      <c r="F56" s="195">
        <f>'Neo-K2'!J$43</f>
        <v>0.56682572242127449</v>
      </c>
      <c r="G56" s="195">
        <f>'Neo-K2'!L$43</f>
        <v>0.56676396118564187</v>
      </c>
      <c r="H56" s="195">
        <f>'Neo-K2'!N$43</f>
        <v>0.56671637530733843</v>
      </c>
      <c r="I56" s="195">
        <f>'Neo-K2'!P$43</f>
        <v>0.56668307665516515</v>
      </c>
      <c r="J56" s="195">
        <f>'Neo-K2'!R$43</f>
        <v>0.56666323767637483</v>
      </c>
      <c r="K56" s="195">
        <f>'Neo-K2'!T$43</f>
        <v>0.56665426712905675</v>
      </c>
      <c r="L56" s="195">
        <f>'Neo-K2'!V$43</f>
        <v>0.56665033515311147</v>
      </c>
      <c r="M56" s="195">
        <f>'Neo-K2'!X$43</f>
        <v>0.56664003007259478</v>
      </c>
      <c r="N56" s="195">
        <f>'Neo-K2'!Z$43</f>
        <v>0.5666028092866886</v>
      </c>
      <c r="O56" s="195">
        <f>'Neo-K2'!AB$43</f>
        <v>0.56650451404840252</v>
      </c>
      <c r="P56" s="195">
        <f>'Neo-K2'!AD$43</f>
        <v>0.56629308811398815</v>
      </c>
      <c r="Q56" s="195">
        <f>'Neo-K2'!AF$43</f>
        <v>0.56589472622860382</v>
      </c>
      <c r="R56" s="195">
        <f>'Neo-K2'!AH$43</f>
        <v>0.56519438313026082</v>
      </c>
      <c r="S56" s="195">
        <f>'Neo-K2'!AJ$43</f>
        <v>0.56391131973314201</v>
      </c>
      <c r="T56" s="195">
        <f>'Neo-K2'!AL$43</f>
        <v>0.56114378443217883</v>
      </c>
      <c r="U56" s="195">
        <f>'Neo-K2'!AN$43</f>
        <v>0.55332633895266559</v>
      </c>
      <c r="V56" s="195">
        <f>'Neo-K2'!AP$43</f>
        <v>0.54986693926258923</v>
      </c>
      <c r="W56" s="195">
        <f>'Neo-K2'!AR$43</f>
        <v>0.5446462034926266</v>
      </c>
      <c r="X56" s="195" t="e">
        <f>'Neo-K2'!AT$43</f>
        <v>#DIV/0!</v>
      </c>
      <c r="Y56" s="195" t="e">
        <f>'Neo-K2'!AV$43</f>
        <v>#DIV/0!</v>
      </c>
    </row>
    <row r="57" spans="1:26" x14ac:dyDescent="0.2">
      <c r="B57" s="140"/>
      <c r="C57" s="140"/>
      <c r="D57" s="140"/>
      <c r="E57" s="140"/>
      <c r="F57" s="140"/>
      <c r="G57" s="140"/>
      <c r="H57" s="140"/>
      <c r="I57" s="140"/>
      <c r="J57" s="140"/>
      <c r="K57" s="140"/>
      <c r="L57" s="140"/>
      <c r="M57" s="140"/>
      <c r="N57" s="140"/>
      <c r="O57" s="140"/>
      <c r="P57" s="140"/>
      <c r="Q57" s="140"/>
      <c r="R57" s="140"/>
      <c r="S57" s="140"/>
      <c r="T57" s="140"/>
      <c r="U57" s="140"/>
      <c r="V57" s="140"/>
    </row>
    <row r="58" spans="1:26" x14ac:dyDescent="0.2">
      <c r="B58" s="140"/>
      <c r="C58" s="140"/>
      <c r="D58" s="140"/>
      <c r="E58" s="140"/>
      <c r="F58" s="140"/>
      <c r="G58" s="140"/>
      <c r="H58" s="140"/>
      <c r="I58" s="140"/>
      <c r="J58" s="140"/>
      <c r="K58" s="140"/>
      <c r="L58" s="140"/>
      <c r="M58" s="140"/>
      <c r="N58" s="140"/>
      <c r="O58" s="140"/>
      <c r="P58" s="140"/>
      <c r="Q58" s="140"/>
      <c r="R58" s="140"/>
      <c r="S58" s="140"/>
      <c r="T58" s="140"/>
    </row>
    <row r="61" spans="1:26" x14ac:dyDescent="0.2">
      <c r="A61" t="s">
        <v>100</v>
      </c>
    </row>
    <row r="62" spans="1:26" x14ac:dyDescent="0.2">
      <c r="A62" t="s">
        <v>147</v>
      </c>
      <c r="B62" s="94">
        <v>0</v>
      </c>
      <c r="C62" s="94">
        <v>0.05</v>
      </c>
      <c r="D62" s="94">
        <v>0.1</v>
      </c>
      <c r="E62" s="94">
        <v>0.15000000000000002</v>
      </c>
      <c r="F62" s="94">
        <v>0.2</v>
      </c>
      <c r="G62" s="94">
        <v>0.25</v>
      </c>
      <c r="H62" s="94">
        <v>0.3</v>
      </c>
      <c r="I62" s="94">
        <v>0.35</v>
      </c>
      <c r="J62" s="94">
        <v>0.39999999999999997</v>
      </c>
      <c r="K62" s="94">
        <v>0.44999999999999996</v>
      </c>
      <c r="L62" s="94">
        <v>0.49999999999999994</v>
      </c>
      <c r="M62" s="94">
        <v>0.54999999999999993</v>
      </c>
      <c r="N62" s="94">
        <v>0.6</v>
      </c>
      <c r="O62" s="94">
        <v>0.65</v>
      </c>
      <c r="P62" s="94">
        <v>0.70000000000000007</v>
      </c>
      <c r="Q62" s="94">
        <v>0.75000000000000011</v>
      </c>
      <c r="R62" s="94">
        <v>0.80000000000000016</v>
      </c>
      <c r="S62" s="94">
        <v>0.8500000000000002</v>
      </c>
      <c r="T62" s="94">
        <v>0.90000000000000024</v>
      </c>
      <c r="U62" s="94">
        <v>0.95000000000000029</v>
      </c>
      <c r="V62" s="94">
        <v>0.9600000000000003</v>
      </c>
      <c r="W62" s="94">
        <v>0.97000000000000031</v>
      </c>
      <c r="X62" s="94">
        <v>0.98000000000000032</v>
      </c>
      <c r="Y62" s="94">
        <v>0.99000000000000032</v>
      </c>
      <c r="Z62" s="139"/>
    </row>
    <row r="63" spans="1:26" x14ac:dyDescent="0.2">
      <c r="A63" t="str">
        <f>A49</f>
        <v>Neoclassical</v>
      </c>
      <c r="B63" s="195">
        <f t="shared" ref="B63:Y63" si="36">B49</f>
        <v>0.56058995943838341</v>
      </c>
      <c r="C63" s="195">
        <f t="shared" si="36"/>
        <v>0.56645432440609833</v>
      </c>
      <c r="D63" s="195">
        <f t="shared" si="36"/>
        <v>0.56570451106854514</v>
      </c>
      <c r="E63" s="195">
        <f t="shared" si="36"/>
        <v>0.56495078539877408</v>
      </c>
      <c r="F63" s="195">
        <f t="shared" si="36"/>
        <v>0.56419298352168523</v>
      </c>
      <c r="G63" s="195">
        <f t="shared" si="36"/>
        <v>0.56343110042508926</v>
      </c>
      <c r="H63" s="195">
        <f t="shared" si="36"/>
        <v>0.56266553724039625</v>
      </c>
      <c r="I63" s="195">
        <f t="shared" si="36"/>
        <v>0.56189727872183637</v>
      </c>
      <c r="J63" s="195">
        <f t="shared" si="36"/>
        <v>0.56112825710107672</v>
      </c>
      <c r="K63" s="195">
        <f t="shared" si="36"/>
        <v>0.56036197159503831</v>
      </c>
      <c r="L63" s="195">
        <f t="shared" si="36"/>
        <v>0.55960437740021829</v>
      </c>
      <c r="M63" s="195">
        <f t="shared" si="36"/>
        <v>0.55886531921145088</v>
      </c>
      <c r="N63" s="195">
        <f t="shared" si="36"/>
        <v>0.5581607085401552</v>
      </c>
      <c r="O63" s="195">
        <f t="shared" si="36"/>
        <v>0.55751533508812168</v>
      </c>
      <c r="P63" s="195">
        <f t="shared" si="36"/>
        <v>0.55696492758416161</v>
      </c>
      <c r="Q63" s="195">
        <f t="shared" si="36"/>
        <v>0.55655178275850403</v>
      </c>
      <c r="R63" s="195">
        <f t="shared" si="36"/>
        <v>0.55630323776791679</v>
      </c>
      <c r="S63" s="195">
        <f t="shared" si="36"/>
        <v>0.5561985771309893</v>
      </c>
      <c r="T63" s="195">
        <f t="shared" si="36"/>
        <v>0.55617317734295613</v>
      </c>
      <c r="U63" s="195">
        <f t="shared" si="36"/>
        <v>0.55617080664028173</v>
      </c>
      <c r="V63" s="195">
        <f t="shared" si="36"/>
        <v>0.55617078875702508</v>
      </c>
      <c r="W63" s="195">
        <f t="shared" si="36"/>
        <v>0.55617078484340943</v>
      </c>
      <c r="X63" s="195" t="e">
        <f t="shared" si="36"/>
        <v>#DIV/0!</v>
      </c>
      <c r="Y63" s="195" t="e">
        <f t="shared" si="36"/>
        <v>#DIV/0!</v>
      </c>
      <c r="Z63" s="138"/>
    </row>
    <row r="64" spans="1:26" x14ac:dyDescent="0.2">
      <c r="A64" t="str">
        <f t="shared" ref="A64:Q64" si="37">A50</f>
        <v>Kaldorian</v>
      </c>
      <c r="B64" s="195">
        <f t="shared" si="37"/>
        <v>0.56058995943838341</v>
      </c>
      <c r="C64" s="195">
        <f t="shared" si="37"/>
        <v>0.563920278338504</v>
      </c>
      <c r="D64" s="195">
        <f t="shared" si="37"/>
        <v>0.56060124616029061</v>
      </c>
      <c r="E64" s="195">
        <f t="shared" si="37"/>
        <v>0.55723839982625745</v>
      </c>
      <c r="F64" s="195">
        <f t="shared" si="37"/>
        <v>0.55382528771114603</v>
      </c>
      <c r="G64" s="195">
        <f t="shared" si="37"/>
        <v>0.55035316383621669</v>
      </c>
      <c r="H64" s="195">
        <f t="shared" si="37"/>
        <v>0.54680996099392931</v>
      </c>
      <c r="I64" s="195">
        <f t="shared" si="37"/>
        <v>0.54317830424181146</v>
      </c>
      <c r="J64" s="195">
        <f t="shared" si="37"/>
        <v>0.53943243541109342</v>
      </c>
      <c r="K64" s="195">
        <f t="shared" si="37"/>
        <v>0.53553300363314404</v>
      </c>
      <c r="L64" s="195">
        <f t="shared" si="37"/>
        <v>0.53141808892632192</v>
      </c>
      <c r="M64" s="195">
        <f t="shared" si="37"/>
        <v>0.52698774225161593</v>
      </c>
      <c r="N64" s="195">
        <f t="shared" si="37"/>
        <v>0.52207686480848192</v>
      </c>
      <c r="O64" s="195">
        <f t="shared" si="37"/>
        <v>0.51640910952109631</v>
      </c>
      <c r="P64" s="195">
        <f t="shared" si="37"/>
        <v>0.50952620200617194</v>
      </c>
      <c r="Q64" s="195">
        <f t="shared" si="37"/>
        <v>0.50071103548808471</v>
      </c>
      <c r="R64" s="195"/>
      <c r="S64" s="195"/>
      <c r="T64" s="195"/>
      <c r="U64" s="195"/>
      <c r="V64" s="195"/>
      <c r="W64" s="195"/>
      <c r="X64" s="195"/>
      <c r="Y64" s="195"/>
      <c r="Z64" s="138"/>
    </row>
    <row r="65" spans="1:26" x14ac:dyDescent="0.2">
      <c r="A65" t="str">
        <f t="shared" ref="A65:Y65" si="38">A51</f>
        <v>Johansen</v>
      </c>
      <c r="B65" s="195">
        <f t="shared" si="38"/>
        <v>0.56058995943838341</v>
      </c>
      <c r="C65" s="195">
        <f t="shared" si="38"/>
        <v>0.56645020147348635</v>
      </c>
      <c r="D65" s="195">
        <f t="shared" si="38"/>
        <v>0.56569598446838576</v>
      </c>
      <c r="E65" s="195">
        <f t="shared" si="38"/>
        <v>0.56493754548518504</v>
      </c>
      <c r="F65" s="195">
        <f t="shared" si="38"/>
        <v>0.56417470513937773</v>
      </c>
      <c r="G65" s="195">
        <f t="shared" si="38"/>
        <v>0.56340745643489554</v>
      </c>
      <c r="H65" s="195">
        <f t="shared" si="38"/>
        <v>0.56263622712325956</v>
      </c>
      <c r="I65" s="195">
        <f t="shared" si="38"/>
        <v>0.56186207338628824</v>
      </c>
      <c r="J65" s="195">
        <f t="shared" si="38"/>
        <v>0.56108706734517355</v>
      </c>
      <c r="K65" s="195">
        <f t="shared" si="38"/>
        <v>0.56031496045621265</v>
      </c>
      <c r="L65" s="195">
        <f t="shared" si="38"/>
        <v>0.55955213168634987</v>
      </c>
      <c r="M65" s="195">
        <f t="shared" si="38"/>
        <v>0.55880912141175942</v>
      </c>
      <c r="N65" s="195">
        <f t="shared" si="38"/>
        <v>0.55810292037924536</v>
      </c>
      <c r="O65" s="195">
        <f t="shared" si="38"/>
        <v>0.55745988017015002</v>
      </c>
      <c r="P65" s="195">
        <f t="shared" si="38"/>
        <v>0.55691748463776602</v>
      </c>
      <c r="Q65" s="195">
        <f t="shared" si="38"/>
        <v>0.5565184806259541</v>
      </c>
      <c r="R65" s="195">
        <f t="shared" si="38"/>
        <v>0.55628647325531533</v>
      </c>
      <c r="S65" s="195">
        <f t="shared" si="38"/>
        <v>0.5561935964602378</v>
      </c>
      <c r="T65" s="195">
        <f t="shared" si="38"/>
        <v>0.55617256821537009</v>
      </c>
      <c r="U65" s="195">
        <f t="shared" si="38"/>
        <v>0.55617079789001078</v>
      </c>
      <c r="V65" s="195">
        <f t="shared" si="38"/>
        <v>0.5561707868170811</v>
      </c>
      <c r="W65" s="195">
        <f t="shared" si="38"/>
        <v>0.55617078459067248</v>
      </c>
      <c r="X65" s="195" t="e">
        <f t="shared" si="38"/>
        <v>#DIV/0!</v>
      </c>
      <c r="Y65" s="195" t="e">
        <f t="shared" si="38"/>
        <v>#DIV/0!</v>
      </c>
      <c r="Z65" s="138"/>
    </row>
    <row r="66" spans="1:26" x14ac:dyDescent="0.2">
      <c r="A66" t="str">
        <f t="shared" ref="A66:R66" si="39">A52</f>
        <v>Keynes-Kaldor</v>
      </c>
      <c r="B66" s="195">
        <f t="shared" si="39"/>
        <v>0.56058995943838341</v>
      </c>
      <c r="C66" s="195">
        <f t="shared" si="39"/>
        <v>0.5638103872446798</v>
      </c>
      <c r="D66" s="195">
        <f t="shared" si="39"/>
        <v>0.56040163694512424</v>
      </c>
      <c r="E66" s="195">
        <f t="shared" si="39"/>
        <v>0.55696867560660002</v>
      </c>
      <c r="F66" s="195">
        <f t="shared" si="39"/>
        <v>0.5535045079715939</v>
      </c>
      <c r="G66" s="195">
        <f t="shared" si="39"/>
        <v>0.54999977106631526</v>
      </c>
      <c r="H66" s="195">
        <f t="shared" si="39"/>
        <v>0.54644184349259228</v>
      </c>
      <c r="I66" s="195">
        <f t="shared" si="39"/>
        <v>0.54281292427443706</v>
      </c>
      <c r="J66" s="195">
        <f t="shared" si="39"/>
        <v>0.53908727685013313</v>
      </c>
      <c r="K66" s="195">
        <f t="shared" si="39"/>
        <v>0.53522664187805058</v>
      </c>
      <c r="L66" s="195">
        <f t="shared" si="39"/>
        <v>0.53117263080506905</v>
      </c>
      <c r="M66" s="195">
        <f t="shared" si="39"/>
        <v>0.52683405120258542</v>
      </c>
      <c r="N66" s="195">
        <f t="shared" si="39"/>
        <v>0.52206560831517912</v>
      </c>
      <c r="O66" s="195">
        <f t="shared" si="39"/>
        <v>0.51663322547149271</v>
      </c>
      <c r="P66" s="195">
        <f t="shared" si="39"/>
        <v>0.51016398245836148</v>
      </c>
      <c r="Q66" s="195">
        <f t="shared" si="39"/>
        <v>0.50209525981167302</v>
      </c>
      <c r="R66" s="195">
        <f t="shared" si="39"/>
        <v>0.49167250035189514</v>
      </c>
      <c r="S66" s="195"/>
      <c r="T66" s="195"/>
      <c r="U66" s="195"/>
      <c r="V66" s="195"/>
      <c r="W66" s="195"/>
      <c r="X66" s="195"/>
      <c r="Y66" s="195"/>
    </row>
    <row r="67" spans="1:26" x14ac:dyDescent="0.2">
      <c r="A67" t="str">
        <f t="shared" ref="A67:K67" si="40">A53</f>
        <v>Keynes-Marshall</v>
      </c>
      <c r="B67" s="195">
        <f t="shared" si="40"/>
        <v>0.56058995943838341</v>
      </c>
      <c r="C67" s="195">
        <f t="shared" si="40"/>
        <v>0.57612575753667261</v>
      </c>
      <c r="D67" s="195">
        <f t="shared" si="40"/>
        <v>0.5848363301833519</v>
      </c>
      <c r="E67" s="195">
        <f t="shared" si="40"/>
        <v>0.59339913250409715</v>
      </c>
      <c r="F67" s="195">
        <f t="shared" si="40"/>
        <v>0.60189712229132775</v>
      </c>
      <c r="G67" s="195">
        <f t="shared" si="40"/>
        <v>0.61043560743953218</v>
      </c>
      <c r="H67" s="195">
        <f t="shared" si="40"/>
        <v>0.61915644580299067</v>
      </c>
      <c r="I67" s="195">
        <f t="shared" si="40"/>
        <v>0.62825784930203576</v>
      </c>
      <c r="J67" s="195">
        <f t="shared" si="40"/>
        <v>0.63802525039050995</v>
      </c>
      <c r="K67" s="195">
        <f t="shared" si="40"/>
        <v>0.648874499476084</v>
      </c>
      <c r="L67" s="195"/>
      <c r="M67" s="195"/>
      <c r="N67" s="195"/>
      <c r="O67" s="195"/>
      <c r="P67" s="195"/>
      <c r="Q67" s="195"/>
      <c r="R67" s="195"/>
      <c r="S67" s="195"/>
      <c r="T67" s="195"/>
      <c r="U67" s="195"/>
      <c r="V67" s="195"/>
      <c r="W67" s="195"/>
      <c r="X67" s="195"/>
      <c r="Y67" s="195"/>
    </row>
    <row r="68" spans="1:26" x14ac:dyDescent="0.2">
      <c r="A68" t="str">
        <f t="shared" ref="A68:N68" si="41">A54</f>
        <v>Keynesian</v>
      </c>
      <c r="B68" s="195">
        <f t="shared" si="41"/>
        <v>0.56058995943838341</v>
      </c>
      <c r="C68" s="195">
        <f t="shared" si="41"/>
        <v>0.57239159647769544</v>
      </c>
      <c r="D68" s="195">
        <f t="shared" si="41"/>
        <v>0.57768268975464698</v>
      </c>
      <c r="E68" s="195">
        <f t="shared" si="41"/>
        <v>0.58308239268041884</v>
      </c>
      <c r="F68" s="195">
        <f t="shared" si="41"/>
        <v>0.58860065492282498</v>
      </c>
      <c r="G68" s="195">
        <f t="shared" si="41"/>
        <v>0.59424950346536476</v>
      </c>
      <c r="H68" s="195">
        <f t="shared" si="41"/>
        <v>0.60004350776431303</v>
      </c>
      <c r="I68" s="195">
        <f t="shared" si="41"/>
        <v>0.60600067088490672</v>
      </c>
      <c r="J68" s="195">
        <f t="shared" si="41"/>
        <v>0.61214383442630327</v>
      </c>
      <c r="K68" s="195">
        <f t="shared" si="41"/>
        <v>0.61850261881151936</v>
      </c>
      <c r="L68" s="195">
        <f t="shared" si="41"/>
        <v>0.62511675187204141</v>
      </c>
      <c r="M68" s="195">
        <f t="shared" si="41"/>
        <v>0.63204119078667487</v>
      </c>
      <c r="N68" s="195">
        <f t="shared" si="41"/>
        <v>0.63935490190744693</v>
      </c>
      <c r="O68" s="195"/>
      <c r="P68" s="195"/>
      <c r="Q68" s="195"/>
      <c r="R68" s="195"/>
      <c r="S68" s="195"/>
      <c r="T68" s="195"/>
      <c r="U68" s="195"/>
      <c r="V68" s="195"/>
      <c r="W68" s="195"/>
      <c r="X68" s="195"/>
      <c r="Y68" s="195"/>
    </row>
    <row r="69" spans="1:26" x14ac:dyDescent="0.2">
      <c r="A69" t="str">
        <f t="shared" ref="A69:Y69" si="42">A55</f>
        <v>Neo-K1</v>
      </c>
      <c r="B69" s="195">
        <f t="shared" si="42"/>
        <v>0.56058995943838341</v>
      </c>
      <c r="C69" s="195">
        <f t="shared" si="42"/>
        <v>0.56676614695179361</v>
      </c>
      <c r="D69" s="195">
        <f t="shared" si="42"/>
        <v>0.56632509338164805</v>
      </c>
      <c r="E69" s="195">
        <f t="shared" si="42"/>
        <v>0.56587625191867608</v>
      </c>
      <c r="F69" s="195">
        <f t="shared" si="42"/>
        <v>0.5654183289563961</v>
      </c>
      <c r="G69" s="195">
        <f t="shared" si="42"/>
        <v>0.56494987241655981</v>
      </c>
      <c r="H69" s="195">
        <f t="shared" si="42"/>
        <v>0.56446923861366727</v>
      </c>
      <c r="I69" s="195">
        <f t="shared" si="42"/>
        <v>0.56397456538776547</v>
      </c>
      <c r="J69" s="195">
        <f t="shared" si="42"/>
        <v>0.56346376025169853</v>
      </c>
      <c r="K69" s="195">
        <f t="shared" si="42"/>
        <v>0.56293446805568303</v>
      </c>
      <c r="L69" s="195">
        <f t="shared" si="42"/>
        <v>0.5623840834418532</v>
      </c>
      <c r="M69" s="195">
        <f t="shared" si="42"/>
        <v>0.56180971322333029</v>
      </c>
      <c r="N69" s="195">
        <f t="shared" si="42"/>
        <v>0.56120822828271233</v>
      </c>
      <c r="O69" s="195">
        <f t="shared" si="42"/>
        <v>0.56057634078749596</v>
      </c>
      <c r="P69" s="195">
        <f t="shared" si="42"/>
        <v>0.55991079384323406</v>
      </c>
      <c r="Q69" s="195">
        <f t="shared" si="42"/>
        <v>0.55920872611567407</v>
      </c>
      <c r="R69" s="195">
        <f t="shared" si="42"/>
        <v>0.55846831691570509</v>
      </c>
      <c r="S69" s="195">
        <f t="shared" si="42"/>
        <v>0.55768971961917957</v>
      </c>
      <c r="T69" s="195">
        <f t="shared" si="42"/>
        <v>0.55687612131850017</v>
      </c>
      <c r="U69" s="195">
        <f t="shared" si="42"/>
        <v>0.55603442486625843</v>
      </c>
      <c r="V69" s="195">
        <f t="shared" si="42"/>
        <v>0.55586357656211771</v>
      </c>
      <c r="W69" s="195">
        <f t="shared" si="42"/>
        <v>0.55569210610843489</v>
      </c>
      <c r="X69" s="195">
        <f t="shared" si="42"/>
        <v>0.55552011375172605</v>
      </c>
      <c r="Y69" s="195">
        <f t="shared" si="42"/>
        <v>0.55534770247547238</v>
      </c>
    </row>
    <row r="70" spans="1:26" x14ac:dyDescent="0.2">
      <c r="A70" t="str">
        <f t="shared" ref="A70:Y70" si="43">A56</f>
        <v>Neo-K2</v>
      </c>
      <c r="B70" s="195">
        <f t="shared" si="43"/>
        <v>0.56058995943838341</v>
      </c>
      <c r="C70" s="195">
        <f t="shared" si="43"/>
        <v>0.56708932649454358</v>
      </c>
      <c r="D70" s="195">
        <f t="shared" si="43"/>
        <v>0.56698921764524546</v>
      </c>
      <c r="E70" s="195">
        <f t="shared" si="43"/>
        <v>0.566901070889967</v>
      </c>
      <c r="F70" s="195">
        <f t="shared" si="43"/>
        <v>0.56682572242127449</v>
      </c>
      <c r="G70" s="195">
        <f t="shared" si="43"/>
        <v>0.56676396118564187</v>
      </c>
      <c r="H70" s="195">
        <f t="shared" si="43"/>
        <v>0.56671637530733843</v>
      </c>
      <c r="I70" s="195">
        <f t="shared" si="43"/>
        <v>0.56668307665516515</v>
      </c>
      <c r="J70" s="195">
        <f t="shared" si="43"/>
        <v>0.56666323767637483</v>
      </c>
      <c r="K70" s="195">
        <f t="shared" si="43"/>
        <v>0.56665426712905675</v>
      </c>
      <c r="L70" s="195">
        <f t="shared" si="43"/>
        <v>0.56665033515311147</v>
      </c>
      <c r="M70" s="195">
        <f t="shared" si="43"/>
        <v>0.56664003007259478</v>
      </c>
      <c r="N70" s="195">
        <f t="shared" si="43"/>
        <v>0.5666028092866886</v>
      </c>
      <c r="O70" s="195">
        <f t="shared" si="43"/>
        <v>0.56650451404840252</v>
      </c>
      <c r="P70" s="195">
        <f t="shared" si="43"/>
        <v>0.56629308811398815</v>
      </c>
      <c r="Q70" s="195">
        <f t="shared" si="43"/>
        <v>0.56589472622860382</v>
      </c>
      <c r="R70" s="195">
        <f t="shared" si="43"/>
        <v>0.56519438313026082</v>
      </c>
      <c r="S70" s="195">
        <f t="shared" si="43"/>
        <v>0.56391131973314201</v>
      </c>
      <c r="T70" s="195">
        <f t="shared" si="43"/>
        <v>0.56114378443217883</v>
      </c>
      <c r="U70" s="195">
        <f t="shared" si="43"/>
        <v>0.55332633895266559</v>
      </c>
      <c r="V70" s="195">
        <f t="shared" si="43"/>
        <v>0.54986693926258923</v>
      </c>
      <c r="W70" s="195">
        <f t="shared" si="43"/>
        <v>0.5446462034926266</v>
      </c>
      <c r="X70" s="195" t="e">
        <f t="shared" si="43"/>
        <v>#DIV/0!</v>
      </c>
      <c r="Y70" s="195" t="e">
        <f t="shared" si="43"/>
        <v>#DIV/0!</v>
      </c>
    </row>
    <row r="72" spans="1:26" x14ac:dyDescent="0.2">
      <c r="A72" t="s">
        <v>165</v>
      </c>
    </row>
    <row r="73" spans="1:26" x14ac:dyDescent="0.2">
      <c r="A73" t="s">
        <v>147</v>
      </c>
      <c r="B73" s="94">
        <v>0</v>
      </c>
      <c r="C73" s="94">
        <v>0.05</v>
      </c>
      <c r="D73" s="94">
        <v>0.1</v>
      </c>
      <c r="E73" s="94">
        <v>0.15000000000000002</v>
      </c>
      <c r="F73" s="94">
        <v>0.2</v>
      </c>
      <c r="G73" s="94">
        <v>0.25</v>
      </c>
      <c r="H73" s="94">
        <v>0.3</v>
      </c>
      <c r="I73" s="94">
        <v>0.35</v>
      </c>
      <c r="J73" s="94">
        <v>0.39999999999999997</v>
      </c>
      <c r="K73" s="94">
        <v>0.44999999999999996</v>
      </c>
      <c r="L73" s="94">
        <v>0.49999999999999994</v>
      </c>
      <c r="M73" s="94">
        <v>0.54999999999999993</v>
      </c>
      <c r="N73" s="94">
        <v>0.6</v>
      </c>
      <c r="O73" s="94">
        <v>0.65</v>
      </c>
      <c r="P73" s="94">
        <v>0.70000000000000007</v>
      </c>
      <c r="Q73" s="94">
        <v>0.75000000000000011</v>
      </c>
      <c r="R73" s="94">
        <v>0.80000000000000016</v>
      </c>
      <c r="S73" s="94">
        <v>0.8500000000000002</v>
      </c>
      <c r="T73" s="94">
        <v>0.90000000000000024</v>
      </c>
      <c r="U73" s="94">
        <v>0.95000000000000029</v>
      </c>
      <c r="V73" s="94">
        <v>0.9600000000000003</v>
      </c>
      <c r="W73" s="94">
        <v>0.97000000000000031</v>
      </c>
      <c r="X73" s="94">
        <v>0.98000000000000032</v>
      </c>
      <c r="Y73" s="94">
        <v>0.99000000000000032</v>
      </c>
    </row>
    <row r="74" spans="1:26" x14ac:dyDescent="0.2">
      <c r="A74" t="s">
        <v>89</v>
      </c>
      <c r="B74" s="80">
        <f>NeoClassical!B$24</f>
        <v>3196.3846373657216</v>
      </c>
      <c r="C74" s="80">
        <f>NeoClassical!D$24</f>
        <v>3218.7252948369473</v>
      </c>
      <c r="D74" s="80">
        <f>NeoClassical!F$24</f>
        <v>3240.96893364169</v>
      </c>
      <c r="E74" s="80">
        <f>NeoClassical!H$24</f>
        <v>3263.107734422852</v>
      </c>
      <c r="F74" s="80">
        <f>NeoClassical!J$24</f>
        <v>3285.1346014043966</v>
      </c>
      <c r="G74" s="80">
        <f>NeoClassical!L$24</f>
        <v>3307.0472982693573</v>
      </c>
      <c r="H74" s="80">
        <f>NeoClassical!N$24</f>
        <v>3328.8498026786251</v>
      </c>
      <c r="I74" s="80">
        <f>NeoClassical!P$24</f>
        <v>3350.5600227321588</v>
      </c>
      <c r="J74" s="80">
        <f>NeoClassical!R$24</f>
        <v>3372.2203286876747</v>
      </c>
      <c r="K74" s="80">
        <f>NeoClassical!T$24</f>
        <v>3393.916080618782</v>
      </c>
      <c r="L74" s="80">
        <f>NeoClassical!V$24</f>
        <v>3415.8086221696954</v>
      </c>
      <c r="M74" s="80">
        <f>NeoClassical!X$24</f>
        <v>3438.1929052141695</v>
      </c>
      <c r="N74" s="80">
        <f>NeoClassical!Z$24</f>
        <v>3461.595911525957</v>
      </c>
      <c r="O74" s="80">
        <f>NeoClassical!AB$24</f>
        <v>3486.9367809509586</v>
      </c>
      <c r="P74" s="80">
        <f>NeoClassical!AD$24</f>
        <v>3515.7365488317796</v>
      </c>
      <c r="Q74" s="80">
        <f>NeoClassical!AF$24</f>
        <v>3550.2088328992463</v>
      </c>
      <c r="R74" s="80">
        <f>NeoClassical!AH$24</f>
        <v>3592.7612955909276</v>
      </c>
      <c r="S74" s="80">
        <f>NeoClassical!AJ$24</f>
        <v>3644.981854064913</v>
      </c>
      <c r="T74" s="80">
        <f>NeoClassical!AL$24</f>
        <v>3709.4284268113365</v>
      </c>
      <c r="U74" s="80">
        <f>NeoClassical!AN$24</f>
        <v>3805.9511149818641</v>
      </c>
      <c r="V74" s="80">
        <f>NeoClassical!AP$24</f>
        <v>3837.3617883807433</v>
      </c>
      <c r="W74" s="80">
        <f>NeoClassical!AR$24</f>
        <v>3879.9603268517403</v>
      </c>
      <c r="X74" s="80">
        <f>NeoClassical!AT$24</f>
        <v>0</v>
      </c>
      <c r="Y74" s="80">
        <f>NeoClassical!AV$24</f>
        <v>0</v>
      </c>
    </row>
    <row r="75" spans="1:26" x14ac:dyDescent="0.2">
      <c r="A75" t="s">
        <v>90</v>
      </c>
      <c r="B75" s="80">
        <f>Johansen!B$24</f>
        <v>3196.3846373657216</v>
      </c>
      <c r="C75" s="80">
        <f>Johansen!D$24</f>
        <v>3199.3555130368832</v>
      </c>
      <c r="D75" s="80">
        <f>Johansen!F$24</f>
        <v>3202.0972699952126</v>
      </c>
      <c r="E75" s="80">
        <f>Johansen!H$24</f>
        <v>3204.5846306257604</v>
      </c>
      <c r="F75" s="80">
        <f>Johansen!J$24</f>
        <v>3206.7877812767142</v>
      </c>
      <c r="G75" s="80">
        <f>Johansen!L$24</f>
        <v>3208.6724893205023</v>
      </c>
      <c r="H75" s="80">
        <f>Johansen!N$24</f>
        <v>3210.1979948600424</v>
      </c>
      <c r="I75" s="80">
        <f>Johansen!P$24</f>
        <v>3211.3163643136031</v>
      </c>
      <c r="J75" s="80">
        <f>Johansen!R$24</f>
        <v>3211.9713145292048</v>
      </c>
      <c r="K75" s="80">
        <f>Johansen!T$24</f>
        <v>3212.0958766007689</v>
      </c>
      <c r="L75" s="80">
        <f>Johansen!V$24</f>
        <v>3211.6114361897066</v>
      </c>
      <c r="M75" s="80">
        <f>Johansen!X$24</f>
        <v>3210.4266401772825</v>
      </c>
      <c r="N75" s="80">
        <f>Johansen!Z$24</f>
        <v>3208.4369734511743</v>
      </c>
      <c r="O75" s="80">
        <f>Johansen!AB$24</f>
        <v>3205.5248799853325</v>
      </c>
      <c r="P75" s="80">
        <f>Johansen!AD$24</f>
        <v>3201.5497616442153</v>
      </c>
      <c r="Q75" s="80">
        <f>Johansen!AF$24</f>
        <v>3196.2797224828591</v>
      </c>
      <c r="R75" s="80">
        <f>Johansen!AH$24</f>
        <v>3189.1362875721411</v>
      </c>
      <c r="S75" s="80">
        <f>Johansen!AJ$24</f>
        <v>3178.6580339596117</v>
      </c>
      <c r="T75" s="80">
        <f>Johansen!AL$24</f>
        <v>3161.9322005266199</v>
      </c>
      <c r="U75" s="80">
        <f>Johansen!AN$24</f>
        <v>3134.6391213809743</v>
      </c>
      <c r="V75" s="80">
        <f>Johansen!AP$24</f>
        <v>3127.9431859403026</v>
      </c>
      <c r="W75" s="80">
        <f>Johansen!AR$24</f>
        <v>3121.7109223575526</v>
      </c>
      <c r="X75" s="80">
        <f>Johansen!AT$24</f>
        <v>0</v>
      </c>
      <c r="Y75" s="80">
        <f>Johansen!AV$24</f>
        <v>0</v>
      </c>
    </row>
    <row r="76" spans="1:26" x14ac:dyDescent="0.2">
      <c r="A76" t="s">
        <v>143</v>
      </c>
      <c r="B76" s="80">
        <f>Kaldorian!B$24</f>
        <v>3196.3846373657216</v>
      </c>
      <c r="C76" s="80">
        <f>Kaldorian!D$24</f>
        <v>3199.3659734044199</v>
      </c>
      <c r="D76" s="80">
        <f>Kaldorian!F$24</f>
        <v>3202.1208128549288</v>
      </c>
      <c r="E76" s="80">
        <f>Kaldorian!H$24</f>
        <v>3204.6241852856106</v>
      </c>
      <c r="F76" s="80">
        <f>Kaldorian!J$24</f>
        <v>3206.8465758674156</v>
      </c>
      <c r="G76" s="80">
        <f>Kaldorian!L$24</f>
        <v>3208.7539515332555</v>
      </c>
      <c r="H76" s="80">
        <f>Kaldorian!N$24</f>
        <v>3210.3056909480315</v>
      </c>
      <c r="I76" s="80">
        <f>Kaldorian!P$24</f>
        <v>3211.4539239876549</v>
      </c>
      <c r="J76" s="80">
        <f>Kaldorian!R$24</f>
        <v>3212.1415428543173</v>
      </c>
      <c r="K76" s="80">
        <f>Kaldorian!T$24</f>
        <v>3212.3011210158138</v>
      </c>
      <c r="L76" s="80">
        <f>Kaldorian!V$24</f>
        <v>3211.8518640550465</v>
      </c>
      <c r="M76" s="80">
        <f>Kaldorian!X$24</f>
        <v>3210.699017820783</v>
      </c>
      <c r="N76" s="80">
        <f>Kaldorian!Z$24</f>
        <v>3208.7319497817493</v>
      </c>
      <c r="O76" s="80">
        <f>Kaldorian!AB$24</f>
        <v>3205.8233938230742</v>
      </c>
      <c r="P76" s="80">
        <f>Kaldorian!AD$24</f>
        <v>3201.8196900555176</v>
      </c>
      <c r="Q76" s="80">
        <f>Kaldorian!AF$24</f>
        <v>3196.4803108297992</v>
      </c>
      <c r="R76" s="80">
        <f>Kaldorian!AH$24</f>
        <v>3189.2430029131001</v>
      </c>
      <c r="S76" s="80">
        <f>Kaldorian!AJ$24</f>
        <v>3178.6912779319396</v>
      </c>
      <c r="T76" s="80">
        <f>Kaldorian!AL$24</f>
        <v>3161.9363958586487</v>
      </c>
      <c r="U76" s="80">
        <f>Kaldorian!AN$24</f>
        <v>3134.6415573754293</v>
      </c>
      <c r="V76" s="80">
        <f>Kaldorian!AP$24</f>
        <v>3127.943198915927</v>
      </c>
      <c r="W76" s="80">
        <f>Kaldorian!AR$24</f>
        <v>3121.7109240091022</v>
      </c>
      <c r="X76" s="80">
        <f>Kaldorian!AT$24</f>
        <v>0</v>
      </c>
      <c r="Y76" s="80">
        <f>Kaldorian!AV$24</f>
        <v>0</v>
      </c>
    </row>
    <row r="77" spans="1:26" x14ac:dyDescent="0.2">
      <c r="A77" t="s">
        <v>146</v>
      </c>
      <c r="B77" s="80">
        <f>'Keynes-K'!B$24</f>
        <v>3196.3846373657216</v>
      </c>
      <c r="C77" s="80">
        <f>'Keynes-K'!D$24</f>
        <v>3207.9361929844627</v>
      </c>
      <c r="D77" s="80">
        <f>'Keynes-K'!F$24</f>
        <v>3218.2885272778049</v>
      </c>
      <c r="E77" s="80">
        <f>'Keynes-K'!H$24</f>
        <v>3227.3265408362195</v>
      </c>
      <c r="F77" s="80">
        <f>'Keynes-K'!J$24</f>
        <v>3234.9098935392512</v>
      </c>
      <c r="G77" s="80">
        <f>'Keynes-K'!L$24</f>
        <v>3240.8690498588671</v>
      </c>
      <c r="H77" s="80">
        <f>'Keynes-K'!N$24</f>
        <v>3244.994297906243</v>
      </c>
      <c r="I77" s="80">
        <f>'Keynes-K'!P$24</f>
        <v>3247.0252906955461</v>
      </c>
      <c r="J77" s="80">
        <f>'Keynes-K'!R$24</f>
        <v>3246.6325723046903</v>
      </c>
      <c r="K77" s="80">
        <f>'Keynes-K'!T$24</f>
        <v>3243.3920156877616</v>
      </c>
      <c r="L77" s="80">
        <f>'Keynes-K'!V$24</f>
        <v>3236.7411595452036</v>
      </c>
      <c r="M77" s="80">
        <f>'Keynes-K'!X$24</f>
        <v>3225.9093847097606</v>
      </c>
      <c r="N77" s="80">
        <f>'Keynes-K'!Z$24</f>
        <v>3209.7874172229895</v>
      </c>
      <c r="O77" s="80">
        <f>'Keynes-K'!AB$24</f>
        <v>3186.6739509975141</v>
      </c>
      <c r="P77" s="80">
        <f>'Keynes-K'!AD$24</f>
        <v>3153.7292311046021</v>
      </c>
      <c r="Q77" s="80">
        <f>'Keynes-K'!AF$24</f>
        <v>3105.7326943946</v>
      </c>
      <c r="R77" s="80">
        <f>'Keynes-K'!AH$24</f>
        <v>3032.2024677053796</v>
      </c>
      <c r="S77" s="80">
        <f>'Keynes-K'!AJ$24</f>
        <v>2910.6710441791633</v>
      </c>
      <c r="T77" s="80">
        <f>'Keynes-K'!AL$24</f>
        <v>2687.8787179451615</v>
      </c>
      <c r="U77" s="80">
        <f>'Keynes-K'!AN$24</f>
        <v>2197.0173383976471</v>
      </c>
      <c r="V77" s="80">
        <f>'Keynes-K'!AP$24</f>
        <v>2021.3508913190583</v>
      </c>
      <c r="W77" s="80">
        <f>'Keynes-K'!AR$24</f>
        <v>1791.2844695427561</v>
      </c>
      <c r="X77" s="80">
        <f>'Keynes-K'!AT$24</f>
        <v>0</v>
      </c>
      <c r="Y77" s="80">
        <f>'Keynes-K'!AV$24</f>
        <v>0</v>
      </c>
    </row>
    <row r="78" spans="1:26" x14ac:dyDescent="0.2">
      <c r="A78" t="s">
        <v>144</v>
      </c>
      <c r="B78" s="80">
        <f>'Keynes-M'!B$24</f>
        <v>3196.3846373657216</v>
      </c>
      <c r="C78" s="80">
        <f>'Keynes-M'!D$24</f>
        <v>3304.5604124972492</v>
      </c>
      <c r="D78" s="80">
        <f>'Keynes-M'!F$24</f>
        <v>3412.0511098709271</v>
      </c>
      <c r="E78" s="80">
        <f>'Keynes-M'!H$24</f>
        <v>3519.4092550926839</v>
      </c>
      <c r="F78" s="80">
        <f>'Keynes-M'!J$24</f>
        <v>3627.3864677231099</v>
      </c>
      <c r="G78" s="80">
        <f>'Keynes-M'!L$24</f>
        <v>3737.029848619688</v>
      </c>
      <c r="H78" s="80">
        <f>'Keynes-M'!N$24</f>
        <v>3849.845552176715</v>
      </c>
      <c r="I78" s="80">
        <f>'Keynes-M'!P$24</f>
        <v>3968.0656390412469</v>
      </c>
      <c r="J78" s="80">
        <f>'Keynes-M'!R$24</f>
        <v>4095.0620473710651</v>
      </c>
      <c r="K78" s="80">
        <f>'Keynes-M'!T$24</f>
        <v>4235.9691135422136</v>
      </c>
      <c r="L78" s="80">
        <f>'Keynes-M'!V$24</f>
        <v>4398.392992053773</v>
      </c>
      <c r="M78" s="80">
        <f>'Keynes-M'!X$24</f>
        <v>4592.3560661239071</v>
      </c>
      <c r="N78" s="80">
        <f>'Keynes-M'!Z$24</f>
        <v>4827.3354036907476</v>
      </c>
      <c r="O78" s="80">
        <f>'Keynes-M'!AB$24</f>
        <v>5106.3615766593284</v>
      </c>
      <c r="P78" s="80">
        <f>'Keynes-M'!AD$24</f>
        <v>5426.4469103450092</v>
      </c>
      <c r="Q78" s="80">
        <f>'Keynes-M'!AF$24</f>
        <v>5790.8587393622292</v>
      </c>
      <c r="R78" s="80">
        <f>'Keynes-M'!AH$24</f>
        <v>6223.7250898092425</v>
      </c>
      <c r="S78" s="80">
        <f>'Keynes-M'!AJ$24</f>
        <v>6793.0372168886161</v>
      </c>
      <c r="T78" s="80">
        <f>'Keynes-M'!AL$24</f>
        <v>7699.4244648951908</v>
      </c>
      <c r="U78" s="80">
        <f>'Keynes-M'!AN$24</f>
        <v>9860.9117223946669</v>
      </c>
      <c r="V78" s="80">
        <f>'Keynes-M'!AP$24</f>
        <v>0</v>
      </c>
      <c r="W78" s="80">
        <f>'Keynes-M'!AR$24</f>
        <v>0</v>
      </c>
      <c r="X78" s="80">
        <f>'Keynes-M'!AT$24</f>
        <v>0</v>
      </c>
      <c r="Y78" s="80">
        <f>'Keynes-M'!AV$24</f>
        <v>0</v>
      </c>
    </row>
    <row r="79" spans="1:26" x14ac:dyDescent="0.2">
      <c r="A79" t="s">
        <v>145</v>
      </c>
      <c r="B79" s="80">
        <f>Keynesian!B$24</f>
        <v>3196.3846373657216</v>
      </c>
      <c r="C79" s="80">
        <f>Keynesian!D$24</f>
        <v>3152.4452989570682</v>
      </c>
      <c r="D79" s="80">
        <f>Keynesian!F$24</f>
        <v>3106.0771827508552</v>
      </c>
      <c r="E79" s="80">
        <f>Keynesian!H$24</f>
        <v>3057.0547807791831</v>
      </c>
      <c r="F79" s="80">
        <f>Keynesian!J$24</f>
        <v>3005.1130985701807</v>
      </c>
      <c r="G79" s="80">
        <f>Keynesian!L$24</f>
        <v>2949.9382381362216</v>
      </c>
      <c r="H79" s="80">
        <f>Keynesian!N$24</f>
        <v>2891.1524582192515</v>
      </c>
      <c r="I79" s="80">
        <f>Keynesian!P$24</f>
        <v>2828.2940082046562</v>
      </c>
      <c r="J79" s="80">
        <f>Keynesian!R$24</f>
        <v>2760.7883366498268</v>
      </c>
      <c r="K79" s="80">
        <f>Keynesian!T$24</f>
        <v>2687.9043041667637</v>
      </c>
      <c r="L79" s="80">
        <f>Keynesian!V$24</f>
        <v>2608.6882100102521</v>
      </c>
      <c r="M79" s="80">
        <f>Keynesian!X$24</f>
        <v>2521.8590458515964</v>
      </c>
      <c r="N79" s="80">
        <f>Keynesian!Z$24</f>
        <v>2425.6343317814317</v>
      </c>
      <c r="O79" s="80">
        <f>Keynesian!AB$24</f>
        <v>2317.4344035991576</v>
      </c>
      <c r="P79" s="80">
        <f>Keynesian!AD$24</f>
        <v>2193.3556829959862</v>
      </c>
      <c r="Q79" s="80">
        <f>Keynesian!AF$24</f>
        <v>2047.1979894160738</v>
      </c>
      <c r="R79" s="80">
        <f>Keynesian!AH$24</f>
        <v>1868.6263853982471</v>
      </c>
      <c r="S79" s="80">
        <f>Keynesian!AJ$24</f>
        <v>1639.6736730382288</v>
      </c>
      <c r="T79" s="80">
        <f>Keynesian!AL$24</f>
        <v>1328.7963274196259</v>
      </c>
      <c r="U79" s="80">
        <f>Keynesian!AN$24</f>
        <v>0</v>
      </c>
      <c r="V79" s="80">
        <f>Keynesian!AP$24</f>
        <v>0</v>
      </c>
      <c r="W79" s="80">
        <f>Keynesian!AR$24</f>
        <v>0</v>
      </c>
      <c r="X79" s="80">
        <f>Keynesian!AT$24</f>
        <v>0</v>
      </c>
      <c r="Y79" s="80">
        <f>Keynesian!AV$24</f>
        <v>0</v>
      </c>
    </row>
    <row r="80" spans="1:26" x14ac:dyDescent="0.2">
      <c r="A80" t="s">
        <v>158</v>
      </c>
      <c r="B80" s="80">
        <f>'Neo-K1'!B$24</f>
        <v>3196.3846373657216</v>
      </c>
      <c r="C80" s="80">
        <f>'Neo-K1'!D$24</f>
        <v>3189.4811075287989</v>
      </c>
      <c r="D80" s="80">
        <f>'Neo-K1'!F$24</f>
        <v>3179.528649977759</v>
      </c>
      <c r="E80" s="80">
        <f>'Neo-K1'!H$24</f>
        <v>3166.0293105983937</v>
      </c>
      <c r="F80" s="80">
        <f>'Neo-K1'!J$24</f>
        <v>3148.3772547105582</v>
      </c>
      <c r="G80" s="80">
        <f>'Neo-K1'!L$24</f>
        <v>3125.8238859451581</v>
      </c>
      <c r="H80" s="80">
        <f>'Neo-K1'!N$24</f>
        <v>3097.4374233428475</v>
      </c>
      <c r="I80" s="80">
        <f>'Neo-K1'!P$24</f>
        <v>3062.0451578774268</v>
      </c>
      <c r="J80" s="80">
        <f>'Neo-K1'!R$24</f>
        <v>3018.1525575340124</v>
      </c>
      <c r="K80" s="80">
        <f>'Neo-K1'!T$24</f>
        <v>2963.8331980707999</v>
      </c>
      <c r="L80" s="80">
        <f>'Neo-K1'!V$24</f>
        <v>2896.572157722776</v>
      </c>
      <c r="M80" s="80">
        <f>'Neo-K1'!X$24</f>
        <v>2813.0535098712407</v>
      </c>
      <c r="N80" s="80">
        <f>'Neo-K1'!Z$24</f>
        <v>2708.8674692541181</v>
      </c>
      <c r="O80" s="80">
        <f>'Neo-K1'!AB$24</f>
        <v>2578.1313307758887</v>
      </c>
      <c r="P80" s="80">
        <f>'Neo-K1'!AD$24</f>
        <v>2413.0402526940811</v>
      </c>
      <c r="Q80" s="80">
        <f>'Neo-K1'!AF$24</f>
        <v>2203.4364969325302</v>
      </c>
      <c r="R80" s="80">
        <f>'Neo-K1'!AH$24</f>
        <v>1936.612421826356</v>
      </c>
      <c r="S80" s="80">
        <f>'Neo-K1'!AJ$24</f>
        <v>1597.7026870638374</v>
      </c>
      <c r="T80" s="80">
        <f>'Neo-K1'!AL$24</f>
        <v>1170.9929069459517</v>
      </c>
      <c r="U80" s="80">
        <f>'Neo-K1'!AN$24</f>
        <v>642.06008498737651</v>
      </c>
      <c r="V80" s="80">
        <f>'Neo-K1'!AP$24</f>
        <v>522.96567145215352</v>
      </c>
      <c r="W80" s="80">
        <f>'Neo-K1'!AR$24</f>
        <v>399.26504454533517</v>
      </c>
      <c r="X80" s="80">
        <f>'Neo-K1'!AT$24</f>
        <v>270.90139719479697</v>
      </c>
      <c r="Y80" s="80">
        <f>'Neo-K1'!AV$24</f>
        <v>137.82635035924079</v>
      </c>
    </row>
    <row r="81" spans="1:25" x14ac:dyDescent="0.2">
      <c r="A81" t="s">
        <v>157</v>
      </c>
      <c r="B81" s="80">
        <f>'Neo-K2'!B$24</f>
        <v>3196.3846373657216</v>
      </c>
      <c r="C81" s="80">
        <f>'Neo-K2'!D$24</f>
        <v>3196.3846373657216</v>
      </c>
      <c r="D81" s="80">
        <f>'Neo-K2'!F$24</f>
        <v>3196.3846373657216</v>
      </c>
      <c r="E81" s="80">
        <f>'Neo-K2'!H$24</f>
        <v>3196.3846373657216</v>
      </c>
      <c r="F81" s="80">
        <f>'Neo-K2'!J$24</f>
        <v>3196.3846373657216</v>
      </c>
      <c r="G81" s="80">
        <f>'Neo-K2'!L$24</f>
        <v>3196.3846373657216</v>
      </c>
      <c r="H81" s="80">
        <f>'Neo-K2'!N$24</f>
        <v>3196.3846373657216</v>
      </c>
      <c r="I81" s="80">
        <f>'Neo-K2'!P$24</f>
        <v>3196.3846373657216</v>
      </c>
      <c r="J81" s="80">
        <f>'Neo-K2'!R$24</f>
        <v>3196.3846373657216</v>
      </c>
      <c r="K81" s="80">
        <f>'Neo-K2'!T$24</f>
        <v>3196.3846373657216</v>
      </c>
      <c r="L81" s="80">
        <f>'Neo-K2'!V$24</f>
        <v>3196.3846373657216</v>
      </c>
      <c r="M81" s="80">
        <f>'Neo-K2'!X$24</f>
        <v>3196.3846373657216</v>
      </c>
      <c r="N81" s="80">
        <f>'Neo-K2'!Z$24</f>
        <v>3196.3846373657216</v>
      </c>
      <c r="O81" s="80">
        <f>'Neo-K2'!AB$24</f>
        <v>3196.3846373657216</v>
      </c>
      <c r="P81" s="80">
        <f>'Neo-K2'!AD$24</f>
        <v>3196.3846373657216</v>
      </c>
      <c r="Q81" s="80">
        <f>'Neo-K2'!AF$24</f>
        <v>3196.3846373657216</v>
      </c>
      <c r="R81" s="80">
        <f>'Neo-K2'!AH$24</f>
        <v>3196.3846373657216</v>
      </c>
      <c r="S81" s="80">
        <f>'Neo-K2'!AJ$24</f>
        <v>3196.3846373657216</v>
      </c>
      <c r="T81" s="80">
        <f>'Neo-K2'!AL$24</f>
        <v>3196.3846373657216</v>
      </c>
      <c r="U81" s="80">
        <f>'Neo-K2'!AN$24</f>
        <v>3196.3846373657216</v>
      </c>
      <c r="V81" s="80">
        <f>'Neo-K2'!AP$24</f>
        <v>3196.3846373657216</v>
      </c>
      <c r="W81" s="80">
        <f>'Neo-K2'!AR$24</f>
        <v>3196.3846373657216</v>
      </c>
      <c r="X81" s="80">
        <f>'Neo-K2'!AT$24</f>
        <v>0</v>
      </c>
      <c r="Y81" s="80">
        <f>'Neo-K2'!AV$24</f>
        <v>0</v>
      </c>
    </row>
    <row r="84" spans="1:25" x14ac:dyDescent="0.2">
      <c r="A84" t="s">
        <v>197</v>
      </c>
      <c r="B84" s="94">
        <f>B33</f>
        <v>0</v>
      </c>
      <c r="C84" s="94">
        <f t="shared" ref="C84:Y92" si="44">C33</f>
        <v>0.05</v>
      </c>
      <c r="D84" s="94">
        <f t="shared" si="44"/>
        <v>0.1</v>
      </c>
      <c r="E84" s="94">
        <f t="shared" si="44"/>
        <v>0.15000000000000002</v>
      </c>
      <c r="F84" s="94">
        <f t="shared" si="44"/>
        <v>0.2</v>
      </c>
      <c r="G84" s="94">
        <f t="shared" si="44"/>
        <v>0.25</v>
      </c>
      <c r="H84" s="94">
        <f t="shared" si="44"/>
        <v>0.3</v>
      </c>
      <c r="I84" s="94">
        <f t="shared" si="44"/>
        <v>0.35</v>
      </c>
      <c r="J84" s="94">
        <f t="shared" si="44"/>
        <v>0.39999999999999997</v>
      </c>
      <c r="K84" s="94">
        <f t="shared" si="44"/>
        <v>0.44999999999999996</v>
      </c>
      <c r="L84" s="94">
        <f t="shared" si="44"/>
        <v>0.49999999999999994</v>
      </c>
      <c r="M84" s="94">
        <f t="shared" si="44"/>
        <v>0.54999999999999993</v>
      </c>
      <c r="N84" s="94">
        <f t="shared" si="44"/>
        <v>0.6</v>
      </c>
      <c r="O84" s="94">
        <f t="shared" si="44"/>
        <v>0.65</v>
      </c>
      <c r="P84" s="94">
        <f t="shared" si="44"/>
        <v>0.70000000000000007</v>
      </c>
      <c r="Q84" s="94">
        <f t="shared" si="44"/>
        <v>0.75000000000000011</v>
      </c>
      <c r="R84" s="94">
        <f t="shared" si="44"/>
        <v>0.80000000000000016</v>
      </c>
      <c r="S84" s="94">
        <f t="shared" si="44"/>
        <v>0.8500000000000002</v>
      </c>
      <c r="T84" s="94">
        <f t="shared" si="44"/>
        <v>0.90000000000000024</v>
      </c>
      <c r="U84" s="94">
        <f t="shared" si="44"/>
        <v>0.95000000000000029</v>
      </c>
      <c r="V84" s="94">
        <f t="shared" si="44"/>
        <v>0.9600000000000003</v>
      </c>
      <c r="W84" s="94">
        <f t="shared" si="44"/>
        <v>0.97000000000000031</v>
      </c>
      <c r="X84" s="94">
        <f t="shared" si="44"/>
        <v>0.98000000000000032</v>
      </c>
      <c r="Y84" s="94">
        <f t="shared" si="44"/>
        <v>0.99000000000000032</v>
      </c>
    </row>
    <row r="85" spans="1:25" x14ac:dyDescent="0.2">
      <c r="A85" t="str">
        <f>A3</f>
        <v>Neoclassical</v>
      </c>
      <c r="B85" s="240">
        <f t="shared" ref="B85:Q92" si="45">B34</f>
        <v>5.7716594496607888E-3</v>
      </c>
      <c r="C85" s="240">
        <f t="shared" si="45"/>
        <v>3.4030524797715483E-2</v>
      </c>
      <c r="D85" s="240">
        <f t="shared" si="45"/>
        <v>6.4933074408364128E-2</v>
      </c>
      <c r="E85" s="240">
        <f t="shared" si="45"/>
        <v>9.8925938511027448E-2</v>
      </c>
      <c r="F85" s="240">
        <f t="shared" si="45"/>
        <v>0.13657451562229669</v>
      </c>
      <c r="G85" s="240">
        <f t="shared" si="45"/>
        <v>0.17860792438195902</v>
      </c>
      <c r="H85" s="240">
        <f t="shared" si="45"/>
        <v>0.22598764537484115</v>
      </c>
      <c r="I85" s="240">
        <f t="shared" si="45"/>
        <v>0.28001332167100962</v>
      </c>
      <c r="J85" s="240">
        <f t="shared" si="45"/>
        <v>0.34249446459967231</v>
      </c>
      <c r="K85" s="240">
        <f t="shared" si="45"/>
        <v>0.41603413138754441</v>
      </c>
      <c r="L85" s="240">
        <f t="shared" si="45"/>
        <v>0.50452674715596646</v>
      </c>
      <c r="M85" s="240">
        <f t="shared" si="45"/>
        <v>0.61406564861376656</v>
      </c>
      <c r="N85" s="240">
        <f t="shared" si="45"/>
        <v>0.75468182799998229</v>
      </c>
      <c r="O85" s="240">
        <f t="shared" si="45"/>
        <v>0.94385522373949637</v>
      </c>
      <c r="P85" s="240">
        <f t="shared" si="45"/>
        <v>1.2139057313021129</v>
      </c>
      <c r="Q85" s="240">
        <f t="shared" si="45"/>
        <v>1.6281039254603655</v>
      </c>
      <c r="R85" s="240">
        <f t="shared" si="44"/>
        <v>2.3181578903446112</v>
      </c>
      <c r="S85" s="240">
        <f t="shared" si="44"/>
        <v>3.5930140459180113</v>
      </c>
      <c r="T85" s="240">
        <f t="shared" si="44"/>
        <v>6.4101686988580662</v>
      </c>
      <c r="U85" s="240">
        <f t="shared" si="44"/>
        <v>16.082127990694914</v>
      </c>
      <c r="V85" s="240">
        <f t="shared" si="44"/>
        <v>21.403571526760828</v>
      </c>
      <c r="W85" s="240">
        <f t="shared" si="44"/>
        <v>30.809683419613776</v>
      </c>
      <c r="X85" s="240">
        <f t="shared" si="44"/>
        <v>0</v>
      </c>
      <c r="Y85" s="240">
        <f t="shared" si="44"/>
        <v>0</v>
      </c>
    </row>
    <row r="86" spans="1:25" x14ac:dyDescent="0.2">
      <c r="A86" t="str">
        <f t="shared" ref="A86:A93" si="46">A4</f>
        <v>Kaldorian</v>
      </c>
      <c r="B86" s="240">
        <f t="shared" si="45"/>
        <v>5.7716594496607888E-3</v>
      </c>
      <c r="C86" s="240">
        <f t="shared" si="44"/>
        <v>3.5614000680927273E-2</v>
      </c>
      <c r="D86" s="240">
        <f t="shared" si="44"/>
        <v>6.8201219848250255E-2</v>
      </c>
      <c r="E86" s="240">
        <f t="shared" si="44"/>
        <v>0.10399609077879797</v>
      </c>
      <c r="F86" s="240">
        <f t="shared" si="44"/>
        <v>0.14358448722503217</v>
      </c>
      <c r="G86" s="240">
        <f t="shared" si="44"/>
        <v>0.18772219125556466</v>
      </c>
      <c r="H86" s="240">
        <f t="shared" si="44"/>
        <v>0.23740658789366578</v>
      </c>
      <c r="I86" s="240">
        <f t="shared" si="44"/>
        <v>0.29398783892428537</v>
      </c>
      <c r="J86" s="240">
        <f t="shared" si="44"/>
        <v>0.35934833067002675</v>
      </c>
      <c r="K86" s="240">
        <f t="shared" si="44"/>
        <v>0.43620542488526409</v>
      </c>
      <c r="L86" s="240">
        <f t="shared" si="44"/>
        <v>0.52863656482237864</v>
      </c>
      <c r="M86" s="240">
        <f t="shared" si="44"/>
        <v>0.64305115149451308</v>
      </c>
      <c r="N86" s="240">
        <f t="shared" si="44"/>
        <v>0.79005931686503161</v>
      </c>
      <c r="O86" s="240">
        <f t="shared" si="44"/>
        <v>0.98827838871685847</v>
      </c>
      <c r="P86" s="240">
        <f t="shared" si="44"/>
        <v>1.2724188093620861</v>
      </c>
      <c r="Q86" s="240">
        <f t="shared" si="44"/>
        <v>1.7110695799208442</v>
      </c>
      <c r="R86" s="240">
        <f t="shared" si="44"/>
        <v>2.4483425594243164</v>
      </c>
      <c r="S86" s="240">
        <f t="shared" si="44"/>
        <v>3.8255650605302067</v>
      </c>
      <c r="T86" s="240">
        <f t="shared" si="44"/>
        <v>6.9164752100307734</v>
      </c>
      <c r="U86" s="240">
        <f t="shared" si="44"/>
        <v>17.84920924279011</v>
      </c>
      <c r="V86" s="240">
        <f t="shared" si="44"/>
        <v>24.012360031555041</v>
      </c>
      <c r="W86" s="240">
        <f t="shared" si="44"/>
        <v>35.091462429304485</v>
      </c>
      <c r="X86" s="240">
        <f t="shared" si="44"/>
        <v>0</v>
      </c>
      <c r="Y86" s="240">
        <f t="shared" si="44"/>
        <v>0</v>
      </c>
    </row>
    <row r="87" spans="1:25" x14ac:dyDescent="0.2">
      <c r="A87" t="str">
        <f t="shared" si="46"/>
        <v>Johansen</v>
      </c>
      <c r="B87" s="240">
        <f t="shared" si="45"/>
        <v>5.7716594496607888E-3</v>
      </c>
      <c r="C87" s="240">
        <f t="shared" si="44"/>
        <v>3.4654696648731206E-2</v>
      </c>
      <c r="D87" s="240">
        <f t="shared" si="44"/>
        <v>6.6251622726582401E-2</v>
      </c>
      <c r="E87" s="240">
        <f t="shared" si="44"/>
        <v>0.10102354423165226</v>
      </c>
      <c r="F87" s="240">
        <f t="shared" si="44"/>
        <v>0.1395553001544734</v>
      </c>
      <c r="G87" s="240">
        <f t="shared" si="44"/>
        <v>0.18260290693931522</v>
      </c>
      <c r="H87" s="240">
        <f t="shared" si="44"/>
        <v>0.23116606602031667</v>
      </c>
      <c r="I87" s="240">
        <f t="shared" si="44"/>
        <v>0.28660065178561139</v>
      </c>
      <c r="J87" s="240">
        <f t="shared" si="44"/>
        <v>0.35080195535122949</v>
      </c>
      <c r="K87" s="240">
        <f t="shared" si="44"/>
        <v>0.4265092389857259</v>
      </c>
      <c r="L87" s="240">
        <f t="shared" si="44"/>
        <v>0.51784297389900669</v>
      </c>
      <c r="M87" s="240">
        <f t="shared" si="44"/>
        <v>0.63129050926655439</v>
      </c>
      <c r="N87" s="240">
        <f t="shared" si="44"/>
        <v>0.77760685736776392</v>
      </c>
      <c r="O87" s="240">
        <f t="shared" si="44"/>
        <v>0.97567126877863508</v>
      </c>
      <c r="P87" s="240">
        <f t="shared" si="44"/>
        <v>1.2606206682056842</v>
      </c>
      <c r="Q87" s="240">
        <f t="shared" si="44"/>
        <v>1.7015161737605411</v>
      </c>
      <c r="R87" s="240">
        <f t="shared" si="44"/>
        <v>2.442356610214361</v>
      </c>
      <c r="S87" s="240">
        <f t="shared" si="44"/>
        <v>3.8230956946858967</v>
      </c>
      <c r="T87" s="240">
        <f t="shared" si="44"/>
        <v>6.915971227941542</v>
      </c>
      <c r="U87" s="240">
        <f t="shared" si="44"/>
        <v>17.849179483407472</v>
      </c>
      <c r="V87" s="240">
        <f t="shared" si="44"/>
        <v>24.012354079528027</v>
      </c>
      <c r="W87" s="240">
        <f t="shared" si="44"/>
        <v>35.091461200133594</v>
      </c>
      <c r="X87" s="240">
        <f t="shared" si="44"/>
        <v>0</v>
      </c>
      <c r="Y87" s="240">
        <f t="shared" si="44"/>
        <v>0</v>
      </c>
    </row>
    <row r="88" spans="1:25" x14ac:dyDescent="0.2">
      <c r="A88" t="str">
        <f t="shared" si="46"/>
        <v>Keynes-Kaldor</v>
      </c>
      <c r="B88" s="240">
        <f t="shared" si="45"/>
        <v>5.7716594496607888E-3</v>
      </c>
      <c r="C88" s="240">
        <f t="shared" si="44"/>
        <v>3.6688117254143629E-2</v>
      </c>
      <c r="D88" s="240">
        <f t="shared" si="44"/>
        <v>7.0337135534169634E-2</v>
      </c>
      <c r="E88" s="240">
        <f t="shared" si="44"/>
        <v>0.10717103217271408</v>
      </c>
      <c r="F88" s="240">
        <f t="shared" si="44"/>
        <v>0.14776058924116112</v>
      </c>
      <c r="G88" s="240">
        <f t="shared" si="44"/>
        <v>0.19283986301408057</v>
      </c>
      <c r="H88" s="240">
        <f t="shared" si="44"/>
        <v>0.24337273893978342</v>
      </c>
      <c r="I88" s="240">
        <f t="shared" si="44"/>
        <v>0.30065604818022534</v>
      </c>
      <c r="J88" s="240">
        <f t="shared" si="44"/>
        <v>0.36648275557074317</v>
      </c>
      <c r="K88" s="240">
        <f t="shared" si="44"/>
        <v>0.44341246889298691</v>
      </c>
      <c r="L88" s="240">
        <f t="shared" si="44"/>
        <v>0.53523002100368045</v>
      </c>
      <c r="M88" s="240">
        <f t="shared" si="44"/>
        <v>0.64777114004613023</v>
      </c>
      <c r="N88" s="240">
        <f t="shared" si="44"/>
        <v>0.79045491046443095</v>
      </c>
      <c r="O88" s="240">
        <f t="shared" si="44"/>
        <v>0.97927399455577102</v>
      </c>
      <c r="P88" s="240">
        <f t="shared" si="44"/>
        <v>1.2428084340909513</v>
      </c>
      <c r="Q88" s="240">
        <f t="shared" si="44"/>
        <v>1.6345841703619899</v>
      </c>
      <c r="R88" s="240">
        <f t="shared" si="44"/>
        <v>2.2594651863245532</v>
      </c>
      <c r="S88" s="240">
        <f t="shared" si="44"/>
        <v>3.3407865197436557</v>
      </c>
      <c r="T88" s="240">
        <f t="shared" si="44"/>
        <v>5.46461294105048</v>
      </c>
      <c r="U88" s="240">
        <f t="shared" si="44"/>
        <v>10.988418345153489</v>
      </c>
      <c r="V88" s="240">
        <f t="shared" si="44"/>
        <v>13.318015821476813</v>
      </c>
      <c r="W88" s="240">
        <f t="shared" si="44"/>
        <v>16.711121688864701</v>
      </c>
      <c r="X88" s="240">
        <f t="shared" si="44"/>
        <v>0</v>
      </c>
      <c r="Y88" s="240">
        <f t="shared" si="44"/>
        <v>0</v>
      </c>
    </row>
    <row r="89" spans="1:25" x14ac:dyDescent="0.2">
      <c r="A89" t="str">
        <f t="shared" si="46"/>
        <v>Keynes-Marshall</v>
      </c>
      <c r="B89" s="240">
        <f t="shared" si="45"/>
        <v>5.7716594496607888E-3</v>
      </c>
      <c r="C89" s="240">
        <f t="shared" si="44"/>
        <v>4.3480678335240344E-2</v>
      </c>
      <c r="D89" s="240">
        <f t="shared" si="44"/>
        <v>8.4987437176305705E-2</v>
      </c>
      <c r="E89" s="240">
        <f t="shared" si="44"/>
        <v>0.1312062286167397</v>
      </c>
      <c r="F89" s="240">
        <f t="shared" si="44"/>
        <v>0.18340930115334367</v>
      </c>
      <c r="G89" s="240">
        <f t="shared" si="44"/>
        <v>0.24340901980098084</v>
      </c>
      <c r="H89" s="240">
        <f t="shared" si="44"/>
        <v>0.31386349277823172</v>
      </c>
      <c r="I89" s="240">
        <f t="shared" si="44"/>
        <v>0.39881063527405602</v>
      </c>
      <c r="J89" s="240">
        <f t="shared" si="44"/>
        <v>0.50462603152917485</v>
      </c>
      <c r="K89" s="240">
        <f t="shared" si="44"/>
        <v>0.64177941538932759</v>
      </c>
      <c r="L89" s="240">
        <f t="shared" si="44"/>
        <v>0.82797831036232727</v>
      </c>
      <c r="M89" s="240">
        <f t="shared" si="44"/>
        <v>1.0931267114593068</v>
      </c>
      <c r="N89" s="240">
        <f t="shared" si="44"/>
        <v>1.4849324032817575</v>
      </c>
      <c r="O89" s="240">
        <f t="shared" si="44"/>
        <v>2.0734597271375517</v>
      </c>
      <c r="P89" s="240">
        <f t="shared" si="44"/>
        <v>2.9663312270957074</v>
      </c>
      <c r="Q89" s="240">
        <f t="shared" si="44"/>
        <v>4.3688951160745741</v>
      </c>
      <c r="R89" s="240">
        <f t="shared" si="44"/>
        <v>6.756682621855842</v>
      </c>
      <c r="S89" s="240">
        <f t="shared" si="44"/>
        <v>11.455659507022718</v>
      </c>
      <c r="T89" s="240">
        <f t="shared" si="44"/>
        <v>23.519621588610939</v>
      </c>
      <c r="U89" s="240">
        <f t="shared" si="44"/>
        <v>81.006702684072707</v>
      </c>
      <c r="V89" s="240">
        <f t="shared" si="44"/>
        <v>0</v>
      </c>
      <c r="W89" s="240">
        <f t="shared" si="44"/>
        <v>0</v>
      </c>
      <c r="X89" s="240">
        <f t="shared" si="44"/>
        <v>0</v>
      </c>
      <c r="Y89" s="240">
        <f t="shared" si="44"/>
        <v>0</v>
      </c>
    </row>
    <row r="90" spans="1:25" x14ac:dyDescent="0.2">
      <c r="A90" t="str">
        <f t="shared" si="46"/>
        <v>Keynesian</v>
      </c>
      <c r="B90" s="240">
        <f t="shared" si="45"/>
        <v>5.7716594496607888E-3</v>
      </c>
      <c r="C90" s="240">
        <f t="shared" si="44"/>
        <v>2.6760594493633126E-2</v>
      </c>
      <c r="D90" s="240">
        <f t="shared" si="44"/>
        <v>4.9470485260083644E-2</v>
      </c>
      <c r="E90" s="240">
        <f t="shared" si="44"/>
        <v>7.4148968811687588E-2</v>
      </c>
      <c r="F90" s="240">
        <f t="shared" si="44"/>
        <v>0.1010979581232742</v>
      </c>
      <c r="G90" s="240">
        <f t="shared" si="44"/>
        <v>0.13069093663387291</v>
      </c>
      <c r="H90" s="240">
        <f t="shared" si="44"/>
        <v>0.16339611906898632</v>
      </c>
      <c r="I90" s="240">
        <f t="shared" si="44"/>
        <v>0.19981032864898138</v>
      </c>
      <c r="J90" s="240">
        <f t="shared" si="44"/>
        <v>0.24070886360538107</v>
      </c>
      <c r="K90" s="240">
        <f t="shared" si="44"/>
        <v>0.2871206654815186</v>
      </c>
      <c r="L90" s="240">
        <f t="shared" si="44"/>
        <v>0.34044597892489764</v>
      </c>
      <c r="M90" s="240">
        <f t="shared" si="44"/>
        <v>0.40264594542763055</v>
      </c>
      <c r="N90" s="240">
        <f t="shared" si="44"/>
        <v>0.47656345222959429</v>
      </c>
      <c r="O90" s="240">
        <f t="shared" si="44"/>
        <v>0.56648575299875814</v>
      </c>
      <c r="P90" s="240">
        <f t="shared" si="44"/>
        <v>0.67918982362879909</v>
      </c>
      <c r="Q90" s="240">
        <f t="shared" si="44"/>
        <v>0.82599931125118131</v>
      </c>
      <c r="R90" s="240">
        <f t="shared" si="44"/>
        <v>1.0271152891206565</v>
      </c>
      <c r="S90" s="240">
        <f t="shared" si="44"/>
        <v>1.321556748254189</v>
      </c>
      <c r="T90" s="240">
        <f t="shared" si="44"/>
        <v>1.7929287979397339</v>
      </c>
      <c r="U90" s="240">
        <f t="shared" si="44"/>
        <v>0</v>
      </c>
      <c r="V90" s="240">
        <f t="shared" si="44"/>
        <v>0</v>
      </c>
      <c r="W90" s="240">
        <f t="shared" si="44"/>
        <v>0</v>
      </c>
      <c r="X90" s="240">
        <f t="shared" si="44"/>
        <v>0</v>
      </c>
      <c r="Y90" s="240">
        <f t="shared" si="44"/>
        <v>0</v>
      </c>
    </row>
    <row r="91" spans="1:25" x14ac:dyDescent="0.2">
      <c r="A91" t="str">
        <f t="shared" si="46"/>
        <v>Neo-K2</v>
      </c>
      <c r="B91" s="240">
        <f t="shared" si="45"/>
        <v>5.7716594496607888E-3</v>
      </c>
      <c r="C91" s="240">
        <f t="shared" si="44"/>
        <v>2.6717159326695314E-2</v>
      </c>
      <c r="D91" s="240">
        <f t="shared" si="44"/>
        <v>4.8861046207077478E-2</v>
      </c>
      <c r="E91" s="240">
        <f t="shared" si="44"/>
        <v>7.2285723331902585E-2</v>
      </c>
      <c r="F91" s="240">
        <f t="shared" si="44"/>
        <v>9.7078634488949503E-2</v>
      </c>
      <c r="G91" s="240">
        <f t="shared" si="44"/>
        <v>0.12333046280282915</v>
      </c>
      <c r="H91" s="240">
        <f t="shared" si="44"/>
        <v>0.15113931170757408</v>
      </c>
      <c r="I91" s="240">
        <f t="shared" si="44"/>
        <v>0.18062194220240715</v>
      </c>
      <c r="J91" s="240">
        <f t="shared" si="44"/>
        <v>0.21193947598337481</v>
      </c>
      <c r="K91" s="240">
        <f t="shared" si="44"/>
        <v>0.24535810430461344</v>
      </c>
      <c r="L91" s="240">
        <f t="shared" si="44"/>
        <v>0.28139263424779037</v>
      </c>
      <c r="M91" s="240">
        <f t="shared" si="44"/>
        <v>0.32112044412942803</v>
      </c>
      <c r="N91" s="240">
        <f t="shared" si="44"/>
        <v>0.36687597378761705</v>
      </c>
      <c r="O91" s="240">
        <f t="shared" si="44"/>
        <v>0.42378536271769812</v>
      </c>
      <c r="P91" s="240">
        <f t="shared" si="44"/>
        <v>0.50332039629236081</v>
      </c>
      <c r="Q91" s="240">
        <f t="shared" si="44"/>
        <v>0.63248588702621811</v>
      </c>
      <c r="R91" s="240">
        <f t="shared" si="44"/>
        <v>0.88131289154790338</v>
      </c>
      <c r="S91" s="240">
        <f t="shared" si="44"/>
        <v>1.4496777135191738</v>
      </c>
      <c r="T91" s="240">
        <f t="shared" si="44"/>
        <v>2.9663129992618691</v>
      </c>
      <c r="U91" s="240">
        <f t="shared" si="44"/>
        <v>8.8921099499081038</v>
      </c>
      <c r="V91" s="240">
        <f t="shared" si="44"/>
        <v>12.346340315430762</v>
      </c>
      <c r="W91" s="240">
        <f t="shared" si="44"/>
        <v>18.629541858234877</v>
      </c>
      <c r="X91" s="240">
        <f t="shared" si="44"/>
        <v>0</v>
      </c>
      <c r="Y91" s="240">
        <f t="shared" si="44"/>
        <v>0</v>
      </c>
    </row>
    <row r="92" spans="1:25" x14ac:dyDescent="0.2">
      <c r="A92" t="str">
        <f t="shared" si="46"/>
        <v>Neo-K1</v>
      </c>
      <c r="B92" s="240">
        <f t="shared" si="45"/>
        <v>5.7716594496607888E-3</v>
      </c>
      <c r="C92" s="240">
        <f t="shared" si="44"/>
        <v>2.9449456070509542E-2</v>
      </c>
      <c r="D92" s="240">
        <f t="shared" si="44"/>
        <v>5.4935784092662587E-2</v>
      </c>
      <c r="E92" s="240">
        <f t="shared" si="44"/>
        <v>8.2465092916601299E-2</v>
      </c>
      <c r="F92" s="240">
        <f t="shared" si="44"/>
        <v>0.11231712316789143</v>
      </c>
      <c r="G92" s="240">
        <f t="shared" si="44"/>
        <v>0.14482785334642248</v>
      </c>
      <c r="H92" s="240">
        <f t="shared" si="44"/>
        <v>0.1804047821562875</v>
      </c>
      <c r="I92" s="240">
        <f t="shared" si="44"/>
        <v>0.21954669965117662</v>
      </c>
      <c r="J92" s="240">
        <f t="shared" si="44"/>
        <v>0.26286906384065184</v>
      </c>
      <c r="K92" s="240">
        <f t="shared" si="44"/>
        <v>0.31113756856379271</v>
      </c>
      <c r="L92" s="240">
        <f t="shared" si="44"/>
        <v>0.36530895329183771</v>
      </c>
      <c r="M92" s="240">
        <f t="shared" si="44"/>
        <v>0.42658246047356113</v>
      </c>
      <c r="N92" s="240">
        <f t="shared" si="44"/>
        <v>0.49645345735571561</v>
      </c>
      <c r="O92" s="240">
        <f t="shared" si="44"/>
        <v>0.57675839207470636</v>
      </c>
      <c r="P92" s="240">
        <f t="shared" si="44"/>
        <v>0.66967874050767817</v>
      </c>
      <c r="Q92" s="240">
        <f t="shared" si="44"/>
        <v>0.77764410905982495</v>
      </c>
      <c r="R92" s="240">
        <f t="shared" si="44"/>
        <v>0.90305368118464702</v>
      </c>
      <c r="S92" s="240">
        <f t="shared" si="44"/>
        <v>1.0477531423040558</v>
      </c>
      <c r="T92" s="240">
        <f t="shared" si="44"/>
        <v>1.2123487879488954</v>
      </c>
      <c r="U92" s="240">
        <f t="shared" si="44"/>
        <v>1.3956566022961636</v>
      </c>
      <c r="V92" s="240">
        <f t="shared" si="44"/>
        <v>1.4343257025873144</v>
      </c>
      <c r="W92" s="240">
        <f t="shared" si="44"/>
        <v>1.4735951013660467</v>
      </c>
      <c r="X92" s="240">
        <f t="shared" si="44"/>
        <v>1.5134311960467499</v>
      </c>
      <c r="Y92" s="240">
        <f t="shared" si="44"/>
        <v>1.5537989159417764</v>
      </c>
    </row>
    <row r="93" spans="1:25" x14ac:dyDescent="0.2">
      <c r="A93" t="str">
        <f t="shared" si="46"/>
        <v>Neoclassical - hetero s</v>
      </c>
    </row>
  </sheetData>
  <conditionalFormatting sqref="B3:Y3 B6:Y10">
    <cfRule type="cellIs" dxfId="6" priority="12" operator="equal">
      <formula>0</formula>
    </cfRule>
  </conditionalFormatting>
  <conditionalFormatting sqref="B49:Y56">
    <cfRule type="containsErrors" dxfId="5" priority="8">
      <formula>ISERROR(B49)</formula>
    </cfRule>
    <cfRule type="containsErrors" priority="10">
      <formula>ISERROR(B49)</formula>
    </cfRule>
  </conditionalFormatting>
  <conditionalFormatting sqref="B63:Y70">
    <cfRule type="containsErrors" dxfId="4" priority="6">
      <formula>ISERROR(B63)</formula>
    </cfRule>
    <cfRule type="containsErrors" priority="7">
      <formula>ISERROR(B63)</formula>
    </cfRule>
  </conditionalFormatting>
  <conditionalFormatting sqref="B11:Y11">
    <cfRule type="cellIs" dxfId="3" priority="5" operator="equal">
      <formula>0</formula>
    </cfRule>
  </conditionalFormatting>
  <conditionalFormatting sqref="B74:Y81">
    <cfRule type="cellIs" dxfId="2" priority="4" operator="equal">
      <formula>0</formula>
    </cfRule>
  </conditionalFormatting>
  <conditionalFormatting sqref="B5:Y5">
    <cfRule type="cellIs" dxfId="1" priority="2" operator="equal">
      <formula>0</formula>
    </cfRule>
  </conditionalFormatting>
  <conditionalFormatting sqref="B4:Y4">
    <cfRule type="cellIs" dxfId="0" priority="1" operator="equal">
      <formula>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59D51-4926-455C-AF36-A0AB2751867F}">
  <sheetPr codeName="Feuil12"/>
  <dimension ref="A1:Y9"/>
  <sheetViews>
    <sheetView topLeftCell="K1" workbookViewId="0">
      <selection activeCell="U7" sqref="U7"/>
    </sheetView>
  </sheetViews>
  <sheetFormatPr baseColWidth="10" defaultRowHeight="10" x14ac:dyDescent="0.2"/>
  <sheetData>
    <row r="1" spans="1:25" x14ac:dyDescent="0.2">
      <c r="A1" t="s">
        <v>198</v>
      </c>
      <c r="B1" s="94">
        <v>0</v>
      </c>
      <c r="C1" s="94">
        <v>0.05</v>
      </c>
      <c r="D1" s="94">
        <v>0.1</v>
      </c>
      <c r="E1" s="94">
        <v>0.15000000000000002</v>
      </c>
      <c r="F1" s="94">
        <v>0.2</v>
      </c>
      <c r="G1" s="94">
        <v>0.25</v>
      </c>
      <c r="H1" s="94">
        <v>0.3</v>
      </c>
      <c r="I1" s="94">
        <v>0.35</v>
      </c>
      <c r="J1" s="94">
        <v>0.39999999999999997</v>
      </c>
      <c r="K1" s="94">
        <v>0.44999999999999996</v>
      </c>
      <c r="L1" s="94">
        <v>0.49999999999999994</v>
      </c>
      <c r="M1" s="94">
        <v>0.54999999999999993</v>
      </c>
      <c r="N1" s="94">
        <v>0.6</v>
      </c>
      <c r="O1" s="94">
        <v>0.65</v>
      </c>
      <c r="P1" s="94">
        <v>0.70000000000000007</v>
      </c>
      <c r="Q1" s="94">
        <v>0.75000000000000011</v>
      </c>
      <c r="R1" s="94">
        <v>0.80000000000000016</v>
      </c>
      <c r="S1" s="94">
        <v>0.8500000000000002</v>
      </c>
      <c r="T1" s="94">
        <v>0.90000000000000024</v>
      </c>
      <c r="U1" s="94">
        <v>0.95000000000000029</v>
      </c>
      <c r="V1" s="94">
        <v>0.9600000000000003</v>
      </c>
      <c r="W1" s="94">
        <v>0.97000000000000031</v>
      </c>
      <c r="X1" s="94">
        <v>0.98000000000000032</v>
      </c>
      <c r="Y1" s="94">
        <v>0.99000000000000032</v>
      </c>
    </row>
    <row r="2" spans="1:25" x14ac:dyDescent="0.2">
      <c r="A2" t="s">
        <v>89</v>
      </c>
      <c r="B2">
        <f>'Diagnosis Indicators'!B34</f>
        <v>5.7716594496607888E-3</v>
      </c>
      <c r="C2">
        <f>'Diagnosis Indicators'!C34</f>
        <v>3.4030524797715483E-2</v>
      </c>
      <c r="D2">
        <f>'Diagnosis Indicators'!D34</f>
        <v>6.4933074408364128E-2</v>
      </c>
      <c r="E2">
        <f>'Diagnosis Indicators'!E34</f>
        <v>9.8925938511027448E-2</v>
      </c>
      <c r="F2">
        <f>'Diagnosis Indicators'!F34</f>
        <v>0.13657451562229669</v>
      </c>
      <c r="G2">
        <f>'Diagnosis Indicators'!G34</f>
        <v>0.17860792438195902</v>
      </c>
      <c r="H2">
        <f>'Diagnosis Indicators'!H34</f>
        <v>0.22598764537484115</v>
      </c>
      <c r="I2">
        <f>'Diagnosis Indicators'!I34</f>
        <v>0.28001332167100962</v>
      </c>
      <c r="J2">
        <f>'Diagnosis Indicators'!J34</f>
        <v>0.34249446459967231</v>
      </c>
      <c r="K2">
        <f>'Diagnosis Indicators'!K34</f>
        <v>0.41603413138754441</v>
      </c>
      <c r="L2">
        <f>'Diagnosis Indicators'!L34</f>
        <v>0.50452674715596646</v>
      </c>
      <c r="M2">
        <f>'Diagnosis Indicators'!M34</f>
        <v>0.61406564861376656</v>
      </c>
      <c r="N2">
        <f>'Diagnosis Indicators'!N34</f>
        <v>0.75468182799998229</v>
      </c>
      <c r="O2">
        <f>'Diagnosis Indicators'!O34</f>
        <v>0.94385522373949637</v>
      </c>
      <c r="P2">
        <f>'Diagnosis Indicators'!P34</f>
        <v>1.2139057313021129</v>
      </c>
      <c r="Q2">
        <f>'Diagnosis Indicators'!Q34</f>
        <v>1.6281039254603655</v>
      </c>
      <c r="R2">
        <f>'Diagnosis Indicators'!R34</f>
        <v>2.3181578903446112</v>
      </c>
      <c r="S2">
        <f>'Diagnosis Indicators'!S34</f>
        <v>3.5930140459180113</v>
      </c>
      <c r="T2">
        <f>'Diagnosis Indicators'!T34</f>
        <v>6.4101686988580662</v>
      </c>
      <c r="U2">
        <f>'Diagnosis Indicators'!U34</f>
        <v>16.082127990694914</v>
      </c>
      <c r="V2">
        <f>'Diagnosis Indicators'!V34</f>
        <v>21.403571526760828</v>
      </c>
      <c r="W2">
        <f>'Diagnosis Indicators'!W34</f>
        <v>30.809683419613776</v>
      </c>
    </row>
    <row r="3" spans="1:25" x14ac:dyDescent="0.2">
      <c r="A3" t="s">
        <v>163</v>
      </c>
      <c r="B3">
        <f>'Diagnosis Indicators'!B35</f>
        <v>5.7716594496607888E-3</v>
      </c>
      <c r="C3">
        <f>'Diagnosis Indicators'!C35</f>
        <v>3.5614000680927273E-2</v>
      </c>
      <c r="D3">
        <f>'Diagnosis Indicators'!D35</f>
        <v>6.8201219848250255E-2</v>
      </c>
      <c r="E3">
        <f>'Diagnosis Indicators'!E35</f>
        <v>0.10399609077879797</v>
      </c>
      <c r="F3">
        <f>'Diagnosis Indicators'!F35</f>
        <v>0.14358448722503217</v>
      </c>
      <c r="G3">
        <f>'Diagnosis Indicators'!G35</f>
        <v>0.18772219125556466</v>
      </c>
      <c r="H3">
        <f>'Diagnosis Indicators'!H35</f>
        <v>0.23740658789366578</v>
      </c>
      <c r="I3">
        <f>'Diagnosis Indicators'!I35</f>
        <v>0.29398783892428537</v>
      </c>
      <c r="J3">
        <f>'Diagnosis Indicators'!J35</f>
        <v>0.35934833067002675</v>
      </c>
      <c r="K3">
        <f>'Diagnosis Indicators'!K35</f>
        <v>0.43620542488526409</v>
      </c>
      <c r="L3">
        <f>'Diagnosis Indicators'!L35</f>
        <v>0.52863656482237864</v>
      </c>
      <c r="M3">
        <f>'Diagnosis Indicators'!M35</f>
        <v>0.64305115149451308</v>
      </c>
      <c r="N3">
        <f>'Diagnosis Indicators'!N35</f>
        <v>0.79005931686503161</v>
      </c>
      <c r="O3">
        <f>'Diagnosis Indicators'!O35</f>
        <v>0.98827838871685847</v>
      </c>
      <c r="P3">
        <f>'Diagnosis Indicators'!P35</f>
        <v>1.2724188093620861</v>
      </c>
      <c r="Q3">
        <f>'Diagnosis Indicators'!Q35</f>
        <v>1.7110695799208442</v>
      </c>
      <c r="R3">
        <f>'Diagnosis Indicators'!R35</f>
        <v>2.4483425594243164</v>
      </c>
      <c r="S3">
        <f>'Diagnosis Indicators'!S35</f>
        <v>3.8255650605302067</v>
      </c>
      <c r="T3">
        <f>'Diagnosis Indicators'!T35</f>
        <v>6.9164752100307734</v>
      </c>
      <c r="U3">
        <f>'Diagnosis Indicators'!U35</f>
        <v>17.84920924279011</v>
      </c>
      <c r="V3">
        <f>'Diagnosis Indicators'!V35</f>
        <v>24.012360031555041</v>
      </c>
      <c r="W3">
        <f>'Diagnosis Indicators'!W35</f>
        <v>35.091462429304485</v>
      </c>
    </row>
    <row r="4" spans="1:25" x14ac:dyDescent="0.2">
      <c r="A4" t="s">
        <v>90</v>
      </c>
      <c r="B4">
        <f>'Diagnosis Indicators'!B36</f>
        <v>5.7716594496607888E-3</v>
      </c>
      <c r="C4">
        <f>'Diagnosis Indicators'!C36</f>
        <v>3.4654696648731206E-2</v>
      </c>
      <c r="D4">
        <f>'Diagnosis Indicators'!D36</f>
        <v>6.6251622726582401E-2</v>
      </c>
      <c r="E4">
        <f>'Diagnosis Indicators'!E36</f>
        <v>0.10102354423165226</v>
      </c>
      <c r="F4">
        <f>'Diagnosis Indicators'!F36</f>
        <v>0.1395553001544734</v>
      </c>
      <c r="G4">
        <f>'Diagnosis Indicators'!G36</f>
        <v>0.18260290693931522</v>
      </c>
      <c r="H4">
        <f>'Diagnosis Indicators'!H36</f>
        <v>0.23116606602031667</v>
      </c>
      <c r="I4">
        <f>'Diagnosis Indicators'!I36</f>
        <v>0.28660065178561139</v>
      </c>
      <c r="J4">
        <f>'Diagnosis Indicators'!J36</f>
        <v>0.35080195535122949</v>
      </c>
      <c r="K4">
        <f>'Diagnosis Indicators'!K36</f>
        <v>0.4265092389857259</v>
      </c>
      <c r="L4">
        <f>'Diagnosis Indicators'!L36</f>
        <v>0.51784297389900669</v>
      </c>
      <c r="M4">
        <f>'Diagnosis Indicators'!M36</f>
        <v>0.63129050926655439</v>
      </c>
      <c r="N4">
        <f>'Diagnosis Indicators'!N36</f>
        <v>0.77760685736776392</v>
      </c>
      <c r="O4">
        <f>'Diagnosis Indicators'!O36</f>
        <v>0.97567126877863508</v>
      </c>
      <c r="P4">
        <f>'Diagnosis Indicators'!P36</f>
        <v>1.2606206682056842</v>
      </c>
      <c r="Q4">
        <f>'Diagnosis Indicators'!Q36</f>
        <v>1.7015161737605411</v>
      </c>
      <c r="R4">
        <f>'Diagnosis Indicators'!R36</f>
        <v>2.442356610214361</v>
      </c>
      <c r="S4">
        <f>'Diagnosis Indicators'!S36</f>
        <v>3.8230956946858967</v>
      </c>
      <c r="T4">
        <f>'Diagnosis Indicators'!T36</f>
        <v>6.915971227941542</v>
      </c>
      <c r="U4">
        <f>'Diagnosis Indicators'!U36</f>
        <v>17.849179483407472</v>
      </c>
      <c r="V4">
        <f>'Diagnosis Indicators'!V36</f>
        <v>24.012354079528027</v>
      </c>
      <c r="W4">
        <f>'Diagnosis Indicators'!W36</f>
        <v>35.091461200133594</v>
      </c>
    </row>
    <row r="5" spans="1:25" x14ac:dyDescent="0.2">
      <c r="A5" t="s">
        <v>146</v>
      </c>
      <c r="B5">
        <f>'Diagnosis Indicators'!B37</f>
        <v>5.7716594496607888E-3</v>
      </c>
      <c r="C5">
        <f>'Diagnosis Indicators'!C37</f>
        <v>3.6688117254143629E-2</v>
      </c>
      <c r="D5">
        <f>'Diagnosis Indicators'!D37</f>
        <v>7.0337135534169634E-2</v>
      </c>
      <c r="E5">
        <f>'Diagnosis Indicators'!E37</f>
        <v>0.10717103217271408</v>
      </c>
      <c r="F5">
        <f>'Diagnosis Indicators'!F37</f>
        <v>0.14776058924116112</v>
      </c>
      <c r="G5">
        <f>'Diagnosis Indicators'!G37</f>
        <v>0.19283986301408057</v>
      </c>
      <c r="H5">
        <f>'Diagnosis Indicators'!H37</f>
        <v>0.24337273893978342</v>
      </c>
      <c r="I5">
        <f>'Diagnosis Indicators'!I37</f>
        <v>0.30065604818022534</v>
      </c>
      <c r="J5">
        <f>'Diagnosis Indicators'!J37</f>
        <v>0.36648275557074317</v>
      </c>
      <c r="K5">
        <f>'Diagnosis Indicators'!K37</f>
        <v>0.44341246889298691</v>
      </c>
      <c r="L5">
        <f>'Diagnosis Indicators'!L37</f>
        <v>0.53523002100368045</v>
      </c>
      <c r="M5">
        <f>'Diagnosis Indicators'!M37</f>
        <v>0.64777114004613023</v>
      </c>
      <c r="N5">
        <f>'Diagnosis Indicators'!N37</f>
        <v>0.79045491046443095</v>
      </c>
      <c r="O5">
        <f>'Diagnosis Indicators'!O37</f>
        <v>0.97927399455577102</v>
      </c>
      <c r="P5">
        <f>'Diagnosis Indicators'!P37</f>
        <v>1.2428084340909513</v>
      </c>
      <c r="Q5">
        <f>'Diagnosis Indicators'!Q37</f>
        <v>1.6345841703619899</v>
      </c>
      <c r="R5">
        <f>'Diagnosis Indicators'!R37</f>
        <v>2.2594651863245532</v>
      </c>
      <c r="S5">
        <f>'Diagnosis Indicators'!S37</f>
        <v>3.3407865197436557</v>
      </c>
      <c r="T5">
        <f>'Diagnosis Indicators'!T37</f>
        <v>5.46461294105048</v>
      </c>
      <c r="U5">
        <f>'Diagnosis Indicators'!U37</f>
        <v>10.988418345153489</v>
      </c>
      <c r="V5">
        <f>'Diagnosis Indicators'!V37</f>
        <v>13.318015821476813</v>
      </c>
      <c r="W5">
        <f>'Diagnosis Indicators'!W37</f>
        <v>16.711121688864701</v>
      </c>
    </row>
    <row r="6" spans="1:25" x14ac:dyDescent="0.2">
      <c r="A6" t="s">
        <v>144</v>
      </c>
      <c r="B6">
        <f>'Diagnosis Indicators'!B38</f>
        <v>5.7716594496607888E-3</v>
      </c>
      <c r="C6">
        <f>'Diagnosis Indicators'!C38</f>
        <v>4.3480678335240344E-2</v>
      </c>
      <c r="D6">
        <f>'Diagnosis Indicators'!D38</f>
        <v>8.4987437176305705E-2</v>
      </c>
      <c r="E6">
        <f>'Diagnosis Indicators'!E38</f>
        <v>0.1312062286167397</v>
      </c>
      <c r="F6">
        <f>'Diagnosis Indicators'!F38</f>
        <v>0.18340930115334367</v>
      </c>
      <c r="G6">
        <f>'Diagnosis Indicators'!G38</f>
        <v>0.24340901980098084</v>
      </c>
      <c r="H6">
        <f>'Diagnosis Indicators'!H38</f>
        <v>0.31386349277823172</v>
      </c>
      <c r="I6">
        <f>'Diagnosis Indicators'!I38</f>
        <v>0.39881063527405602</v>
      </c>
      <c r="J6">
        <f>'Diagnosis Indicators'!J38</f>
        <v>0.50462603152917485</v>
      </c>
      <c r="K6">
        <f>'Diagnosis Indicators'!K38</f>
        <v>0.64177941538932759</v>
      </c>
      <c r="L6">
        <f>'Diagnosis Indicators'!L38</f>
        <v>0.82797831036232727</v>
      </c>
      <c r="M6">
        <f>'Diagnosis Indicators'!M38</f>
        <v>1.0931267114593068</v>
      </c>
      <c r="N6">
        <f>'Diagnosis Indicators'!N38</f>
        <v>1.4849324032817575</v>
      </c>
      <c r="O6">
        <f>'Diagnosis Indicators'!O38</f>
        <v>2.0734597271375517</v>
      </c>
      <c r="P6">
        <f>'Diagnosis Indicators'!P38</f>
        <v>2.9663312270957074</v>
      </c>
      <c r="Q6">
        <f>'Diagnosis Indicators'!Q38</f>
        <v>4.3688951160745741</v>
      </c>
      <c r="R6">
        <f>'Diagnosis Indicators'!R38</f>
        <v>6.756682621855842</v>
      </c>
      <c r="S6">
        <f>'Diagnosis Indicators'!S38</f>
        <v>11.455659507022718</v>
      </c>
      <c r="T6">
        <f>'Diagnosis Indicators'!T38</f>
        <v>23.519621588610939</v>
      </c>
      <c r="U6">
        <f>'Diagnosis Indicators'!U38</f>
        <v>81.006702684072707</v>
      </c>
    </row>
    <row r="7" spans="1:25" x14ac:dyDescent="0.2">
      <c r="A7" t="s">
        <v>162</v>
      </c>
      <c r="B7">
        <f>'Diagnosis Indicators'!B39</f>
        <v>5.7716594496607888E-3</v>
      </c>
      <c r="C7">
        <f>'Diagnosis Indicators'!C39</f>
        <v>2.6760594493633126E-2</v>
      </c>
      <c r="D7">
        <f>'Diagnosis Indicators'!D39</f>
        <v>4.9470485260083644E-2</v>
      </c>
      <c r="E7">
        <f>'Diagnosis Indicators'!E39</f>
        <v>7.4148968811687588E-2</v>
      </c>
      <c r="F7">
        <f>'Diagnosis Indicators'!F39</f>
        <v>0.1010979581232742</v>
      </c>
      <c r="G7">
        <f>'Diagnosis Indicators'!G39</f>
        <v>0.13069093663387291</v>
      </c>
      <c r="H7">
        <f>'Diagnosis Indicators'!H39</f>
        <v>0.16339611906898632</v>
      </c>
      <c r="I7">
        <f>'Diagnosis Indicators'!I39</f>
        <v>0.19981032864898138</v>
      </c>
      <c r="J7">
        <f>'Diagnosis Indicators'!J39</f>
        <v>0.24070886360538107</v>
      </c>
      <c r="K7">
        <f>'Diagnosis Indicators'!K39</f>
        <v>0.2871206654815186</v>
      </c>
      <c r="L7">
        <f>'Diagnosis Indicators'!L39</f>
        <v>0.34044597892489764</v>
      </c>
      <c r="M7">
        <f>'Diagnosis Indicators'!M39</f>
        <v>0.40264594542763055</v>
      </c>
      <c r="N7">
        <f>'Diagnosis Indicators'!N39</f>
        <v>0.47656345222959429</v>
      </c>
      <c r="O7">
        <f>'Diagnosis Indicators'!O39</f>
        <v>0.56648575299875814</v>
      </c>
      <c r="P7">
        <f>'Diagnosis Indicators'!P39</f>
        <v>0.67918982362879909</v>
      </c>
      <c r="Q7">
        <f>'Diagnosis Indicators'!Q39</f>
        <v>0.82599931125118131</v>
      </c>
      <c r="R7">
        <f>'Diagnosis Indicators'!R39</f>
        <v>1.0271152891206565</v>
      </c>
      <c r="S7">
        <f>'Diagnosis Indicators'!S39</f>
        <v>1.321556748254189</v>
      </c>
      <c r="T7">
        <f>'Diagnosis Indicators'!T39</f>
        <v>1.7929287979397339</v>
      </c>
    </row>
    <row r="8" spans="1:25" x14ac:dyDescent="0.2">
      <c r="A8" t="s">
        <v>157</v>
      </c>
      <c r="B8">
        <f>'Diagnosis Indicators'!B40</f>
        <v>5.7716594496607888E-3</v>
      </c>
      <c r="C8">
        <f>'Diagnosis Indicators'!C40</f>
        <v>2.6717159326695314E-2</v>
      </c>
      <c r="D8">
        <f>'Diagnosis Indicators'!D40</f>
        <v>4.8861046207077478E-2</v>
      </c>
      <c r="E8">
        <f>'Diagnosis Indicators'!E40</f>
        <v>7.2285723331902585E-2</v>
      </c>
      <c r="F8">
        <f>'Diagnosis Indicators'!F40</f>
        <v>9.7078634488949503E-2</v>
      </c>
      <c r="G8">
        <f>'Diagnosis Indicators'!G40</f>
        <v>0.12333046280282915</v>
      </c>
      <c r="H8">
        <f>'Diagnosis Indicators'!H40</f>
        <v>0.15113931170757408</v>
      </c>
      <c r="I8">
        <f>'Diagnosis Indicators'!I40</f>
        <v>0.18062194220240715</v>
      </c>
      <c r="J8">
        <f>'Diagnosis Indicators'!J40</f>
        <v>0.21193947598337481</v>
      </c>
      <c r="K8">
        <f>'Diagnosis Indicators'!K40</f>
        <v>0.24535810430461344</v>
      </c>
      <c r="L8">
        <f>'Diagnosis Indicators'!L40</f>
        <v>0.28139263424779037</v>
      </c>
      <c r="M8">
        <f>'Diagnosis Indicators'!M40</f>
        <v>0.32112044412942803</v>
      </c>
      <c r="N8">
        <f>'Diagnosis Indicators'!N40</f>
        <v>0.36687597378761705</v>
      </c>
      <c r="O8">
        <f>'Diagnosis Indicators'!O40</f>
        <v>0.42378536271769812</v>
      </c>
      <c r="P8">
        <f>'Diagnosis Indicators'!P40</f>
        <v>0.50332039629236081</v>
      </c>
      <c r="Q8">
        <f>'Diagnosis Indicators'!Q40</f>
        <v>0.63248588702621811</v>
      </c>
      <c r="R8">
        <f>'Diagnosis Indicators'!R40</f>
        <v>0.88131289154790338</v>
      </c>
      <c r="S8">
        <f>'Diagnosis Indicators'!S40</f>
        <v>1.4496777135191738</v>
      </c>
      <c r="T8">
        <f>'Diagnosis Indicators'!T40</f>
        <v>2.9663129992618691</v>
      </c>
      <c r="U8">
        <f>'Diagnosis Indicators'!U40</f>
        <v>8.8921099499081038</v>
      </c>
      <c r="V8">
        <f>'Diagnosis Indicators'!V40</f>
        <v>12.346340315430762</v>
      </c>
      <c r="W8">
        <f>'Diagnosis Indicators'!W40</f>
        <v>18.629541858234877</v>
      </c>
    </row>
    <row r="9" spans="1:25" x14ac:dyDescent="0.2">
      <c r="A9" t="s">
        <v>158</v>
      </c>
      <c r="B9">
        <f>'Diagnosis Indicators'!B41</f>
        <v>5.7716594496607888E-3</v>
      </c>
      <c r="C9">
        <f>'Diagnosis Indicators'!C41</f>
        <v>2.9449456070509542E-2</v>
      </c>
      <c r="D9">
        <f>'Diagnosis Indicators'!D41</f>
        <v>5.4935784092662587E-2</v>
      </c>
      <c r="E9">
        <f>'Diagnosis Indicators'!E41</f>
        <v>8.2465092916601299E-2</v>
      </c>
      <c r="F9">
        <f>'Diagnosis Indicators'!F41</f>
        <v>0.11231712316789143</v>
      </c>
      <c r="G9">
        <f>'Diagnosis Indicators'!G41</f>
        <v>0.14482785334642248</v>
      </c>
      <c r="H9">
        <f>'Diagnosis Indicators'!H41</f>
        <v>0.1804047821562875</v>
      </c>
      <c r="I9">
        <f>'Diagnosis Indicators'!I41</f>
        <v>0.21954669965117662</v>
      </c>
      <c r="J9">
        <f>'Diagnosis Indicators'!J41</f>
        <v>0.26286906384065184</v>
      </c>
      <c r="K9">
        <f>'Diagnosis Indicators'!K41</f>
        <v>0.31113756856379271</v>
      </c>
      <c r="L9">
        <f>'Diagnosis Indicators'!L41</f>
        <v>0.36530895329183771</v>
      </c>
      <c r="M9">
        <f>'Diagnosis Indicators'!M41</f>
        <v>0.42658246047356113</v>
      </c>
      <c r="N9">
        <f>'Diagnosis Indicators'!N41</f>
        <v>0.49645345735571561</v>
      </c>
      <c r="O9">
        <f>'Diagnosis Indicators'!O41</f>
        <v>0.57675839207470636</v>
      </c>
      <c r="P9">
        <f>'Diagnosis Indicators'!P41</f>
        <v>0.66967874050767817</v>
      </c>
      <c r="Q9">
        <f>'Diagnosis Indicators'!Q41</f>
        <v>0.77764410905982495</v>
      </c>
      <c r="R9">
        <f>'Diagnosis Indicators'!R41</f>
        <v>0.90305368118464702</v>
      </c>
      <c r="S9">
        <f>'Diagnosis Indicators'!S41</f>
        <v>1.0477531423040558</v>
      </c>
      <c r="T9">
        <f>'Diagnosis Indicators'!T41</f>
        <v>1.2123487879488954</v>
      </c>
      <c r="U9">
        <f>'Diagnosis Indicators'!U41</f>
        <v>1.3956566022961636</v>
      </c>
      <c r="V9">
        <f>'Diagnosis Indicators'!V41</f>
        <v>1.4343257025873144</v>
      </c>
      <c r="W9">
        <f>'Diagnosis Indicators'!W41</f>
        <v>1.4735951013660467</v>
      </c>
      <c r="X9">
        <f>'Diagnosis Indicators'!X41</f>
        <v>1.5134311960467499</v>
      </c>
      <c r="Y9">
        <f>'Diagnosis Indicators'!Y41</f>
        <v>1.5537989159417764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A081E2-46B9-4B44-BBD9-0A061316043E}">
  <sheetPr codeName="Feuil17"/>
  <dimension ref="A1:Y9"/>
  <sheetViews>
    <sheetView topLeftCell="J1" workbookViewId="0">
      <selection activeCell="X9" sqref="X9:Y9"/>
    </sheetView>
  </sheetViews>
  <sheetFormatPr baseColWidth="10" defaultRowHeight="10" x14ac:dyDescent="0.2"/>
  <sheetData>
    <row r="1" spans="1:25" x14ac:dyDescent="0.2">
      <c r="A1" t="s">
        <v>198</v>
      </c>
      <c r="B1">
        <f>'Diagnosis Indicators'!B62</f>
        <v>0</v>
      </c>
      <c r="C1">
        <f>'Diagnosis Indicators'!C62</f>
        <v>0.05</v>
      </c>
      <c r="D1">
        <f>'Diagnosis Indicators'!D62</f>
        <v>0.1</v>
      </c>
      <c r="E1">
        <f>'Diagnosis Indicators'!E62</f>
        <v>0.15000000000000002</v>
      </c>
      <c r="F1">
        <f>'Diagnosis Indicators'!F62</f>
        <v>0.2</v>
      </c>
      <c r="G1">
        <f>'Diagnosis Indicators'!G62</f>
        <v>0.25</v>
      </c>
      <c r="H1">
        <f>'Diagnosis Indicators'!H62</f>
        <v>0.3</v>
      </c>
      <c r="I1">
        <f>'Diagnosis Indicators'!I62</f>
        <v>0.35</v>
      </c>
      <c r="J1">
        <f>'Diagnosis Indicators'!J62</f>
        <v>0.39999999999999997</v>
      </c>
      <c r="K1">
        <f>'Diagnosis Indicators'!K62</f>
        <v>0.44999999999999996</v>
      </c>
      <c r="L1">
        <f>'Diagnosis Indicators'!L62</f>
        <v>0.49999999999999994</v>
      </c>
      <c r="M1">
        <f>'Diagnosis Indicators'!M62</f>
        <v>0.54999999999999993</v>
      </c>
      <c r="N1">
        <f>'Diagnosis Indicators'!N62</f>
        <v>0.6</v>
      </c>
      <c r="O1">
        <f>'Diagnosis Indicators'!O62</f>
        <v>0.65</v>
      </c>
      <c r="P1">
        <f>'Diagnosis Indicators'!P62</f>
        <v>0.70000000000000007</v>
      </c>
      <c r="Q1">
        <f>'Diagnosis Indicators'!Q62</f>
        <v>0.75000000000000011</v>
      </c>
      <c r="R1">
        <f>'Diagnosis Indicators'!R62</f>
        <v>0.80000000000000016</v>
      </c>
      <c r="S1">
        <f>'Diagnosis Indicators'!S62</f>
        <v>0.8500000000000002</v>
      </c>
      <c r="T1">
        <f>'Diagnosis Indicators'!T62</f>
        <v>0.90000000000000024</v>
      </c>
      <c r="U1">
        <f>'Diagnosis Indicators'!U62</f>
        <v>0.95000000000000029</v>
      </c>
      <c r="V1">
        <f>'Diagnosis Indicators'!V62</f>
        <v>0.9600000000000003</v>
      </c>
      <c r="W1">
        <f>'Diagnosis Indicators'!W62</f>
        <v>0.97000000000000031</v>
      </c>
      <c r="X1">
        <f>'Diagnosis Indicators'!X62</f>
        <v>0.98000000000000032</v>
      </c>
      <c r="Y1">
        <f>'Diagnosis Indicators'!Y62</f>
        <v>0.99000000000000032</v>
      </c>
    </row>
    <row r="2" spans="1:25" x14ac:dyDescent="0.2">
      <c r="A2" t="str">
        <f>'Diagnosis Indicators'!A63</f>
        <v>Neoclassical</v>
      </c>
      <c r="B2">
        <f>'Diagnosis Indicators'!B49</f>
        <v>0.56058995943838341</v>
      </c>
      <c r="C2">
        <f>'Diagnosis Indicators'!C49</f>
        <v>0.56645432440609833</v>
      </c>
      <c r="D2">
        <f>'Diagnosis Indicators'!D49</f>
        <v>0.56570451106854514</v>
      </c>
      <c r="E2">
        <f>'Diagnosis Indicators'!E49</f>
        <v>0.56495078539877408</v>
      </c>
      <c r="F2">
        <f>'Diagnosis Indicators'!F49</f>
        <v>0.56419298352168523</v>
      </c>
      <c r="G2">
        <f>'Diagnosis Indicators'!G49</f>
        <v>0.56343110042508926</v>
      </c>
      <c r="H2">
        <f>'Diagnosis Indicators'!H49</f>
        <v>0.56266553724039625</v>
      </c>
      <c r="I2">
        <f>'Diagnosis Indicators'!I49</f>
        <v>0.56189727872183637</v>
      </c>
      <c r="J2">
        <f>'Diagnosis Indicators'!J49</f>
        <v>0.56112825710107672</v>
      </c>
      <c r="K2">
        <f>'Diagnosis Indicators'!K49</f>
        <v>0.56036197159503831</v>
      </c>
      <c r="L2">
        <f>'Diagnosis Indicators'!L49</f>
        <v>0.55960437740021829</v>
      </c>
      <c r="M2">
        <f>'Diagnosis Indicators'!M49</f>
        <v>0.55886531921145088</v>
      </c>
      <c r="N2">
        <f>'Diagnosis Indicators'!N49</f>
        <v>0.5581607085401552</v>
      </c>
      <c r="O2">
        <f>'Diagnosis Indicators'!O49</f>
        <v>0.55751533508812168</v>
      </c>
      <c r="P2">
        <f>'Diagnosis Indicators'!P49</f>
        <v>0.55696492758416161</v>
      </c>
      <c r="Q2">
        <f>'Diagnosis Indicators'!Q49</f>
        <v>0.55655178275850403</v>
      </c>
      <c r="R2">
        <f>'Diagnosis Indicators'!R49</f>
        <v>0.55630323776791679</v>
      </c>
      <c r="S2">
        <f>'Diagnosis Indicators'!S49</f>
        <v>0.5561985771309893</v>
      </c>
      <c r="T2">
        <f>'Diagnosis Indicators'!T49</f>
        <v>0.55617317734295613</v>
      </c>
      <c r="U2">
        <f>'Diagnosis Indicators'!U49</f>
        <v>0.55617080664028173</v>
      </c>
      <c r="V2">
        <f>'Diagnosis Indicators'!V49</f>
        <v>0.55617078875702508</v>
      </c>
      <c r="W2">
        <f>'Diagnosis Indicators'!W49</f>
        <v>0.55617078484340943</v>
      </c>
    </row>
    <row r="3" spans="1:25" x14ac:dyDescent="0.2">
      <c r="A3" t="str">
        <f>'Diagnosis Indicators'!A64</f>
        <v>Kaldorian</v>
      </c>
      <c r="B3">
        <f>'Diagnosis Indicators'!B50</f>
        <v>0.56058995943838341</v>
      </c>
      <c r="C3">
        <f>'Diagnosis Indicators'!C50</f>
        <v>0.563920278338504</v>
      </c>
      <c r="D3">
        <f>'Diagnosis Indicators'!D50</f>
        <v>0.56060124616029061</v>
      </c>
      <c r="E3">
        <f>'Diagnosis Indicators'!E50</f>
        <v>0.55723839982625745</v>
      </c>
      <c r="F3">
        <f>'Diagnosis Indicators'!F50</f>
        <v>0.55382528771114603</v>
      </c>
      <c r="G3">
        <f>'Diagnosis Indicators'!G50</f>
        <v>0.55035316383621669</v>
      </c>
      <c r="H3">
        <f>'Diagnosis Indicators'!H50</f>
        <v>0.54680996099392931</v>
      </c>
      <c r="I3">
        <f>'Diagnosis Indicators'!I50</f>
        <v>0.54317830424181146</v>
      </c>
      <c r="J3">
        <f>'Diagnosis Indicators'!J50</f>
        <v>0.53943243541109342</v>
      </c>
      <c r="K3">
        <f>'Diagnosis Indicators'!K50</f>
        <v>0.53553300363314404</v>
      </c>
      <c r="L3">
        <f>'Diagnosis Indicators'!L50</f>
        <v>0.53141808892632192</v>
      </c>
      <c r="M3">
        <f>'Diagnosis Indicators'!M50</f>
        <v>0.52698774225161593</v>
      </c>
      <c r="N3">
        <f>'Diagnosis Indicators'!N50</f>
        <v>0.52207686480848192</v>
      </c>
      <c r="O3">
        <f>'Diagnosis Indicators'!O50</f>
        <v>0.51640910952109631</v>
      </c>
      <c r="P3">
        <f>'Diagnosis Indicators'!P50</f>
        <v>0.50952620200617194</v>
      </c>
      <c r="Q3">
        <f>'Diagnosis Indicators'!Q50</f>
        <v>0.50071103548808471</v>
      </c>
      <c r="R3">
        <f>'Diagnosis Indicators'!R50</f>
        <v>0.48897160646003257</v>
      </c>
      <c r="S3">
        <f>'Diagnosis Indicators'!S50</f>
        <v>0.47299495720941837</v>
      </c>
      <c r="T3">
        <f>'Diagnosis Indicators'!T50</f>
        <v>0.44997897941927789</v>
      </c>
      <c r="U3">
        <f>'Diagnosis Indicators'!U50</f>
        <v>0.40775456865357679</v>
      </c>
      <c r="V3">
        <f>'Diagnosis Indicators'!V50</f>
        <v>0.39253298455828051</v>
      </c>
      <c r="W3">
        <f>'Diagnosis Indicators'!W50</f>
        <v>0.37118412708245646</v>
      </c>
    </row>
    <row r="4" spans="1:25" x14ac:dyDescent="0.2">
      <c r="A4" t="str">
        <f>'Diagnosis Indicators'!A65</f>
        <v>Johansen</v>
      </c>
      <c r="B4">
        <f>'Diagnosis Indicators'!B51</f>
        <v>0.56058995943838341</v>
      </c>
      <c r="C4">
        <f>'Diagnosis Indicators'!C51</f>
        <v>0.56645020147348635</v>
      </c>
      <c r="D4">
        <f>'Diagnosis Indicators'!D51</f>
        <v>0.56569598446838576</v>
      </c>
      <c r="E4">
        <f>'Diagnosis Indicators'!E51</f>
        <v>0.56493754548518504</v>
      </c>
      <c r="F4">
        <f>'Diagnosis Indicators'!F51</f>
        <v>0.56417470513937773</v>
      </c>
      <c r="G4">
        <f>'Diagnosis Indicators'!G51</f>
        <v>0.56340745643489554</v>
      </c>
      <c r="H4">
        <f>'Diagnosis Indicators'!H51</f>
        <v>0.56263622712325956</v>
      </c>
      <c r="I4">
        <f>'Diagnosis Indicators'!I51</f>
        <v>0.56186207338628824</v>
      </c>
      <c r="J4">
        <f>'Diagnosis Indicators'!J51</f>
        <v>0.56108706734517355</v>
      </c>
      <c r="K4">
        <f>'Diagnosis Indicators'!K51</f>
        <v>0.56031496045621265</v>
      </c>
      <c r="L4">
        <f>'Diagnosis Indicators'!L51</f>
        <v>0.55955213168634987</v>
      </c>
      <c r="M4">
        <f>'Diagnosis Indicators'!M51</f>
        <v>0.55880912141175942</v>
      </c>
      <c r="N4">
        <f>'Diagnosis Indicators'!N51</f>
        <v>0.55810292037924536</v>
      </c>
      <c r="O4">
        <f>'Diagnosis Indicators'!O51</f>
        <v>0.55745988017015002</v>
      </c>
      <c r="P4">
        <f>'Diagnosis Indicators'!P51</f>
        <v>0.55691748463776602</v>
      </c>
      <c r="Q4">
        <f>'Diagnosis Indicators'!Q51</f>
        <v>0.5565184806259541</v>
      </c>
      <c r="R4">
        <f>'Diagnosis Indicators'!R51</f>
        <v>0.55628647325531533</v>
      </c>
      <c r="S4">
        <f>'Diagnosis Indicators'!S51</f>
        <v>0.5561935964602378</v>
      </c>
      <c r="T4">
        <f>'Diagnosis Indicators'!T51</f>
        <v>0.55617256821537009</v>
      </c>
      <c r="U4">
        <f>'Diagnosis Indicators'!U51</f>
        <v>0.55617079789001078</v>
      </c>
      <c r="V4">
        <f>'Diagnosis Indicators'!V51</f>
        <v>0.5561707868170811</v>
      </c>
      <c r="W4">
        <f>'Diagnosis Indicators'!W51</f>
        <v>0.55617078459067248</v>
      </c>
    </row>
    <row r="5" spans="1:25" x14ac:dyDescent="0.2">
      <c r="A5" t="str">
        <f>'Diagnosis Indicators'!A66</f>
        <v>Keynes-Kaldor</v>
      </c>
      <c r="B5">
        <f>'Diagnosis Indicators'!B52</f>
        <v>0.56058995943838341</v>
      </c>
      <c r="C5">
        <f>'Diagnosis Indicators'!C52</f>
        <v>0.5638103872446798</v>
      </c>
      <c r="D5">
        <f>'Diagnosis Indicators'!D52</f>
        <v>0.56040163694512424</v>
      </c>
      <c r="E5">
        <f>'Diagnosis Indicators'!E52</f>
        <v>0.55696867560660002</v>
      </c>
      <c r="F5">
        <f>'Diagnosis Indicators'!F52</f>
        <v>0.5535045079715939</v>
      </c>
      <c r="G5">
        <f>'Diagnosis Indicators'!G52</f>
        <v>0.54999977106631526</v>
      </c>
      <c r="H5">
        <f>'Diagnosis Indicators'!H52</f>
        <v>0.54644184349259228</v>
      </c>
      <c r="I5">
        <f>'Diagnosis Indicators'!I52</f>
        <v>0.54281292427443706</v>
      </c>
      <c r="J5">
        <f>'Diagnosis Indicators'!J52</f>
        <v>0.53908727685013313</v>
      </c>
      <c r="K5">
        <f>'Diagnosis Indicators'!K52</f>
        <v>0.53522664187805058</v>
      </c>
      <c r="L5">
        <f>'Diagnosis Indicators'!L52</f>
        <v>0.53117263080506905</v>
      </c>
      <c r="M5">
        <f>'Diagnosis Indicators'!M52</f>
        <v>0.52683405120258542</v>
      </c>
      <c r="N5">
        <f>'Diagnosis Indicators'!N52</f>
        <v>0.52206560831517912</v>
      </c>
      <c r="O5">
        <f>'Diagnosis Indicators'!O52</f>
        <v>0.51663322547149271</v>
      </c>
      <c r="P5">
        <f>'Diagnosis Indicators'!P52</f>
        <v>0.51016398245836148</v>
      </c>
      <c r="Q5">
        <f>'Diagnosis Indicators'!Q52</f>
        <v>0.50209525981167302</v>
      </c>
      <c r="R5">
        <f>'Diagnosis Indicators'!R52</f>
        <v>0.49167250035189514</v>
      </c>
      <c r="S5">
        <f>'Diagnosis Indicators'!S52</f>
        <v>0.47796819855649736</v>
      </c>
      <c r="T5">
        <f>'Diagnosis Indicators'!T52</f>
        <v>0.45937520192046266</v>
      </c>
      <c r="U5">
        <f>'Diagnosis Indicators'!U52</f>
        <v>0.43038938611004224</v>
      </c>
      <c r="V5">
        <f>'Diagnosis Indicators'!V52</f>
        <v>0.42171549787224283</v>
      </c>
      <c r="W5">
        <f>'Diagnosis Indicators'!W52</f>
        <v>0.41098167242502154</v>
      </c>
    </row>
    <row r="6" spans="1:25" x14ac:dyDescent="0.2">
      <c r="A6" t="str">
        <f>'Diagnosis Indicators'!A67</f>
        <v>Keynes-Marshall</v>
      </c>
      <c r="B6">
        <f>'Diagnosis Indicators'!B53</f>
        <v>0.56058995943838341</v>
      </c>
      <c r="C6">
        <f>'Diagnosis Indicators'!C53</f>
        <v>0.57612575753667261</v>
      </c>
      <c r="D6">
        <f>'Diagnosis Indicators'!D53</f>
        <v>0.5848363301833519</v>
      </c>
      <c r="E6">
        <f>'Diagnosis Indicators'!E53</f>
        <v>0.59339913250409715</v>
      </c>
      <c r="F6">
        <f>'Diagnosis Indicators'!F53</f>
        <v>0.60189712229132775</v>
      </c>
      <c r="G6">
        <f>'Diagnosis Indicators'!G53</f>
        <v>0.61043560743953218</v>
      </c>
      <c r="H6">
        <f>'Diagnosis Indicators'!H53</f>
        <v>0.61915644580299067</v>
      </c>
      <c r="I6">
        <f>'Diagnosis Indicators'!I53</f>
        <v>0.62825784930203576</v>
      </c>
      <c r="J6">
        <f>'Diagnosis Indicators'!J53</f>
        <v>0.63802525039050995</v>
      </c>
      <c r="K6">
        <f>'Diagnosis Indicators'!K53</f>
        <v>0.648874499476084</v>
      </c>
      <c r="L6">
        <f>'Diagnosis Indicators'!L53</f>
        <v>0.66139339219250115</v>
      </c>
      <c r="M6">
        <f>'Diagnosis Indicators'!M53</f>
        <v>0.67630794202915279</v>
      </c>
      <c r="N6">
        <f>'Diagnosis Indicators'!N53</f>
        <v>0.6942134758298355</v>
      </c>
      <c r="O6">
        <f>'Diagnosis Indicators'!O53</f>
        <v>0.71512127604961528</v>
      </c>
      <c r="P6">
        <f>'Diagnosis Indicators'!P53</f>
        <v>0.73856532919076079</v>
      </c>
      <c r="Q6">
        <f>'Diagnosis Indicators'!Q53</f>
        <v>0.76453807587066702</v>
      </c>
      <c r="R6">
        <f>'Diagnosis Indicators'!R53</f>
        <v>0.79436045075870454</v>
      </c>
      <c r="S6">
        <f>'Diagnosis Indicators'!S53</f>
        <v>0.8317251674489512</v>
      </c>
      <c r="T6">
        <f>'Diagnosis Indicators'!T53</f>
        <v>0.88656972765236552</v>
      </c>
      <c r="U6">
        <f>'Diagnosis Indicators'!U53</f>
        <v>0.9971349070423754</v>
      </c>
    </row>
    <row r="7" spans="1:25" x14ac:dyDescent="0.2">
      <c r="A7" t="str">
        <f>'Diagnosis Indicators'!A68</f>
        <v>Keynesian</v>
      </c>
      <c r="B7">
        <f>'Diagnosis Indicators'!B54</f>
        <v>0.56058995943838341</v>
      </c>
      <c r="C7">
        <f>'Diagnosis Indicators'!C54</f>
        <v>0.57239159647769544</v>
      </c>
      <c r="D7">
        <f>'Diagnosis Indicators'!D54</f>
        <v>0.57768268975464698</v>
      </c>
      <c r="E7">
        <f>'Diagnosis Indicators'!E54</f>
        <v>0.58308239268041884</v>
      </c>
      <c r="F7">
        <f>'Diagnosis Indicators'!F54</f>
        <v>0.58860065492282498</v>
      </c>
      <c r="G7">
        <f>'Diagnosis Indicators'!G54</f>
        <v>0.59424950346536476</v>
      </c>
      <c r="H7">
        <f>'Diagnosis Indicators'!H54</f>
        <v>0.60004350776431303</v>
      </c>
      <c r="I7">
        <f>'Diagnosis Indicators'!I54</f>
        <v>0.60600067088490672</v>
      </c>
      <c r="J7">
        <f>'Diagnosis Indicators'!J54</f>
        <v>0.61214383442630327</v>
      </c>
      <c r="K7">
        <f>'Diagnosis Indicators'!K54</f>
        <v>0.61850261881151936</v>
      </c>
      <c r="L7">
        <f>'Diagnosis Indicators'!L54</f>
        <v>0.62511675187204141</v>
      </c>
      <c r="M7">
        <f>'Diagnosis Indicators'!M54</f>
        <v>0.63204119078667487</v>
      </c>
      <c r="N7">
        <f>'Diagnosis Indicators'!N54</f>
        <v>0.63935490190744693</v>
      </c>
      <c r="O7">
        <f>'Diagnosis Indicators'!O54</f>
        <v>0.64717603805234147</v>
      </c>
      <c r="P7">
        <f>'Diagnosis Indicators'!P54</f>
        <v>0.65568881764728271</v>
      </c>
      <c r="Q7">
        <f>'Diagnosis Indicators'!Q54</f>
        <v>0.66519277684684552</v>
      </c>
      <c r="R7">
        <f>'Diagnosis Indicators'!R54</f>
        <v>0.67619087757561902</v>
      </c>
      <c r="S7">
        <f>'Diagnosis Indicators'!S54</f>
        <v>0.68953735251854598</v>
      </c>
      <c r="T7">
        <f>'Diagnosis Indicators'!T54</f>
        <v>0.70656463605627762</v>
      </c>
    </row>
    <row r="8" spans="1:25" x14ac:dyDescent="0.2">
      <c r="A8" t="str">
        <f>'Diagnosis Indicators'!A69</f>
        <v>Neo-K1</v>
      </c>
      <c r="B8">
        <f>'Diagnosis Indicators'!B55</f>
        <v>0.56058995943838341</v>
      </c>
      <c r="C8">
        <f>'Diagnosis Indicators'!C55</f>
        <v>0.56676614695179361</v>
      </c>
      <c r="D8">
        <f>'Diagnosis Indicators'!D55</f>
        <v>0.56632509338164805</v>
      </c>
      <c r="E8">
        <f>'Diagnosis Indicators'!E55</f>
        <v>0.56587625191867608</v>
      </c>
      <c r="F8">
        <f>'Diagnosis Indicators'!F55</f>
        <v>0.5654183289563961</v>
      </c>
      <c r="G8">
        <f>'Diagnosis Indicators'!G55</f>
        <v>0.56494987241655981</v>
      </c>
      <c r="H8">
        <f>'Diagnosis Indicators'!H55</f>
        <v>0.56446923861366727</v>
      </c>
      <c r="I8">
        <f>'Diagnosis Indicators'!I55</f>
        <v>0.56397456538776547</v>
      </c>
      <c r="J8">
        <f>'Diagnosis Indicators'!J55</f>
        <v>0.56346376025169853</v>
      </c>
      <c r="K8">
        <f>'Diagnosis Indicators'!K55</f>
        <v>0.56293446805568303</v>
      </c>
      <c r="L8">
        <f>'Diagnosis Indicators'!L55</f>
        <v>0.5623840834418532</v>
      </c>
      <c r="M8">
        <f>'Diagnosis Indicators'!M55</f>
        <v>0.56180971322333029</v>
      </c>
      <c r="N8">
        <f>'Diagnosis Indicators'!N55</f>
        <v>0.56120822828271233</v>
      </c>
      <c r="O8">
        <f>'Diagnosis Indicators'!O55</f>
        <v>0.56057634078749596</v>
      </c>
      <c r="P8">
        <f>'Diagnosis Indicators'!P55</f>
        <v>0.55991079384323406</v>
      </c>
      <c r="Q8">
        <f>'Diagnosis Indicators'!Q55</f>
        <v>0.55920872611567407</v>
      </c>
      <c r="R8">
        <f>'Diagnosis Indicators'!R55</f>
        <v>0.55846831691570509</v>
      </c>
      <c r="S8">
        <f>'Diagnosis Indicators'!S55</f>
        <v>0.55768971961917957</v>
      </c>
      <c r="T8">
        <f>'Diagnosis Indicators'!T55</f>
        <v>0.55687612131850017</v>
      </c>
      <c r="U8">
        <f>'Diagnosis Indicators'!U55</f>
        <v>0.55603442486625843</v>
      </c>
      <c r="V8">
        <f>'Diagnosis Indicators'!V55</f>
        <v>0.55586357656211771</v>
      </c>
      <c r="W8">
        <f>'Diagnosis Indicators'!W55</f>
        <v>0.55569210610843489</v>
      </c>
      <c r="X8">
        <f>'Diagnosis Indicators'!X55</f>
        <v>0.55552011375172605</v>
      </c>
      <c r="Y8">
        <f>'Diagnosis Indicators'!Y55</f>
        <v>0.55534770247547238</v>
      </c>
    </row>
    <row r="9" spans="1:25" x14ac:dyDescent="0.2">
      <c r="A9" t="str">
        <f>'Diagnosis Indicators'!A70</f>
        <v>Neo-K2</v>
      </c>
      <c r="B9">
        <f>'Diagnosis Indicators'!B56</f>
        <v>0.56058995943838341</v>
      </c>
      <c r="C9">
        <f>'Diagnosis Indicators'!C56</f>
        <v>0.56708932649454358</v>
      </c>
      <c r="D9">
        <f>'Diagnosis Indicators'!D56</f>
        <v>0.56698921764524546</v>
      </c>
      <c r="E9">
        <f>'Diagnosis Indicators'!E56</f>
        <v>0.566901070889967</v>
      </c>
      <c r="F9">
        <f>'Diagnosis Indicators'!F56</f>
        <v>0.56682572242127449</v>
      </c>
      <c r="G9">
        <f>'Diagnosis Indicators'!G56</f>
        <v>0.56676396118564187</v>
      </c>
      <c r="H9">
        <f>'Diagnosis Indicators'!H56</f>
        <v>0.56671637530733843</v>
      </c>
      <c r="I9">
        <f>'Diagnosis Indicators'!I56</f>
        <v>0.56668307665516515</v>
      </c>
      <c r="J9">
        <f>'Diagnosis Indicators'!J56</f>
        <v>0.56666323767637483</v>
      </c>
      <c r="K9">
        <f>'Diagnosis Indicators'!K56</f>
        <v>0.56665426712905675</v>
      </c>
      <c r="L9">
        <f>'Diagnosis Indicators'!L56</f>
        <v>0.56665033515311147</v>
      </c>
      <c r="M9">
        <f>'Diagnosis Indicators'!M56</f>
        <v>0.56664003007259478</v>
      </c>
      <c r="N9">
        <f>'Diagnosis Indicators'!N56</f>
        <v>0.5666028092866886</v>
      </c>
      <c r="O9">
        <f>'Diagnosis Indicators'!O56</f>
        <v>0.56650451404840252</v>
      </c>
      <c r="P9">
        <f>'Diagnosis Indicators'!P56</f>
        <v>0.56629308811398815</v>
      </c>
      <c r="Q9">
        <f>'Diagnosis Indicators'!Q56</f>
        <v>0.56589472622860382</v>
      </c>
      <c r="R9">
        <f>'Diagnosis Indicators'!R56</f>
        <v>0.56519438313026082</v>
      </c>
      <c r="S9">
        <f>'Diagnosis Indicators'!S56</f>
        <v>0.56391131973314201</v>
      </c>
      <c r="T9">
        <f>'Diagnosis Indicators'!T56</f>
        <v>0.56114378443217883</v>
      </c>
      <c r="U9">
        <f>'Diagnosis Indicators'!U56</f>
        <v>0.55332633895266559</v>
      </c>
      <c r="V9">
        <f>'Diagnosis Indicators'!V56</f>
        <v>0.54986693926258923</v>
      </c>
      <c r="W9">
        <f>'Diagnosis Indicators'!W56</f>
        <v>0.5446462034926266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05C95-8C8F-4137-A0D5-BC10EECD6713}">
  <sheetPr codeName="Feuil11"/>
  <dimension ref="A1:Y9"/>
  <sheetViews>
    <sheetView tabSelected="1" topLeftCell="L1" workbookViewId="0">
      <selection activeCell="T17" sqref="T17"/>
    </sheetView>
  </sheetViews>
  <sheetFormatPr baseColWidth="10" defaultRowHeight="10" x14ac:dyDescent="0.2"/>
  <sheetData>
    <row r="1" spans="1:25" x14ac:dyDescent="0.2">
      <c r="A1" t="s">
        <v>198</v>
      </c>
      <c r="B1" s="240">
        <f>'Diagnosis Indicators'!B2</f>
        <v>0</v>
      </c>
      <c r="C1" s="240">
        <f>'Diagnosis Indicators'!C2</f>
        <v>0.05</v>
      </c>
      <c r="D1" s="240">
        <f>'Diagnosis Indicators'!D2</f>
        <v>0.1</v>
      </c>
      <c r="E1" s="240">
        <f>'Diagnosis Indicators'!E2</f>
        <v>0.15000000000000002</v>
      </c>
      <c r="F1" s="240">
        <f>'Diagnosis Indicators'!F2</f>
        <v>0.2</v>
      </c>
      <c r="G1" s="240">
        <f>'Diagnosis Indicators'!G2</f>
        <v>0.25</v>
      </c>
      <c r="H1" s="240">
        <f>'Diagnosis Indicators'!H2</f>
        <v>0.3</v>
      </c>
      <c r="I1" s="240">
        <f>'Diagnosis Indicators'!I2</f>
        <v>0.35</v>
      </c>
      <c r="J1" s="240">
        <f>'Diagnosis Indicators'!J2</f>
        <v>0.39999999999999997</v>
      </c>
      <c r="K1" s="240">
        <f>'Diagnosis Indicators'!K2</f>
        <v>0.44999999999999996</v>
      </c>
      <c r="L1" s="240">
        <f>'Diagnosis Indicators'!L2</f>
        <v>0.49999999999999994</v>
      </c>
      <c r="M1" s="240">
        <f>'Diagnosis Indicators'!M2</f>
        <v>0.54999999999999993</v>
      </c>
      <c r="N1" s="240">
        <f>'Diagnosis Indicators'!N2</f>
        <v>0.6</v>
      </c>
      <c r="O1" s="240">
        <f>'Diagnosis Indicators'!O2</f>
        <v>0.65</v>
      </c>
      <c r="P1" s="240">
        <f>'Diagnosis Indicators'!P2</f>
        <v>0.70000000000000007</v>
      </c>
      <c r="Q1" s="240">
        <f>'Diagnosis Indicators'!Q2</f>
        <v>0.75000000000000011</v>
      </c>
      <c r="R1" s="240">
        <f>'Diagnosis Indicators'!R2</f>
        <v>0.80000000000000016</v>
      </c>
      <c r="S1" s="240">
        <f>'Diagnosis Indicators'!S2</f>
        <v>0.8500000000000002</v>
      </c>
      <c r="T1" s="240">
        <f>'Diagnosis Indicators'!T2</f>
        <v>0.90000000000000024</v>
      </c>
      <c r="U1" s="240">
        <f>'Diagnosis Indicators'!U2</f>
        <v>0.95000000000000029</v>
      </c>
      <c r="V1" s="240">
        <f>'Diagnosis Indicators'!V2</f>
        <v>0.9600000000000003</v>
      </c>
      <c r="W1" s="240">
        <f>'Diagnosis Indicators'!W2</f>
        <v>0.97000000000000031</v>
      </c>
      <c r="X1" s="240">
        <f>'Diagnosis Indicators'!X2</f>
        <v>0.98000000000000032</v>
      </c>
      <c r="Y1" s="240">
        <f>'Diagnosis Indicators'!Y2</f>
        <v>0.99000000000000032</v>
      </c>
    </row>
    <row r="2" spans="1:25" x14ac:dyDescent="0.2">
      <c r="A2" t="str">
        <f>'Diagnosis Indicators'!A3</f>
        <v>Neoclassical</v>
      </c>
      <c r="B2">
        <f>'Diagnosis Indicators'!B3</f>
        <v>1</v>
      </c>
      <c r="C2">
        <f>'Diagnosis Indicators'!C3</f>
        <v>0.99592821022423927</v>
      </c>
      <c r="D2">
        <f>'Diagnosis Indicators'!D3</f>
        <v>0.99161453014221479</v>
      </c>
      <c r="E2">
        <f>'Diagnosis Indicators'!E3</f>
        <v>0.98702908946360357</v>
      </c>
      <c r="F2">
        <f>'Diagnosis Indicators'!F3</f>
        <v>0.98213567979907657</v>
      </c>
      <c r="G2">
        <f>'Diagnosis Indicators'!G3</f>
        <v>0.97688985247949134</v>
      </c>
      <c r="H2">
        <f>'Diagnosis Indicators'!H3</f>
        <v>0.97123574009961455</v>
      </c>
      <c r="I2">
        <f>'Diagnosis Indicators'!I3</f>
        <v>0.96510170693301178</v>
      </c>
      <c r="J2">
        <f>'Diagnosis Indicators'!J3</f>
        <v>0.95839375711513497</v>
      </c>
      <c r="K2">
        <f>'Diagnosis Indicators'!K3</f>
        <v>0.95098455507061874</v>
      </c>
      <c r="L2">
        <f>'Diagnosis Indicators'!L3</f>
        <v>0.94269653338831139</v>
      </c>
      <c r="M2">
        <f>'Diagnosis Indicators'!M3</f>
        <v>0.93327334218609792</v>
      </c>
      <c r="N2">
        <f>'Diagnosis Indicators'!N3</f>
        <v>0.92233102582491966</v>
      </c>
      <c r="O2">
        <f>'Diagnosis Indicators'!O3</f>
        <v>0.90927485082995574</v>
      </c>
      <c r="P2">
        <f>'Diagnosis Indicators'!P3</f>
        <v>0.89316048297168638</v>
      </c>
      <c r="Q2">
        <f>'Diagnosis Indicators'!Q3</f>
        <v>0.87248190715597118</v>
      </c>
      <c r="R2">
        <f>'Diagnosis Indicators'!R3</f>
        <v>0.84485964802056868</v>
      </c>
      <c r="S2">
        <f>'Diagnosis Indicators'!S3</f>
        <v>0.80629161400974658</v>
      </c>
      <c r="T2">
        <f>'Diagnosis Indicators'!T3</f>
        <v>0.74803836549103897</v>
      </c>
      <c r="U2">
        <f>'Diagnosis Indicators'!U3</f>
        <v>0.64076343889366105</v>
      </c>
      <c r="V2">
        <f>'Diagnosis Indicators'!V3</f>
        <v>0.60463820005360902</v>
      </c>
      <c r="W2">
        <f>'Diagnosis Indicators'!W3</f>
        <v>0.55733706296314267</v>
      </c>
    </row>
    <row r="3" spans="1:25" x14ac:dyDescent="0.2">
      <c r="A3" t="str">
        <f>'Diagnosis Indicators'!A4</f>
        <v>Kaldorian</v>
      </c>
      <c r="B3">
        <f>'Diagnosis Indicators'!B4</f>
        <v>1</v>
      </c>
      <c r="C3">
        <f>'Diagnosis Indicators'!C4</f>
        <v>0.99869640404169113</v>
      </c>
      <c r="D3">
        <f>'Diagnosis Indicators'!D4</f>
        <v>0.99715537211988969</v>
      </c>
      <c r="E3">
        <f>'Diagnosis Indicators'!E4</f>
        <v>0.99534772766764101</v>
      </c>
      <c r="F3">
        <f>'Diagnosis Indicators'!F4</f>
        <v>0.99323834557396995</v>
      </c>
      <c r="G3">
        <f>'Diagnosis Indicators'!G4</f>
        <v>0.99078470868345347</v>
      </c>
      <c r="H3">
        <f>'Diagnosis Indicators'!H4</f>
        <v>0.98793407869620831</v>
      </c>
      <c r="I3">
        <f>'Diagnosis Indicators'!I4</f>
        <v>0.98462009525394611</v>
      </c>
      <c r="J3">
        <f>'Diagnosis Indicators'!J4</f>
        <v>0.98075716543645797</v>
      </c>
      <c r="K3">
        <f>'Diagnosis Indicators'!K4</f>
        <v>0.97623230194923971</v>
      </c>
      <c r="L3">
        <f>'Diagnosis Indicators'!L4</f>
        <v>0.97089105571578804</v>
      </c>
      <c r="M3">
        <f>'Diagnosis Indicators'!M4</f>
        <v>0.96451536729526444</v>
      </c>
      <c r="N3">
        <f>'Diagnosis Indicators'!N4</f>
        <v>0.95678402099784243</v>
      </c>
      <c r="O3">
        <f>'Diagnosis Indicators'!O4</f>
        <v>0.94720298984991069</v>
      </c>
      <c r="P3">
        <f>'Diagnosis Indicators'!P4</f>
        <v>0.93497918044799233</v>
      </c>
      <c r="Q3">
        <f>'Diagnosis Indicators'!Q4</f>
        <v>0.91879481400384866</v>
      </c>
      <c r="R3">
        <f>'Diagnosis Indicators'!R4</f>
        <v>0.89639694195209008</v>
      </c>
      <c r="S3">
        <f>'Diagnosis Indicators'!S4</f>
        <v>0.86364694010648213</v>
      </c>
      <c r="T3">
        <f>'Diagnosis Indicators'!T4</f>
        <v>0.81122900137492837</v>
      </c>
      <c r="U3">
        <f>'Diagnosis Indicators'!U4</f>
        <v>0.70799065616125678</v>
      </c>
      <c r="V3">
        <f>'Diagnosis Indicators'!V4</f>
        <v>0.67179827047290674</v>
      </c>
      <c r="W3">
        <f>'Diagnosis Indicators'!W4</f>
        <v>0.81122900137492837</v>
      </c>
      <c r="X3">
        <f>'Diagnosis Indicators'!X4</f>
        <v>0.70799065616125678</v>
      </c>
    </row>
    <row r="4" spans="1:25" x14ac:dyDescent="0.2">
      <c r="A4" t="str">
        <f>'Diagnosis Indicators'!A5</f>
        <v>Johansen</v>
      </c>
      <c r="B4">
        <f>'Diagnosis Indicators'!B5</f>
        <v>1</v>
      </c>
      <c r="C4">
        <f>'Diagnosis Indicators'!C5</f>
        <v>0.99871146090762042</v>
      </c>
      <c r="D4">
        <f>'Diagnosis Indicators'!D5</f>
        <v>0.99718591306103588</v>
      </c>
      <c r="E4">
        <f>'Diagnosis Indicators'!E5</f>
        <v>0.99539420954026292</v>
      </c>
      <c r="F4">
        <f>'Diagnosis Indicators'!F5</f>
        <v>0.993301212847019</v>
      </c>
      <c r="G4">
        <f>'Diagnosis Indicators'!G5</f>
        <v>0.99086437190928689</v>
      </c>
      <c r="H4">
        <f>'Diagnosis Indicators'!H5</f>
        <v>0.98803081290952954</v>
      </c>
      <c r="I4">
        <f>'Diagnosis Indicators'!I5</f>
        <v>0.9847338760838753</v>
      </c>
      <c r="J4">
        <f>'Diagnosis Indicators'!J5</f>
        <v>0.98088770673317505</v>
      </c>
      <c r="K4">
        <f>'Diagnosis Indicators'!K5</f>
        <v>0.97637839017066086</v>
      </c>
      <c r="L4">
        <f>'Diagnosis Indicators'!L5</f>
        <v>0.97105044105716121</v>
      </c>
      <c r="M4">
        <f>'Diagnosis Indicators'!M5</f>
        <v>0.96468392965740457</v>
      </c>
      <c r="N4">
        <f>'Diagnosis Indicators'!N5</f>
        <v>0.95695483663214631</v>
      </c>
      <c r="O4">
        <f>'Diagnosis Indicators'!O5</f>
        <v>0.94736500451134009</v>
      </c>
      <c r="P4">
        <f>'Diagnosis Indicators'!P5</f>
        <v>0.93511659919578916</v>
      </c>
      <c r="Q4">
        <f>'Diagnosis Indicators'!Q5</f>
        <v>0.91889055473130399</v>
      </c>
      <c r="R4">
        <f>'Diagnosis Indicators'!R5</f>
        <v>0.89644449971780527</v>
      </c>
      <c r="S4">
        <f>'Diagnosis Indicators'!S5</f>
        <v>0.86366061078222556</v>
      </c>
      <c r="T4">
        <f>'Diagnosis Indicators'!T5</f>
        <v>0.8112305481637585</v>
      </c>
      <c r="U4">
        <f>'Diagnosis Indicators'!U5</f>
        <v>0.7079909438740849</v>
      </c>
      <c r="V4">
        <f>'Diagnosis Indicators'!V5</f>
        <v>0.67179827417172999</v>
      </c>
      <c r="W4">
        <f>'Diagnosis Indicators'!W5</f>
        <v>0.62352482855324232</v>
      </c>
    </row>
    <row r="5" spans="1:25" x14ac:dyDescent="0.2">
      <c r="A5" t="str">
        <f>'Diagnosis Indicators'!A6</f>
        <v>Keynes-Kaldor</v>
      </c>
      <c r="B5">
        <f>'Diagnosis Indicators'!B6</f>
        <v>1</v>
      </c>
      <c r="C5">
        <f>'Diagnosis Indicators'!C6</f>
        <v>1.0012648182501287</v>
      </c>
      <c r="D5">
        <f>'Diagnosis Indicators'!D6</f>
        <v>1.0019841536208309</v>
      </c>
      <c r="E5">
        <f>'Diagnosis Indicators'!E6</f>
        <v>1.0021033294915689</v>
      </c>
      <c r="F5">
        <f>'Diagnosis Indicators'!F6</f>
        <v>1.0015560413499918</v>
      </c>
      <c r="G5">
        <f>'Diagnosis Indicators'!G6</f>
        <v>1.0002620130152418</v>
      </c>
      <c r="H5">
        <f>'Diagnosis Indicators'!H6</f>
        <v>0.99812182052376619</v>
      </c>
      <c r="I5">
        <f>'Diagnosis Indicators'!I6</f>
        <v>0.99501119886734357</v>
      </c>
      <c r="J5">
        <f>'Diagnosis Indicators'!J6</f>
        <v>0.99077151915399553</v>
      </c>
      <c r="K5">
        <f>'Diagnosis Indicators'!K6</f>
        <v>0.98519610797129731</v>
      </c>
      <c r="L5">
        <f>'Diagnosis Indicators'!L6</f>
        <v>0.97800741446176875</v>
      </c>
      <c r="M5">
        <f>'Diagnosis Indicators'!M6</f>
        <v>0.96882064268624912</v>
      </c>
      <c r="N5">
        <f>'Diagnosis Indicators'!N6</f>
        <v>0.95707901642298099</v>
      </c>
      <c r="O5">
        <f>'Diagnosis Indicators'!O6</f>
        <v>0.94193684461997218</v>
      </c>
      <c r="P5">
        <f>'Diagnosis Indicators'!P6</f>
        <v>0.92203479916890774</v>
      </c>
      <c r="Q5">
        <f>'Diagnosis Indicators'!Q6</f>
        <v>0.89505958605905522</v>
      </c>
      <c r="R5">
        <f>'Diagnosis Indicators'!R6</f>
        <v>0.85686947443505279</v>
      </c>
      <c r="S5">
        <f>'Diagnosis Indicators'!S6</f>
        <v>0.79964087848006227</v>
      </c>
      <c r="T5">
        <f>'Diagnosis Indicators'!T6</f>
        <v>0.70681902714965772</v>
      </c>
      <c r="U5">
        <f>'Diagnosis Indicators'!U6</f>
        <v>0.53283847237769877</v>
      </c>
      <c r="V5">
        <f>'Diagnosis Indicators'!V6</f>
        <v>0.47734597605722906</v>
      </c>
      <c r="W5">
        <f>'Diagnosis Indicators'!W6</f>
        <v>0.40883311686803392</v>
      </c>
    </row>
    <row r="6" spans="1:25" x14ac:dyDescent="0.2">
      <c r="A6" t="str">
        <f>'Diagnosis Indicators'!A7</f>
        <v>Keynes-Marshall</v>
      </c>
      <c r="B6">
        <f>'Diagnosis Indicators'!B7</f>
        <v>1</v>
      </c>
      <c r="C6">
        <f>'Diagnosis Indicators'!C7</f>
        <v>1.0303042082237739</v>
      </c>
      <c r="D6">
        <f>'Diagnosis Indicators'!D7</f>
        <v>1.0599903320224879</v>
      </c>
      <c r="E6">
        <f>'Diagnosis Indicators'!E7</f>
        <v>1.0891758395718099</v>
      </c>
      <c r="F6">
        <f>'Diagnosis Indicators'!F7</f>
        <v>1.1180175632993465</v>
      </c>
      <c r="G6">
        <f>'Diagnosis Indicators'!G7</f>
        <v>1.1467311927956643</v>
      </c>
      <c r="H6">
        <f>'Diagnosis Indicators'!H7</f>
        <v>1.1756245759996293</v>
      </c>
      <c r="I6">
        <f>'Diagnosis Indicators'!I7</f>
        <v>1.2051513398832947</v>
      </c>
      <c r="J6">
        <f>'Diagnosis Indicators'!J7</f>
        <v>1.2359887818800308</v>
      </c>
      <c r="K6">
        <f>'Diagnosis Indicators'!K7</f>
        <v>1.2691436671627028</v>
      </c>
      <c r="L6">
        <f>'Diagnosis Indicators'!L7</f>
        <v>1.3060309269397128</v>
      </c>
      <c r="M6">
        <f>'Diagnosis Indicators'!M7</f>
        <v>1.3482793337532759</v>
      </c>
      <c r="N6">
        <f>'Diagnosis Indicators'!N7</f>
        <v>1.3967486128682685</v>
      </c>
      <c r="O6">
        <f>'Diagnosis Indicators'!O7</f>
        <v>1.4499190951773679</v>
      </c>
      <c r="P6">
        <f>'Diagnosis Indicators'!P7</f>
        <v>1.5039662356883068</v>
      </c>
      <c r="Q6">
        <f>'Diagnosis Indicators'!Q7</f>
        <v>1.5551202537341233</v>
      </c>
      <c r="R6">
        <f>'Diagnosis Indicators'!R7</f>
        <v>1.6008087327659883</v>
      </c>
      <c r="S6">
        <f>'Diagnosis Indicators'!S7</f>
        <v>1.6382934887778517</v>
      </c>
      <c r="T6">
        <f>'Diagnosis Indicators'!T7</f>
        <v>1.659752360482962</v>
      </c>
      <c r="U6">
        <f>'Diagnosis Indicators'!U7</f>
        <v>1.6187662676887216</v>
      </c>
    </row>
    <row r="7" spans="1:25" x14ac:dyDescent="0.2">
      <c r="A7" t="str">
        <f>'Diagnosis Indicators'!A8</f>
        <v>Keynesian</v>
      </c>
      <c r="B7">
        <f>'Diagnosis Indicators'!B8</f>
        <v>1</v>
      </c>
      <c r="C7">
        <f>'Diagnosis Indicators'!C8</f>
        <v>0.98468320345041127</v>
      </c>
      <c r="D7">
        <f>'Diagnosis Indicators'!D8</f>
        <v>0.96855333032545821</v>
      </c>
      <c r="E7">
        <f>'Diagnosis Indicators'!E8</f>
        <v>0.95153636692215104</v>
      </c>
      <c r="F7">
        <f>'Diagnosis Indicators'!F8</f>
        <v>0.93354558046489022</v>
      </c>
      <c r="G7">
        <f>'Diagnosis Indicators'!G8</f>
        <v>0.9144784893810074</v>
      </c>
      <c r="H7">
        <f>'Diagnosis Indicators'!H8</f>
        <v>0.89421215859978354</v>
      </c>
      <c r="I7">
        <f>'Diagnosis Indicators'!I8</f>
        <v>0.87259687634891925</v>
      </c>
      <c r="J7">
        <f>'Diagnosis Indicators'!J8</f>
        <v>0.84944713729201371</v>
      </c>
      <c r="K7">
        <f>'Diagnosis Indicators'!K8</f>
        <v>0.82452811271042303</v>
      </c>
      <c r="L7">
        <f>'Diagnosis Indicators'!L8</f>
        <v>0.79753532992411946</v>
      </c>
      <c r="M7">
        <f>'Diagnosis Indicators'!M8</f>
        <v>0.76806271554606098</v>
      </c>
      <c r="N7">
        <f>'Diagnosis Indicators'!N8</f>
        <v>0.73555033599272945</v>
      </c>
      <c r="O7">
        <f>'Diagnosis Indicators'!O8</f>
        <v>0.69919653357827771</v>
      </c>
      <c r="P7">
        <f>'Diagnosis Indicators'!P8</f>
        <v>0.6578043648491122</v>
      </c>
      <c r="Q7">
        <f>'Diagnosis Indicators'!Q8</f>
        <v>0.60950454620339956</v>
      </c>
      <c r="R7">
        <f>'Diagnosis Indicators'!R8</f>
        <v>0.551248075192599</v>
      </c>
      <c r="S7">
        <f>'Diagnosis Indicators'!S8</f>
        <v>0.4778859315240731</v>
      </c>
      <c r="T7">
        <f>'Diagnosis Indicators'!T8</f>
        <v>0.38073988087401978</v>
      </c>
    </row>
    <row r="8" spans="1:25" x14ac:dyDescent="0.2">
      <c r="A8" t="str">
        <f>'Diagnosis Indicators'!A9</f>
        <v>Neo-K2</v>
      </c>
      <c r="B8">
        <f>'Diagnosis Indicators'!B9</f>
        <v>1</v>
      </c>
      <c r="C8">
        <f>'Diagnosis Indicators'!C9</f>
        <v>0.9854052866733567</v>
      </c>
      <c r="D8">
        <f>'Diagnosis Indicators'!D9</f>
        <v>0.96936972552985057</v>
      </c>
      <c r="E8">
        <f>'Diagnosis Indicators'!E9</f>
        <v>0.95167247233942498</v>
      </c>
      <c r="F8">
        <f>'Diagnosis Indicators'!F9</f>
        <v>0.93205670165836585</v>
      </c>
      <c r="G8">
        <f>'Diagnosis Indicators'!G9</f>
        <v>0.91022317708384493</v>
      </c>
      <c r="H8">
        <f>'Diagnosis Indicators'!H9</f>
        <v>0.88582915373908311</v>
      </c>
      <c r="I8">
        <f>'Diagnosis Indicators'!I9</f>
        <v>0.85849175535916089</v>
      </c>
      <c r="J8">
        <f>'Diagnosis Indicators'!J9</f>
        <v>0.82779987013728895</v>
      </c>
      <c r="K8">
        <f>'Diagnosis Indicators'!K9</f>
        <v>0.79334315669080779</v>
      </c>
      <c r="L8">
        <f>'Diagnosis Indicators'!L9</f>
        <v>0.75477035351508237</v>
      </c>
      <c r="M8">
        <f>'Diagnosis Indicators'!M9</f>
        <v>0.7118854866339287</v>
      </c>
      <c r="N8">
        <f>'Diagnosis Indicators'!N9</f>
        <v>0.66478751117693635</v>
      </c>
      <c r="O8">
        <f>'Diagnosis Indicators'!O9</f>
        <v>0.61402071355320575</v>
      </c>
      <c r="P8">
        <f>'Diagnosis Indicators'!P9</f>
        <v>0.56064077525284139</v>
      </c>
      <c r="Q8">
        <f>'Diagnosis Indicators'!Q9</f>
        <v>0.50606001175502702</v>
      </c>
      <c r="R8">
        <f>'Diagnosis Indicators'!R9</f>
        <v>0.45169195315506255</v>
      </c>
      <c r="S8">
        <f>'Diagnosis Indicators'!S9</f>
        <v>0.39863470271289164</v>
      </c>
      <c r="T8">
        <f>'Diagnosis Indicators'!T9</f>
        <v>0.34543972875679724</v>
      </c>
      <c r="U8">
        <f>'Diagnosis Indicators'!U9</f>
        <v>0.27748029865320223</v>
      </c>
      <c r="V8">
        <f>'Diagnosis Indicators'!V9</f>
        <v>0.25779695852780221</v>
      </c>
      <c r="W8">
        <f>'Diagnosis Indicators'!W9</f>
        <v>0.23329741121827807</v>
      </c>
    </row>
    <row r="9" spans="1:25" x14ac:dyDescent="0.2">
      <c r="A9" t="str">
        <f>'Diagnosis Indicators'!A10</f>
        <v>Neo-K1</v>
      </c>
      <c r="B9">
        <f>'Diagnosis Indicators'!B10</f>
        <v>1</v>
      </c>
      <c r="C9">
        <f>'Diagnosis Indicators'!C10</f>
        <v>0.98881140689527169</v>
      </c>
      <c r="D9">
        <f>'Diagnosis Indicators'!D10</f>
        <v>0.9766871074894794</v>
      </c>
      <c r="E9">
        <f>'Diagnosis Indicators'!E10</f>
        <v>0.96348970116720944</v>
      </c>
      <c r="F9">
        <f>'Diagnosis Indicators'!F10</f>
        <v>0.94905359824883972</v>
      </c>
      <c r="G9">
        <f>'Diagnosis Indicators'!G10</f>
        <v>0.93317616126788905</v>
      </c>
      <c r="H9">
        <f>'Diagnosis Indicators'!H10</f>
        <v>0.91560762188937272</v>
      </c>
      <c r="I9">
        <f>'Diagnosis Indicators'!I10</f>
        <v>0.89603687452765779</v>
      </c>
      <c r="J9">
        <f>'Diagnosis Indicators'!J10</f>
        <v>0.8740718257403306</v>
      </c>
      <c r="K9">
        <f>'Diagnosis Indicators'!K10</f>
        <v>0.84921328762188597</v>
      </c>
      <c r="L9">
        <f>'Diagnosis Indicators'!L10</f>
        <v>0.82081863961184331</v>
      </c>
      <c r="M9">
        <f>'Diagnosis Indicators'!M10</f>
        <v>0.78805442966101846</v>
      </c>
      <c r="N9">
        <f>'Diagnosis Indicators'!N10</f>
        <v>0.7498337102118855</v>
      </c>
      <c r="O9">
        <f>'Diagnosis Indicators'!O10</f>
        <v>0.70474042721691843</v>
      </c>
      <c r="P9">
        <f>'Diagnosis Indicators'!P10</f>
        <v>0.65094975524330234</v>
      </c>
      <c r="Q9">
        <f>'Diagnosis Indicators'!Q10</f>
        <v>0.58617124035034385</v>
      </c>
      <c r="R9">
        <f>'Diagnosis Indicators'!R10</f>
        <v>0.50766810768411263</v>
      </c>
      <c r="S9">
        <f>'Diagnosis Indicators'!S10</f>
        <v>0.41242416502127127</v>
      </c>
      <c r="T9">
        <f>'Diagnosis Indicators'!T10</f>
        <v>0.29749960490289951</v>
      </c>
      <c r="U9">
        <f>'Diagnosis Indicators'!U10</f>
        <v>0.16050522953912505</v>
      </c>
      <c r="V9">
        <f>'Diagnosis Indicators'!V10</f>
        <v>0.13031186559214572</v>
      </c>
      <c r="W9">
        <f>'Diagnosis Indicators'!W10</f>
        <v>9.9168240865660298E-2</v>
      </c>
      <c r="X9">
        <f>'Diagnosis Indicators'!X10</f>
        <v>6.7069895099529958E-2</v>
      </c>
      <c r="Y9">
        <f>'Diagnosis Indicators'!Y10</f>
        <v>3.4014136271143122E-2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3747E-7BD8-4959-A4F0-9EFAC16DC9C4}">
  <sheetPr codeName="Feuil18"/>
  <dimension ref="A1:Y9"/>
  <sheetViews>
    <sheetView topLeftCell="K1" workbookViewId="0">
      <selection activeCell="P3" sqref="P3:Y3"/>
    </sheetView>
  </sheetViews>
  <sheetFormatPr baseColWidth="10" defaultRowHeight="10" x14ac:dyDescent="0.2"/>
  <sheetData>
    <row r="1" spans="1:25" x14ac:dyDescent="0.2">
      <c r="A1" t="s">
        <v>198</v>
      </c>
      <c r="B1">
        <v>0</v>
      </c>
      <c r="C1">
        <v>0.05</v>
      </c>
      <c r="D1">
        <v>0.1</v>
      </c>
      <c r="E1">
        <v>0.15000000000000002</v>
      </c>
      <c r="F1">
        <v>0.2</v>
      </c>
      <c r="G1">
        <v>0.25</v>
      </c>
      <c r="H1">
        <v>0.3</v>
      </c>
      <c r="I1">
        <v>0.35</v>
      </c>
      <c r="J1">
        <v>0.39999999999999997</v>
      </c>
      <c r="K1">
        <v>0.44999999999999996</v>
      </c>
      <c r="L1">
        <v>0.49999999999999994</v>
      </c>
      <c r="M1">
        <v>0.54999999999999993</v>
      </c>
      <c r="N1">
        <v>0.6</v>
      </c>
      <c r="O1">
        <v>0.65</v>
      </c>
      <c r="P1">
        <v>0.70000000000000007</v>
      </c>
      <c r="Q1">
        <v>0.75000000000000011</v>
      </c>
      <c r="R1">
        <v>0.80000000000000016</v>
      </c>
      <c r="S1">
        <v>0.8500000000000002</v>
      </c>
      <c r="T1">
        <v>0.90000000000000024</v>
      </c>
      <c r="U1">
        <v>0.95000000000000029</v>
      </c>
      <c r="V1">
        <v>0.9600000000000003</v>
      </c>
      <c r="W1">
        <v>0.97000000000000031</v>
      </c>
      <c r="X1">
        <v>0.98000000000000032</v>
      </c>
      <c r="Y1">
        <v>0.99000000000000032</v>
      </c>
    </row>
    <row r="2" spans="1:25" x14ac:dyDescent="0.2">
      <c r="A2" t="s">
        <v>89</v>
      </c>
      <c r="B2">
        <f>NeoClassical!B$31</f>
        <v>1</v>
      </c>
      <c r="C2">
        <f>NeoClassical!D$31</f>
        <v>0.99592821022423927</v>
      </c>
      <c r="D2">
        <f>NeoClassical!F$31</f>
        <v>0.99161453014221479</v>
      </c>
      <c r="E2">
        <f>NeoClassical!H$31</f>
        <v>0.98702908946360357</v>
      </c>
      <c r="F2">
        <f>NeoClassical!J$31</f>
        <v>0.98213567979907657</v>
      </c>
      <c r="G2">
        <f>NeoClassical!L$31</f>
        <v>0.97688985247949134</v>
      </c>
      <c r="H2">
        <f>NeoClassical!N$31</f>
        <v>0.97123574009961455</v>
      </c>
      <c r="I2">
        <f>NeoClassical!P$31</f>
        <v>0.96510170693301178</v>
      </c>
      <c r="J2">
        <f>NeoClassical!R$31</f>
        <v>0.95839375711513497</v>
      </c>
      <c r="K2">
        <f>NeoClassical!T$31</f>
        <v>0.95098455507061874</v>
      </c>
      <c r="L2">
        <f>NeoClassical!V$31</f>
        <v>0.94269653338831139</v>
      </c>
      <c r="M2">
        <f>NeoClassical!X$31</f>
        <v>0.93327334218609792</v>
      </c>
      <c r="N2">
        <f>NeoClassical!Z$31</f>
        <v>0.92233102582491966</v>
      </c>
      <c r="O2">
        <f>NeoClassical!AB$31</f>
        <v>0.90927485082995574</v>
      </c>
      <c r="P2">
        <f>NeoClassical!AD$31</f>
        <v>0.89316048297168638</v>
      </c>
      <c r="Q2">
        <f>NeoClassical!AF$31</f>
        <v>0.87248190715597118</v>
      </c>
      <c r="R2">
        <f>NeoClassical!AH$31</f>
        <v>0.84485964802056868</v>
      </c>
      <c r="S2">
        <f>NeoClassical!AJ$31</f>
        <v>0.80629161400974658</v>
      </c>
      <c r="T2">
        <f>NeoClassical!AL$31</f>
        <v>0.74803836549103897</v>
      </c>
      <c r="U2">
        <f>NeoClassical!AN$31</f>
        <v>0.64076343889366105</v>
      </c>
      <c r="V2">
        <f>NeoClassical!AP$31</f>
        <v>0.60463820005360902</v>
      </c>
      <c r="W2">
        <f>NeoClassical!AR$31</f>
        <v>0.55733706296314267</v>
      </c>
      <c r="X2">
        <f>NeoClassical!AT$31</f>
        <v>0</v>
      </c>
      <c r="Y2">
        <f>NeoClassical!AV$31</f>
        <v>0</v>
      </c>
    </row>
    <row r="3" spans="1:25" x14ac:dyDescent="0.2">
      <c r="A3" t="s">
        <v>163</v>
      </c>
      <c r="B3">
        <f>Kaldorian!B$31</f>
        <v>1</v>
      </c>
      <c r="C3">
        <f>Kaldorian!D$31</f>
        <v>0.99869640404169113</v>
      </c>
      <c r="D3">
        <f>Kaldorian!F$31</f>
        <v>0.99715537211988969</v>
      </c>
      <c r="E3">
        <f>Kaldorian!H$31</f>
        <v>0.99534772766764101</v>
      </c>
      <c r="F3">
        <f>Kaldorian!J$31</f>
        <v>0.99323834557396995</v>
      </c>
      <c r="G3">
        <f>Kaldorian!L$31</f>
        <v>0.99078470868345347</v>
      </c>
      <c r="H3">
        <f>Kaldorian!N$31</f>
        <v>0.98793407869620831</v>
      </c>
      <c r="I3">
        <f>Kaldorian!P$31</f>
        <v>0.98462009525394611</v>
      </c>
      <c r="J3">
        <f>Kaldorian!R$31</f>
        <v>0.98075716543645797</v>
      </c>
      <c r="K3">
        <f>Kaldorian!T$31</f>
        <v>0.97623230194923971</v>
      </c>
      <c r="L3">
        <f>Kaldorian!V$31</f>
        <v>0.97089105571578804</v>
      </c>
      <c r="M3">
        <f>Kaldorian!X$31</f>
        <v>0.96451536729526444</v>
      </c>
      <c r="N3">
        <f>Kaldorian!Z$31</f>
        <v>0.95678402099784243</v>
      </c>
      <c r="O3">
        <f>Kaldorian!AB$31</f>
        <v>0.94720298984991069</v>
      </c>
      <c r="P3">
        <f>Kaldorian!AD$31</f>
        <v>0.93497918044799233</v>
      </c>
      <c r="Q3">
        <f>Kaldorian!AE$31</f>
        <v>0</v>
      </c>
      <c r="R3">
        <f>Kaldorian!AF$31</f>
        <v>0.91879481400384866</v>
      </c>
      <c r="S3">
        <f>Kaldorian!AG$31</f>
        <v>0</v>
      </c>
      <c r="T3">
        <f>Kaldorian!AH$31</f>
        <v>0.89639694195209008</v>
      </c>
      <c r="U3">
        <f>Kaldorian!AI$31</f>
        <v>0</v>
      </c>
      <c r="V3">
        <f>Kaldorian!AJ$31</f>
        <v>0.86364694010648213</v>
      </c>
      <c r="W3">
        <f>Kaldorian!AK$31</f>
        <v>0</v>
      </c>
      <c r="X3">
        <f>Kaldorian!AL$31</f>
        <v>0.81122900137492837</v>
      </c>
      <c r="Y3">
        <f>Kaldorian!AM$31</f>
        <v>0</v>
      </c>
    </row>
    <row r="4" spans="1:25" x14ac:dyDescent="0.2">
      <c r="A4" t="s">
        <v>90</v>
      </c>
      <c r="B4">
        <f>Johansen!B$31</f>
        <v>1</v>
      </c>
      <c r="C4">
        <f>Johansen!D$31</f>
        <v>0.99871146090762042</v>
      </c>
      <c r="D4">
        <f>Johansen!F$31</f>
        <v>0.99718591306103588</v>
      </c>
      <c r="E4">
        <f>Johansen!H$31</f>
        <v>0.99539420954026292</v>
      </c>
      <c r="F4">
        <f>Johansen!J$31</f>
        <v>0.993301212847019</v>
      </c>
      <c r="G4">
        <f>Johansen!L$31</f>
        <v>0.99086437190928689</v>
      </c>
      <c r="H4">
        <f>Johansen!N$31</f>
        <v>0.98803081290952954</v>
      </c>
      <c r="I4">
        <f>Johansen!P$31</f>
        <v>0.9847338760838753</v>
      </c>
      <c r="J4">
        <f>Johansen!R$31</f>
        <v>0.98088770673317505</v>
      </c>
      <c r="K4">
        <f>Johansen!T$31</f>
        <v>0.97637839017066086</v>
      </c>
      <c r="L4">
        <f>Johansen!V$31</f>
        <v>0.97105044105716121</v>
      </c>
      <c r="M4">
        <f>Johansen!X$31</f>
        <v>0.96468392965740457</v>
      </c>
      <c r="N4">
        <f>Johansen!Z$31</f>
        <v>0.95695483663214631</v>
      </c>
      <c r="O4">
        <f>Johansen!AB$31</f>
        <v>0.94736500451134009</v>
      </c>
      <c r="P4">
        <f>Johansen!AD$31</f>
        <v>0.93511659919578916</v>
      </c>
      <c r="Q4">
        <f>Johansen!AF$31</f>
        <v>0.91889055473130399</v>
      </c>
      <c r="R4">
        <f>Johansen!AH$31</f>
        <v>0.89644449971780527</v>
      </c>
      <c r="S4">
        <f>Johansen!AJ$31</f>
        <v>0.86366061078222556</v>
      </c>
      <c r="T4">
        <f>Johansen!AL$31</f>
        <v>0.8112305481637585</v>
      </c>
      <c r="U4">
        <f>Johansen!AN$31</f>
        <v>0.7079909438740849</v>
      </c>
      <c r="V4">
        <f>Johansen!AP$31</f>
        <v>0.67179827417172999</v>
      </c>
      <c r="W4">
        <f>Johansen!AR$31</f>
        <v>0.62352482855324232</v>
      </c>
      <c r="X4">
        <f>Johansen!AT$31</f>
        <v>0</v>
      </c>
      <c r="Y4">
        <f>Johansen!AV$31</f>
        <v>0</v>
      </c>
    </row>
    <row r="5" spans="1:25" x14ac:dyDescent="0.2">
      <c r="A5" t="s">
        <v>146</v>
      </c>
      <c r="B5">
        <f>'Keynes-K'!B$31</f>
        <v>1</v>
      </c>
      <c r="C5">
        <f>'Keynes-K'!D$31</f>
        <v>1.0012648182501287</v>
      </c>
      <c r="D5">
        <f>'Keynes-K'!F$31</f>
        <v>1.0019841536208309</v>
      </c>
      <c r="E5">
        <f>'Keynes-K'!H$31</f>
        <v>1.0021033294915689</v>
      </c>
      <c r="F5">
        <f>'Keynes-K'!J$31</f>
        <v>1.0015560413499918</v>
      </c>
      <c r="G5">
        <f>'Keynes-K'!L$31</f>
        <v>1.0002620130152418</v>
      </c>
      <c r="H5">
        <f>'Keynes-K'!N$31</f>
        <v>0.99812182052376619</v>
      </c>
      <c r="I5">
        <f>'Keynes-K'!P$31</f>
        <v>0.99501119886734357</v>
      </c>
      <c r="J5">
        <f>'Keynes-K'!R$31</f>
        <v>0.99077151915399553</v>
      </c>
      <c r="K5">
        <f>'Keynes-K'!T$31</f>
        <v>0.98519610797129731</v>
      </c>
      <c r="L5">
        <f>'Keynes-K'!V$31</f>
        <v>0.97800741446176875</v>
      </c>
      <c r="M5">
        <f>'Keynes-K'!X$31</f>
        <v>0.96882064268624912</v>
      </c>
      <c r="N5">
        <f>'Keynes-K'!Z$31</f>
        <v>0.95707901642298099</v>
      </c>
      <c r="O5">
        <f>'Keynes-K'!AB$31</f>
        <v>0.94193684461997218</v>
      </c>
      <c r="P5">
        <f>'Keynes-K'!AD$31</f>
        <v>0.92203479916890774</v>
      </c>
    </row>
    <row r="6" spans="1:25" x14ac:dyDescent="0.2">
      <c r="A6" t="s">
        <v>144</v>
      </c>
      <c r="B6">
        <f>'Keynes-M'!B$31</f>
        <v>1</v>
      </c>
      <c r="C6">
        <f>'Keynes-M'!D$31</f>
        <v>1.0303042082237739</v>
      </c>
      <c r="D6">
        <f>'Keynes-M'!F$31</f>
        <v>1.0599903320224879</v>
      </c>
      <c r="E6">
        <f>'Keynes-M'!H$31</f>
        <v>1.0891758395718099</v>
      </c>
      <c r="F6">
        <f>'Keynes-M'!J$31</f>
        <v>1.1180175632993465</v>
      </c>
      <c r="G6">
        <f>'Keynes-M'!L$31</f>
        <v>1.1467311927956643</v>
      </c>
      <c r="H6">
        <f>'Keynes-M'!N$31</f>
        <v>1.1756245759996293</v>
      </c>
      <c r="I6">
        <f>'Keynes-M'!P$31</f>
        <v>1.2051513398832947</v>
      </c>
      <c r="J6">
        <f>'Keynes-M'!R$31</f>
        <v>1.2359887818800308</v>
      </c>
      <c r="K6">
        <f>'Keynes-M'!T$31</f>
        <v>1.2691436671627028</v>
      </c>
    </row>
    <row r="7" spans="1:25" x14ac:dyDescent="0.2">
      <c r="A7" t="s">
        <v>162</v>
      </c>
      <c r="B7">
        <f>Keynesian!B$31</f>
        <v>1</v>
      </c>
      <c r="C7">
        <f>Keynesian!D$31</f>
        <v>0.98468320345041127</v>
      </c>
      <c r="D7">
        <f>Keynesian!F$31</f>
        <v>0.96855333032545821</v>
      </c>
      <c r="E7">
        <f>Keynesian!H$31</f>
        <v>0.95153636692215104</v>
      </c>
      <c r="F7">
        <f>Keynesian!J$31</f>
        <v>0.93354558046489022</v>
      </c>
      <c r="G7">
        <f>Keynesian!L$31</f>
        <v>0.9144784893810074</v>
      </c>
      <c r="H7">
        <f>Keynesian!N$31</f>
        <v>0.89421215859978354</v>
      </c>
      <c r="I7">
        <f>Keynesian!P$31</f>
        <v>0.87259687634891925</v>
      </c>
    </row>
    <row r="8" spans="1:25" x14ac:dyDescent="0.2">
      <c r="A8" t="s">
        <v>157</v>
      </c>
      <c r="B8">
        <f>'Neo-K2'!B$31</f>
        <v>1</v>
      </c>
      <c r="C8">
        <f>'Neo-K2'!D$31</f>
        <v>0.9854052866733567</v>
      </c>
      <c r="D8">
        <f>'Neo-K2'!F$31</f>
        <v>0.96936972552985057</v>
      </c>
      <c r="E8">
        <f>'Neo-K2'!H$31</f>
        <v>0.95167247233942498</v>
      </c>
      <c r="F8">
        <f>'Neo-K2'!J$31</f>
        <v>0.93205670165836585</v>
      </c>
      <c r="G8">
        <f>'Neo-K2'!L$31</f>
        <v>0.91022317708384493</v>
      </c>
      <c r="H8">
        <f>'Neo-K2'!N$31</f>
        <v>0.88582915373908311</v>
      </c>
      <c r="I8">
        <f>'Neo-K2'!P$31</f>
        <v>0.85849175535916089</v>
      </c>
      <c r="J8">
        <f>'Neo-K2'!R$31</f>
        <v>0.82779987013728895</v>
      </c>
      <c r="K8">
        <f>'Neo-K2'!T$31</f>
        <v>0.79334315669080779</v>
      </c>
      <c r="L8">
        <f>'Neo-K2'!V$31</f>
        <v>0.75477035351508237</v>
      </c>
      <c r="M8">
        <f>'Neo-K2'!X$31</f>
        <v>0.7118854866339287</v>
      </c>
      <c r="N8">
        <f>'Neo-K2'!Z$31</f>
        <v>0.66478751117693635</v>
      </c>
      <c r="O8">
        <f>'Neo-K2'!AB$31</f>
        <v>0.61402071355320575</v>
      </c>
      <c r="P8">
        <f>'Neo-K2'!AD$31</f>
        <v>0.56064077525284139</v>
      </c>
      <c r="Q8">
        <f>'Neo-K2'!AF$31</f>
        <v>0.50606001175502702</v>
      </c>
      <c r="R8">
        <f>'Neo-K2'!AH$31</f>
        <v>0.45169195315506255</v>
      </c>
      <c r="S8">
        <f>'Neo-K2'!AJ$31</f>
        <v>0.39863470271289164</v>
      </c>
      <c r="T8">
        <f>'Neo-K2'!AL$31</f>
        <v>0.34543972875679724</v>
      </c>
      <c r="U8">
        <f>'Neo-K2'!AN$31</f>
        <v>0.27748029865320223</v>
      </c>
      <c r="V8">
        <f>'Neo-K2'!AP$31</f>
        <v>0.25779695852780221</v>
      </c>
    </row>
    <row r="9" spans="1:25" x14ac:dyDescent="0.2">
      <c r="A9" t="s">
        <v>158</v>
      </c>
      <c r="B9">
        <f>'Neo-K1'!B$31</f>
        <v>1</v>
      </c>
      <c r="C9">
        <f>'Neo-K1'!D$31</f>
        <v>0.98881140689527169</v>
      </c>
      <c r="D9">
        <f>'Neo-K1'!F$31</f>
        <v>0.9766871074894794</v>
      </c>
      <c r="E9">
        <f>'Neo-K1'!H$31</f>
        <v>0.96348970116720944</v>
      </c>
      <c r="F9">
        <f>'Neo-K1'!J$31</f>
        <v>0.94905359824883972</v>
      </c>
      <c r="G9">
        <f>'Neo-K1'!L$31</f>
        <v>0.93317616126788905</v>
      </c>
      <c r="H9">
        <f>'Neo-K1'!N$31</f>
        <v>0.91560762188937272</v>
      </c>
      <c r="I9">
        <f>'Neo-K1'!P$31</f>
        <v>0.89603687452765779</v>
      </c>
      <c r="J9">
        <f>'Neo-K1'!R$31</f>
        <v>0.8740718257403306</v>
      </c>
      <c r="K9">
        <f>'Neo-K1'!T$31</f>
        <v>0.84921328762188597</v>
      </c>
      <c r="L9">
        <f>'Neo-K1'!V$31</f>
        <v>0.82081863961184331</v>
      </c>
      <c r="M9">
        <f>'Neo-K1'!X$31</f>
        <v>0.78805442966101846</v>
      </c>
      <c r="N9">
        <f>'Neo-K1'!Z$31</f>
        <v>0.7498337102118855</v>
      </c>
      <c r="O9">
        <f>'Neo-K1'!AB$31</f>
        <v>0.70474042721691843</v>
      </c>
      <c r="P9">
        <f>'Neo-K1'!AD$31</f>
        <v>0.65094975524330234</v>
      </c>
      <c r="Q9">
        <f>'Neo-K1'!AF$31</f>
        <v>0.58617124035034385</v>
      </c>
      <c r="R9">
        <f>'Neo-K1'!AH$31</f>
        <v>0.50766810768411263</v>
      </c>
      <c r="S9">
        <f>'Neo-K1'!AJ$31</f>
        <v>0.41242416502127127</v>
      </c>
      <c r="T9">
        <f>'Neo-K1'!AL$31</f>
        <v>0.29749960490289951</v>
      </c>
      <c r="U9">
        <f>'Neo-K1'!AN$31</f>
        <v>0.16050522953912505</v>
      </c>
      <c r="V9">
        <f>'Neo-K1'!AP$31</f>
        <v>0.13031186559214572</v>
      </c>
      <c r="W9">
        <f>'Neo-K1'!AR$31</f>
        <v>9.9168240865660298E-2</v>
      </c>
      <c r="X9">
        <f>'Neo-K1'!AT$31</f>
        <v>6.7069895099529958E-2</v>
      </c>
      <c r="Y9">
        <f>'Neo-K1'!AV$31</f>
        <v>3.4014136271143122E-2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4850502-FB6B-4D5D-9DEE-48599F6EC41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Feuilles de calcul</vt:lpstr>
      </vt:variant>
      <vt:variant>
        <vt:i4>18</vt:i4>
      </vt:variant>
      <vt:variant>
        <vt:lpstr>Graphiques</vt:lpstr>
      </vt:variant>
      <vt:variant>
        <vt:i4>3</vt:i4>
      </vt:variant>
      <vt:variant>
        <vt:lpstr>Plages nommées</vt:lpstr>
      </vt:variant>
      <vt:variant>
        <vt:i4>182</vt:i4>
      </vt:variant>
    </vt:vector>
  </HeadingPairs>
  <TitlesOfParts>
    <vt:vector size="203" baseType="lpstr">
      <vt:lpstr>Calibration</vt:lpstr>
      <vt:lpstr>Model</vt:lpstr>
      <vt:lpstr>Results</vt:lpstr>
      <vt:lpstr>NeoClassical</vt:lpstr>
      <vt:lpstr>Johansen</vt:lpstr>
      <vt:lpstr>Kaldorian</vt:lpstr>
      <vt:lpstr>Keynes-M</vt:lpstr>
      <vt:lpstr>Keynesian</vt:lpstr>
      <vt:lpstr>Keynes-K</vt:lpstr>
      <vt:lpstr>Neo-K1</vt:lpstr>
      <vt:lpstr>Neo-K2</vt:lpstr>
      <vt:lpstr>NC heteroS</vt:lpstr>
      <vt:lpstr>Keynes-I</vt:lpstr>
      <vt:lpstr>Diagnosis Indicators</vt:lpstr>
      <vt:lpstr>Tax_export</vt:lpstr>
      <vt:lpstr>PShare_export</vt:lpstr>
      <vt:lpstr>Utility_Export</vt:lpstr>
      <vt:lpstr>Utility-Export</vt:lpstr>
      <vt:lpstr>GraphU</vt:lpstr>
      <vt:lpstr>GraphPi</vt:lpstr>
      <vt:lpstr>G Tax</vt:lpstr>
      <vt:lpstr>Calibration!AGGREGATES</vt:lpstr>
      <vt:lpstr>Model!AGGREGATES</vt:lpstr>
      <vt:lpstr>aKL</vt:lpstr>
      <vt:lpstr>aKLE</vt:lpstr>
      <vt:lpstr>Calibration!alpha</vt:lpstr>
      <vt:lpstr>Model!alpha</vt:lpstr>
      <vt:lpstr>Calibration!alphaEY</vt:lpstr>
      <vt:lpstr>Model!alphaEY</vt:lpstr>
      <vt:lpstr>Calibration!alphaMY</vt:lpstr>
      <vt:lpstr>Model!alphaMY</vt:lpstr>
      <vt:lpstr>aS</vt:lpstr>
      <vt:lpstr>aU</vt:lpstr>
      <vt:lpstr>aX</vt:lpstr>
      <vt:lpstr>aY</vt:lpstr>
      <vt:lpstr>Calibration!B</vt:lpstr>
      <vt:lpstr>Model!B</vt:lpstr>
      <vt:lpstr>bKL</vt:lpstr>
      <vt:lpstr>bKLE</vt:lpstr>
      <vt:lpstr>bS</vt:lpstr>
      <vt:lpstr>bU</vt:lpstr>
      <vt:lpstr>bX</vt:lpstr>
      <vt:lpstr>bY</vt:lpstr>
      <vt:lpstr>Calibration!CE</vt:lpstr>
      <vt:lpstr>Model!CE</vt:lpstr>
      <vt:lpstr>Calibration!Consumption</vt:lpstr>
      <vt:lpstr>Model!Consumption</vt:lpstr>
      <vt:lpstr>Model!CPI</vt:lpstr>
      <vt:lpstr>Calibration!CQ</vt:lpstr>
      <vt:lpstr>Model!CQ</vt:lpstr>
      <vt:lpstr>Calibration!D</vt:lpstr>
      <vt:lpstr>Model!D</vt:lpstr>
      <vt:lpstr>Calibration!DE</vt:lpstr>
      <vt:lpstr>Model!DE</vt:lpstr>
      <vt:lpstr>epsilonE</vt:lpstr>
      <vt:lpstr>ERROR1</vt:lpstr>
      <vt:lpstr>ERROR10</vt:lpstr>
      <vt:lpstr>ERROR11</vt:lpstr>
      <vt:lpstr>ERROR12</vt:lpstr>
      <vt:lpstr>ERROR2</vt:lpstr>
      <vt:lpstr>ERROR3</vt:lpstr>
      <vt:lpstr>ERROR4</vt:lpstr>
      <vt:lpstr>ERROR5</vt:lpstr>
      <vt:lpstr>ERROR6</vt:lpstr>
      <vt:lpstr>ERROR7</vt:lpstr>
      <vt:lpstr>ERROR8</vt:lpstr>
      <vt:lpstr>ERROR9</vt:lpstr>
      <vt:lpstr>Calibration!FACTORS</vt:lpstr>
      <vt:lpstr>Model!FACTORS</vt:lpstr>
      <vt:lpstr>Calibration!G</vt:lpstr>
      <vt:lpstr>Model!G</vt:lpstr>
      <vt:lpstr>Calibration!GDP</vt:lpstr>
      <vt:lpstr>Model!GDP</vt:lpstr>
      <vt:lpstr>Calibration!I</vt:lpstr>
      <vt:lpstr>Model!I</vt:lpstr>
      <vt:lpstr>Calibration!K</vt:lpstr>
      <vt:lpstr>Model!K</vt:lpstr>
      <vt:lpstr>Calibration!kappa</vt:lpstr>
      <vt:lpstr>Model!kappa</vt:lpstr>
      <vt:lpstr>Calibration!KL</vt:lpstr>
      <vt:lpstr>Model!KL</vt:lpstr>
      <vt:lpstr>Calibration!KL_E</vt:lpstr>
      <vt:lpstr>Model!KL_E</vt:lpstr>
      <vt:lpstr>Calibration!KL_Q</vt:lpstr>
      <vt:lpstr>Model!KL_Q</vt:lpstr>
      <vt:lpstr>Calibration!KLE</vt:lpstr>
      <vt:lpstr>Model!KLE</vt:lpstr>
      <vt:lpstr>Model!KLQ</vt:lpstr>
      <vt:lpstr>Calibration!Labour</vt:lpstr>
      <vt:lpstr>Model!Labour</vt:lpstr>
      <vt:lpstr>Calibration!Labour_E</vt:lpstr>
      <vt:lpstr>Model!Labour_E</vt:lpstr>
      <vt:lpstr>Calibration!Labour_Q</vt:lpstr>
      <vt:lpstr>Model!Labour_Q</vt:lpstr>
      <vt:lpstr>Model!LabourQ</vt:lpstr>
      <vt:lpstr>Calibration!lambda</vt:lpstr>
      <vt:lpstr>Model!lambda</vt:lpstr>
      <vt:lpstr>Calibration!M</vt:lpstr>
      <vt:lpstr>Model!M</vt:lpstr>
      <vt:lpstr>MAXERROR</vt:lpstr>
      <vt:lpstr>Calibration!omegaG</vt:lpstr>
      <vt:lpstr>Model!omegaG</vt:lpstr>
      <vt:lpstr>Calibration!omegaI</vt:lpstr>
      <vt:lpstr>Model!omegaI</vt:lpstr>
      <vt:lpstr>Calibration!pC</vt:lpstr>
      <vt:lpstr>Model!pC</vt:lpstr>
      <vt:lpstr>Calibration!pCE</vt:lpstr>
      <vt:lpstr>Model!pCE</vt:lpstr>
      <vt:lpstr>Calibration!pCQ</vt:lpstr>
      <vt:lpstr>Model!pCQ</vt:lpstr>
      <vt:lpstr>Calibration!pD</vt:lpstr>
      <vt:lpstr>Model!pD</vt:lpstr>
      <vt:lpstr>Calibration!pEY</vt:lpstr>
      <vt:lpstr>Model!pEY</vt:lpstr>
      <vt:lpstr>Calibration!pG</vt:lpstr>
      <vt:lpstr>Model!pG</vt:lpstr>
      <vt:lpstr>Calibration!pI</vt:lpstr>
      <vt:lpstr>Model!pI</vt:lpstr>
      <vt:lpstr>Calibration!pIC</vt:lpstr>
      <vt:lpstr>Model!pIC</vt:lpstr>
      <vt:lpstr>Calibration!pK</vt:lpstr>
      <vt:lpstr>Model!pK</vt:lpstr>
      <vt:lpstr>Calibration!pKL</vt:lpstr>
      <vt:lpstr>Model!pKL</vt:lpstr>
      <vt:lpstr>Calibration!pKLE</vt:lpstr>
      <vt:lpstr>Model!pKLE</vt:lpstr>
      <vt:lpstr>Calibration!pL</vt:lpstr>
      <vt:lpstr>Model!pL</vt:lpstr>
      <vt:lpstr>Calibration!pMY</vt:lpstr>
      <vt:lpstr>Model!pMY</vt:lpstr>
      <vt:lpstr>Calibration!pQ</vt:lpstr>
      <vt:lpstr>Model!pQ</vt:lpstr>
      <vt:lpstr>Calibration!PRICES</vt:lpstr>
      <vt:lpstr>Model!PRICES</vt:lpstr>
      <vt:lpstr>Calibration!pS</vt:lpstr>
      <vt:lpstr>Model!pS</vt:lpstr>
      <vt:lpstr>Calibration!pW</vt:lpstr>
      <vt:lpstr>Model!pW</vt:lpstr>
      <vt:lpstr>Calibration!pX</vt:lpstr>
      <vt:lpstr>Model!pX</vt:lpstr>
      <vt:lpstr>Calibration!pY</vt:lpstr>
      <vt:lpstr>Model!pY</vt:lpstr>
      <vt:lpstr>Calibration!Revenue</vt:lpstr>
      <vt:lpstr>Model!Revenue</vt:lpstr>
      <vt:lpstr>rhoKL</vt:lpstr>
      <vt:lpstr>rhoKLE</vt:lpstr>
      <vt:lpstr>rhoS</vt:lpstr>
      <vt:lpstr>rhoU</vt:lpstr>
      <vt:lpstr>rhoX</vt:lpstr>
      <vt:lpstr>rhoY</vt:lpstr>
      <vt:lpstr>Calibration!S</vt:lpstr>
      <vt:lpstr>Model!S</vt:lpstr>
      <vt:lpstr>Calibration!sD</vt:lpstr>
      <vt:lpstr>Model!sD</vt:lpstr>
      <vt:lpstr>Calibration!SE</vt:lpstr>
      <vt:lpstr>Model!SE</vt:lpstr>
      <vt:lpstr>Calibration!sG</vt:lpstr>
      <vt:lpstr>Model!sG</vt:lpstr>
      <vt:lpstr>sigmaKL</vt:lpstr>
      <vt:lpstr>sigmaKLE</vt:lpstr>
      <vt:lpstr>sigmaS</vt:lpstr>
      <vt:lpstr>sigmaU</vt:lpstr>
      <vt:lpstr>sigmaw</vt:lpstr>
      <vt:lpstr>sigmaX</vt:lpstr>
      <vt:lpstr>sigmaY</vt:lpstr>
      <vt:lpstr>Calibration!sK</vt:lpstr>
      <vt:lpstr>Model!sK</vt:lpstr>
      <vt:lpstr>Calibration!sL</vt:lpstr>
      <vt:lpstr>Model!sL</vt:lpstr>
      <vt:lpstr>Calibration!T</vt:lpstr>
      <vt:lpstr>T</vt:lpstr>
      <vt:lpstr>Target</vt:lpstr>
      <vt:lpstr>Calibration!tauL</vt:lpstr>
      <vt:lpstr>Model!tauL</vt:lpstr>
      <vt:lpstr>Calibration!tauTS</vt:lpstr>
      <vt:lpstr>Model!tauTS</vt:lpstr>
      <vt:lpstr>Model!tauTS2</vt:lpstr>
      <vt:lpstr>Calibration!tauTVA</vt:lpstr>
      <vt:lpstr>Model!tauTVA</vt:lpstr>
      <vt:lpstr>Calibration!tauY</vt:lpstr>
      <vt:lpstr>Model!tauY</vt:lpstr>
      <vt:lpstr>Calibration!tEXC</vt:lpstr>
      <vt:lpstr>Model!tEXC</vt:lpstr>
      <vt:lpstr>Calibration!tEXC1</vt:lpstr>
      <vt:lpstr>Model!tEXC1</vt:lpstr>
      <vt:lpstr>Calibration!tEXC2</vt:lpstr>
      <vt:lpstr>Model!tEXC2</vt:lpstr>
      <vt:lpstr>Calibration!U</vt:lpstr>
      <vt:lpstr>Model!U</vt:lpstr>
      <vt:lpstr>Calibration!VARIABLES</vt:lpstr>
      <vt:lpstr>Model!VARIABLES</vt:lpstr>
      <vt:lpstr>Calibration!VOLUMES</vt:lpstr>
      <vt:lpstr>Model!VOLUMES</vt:lpstr>
      <vt:lpstr>Calibration!w</vt:lpstr>
      <vt:lpstr>Model!w</vt:lpstr>
      <vt:lpstr>Model!wE</vt:lpstr>
      <vt:lpstr>Model!wQ</vt:lpstr>
      <vt:lpstr>Calibration!X</vt:lpstr>
      <vt:lpstr>Model!X</vt:lpstr>
      <vt:lpstr>Calibration!XE</vt:lpstr>
      <vt:lpstr>Model!XE</vt:lpstr>
      <vt:lpstr>Calibration!Y</vt:lpstr>
      <vt:lpstr>Model!Y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Ghersi</dc:creator>
  <cp:lastModifiedBy>Louis Daumas</cp:lastModifiedBy>
  <dcterms:created xsi:type="dcterms:W3CDTF">2012-11-16T13:59:17Z</dcterms:created>
  <dcterms:modified xsi:type="dcterms:W3CDTF">2025-07-03T15:22:29Z</dcterms:modified>
</cp:coreProperties>
</file>